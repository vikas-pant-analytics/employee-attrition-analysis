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83be5d8ec4ba95a/Desktop/DATA ANALYTICS PROJECT/Employee-Attrition-Analysis/EXCEL/"/>
    </mc:Choice>
  </mc:AlternateContent>
  <xr:revisionPtr revIDLastSave="6" documentId="11_39A84973D9AB310314B047CFC189227C5ABD1C42" xr6:coauthVersionLast="47" xr6:coauthVersionMax="47" xr10:uidLastSave="{70E7D95A-018E-45BA-8220-E8C67A9F8EE2}"/>
  <bookViews>
    <workbookView xWindow="-108" yWindow="-108" windowWidth="23256" windowHeight="12456" activeTab="2" xr2:uid="{00000000-000D-0000-FFFF-FFFF00000000}"/>
  </bookViews>
  <sheets>
    <sheet name="RAW_DATA" sheetId="1" r:id="rId1"/>
    <sheet name="CLEAN_DATA" sheetId="2" r:id="rId2"/>
    <sheet name="FEATURES" sheetId="3" r:id="rId3"/>
    <sheet name="SEGMENTS" sheetId="4" r:id="rId4"/>
    <sheet name="DATA MODEL" sheetId="5" r:id="rId5"/>
  </sheets>
  <definedNames>
    <definedName name="_xlnm._FilterDatabase" localSheetId="1" hidden="1">CLEAN_DATA!$A$1:$AI$1471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71" i="3" l="1"/>
  <c r="F1471" i="4" s="1"/>
  <c r="O1471" i="3"/>
  <c r="H1471" i="4" s="1"/>
  <c r="N1471" i="3"/>
  <c r="M1471" i="3"/>
  <c r="G1471" i="4" s="1"/>
  <c r="L1471" i="3"/>
  <c r="C1471" i="4" s="1"/>
  <c r="P1470" i="3"/>
  <c r="F1470" i="4" s="1"/>
  <c r="O1470" i="3"/>
  <c r="H1470" i="4" s="1"/>
  <c r="N1470" i="3"/>
  <c r="M1470" i="3"/>
  <c r="G1470" i="4" s="1"/>
  <c r="L1470" i="3"/>
  <c r="C1470" i="4" s="1"/>
  <c r="P1469" i="3"/>
  <c r="F1469" i="4" s="1"/>
  <c r="O1469" i="3"/>
  <c r="H1469" i="4" s="1"/>
  <c r="N1469" i="3"/>
  <c r="M1469" i="3"/>
  <c r="G1469" i="4" s="1"/>
  <c r="L1469" i="3"/>
  <c r="C1469" i="4" s="1"/>
  <c r="P1468" i="3"/>
  <c r="F1468" i="4" s="1"/>
  <c r="O1468" i="3"/>
  <c r="H1468" i="4" s="1"/>
  <c r="N1468" i="3"/>
  <c r="M1468" i="3"/>
  <c r="G1468" i="4" s="1"/>
  <c r="L1468" i="3"/>
  <c r="C1468" i="4" s="1"/>
  <c r="P1467" i="3"/>
  <c r="F1467" i="4" s="1"/>
  <c r="O1467" i="3"/>
  <c r="H1467" i="4" s="1"/>
  <c r="N1467" i="3"/>
  <c r="M1467" i="3"/>
  <c r="G1467" i="4" s="1"/>
  <c r="L1467" i="3"/>
  <c r="C1467" i="4" s="1"/>
  <c r="P1466" i="3"/>
  <c r="F1466" i="4" s="1"/>
  <c r="O1466" i="3"/>
  <c r="H1466" i="4" s="1"/>
  <c r="N1466" i="3"/>
  <c r="M1466" i="3"/>
  <c r="G1466" i="4" s="1"/>
  <c r="L1466" i="3"/>
  <c r="C1466" i="4" s="1"/>
  <c r="Q1465" i="3"/>
  <c r="E1465" i="4" s="1"/>
  <c r="P1465" i="3"/>
  <c r="F1465" i="4" s="1"/>
  <c r="O1465" i="3"/>
  <c r="H1465" i="4" s="1"/>
  <c r="N1465" i="3"/>
  <c r="M1465" i="3"/>
  <c r="G1465" i="4" s="1"/>
  <c r="L1465" i="3"/>
  <c r="C1465" i="4" s="1"/>
  <c r="Q1464" i="3"/>
  <c r="E1464" i="4" s="1"/>
  <c r="P1464" i="3"/>
  <c r="F1464" i="4" s="1"/>
  <c r="O1464" i="3"/>
  <c r="H1464" i="4" s="1"/>
  <c r="N1464" i="3"/>
  <c r="M1464" i="3"/>
  <c r="G1464" i="4" s="1"/>
  <c r="L1464" i="3"/>
  <c r="C1464" i="4" s="1"/>
  <c r="Q1463" i="3"/>
  <c r="E1463" i="4" s="1"/>
  <c r="P1463" i="3"/>
  <c r="F1463" i="4" s="1"/>
  <c r="O1463" i="3"/>
  <c r="H1463" i="4" s="1"/>
  <c r="N1463" i="3"/>
  <c r="M1463" i="3"/>
  <c r="G1463" i="4" s="1"/>
  <c r="L1463" i="3"/>
  <c r="C1463" i="4" s="1"/>
  <c r="Q1462" i="3"/>
  <c r="E1462" i="4" s="1"/>
  <c r="P1462" i="3"/>
  <c r="F1462" i="4" s="1"/>
  <c r="O1462" i="3"/>
  <c r="H1462" i="4" s="1"/>
  <c r="N1462" i="3"/>
  <c r="M1462" i="3"/>
  <c r="G1462" i="4" s="1"/>
  <c r="L1462" i="3"/>
  <c r="C1462" i="4" s="1"/>
  <c r="Q1461" i="3"/>
  <c r="E1461" i="4" s="1"/>
  <c r="P1461" i="3"/>
  <c r="F1461" i="4" s="1"/>
  <c r="O1461" i="3"/>
  <c r="H1461" i="4" s="1"/>
  <c r="N1461" i="3"/>
  <c r="M1461" i="3"/>
  <c r="G1461" i="4" s="1"/>
  <c r="L1461" i="3"/>
  <c r="C1461" i="4" s="1"/>
  <c r="Q1460" i="3"/>
  <c r="E1460" i="4" s="1"/>
  <c r="P1460" i="3"/>
  <c r="F1460" i="4" s="1"/>
  <c r="O1460" i="3"/>
  <c r="H1460" i="4" s="1"/>
  <c r="N1460" i="3"/>
  <c r="M1460" i="3"/>
  <c r="G1460" i="4" s="1"/>
  <c r="L1460" i="3"/>
  <c r="C1460" i="4" s="1"/>
  <c r="Q1459" i="3"/>
  <c r="E1459" i="4" s="1"/>
  <c r="P1459" i="3"/>
  <c r="F1459" i="4" s="1"/>
  <c r="O1459" i="3"/>
  <c r="H1459" i="4" s="1"/>
  <c r="N1459" i="3"/>
  <c r="M1459" i="3"/>
  <c r="G1459" i="4" s="1"/>
  <c r="L1459" i="3"/>
  <c r="C1459" i="4" s="1"/>
  <c r="R1458" i="3"/>
  <c r="D1458" i="4" s="1"/>
  <c r="Q1458" i="3"/>
  <c r="E1458" i="4" s="1"/>
  <c r="P1458" i="3"/>
  <c r="F1458" i="4" s="1"/>
  <c r="O1458" i="3"/>
  <c r="H1458" i="4" s="1"/>
  <c r="N1458" i="3"/>
  <c r="M1458" i="3"/>
  <c r="G1458" i="4" s="1"/>
  <c r="L1458" i="3"/>
  <c r="C1458" i="4" s="1"/>
  <c r="Q1457" i="3"/>
  <c r="E1457" i="4" s="1"/>
  <c r="P1457" i="3"/>
  <c r="F1457" i="4" s="1"/>
  <c r="O1457" i="3"/>
  <c r="H1457" i="4" s="1"/>
  <c r="N1457" i="3"/>
  <c r="M1457" i="3"/>
  <c r="G1457" i="4" s="1"/>
  <c r="L1457" i="3"/>
  <c r="C1457" i="4" s="1"/>
  <c r="P1456" i="3"/>
  <c r="F1456" i="4" s="1"/>
  <c r="O1456" i="3"/>
  <c r="H1456" i="4" s="1"/>
  <c r="N1456" i="3"/>
  <c r="M1456" i="3"/>
  <c r="G1456" i="4" s="1"/>
  <c r="L1456" i="3"/>
  <c r="C1456" i="4" s="1"/>
  <c r="P1455" i="3"/>
  <c r="F1455" i="4" s="1"/>
  <c r="O1455" i="3"/>
  <c r="H1455" i="4" s="1"/>
  <c r="N1455" i="3"/>
  <c r="M1455" i="3"/>
  <c r="G1455" i="4" s="1"/>
  <c r="L1455" i="3"/>
  <c r="C1455" i="4" s="1"/>
  <c r="P1454" i="3"/>
  <c r="F1454" i="4" s="1"/>
  <c r="O1454" i="3"/>
  <c r="H1454" i="4" s="1"/>
  <c r="N1454" i="3"/>
  <c r="M1454" i="3"/>
  <c r="G1454" i="4" s="1"/>
  <c r="L1454" i="3"/>
  <c r="C1454" i="4" s="1"/>
  <c r="Q1453" i="3"/>
  <c r="E1453" i="4" s="1"/>
  <c r="P1453" i="3"/>
  <c r="F1453" i="4" s="1"/>
  <c r="O1453" i="3"/>
  <c r="H1453" i="4" s="1"/>
  <c r="N1453" i="3"/>
  <c r="M1453" i="3"/>
  <c r="G1453" i="4" s="1"/>
  <c r="L1453" i="3"/>
  <c r="C1453" i="4" s="1"/>
  <c r="P1452" i="3"/>
  <c r="F1452" i="4" s="1"/>
  <c r="O1452" i="3"/>
  <c r="H1452" i="4" s="1"/>
  <c r="N1452" i="3"/>
  <c r="M1452" i="3"/>
  <c r="G1452" i="4" s="1"/>
  <c r="L1452" i="3"/>
  <c r="C1452" i="4" s="1"/>
  <c r="P1451" i="3"/>
  <c r="F1451" i="4" s="1"/>
  <c r="O1451" i="3"/>
  <c r="H1451" i="4" s="1"/>
  <c r="N1451" i="3"/>
  <c r="M1451" i="3"/>
  <c r="G1451" i="4" s="1"/>
  <c r="L1451" i="3"/>
  <c r="C1451" i="4" s="1"/>
  <c r="P1450" i="3"/>
  <c r="F1450" i="4" s="1"/>
  <c r="O1450" i="3"/>
  <c r="H1450" i="4" s="1"/>
  <c r="N1450" i="3"/>
  <c r="M1450" i="3"/>
  <c r="G1450" i="4" s="1"/>
  <c r="L1450" i="3"/>
  <c r="C1450" i="4" s="1"/>
  <c r="Q1449" i="3"/>
  <c r="E1449" i="4" s="1"/>
  <c r="P1449" i="3"/>
  <c r="F1449" i="4" s="1"/>
  <c r="O1449" i="3"/>
  <c r="H1449" i="4" s="1"/>
  <c r="N1449" i="3"/>
  <c r="M1449" i="3"/>
  <c r="G1449" i="4" s="1"/>
  <c r="L1449" i="3"/>
  <c r="C1449" i="4" s="1"/>
  <c r="Q1448" i="3"/>
  <c r="E1448" i="4" s="1"/>
  <c r="P1448" i="3"/>
  <c r="F1448" i="4" s="1"/>
  <c r="O1448" i="3"/>
  <c r="H1448" i="4" s="1"/>
  <c r="N1448" i="3"/>
  <c r="M1448" i="3"/>
  <c r="G1448" i="4" s="1"/>
  <c r="L1448" i="3"/>
  <c r="C1448" i="4" s="1"/>
  <c r="Q1447" i="3"/>
  <c r="E1447" i="4" s="1"/>
  <c r="P1447" i="3"/>
  <c r="F1447" i="4" s="1"/>
  <c r="O1447" i="3"/>
  <c r="H1447" i="4" s="1"/>
  <c r="N1447" i="3"/>
  <c r="M1447" i="3"/>
  <c r="G1447" i="4" s="1"/>
  <c r="L1447" i="3"/>
  <c r="C1447" i="4" s="1"/>
  <c r="P1446" i="3"/>
  <c r="F1446" i="4" s="1"/>
  <c r="O1446" i="3"/>
  <c r="H1446" i="4" s="1"/>
  <c r="N1446" i="3"/>
  <c r="M1446" i="3"/>
  <c r="G1446" i="4" s="1"/>
  <c r="L1446" i="3"/>
  <c r="C1446" i="4" s="1"/>
  <c r="P1445" i="3"/>
  <c r="F1445" i="4" s="1"/>
  <c r="O1445" i="3"/>
  <c r="H1445" i="4" s="1"/>
  <c r="N1445" i="3"/>
  <c r="M1445" i="3"/>
  <c r="G1445" i="4" s="1"/>
  <c r="L1445" i="3"/>
  <c r="C1445" i="4" s="1"/>
  <c r="P1444" i="3"/>
  <c r="F1444" i="4" s="1"/>
  <c r="O1444" i="3"/>
  <c r="H1444" i="4" s="1"/>
  <c r="N1444" i="3"/>
  <c r="M1444" i="3"/>
  <c r="G1444" i="4" s="1"/>
  <c r="L1444" i="3"/>
  <c r="C1444" i="4" s="1"/>
  <c r="Q1443" i="3"/>
  <c r="E1443" i="4" s="1"/>
  <c r="P1443" i="3"/>
  <c r="F1443" i="4" s="1"/>
  <c r="O1443" i="3"/>
  <c r="H1443" i="4" s="1"/>
  <c r="N1443" i="3"/>
  <c r="M1443" i="3"/>
  <c r="G1443" i="4" s="1"/>
  <c r="L1443" i="3"/>
  <c r="C1443" i="4" s="1"/>
  <c r="R1442" i="3"/>
  <c r="D1442" i="4" s="1"/>
  <c r="Q1442" i="3"/>
  <c r="E1442" i="4" s="1"/>
  <c r="P1442" i="3"/>
  <c r="F1442" i="4" s="1"/>
  <c r="O1442" i="3"/>
  <c r="H1442" i="4" s="1"/>
  <c r="N1442" i="3"/>
  <c r="M1442" i="3"/>
  <c r="G1442" i="4" s="1"/>
  <c r="L1442" i="3"/>
  <c r="C1442" i="4" s="1"/>
  <c r="Q1441" i="3"/>
  <c r="E1441" i="4" s="1"/>
  <c r="P1441" i="3"/>
  <c r="F1441" i="4" s="1"/>
  <c r="O1441" i="3"/>
  <c r="H1441" i="4" s="1"/>
  <c r="N1441" i="3"/>
  <c r="M1441" i="3"/>
  <c r="G1441" i="4" s="1"/>
  <c r="L1441" i="3"/>
  <c r="C1441" i="4" s="1"/>
  <c r="P1440" i="3"/>
  <c r="F1440" i="4" s="1"/>
  <c r="O1440" i="3"/>
  <c r="H1440" i="4" s="1"/>
  <c r="N1440" i="3"/>
  <c r="M1440" i="3"/>
  <c r="G1440" i="4" s="1"/>
  <c r="L1440" i="3"/>
  <c r="C1440" i="4" s="1"/>
  <c r="Q1439" i="3"/>
  <c r="E1439" i="4" s="1"/>
  <c r="P1439" i="3"/>
  <c r="F1439" i="4" s="1"/>
  <c r="O1439" i="3"/>
  <c r="H1439" i="4" s="1"/>
  <c r="N1439" i="3"/>
  <c r="M1439" i="3"/>
  <c r="G1439" i="4" s="1"/>
  <c r="L1439" i="3"/>
  <c r="C1439" i="4" s="1"/>
  <c r="P1438" i="3"/>
  <c r="F1438" i="4" s="1"/>
  <c r="O1438" i="3"/>
  <c r="H1438" i="4" s="1"/>
  <c r="N1438" i="3"/>
  <c r="M1438" i="3"/>
  <c r="G1438" i="4" s="1"/>
  <c r="L1438" i="3"/>
  <c r="C1438" i="4" s="1"/>
  <c r="Q1437" i="3"/>
  <c r="E1437" i="4" s="1"/>
  <c r="P1437" i="3"/>
  <c r="F1437" i="4" s="1"/>
  <c r="O1437" i="3"/>
  <c r="H1437" i="4" s="1"/>
  <c r="N1437" i="3"/>
  <c r="M1437" i="3"/>
  <c r="G1437" i="4" s="1"/>
  <c r="L1437" i="3"/>
  <c r="C1437" i="4" s="1"/>
  <c r="P1436" i="3"/>
  <c r="F1436" i="4" s="1"/>
  <c r="O1436" i="3"/>
  <c r="H1436" i="4" s="1"/>
  <c r="N1436" i="3"/>
  <c r="M1436" i="3"/>
  <c r="G1436" i="4" s="1"/>
  <c r="L1436" i="3"/>
  <c r="C1436" i="4" s="1"/>
  <c r="P1435" i="3"/>
  <c r="F1435" i="4" s="1"/>
  <c r="O1435" i="3"/>
  <c r="H1435" i="4" s="1"/>
  <c r="N1435" i="3"/>
  <c r="M1435" i="3"/>
  <c r="G1435" i="4" s="1"/>
  <c r="L1435" i="3"/>
  <c r="C1435" i="4" s="1"/>
  <c r="P1434" i="3"/>
  <c r="F1434" i="4" s="1"/>
  <c r="O1434" i="3"/>
  <c r="H1434" i="4" s="1"/>
  <c r="N1434" i="3"/>
  <c r="M1434" i="3"/>
  <c r="G1434" i="4" s="1"/>
  <c r="L1434" i="3"/>
  <c r="C1434" i="4" s="1"/>
  <c r="Q1433" i="3"/>
  <c r="E1433" i="4" s="1"/>
  <c r="P1433" i="3"/>
  <c r="F1433" i="4" s="1"/>
  <c r="O1433" i="3"/>
  <c r="H1433" i="4" s="1"/>
  <c r="N1433" i="3"/>
  <c r="M1433" i="3"/>
  <c r="G1433" i="4" s="1"/>
  <c r="L1433" i="3"/>
  <c r="C1433" i="4" s="1"/>
  <c r="Q1432" i="3"/>
  <c r="E1432" i="4" s="1"/>
  <c r="P1432" i="3"/>
  <c r="F1432" i="4" s="1"/>
  <c r="O1432" i="3"/>
  <c r="H1432" i="4" s="1"/>
  <c r="N1432" i="3"/>
  <c r="M1432" i="3"/>
  <c r="G1432" i="4" s="1"/>
  <c r="L1432" i="3"/>
  <c r="C1432" i="4" s="1"/>
  <c r="Q1431" i="3"/>
  <c r="E1431" i="4" s="1"/>
  <c r="P1431" i="3"/>
  <c r="F1431" i="4" s="1"/>
  <c r="O1431" i="3"/>
  <c r="H1431" i="4" s="1"/>
  <c r="N1431" i="3"/>
  <c r="M1431" i="3"/>
  <c r="G1431" i="4" s="1"/>
  <c r="L1431" i="3"/>
  <c r="C1431" i="4" s="1"/>
  <c r="P1430" i="3"/>
  <c r="F1430" i="4" s="1"/>
  <c r="O1430" i="3"/>
  <c r="H1430" i="4" s="1"/>
  <c r="N1430" i="3"/>
  <c r="M1430" i="3"/>
  <c r="G1430" i="4" s="1"/>
  <c r="L1430" i="3"/>
  <c r="C1430" i="4" s="1"/>
  <c r="P1429" i="3"/>
  <c r="F1429" i="4" s="1"/>
  <c r="O1429" i="3"/>
  <c r="H1429" i="4" s="1"/>
  <c r="N1429" i="3"/>
  <c r="M1429" i="3"/>
  <c r="G1429" i="4" s="1"/>
  <c r="L1429" i="3"/>
  <c r="C1429" i="4" s="1"/>
  <c r="P1428" i="3"/>
  <c r="F1428" i="4" s="1"/>
  <c r="O1428" i="3"/>
  <c r="H1428" i="4" s="1"/>
  <c r="N1428" i="3"/>
  <c r="M1428" i="3"/>
  <c r="G1428" i="4" s="1"/>
  <c r="L1428" i="3"/>
  <c r="C1428" i="4" s="1"/>
  <c r="Q1427" i="3"/>
  <c r="E1427" i="4" s="1"/>
  <c r="P1427" i="3"/>
  <c r="F1427" i="4" s="1"/>
  <c r="O1427" i="3"/>
  <c r="H1427" i="4" s="1"/>
  <c r="N1427" i="3"/>
  <c r="M1427" i="3"/>
  <c r="G1427" i="4" s="1"/>
  <c r="L1427" i="3"/>
  <c r="C1427" i="4" s="1"/>
  <c r="R1426" i="3"/>
  <c r="D1426" i="4" s="1"/>
  <c r="Q1426" i="3"/>
  <c r="E1426" i="4" s="1"/>
  <c r="P1426" i="3"/>
  <c r="F1426" i="4" s="1"/>
  <c r="O1426" i="3"/>
  <c r="H1426" i="4" s="1"/>
  <c r="N1426" i="3"/>
  <c r="M1426" i="3"/>
  <c r="G1426" i="4" s="1"/>
  <c r="L1426" i="3"/>
  <c r="C1426" i="4" s="1"/>
  <c r="R1425" i="3"/>
  <c r="D1425" i="4" s="1"/>
  <c r="Q1425" i="3"/>
  <c r="E1425" i="4" s="1"/>
  <c r="P1425" i="3"/>
  <c r="F1425" i="4" s="1"/>
  <c r="O1425" i="3"/>
  <c r="H1425" i="4" s="1"/>
  <c r="N1425" i="3"/>
  <c r="M1425" i="3"/>
  <c r="G1425" i="4" s="1"/>
  <c r="L1425" i="3"/>
  <c r="C1425" i="4" s="1"/>
  <c r="P1424" i="3"/>
  <c r="F1424" i="4" s="1"/>
  <c r="O1424" i="3"/>
  <c r="H1424" i="4" s="1"/>
  <c r="N1424" i="3"/>
  <c r="M1424" i="3"/>
  <c r="G1424" i="4" s="1"/>
  <c r="L1424" i="3"/>
  <c r="C1424" i="4" s="1"/>
  <c r="Q1423" i="3"/>
  <c r="E1423" i="4" s="1"/>
  <c r="P1423" i="3"/>
  <c r="F1423" i="4" s="1"/>
  <c r="O1423" i="3"/>
  <c r="H1423" i="4" s="1"/>
  <c r="N1423" i="3"/>
  <c r="M1423" i="3"/>
  <c r="G1423" i="4" s="1"/>
  <c r="L1423" i="3"/>
  <c r="C1423" i="4" s="1"/>
  <c r="P1422" i="3"/>
  <c r="F1422" i="4" s="1"/>
  <c r="O1422" i="3"/>
  <c r="H1422" i="4" s="1"/>
  <c r="N1422" i="3"/>
  <c r="M1422" i="3"/>
  <c r="G1422" i="4" s="1"/>
  <c r="L1422" i="3"/>
  <c r="C1422" i="4" s="1"/>
  <c r="Q1421" i="3"/>
  <c r="E1421" i="4" s="1"/>
  <c r="P1421" i="3"/>
  <c r="F1421" i="4" s="1"/>
  <c r="O1421" i="3"/>
  <c r="H1421" i="4" s="1"/>
  <c r="N1421" i="3"/>
  <c r="M1421" i="3"/>
  <c r="G1421" i="4" s="1"/>
  <c r="L1421" i="3"/>
  <c r="C1421" i="4" s="1"/>
  <c r="P1420" i="3"/>
  <c r="F1420" i="4" s="1"/>
  <c r="O1420" i="3"/>
  <c r="H1420" i="4" s="1"/>
  <c r="N1420" i="3"/>
  <c r="M1420" i="3"/>
  <c r="G1420" i="4" s="1"/>
  <c r="L1420" i="3"/>
  <c r="C1420" i="4" s="1"/>
  <c r="P1419" i="3"/>
  <c r="F1419" i="4" s="1"/>
  <c r="O1419" i="3"/>
  <c r="H1419" i="4" s="1"/>
  <c r="N1419" i="3"/>
  <c r="M1419" i="3"/>
  <c r="G1419" i="4" s="1"/>
  <c r="L1419" i="3"/>
  <c r="C1419" i="4" s="1"/>
  <c r="P1418" i="3"/>
  <c r="F1418" i="4" s="1"/>
  <c r="O1418" i="3"/>
  <c r="H1418" i="4" s="1"/>
  <c r="N1418" i="3"/>
  <c r="M1418" i="3"/>
  <c r="G1418" i="4" s="1"/>
  <c r="L1418" i="3"/>
  <c r="C1418" i="4" s="1"/>
  <c r="Q1417" i="3"/>
  <c r="E1417" i="4" s="1"/>
  <c r="P1417" i="3"/>
  <c r="F1417" i="4" s="1"/>
  <c r="O1417" i="3"/>
  <c r="H1417" i="4" s="1"/>
  <c r="N1417" i="3"/>
  <c r="M1417" i="3"/>
  <c r="G1417" i="4" s="1"/>
  <c r="L1417" i="3"/>
  <c r="C1417" i="4" s="1"/>
  <c r="Q1416" i="3"/>
  <c r="E1416" i="4" s="1"/>
  <c r="P1416" i="3"/>
  <c r="F1416" i="4" s="1"/>
  <c r="O1416" i="3"/>
  <c r="H1416" i="4" s="1"/>
  <c r="N1416" i="3"/>
  <c r="M1416" i="3"/>
  <c r="G1416" i="4" s="1"/>
  <c r="L1416" i="3"/>
  <c r="C1416" i="4" s="1"/>
  <c r="Q1415" i="3"/>
  <c r="E1415" i="4" s="1"/>
  <c r="P1415" i="3"/>
  <c r="F1415" i="4" s="1"/>
  <c r="O1415" i="3"/>
  <c r="H1415" i="4" s="1"/>
  <c r="N1415" i="3"/>
  <c r="M1415" i="3"/>
  <c r="G1415" i="4" s="1"/>
  <c r="L1415" i="3"/>
  <c r="C1415" i="4" s="1"/>
  <c r="P1414" i="3"/>
  <c r="F1414" i="4" s="1"/>
  <c r="O1414" i="3"/>
  <c r="H1414" i="4" s="1"/>
  <c r="N1414" i="3"/>
  <c r="M1414" i="3"/>
  <c r="G1414" i="4" s="1"/>
  <c r="L1414" i="3"/>
  <c r="C1414" i="4" s="1"/>
  <c r="P1413" i="3"/>
  <c r="F1413" i="4" s="1"/>
  <c r="O1413" i="3"/>
  <c r="H1413" i="4" s="1"/>
  <c r="N1413" i="3"/>
  <c r="M1413" i="3"/>
  <c r="G1413" i="4" s="1"/>
  <c r="L1413" i="3"/>
  <c r="C1413" i="4" s="1"/>
  <c r="P1412" i="3"/>
  <c r="F1412" i="4" s="1"/>
  <c r="O1412" i="3"/>
  <c r="H1412" i="4" s="1"/>
  <c r="N1412" i="3"/>
  <c r="M1412" i="3"/>
  <c r="G1412" i="4" s="1"/>
  <c r="L1412" i="3"/>
  <c r="C1412" i="4" s="1"/>
  <c r="Q1411" i="3"/>
  <c r="E1411" i="4" s="1"/>
  <c r="P1411" i="3"/>
  <c r="F1411" i="4" s="1"/>
  <c r="O1411" i="3"/>
  <c r="H1411" i="4" s="1"/>
  <c r="N1411" i="3"/>
  <c r="M1411" i="3"/>
  <c r="G1411" i="4" s="1"/>
  <c r="L1411" i="3"/>
  <c r="C1411" i="4" s="1"/>
  <c r="Q1410" i="3"/>
  <c r="E1410" i="4" s="1"/>
  <c r="P1410" i="3"/>
  <c r="F1410" i="4" s="1"/>
  <c r="O1410" i="3"/>
  <c r="H1410" i="4" s="1"/>
  <c r="N1410" i="3"/>
  <c r="M1410" i="3"/>
  <c r="G1410" i="4" s="1"/>
  <c r="L1410" i="3"/>
  <c r="C1410" i="4" s="1"/>
  <c r="P1409" i="3"/>
  <c r="F1409" i="4" s="1"/>
  <c r="O1409" i="3"/>
  <c r="H1409" i="4" s="1"/>
  <c r="N1409" i="3"/>
  <c r="M1409" i="3"/>
  <c r="G1409" i="4" s="1"/>
  <c r="L1409" i="3"/>
  <c r="C1409" i="4" s="1"/>
  <c r="P1408" i="3"/>
  <c r="F1408" i="4" s="1"/>
  <c r="O1408" i="3"/>
  <c r="H1408" i="4" s="1"/>
  <c r="N1408" i="3"/>
  <c r="M1408" i="3"/>
  <c r="G1408" i="4" s="1"/>
  <c r="L1408" i="3"/>
  <c r="C1408" i="4" s="1"/>
  <c r="Q1407" i="3"/>
  <c r="E1407" i="4" s="1"/>
  <c r="P1407" i="3"/>
  <c r="F1407" i="4" s="1"/>
  <c r="O1407" i="3"/>
  <c r="H1407" i="4" s="1"/>
  <c r="N1407" i="3"/>
  <c r="M1407" i="3"/>
  <c r="G1407" i="4" s="1"/>
  <c r="L1407" i="3"/>
  <c r="C1407" i="4" s="1"/>
  <c r="Q1406" i="3"/>
  <c r="E1406" i="4" s="1"/>
  <c r="P1406" i="3"/>
  <c r="F1406" i="4" s="1"/>
  <c r="O1406" i="3"/>
  <c r="H1406" i="4" s="1"/>
  <c r="N1406" i="3"/>
  <c r="M1406" i="3"/>
  <c r="G1406" i="4" s="1"/>
  <c r="L1406" i="3"/>
  <c r="C1406" i="4" s="1"/>
  <c r="Q1405" i="3"/>
  <c r="E1405" i="4" s="1"/>
  <c r="P1405" i="3"/>
  <c r="F1405" i="4" s="1"/>
  <c r="O1405" i="3"/>
  <c r="H1405" i="4" s="1"/>
  <c r="N1405" i="3"/>
  <c r="M1405" i="3"/>
  <c r="G1405" i="4" s="1"/>
  <c r="L1405" i="3"/>
  <c r="C1405" i="4" s="1"/>
  <c r="P1404" i="3"/>
  <c r="F1404" i="4" s="1"/>
  <c r="O1404" i="3"/>
  <c r="H1404" i="4" s="1"/>
  <c r="N1404" i="3"/>
  <c r="M1404" i="3"/>
  <c r="G1404" i="4" s="1"/>
  <c r="L1404" i="3"/>
  <c r="C1404" i="4" s="1"/>
  <c r="P1403" i="3"/>
  <c r="F1403" i="4" s="1"/>
  <c r="O1403" i="3"/>
  <c r="H1403" i="4" s="1"/>
  <c r="N1403" i="3"/>
  <c r="M1403" i="3"/>
  <c r="G1403" i="4" s="1"/>
  <c r="L1403" i="3"/>
  <c r="C1403" i="4" s="1"/>
  <c r="P1402" i="3"/>
  <c r="F1402" i="4" s="1"/>
  <c r="O1402" i="3"/>
  <c r="H1402" i="4" s="1"/>
  <c r="N1402" i="3"/>
  <c r="M1402" i="3"/>
  <c r="G1402" i="4" s="1"/>
  <c r="L1402" i="3"/>
  <c r="C1402" i="4" s="1"/>
  <c r="Q1401" i="3"/>
  <c r="E1401" i="4" s="1"/>
  <c r="P1401" i="3"/>
  <c r="F1401" i="4" s="1"/>
  <c r="O1401" i="3"/>
  <c r="H1401" i="4" s="1"/>
  <c r="N1401" i="3"/>
  <c r="M1401" i="3"/>
  <c r="G1401" i="4" s="1"/>
  <c r="L1401" i="3"/>
  <c r="C1401" i="4" s="1"/>
  <c r="Q1400" i="3"/>
  <c r="E1400" i="4" s="1"/>
  <c r="P1400" i="3"/>
  <c r="F1400" i="4" s="1"/>
  <c r="O1400" i="3"/>
  <c r="H1400" i="4" s="1"/>
  <c r="N1400" i="3"/>
  <c r="M1400" i="3"/>
  <c r="G1400" i="4" s="1"/>
  <c r="L1400" i="3"/>
  <c r="C1400" i="4" s="1"/>
  <c r="Q1399" i="3"/>
  <c r="E1399" i="4" s="1"/>
  <c r="P1399" i="3"/>
  <c r="F1399" i="4" s="1"/>
  <c r="O1399" i="3"/>
  <c r="H1399" i="4" s="1"/>
  <c r="N1399" i="3"/>
  <c r="M1399" i="3"/>
  <c r="G1399" i="4" s="1"/>
  <c r="L1399" i="3"/>
  <c r="C1399" i="4" s="1"/>
  <c r="P1398" i="3"/>
  <c r="F1398" i="4" s="1"/>
  <c r="O1398" i="3"/>
  <c r="H1398" i="4" s="1"/>
  <c r="N1398" i="3"/>
  <c r="M1398" i="3"/>
  <c r="G1398" i="4" s="1"/>
  <c r="L1398" i="3"/>
  <c r="C1398" i="4" s="1"/>
  <c r="P1397" i="3"/>
  <c r="F1397" i="4" s="1"/>
  <c r="O1397" i="3"/>
  <c r="H1397" i="4" s="1"/>
  <c r="N1397" i="3"/>
  <c r="M1397" i="3"/>
  <c r="G1397" i="4" s="1"/>
  <c r="L1397" i="3"/>
  <c r="C1397" i="4" s="1"/>
  <c r="P1396" i="3"/>
  <c r="F1396" i="4" s="1"/>
  <c r="O1396" i="3"/>
  <c r="H1396" i="4" s="1"/>
  <c r="N1396" i="3"/>
  <c r="M1396" i="3"/>
  <c r="G1396" i="4" s="1"/>
  <c r="L1396" i="3"/>
  <c r="C1396" i="4" s="1"/>
  <c r="Q1395" i="3"/>
  <c r="E1395" i="4" s="1"/>
  <c r="P1395" i="3"/>
  <c r="F1395" i="4" s="1"/>
  <c r="O1395" i="3"/>
  <c r="H1395" i="4" s="1"/>
  <c r="N1395" i="3"/>
  <c r="M1395" i="3"/>
  <c r="G1395" i="4" s="1"/>
  <c r="L1395" i="3"/>
  <c r="C1395" i="4" s="1"/>
  <c r="Q1394" i="3"/>
  <c r="E1394" i="4" s="1"/>
  <c r="P1394" i="3"/>
  <c r="F1394" i="4" s="1"/>
  <c r="O1394" i="3"/>
  <c r="H1394" i="4" s="1"/>
  <c r="N1394" i="3"/>
  <c r="M1394" i="3"/>
  <c r="G1394" i="4" s="1"/>
  <c r="L1394" i="3"/>
  <c r="C1394" i="4" s="1"/>
  <c r="P1393" i="3"/>
  <c r="F1393" i="4" s="1"/>
  <c r="O1393" i="3"/>
  <c r="H1393" i="4" s="1"/>
  <c r="N1393" i="3"/>
  <c r="M1393" i="3"/>
  <c r="G1393" i="4" s="1"/>
  <c r="L1393" i="3"/>
  <c r="C1393" i="4" s="1"/>
  <c r="P1392" i="3"/>
  <c r="F1392" i="4" s="1"/>
  <c r="O1392" i="3"/>
  <c r="H1392" i="4" s="1"/>
  <c r="N1392" i="3"/>
  <c r="M1392" i="3"/>
  <c r="G1392" i="4" s="1"/>
  <c r="L1392" i="3"/>
  <c r="C1392" i="4" s="1"/>
  <c r="Q1391" i="3"/>
  <c r="E1391" i="4" s="1"/>
  <c r="P1391" i="3"/>
  <c r="F1391" i="4" s="1"/>
  <c r="O1391" i="3"/>
  <c r="H1391" i="4" s="1"/>
  <c r="N1391" i="3"/>
  <c r="M1391" i="3"/>
  <c r="G1391" i="4" s="1"/>
  <c r="L1391" i="3"/>
  <c r="C1391" i="4" s="1"/>
  <c r="Q1390" i="3"/>
  <c r="E1390" i="4" s="1"/>
  <c r="P1390" i="3"/>
  <c r="F1390" i="4" s="1"/>
  <c r="O1390" i="3"/>
  <c r="H1390" i="4" s="1"/>
  <c r="N1390" i="3"/>
  <c r="M1390" i="3"/>
  <c r="G1390" i="4" s="1"/>
  <c r="L1390" i="3"/>
  <c r="C1390" i="4" s="1"/>
  <c r="Q1389" i="3"/>
  <c r="E1389" i="4" s="1"/>
  <c r="P1389" i="3"/>
  <c r="F1389" i="4" s="1"/>
  <c r="O1389" i="3"/>
  <c r="H1389" i="4" s="1"/>
  <c r="N1389" i="3"/>
  <c r="M1389" i="3"/>
  <c r="G1389" i="4" s="1"/>
  <c r="L1389" i="3"/>
  <c r="C1389" i="4" s="1"/>
  <c r="P1388" i="3"/>
  <c r="F1388" i="4" s="1"/>
  <c r="O1388" i="3"/>
  <c r="H1388" i="4" s="1"/>
  <c r="N1388" i="3"/>
  <c r="M1388" i="3"/>
  <c r="G1388" i="4" s="1"/>
  <c r="L1388" i="3"/>
  <c r="C1388" i="4" s="1"/>
  <c r="P1387" i="3"/>
  <c r="F1387" i="4" s="1"/>
  <c r="O1387" i="3"/>
  <c r="H1387" i="4" s="1"/>
  <c r="N1387" i="3"/>
  <c r="M1387" i="3"/>
  <c r="G1387" i="4" s="1"/>
  <c r="L1387" i="3"/>
  <c r="C1387" i="4" s="1"/>
  <c r="P1386" i="3"/>
  <c r="F1386" i="4" s="1"/>
  <c r="O1386" i="3"/>
  <c r="H1386" i="4" s="1"/>
  <c r="N1386" i="3"/>
  <c r="M1386" i="3"/>
  <c r="G1386" i="4" s="1"/>
  <c r="L1386" i="3"/>
  <c r="C1386" i="4" s="1"/>
  <c r="Q1385" i="3"/>
  <c r="E1385" i="4" s="1"/>
  <c r="P1385" i="3"/>
  <c r="F1385" i="4" s="1"/>
  <c r="O1385" i="3"/>
  <c r="H1385" i="4" s="1"/>
  <c r="N1385" i="3"/>
  <c r="M1385" i="3"/>
  <c r="G1385" i="4" s="1"/>
  <c r="L1385" i="3"/>
  <c r="C1385" i="4" s="1"/>
  <c r="Q1384" i="3"/>
  <c r="E1384" i="4" s="1"/>
  <c r="P1384" i="3"/>
  <c r="F1384" i="4" s="1"/>
  <c r="O1384" i="3"/>
  <c r="H1384" i="4" s="1"/>
  <c r="N1384" i="3"/>
  <c r="M1384" i="3"/>
  <c r="G1384" i="4" s="1"/>
  <c r="L1384" i="3"/>
  <c r="C1384" i="4" s="1"/>
  <c r="Q1383" i="3"/>
  <c r="E1383" i="4" s="1"/>
  <c r="P1383" i="3"/>
  <c r="F1383" i="4" s="1"/>
  <c r="O1383" i="3"/>
  <c r="H1383" i="4" s="1"/>
  <c r="N1383" i="3"/>
  <c r="M1383" i="3"/>
  <c r="G1383" i="4" s="1"/>
  <c r="L1383" i="3"/>
  <c r="C1383" i="4" s="1"/>
  <c r="P1382" i="3"/>
  <c r="F1382" i="4" s="1"/>
  <c r="O1382" i="3"/>
  <c r="H1382" i="4" s="1"/>
  <c r="N1382" i="3"/>
  <c r="M1382" i="3"/>
  <c r="G1382" i="4" s="1"/>
  <c r="L1382" i="3"/>
  <c r="C1382" i="4" s="1"/>
  <c r="P1381" i="3"/>
  <c r="F1381" i="4" s="1"/>
  <c r="O1381" i="3"/>
  <c r="H1381" i="4" s="1"/>
  <c r="N1381" i="3"/>
  <c r="M1381" i="3"/>
  <c r="G1381" i="4" s="1"/>
  <c r="L1381" i="3"/>
  <c r="C1381" i="4" s="1"/>
  <c r="P1380" i="3"/>
  <c r="F1380" i="4" s="1"/>
  <c r="O1380" i="3"/>
  <c r="H1380" i="4" s="1"/>
  <c r="N1380" i="3"/>
  <c r="M1380" i="3"/>
  <c r="G1380" i="4" s="1"/>
  <c r="L1380" i="3"/>
  <c r="C1380" i="4" s="1"/>
  <c r="Q1379" i="3"/>
  <c r="E1379" i="4" s="1"/>
  <c r="P1379" i="3"/>
  <c r="F1379" i="4" s="1"/>
  <c r="O1379" i="3"/>
  <c r="H1379" i="4" s="1"/>
  <c r="N1379" i="3"/>
  <c r="M1379" i="3"/>
  <c r="G1379" i="4" s="1"/>
  <c r="L1379" i="3"/>
  <c r="C1379" i="4" s="1"/>
  <c r="Q1378" i="3"/>
  <c r="E1378" i="4" s="1"/>
  <c r="P1378" i="3"/>
  <c r="F1378" i="4" s="1"/>
  <c r="O1378" i="3"/>
  <c r="H1378" i="4" s="1"/>
  <c r="N1378" i="3"/>
  <c r="M1378" i="3"/>
  <c r="G1378" i="4" s="1"/>
  <c r="L1378" i="3"/>
  <c r="C1378" i="4" s="1"/>
  <c r="P1377" i="3"/>
  <c r="F1377" i="4" s="1"/>
  <c r="O1377" i="3"/>
  <c r="H1377" i="4" s="1"/>
  <c r="N1377" i="3"/>
  <c r="M1377" i="3"/>
  <c r="G1377" i="4" s="1"/>
  <c r="L1377" i="3"/>
  <c r="C1377" i="4" s="1"/>
  <c r="P1376" i="3"/>
  <c r="F1376" i="4" s="1"/>
  <c r="O1376" i="3"/>
  <c r="H1376" i="4" s="1"/>
  <c r="N1376" i="3"/>
  <c r="M1376" i="3"/>
  <c r="G1376" i="4" s="1"/>
  <c r="L1376" i="3"/>
  <c r="C1376" i="4" s="1"/>
  <c r="Q1375" i="3"/>
  <c r="E1375" i="4" s="1"/>
  <c r="P1375" i="3"/>
  <c r="F1375" i="4" s="1"/>
  <c r="O1375" i="3"/>
  <c r="H1375" i="4" s="1"/>
  <c r="N1375" i="3"/>
  <c r="M1375" i="3"/>
  <c r="G1375" i="4" s="1"/>
  <c r="L1375" i="3"/>
  <c r="C1375" i="4" s="1"/>
  <c r="Q1374" i="3"/>
  <c r="E1374" i="4" s="1"/>
  <c r="P1374" i="3"/>
  <c r="F1374" i="4" s="1"/>
  <c r="O1374" i="3"/>
  <c r="H1374" i="4" s="1"/>
  <c r="N1374" i="3"/>
  <c r="M1374" i="3"/>
  <c r="G1374" i="4" s="1"/>
  <c r="L1374" i="3"/>
  <c r="C1374" i="4" s="1"/>
  <c r="Q1373" i="3"/>
  <c r="E1373" i="4" s="1"/>
  <c r="P1373" i="3"/>
  <c r="F1373" i="4" s="1"/>
  <c r="O1373" i="3"/>
  <c r="H1373" i="4" s="1"/>
  <c r="N1373" i="3"/>
  <c r="M1373" i="3"/>
  <c r="G1373" i="4" s="1"/>
  <c r="L1373" i="3"/>
  <c r="C1373" i="4" s="1"/>
  <c r="P1372" i="3"/>
  <c r="F1372" i="4" s="1"/>
  <c r="O1372" i="3"/>
  <c r="H1372" i="4" s="1"/>
  <c r="N1372" i="3"/>
  <c r="M1372" i="3"/>
  <c r="G1372" i="4" s="1"/>
  <c r="L1372" i="3"/>
  <c r="C1372" i="4" s="1"/>
  <c r="P1371" i="3"/>
  <c r="F1371" i="4" s="1"/>
  <c r="O1371" i="3"/>
  <c r="H1371" i="4" s="1"/>
  <c r="N1371" i="3"/>
  <c r="M1371" i="3"/>
  <c r="G1371" i="4" s="1"/>
  <c r="L1371" i="3"/>
  <c r="C1371" i="4" s="1"/>
  <c r="P1370" i="3"/>
  <c r="F1370" i="4" s="1"/>
  <c r="O1370" i="3"/>
  <c r="H1370" i="4" s="1"/>
  <c r="N1370" i="3"/>
  <c r="M1370" i="3"/>
  <c r="G1370" i="4" s="1"/>
  <c r="L1370" i="3"/>
  <c r="C1370" i="4" s="1"/>
  <c r="Q1369" i="3"/>
  <c r="E1369" i="4" s="1"/>
  <c r="P1369" i="3"/>
  <c r="F1369" i="4" s="1"/>
  <c r="O1369" i="3"/>
  <c r="H1369" i="4" s="1"/>
  <c r="N1369" i="3"/>
  <c r="M1369" i="3"/>
  <c r="G1369" i="4" s="1"/>
  <c r="L1369" i="3"/>
  <c r="C1369" i="4" s="1"/>
  <c r="R1368" i="3"/>
  <c r="D1368" i="4" s="1"/>
  <c r="Q1368" i="3"/>
  <c r="E1368" i="4" s="1"/>
  <c r="P1368" i="3"/>
  <c r="F1368" i="4" s="1"/>
  <c r="O1368" i="3"/>
  <c r="H1368" i="4" s="1"/>
  <c r="N1368" i="3"/>
  <c r="M1368" i="3"/>
  <c r="G1368" i="4" s="1"/>
  <c r="L1368" i="3"/>
  <c r="C1368" i="4" s="1"/>
  <c r="R1367" i="3"/>
  <c r="D1367" i="4" s="1"/>
  <c r="Q1367" i="3"/>
  <c r="E1367" i="4" s="1"/>
  <c r="P1367" i="3"/>
  <c r="F1367" i="4" s="1"/>
  <c r="O1367" i="3"/>
  <c r="H1367" i="4" s="1"/>
  <c r="N1367" i="3"/>
  <c r="M1367" i="3"/>
  <c r="G1367" i="4" s="1"/>
  <c r="L1367" i="3"/>
  <c r="C1367" i="4" s="1"/>
  <c r="P1366" i="3"/>
  <c r="F1366" i="4" s="1"/>
  <c r="O1366" i="3"/>
  <c r="H1366" i="4" s="1"/>
  <c r="N1366" i="3"/>
  <c r="M1366" i="3"/>
  <c r="G1366" i="4" s="1"/>
  <c r="L1366" i="3"/>
  <c r="C1366" i="4" s="1"/>
  <c r="P1365" i="3"/>
  <c r="F1365" i="4" s="1"/>
  <c r="O1365" i="3"/>
  <c r="H1365" i="4" s="1"/>
  <c r="N1365" i="3"/>
  <c r="M1365" i="3"/>
  <c r="G1365" i="4" s="1"/>
  <c r="L1365" i="3"/>
  <c r="C1365" i="4" s="1"/>
  <c r="P1364" i="3"/>
  <c r="F1364" i="4" s="1"/>
  <c r="O1364" i="3"/>
  <c r="H1364" i="4" s="1"/>
  <c r="N1364" i="3"/>
  <c r="M1364" i="3"/>
  <c r="G1364" i="4" s="1"/>
  <c r="L1364" i="3"/>
  <c r="C1364" i="4" s="1"/>
  <c r="Q1363" i="3"/>
  <c r="E1363" i="4" s="1"/>
  <c r="P1363" i="3"/>
  <c r="F1363" i="4" s="1"/>
  <c r="O1363" i="3"/>
  <c r="H1363" i="4" s="1"/>
  <c r="N1363" i="3"/>
  <c r="M1363" i="3"/>
  <c r="G1363" i="4" s="1"/>
  <c r="L1363" i="3"/>
  <c r="C1363" i="4" s="1"/>
  <c r="P1362" i="3"/>
  <c r="F1362" i="4" s="1"/>
  <c r="O1362" i="3"/>
  <c r="H1362" i="4" s="1"/>
  <c r="N1362" i="3"/>
  <c r="M1362" i="3"/>
  <c r="G1362" i="4" s="1"/>
  <c r="L1362" i="3"/>
  <c r="C1362" i="4" s="1"/>
  <c r="P1361" i="3"/>
  <c r="F1361" i="4" s="1"/>
  <c r="O1361" i="3"/>
  <c r="H1361" i="4" s="1"/>
  <c r="N1361" i="3"/>
  <c r="M1361" i="3"/>
  <c r="G1361" i="4" s="1"/>
  <c r="L1361" i="3"/>
  <c r="C1361" i="4" s="1"/>
  <c r="P1360" i="3"/>
  <c r="F1360" i="4" s="1"/>
  <c r="O1360" i="3"/>
  <c r="H1360" i="4" s="1"/>
  <c r="N1360" i="3"/>
  <c r="M1360" i="3"/>
  <c r="G1360" i="4" s="1"/>
  <c r="L1360" i="3"/>
  <c r="C1360" i="4" s="1"/>
  <c r="Q1359" i="3"/>
  <c r="E1359" i="4" s="1"/>
  <c r="P1359" i="3"/>
  <c r="F1359" i="4" s="1"/>
  <c r="O1359" i="3"/>
  <c r="H1359" i="4" s="1"/>
  <c r="N1359" i="3"/>
  <c r="M1359" i="3"/>
  <c r="G1359" i="4" s="1"/>
  <c r="L1359" i="3"/>
  <c r="C1359" i="4" s="1"/>
  <c r="Q1358" i="3"/>
  <c r="E1358" i="4" s="1"/>
  <c r="P1358" i="3"/>
  <c r="F1358" i="4" s="1"/>
  <c r="O1358" i="3"/>
  <c r="H1358" i="4" s="1"/>
  <c r="N1358" i="3"/>
  <c r="M1358" i="3"/>
  <c r="G1358" i="4" s="1"/>
  <c r="L1358" i="3"/>
  <c r="C1358" i="4" s="1"/>
  <c r="Q1357" i="3"/>
  <c r="E1357" i="4" s="1"/>
  <c r="P1357" i="3"/>
  <c r="F1357" i="4" s="1"/>
  <c r="O1357" i="3"/>
  <c r="H1357" i="4" s="1"/>
  <c r="N1357" i="3"/>
  <c r="M1357" i="3"/>
  <c r="G1357" i="4" s="1"/>
  <c r="L1357" i="3"/>
  <c r="C1357" i="4" s="1"/>
  <c r="P1356" i="3"/>
  <c r="F1356" i="4" s="1"/>
  <c r="O1356" i="3"/>
  <c r="H1356" i="4" s="1"/>
  <c r="N1356" i="3"/>
  <c r="M1356" i="3"/>
  <c r="G1356" i="4" s="1"/>
  <c r="L1356" i="3"/>
  <c r="C1356" i="4" s="1"/>
  <c r="P1355" i="3"/>
  <c r="F1355" i="4" s="1"/>
  <c r="O1355" i="3"/>
  <c r="H1355" i="4" s="1"/>
  <c r="N1355" i="3"/>
  <c r="M1355" i="3"/>
  <c r="G1355" i="4" s="1"/>
  <c r="L1355" i="3"/>
  <c r="C1355" i="4" s="1"/>
  <c r="P1354" i="3"/>
  <c r="F1354" i="4" s="1"/>
  <c r="O1354" i="3"/>
  <c r="H1354" i="4" s="1"/>
  <c r="N1354" i="3"/>
  <c r="M1354" i="3"/>
  <c r="G1354" i="4" s="1"/>
  <c r="L1354" i="3"/>
  <c r="C1354" i="4" s="1"/>
  <c r="Q1353" i="3"/>
  <c r="E1353" i="4" s="1"/>
  <c r="P1353" i="3"/>
  <c r="F1353" i="4" s="1"/>
  <c r="O1353" i="3"/>
  <c r="H1353" i="4" s="1"/>
  <c r="N1353" i="3"/>
  <c r="M1353" i="3"/>
  <c r="G1353" i="4" s="1"/>
  <c r="L1353" i="3"/>
  <c r="C1353" i="4" s="1"/>
  <c r="R1352" i="3"/>
  <c r="D1352" i="4" s="1"/>
  <c r="Q1352" i="3"/>
  <c r="E1352" i="4" s="1"/>
  <c r="P1352" i="3"/>
  <c r="F1352" i="4" s="1"/>
  <c r="O1352" i="3"/>
  <c r="H1352" i="4" s="1"/>
  <c r="N1352" i="3"/>
  <c r="M1352" i="3"/>
  <c r="G1352" i="4" s="1"/>
  <c r="L1352" i="3"/>
  <c r="C1352" i="4" s="1"/>
  <c r="R1351" i="3"/>
  <c r="D1351" i="4" s="1"/>
  <c r="Q1351" i="3"/>
  <c r="E1351" i="4" s="1"/>
  <c r="P1351" i="3"/>
  <c r="F1351" i="4" s="1"/>
  <c r="O1351" i="3"/>
  <c r="H1351" i="4" s="1"/>
  <c r="N1351" i="3"/>
  <c r="M1351" i="3"/>
  <c r="G1351" i="4" s="1"/>
  <c r="L1351" i="3"/>
  <c r="C1351" i="4" s="1"/>
  <c r="P1350" i="3"/>
  <c r="F1350" i="4" s="1"/>
  <c r="O1350" i="3"/>
  <c r="H1350" i="4" s="1"/>
  <c r="N1350" i="3"/>
  <c r="M1350" i="3"/>
  <c r="G1350" i="4" s="1"/>
  <c r="L1350" i="3"/>
  <c r="C1350" i="4" s="1"/>
  <c r="P1349" i="3"/>
  <c r="F1349" i="4" s="1"/>
  <c r="O1349" i="3"/>
  <c r="H1349" i="4" s="1"/>
  <c r="N1349" i="3"/>
  <c r="M1349" i="3"/>
  <c r="G1349" i="4" s="1"/>
  <c r="L1349" i="3"/>
  <c r="C1349" i="4" s="1"/>
  <c r="P1348" i="3"/>
  <c r="F1348" i="4" s="1"/>
  <c r="O1348" i="3"/>
  <c r="H1348" i="4" s="1"/>
  <c r="N1348" i="3"/>
  <c r="M1348" i="3"/>
  <c r="G1348" i="4" s="1"/>
  <c r="L1348" i="3"/>
  <c r="C1348" i="4" s="1"/>
  <c r="Q1347" i="3"/>
  <c r="E1347" i="4" s="1"/>
  <c r="P1347" i="3"/>
  <c r="F1347" i="4" s="1"/>
  <c r="O1347" i="3"/>
  <c r="H1347" i="4" s="1"/>
  <c r="N1347" i="3"/>
  <c r="M1347" i="3"/>
  <c r="G1347" i="4" s="1"/>
  <c r="L1347" i="3"/>
  <c r="C1347" i="4" s="1"/>
  <c r="P1346" i="3"/>
  <c r="F1346" i="4" s="1"/>
  <c r="O1346" i="3"/>
  <c r="H1346" i="4" s="1"/>
  <c r="N1346" i="3"/>
  <c r="M1346" i="3"/>
  <c r="G1346" i="4" s="1"/>
  <c r="L1346" i="3"/>
  <c r="C1346" i="4" s="1"/>
  <c r="P1345" i="3"/>
  <c r="F1345" i="4" s="1"/>
  <c r="O1345" i="3"/>
  <c r="H1345" i="4" s="1"/>
  <c r="N1345" i="3"/>
  <c r="M1345" i="3"/>
  <c r="G1345" i="4" s="1"/>
  <c r="L1345" i="3"/>
  <c r="C1345" i="4" s="1"/>
  <c r="P1344" i="3"/>
  <c r="F1344" i="4" s="1"/>
  <c r="O1344" i="3"/>
  <c r="H1344" i="4" s="1"/>
  <c r="N1344" i="3"/>
  <c r="M1344" i="3"/>
  <c r="G1344" i="4" s="1"/>
  <c r="L1344" i="3"/>
  <c r="C1344" i="4" s="1"/>
  <c r="Q1343" i="3"/>
  <c r="E1343" i="4" s="1"/>
  <c r="P1343" i="3"/>
  <c r="F1343" i="4" s="1"/>
  <c r="O1343" i="3"/>
  <c r="H1343" i="4" s="1"/>
  <c r="N1343" i="3"/>
  <c r="M1343" i="3"/>
  <c r="G1343" i="4" s="1"/>
  <c r="L1343" i="3"/>
  <c r="C1343" i="4" s="1"/>
  <c r="Q1342" i="3"/>
  <c r="E1342" i="4" s="1"/>
  <c r="P1342" i="3"/>
  <c r="F1342" i="4" s="1"/>
  <c r="O1342" i="3"/>
  <c r="H1342" i="4" s="1"/>
  <c r="N1342" i="3"/>
  <c r="M1342" i="3"/>
  <c r="G1342" i="4" s="1"/>
  <c r="L1342" i="3"/>
  <c r="C1342" i="4" s="1"/>
  <c r="Q1341" i="3"/>
  <c r="E1341" i="4" s="1"/>
  <c r="P1341" i="3"/>
  <c r="F1341" i="4" s="1"/>
  <c r="O1341" i="3"/>
  <c r="H1341" i="4" s="1"/>
  <c r="N1341" i="3"/>
  <c r="M1341" i="3"/>
  <c r="G1341" i="4" s="1"/>
  <c r="L1341" i="3"/>
  <c r="C1341" i="4" s="1"/>
  <c r="P1340" i="3"/>
  <c r="F1340" i="4" s="1"/>
  <c r="O1340" i="3"/>
  <c r="H1340" i="4" s="1"/>
  <c r="N1340" i="3"/>
  <c r="M1340" i="3"/>
  <c r="G1340" i="4" s="1"/>
  <c r="L1340" i="3"/>
  <c r="C1340" i="4" s="1"/>
  <c r="P1339" i="3"/>
  <c r="F1339" i="4" s="1"/>
  <c r="O1339" i="3"/>
  <c r="H1339" i="4" s="1"/>
  <c r="N1339" i="3"/>
  <c r="M1339" i="3"/>
  <c r="G1339" i="4" s="1"/>
  <c r="L1339" i="3"/>
  <c r="C1339" i="4" s="1"/>
  <c r="P1338" i="3"/>
  <c r="F1338" i="4" s="1"/>
  <c r="O1338" i="3"/>
  <c r="H1338" i="4" s="1"/>
  <c r="N1338" i="3"/>
  <c r="M1338" i="3"/>
  <c r="G1338" i="4" s="1"/>
  <c r="L1338" i="3"/>
  <c r="C1338" i="4" s="1"/>
  <c r="Q1337" i="3"/>
  <c r="E1337" i="4" s="1"/>
  <c r="P1337" i="3"/>
  <c r="F1337" i="4" s="1"/>
  <c r="O1337" i="3"/>
  <c r="H1337" i="4" s="1"/>
  <c r="N1337" i="3"/>
  <c r="M1337" i="3"/>
  <c r="G1337" i="4" s="1"/>
  <c r="L1337" i="3"/>
  <c r="C1337" i="4" s="1"/>
  <c r="Q1336" i="3"/>
  <c r="E1336" i="4" s="1"/>
  <c r="P1336" i="3"/>
  <c r="F1336" i="4" s="1"/>
  <c r="O1336" i="3"/>
  <c r="H1336" i="4" s="1"/>
  <c r="N1336" i="3"/>
  <c r="M1336" i="3"/>
  <c r="G1336" i="4" s="1"/>
  <c r="L1336" i="3"/>
  <c r="C1336" i="4" s="1"/>
  <c r="R1335" i="3"/>
  <c r="D1335" i="4" s="1"/>
  <c r="Q1335" i="3"/>
  <c r="E1335" i="4" s="1"/>
  <c r="P1335" i="3"/>
  <c r="F1335" i="4" s="1"/>
  <c r="O1335" i="3"/>
  <c r="H1335" i="4" s="1"/>
  <c r="N1335" i="3"/>
  <c r="M1335" i="3"/>
  <c r="G1335" i="4" s="1"/>
  <c r="L1335" i="3"/>
  <c r="C1335" i="4" s="1"/>
  <c r="P1334" i="3"/>
  <c r="F1334" i="4" s="1"/>
  <c r="O1334" i="3"/>
  <c r="H1334" i="4" s="1"/>
  <c r="N1334" i="3"/>
  <c r="M1334" i="3"/>
  <c r="G1334" i="4" s="1"/>
  <c r="L1334" i="3"/>
  <c r="C1334" i="4" s="1"/>
  <c r="P1333" i="3"/>
  <c r="F1333" i="4" s="1"/>
  <c r="O1333" i="3"/>
  <c r="H1333" i="4" s="1"/>
  <c r="N1333" i="3"/>
  <c r="M1333" i="3"/>
  <c r="G1333" i="4" s="1"/>
  <c r="L1333" i="3"/>
  <c r="C1333" i="4" s="1"/>
  <c r="P1332" i="3"/>
  <c r="F1332" i="4" s="1"/>
  <c r="O1332" i="3"/>
  <c r="H1332" i="4" s="1"/>
  <c r="N1332" i="3"/>
  <c r="M1332" i="3"/>
  <c r="G1332" i="4" s="1"/>
  <c r="L1332" i="3"/>
  <c r="C1332" i="4" s="1"/>
  <c r="Q1331" i="3"/>
  <c r="E1331" i="4" s="1"/>
  <c r="P1331" i="3"/>
  <c r="F1331" i="4" s="1"/>
  <c r="O1331" i="3"/>
  <c r="H1331" i="4" s="1"/>
  <c r="N1331" i="3"/>
  <c r="M1331" i="3"/>
  <c r="G1331" i="4" s="1"/>
  <c r="L1331" i="3"/>
  <c r="C1331" i="4" s="1"/>
  <c r="P1330" i="3"/>
  <c r="F1330" i="4" s="1"/>
  <c r="O1330" i="3"/>
  <c r="H1330" i="4" s="1"/>
  <c r="N1330" i="3"/>
  <c r="M1330" i="3"/>
  <c r="G1330" i="4" s="1"/>
  <c r="L1330" i="3"/>
  <c r="C1330" i="4" s="1"/>
  <c r="P1329" i="3"/>
  <c r="F1329" i="4" s="1"/>
  <c r="O1329" i="3"/>
  <c r="H1329" i="4" s="1"/>
  <c r="N1329" i="3"/>
  <c r="M1329" i="3"/>
  <c r="G1329" i="4" s="1"/>
  <c r="L1329" i="3"/>
  <c r="C1329" i="4" s="1"/>
  <c r="P1328" i="3"/>
  <c r="F1328" i="4" s="1"/>
  <c r="O1328" i="3"/>
  <c r="H1328" i="4" s="1"/>
  <c r="N1328" i="3"/>
  <c r="M1328" i="3"/>
  <c r="G1328" i="4" s="1"/>
  <c r="L1328" i="3"/>
  <c r="C1328" i="4" s="1"/>
  <c r="Q1327" i="3"/>
  <c r="E1327" i="4" s="1"/>
  <c r="P1327" i="3"/>
  <c r="F1327" i="4" s="1"/>
  <c r="O1327" i="3"/>
  <c r="H1327" i="4" s="1"/>
  <c r="N1327" i="3"/>
  <c r="M1327" i="3"/>
  <c r="G1327" i="4" s="1"/>
  <c r="L1327" i="3"/>
  <c r="C1327" i="4" s="1"/>
  <c r="Q1326" i="3"/>
  <c r="E1326" i="4" s="1"/>
  <c r="P1326" i="3"/>
  <c r="F1326" i="4" s="1"/>
  <c r="O1326" i="3"/>
  <c r="H1326" i="4" s="1"/>
  <c r="N1326" i="3"/>
  <c r="M1326" i="3"/>
  <c r="G1326" i="4" s="1"/>
  <c r="L1326" i="3"/>
  <c r="C1326" i="4" s="1"/>
  <c r="Q1325" i="3"/>
  <c r="E1325" i="4" s="1"/>
  <c r="P1325" i="3"/>
  <c r="F1325" i="4" s="1"/>
  <c r="O1325" i="3"/>
  <c r="H1325" i="4" s="1"/>
  <c r="N1325" i="3"/>
  <c r="M1325" i="3"/>
  <c r="G1325" i="4" s="1"/>
  <c r="L1325" i="3"/>
  <c r="C1325" i="4" s="1"/>
  <c r="P1324" i="3"/>
  <c r="F1324" i="4" s="1"/>
  <c r="O1324" i="3"/>
  <c r="H1324" i="4" s="1"/>
  <c r="N1324" i="3"/>
  <c r="M1324" i="3"/>
  <c r="G1324" i="4" s="1"/>
  <c r="L1324" i="3"/>
  <c r="C1324" i="4" s="1"/>
  <c r="P1323" i="3"/>
  <c r="F1323" i="4" s="1"/>
  <c r="O1323" i="3"/>
  <c r="H1323" i="4" s="1"/>
  <c r="N1323" i="3"/>
  <c r="M1323" i="3"/>
  <c r="G1323" i="4" s="1"/>
  <c r="L1323" i="3"/>
  <c r="C1323" i="4" s="1"/>
  <c r="P1322" i="3"/>
  <c r="F1322" i="4" s="1"/>
  <c r="O1322" i="3"/>
  <c r="H1322" i="4" s="1"/>
  <c r="N1322" i="3"/>
  <c r="M1322" i="3"/>
  <c r="G1322" i="4" s="1"/>
  <c r="L1322" i="3"/>
  <c r="C1322" i="4" s="1"/>
  <c r="Q1321" i="3"/>
  <c r="E1321" i="4" s="1"/>
  <c r="P1321" i="3"/>
  <c r="F1321" i="4" s="1"/>
  <c r="O1321" i="3"/>
  <c r="H1321" i="4" s="1"/>
  <c r="N1321" i="3"/>
  <c r="M1321" i="3"/>
  <c r="G1321" i="4" s="1"/>
  <c r="L1321" i="3"/>
  <c r="C1321" i="4" s="1"/>
  <c r="Q1320" i="3"/>
  <c r="E1320" i="4" s="1"/>
  <c r="P1320" i="3"/>
  <c r="F1320" i="4" s="1"/>
  <c r="O1320" i="3"/>
  <c r="H1320" i="4" s="1"/>
  <c r="N1320" i="3"/>
  <c r="M1320" i="3"/>
  <c r="G1320" i="4" s="1"/>
  <c r="L1320" i="3"/>
  <c r="C1320" i="4" s="1"/>
  <c r="R1319" i="3"/>
  <c r="D1319" i="4" s="1"/>
  <c r="Q1319" i="3"/>
  <c r="E1319" i="4" s="1"/>
  <c r="P1319" i="3"/>
  <c r="F1319" i="4" s="1"/>
  <c r="O1319" i="3"/>
  <c r="H1319" i="4" s="1"/>
  <c r="N1319" i="3"/>
  <c r="M1319" i="3"/>
  <c r="G1319" i="4" s="1"/>
  <c r="L1319" i="3"/>
  <c r="C1319" i="4" s="1"/>
  <c r="P1318" i="3"/>
  <c r="F1318" i="4" s="1"/>
  <c r="O1318" i="3"/>
  <c r="H1318" i="4" s="1"/>
  <c r="N1318" i="3"/>
  <c r="M1318" i="3"/>
  <c r="G1318" i="4" s="1"/>
  <c r="L1318" i="3"/>
  <c r="C1318" i="4" s="1"/>
  <c r="P1317" i="3"/>
  <c r="F1317" i="4" s="1"/>
  <c r="O1317" i="3"/>
  <c r="H1317" i="4" s="1"/>
  <c r="N1317" i="3"/>
  <c r="M1317" i="3"/>
  <c r="G1317" i="4" s="1"/>
  <c r="L1317" i="3"/>
  <c r="C1317" i="4" s="1"/>
  <c r="Q1316" i="3"/>
  <c r="E1316" i="4" s="1"/>
  <c r="P1316" i="3"/>
  <c r="F1316" i="4" s="1"/>
  <c r="O1316" i="3"/>
  <c r="H1316" i="4" s="1"/>
  <c r="N1316" i="3"/>
  <c r="M1316" i="3"/>
  <c r="G1316" i="4" s="1"/>
  <c r="L1316" i="3"/>
  <c r="C1316" i="4" s="1"/>
  <c r="Q1315" i="3"/>
  <c r="E1315" i="4" s="1"/>
  <c r="P1315" i="3"/>
  <c r="F1315" i="4" s="1"/>
  <c r="O1315" i="3"/>
  <c r="H1315" i="4" s="1"/>
  <c r="N1315" i="3"/>
  <c r="M1315" i="3"/>
  <c r="G1315" i="4" s="1"/>
  <c r="L1315" i="3"/>
  <c r="C1315" i="4" s="1"/>
  <c r="P1314" i="3"/>
  <c r="F1314" i="4" s="1"/>
  <c r="O1314" i="3"/>
  <c r="H1314" i="4" s="1"/>
  <c r="N1314" i="3"/>
  <c r="M1314" i="3"/>
  <c r="G1314" i="4" s="1"/>
  <c r="L1314" i="3"/>
  <c r="C1314" i="4" s="1"/>
  <c r="P1313" i="3"/>
  <c r="F1313" i="4" s="1"/>
  <c r="O1313" i="3"/>
  <c r="H1313" i="4" s="1"/>
  <c r="N1313" i="3"/>
  <c r="M1313" i="3"/>
  <c r="G1313" i="4" s="1"/>
  <c r="L1313" i="3"/>
  <c r="C1313" i="4" s="1"/>
  <c r="P1312" i="3"/>
  <c r="F1312" i="4" s="1"/>
  <c r="O1312" i="3"/>
  <c r="H1312" i="4" s="1"/>
  <c r="N1312" i="3"/>
  <c r="M1312" i="3"/>
  <c r="G1312" i="4" s="1"/>
  <c r="L1312" i="3"/>
  <c r="C1312" i="4" s="1"/>
  <c r="Q1311" i="3"/>
  <c r="E1311" i="4" s="1"/>
  <c r="P1311" i="3"/>
  <c r="F1311" i="4" s="1"/>
  <c r="O1311" i="3"/>
  <c r="H1311" i="4" s="1"/>
  <c r="N1311" i="3"/>
  <c r="M1311" i="3"/>
  <c r="G1311" i="4" s="1"/>
  <c r="L1311" i="3"/>
  <c r="C1311" i="4" s="1"/>
  <c r="Q1310" i="3"/>
  <c r="E1310" i="4" s="1"/>
  <c r="P1310" i="3"/>
  <c r="F1310" i="4" s="1"/>
  <c r="O1310" i="3"/>
  <c r="H1310" i="4" s="1"/>
  <c r="N1310" i="3"/>
  <c r="M1310" i="3"/>
  <c r="G1310" i="4" s="1"/>
  <c r="L1310" i="3"/>
  <c r="C1310" i="4" s="1"/>
  <c r="Q1309" i="3"/>
  <c r="E1309" i="4" s="1"/>
  <c r="P1309" i="3"/>
  <c r="F1309" i="4" s="1"/>
  <c r="O1309" i="3"/>
  <c r="H1309" i="4" s="1"/>
  <c r="N1309" i="3"/>
  <c r="M1309" i="3"/>
  <c r="G1309" i="4" s="1"/>
  <c r="L1309" i="3"/>
  <c r="C1309" i="4" s="1"/>
  <c r="P1308" i="3"/>
  <c r="F1308" i="4" s="1"/>
  <c r="O1308" i="3"/>
  <c r="H1308" i="4" s="1"/>
  <c r="N1308" i="3"/>
  <c r="M1308" i="3"/>
  <c r="G1308" i="4" s="1"/>
  <c r="L1308" i="3"/>
  <c r="C1308" i="4" s="1"/>
  <c r="P1307" i="3"/>
  <c r="F1307" i="4" s="1"/>
  <c r="O1307" i="3"/>
  <c r="H1307" i="4" s="1"/>
  <c r="N1307" i="3"/>
  <c r="M1307" i="3"/>
  <c r="G1307" i="4" s="1"/>
  <c r="L1307" i="3"/>
  <c r="C1307" i="4" s="1"/>
  <c r="P1306" i="3"/>
  <c r="F1306" i="4" s="1"/>
  <c r="O1306" i="3"/>
  <c r="H1306" i="4" s="1"/>
  <c r="N1306" i="3"/>
  <c r="M1306" i="3"/>
  <c r="G1306" i="4" s="1"/>
  <c r="L1306" i="3"/>
  <c r="C1306" i="4" s="1"/>
  <c r="Q1305" i="3"/>
  <c r="E1305" i="4" s="1"/>
  <c r="P1305" i="3"/>
  <c r="F1305" i="4" s="1"/>
  <c r="O1305" i="3"/>
  <c r="H1305" i="4" s="1"/>
  <c r="N1305" i="3"/>
  <c r="M1305" i="3"/>
  <c r="G1305" i="4" s="1"/>
  <c r="L1305" i="3"/>
  <c r="C1305" i="4" s="1"/>
  <c r="R1304" i="3"/>
  <c r="D1304" i="4" s="1"/>
  <c r="Q1304" i="3"/>
  <c r="E1304" i="4" s="1"/>
  <c r="P1304" i="3"/>
  <c r="F1304" i="4" s="1"/>
  <c r="O1304" i="3"/>
  <c r="H1304" i="4" s="1"/>
  <c r="N1304" i="3"/>
  <c r="M1304" i="3"/>
  <c r="G1304" i="4" s="1"/>
  <c r="L1304" i="3"/>
  <c r="C1304" i="4" s="1"/>
  <c r="R1303" i="3"/>
  <c r="D1303" i="4" s="1"/>
  <c r="Q1303" i="3"/>
  <c r="E1303" i="4" s="1"/>
  <c r="P1303" i="3"/>
  <c r="F1303" i="4" s="1"/>
  <c r="O1303" i="3"/>
  <c r="H1303" i="4" s="1"/>
  <c r="N1303" i="3"/>
  <c r="M1303" i="3"/>
  <c r="G1303" i="4" s="1"/>
  <c r="L1303" i="3"/>
  <c r="C1303" i="4" s="1"/>
  <c r="P1302" i="3"/>
  <c r="F1302" i="4" s="1"/>
  <c r="O1302" i="3"/>
  <c r="H1302" i="4" s="1"/>
  <c r="N1302" i="3"/>
  <c r="M1302" i="3"/>
  <c r="G1302" i="4" s="1"/>
  <c r="L1302" i="3"/>
  <c r="C1302" i="4" s="1"/>
  <c r="P1301" i="3"/>
  <c r="F1301" i="4" s="1"/>
  <c r="O1301" i="3"/>
  <c r="H1301" i="4" s="1"/>
  <c r="N1301" i="3"/>
  <c r="M1301" i="3"/>
  <c r="G1301" i="4" s="1"/>
  <c r="L1301" i="3"/>
  <c r="C1301" i="4" s="1"/>
  <c r="Q1300" i="3"/>
  <c r="E1300" i="4" s="1"/>
  <c r="P1300" i="3"/>
  <c r="F1300" i="4" s="1"/>
  <c r="O1300" i="3"/>
  <c r="H1300" i="4" s="1"/>
  <c r="N1300" i="3"/>
  <c r="M1300" i="3"/>
  <c r="G1300" i="4" s="1"/>
  <c r="L1300" i="3"/>
  <c r="C1300" i="4" s="1"/>
  <c r="Q1299" i="3"/>
  <c r="E1299" i="4" s="1"/>
  <c r="P1299" i="3"/>
  <c r="F1299" i="4" s="1"/>
  <c r="O1299" i="3"/>
  <c r="H1299" i="4" s="1"/>
  <c r="N1299" i="3"/>
  <c r="M1299" i="3"/>
  <c r="G1299" i="4" s="1"/>
  <c r="L1299" i="3"/>
  <c r="C1299" i="4" s="1"/>
  <c r="P1298" i="3"/>
  <c r="F1298" i="4" s="1"/>
  <c r="O1298" i="3"/>
  <c r="H1298" i="4" s="1"/>
  <c r="N1298" i="3"/>
  <c r="M1298" i="3"/>
  <c r="G1298" i="4" s="1"/>
  <c r="L1298" i="3"/>
  <c r="C1298" i="4" s="1"/>
  <c r="P1297" i="3"/>
  <c r="F1297" i="4" s="1"/>
  <c r="O1297" i="3"/>
  <c r="H1297" i="4" s="1"/>
  <c r="N1297" i="3"/>
  <c r="M1297" i="3"/>
  <c r="G1297" i="4" s="1"/>
  <c r="L1297" i="3"/>
  <c r="C1297" i="4" s="1"/>
  <c r="P1296" i="3"/>
  <c r="F1296" i="4" s="1"/>
  <c r="O1296" i="3"/>
  <c r="H1296" i="4" s="1"/>
  <c r="N1296" i="3"/>
  <c r="M1296" i="3"/>
  <c r="G1296" i="4" s="1"/>
  <c r="L1296" i="3"/>
  <c r="C1296" i="4" s="1"/>
  <c r="Q1295" i="3"/>
  <c r="E1295" i="4" s="1"/>
  <c r="P1295" i="3"/>
  <c r="F1295" i="4" s="1"/>
  <c r="O1295" i="3"/>
  <c r="H1295" i="4" s="1"/>
  <c r="N1295" i="3"/>
  <c r="M1295" i="3"/>
  <c r="G1295" i="4" s="1"/>
  <c r="L1295" i="3"/>
  <c r="C1295" i="4" s="1"/>
  <c r="Q1294" i="3"/>
  <c r="E1294" i="4" s="1"/>
  <c r="P1294" i="3"/>
  <c r="F1294" i="4" s="1"/>
  <c r="O1294" i="3"/>
  <c r="H1294" i="4" s="1"/>
  <c r="N1294" i="3"/>
  <c r="M1294" i="3"/>
  <c r="G1294" i="4" s="1"/>
  <c r="L1294" i="3"/>
  <c r="C1294" i="4" s="1"/>
  <c r="Q1293" i="3"/>
  <c r="E1293" i="4" s="1"/>
  <c r="P1293" i="3"/>
  <c r="F1293" i="4" s="1"/>
  <c r="O1293" i="3"/>
  <c r="H1293" i="4" s="1"/>
  <c r="N1293" i="3"/>
  <c r="M1293" i="3"/>
  <c r="G1293" i="4" s="1"/>
  <c r="L1293" i="3"/>
  <c r="C1293" i="4" s="1"/>
  <c r="P1292" i="3"/>
  <c r="F1292" i="4" s="1"/>
  <c r="O1292" i="3"/>
  <c r="H1292" i="4" s="1"/>
  <c r="N1292" i="3"/>
  <c r="M1292" i="3"/>
  <c r="G1292" i="4" s="1"/>
  <c r="L1292" i="3"/>
  <c r="C1292" i="4" s="1"/>
  <c r="P1291" i="3"/>
  <c r="F1291" i="4" s="1"/>
  <c r="O1291" i="3"/>
  <c r="H1291" i="4" s="1"/>
  <c r="N1291" i="3"/>
  <c r="M1291" i="3"/>
  <c r="G1291" i="4" s="1"/>
  <c r="L1291" i="3"/>
  <c r="C1291" i="4" s="1"/>
  <c r="P1290" i="3"/>
  <c r="F1290" i="4" s="1"/>
  <c r="O1290" i="3"/>
  <c r="H1290" i="4" s="1"/>
  <c r="N1290" i="3"/>
  <c r="M1290" i="3"/>
  <c r="G1290" i="4" s="1"/>
  <c r="L1290" i="3"/>
  <c r="C1290" i="4" s="1"/>
  <c r="Q1289" i="3"/>
  <c r="E1289" i="4" s="1"/>
  <c r="P1289" i="3"/>
  <c r="F1289" i="4" s="1"/>
  <c r="O1289" i="3"/>
  <c r="H1289" i="4" s="1"/>
  <c r="N1289" i="3"/>
  <c r="M1289" i="3"/>
  <c r="G1289" i="4" s="1"/>
  <c r="L1289" i="3"/>
  <c r="C1289" i="4" s="1"/>
  <c r="Q1288" i="3"/>
  <c r="E1288" i="4" s="1"/>
  <c r="P1288" i="3"/>
  <c r="F1288" i="4" s="1"/>
  <c r="O1288" i="3"/>
  <c r="H1288" i="4" s="1"/>
  <c r="N1288" i="3"/>
  <c r="M1288" i="3"/>
  <c r="G1288" i="4" s="1"/>
  <c r="L1288" i="3"/>
  <c r="C1288" i="4" s="1"/>
  <c r="R1287" i="3"/>
  <c r="D1287" i="4" s="1"/>
  <c r="Q1287" i="3"/>
  <c r="E1287" i="4" s="1"/>
  <c r="P1287" i="3"/>
  <c r="F1287" i="4" s="1"/>
  <c r="O1287" i="3"/>
  <c r="H1287" i="4" s="1"/>
  <c r="N1287" i="3"/>
  <c r="M1287" i="3"/>
  <c r="G1287" i="4" s="1"/>
  <c r="L1287" i="3"/>
  <c r="C1287" i="4" s="1"/>
  <c r="P1286" i="3"/>
  <c r="F1286" i="4" s="1"/>
  <c r="O1286" i="3"/>
  <c r="H1286" i="4" s="1"/>
  <c r="N1286" i="3"/>
  <c r="M1286" i="3"/>
  <c r="G1286" i="4" s="1"/>
  <c r="L1286" i="3"/>
  <c r="C1286" i="4" s="1"/>
  <c r="P1285" i="3"/>
  <c r="F1285" i="4" s="1"/>
  <c r="O1285" i="3"/>
  <c r="H1285" i="4" s="1"/>
  <c r="N1285" i="3"/>
  <c r="M1285" i="3"/>
  <c r="G1285" i="4" s="1"/>
  <c r="L1285" i="3"/>
  <c r="C1285" i="4" s="1"/>
  <c r="Q1284" i="3"/>
  <c r="E1284" i="4" s="1"/>
  <c r="P1284" i="3"/>
  <c r="F1284" i="4" s="1"/>
  <c r="O1284" i="3"/>
  <c r="H1284" i="4" s="1"/>
  <c r="N1284" i="3"/>
  <c r="M1284" i="3"/>
  <c r="G1284" i="4" s="1"/>
  <c r="L1284" i="3"/>
  <c r="C1284" i="4" s="1"/>
  <c r="Q1283" i="3"/>
  <c r="E1283" i="4" s="1"/>
  <c r="P1283" i="3"/>
  <c r="F1283" i="4" s="1"/>
  <c r="O1283" i="3"/>
  <c r="H1283" i="4" s="1"/>
  <c r="N1283" i="3"/>
  <c r="M1283" i="3"/>
  <c r="G1283" i="4" s="1"/>
  <c r="L1283" i="3"/>
  <c r="C1283" i="4" s="1"/>
  <c r="P1282" i="3"/>
  <c r="F1282" i="4" s="1"/>
  <c r="O1282" i="3"/>
  <c r="H1282" i="4" s="1"/>
  <c r="N1282" i="3"/>
  <c r="M1282" i="3"/>
  <c r="G1282" i="4" s="1"/>
  <c r="L1282" i="3"/>
  <c r="C1282" i="4" s="1"/>
  <c r="P1281" i="3"/>
  <c r="F1281" i="4" s="1"/>
  <c r="O1281" i="3"/>
  <c r="H1281" i="4" s="1"/>
  <c r="N1281" i="3"/>
  <c r="M1281" i="3"/>
  <c r="G1281" i="4" s="1"/>
  <c r="L1281" i="3"/>
  <c r="C1281" i="4" s="1"/>
  <c r="P1280" i="3"/>
  <c r="F1280" i="4" s="1"/>
  <c r="O1280" i="3"/>
  <c r="H1280" i="4" s="1"/>
  <c r="N1280" i="3"/>
  <c r="M1280" i="3"/>
  <c r="G1280" i="4" s="1"/>
  <c r="L1280" i="3"/>
  <c r="C1280" i="4" s="1"/>
  <c r="Q1279" i="3"/>
  <c r="E1279" i="4" s="1"/>
  <c r="P1279" i="3"/>
  <c r="F1279" i="4" s="1"/>
  <c r="O1279" i="3"/>
  <c r="H1279" i="4" s="1"/>
  <c r="N1279" i="3"/>
  <c r="M1279" i="3"/>
  <c r="G1279" i="4" s="1"/>
  <c r="L1279" i="3"/>
  <c r="C1279" i="4" s="1"/>
  <c r="Q1278" i="3"/>
  <c r="E1278" i="4" s="1"/>
  <c r="P1278" i="3"/>
  <c r="F1278" i="4" s="1"/>
  <c r="O1278" i="3"/>
  <c r="H1278" i="4" s="1"/>
  <c r="N1278" i="3"/>
  <c r="M1278" i="3"/>
  <c r="G1278" i="4" s="1"/>
  <c r="L1278" i="3"/>
  <c r="C1278" i="4" s="1"/>
  <c r="Q1277" i="3"/>
  <c r="E1277" i="4" s="1"/>
  <c r="P1277" i="3"/>
  <c r="F1277" i="4" s="1"/>
  <c r="O1277" i="3"/>
  <c r="H1277" i="4" s="1"/>
  <c r="N1277" i="3"/>
  <c r="M1277" i="3"/>
  <c r="G1277" i="4" s="1"/>
  <c r="L1277" i="3"/>
  <c r="C1277" i="4" s="1"/>
  <c r="P1276" i="3"/>
  <c r="F1276" i="4" s="1"/>
  <c r="O1276" i="3"/>
  <c r="H1276" i="4" s="1"/>
  <c r="N1276" i="3"/>
  <c r="M1276" i="3"/>
  <c r="G1276" i="4" s="1"/>
  <c r="L1276" i="3"/>
  <c r="C1276" i="4" s="1"/>
  <c r="P1275" i="3"/>
  <c r="F1275" i="4" s="1"/>
  <c r="O1275" i="3"/>
  <c r="H1275" i="4" s="1"/>
  <c r="N1275" i="3"/>
  <c r="M1275" i="3"/>
  <c r="G1275" i="4" s="1"/>
  <c r="L1275" i="3"/>
  <c r="C1275" i="4" s="1"/>
  <c r="P1274" i="3"/>
  <c r="F1274" i="4" s="1"/>
  <c r="O1274" i="3"/>
  <c r="H1274" i="4" s="1"/>
  <c r="N1274" i="3"/>
  <c r="M1274" i="3"/>
  <c r="G1274" i="4" s="1"/>
  <c r="L1274" i="3"/>
  <c r="C1274" i="4" s="1"/>
  <c r="Q1273" i="3"/>
  <c r="E1273" i="4" s="1"/>
  <c r="P1273" i="3"/>
  <c r="F1273" i="4" s="1"/>
  <c r="O1273" i="3"/>
  <c r="H1273" i="4" s="1"/>
  <c r="N1273" i="3"/>
  <c r="M1273" i="3"/>
  <c r="G1273" i="4" s="1"/>
  <c r="L1273" i="3"/>
  <c r="C1273" i="4" s="1"/>
  <c r="Q1272" i="3"/>
  <c r="E1272" i="4" s="1"/>
  <c r="P1272" i="3"/>
  <c r="F1272" i="4" s="1"/>
  <c r="O1272" i="3"/>
  <c r="H1272" i="4" s="1"/>
  <c r="N1272" i="3"/>
  <c r="M1272" i="3"/>
  <c r="G1272" i="4" s="1"/>
  <c r="L1272" i="3"/>
  <c r="C1272" i="4" s="1"/>
  <c r="R1271" i="3"/>
  <c r="D1271" i="4" s="1"/>
  <c r="Q1271" i="3"/>
  <c r="E1271" i="4" s="1"/>
  <c r="P1271" i="3"/>
  <c r="F1271" i="4" s="1"/>
  <c r="O1271" i="3"/>
  <c r="H1271" i="4" s="1"/>
  <c r="N1271" i="3"/>
  <c r="M1271" i="3"/>
  <c r="G1271" i="4" s="1"/>
  <c r="L1271" i="3"/>
  <c r="C1271" i="4" s="1"/>
  <c r="P1270" i="3"/>
  <c r="F1270" i="4" s="1"/>
  <c r="O1270" i="3"/>
  <c r="H1270" i="4" s="1"/>
  <c r="N1270" i="3"/>
  <c r="M1270" i="3"/>
  <c r="G1270" i="4" s="1"/>
  <c r="L1270" i="3"/>
  <c r="C1270" i="4" s="1"/>
  <c r="P1269" i="3"/>
  <c r="F1269" i="4" s="1"/>
  <c r="O1269" i="3"/>
  <c r="H1269" i="4" s="1"/>
  <c r="N1269" i="3"/>
  <c r="M1269" i="3"/>
  <c r="G1269" i="4" s="1"/>
  <c r="L1269" i="3"/>
  <c r="C1269" i="4" s="1"/>
  <c r="Q1268" i="3"/>
  <c r="E1268" i="4" s="1"/>
  <c r="P1268" i="3"/>
  <c r="F1268" i="4" s="1"/>
  <c r="O1268" i="3"/>
  <c r="H1268" i="4" s="1"/>
  <c r="N1268" i="3"/>
  <c r="M1268" i="3"/>
  <c r="G1268" i="4" s="1"/>
  <c r="L1268" i="3"/>
  <c r="C1268" i="4" s="1"/>
  <c r="Q1267" i="3"/>
  <c r="E1267" i="4" s="1"/>
  <c r="P1267" i="3"/>
  <c r="F1267" i="4" s="1"/>
  <c r="O1267" i="3"/>
  <c r="H1267" i="4" s="1"/>
  <c r="N1267" i="3"/>
  <c r="M1267" i="3"/>
  <c r="G1267" i="4" s="1"/>
  <c r="L1267" i="3"/>
  <c r="C1267" i="4" s="1"/>
  <c r="P1266" i="3"/>
  <c r="F1266" i="4" s="1"/>
  <c r="O1266" i="3"/>
  <c r="H1266" i="4" s="1"/>
  <c r="N1266" i="3"/>
  <c r="M1266" i="3"/>
  <c r="G1266" i="4" s="1"/>
  <c r="L1266" i="3"/>
  <c r="C1266" i="4" s="1"/>
  <c r="P1265" i="3"/>
  <c r="F1265" i="4" s="1"/>
  <c r="O1265" i="3"/>
  <c r="H1265" i="4" s="1"/>
  <c r="N1265" i="3"/>
  <c r="M1265" i="3"/>
  <c r="G1265" i="4" s="1"/>
  <c r="L1265" i="3"/>
  <c r="C1265" i="4" s="1"/>
  <c r="P1264" i="3"/>
  <c r="F1264" i="4" s="1"/>
  <c r="O1264" i="3"/>
  <c r="H1264" i="4" s="1"/>
  <c r="N1264" i="3"/>
  <c r="M1264" i="3"/>
  <c r="G1264" i="4" s="1"/>
  <c r="L1264" i="3"/>
  <c r="C1264" i="4" s="1"/>
  <c r="Q1263" i="3"/>
  <c r="E1263" i="4" s="1"/>
  <c r="P1263" i="3"/>
  <c r="F1263" i="4" s="1"/>
  <c r="O1263" i="3"/>
  <c r="H1263" i="4" s="1"/>
  <c r="N1263" i="3"/>
  <c r="M1263" i="3"/>
  <c r="G1263" i="4" s="1"/>
  <c r="L1263" i="3"/>
  <c r="C1263" i="4" s="1"/>
  <c r="Q1262" i="3"/>
  <c r="E1262" i="4" s="1"/>
  <c r="P1262" i="3"/>
  <c r="F1262" i="4" s="1"/>
  <c r="O1262" i="3"/>
  <c r="H1262" i="4" s="1"/>
  <c r="N1262" i="3"/>
  <c r="M1262" i="3"/>
  <c r="G1262" i="4" s="1"/>
  <c r="L1262" i="3"/>
  <c r="C1262" i="4" s="1"/>
  <c r="Q1261" i="3"/>
  <c r="E1261" i="4" s="1"/>
  <c r="P1261" i="3"/>
  <c r="F1261" i="4" s="1"/>
  <c r="O1261" i="3"/>
  <c r="H1261" i="4" s="1"/>
  <c r="N1261" i="3"/>
  <c r="M1261" i="3"/>
  <c r="G1261" i="4" s="1"/>
  <c r="L1261" i="3"/>
  <c r="C1261" i="4" s="1"/>
  <c r="P1260" i="3"/>
  <c r="F1260" i="4" s="1"/>
  <c r="O1260" i="3"/>
  <c r="H1260" i="4" s="1"/>
  <c r="N1260" i="3"/>
  <c r="M1260" i="3"/>
  <c r="G1260" i="4" s="1"/>
  <c r="L1260" i="3"/>
  <c r="C1260" i="4" s="1"/>
  <c r="P1259" i="3"/>
  <c r="F1259" i="4" s="1"/>
  <c r="O1259" i="3"/>
  <c r="H1259" i="4" s="1"/>
  <c r="N1259" i="3"/>
  <c r="M1259" i="3"/>
  <c r="G1259" i="4" s="1"/>
  <c r="L1259" i="3"/>
  <c r="P1258" i="3"/>
  <c r="F1258" i="4" s="1"/>
  <c r="O1258" i="3"/>
  <c r="H1258" i="4" s="1"/>
  <c r="N1258" i="3"/>
  <c r="M1258" i="3"/>
  <c r="G1258" i="4" s="1"/>
  <c r="L1258" i="3"/>
  <c r="C1258" i="4" s="1"/>
  <c r="Q1257" i="3"/>
  <c r="E1257" i="4" s="1"/>
  <c r="P1257" i="3"/>
  <c r="F1257" i="4" s="1"/>
  <c r="O1257" i="3"/>
  <c r="H1257" i="4" s="1"/>
  <c r="N1257" i="3"/>
  <c r="M1257" i="3"/>
  <c r="G1257" i="4" s="1"/>
  <c r="L1257" i="3"/>
  <c r="C1257" i="4" s="1"/>
  <c r="Q1256" i="3"/>
  <c r="P1256" i="3"/>
  <c r="F1256" i="4" s="1"/>
  <c r="O1256" i="3"/>
  <c r="H1256" i="4" s="1"/>
  <c r="N1256" i="3"/>
  <c r="M1256" i="3"/>
  <c r="G1256" i="4" s="1"/>
  <c r="L1256" i="3"/>
  <c r="C1256" i="4" s="1"/>
  <c r="R1255" i="3"/>
  <c r="D1255" i="4" s="1"/>
  <c r="Q1255" i="3"/>
  <c r="E1255" i="4" s="1"/>
  <c r="P1255" i="3"/>
  <c r="F1255" i="4" s="1"/>
  <c r="O1255" i="3"/>
  <c r="H1255" i="4" s="1"/>
  <c r="N1255" i="3"/>
  <c r="M1255" i="3"/>
  <c r="G1255" i="4" s="1"/>
  <c r="L1255" i="3"/>
  <c r="C1255" i="4" s="1"/>
  <c r="P1254" i="3"/>
  <c r="F1254" i="4" s="1"/>
  <c r="O1254" i="3"/>
  <c r="N1254" i="3"/>
  <c r="M1254" i="3"/>
  <c r="G1254" i="4" s="1"/>
  <c r="L1254" i="3"/>
  <c r="C1254" i="4" s="1"/>
  <c r="P1253" i="3"/>
  <c r="F1253" i="4" s="1"/>
  <c r="O1253" i="3"/>
  <c r="H1253" i="4" s="1"/>
  <c r="N1253" i="3"/>
  <c r="M1253" i="3"/>
  <c r="G1253" i="4" s="1"/>
  <c r="L1253" i="3"/>
  <c r="C1253" i="4" s="1"/>
  <c r="Q1252" i="3"/>
  <c r="E1252" i="4" s="1"/>
  <c r="P1252" i="3"/>
  <c r="F1252" i="4" s="1"/>
  <c r="O1252" i="3"/>
  <c r="H1252" i="4" s="1"/>
  <c r="N1252" i="3"/>
  <c r="M1252" i="3"/>
  <c r="G1252" i="4" s="1"/>
  <c r="L1252" i="3"/>
  <c r="C1252" i="4" s="1"/>
  <c r="Q1251" i="3"/>
  <c r="E1251" i="4" s="1"/>
  <c r="P1251" i="3"/>
  <c r="F1251" i="4" s="1"/>
  <c r="O1251" i="3"/>
  <c r="H1251" i="4" s="1"/>
  <c r="N1251" i="3"/>
  <c r="M1251" i="3"/>
  <c r="G1251" i="4" s="1"/>
  <c r="L1251" i="3"/>
  <c r="C1251" i="4" s="1"/>
  <c r="P1250" i="3"/>
  <c r="F1250" i="4" s="1"/>
  <c r="O1250" i="3"/>
  <c r="H1250" i="4" s="1"/>
  <c r="N1250" i="3"/>
  <c r="M1250" i="3"/>
  <c r="G1250" i="4" s="1"/>
  <c r="L1250" i="3"/>
  <c r="C1250" i="4" s="1"/>
  <c r="P1249" i="3"/>
  <c r="F1249" i="4" s="1"/>
  <c r="O1249" i="3"/>
  <c r="H1249" i="4" s="1"/>
  <c r="N1249" i="3"/>
  <c r="M1249" i="3"/>
  <c r="G1249" i="4" s="1"/>
  <c r="L1249" i="3"/>
  <c r="C1249" i="4" s="1"/>
  <c r="P1248" i="3"/>
  <c r="F1248" i="4" s="1"/>
  <c r="O1248" i="3"/>
  <c r="H1248" i="4" s="1"/>
  <c r="N1248" i="3"/>
  <c r="M1248" i="3"/>
  <c r="G1248" i="4" s="1"/>
  <c r="L1248" i="3"/>
  <c r="C1248" i="4" s="1"/>
  <c r="Q1247" i="3"/>
  <c r="E1247" i="4" s="1"/>
  <c r="P1247" i="3"/>
  <c r="F1247" i="4" s="1"/>
  <c r="O1247" i="3"/>
  <c r="H1247" i="4" s="1"/>
  <c r="N1247" i="3"/>
  <c r="M1247" i="3"/>
  <c r="G1247" i="4" s="1"/>
  <c r="L1247" i="3"/>
  <c r="C1247" i="4" s="1"/>
  <c r="Q1246" i="3"/>
  <c r="E1246" i="4" s="1"/>
  <c r="P1246" i="3"/>
  <c r="F1246" i="4" s="1"/>
  <c r="O1246" i="3"/>
  <c r="H1246" i="4" s="1"/>
  <c r="N1246" i="3"/>
  <c r="M1246" i="3"/>
  <c r="G1246" i="4" s="1"/>
  <c r="L1246" i="3"/>
  <c r="C1246" i="4" s="1"/>
  <c r="Q1245" i="3"/>
  <c r="E1245" i="4" s="1"/>
  <c r="P1245" i="3"/>
  <c r="F1245" i="4" s="1"/>
  <c r="O1245" i="3"/>
  <c r="H1245" i="4" s="1"/>
  <c r="N1245" i="3"/>
  <c r="M1245" i="3"/>
  <c r="G1245" i="4" s="1"/>
  <c r="L1245" i="3"/>
  <c r="C1245" i="4" s="1"/>
  <c r="P1244" i="3"/>
  <c r="F1244" i="4" s="1"/>
  <c r="O1244" i="3"/>
  <c r="H1244" i="4" s="1"/>
  <c r="N1244" i="3"/>
  <c r="M1244" i="3"/>
  <c r="G1244" i="4" s="1"/>
  <c r="L1244" i="3"/>
  <c r="C1244" i="4" s="1"/>
  <c r="P1243" i="3"/>
  <c r="F1243" i="4" s="1"/>
  <c r="O1243" i="3"/>
  <c r="H1243" i="4" s="1"/>
  <c r="N1243" i="3"/>
  <c r="M1243" i="3"/>
  <c r="G1243" i="4" s="1"/>
  <c r="L1243" i="3"/>
  <c r="P1242" i="3"/>
  <c r="F1242" i="4" s="1"/>
  <c r="O1242" i="3"/>
  <c r="H1242" i="4" s="1"/>
  <c r="N1242" i="3"/>
  <c r="M1242" i="3"/>
  <c r="G1242" i="4" s="1"/>
  <c r="L1242" i="3"/>
  <c r="C1242" i="4" s="1"/>
  <c r="Q1241" i="3"/>
  <c r="E1241" i="4" s="1"/>
  <c r="P1241" i="3"/>
  <c r="F1241" i="4" s="1"/>
  <c r="O1241" i="3"/>
  <c r="H1241" i="4" s="1"/>
  <c r="N1241" i="3"/>
  <c r="M1241" i="3"/>
  <c r="G1241" i="4" s="1"/>
  <c r="L1241" i="3"/>
  <c r="C1241" i="4" s="1"/>
  <c r="Q1240" i="3"/>
  <c r="P1240" i="3"/>
  <c r="F1240" i="4" s="1"/>
  <c r="O1240" i="3"/>
  <c r="H1240" i="4" s="1"/>
  <c r="N1240" i="3"/>
  <c r="M1240" i="3"/>
  <c r="G1240" i="4" s="1"/>
  <c r="L1240" i="3"/>
  <c r="C1240" i="4" s="1"/>
  <c r="R1239" i="3"/>
  <c r="D1239" i="4" s="1"/>
  <c r="Q1239" i="3"/>
  <c r="E1239" i="4" s="1"/>
  <c r="P1239" i="3"/>
  <c r="F1239" i="4" s="1"/>
  <c r="O1239" i="3"/>
  <c r="H1239" i="4" s="1"/>
  <c r="N1239" i="3"/>
  <c r="M1239" i="3"/>
  <c r="G1239" i="4" s="1"/>
  <c r="L1239" i="3"/>
  <c r="C1239" i="4" s="1"/>
  <c r="P1238" i="3"/>
  <c r="F1238" i="4" s="1"/>
  <c r="O1238" i="3"/>
  <c r="N1238" i="3"/>
  <c r="M1238" i="3"/>
  <c r="G1238" i="4" s="1"/>
  <c r="L1238" i="3"/>
  <c r="C1238" i="4" s="1"/>
  <c r="P1237" i="3"/>
  <c r="F1237" i="4" s="1"/>
  <c r="O1237" i="3"/>
  <c r="H1237" i="4" s="1"/>
  <c r="N1237" i="3"/>
  <c r="M1237" i="3"/>
  <c r="G1237" i="4" s="1"/>
  <c r="L1237" i="3"/>
  <c r="C1237" i="4" s="1"/>
  <c r="Q1236" i="3"/>
  <c r="E1236" i="4" s="1"/>
  <c r="P1236" i="3"/>
  <c r="F1236" i="4" s="1"/>
  <c r="O1236" i="3"/>
  <c r="H1236" i="4" s="1"/>
  <c r="N1236" i="3"/>
  <c r="M1236" i="3"/>
  <c r="G1236" i="4" s="1"/>
  <c r="L1236" i="3"/>
  <c r="C1236" i="4" s="1"/>
  <c r="Q1235" i="3"/>
  <c r="E1235" i="4" s="1"/>
  <c r="P1235" i="3"/>
  <c r="F1235" i="4" s="1"/>
  <c r="O1235" i="3"/>
  <c r="H1235" i="4" s="1"/>
  <c r="N1235" i="3"/>
  <c r="M1235" i="3"/>
  <c r="G1235" i="4" s="1"/>
  <c r="L1235" i="3"/>
  <c r="C1235" i="4" s="1"/>
  <c r="P1234" i="3"/>
  <c r="F1234" i="4" s="1"/>
  <c r="O1234" i="3"/>
  <c r="H1234" i="4" s="1"/>
  <c r="N1234" i="3"/>
  <c r="M1234" i="3"/>
  <c r="G1234" i="4" s="1"/>
  <c r="L1234" i="3"/>
  <c r="C1234" i="4" s="1"/>
  <c r="P1233" i="3"/>
  <c r="F1233" i="4" s="1"/>
  <c r="O1233" i="3"/>
  <c r="H1233" i="4" s="1"/>
  <c r="N1233" i="3"/>
  <c r="M1233" i="3"/>
  <c r="G1233" i="4" s="1"/>
  <c r="L1233" i="3"/>
  <c r="C1233" i="4" s="1"/>
  <c r="P1232" i="3"/>
  <c r="F1232" i="4" s="1"/>
  <c r="O1232" i="3"/>
  <c r="H1232" i="4" s="1"/>
  <c r="N1232" i="3"/>
  <c r="M1232" i="3"/>
  <c r="G1232" i="4" s="1"/>
  <c r="L1232" i="3"/>
  <c r="C1232" i="4" s="1"/>
  <c r="Q1231" i="3"/>
  <c r="E1231" i="4" s="1"/>
  <c r="P1231" i="3"/>
  <c r="F1231" i="4" s="1"/>
  <c r="O1231" i="3"/>
  <c r="H1231" i="4" s="1"/>
  <c r="N1231" i="3"/>
  <c r="M1231" i="3"/>
  <c r="G1231" i="4" s="1"/>
  <c r="L1231" i="3"/>
  <c r="C1231" i="4" s="1"/>
  <c r="Q1230" i="3"/>
  <c r="E1230" i="4" s="1"/>
  <c r="P1230" i="3"/>
  <c r="F1230" i="4" s="1"/>
  <c r="O1230" i="3"/>
  <c r="H1230" i="4" s="1"/>
  <c r="N1230" i="3"/>
  <c r="M1230" i="3"/>
  <c r="G1230" i="4" s="1"/>
  <c r="L1230" i="3"/>
  <c r="C1230" i="4" s="1"/>
  <c r="Q1229" i="3"/>
  <c r="E1229" i="4" s="1"/>
  <c r="P1229" i="3"/>
  <c r="F1229" i="4" s="1"/>
  <c r="O1229" i="3"/>
  <c r="H1229" i="4" s="1"/>
  <c r="N1229" i="3"/>
  <c r="M1229" i="3"/>
  <c r="G1229" i="4" s="1"/>
  <c r="L1229" i="3"/>
  <c r="C1229" i="4" s="1"/>
  <c r="P1228" i="3"/>
  <c r="F1228" i="4" s="1"/>
  <c r="O1228" i="3"/>
  <c r="H1228" i="4" s="1"/>
  <c r="N1228" i="3"/>
  <c r="M1228" i="3"/>
  <c r="G1228" i="4" s="1"/>
  <c r="L1228" i="3"/>
  <c r="C1228" i="4" s="1"/>
  <c r="P1227" i="3"/>
  <c r="F1227" i="4" s="1"/>
  <c r="O1227" i="3"/>
  <c r="H1227" i="4" s="1"/>
  <c r="N1227" i="3"/>
  <c r="M1227" i="3"/>
  <c r="G1227" i="4" s="1"/>
  <c r="L1227" i="3"/>
  <c r="P1226" i="3"/>
  <c r="F1226" i="4" s="1"/>
  <c r="O1226" i="3"/>
  <c r="H1226" i="4" s="1"/>
  <c r="N1226" i="3"/>
  <c r="M1226" i="3"/>
  <c r="G1226" i="4" s="1"/>
  <c r="L1226" i="3"/>
  <c r="C1226" i="4" s="1"/>
  <c r="Q1225" i="3"/>
  <c r="E1225" i="4" s="1"/>
  <c r="P1225" i="3"/>
  <c r="F1225" i="4" s="1"/>
  <c r="O1225" i="3"/>
  <c r="H1225" i="4" s="1"/>
  <c r="N1225" i="3"/>
  <c r="M1225" i="3"/>
  <c r="G1225" i="4" s="1"/>
  <c r="L1225" i="3"/>
  <c r="C1225" i="4" s="1"/>
  <c r="Q1224" i="3"/>
  <c r="P1224" i="3"/>
  <c r="F1224" i="4" s="1"/>
  <c r="O1224" i="3"/>
  <c r="H1224" i="4" s="1"/>
  <c r="N1224" i="3"/>
  <c r="M1224" i="3"/>
  <c r="G1224" i="4" s="1"/>
  <c r="L1224" i="3"/>
  <c r="C1224" i="4" s="1"/>
  <c r="R1223" i="3"/>
  <c r="D1223" i="4" s="1"/>
  <c r="Q1223" i="3"/>
  <c r="E1223" i="4" s="1"/>
  <c r="P1223" i="3"/>
  <c r="F1223" i="4" s="1"/>
  <c r="O1223" i="3"/>
  <c r="H1223" i="4" s="1"/>
  <c r="N1223" i="3"/>
  <c r="M1223" i="3"/>
  <c r="G1223" i="4" s="1"/>
  <c r="L1223" i="3"/>
  <c r="C1223" i="4" s="1"/>
  <c r="P1222" i="3"/>
  <c r="F1222" i="4" s="1"/>
  <c r="O1222" i="3"/>
  <c r="N1222" i="3"/>
  <c r="M1222" i="3"/>
  <c r="G1222" i="4" s="1"/>
  <c r="L1222" i="3"/>
  <c r="C1222" i="4" s="1"/>
  <c r="P1221" i="3"/>
  <c r="F1221" i="4" s="1"/>
  <c r="O1221" i="3"/>
  <c r="H1221" i="4" s="1"/>
  <c r="N1221" i="3"/>
  <c r="M1221" i="3"/>
  <c r="G1221" i="4" s="1"/>
  <c r="L1221" i="3"/>
  <c r="C1221" i="4" s="1"/>
  <c r="Q1220" i="3"/>
  <c r="E1220" i="4" s="1"/>
  <c r="P1220" i="3"/>
  <c r="F1220" i="4" s="1"/>
  <c r="O1220" i="3"/>
  <c r="H1220" i="4" s="1"/>
  <c r="N1220" i="3"/>
  <c r="M1220" i="3"/>
  <c r="G1220" i="4" s="1"/>
  <c r="L1220" i="3"/>
  <c r="C1220" i="4" s="1"/>
  <c r="Q1219" i="3"/>
  <c r="E1219" i="4" s="1"/>
  <c r="P1219" i="3"/>
  <c r="F1219" i="4" s="1"/>
  <c r="O1219" i="3"/>
  <c r="H1219" i="4" s="1"/>
  <c r="N1219" i="3"/>
  <c r="M1219" i="3"/>
  <c r="G1219" i="4" s="1"/>
  <c r="L1219" i="3"/>
  <c r="C1219" i="4" s="1"/>
  <c r="P1218" i="3"/>
  <c r="F1218" i="4" s="1"/>
  <c r="O1218" i="3"/>
  <c r="H1218" i="4" s="1"/>
  <c r="N1218" i="3"/>
  <c r="M1218" i="3"/>
  <c r="G1218" i="4" s="1"/>
  <c r="L1218" i="3"/>
  <c r="C1218" i="4" s="1"/>
  <c r="P1217" i="3"/>
  <c r="F1217" i="4" s="1"/>
  <c r="O1217" i="3"/>
  <c r="H1217" i="4" s="1"/>
  <c r="N1217" i="3"/>
  <c r="M1217" i="3"/>
  <c r="G1217" i="4" s="1"/>
  <c r="L1217" i="3"/>
  <c r="P1216" i="3"/>
  <c r="F1216" i="4" s="1"/>
  <c r="O1216" i="3"/>
  <c r="H1216" i="4" s="1"/>
  <c r="N1216" i="3"/>
  <c r="M1216" i="3"/>
  <c r="G1216" i="4" s="1"/>
  <c r="L1216" i="3"/>
  <c r="C1216" i="4" s="1"/>
  <c r="Q1215" i="3"/>
  <c r="E1215" i="4" s="1"/>
  <c r="P1215" i="3"/>
  <c r="F1215" i="4" s="1"/>
  <c r="O1215" i="3"/>
  <c r="H1215" i="4" s="1"/>
  <c r="N1215" i="3"/>
  <c r="M1215" i="3"/>
  <c r="G1215" i="4" s="1"/>
  <c r="L1215" i="3"/>
  <c r="C1215" i="4" s="1"/>
  <c r="Q1214" i="3"/>
  <c r="E1214" i="4" s="1"/>
  <c r="P1214" i="3"/>
  <c r="F1214" i="4" s="1"/>
  <c r="O1214" i="3"/>
  <c r="H1214" i="4" s="1"/>
  <c r="N1214" i="3"/>
  <c r="M1214" i="3"/>
  <c r="G1214" i="4" s="1"/>
  <c r="L1214" i="3"/>
  <c r="C1214" i="4" s="1"/>
  <c r="Q1213" i="3"/>
  <c r="E1213" i="4" s="1"/>
  <c r="P1213" i="3"/>
  <c r="F1213" i="4" s="1"/>
  <c r="O1213" i="3"/>
  <c r="H1213" i="4" s="1"/>
  <c r="N1213" i="3"/>
  <c r="M1213" i="3"/>
  <c r="G1213" i="4" s="1"/>
  <c r="L1213" i="3"/>
  <c r="C1213" i="4" s="1"/>
  <c r="P1212" i="3"/>
  <c r="F1212" i="4" s="1"/>
  <c r="O1212" i="3"/>
  <c r="H1212" i="4" s="1"/>
  <c r="N1212" i="3"/>
  <c r="M1212" i="3"/>
  <c r="G1212" i="4" s="1"/>
  <c r="L1212" i="3"/>
  <c r="C1212" i="4" s="1"/>
  <c r="P1211" i="3"/>
  <c r="F1211" i="4" s="1"/>
  <c r="O1211" i="3"/>
  <c r="H1211" i="4" s="1"/>
  <c r="N1211" i="3"/>
  <c r="M1211" i="3"/>
  <c r="G1211" i="4" s="1"/>
  <c r="L1211" i="3"/>
  <c r="P1210" i="3"/>
  <c r="F1210" i="4" s="1"/>
  <c r="O1210" i="3"/>
  <c r="H1210" i="4" s="1"/>
  <c r="N1210" i="3"/>
  <c r="M1210" i="3"/>
  <c r="G1210" i="4" s="1"/>
  <c r="L1210" i="3"/>
  <c r="C1210" i="4" s="1"/>
  <c r="Q1209" i="3"/>
  <c r="E1209" i="4" s="1"/>
  <c r="P1209" i="3"/>
  <c r="F1209" i="4" s="1"/>
  <c r="O1209" i="3"/>
  <c r="H1209" i="4" s="1"/>
  <c r="N1209" i="3"/>
  <c r="M1209" i="3"/>
  <c r="G1209" i="4" s="1"/>
  <c r="L1209" i="3"/>
  <c r="C1209" i="4" s="1"/>
  <c r="Q1208" i="3"/>
  <c r="P1208" i="3"/>
  <c r="F1208" i="4" s="1"/>
  <c r="O1208" i="3"/>
  <c r="H1208" i="4" s="1"/>
  <c r="N1208" i="3"/>
  <c r="M1208" i="3"/>
  <c r="G1208" i="4" s="1"/>
  <c r="L1208" i="3"/>
  <c r="C1208" i="4" s="1"/>
  <c r="R1207" i="3"/>
  <c r="D1207" i="4" s="1"/>
  <c r="Q1207" i="3"/>
  <c r="E1207" i="4" s="1"/>
  <c r="P1207" i="3"/>
  <c r="F1207" i="4" s="1"/>
  <c r="O1207" i="3"/>
  <c r="H1207" i="4" s="1"/>
  <c r="N1207" i="3"/>
  <c r="M1207" i="3"/>
  <c r="G1207" i="4" s="1"/>
  <c r="L1207" i="3"/>
  <c r="C1207" i="4" s="1"/>
  <c r="P1206" i="3"/>
  <c r="F1206" i="4" s="1"/>
  <c r="O1206" i="3"/>
  <c r="H1206" i="4" s="1"/>
  <c r="N1206" i="3"/>
  <c r="M1206" i="3"/>
  <c r="G1206" i="4" s="1"/>
  <c r="L1206" i="3"/>
  <c r="C1206" i="4" s="1"/>
  <c r="P1205" i="3"/>
  <c r="F1205" i="4" s="1"/>
  <c r="O1205" i="3"/>
  <c r="H1205" i="4" s="1"/>
  <c r="N1205" i="3"/>
  <c r="M1205" i="3"/>
  <c r="G1205" i="4" s="1"/>
  <c r="L1205" i="3"/>
  <c r="C1205" i="4" s="1"/>
  <c r="Q1204" i="3"/>
  <c r="E1204" i="4" s="1"/>
  <c r="P1204" i="3"/>
  <c r="O1204" i="3"/>
  <c r="H1204" i="4" s="1"/>
  <c r="N1204" i="3"/>
  <c r="M1204" i="3"/>
  <c r="G1204" i="4" s="1"/>
  <c r="L1204" i="3"/>
  <c r="C1204" i="4" s="1"/>
  <c r="Q1203" i="3"/>
  <c r="E1203" i="4" s="1"/>
  <c r="P1203" i="3"/>
  <c r="F1203" i="4" s="1"/>
  <c r="O1203" i="3"/>
  <c r="H1203" i="4" s="1"/>
  <c r="N1203" i="3"/>
  <c r="M1203" i="3"/>
  <c r="G1203" i="4" s="1"/>
  <c r="L1203" i="3"/>
  <c r="C1203" i="4" s="1"/>
  <c r="P1202" i="3"/>
  <c r="F1202" i="4" s="1"/>
  <c r="O1202" i="3"/>
  <c r="H1202" i="4" s="1"/>
  <c r="N1202" i="3"/>
  <c r="M1202" i="3"/>
  <c r="G1202" i="4" s="1"/>
  <c r="L1202" i="3"/>
  <c r="C1202" i="4" s="1"/>
  <c r="P1201" i="3"/>
  <c r="F1201" i="4" s="1"/>
  <c r="O1201" i="3"/>
  <c r="H1201" i="4" s="1"/>
  <c r="N1201" i="3"/>
  <c r="M1201" i="3"/>
  <c r="G1201" i="4" s="1"/>
  <c r="L1201" i="3"/>
  <c r="P1200" i="3"/>
  <c r="F1200" i="4" s="1"/>
  <c r="O1200" i="3"/>
  <c r="H1200" i="4" s="1"/>
  <c r="N1200" i="3"/>
  <c r="M1200" i="3"/>
  <c r="G1200" i="4" s="1"/>
  <c r="L1200" i="3"/>
  <c r="Q1199" i="3"/>
  <c r="E1199" i="4" s="1"/>
  <c r="P1199" i="3"/>
  <c r="F1199" i="4" s="1"/>
  <c r="O1199" i="3"/>
  <c r="H1199" i="4" s="1"/>
  <c r="N1199" i="3"/>
  <c r="M1199" i="3"/>
  <c r="G1199" i="4" s="1"/>
  <c r="L1199" i="3"/>
  <c r="C1199" i="4" s="1"/>
  <c r="Q1198" i="3"/>
  <c r="E1198" i="4" s="1"/>
  <c r="P1198" i="3"/>
  <c r="F1198" i="4" s="1"/>
  <c r="O1198" i="3"/>
  <c r="H1198" i="4" s="1"/>
  <c r="N1198" i="3"/>
  <c r="M1198" i="3"/>
  <c r="G1198" i="4" s="1"/>
  <c r="L1198" i="3"/>
  <c r="C1198" i="4" s="1"/>
  <c r="Q1197" i="3"/>
  <c r="E1197" i="4" s="1"/>
  <c r="P1197" i="3"/>
  <c r="F1197" i="4" s="1"/>
  <c r="O1197" i="3"/>
  <c r="H1197" i="4" s="1"/>
  <c r="N1197" i="3"/>
  <c r="M1197" i="3"/>
  <c r="G1197" i="4" s="1"/>
  <c r="L1197" i="3"/>
  <c r="C1197" i="4" s="1"/>
  <c r="P1196" i="3"/>
  <c r="F1196" i="4" s="1"/>
  <c r="O1196" i="3"/>
  <c r="N1196" i="3"/>
  <c r="M1196" i="3"/>
  <c r="G1196" i="4" s="1"/>
  <c r="L1196" i="3"/>
  <c r="C1196" i="4" s="1"/>
  <c r="P1195" i="3"/>
  <c r="F1195" i="4" s="1"/>
  <c r="O1195" i="3"/>
  <c r="H1195" i="4" s="1"/>
  <c r="N1195" i="3"/>
  <c r="M1195" i="3"/>
  <c r="G1195" i="4" s="1"/>
  <c r="L1195" i="3"/>
  <c r="P1194" i="3"/>
  <c r="F1194" i="4" s="1"/>
  <c r="O1194" i="3"/>
  <c r="H1194" i="4" s="1"/>
  <c r="N1194" i="3"/>
  <c r="M1194" i="3"/>
  <c r="G1194" i="4" s="1"/>
  <c r="L1194" i="3"/>
  <c r="C1194" i="4" s="1"/>
  <c r="Q1193" i="3"/>
  <c r="E1193" i="4" s="1"/>
  <c r="P1193" i="3"/>
  <c r="F1193" i="4" s="1"/>
  <c r="O1193" i="3"/>
  <c r="H1193" i="4" s="1"/>
  <c r="N1193" i="3"/>
  <c r="M1193" i="3"/>
  <c r="G1193" i="4" s="1"/>
  <c r="L1193" i="3"/>
  <c r="C1193" i="4" s="1"/>
  <c r="Q1192" i="3"/>
  <c r="P1192" i="3"/>
  <c r="F1192" i="4" s="1"/>
  <c r="O1192" i="3"/>
  <c r="H1192" i="4" s="1"/>
  <c r="N1192" i="3"/>
  <c r="M1192" i="3"/>
  <c r="G1192" i="4" s="1"/>
  <c r="L1192" i="3"/>
  <c r="C1192" i="4" s="1"/>
  <c r="R1191" i="3"/>
  <c r="D1191" i="4" s="1"/>
  <c r="Q1191" i="3"/>
  <c r="E1191" i="4" s="1"/>
  <c r="P1191" i="3"/>
  <c r="F1191" i="4" s="1"/>
  <c r="O1191" i="3"/>
  <c r="H1191" i="4" s="1"/>
  <c r="N1191" i="3"/>
  <c r="M1191" i="3"/>
  <c r="G1191" i="4" s="1"/>
  <c r="L1191" i="3"/>
  <c r="C1191" i="4" s="1"/>
  <c r="P1190" i="3"/>
  <c r="F1190" i="4" s="1"/>
  <c r="O1190" i="3"/>
  <c r="H1190" i="4" s="1"/>
  <c r="N1190" i="3"/>
  <c r="M1190" i="3"/>
  <c r="G1190" i="4" s="1"/>
  <c r="L1190" i="3"/>
  <c r="C1190" i="4" s="1"/>
  <c r="P1189" i="3"/>
  <c r="F1189" i="4" s="1"/>
  <c r="O1189" i="3"/>
  <c r="H1189" i="4" s="1"/>
  <c r="N1189" i="3"/>
  <c r="M1189" i="3"/>
  <c r="G1189" i="4" s="1"/>
  <c r="L1189" i="3"/>
  <c r="C1189" i="4" s="1"/>
  <c r="Q1188" i="3"/>
  <c r="E1188" i="4" s="1"/>
  <c r="P1188" i="3"/>
  <c r="O1188" i="3"/>
  <c r="H1188" i="4" s="1"/>
  <c r="N1188" i="3"/>
  <c r="M1188" i="3"/>
  <c r="G1188" i="4" s="1"/>
  <c r="L1188" i="3"/>
  <c r="C1188" i="4" s="1"/>
  <c r="Q1187" i="3"/>
  <c r="E1187" i="4" s="1"/>
  <c r="P1187" i="3"/>
  <c r="F1187" i="4" s="1"/>
  <c r="O1187" i="3"/>
  <c r="H1187" i="4" s="1"/>
  <c r="N1187" i="3"/>
  <c r="M1187" i="3"/>
  <c r="G1187" i="4" s="1"/>
  <c r="L1187" i="3"/>
  <c r="C1187" i="4" s="1"/>
  <c r="P1186" i="3"/>
  <c r="F1186" i="4" s="1"/>
  <c r="O1186" i="3"/>
  <c r="H1186" i="4" s="1"/>
  <c r="N1186" i="3"/>
  <c r="M1186" i="3"/>
  <c r="G1186" i="4" s="1"/>
  <c r="L1186" i="3"/>
  <c r="C1186" i="4" s="1"/>
  <c r="P1185" i="3"/>
  <c r="F1185" i="4" s="1"/>
  <c r="O1185" i="3"/>
  <c r="H1185" i="4" s="1"/>
  <c r="N1185" i="3"/>
  <c r="M1185" i="3"/>
  <c r="G1185" i="4" s="1"/>
  <c r="L1185" i="3"/>
  <c r="P1184" i="3"/>
  <c r="F1184" i="4" s="1"/>
  <c r="O1184" i="3"/>
  <c r="H1184" i="4" s="1"/>
  <c r="N1184" i="3"/>
  <c r="M1184" i="3"/>
  <c r="G1184" i="4" s="1"/>
  <c r="L1184" i="3"/>
  <c r="Q1183" i="3"/>
  <c r="E1183" i="4" s="1"/>
  <c r="P1183" i="3"/>
  <c r="F1183" i="4" s="1"/>
  <c r="O1183" i="3"/>
  <c r="H1183" i="4" s="1"/>
  <c r="N1183" i="3"/>
  <c r="M1183" i="3"/>
  <c r="G1183" i="4" s="1"/>
  <c r="L1183" i="3"/>
  <c r="C1183" i="4" s="1"/>
  <c r="Q1182" i="3"/>
  <c r="E1182" i="4" s="1"/>
  <c r="P1182" i="3"/>
  <c r="F1182" i="4" s="1"/>
  <c r="O1182" i="3"/>
  <c r="H1182" i="4" s="1"/>
  <c r="N1182" i="3"/>
  <c r="M1182" i="3"/>
  <c r="G1182" i="4" s="1"/>
  <c r="L1182" i="3"/>
  <c r="C1182" i="4" s="1"/>
  <c r="Q1181" i="3"/>
  <c r="E1181" i="4" s="1"/>
  <c r="P1181" i="3"/>
  <c r="F1181" i="4" s="1"/>
  <c r="O1181" i="3"/>
  <c r="H1181" i="4" s="1"/>
  <c r="N1181" i="3"/>
  <c r="M1181" i="3"/>
  <c r="G1181" i="4" s="1"/>
  <c r="L1181" i="3"/>
  <c r="C1181" i="4" s="1"/>
  <c r="P1180" i="3"/>
  <c r="F1180" i="4" s="1"/>
  <c r="O1180" i="3"/>
  <c r="N1180" i="3"/>
  <c r="M1180" i="3"/>
  <c r="G1180" i="4" s="1"/>
  <c r="L1180" i="3"/>
  <c r="C1180" i="4" s="1"/>
  <c r="P1179" i="3"/>
  <c r="F1179" i="4" s="1"/>
  <c r="O1179" i="3"/>
  <c r="H1179" i="4" s="1"/>
  <c r="N1179" i="3"/>
  <c r="M1179" i="3"/>
  <c r="G1179" i="4" s="1"/>
  <c r="L1179" i="3"/>
  <c r="P1178" i="3"/>
  <c r="F1178" i="4" s="1"/>
  <c r="O1178" i="3"/>
  <c r="H1178" i="4" s="1"/>
  <c r="N1178" i="3"/>
  <c r="M1178" i="3"/>
  <c r="G1178" i="4" s="1"/>
  <c r="L1178" i="3"/>
  <c r="C1178" i="4" s="1"/>
  <c r="Q1177" i="3"/>
  <c r="E1177" i="4" s="1"/>
  <c r="P1177" i="3"/>
  <c r="F1177" i="4" s="1"/>
  <c r="O1177" i="3"/>
  <c r="H1177" i="4" s="1"/>
  <c r="N1177" i="3"/>
  <c r="M1177" i="3"/>
  <c r="G1177" i="4" s="1"/>
  <c r="L1177" i="3"/>
  <c r="C1177" i="4" s="1"/>
  <c r="R1176" i="3"/>
  <c r="D1176" i="4" s="1"/>
  <c r="Q1176" i="3"/>
  <c r="E1176" i="4" s="1"/>
  <c r="P1176" i="3"/>
  <c r="F1176" i="4" s="1"/>
  <c r="O1176" i="3"/>
  <c r="H1176" i="4" s="1"/>
  <c r="N1176" i="3"/>
  <c r="M1176" i="3"/>
  <c r="G1176" i="4" s="1"/>
  <c r="L1176" i="3"/>
  <c r="C1176" i="4" s="1"/>
  <c r="R1175" i="3"/>
  <c r="D1175" i="4" s="1"/>
  <c r="Q1175" i="3"/>
  <c r="E1175" i="4" s="1"/>
  <c r="P1175" i="3"/>
  <c r="F1175" i="4" s="1"/>
  <c r="O1175" i="3"/>
  <c r="H1175" i="4" s="1"/>
  <c r="N1175" i="3"/>
  <c r="M1175" i="3"/>
  <c r="G1175" i="4" s="1"/>
  <c r="L1175" i="3"/>
  <c r="C1175" i="4" s="1"/>
  <c r="P1174" i="3"/>
  <c r="F1174" i="4" s="1"/>
  <c r="O1174" i="3"/>
  <c r="H1174" i="4" s="1"/>
  <c r="N1174" i="3"/>
  <c r="M1174" i="3"/>
  <c r="G1174" i="4" s="1"/>
  <c r="L1174" i="3"/>
  <c r="P1173" i="3"/>
  <c r="F1173" i="4" s="1"/>
  <c r="O1173" i="3"/>
  <c r="H1173" i="4" s="1"/>
  <c r="N1173" i="3"/>
  <c r="M1173" i="3"/>
  <c r="G1173" i="4" s="1"/>
  <c r="L1173" i="3"/>
  <c r="C1173" i="4" s="1"/>
  <c r="Q1172" i="3"/>
  <c r="E1172" i="4" s="1"/>
  <c r="P1172" i="3"/>
  <c r="O1172" i="3"/>
  <c r="H1172" i="4" s="1"/>
  <c r="N1172" i="3"/>
  <c r="M1172" i="3"/>
  <c r="G1172" i="4" s="1"/>
  <c r="L1172" i="3"/>
  <c r="C1172" i="4" s="1"/>
  <c r="Q1171" i="3"/>
  <c r="E1171" i="4" s="1"/>
  <c r="P1171" i="3"/>
  <c r="F1171" i="4" s="1"/>
  <c r="O1171" i="3"/>
  <c r="H1171" i="4" s="1"/>
  <c r="N1171" i="3"/>
  <c r="M1171" i="3"/>
  <c r="G1171" i="4" s="1"/>
  <c r="L1171" i="3"/>
  <c r="C1171" i="4" s="1"/>
  <c r="P1170" i="3"/>
  <c r="F1170" i="4" s="1"/>
  <c r="O1170" i="3"/>
  <c r="H1170" i="4" s="1"/>
  <c r="N1170" i="3"/>
  <c r="M1170" i="3"/>
  <c r="G1170" i="4" s="1"/>
  <c r="L1170" i="3"/>
  <c r="P1169" i="3"/>
  <c r="F1169" i="4" s="1"/>
  <c r="O1169" i="3"/>
  <c r="H1169" i="4" s="1"/>
  <c r="N1169" i="3"/>
  <c r="M1169" i="3"/>
  <c r="G1169" i="4" s="1"/>
  <c r="L1169" i="3"/>
  <c r="P1168" i="3"/>
  <c r="F1168" i="4" s="1"/>
  <c r="O1168" i="3"/>
  <c r="H1168" i="4" s="1"/>
  <c r="N1168" i="3"/>
  <c r="M1168" i="3"/>
  <c r="G1168" i="4" s="1"/>
  <c r="L1168" i="3"/>
  <c r="Q1167" i="3"/>
  <c r="E1167" i="4" s="1"/>
  <c r="P1167" i="3"/>
  <c r="F1167" i="4" s="1"/>
  <c r="O1167" i="3"/>
  <c r="H1167" i="4" s="1"/>
  <c r="N1167" i="3"/>
  <c r="M1167" i="3"/>
  <c r="G1167" i="4" s="1"/>
  <c r="L1167" i="3"/>
  <c r="C1167" i="4" s="1"/>
  <c r="Q1166" i="3"/>
  <c r="E1166" i="4" s="1"/>
  <c r="P1166" i="3"/>
  <c r="F1166" i="4" s="1"/>
  <c r="O1166" i="3"/>
  <c r="H1166" i="4" s="1"/>
  <c r="N1166" i="3"/>
  <c r="M1166" i="3"/>
  <c r="G1166" i="4" s="1"/>
  <c r="L1166" i="3"/>
  <c r="C1166" i="4" s="1"/>
  <c r="Q1165" i="3"/>
  <c r="E1165" i="4" s="1"/>
  <c r="P1165" i="3"/>
  <c r="F1165" i="4" s="1"/>
  <c r="O1165" i="3"/>
  <c r="N1165" i="3"/>
  <c r="M1165" i="3"/>
  <c r="G1165" i="4" s="1"/>
  <c r="L1165" i="3"/>
  <c r="C1165" i="4" s="1"/>
  <c r="P1164" i="3"/>
  <c r="F1164" i="4" s="1"/>
  <c r="O1164" i="3"/>
  <c r="H1164" i="4" s="1"/>
  <c r="N1164" i="3"/>
  <c r="M1164" i="3"/>
  <c r="G1164" i="4" s="1"/>
  <c r="L1164" i="3"/>
  <c r="C1164" i="4" s="1"/>
  <c r="P1163" i="3"/>
  <c r="F1163" i="4" s="1"/>
  <c r="O1163" i="3"/>
  <c r="H1163" i="4" s="1"/>
  <c r="N1163" i="3"/>
  <c r="M1163" i="3"/>
  <c r="G1163" i="4" s="1"/>
  <c r="L1163" i="3"/>
  <c r="P1162" i="3"/>
  <c r="F1162" i="4" s="1"/>
  <c r="O1162" i="3"/>
  <c r="H1162" i="4" s="1"/>
  <c r="N1162" i="3"/>
  <c r="M1162" i="3"/>
  <c r="G1162" i="4" s="1"/>
  <c r="L1162" i="3"/>
  <c r="C1162" i="4" s="1"/>
  <c r="Q1161" i="3"/>
  <c r="E1161" i="4" s="1"/>
  <c r="P1161" i="3"/>
  <c r="F1161" i="4" s="1"/>
  <c r="O1161" i="3"/>
  <c r="H1161" i="4" s="1"/>
  <c r="N1161" i="3"/>
  <c r="M1161" i="3"/>
  <c r="G1161" i="4" s="1"/>
  <c r="L1161" i="3"/>
  <c r="C1161" i="4" s="1"/>
  <c r="R1160" i="3"/>
  <c r="D1160" i="4" s="1"/>
  <c r="Q1160" i="3"/>
  <c r="E1160" i="4" s="1"/>
  <c r="P1160" i="3"/>
  <c r="F1160" i="4" s="1"/>
  <c r="O1160" i="3"/>
  <c r="H1160" i="4" s="1"/>
  <c r="N1160" i="3"/>
  <c r="M1160" i="3"/>
  <c r="G1160" i="4" s="1"/>
  <c r="L1160" i="3"/>
  <c r="C1160" i="4" s="1"/>
  <c r="R1159" i="3"/>
  <c r="D1159" i="4" s="1"/>
  <c r="Q1159" i="3"/>
  <c r="E1159" i="4" s="1"/>
  <c r="P1159" i="3"/>
  <c r="F1159" i="4" s="1"/>
  <c r="O1159" i="3"/>
  <c r="H1159" i="4" s="1"/>
  <c r="N1159" i="3"/>
  <c r="M1159" i="3"/>
  <c r="G1159" i="4" s="1"/>
  <c r="L1159" i="3"/>
  <c r="C1159" i="4" s="1"/>
  <c r="P1158" i="3"/>
  <c r="F1158" i="4" s="1"/>
  <c r="O1158" i="3"/>
  <c r="H1158" i="4" s="1"/>
  <c r="N1158" i="3"/>
  <c r="M1158" i="3"/>
  <c r="G1158" i="4" s="1"/>
  <c r="L1158" i="3"/>
  <c r="P1157" i="3"/>
  <c r="F1157" i="4" s="1"/>
  <c r="O1157" i="3"/>
  <c r="H1157" i="4" s="1"/>
  <c r="N1157" i="3"/>
  <c r="M1157" i="3"/>
  <c r="G1157" i="4" s="1"/>
  <c r="L1157" i="3"/>
  <c r="C1157" i="4" s="1"/>
  <c r="Q1156" i="3"/>
  <c r="E1156" i="4" s="1"/>
  <c r="P1156" i="3"/>
  <c r="O1156" i="3"/>
  <c r="H1156" i="4" s="1"/>
  <c r="N1156" i="3"/>
  <c r="M1156" i="3"/>
  <c r="G1156" i="4" s="1"/>
  <c r="L1156" i="3"/>
  <c r="C1156" i="4" s="1"/>
  <c r="Q1155" i="3"/>
  <c r="E1155" i="4" s="1"/>
  <c r="P1155" i="3"/>
  <c r="F1155" i="4" s="1"/>
  <c r="O1155" i="3"/>
  <c r="H1155" i="4" s="1"/>
  <c r="N1155" i="3"/>
  <c r="M1155" i="3"/>
  <c r="G1155" i="4" s="1"/>
  <c r="L1155" i="3"/>
  <c r="C1155" i="4" s="1"/>
  <c r="P1154" i="3"/>
  <c r="F1154" i="4" s="1"/>
  <c r="O1154" i="3"/>
  <c r="H1154" i="4" s="1"/>
  <c r="N1154" i="3"/>
  <c r="M1154" i="3"/>
  <c r="G1154" i="4" s="1"/>
  <c r="L1154" i="3"/>
  <c r="P1153" i="3"/>
  <c r="F1153" i="4" s="1"/>
  <c r="O1153" i="3"/>
  <c r="H1153" i="4" s="1"/>
  <c r="N1153" i="3"/>
  <c r="M1153" i="3"/>
  <c r="G1153" i="4" s="1"/>
  <c r="L1153" i="3"/>
  <c r="P1152" i="3"/>
  <c r="F1152" i="4" s="1"/>
  <c r="O1152" i="3"/>
  <c r="H1152" i="4" s="1"/>
  <c r="N1152" i="3"/>
  <c r="M1152" i="3"/>
  <c r="G1152" i="4" s="1"/>
  <c r="L1152" i="3"/>
  <c r="Q1151" i="3"/>
  <c r="E1151" i="4" s="1"/>
  <c r="P1151" i="3"/>
  <c r="F1151" i="4" s="1"/>
  <c r="O1151" i="3"/>
  <c r="H1151" i="4" s="1"/>
  <c r="N1151" i="3"/>
  <c r="M1151" i="3"/>
  <c r="G1151" i="4" s="1"/>
  <c r="L1151" i="3"/>
  <c r="C1151" i="4" s="1"/>
  <c r="Q1150" i="3"/>
  <c r="E1150" i="4" s="1"/>
  <c r="P1150" i="3"/>
  <c r="F1150" i="4" s="1"/>
  <c r="O1150" i="3"/>
  <c r="H1150" i="4" s="1"/>
  <c r="N1150" i="3"/>
  <c r="M1150" i="3"/>
  <c r="G1150" i="4" s="1"/>
  <c r="L1150" i="3"/>
  <c r="C1150" i="4" s="1"/>
  <c r="Q1149" i="3"/>
  <c r="E1149" i="4" s="1"/>
  <c r="P1149" i="3"/>
  <c r="F1149" i="4" s="1"/>
  <c r="O1149" i="3"/>
  <c r="N1149" i="3"/>
  <c r="M1149" i="3"/>
  <c r="G1149" i="4" s="1"/>
  <c r="L1149" i="3"/>
  <c r="C1149" i="4" s="1"/>
  <c r="P1148" i="3"/>
  <c r="F1148" i="4" s="1"/>
  <c r="O1148" i="3"/>
  <c r="H1148" i="4" s="1"/>
  <c r="N1148" i="3"/>
  <c r="M1148" i="3"/>
  <c r="G1148" i="4" s="1"/>
  <c r="L1148" i="3"/>
  <c r="C1148" i="4" s="1"/>
  <c r="P1147" i="3"/>
  <c r="F1147" i="4" s="1"/>
  <c r="O1147" i="3"/>
  <c r="H1147" i="4" s="1"/>
  <c r="N1147" i="3"/>
  <c r="M1147" i="3"/>
  <c r="G1147" i="4" s="1"/>
  <c r="L1147" i="3"/>
  <c r="P1146" i="3"/>
  <c r="F1146" i="4" s="1"/>
  <c r="O1146" i="3"/>
  <c r="H1146" i="4" s="1"/>
  <c r="N1146" i="3"/>
  <c r="M1146" i="3"/>
  <c r="G1146" i="4" s="1"/>
  <c r="L1146" i="3"/>
  <c r="C1146" i="4" s="1"/>
  <c r="Q1145" i="3"/>
  <c r="E1145" i="4" s="1"/>
  <c r="P1145" i="3"/>
  <c r="F1145" i="4" s="1"/>
  <c r="O1145" i="3"/>
  <c r="H1145" i="4" s="1"/>
  <c r="N1145" i="3"/>
  <c r="M1145" i="3"/>
  <c r="G1145" i="4" s="1"/>
  <c r="L1145" i="3"/>
  <c r="C1145" i="4" s="1"/>
  <c r="Q1144" i="3"/>
  <c r="E1144" i="4" s="1"/>
  <c r="P1144" i="3"/>
  <c r="F1144" i="4" s="1"/>
  <c r="O1144" i="3"/>
  <c r="H1144" i="4" s="1"/>
  <c r="N1144" i="3"/>
  <c r="M1144" i="3"/>
  <c r="G1144" i="4" s="1"/>
  <c r="L1144" i="3"/>
  <c r="C1144" i="4" s="1"/>
  <c r="P1143" i="3"/>
  <c r="F1143" i="4" s="1"/>
  <c r="O1143" i="3"/>
  <c r="H1143" i="4" s="1"/>
  <c r="N1143" i="3"/>
  <c r="M1143" i="3"/>
  <c r="G1143" i="4" s="1"/>
  <c r="L1143" i="3"/>
  <c r="C1143" i="4" s="1"/>
  <c r="P1142" i="3"/>
  <c r="F1142" i="4" s="1"/>
  <c r="O1142" i="3"/>
  <c r="H1142" i="4" s="1"/>
  <c r="N1142" i="3"/>
  <c r="M1142" i="3"/>
  <c r="G1142" i="4" s="1"/>
  <c r="L1142" i="3"/>
  <c r="P1141" i="3"/>
  <c r="F1141" i="4" s="1"/>
  <c r="O1141" i="3"/>
  <c r="H1141" i="4" s="1"/>
  <c r="N1141" i="3"/>
  <c r="M1141" i="3"/>
  <c r="G1141" i="4" s="1"/>
  <c r="L1141" i="3"/>
  <c r="C1141" i="4" s="1"/>
  <c r="Q1140" i="3"/>
  <c r="E1140" i="4" s="1"/>
  <c r="P1140" i="3"/>
  <c r="O1140" i="3"/>
  <c r="H1140" i="4" s="1"/>
  <c r="N1140" i="3"/>
  <c r="M1140" i="3"/>
  <c r="G1140" i="4" s="1"/>
  <c r="L1140" i="3"/>
  <c r="C1140" i="4" s="1"/>
  <c r="Q1139" i="3"/>
  <c r="P1139" i="3"/>
  <c r="F1139" i="4" s="1"/>
  <c r="O1139" i="3"/>
  <c r="H1139" i="4" s="1"/>
  <c r="N1139" i="3"/>
  <c r="M1139" i="3"/>
  <c r="G1139" i="4" s="1"/>
  <c r="L1139" i="3"/>
  <c r="C1139" i="4" s="1"/>
  <c r="P1138" i="3"/>
  <c r="F1138" i="4" s="1"/>
  <c r="O1138" i="3"/>
  <c r="H1138" i="4" s="1"/>
  <c r="N1138" i="3"/>
  <c r="M1138" i="3"/>
  <c r="G1138" i="4" s="1"/>
  <c r="L1138" i="3"/>
  <c r="P1137" i="3"/>
  <c r="F1137" i="4" s="1"/>
  <c r="O1137" i="3"/>
  <c r="H1137" i="4" s="1"/>
  <c r="N1137" i="3"/>
  <c r="M1137" i="3"/>
  <c r="G1137" i="4" s="1"/>
  <c r="L1137" i="3"/>
  <c r="P1136" i="3"/>
  <c r="F1136" i="4" s="1"/>
  <c r="O1136" i="3"/>
  <c r="H1136" i="4" s="1"/>
  <c r="N1136" i="3"/>
  <c r="M1136" i="3"/>
  <c r="G1136" i="4" s="1"/>
  <c r="L1136" i="3"/>
  <c r="Q1135" i="3"/>
  <c r="E1135" i="4" s="1"/>
  <c r="P1135" i="3"/>
  <c r="F1135" i="4" s="1"/>
  <c r="O1135" i="3"/>
  <c r="H1135" i="4" s="1"/>
  <c r="N1135" i="3"/>
  <c r="M1135" i="3"/>
  <c r="G1135" i="4" s="1"/>
  <c r="L1135" i="3"/>
  <c r="C1135" i="4" s="1"/>
  <c r="Q1134" i="3"/>
  <c r="E1134" i="4" s="1"/>
  <c r="P1134" i="3"/>
  <c r="F1134" i="4" s="1"/>
  <c r="O1134" i="3"/>
  <c r="H1134" i="4" s="1"/>
  <c r="N1134" i="3"/>
  <c r="M1134" i="3"/>
  <c r="G1134" i="4" s="1"/>
  <c r="L1134" i="3"/>
  <c r="C1134" i="4" s="1"/>
  <c r="R1133" i="3"/>
  <c r="D1133" i="4" s="1"/>
  <c r="Q1133" i="3"/>
  <c r="E1133" i="4" s="1"/>
  <c r="P1133" i="3"/>
  <c r="F1133" i="4" s="1"/>
  <c r="O1133" i="3"/>
  <c r="H1133" i="4" s="1"/>
  <c r="N1133" i="3"/>
  <c r="M1133" i="3"/>
  <c r="G1133" i="4" s="1"/>
  <c r="L1133" i="3"/>
  <c r="C1133" i="4" s="1"/>
  <c r="P1132" i="3"/>
  <c r="F1132" i="4" s="1"/>
  <c r="O1132" i="3"/>
  <c r="H1132" i="4" s="1"/>
  <c r="N1132" i="3"/>
  <c r="M1132" i="3"/>
  <c r="G1132" i="4" s="1"/>
  <c r="L1132" i="3"/>
  <c r="P1131" i="3"/>
  <c r="F1131" i="4" s="1"/>
  <c r="O1131" i="3"/>
  <c r="H1131" i="4" s="1"/>
  <c r="N1131" i="3"/>
  <c r="M1131" i="3"/>
  <c r="G1131" i="4" s="1"/>
  <c r="L1131" i="3"/>
  <c r="P1130" i="3"/>
  <c r="F1130" i="4" s="1"/>
  <c r="O1130" i="3"/>
  <c r="H1130" i="4" s="1"/>
  <c r="N1130" i="3"/>
  <c r="M1130" i="3"/>
  <c r="G1130" i="4" s="1"/>
  <c r="L1130" i="3"/>
  <c r="C1130" i="4" s="1"/>
  <c r="Q1129" i="3"/>
  <c r="E1129" i="4" s="1"/>
  <c r="P1129" i="3"/>
  <c r="F1129" i="4" s="1"/>
  <c r="O1129" i="3"/>
  <c r="H1129" i="4" s="1"/>
  <c r="N1129" i="3"/>
  <c r="M1129" i="3"/>
  <c r="G1129" i="4" s="1"/>
  <c r="L1129" i="3"/>
  <c r="C1129" i="4" s="1"/>
  <c r="R1128" i="3"/>
  <c r="D1128" i="4" s="1"/>
  <c r="Q1128" i="3"/>
  <c r="E1128" i="4" s="1"/>
  <c r="P1128" i="3"/>
  <c r="F1128" i="4" s="1"/>
  <c r="O1128" i="3"/>
  <c r="H1128" i="4" s="1"/>
  <c r="N1128" i="3"/>
  <c r="M1128" i="3"/>
  <c r="G1128" i="4" s="1"/>
  <c r="L1128" i="3"/>
  <c r="C1128" i="4" s="1"/>
  <c r="P1127" i="3"/>
  <c r="F1127" i="4" s="1"/>
  <c r="O1127" i="3"/>
  <c r="H1127" i="4" s="1"/>
  <c r="N1127" i="3"/>
  <c r="M1127" i="3"/>
  <c r="G1127" i="4" s="1"/>
  <c r="L1127" i="3"/>
  <c r="P1126" i="3"/>
  <c r="F1126" i="4" s="1"/>
  <c r="O1126" i="3"/>
  <c r="H1126" i="4" s="1"/>
  <c r="N1126" i="3"/>
  <c r="M1126" i="3"/>
  <c r="G1126" i="4" s="1"/>
  <c r="L1126" i="3"/>
  <c r="P1125" i="3"/>
  <c r="F1125" i="4" s="1"/>
  <c r="O1125" i="3"/>
  <c r="H1125" i="4" s="1"/>
  <c r="N1125" i="3"/>
  <c r="M1125" i="3"/>
  <c r="G1125" i="4" s="1"/>
  <c r="L1125" i="3"/>
  <c r="C1125" i="4" s="1"/>
  <c r="Q1124" i="3"/>
  <c r="E1124" i="4" s="1"/>
  <c r="P1124" i="3"/>
  <c r="O1124" i="3"/>
  <c r="H1124" i="4" s="1"/>
  <c r="N1124" i="3"/>
  <c r="M1124" i="3"/>
  <c r="G1124" i="4" s="1"/>
  <c r="L1124" i="3"/>
  <c r="C1124" i="4" s="1"/>
  <c r="Q1123" i="3"/>
  <c r="P1123" i="3"/>
  <c r="F1123" i="4" s="1"/>
  <c r="O1123" i="3"/>
  <c r="H1123" i="4" s="1"/>
  <c r="N1123" i="3"/>
  <c r="M1123" i="3"/>
  <c r="G1123" i="4" s="1"/>
  <c r="L1123" i="3"/>
  <c r="C1123" i="4" s="1"/>
  <c r="P1122" i="3"/>
  <c r="F1122" i="4" s="1"/>
  <c r="O1122" i="3"/>
  <c r="H1122" i="4" s="1"/>
  <c r="N1122" i="3"/>
  <c r="M1122" i="3"/>
  <c r="G1122" i="4" s="1"/>
  <c r="L1122" i="3"/>
  <c r="P1121" i="3"/>
  <c r="F1121" i="4" s="1"/>
  <c r="O1121" i="3"/>
  <c r="H1121" i="4" s="1"/>
  <c r="N1121" i="3"/>
  <c r="M1121" i="3"/>
  <c r="G1121" i="4" s="1"/>
  <c r="L1121" i="3"/>
  <c r="P1120" i="3"/>
  <c r="F1120" i="4" s="1"/>
  <c r="O1120" i="3"/>
  <c r="H1120" i="4" s="1"/>
  <c r="N1120" i="3"/>
  <c r="M1120" i="3"/>
  <c r="G1120" i="4" s="1"/>
  <c r="L1120" i="3"/>
  <c r="Q1119" i="3"/>
  <c r="E1119" i="4" s="1"/>
  <c r="P1119" i="3"/>
  <c r="F1119" i="4" s="1"/>
  <c r="O1119" i="3"/>
  <c r="H1119" i="4" s="1"/>
  <c r="N1119" i="3"/>
  <c r="M1119" i="3"/>
  <c r="G1119" i="4" s="1"/>
  <c r="L1119" i="3"/>
  <c r="C1119" i="4" s="1"/>
  <c r="Q1118" i="3"/>
  <c r="E1118" i="4" s="1"/>
  <c r="P1118" i="3"/>
  <c r="F1118" i="4" s="1"/>
  <c r="O1118" i="3"/>
  <c r="H1118" i="4" s="1"/>
  <c r="N1118" i="3"/>
  <c r="M1118" i="3"/>
  <c r="G1118" i="4" s="1"/>
  <c r="L1118" i="3"/>
  <c r="C1118" i="4" s="1"/>
  <c r="Q1117" i="3"/>
  <c r="E1117" i="4" s="1"/>
  <c r="P1117" i="3"/>
  <c r="F1117" i="4" s="1"/>
  <c r="O1117" i="3"/>
  <c r="H1117" i="4" s="1"/>
  <c r="N1117" i="3"/>
  <c r="M1117" i="3"/>
  <c r="G1117" i="4" s="1"/>
  <c r="L1117" i="3"/>
  <c r="C1117" i="4" s="1"/>
  <c r="P1116" i="3"/>
  <c r="F1116" i="4" s="1"/>
  <c r="O1116" i="3"/>
  <c r="H1116" i="4" s="1"/>
  <c r="N1116" i="3"/>
  <c r="M1116" i="3"/>
  <c r="G1116" i="4" s="1"/>
  <c r="L1116" i="3"/>
  <c r="P1115" i="3"/>
  <c r="F1115" i="4" s="1"/>
  <c r="O1115" i="3"/>
  <c r="H1115" i="4" s="1"/>
  <c r="N1115" i="3"/>
  <c r="M1115" i="3"/>
  <c r="G1115" i="4" s="1"/>
  <c r="L1115" i="3"/>
  <c r="P1114" i="3"/>
  <c r="F1114" i="4" s="1"/>
  <c r="O1114" i="3"/>
  <c r="H1114" i="4" s="1"/>
  <c r="N1114" i="3"/>
  <c r="M1114" i="3"/>
  <c r="G1114" i="4" s="1"/>
  <c r="L1114" i="3"/>
  <c r="Q1113" i="3"/>
  <c r="E1113" i="4" s="1"/>
  <c r="P1113" i="3"/>
  <c r="F1113" i="4" s="1"/>
  <c r="O1113" i="3"/>
  <c r="H1113" i="4" s="1"/>
  <c r="N1113" i="3"/>
  <c r="M1113" i="3"/>
  <c r="G1113" i="4" s="1"/>
  <c r="L1113" i="3"/>
  <c r="C1113" i="4" s="1"/>
  <c r="R1112" i="3"/>
  <c r="D1112" i="4" s="1"/>
  <c r="Q1112" i="3"/>
  <c r="E1112" i="4" s="1"/>
  <c r="P1112" i="3"/>
  <c r="F1112" i="4" s="1"/>
  <c r="O1112" i="3"/>
  <c r="H1112" i="4" s="1"/>
  <c r="N1112" i="3"/>
  <c r="M1112" i="3"/>
  <c r="G1112" i="4" s="1"/>
  <c r="L1112" i="3"/>
  <c r="C1112" i="4" s="1"/>
  <c r="Q1111" i="3"/>
  <c r="E1111" i="4" s="1"/>
  <c r="P1111" i="3"/>
  <c r="F1111" i="4" s="1"/>
  <c r="O1111" i="3"/>
  <c r="H1111" i="4" s="1"/>
  <c r="N1111" i="3"/>
  <c r="M1111" i="3"/>
  <c r="G1111" i="4" s="1"/>
  <c r="L1111" i="3"/>
  <c r="C1111" i="4" s="1"/>
  <c r="P1110" i="3"/>
  <c r="F1110" i="4" s="1"/>
  <c r="O1110" i="3"/>
  <c r="H1110" i="4" s="1"/>
  <c r="N1110" i="3"/>
  <c r="M1110" i="3"/>
  <c r="G1110" i="4" s="1"/>
  <c r="L1110" i="3"/>
  <c r="P1109" i="3"/>
  <c r="F1109" i="4" s="1"/>
  <c r="O1109" i="3"/>
  <c r="N1109" i="3"/>
  <c r="M1109" i="3"/>
  <c r="G1109" i="4" s="1"/>
  <c r="L1109" i="3"/>
  <c r="C1109" i="4" s="1"/>
  <c r="Q1108" i="3"/>
  <c r="E1108" i="4" s="1"/>
  <c r="P1108" i="3"/>
  <c r="O1108" i="3"/>
  <c r="H1108" i="4" s="1"/>
  <c r="N1108" i="3"/>
  <c r="M1108" i="3"/>
  <c r="G1108" i="4" s="1"/>
  <c r="L1108" i="3"/>
  <c r="C1108" i="4" s="1"/>
  <c r="Q1107" i="3"/>
  <c r="P1107" i="3"/>
  <c r="F1107" i="4" s="1"/>
  <c r="O1107" i="3"/>
  <c r="H1107" i="4" s="1"/>
  <c r="N1107" i="3"/>
  <c r="M1107" i="3"/>
  <c r="G1107" i="4" s="1"/>
  <c r="L1107" i="3"/>
  <c r="C1107" i="4" s="1"/>
  <c r="P1106" i="3"/>
  <c r="F1106" i="4" s="1"/>
  <c r="O1106" i="3"/>
  <c r="H1106" i="4" s="1"/>
  <c r="N1106" i="3"/>
  <c r="M1106" i="3"/>
  <c r="G1106" i="4" s="1"/>
  <c r="L1106" i="3"/>
  <c r="P1105" i="3"/>
  <c r="F1105" i="4" s="1"/>
  <c r="O1105" i="3"/>
  <c r="H1105" i="4" s="1"/>
  <c r="N1105" i="3"/>
  <c r="M1105" i="3"/>
  <c r="G1105" i="4" s="1"/>
  <c r="L1105" i="3"/>
  <c r="P1104" i="3"/>
  <c r="F1104" i="4" s="1"/>
  <c r="O1104" i="3"/>
  <c r="H1104" i="4" s="1"/>
  <c r="N1104" i="3"/>
  <c r="M1104" i="3"/>
  <c r="G1104" i="4" s="1"/>
  <c r="L1104" i="3"/>
  <c r="Q1103" i="3"/>
  <c r="E1103" i="4" s="1"/>
  <c r="P1103" i="3"/>
  <c r="F1103" i="4" s="1"/>
  <c r="O1103" i="3"/>
  <c r="H1103" i="4" s="1"/>
  <c r="N1103" i="3"/>
  <c r="M1103" i="3"/>
  <c r="G1103" i="4" s="1"/>
  <c r="L1103" i="3"/>
  <c r="C1103" i="4" s="1"/>
  <c r="Q1102" i="3"/>
  <c r="E1102" i="4" s="1"/>
  <c r="P1102" i="3"/>
  <c r="F1102" i="4" s="1"/>
  <c r="O1102" i="3"/>
  <c r="H1102" i="4" s="1"/>
  <c r="N1102" i="3"/>
  <c r="M1102" i="3"/>
  <c r="G1102" i="4" s="1"/>
  <c r="L1102" i="3"/>
  <c r="C1102" i="4" s="1"/>
  <c r="Q1101" i="3"/>
  <c r="E1101" i="4" s="1"/>
  <c r="P1101" i="3"/>
  <c r="F1101" i="4" s="1"/>
  <c r="O1101" i="3"/>
  <c r="H1101" i="4" s="1"/>
  <c r="N1101" i="3"/>
  <c r="M1101" i="3"/>
  <c r="G1101" i="4" s="1"/>
  <c r="L1101" i="3"/>
  <c r="C1101" i="4" s="1"/>
  <c r="P1100" i="3"/>
  <c r="F1100" i="4" s="1"/>
  <c r="O1100" i="3"/>
  <c r="H1100" i="4" s="1"/>
  <c r="N1100" i="3"/>
  <c r="M1100" i="3"/>
  <c r="G1100" i="4" s="1"/>
  <c r="L1100" i="3"/>
  <c r="P1099" i="3"/>
  <c r="F1099" i="4" s="1"/>
  <c r="O1099" i="3"/>
  <c r="H1099" i="4" s="1"/>
  <c r="N1099" i="3"/>
  <c r="M1099" i="3"/>
  <c r="G1099" i="4" s="1"/>
  <c r="L1099" i="3"/>
  <c r="P1098" i="3"/>
  <c r="F1098" i="4" s="1"/>
  <c r="O1098" i="3"/>
  <c r="H1098" i="4" s="1"/>
  <c r="N1098" i="3"/>
  <c r="M1098" i="3"/>
  <c r="G1098" i="4" s="1"/>
  <c r="L1098" i="3"/>
  <c r="Q1097" i="3"/>
  <c r="E1097" i="4" s="1"/>
  <c r="P1097" i="3"/>
  <c r="F1097" i="4" s="1"/>
  <c r="O1097" i="3"/>
  <c r="N1097" i="3"/>
  <c r="M1097" i="3"/>
  <c r="G1097" i="4" s="1"/>
  <c r="L1097" i="3"/>
  <c r="C1097" i="4" s="1"/>
  <c r="Q1096" i="3"/>
  <c r="E1096" i="4" s="1"/>
  <c r="P1096" i="3"/>
  <c r="F1096" i="4" s="1"/>
  <c r="O1096" i="3"/>
  <c r="H1096" i="4" s="1"/>
  <c r="N1096" i="3"/>
  <c r="M1096" i="3"/>
  <c r="G1096" i="4" s="1"/>
  <c r="L1096" i="3"/>
  <c r="C1096" i="4" s="1"/>
  <c r="Q1095" i="3"/>
  <c r="E1095" i="4" s="1"/>
  <c r="P1095" i="3"/>
  <c r="F1095" i="4" s="1"/>
  <c r="O1095" i="3"/>
  <c r="H1095" i="4" s="1"/>
  <c r="N1095" i="3"/>
  <c r="M1095" i="3"/>
  <c r="G1095" i="4" s="1"/>
  <c r="L1095" i="3"/>
  <c r="C1095" i="4" s="1"/>
  <c r="P1094" i="3"/>
  <c r="F1094" i="4" s="1"/>
  <c r="O1094" i="3"/>
  <c r="H1094" i="4" s="1"/>
  <c r="N1094" i="3"/>
  <c r="M1094" i="3"/>
  <c r="G1094" i="4" s="1"/>
  <c r="L1094" i="3"/>
  <c r="P1093" i="3"/>
  <c r="F1093" i="4" s="1"/>
  <c r="O1093" i="3"/>
  <c r="N1093" i="3"/>
  <c r="M1093" i="3"/>
  <c r="G1093" i="4" s="1"/>
  <c r="L1093" i="3"/>
  <c r="C1093" i="4" s="1"/>
  <c r="R1092" i="3"/>
  <c r="D1092" i="4" s="1"/>
  <c r="Q1092" i="3"/>
  <c r="E1092" i="4" s="1"/>
  <c r="P1092" i="3"/>
  <c r="F1092" i="4" s="1"/>
  <c r="O1092" i="3"/>
  <c r="H1092" i="4" s="1"/>
  <c r="N1092" i="3"/>
  <c r="M1092" i="3"/>
  <c r="G1092" i="4" s="1"/>
  <c r="L1092" i="3"/>
  <c r="C1092" i="4" s="1"/>
  <c r="Q1091" i="3"/>
  <c r="P1091" i="3"/>
  <c r="F1091" i="4" s="1"/>
  <c r="O1091" i="3"/>
  <c r="H1091" i="4" s="1"/>
  <c r="N1091" i="3"/>
  <c r="M1091" i="3"/>
  <c r="G1091" i="4" s="1"/>
  <c r="L1091" i="3"/>
  <c r="C1091" i="4" s="1"/>
  <c r="P1090" i="3"/>
  <c r="F1090" i="4" s="1"/>
  <c r="O1090" i="3"/>
  <c r="H1090" i="4" s="1"/>
  <c r="N1090" i="3"/>
  <c r="M1090" i="3"/>
  <c r="G1090" i="4" s="1"/>
  <c r="L1090" i="3"/>
  <c r="P1089" i="3"/>
  <c r="F1089" i="4" s="1"/>
  <c r="O1089" i="3"/>
  <c r="H1089" i="4" s="1"/>
  <c r="N1089" i="3"/>
  <c r="M1089" i="3"/>
  <c r="G1089" i="4" s="1"/>
  <c r="L1089" i="3"/>
  <c r="P1088" i="3"/>
  <c r="F1088" i="4" s="1"/>
  <c r="O1088" i="3"/>
  <c r="H1088" i="4" s="1"/>
  <c r="N1088" i="3"/>
  <c r="M1088" i="3"/>
  <c r="G1088" i="4" s="1"/>
  <c r="L1088" i="3"/>
  <c r="Q1087" i="3"/>
  <c r="E1087" i="4" s="1"/>
  <c r="P1087" i="3"/>
  <c r="F1087" i="4" s="1"/>
  <c r="O1087" i="3"/>
  <c r="H1087" i="4" s="1"/>
  <c r="N1087" i="3"/>
  <c r="M1087" i="3"/>
  <c r="G1087" i="4" s="1"/>
  <c r="L1087" i="3"/>
  <c r="C1087" i="4" s="1"/>
  <c r="Q1086" i="3"/>
  <c r="E1086" i="4" s="1"/>
  <c r="P1086" i="3"/>
  <c r="F1086" i="4" s="1"/>
  <c r="O1086" i="3"/>
  <c r="H1086" i="4" s="1"/>
  <c r="N1086" i="3"/>
  <c r="M1086" i="3"/>
  <c r="G1086" i="4" s="1"/>
  <c r="L1086" i="3"/>
  <c r="R1085" i="3"/>
  <c r="D1085" i="4" s="1"/>
  <c r="Q1085" i="3"/>
  <c r="E1085" i="4" s="1"/>
  <c r="P1085" i="3"/>
  <c r="F1085" i="4" s="1"/>
  <c r="O1085" i="3"/>
  <c r="H1085" i="4" s="1"/>
  <c r="N1085" i="3"/>
  <c r="M1085" i="3"/>
  <c r="G1085" i="4" s="1"/>
  <c r="L1085" i="3"/>
  <c r="C1085" i="4" s="1"/>
  <c r="P1084" i="3"/>
  <c r="F1084" i="4" s="1"/>
  <c r="O1084" i="3"/>
  <c r="H1084" i="4" s="1"/>
  <c r="N1084" i="3"/>
  <c r="M1084" i="3"/>
  <c r="G1084" i="4" s="1"/>
  <c r="L1084" i="3"/>
  <c r="P1083" i="3"/>
  <c r="F1083" i="4" s="1"/>
  <c r="O1083" i="3"/>
  <c r="H1083" i="4" s="1"/>
  <c r="N1083" i="3"/>
  <c r="M1083" i="3"/>
  <c r="G1083" i="4" s="1"/>
  <c r="L1083" i="3"/>
  <c r="P1082" i="3"/>
  <c r="F1082" i="4" s="1"/>
  <c r="O1082" i="3"/>
  <c r="H1082" i="4" s="1"/>
  <c r="N1082" i="3"/>
  <c r="M1082" i="3"/>
  <c r="G1082" i="4" s="1"/>
  <c r="L1082" i="3"/>
  <c r="Q1081" i="3"/>
  <c r="E1081" i="4" s="1"/>
  <c r="P1081" i="3"/>
  <c r="F1081" i="4" s="1"/>
  <c r="O1081" i="3"/>
  <c r="N1081" i="3"/>
  <c r="M1081" i="3"/>
  <c r="G1081" i="4" s="1"/>
  <c r="L1081" i="3"/>
  <c r="C1081" i="4" s="1"/>
  <c r="Q1080" i="3"/>
  <c r="E1080" i="4" s="1"/>
  <c r="P1080" i="3"/>
  <c r="F1080" i="4" s="1"/>
  <c r="O1080" i="3"/>
  <c r="H1080" i="4" s="1"/>
  <c r="N1080" i="3"/>
  <c r="M1080" i="3"/>
  <c r="G1080" i="4" s="1"/>
  <c r="L1080" i="3"/>
  <c r="C1080" i="4" s="1"/>
  <c r="R1079" i="3"/>
  <c r="D1079" i="4" s="1"/>
  <c r="Q1079" i="3"/>
  <c r="E1079" i="4" s="1"/>
  <c r="P1079" i="3"/>
  <c r="F1079" i="4" s="1"/>
  <c r="O1079" i="3"/>
  <c r="H1079" i="4" s="1"/>
  <c r="N1079" i="3"/>
  <c r="M1079" i="3"/>
  <c r="G1079" i="4" s="1"/>
  <c r="L1079" i="3"/>
  <c r="C1079" i="4" s="1"/>
  <c r="P1078" i="3"/>
  <c r="F1078" i="4" s="1"/>
  <c r="O1078" i="3"/>
  <c r="H1078" i="4" s="1"/>
  <c r="N1078" i="3"/>
  <c r="M1078" i="3"/>
  <c r="G1078" i="4" s="1"/>
  <c r="L1078" i="3"/>
  <c r="P1077" i="3"/>
  <c r="F1077" i="4" s="1"/>
  <c r="O1077" i="3"/>
  <c r="H1077" i="4" s="1"/>
  <c r="N1077" i="3"/>
  <c r="M1077" i="3"/>
  <c r="G1077" i="4" s="1"/>
  <c r="L1077" i="3"/>
  <c r="C1077" i="4" s="1"/>
  <c r="Q1076" i="3"/>
  <c r="E1076" i="4" s="1"/>
  <c r="P1076" i="3"/>
  <c r="F1076" i="4" s="1"/>
  <c r="O1076" i="3"/>
  <c r="H1076" i="4" s="1"/>
  <c r="N1076" i="3"/>
  <c r="M1076" i="3"/>
  <c r="G1076" i="4" s="1"/>
  <c r="L1076" i="3"/>
  <c r="C1076" i="4" s="1"/>
  <c r="Q1075" i="3"/>
  <c r="E1075" i="4" s="1"/>
  <c r="P1075" i="3"/>
  <c r="F1075" i="4" s="1"/>
  <c r="O1075" i="3"/>
  <c r="H1075" i="4" s="1"/>
  <c r="N1075" i="3"/>
  <c r="M1075" i="3"/>
  <c r="G1075" i="4" s="1"/>
  <c r="L1075" i="3"/>
  <c r="C1075" i="4" s="1"/>
  <c r="P1074" i="3"/>
  <c r="F1074" i="4" s="1"/>
  <c r="O1074" i="3"/>
  <c r="H1074" i="4" s="1"/>
  <c r="N1074" i="3"/>
  <c r="M1074" i="3"/>
  <c r="G1074" i="4" s="1"/>
  <c r="L1074" i="3"/>
  <c r="P1073" i="3"/>
  <c r="F1073" i="4" s="1"/>
  <c r="O1073" i="3"/>
  <c r="H1073" i="4" s="1"/>
  <c r="N1073" i="3"/>
  <c r="M1073" i="3"/>
  <c r="G1073" i="4" s="1"/>
  <c r="L1073" i="3"/>
  <c r="P1072" i="3"/>
  <c r="F1072" i="4" s="1"/>
  <c r="O1072" i="3"/>
  <c r="H1072" i="4" s="1"/>
  <c r="N1072" i="3"/>
  <c r="M1072" i="3"/>
  <c r="G1072" i="4" s="1"/>
  <c r="L1072" i="3"/>
  <c r="Q1071" i="3"/>
  <c r="E1071" i="4" s="1"/>
  <c r="P1071" i="3"/>
  <c r="F1071" i="4" s="1"/>
  <c r="O1071" i="3"/>
  <c r="H1071" i="4" s="1"/>
  <c r="N1071" i="3"/>
  <c r="M1071" i="3"/>
  <c r="G1071" i="4" s="1"/>
  <c r="L1071" i="3"/>
  <c r="C1071" i="4" s="1"/>
  <c r="P1070" i="3"/>
  <c r="F1070" i="4" s="1"/>
  <c r="O1070" i="3"/>
  <c r="H1070" i="4" s="1"/>
  <c r="N1070" i="3"/>
  <c r="M1070" i="3"/>
  <c r="G1070" i="4" s="1"/>
  <c r="L1070" i="3"/>
  <c r="Q1069" i="3"/>
  <c r="E1069" i="4" s="1"/>
  <c r="P1069" i="3"/>
  <c r="F1069" i="4" s="1"/>
  <c r="O1069" i="3"/>
  <c r="H1069" i="4" s="1"/>
  <c r="N1069" i="3"/>
  <c r="M1069" i="3"/>
  <c r="G1069" i="4" s="1"/>
  <c r="L1069" i="3"/>
  <c r="C1069" i="4" s="1"/>
  <c r="P1068" i="3"/>
  <c r="F1068" i="4" s="1"/>
  <c r="O1068" i="3"/>
  <c r="H1068" i="4" s="1"/>
  <c r="N1068" i="3"/>
  <c r="M1068" i="3"/>
  <c r="G1068" i="4" s="1"/>
  <c r="L1068" i="3"/>
  <c r="Q1067" i="3"/>
  <c r="E1067" i="4" s="1"/>
  <c r="P1067" i="3"/>
  <c r="F1067" i="4" s="1"/>
  <c r="O1067" i="3"/>
  <c r="H1067" i="4" s="1"/>
  <c r="N1067" i="3"/>
  <c r="M1067" i="3"/>
  <c r="G1067" i="4" s="1"/>
  <c r="L1067" i="3"/>
  <c r="Q1066" i="3"/>
  <c r="E1066" i="4" s="1"/>
  <c r="P1066" i="3"/>
  <c r="F1066" i="4" s="1"/>
  <c r="O1066" i="3"/>
  <c r="H1066" i="4" s="1"/>
  <c r="N1066" i="3"/>
  <c r="M1066" i="3"/>
  <c r="G1066" i="4" s="1"/>
  <c r="L1066" i="3"/>
  <c r="Q1065" i="3"/>
  <c r="E1065" i="4" s="1"/>
  <c r="P1065" i="3"/>
  <c r="F1065" i="4" s="1"/>
  <c r="O1065" i="3"/>
  <c r="N1065" i="3"/>
  <c r="M1065" i="3"/>
  <c r="G1065" i="4" s="1"/>
  <c r="L1065" i="3"/>
  <c r="C1065" i="4" s="1"/>
  <c r="Q1064" i="3"/>
  <c r="E1064" i="4" s="1"/>
  <c r="P1064" i="3"/>
  <c r="F1064" i="4" s="1"/>
  <c r="O1064" i="3"/>
  <c r="H1064" i="4" s="1"/>
  <c r="N1064" i="3"/>
  <c r="M1064" i="3"/>
  <c r="G1064" i="4" s="1"/>
  <c r="L1064" i="3"/>
  <c r="C1064" i="4" s="1"/>
  <c r="P1063" i="3"/>
  <c r="F1063" i="4" s="1"/>
  <c r="O1063" i="3"/>
  <c r="H1063" i="4" s="1"/>
  <c r="N1063" i="3"/>
  <c r="M1063" i="3"/>
  <c r="G1063" i="4" s="1"/>
  <c r="L1063" i="3"/>
  <c r="C1063" i="4" s="1"/>
  <c r="P1062" i="3"/>
  <c r="F1062" i="4" s="1"/>
  <c r="O1062" i="3"/>
  <c r="H1062" i="4" s="1"/>
  <c r="N1062" i="3"/>
  <c r="M1062" i="3"/>
  <c r="G1062" i="4" s="1"/>
  <c r="L1062" i="3"/>
  <c r="P1061" i="3"/>
  <c r="F1061" i="4" s="1"/>
  <c r="O1061" i="3"/>
  <c r="H1061" i="4" s="1"/>
  <c r="N1061" i="3"/>
  <c r="M1061" i="3"/>
  <c r="G1061" i="4" s="1"/>
  <c r="L1061" i="3"/>
  <c r="Q1060" i="3"/>
  <c r="E1060" i="4" s="1"/>
  <c r="P1060" i="3"/>
  <c r="F1060" i="4" s="1"/>
  <c r="O1060" i="3"/>
  <c r="H1060" i="4" s="1"/>
  <c r="N1060" i="3"/>
  <c r="M1060" i="3"/>
  <c r="G1060" i="4" s="1"/>
  <c r="L1060" i="3"/>
  <c r="C1060" i="4" s="1"/>
  <c r="R1059" i="3"/>
  <c r="D1059" i="4" s="1"/>
  <c r="Q1059" i="3"/>
  <c r="E1059" i="4" s="1"/>
  <c r="P1059" i="3"/>
  <c r="F1059" i="4" s="1"/>
  <c r="O1059" i="3"/>
  <c r="H1059" i="4" s="1"/>
  <c r="N1059" i="3"/>
  <c r="M1059" i="3"/>
  <c r="G1059" i="4" s="1"/>
  <c r="L1059" i="3"/>
  <c r="C1059" i="4" s="1"/>
  <c r="P1058" i="3"/>
  <c r="F1058" i="4" s="1"/>
  <c r="O1058" i="3"/>
  <c r="H1058" i="4" s="1"/>
  <c r="N1058" i="3"/>
  <c r="M1058" i="3"/>
  <c r="G1058" i="4" s="1"/>
  <c r="L1058" i="3"/>
  <c r="C1058" i="4" s="1"/>
  <c r="P1057" i="3"/>
  <c r="F1057" i="4" s="1"/>
  <c r="O1057" i="3"/>
  <c r="H1057" i="4" s="1"/>
  <c r="N1057" i="3"/>
  <c r="M1057" i="3"/>
  <c r="G1057" i="4" s="1"/>
  <c r="L1057" i="3"/>
  <c r="P1056" i="3"/>
  <c r="F1056" i="4" s="1"/>
  <c r="O1056" i="3"/>
  <c r="H1056" i="4" s="1"/>
  <c r="N1056" i="3"/>
  <c r="M1056" i="3"/>
  <c r="G1056" i="4" s="1"/>
  <c r="L1056" i="3"/>
  <c r="Q1055" i="3"/>
  <c r="E1055" i="4" s="1"/>
  <c r="P1055" i="3"/>
  <c r="F1055" i="4" s="1"/>
  <c r="O1055" i="3"/>
  <c r="H1055" i="4" s="1"/>
  <c r="N1055" i="3"/>
  <c r="M1055" i="3"/>
  <c r="G1055" i="4" s="1"/>
  <c r="L1055" i="3"/>
  <c r="C1055" i="4" s="1"/>
  <c r="Q1054" i="3"/>
  <c r="E1054" i="4" s="1"/>
  <c r="P1054" i="3"/>
  <c r="F1054" i="4" s="1"/>
  <c r="O1054" i="3"/>
  <c r="H1054" i="4" s="1"/>
  <c r="N1054" i="3"/>
  <c r="M1054" i="3"/>
  <c r="G1054" i="4" s="1"/>
  <c r="L1054" i="3"/>
  <c r="P1053" i="3"/>
  <c r="F1053" i="4" s="1"/>
  <c r="O1053" i="3"/>
  <c r="H1053" i="4" s="1"/>
  <c r="N1053" i="3"/>
  <c r="M1053" i="3"/>
  <c r="G1053" i="4" s="1"/>
  <c r="L1053" i="3"/>
  <c r="C1053" i="4" s="1"/>
  <c r="P1052" i="3"/>
  <c r="F1052" i="4" s="1"/>
  <c r="O1052" i="3"/>
  <c r="H1052" i="4" s="1"/>
  <c r="N1052" i="3"/>
  <c r="M1052" i="3"/>
  <c r="G1052" i="4" s="1"/>
  <c r="L1052" i="3"/>
  <c r="R1051" i="3"/>
  <c r="D1051" i="4" s="1"/>
  <c r="Q1051" i="3"/>
  <c r="E1051" i="4" s="1"/>
  <c r="P1051" i="3"/>
  <c r="F1051" i="4" s="1"/>
  <c r="O1051" i="3"/>
  <c r="H1051" i="4" s="1"/>
  <c r="N1051" i="3"/>
  <c r="M1051" i="3"/>
  <c r="G1051" i="4" s="1"/>
  <c r="L1051" i="3"/>
  <c r="C1051" i="4" s="1"/>
  <c r="Q1050" i="3"/>
  <c r="E1050" i="4" s="1"/>
  <c r="P1050" i="3"/>
  <c r="F1050" i="4" s="1"/>
  <c r="O1050" i="3"/>
  <c r="H1050" i="4" s="1"/>
  <c r="N1050" i="3"/>
  <c r="M1050" i="3"/>
  <c r="G1050" i="4" s="1"/>
  <c r="L1050" i="3"/>
  <c r="Q1049" i="3"/>
  <c r="E1049" i="4" s="1"/>
  <c r="P1049" i="3"/>
  <c r="F1049" i="4" s="1"/>
  <c r="O1049" i="3"/>
  <c r="N1049" i="3"/>
  <c r="M1049" i="3"/>
  <c r="G1049" i="4" s="1"/>
  <c r="L1049" i="3"/>
  <c r="C1049" i="4" s="1"/>
  <c r="Q1048" i="3"/>
  <c r="E1048" i="4" s="1"/>
  <c r="P1048" i="3"/>
  <c r="F1048" i="4" s="1"/>
  <c r="O1048" i="3"/>
  <c r="H1048" i="4" s="1"/>
  <c r="N1048" i="3"/>
  <c r="M1048" i="3"/>
  <c r="G1048" i="4" s="1"/>
  <c r="L1048" i="3"/>
  <c r="C1048" i="4" s="1"/>
  <c r="Q1047" i="3"/>
  <c r="E1047" i="4" s="1"/>
  <c r="P1047" i="3"/>
  <c r="F1047" i="4" s="1"/>
  <c r="O1047" i="3"/>
  <c r="H1047" i="4" s="1"/>
  <c r="N1047" i="3"/>
  <c r="M1047" i="3"/>
  <c r="G1047" i="4" s="1"/>
  <c r="L1047" i="3"/>
  <c r="C1047" i="4" s="1"/>
  <c r="P1046" i="3"/>
  <c r="F1046" i="4" s="1"/>
  <c r="O1046" i="3"/>
  <c r="H1046" i="4" s="1"/>
  <c r="N1046" i="3"/>
  <c r="M1046" i="3"/>
  <c r="G1046" i="4" s="1"/>
  <c r="L1046" i="3"/>
  <c r="P1045" i="3"/>
  <c r="F1045" i="4" s="1"/>
  <c r="O1045" i="3"/>
  <c r="H1045" i="4" s="1"/>
  <c r="N1045" i="3"/>
  <c r="M1045" i="3"/>
  <c r="G1045" i="4" s="1"/>
  <c r="L1045" i="3"/>
  <c r="Q1044" i="3"/>
  <c r="E1044" i="4" s="1"/>
  <c r="P1044" i="3"/>
  <c r="F1044" i="4" s="1"/>
  <c r="O1044" i="3"/>
  <c r="H1044" i="4" s="1"/>
  <c r="N1044" i="3"/>
  <c r="M1044" i="3"/>
  <c r="G1044" i="4" s="1"/>
  <c r="L1044" i="3"/>
  <c r="C1044" i="4" s="1"/>
  <c r="Q1043" i="3"/>
  <c r="E1043" i="4" s="1"/>
  <c r="P1043" i="3"/>
  <c r="F1043" i="4" s="1"/>
  <c r="O1043" i="3"/>
  <c r="H1043" i="4" s="1"/>
  <c r="N1043" i="3"/>
  <c r="M1043" i="3"/>
  <c r="G1043" i="4" s="1"/>
  <c r="L1043" i="3"/>
  <c r="C1043" i="4" s="1"/>
  <c r="Q1042" i="3"/>
  <c r="E1042" i="4" s="1"/>
  <c r="P1042" i="3"/>
  <c r="F1042" i="4" s="1"/>
  <c r="O1042" i="3"/>
  <c r="H1042" i="4" s="1"/>
  <c r="N1042" i="3"/>
  <c r="M1042" i="3"/>
  <c r="G1042" i="4" s="1"/>
  <c r="L1042" i="3"/>
  <c r="C1042" i="4" s="1"/>
  <c r="P1041" i="3"/>
  <c r="F1041" i="4" s="1"/>
  <c r="O1041" i="3"/>
  <c r="H1041" i="4" s="1"/>
  <c r="N1041" i="3"/>
  <c r="M1041" i="3"/>
  <c r="G1041" i="4" s="1"/>
  <c r="L1041" i="3"/>
  <c r="P1040" i="3"/>
  <c r="F1040" i="4" s="1"/>
  <c r="O1040" i="3"/>
  <c r="H1040" i="4" s="1"/>
  <c r="N1040" i="3"/>
  <c r="M1040" i="3"/>
  <c r="G1040" i="4" s="1"/>
  <c r="L1040" i="3"/>
  <c r="Q1039" i="3"/>
  <c r="E1039" i="4" s="1"/>
  <c r="P1039" i="3"/>
  <c r="F1039" i="4" s="1"/>
  <c r="O1039" i="3"/>
  <c r="H1039" i="4" s="1"/>
  <c r="N1039" i="3"/>
  <c r="M1039" i="3"/>
  <c r="G1039" i="4" s="1"/>
  <c r="L1039" i="3"/>
  <c r="C1039" i="4" s="1"/>
  <c r="P1038" i="3"/>
  <c r="F1038" i="4" s="1"/>
  <c r="O1038" i="3"/>
  <c r="H1038" i="4" s="1"/>
  <c r="N1038" i="3"/>
  <c r="M1038" i="3"/>
  <c r="G1038" i="4" s="1"/>
  <c r="L1038" i="3"/>
  <c r="Q1037" i="3"/>
  <c r="E1037" i="4" s="1"/>
  <c r="P1037" i="3"/>
  <c r="F1037" i="4" s="1"/>
  <c r="O1037" i="3"/>
  <c r="H1037" i="4" s="1"/>
  <c r="N1037" i="3"/>
  <c r="M1037" i="3"/>
  <c r="G1037" i="4" s="1"/>
  <c r="L1037" i="3"/>
  <c r="C1037" i="4" s="1"/>
  <c r="P1036" i="3"/>
  <c r="F1036" i="4" s="1"/>
  <c r="O1036" i="3"/>
  <c r="H1036" i="4" s="1"/>
  <c r="N1036" i="3"/>
  <c r="M1036" i="3"/>
  <c r="G1036" i="4" s="1"/>
  <c r="L1036" i="3"/>
  <c r="Q1035" i="3"/>
  <c r="E1035" i="4" s="1"/>
  <c r="P1035" i="3"/>
  <c r="F1035" i="4" s="1"/>
  <c r="O1035" i="3"/>
  <c r="H1035" i="4" s="1"/>
  <c r="N1035" i="3"/>
  <c r="M1035" i="3"/>
  <c r="G1035" i="4" s="1"/>
  <c r="L1035" i="3"/>
  <c r="C1035" i="4" s="1"/>
  <c r="Q1034" i="3"/>
  <c r="E1034" i="4" s="1"/>
  <c r="P1034" i="3"/>
  <c r="F1034" i="4" s="1"/>
  <c r="O1034" i="3"/>
  <c r="H1034" i="4" s="1"/>
  <c r="N1034" i="3"/>
  <c r="M1034" i="3"/>
  <c r="G1034" i="4" s="1"/>
  <c r="L1034" i="3"/>
  <c r="Q1033" i="3"/>
  <c r="E1033" i="4" s="1"/>
  <c r="P1033" i="3"/>
  <c r="F1033" i="4" s="1"/>
  <c r="O1033" i="3"/>
  <c r="H1033" i="4" s="1"/>
  <c r="N1033" i="3"/>
  <c r="M1033" i="3"/>
  <c r="G1033" i="4" s="1"/>
  <c r="L1033" i="3"/>
  <c r="C1033" i="4" s="1"/>
  <c r="Q1032" i="3"/>
  <c r="E1032" i="4" s="1"/>
  <c r="P1032" i="3"/>
  <c r="F1032" i="4" s="1"/>
  <c r="O1032" i="3"/>
  <c r="H1032" i="4" s="1"/>
  <c r="N1032" i="3"/>
  <c r="M1032" i="3"/>
  <c r="G1032" i="4" s="1"/>
  <c r="L1032" i="3"/>
  <c r="C1032" i="4" s="1"/>
  <c r="P1031" i="3"/>
  <c r="F1031" i="4" s="1"/>
  <c r="O1031" i="3"/>
  <c r="H1031" i="4" s="1"/>
  <c r="N1031" i="3"/>
  <c r="M1031" i="3"/>
  <c r="G1031" i="4" s="1"/>
  <c r="L1031" i="3"/>
  <c r="C1031" i="4" s="1"/>
  <c r="P1030" i="3"/>
  <c r="F1030" i="4" s="1"/>
  <c r="O1030" i="3"/>
  <c r="H1030" i="4" s="1"/>
  <c r="N1030" i="3"/>
  <c r="M1030" i="3"/>
  <c r="G1030" i="4" s="1"/>
  <c r="L1030" i="3"/>
  <c r="P1029" i="3"/>
  <c r="F1029" i="4" s="1"/>
  <c r="O1029" i="3"/>
  <c r="H1029" i="4" s="1"/>
  <c r="N1029" i="3"/>
  <c r="M1029" i="3"/>
  <c r="G1029" i="4" s="1"/>
  <c r="L1029" i="3"/>
  <c r="Q1028" i="3"/>
  <c r="E1028" i="4" s="1"/>
  <c r="P1028" i="3"/>
  <c r="F1028" i="4" s="1"/>
  <c r="O1028" i="3"/>
  <c r="H1028" i="4" s="1"/>
  <c r="N1028" i="3"/>
  <c r="M1028" i="3"/>
  <c r="G1028" i="4" s="1"/>
  <c r="L1028" i="3"/>
  <c r="C1028" i="4" s="1"/>
  <c r="Q1027" i="3"/>
  <c r="E1027" i="4" s="1"/>
  <c r="P1027" i="3"/>
  <c r="F1027" i="4" s="1"/>
  <c r="O1027" i="3"/>
  <c r="H1027" i="4" s="1"/>
  <c r="N1027" i="3"/>
  <c r="M1027" i="3"/>
  <c r="G1027" i="4" s="1"/>
  <c r="L1027" i="3"/>
  <c r="C1027" i="4" s="1"/>
  <c r="P1026" i="3"/>
  <c r="F1026" i="4" s="1"/>
  <c r="O1026" i="3"/>
  <c r="H1026" i="4" s="1"/>
  <c r="N1026" i="3"/>
  <c r="M1026" i="3"/>
  <c r="G1026" i="4" s="1"/>
  <c r="L1026" i="3"/>
  <c r="C1026" i="4" s="1"/>
  <c r="P1025" i="3"/>
  <c r="F1025" i="4" s="1"/>
  <c r="O1025" i="3"/>
  <c r="H1025" i="4" s="1"/>
  <c r="N1025" i="3"/>
  <c r="M1025" i="3"/>
  <c r="G1025" i="4" s="1"/>
  <c r="L1025" i="3"/>
  <c r="Q1024" i="3"/>
  <c r="E1024" i="4" s="1"/>
  <c r="P1024" i="3"/>
  <c r="F1024" i="4" s="1"/>
  <c r="O1024" i="3"/>
  <c r="H1024" i="4" s="1"/>
  <c r="N1024" i="3"/>
  <c r="M1024" i="3"/>
  <c r="G1024" i="4" s="1"/>
  <c r="L1024" i="3"/>
  <c r="C1024" i="4" s="1"/>
  <c r="Q1023" i="3"/>
  <c r="E1023" i="4" s="1"/>
  <c r="P1023" i="3"/>
  <c r="F1023" i="4" s="1"/>
  <c r="O1023" i="3"/>
  <c r="H1023" i="4" s="1"/>
  <c r="N1023" i="3"/>
  <c r="M1023" i="3"/>
  <c r="G1023" i="4" s="1"/>
  <c r="L1023" i="3"/>
  <c r="C1023" i="4" s="1"/>
  <c r="Q1022" i="3"/>
  <c r="E1022" i="4" s="1"/>
  <c r="P1022" i="3"/>
  <c r="F1022" i="4" s="1"/>
  <c r="O1022" i="3"/>
  <c r="H1022" i="4" s="1"/>
  <c r="N1022" i="3"/>
  <c r="M1022" i="3"/>
  <c r="G1022" i="4" s="1"/>
  <c r="L1022" i="3"/>
  <c r="P1021" i="3"/>
  <c r="F1021" i="4" s="1"/>
  <c r="O1021" i="3"/>
  <c r="H1021" i="4" s="1"/>
  <c r="N1021" i="3"/>
  <c r="M1021" i="3"/>
  <c r="G1021" i="4" s="1"/>
  <c r="L1021" i="3"/>
  <c r="C1021" i="4" s="1"/>
  <c r="P1020" i="3"/>
  <c r="F1020" i="4" s="1"/>
  <c r="O1020" i="3"/>
  <c r="H1020" i="4" s="1"/>
  <c r="N1020" i="3"/>
  <c r="M1020" i="3"/>
  <c r="G1020" i="4" s="1"/>
  <c r="L1020" i="3"/>
  <c r="Q1019" i="3"/>
  <c r="E1019" i="4" s="1"/>
  <c r="P1019" i="3"/>
  <c r="F1019" i="4" s="1"/>
  <c r="O1019" i="3"/>
  <c r="H1019" i="4" s="1"/>
  <c r="N1019" i="3"/>
  <c r="M1019" i="3"/>
  <c r="G1019" i="4" s="1"/>
  <c r="L1019" i="3"/>
  <c r="C1019" i="4" s="1"/>
  <c r="Q1018" i="3"/>
  <c r="E1018" i="4" s="1"/>
  <c r="P1018" i="3"/>
  <c r="F1018" i="4" s="1"/>
  <c r="O1018" i="3"/>
  <c r="H1018" i="4" s="1"/>
  <c r="N1018" i="3"/>
  <c r="M1018" i="3"/>
  <c r="G1018" i="4" s="1"/>
  <c r="L1018" i="3"/>
  <c r="R1017" i="3"/>
  <c r="D1017" i="4" s="1"/>
  <c r="Q1017" i="3"/>
  <c r="E1017" i="4" s="1"/>
  <c r="P1017" i="3"/>
  <c r="F1017" i="4" s="1"/>
  <c r="O1017" i="3"/>
  <c r="H1017" i="4" s="1"/>
  <c r="N1017" i="3"/>
  <c r="M1017" i="3"/>
  <c r="G1017" i="4" s="1"/>
  <c r="L1017" i="3"/>
  <c r="C1017" i="4" s="1"/>
  <c r="Q1016" i="3"/>
  <c r="E1016" i="4" s="1"/>
  <c r="P1016" i="3"/>
  <c r="F1016" i="4" s="1"/>
  <c r="O1016" i="3"/>
  <c r="H1016" i="4" s="1"/>
  <c r="N1016" i="3"/>
  <c r="M1016" i="3"/>
  <c r="G1016" i="4" s="1"/>
  <c r="L1016" i="3"/>
  <c r="C1016" i="4" s="1"/>
  <c r="Q1015" i="3"/>
  <c r="E1015" i="4" s="1"/>
  <c r="P1015" i="3"/>
  <c r="F1015" i="4" s="1"/>
  <c r="O1015" i="3"/>
  <c r="H1015" i="4" s="1"/>
  <c r="N1015" i="3"/>
  <c r="M1015" i="3"/>
  <c r="G1015" i="4" s="1"/>
  <c r="L1015" i="3"/>
  <c r="C1015" i="4" s="1"/>
  <c r="P1014" i="3"/>
  <c r="F1014" i="4" s="1"/>
  <c r="O1014" i="3"/>
  <c r="H1014" i="4" s="1"/>
  <c r="N1014" i="3"/>
  <c r="M1014" i="3"/>
  <c r="G1014" i="4" s="1"/>
  <c r="L1014" i="3"/>
  <c r="P1013" i="3"/>
  <c r="F1013" i="4" s="1"/>
  <c r="O1013" i="3"/>
  <c r="H1013" i="4" s="1"/>
  <c r="N1013" i="3"/>
  <c r="M1013" i="3"/>
  <c r="G1013" i="4" s="1"/>
  <c r="L1013" i="3"/>
  <c r="R1012" i="3"/>
  <c r="D1012" i="4" s="1"/>
  <c r="Q1012" i="3"/>
  <c r="E1012" i="4" s="1"/>
  <c r="P1012" i="3"/>
  <c r="F1012" i="4" s="1"/>
  <c r="O1012" i="3"/>
  <c r="H1012" i="4" s="1"/>
  <c r="N1012" i="3"/>
  <c r="M1012" i="3"/>
  <c r="G1012" i="4" s="1"/>
  <c r="L1012" i="3"/>
  <c r="C1012" i="4" s="1"/>
  <c r="P1011" i="3"/>
  <c r="F1011" i="4" s="1"/>
  <c r="O1011" i="3"/>
  <c r="H1011" i="4" s="1"/>
  <c r="N1011" i="3"/>
  <c r="M1011" i="3"/>
  <c r="G1011" i="4" s="1"/>
  <c r="L1011" i="3"/>
  <c r="C1011" i="4" s="1"/>
  <c r="Q1010" i="3"/>
  <c r="E1010" i="4" s="1"/>
  <c r="P1010" i="3"/>
  <c r="F1010" i="4" s="1"/>
  <c r="O1010" i="3"/>
  <c r="H1010" i="4" s="1"/>
  <c r="N1010" i="3"/>
  <c r="M1010" i="3"/>
  <c r="G1010" i="4" s="1"/>
  <c r="L1010" i="3"/>
  <c r="C1010" i="4" s="1"/>
  <c r="P1009" i="3"/>
  <c r="F1009" i="4" s="1"/>
  <c r="O1009" i="3"/>
  <c r="H1009" i="4" s="1"/>
  <c r="N1009" i="3"/>
  <c r="M1009" i="3"/>
  <c r="G1009" i="4" s="1"/>
  <c r="L1009" i="3"/>
  <c r="Q1008" i="3"/>
  <c r="E1008" i="4" s="1"/>
  <c r="P1008" i="3"/>
  <c r="F1008" i="4" s="1"/>
  <c r="O1008" i="3"/>
  <c r="H1008" i="4" s="1"/>
  <c r="N1008" i="3"/>
  <c r="M1008" i="3"/>
  <c r="G1008" i="4" s="1"/>
  <c r="L1008" i="3"/>
  <c r="C1008" i="4" s="1"/>
  <c r="Q1007" i="3"/>
  <c r="E1007" i="4" s="1"/>
  <c r="P1007" i="3"/>
  <c r="F1007" i="4" s="1"/>
  <c r="O1007" i="3"/>
  <c r="H1007" i="4" s="1"/>
  <c r="N1007" i="3"/>
  <c r="M1007" i="3"/>
  <c r="G1007" i="4" s="1"/>
  <c r="L1007" i="3"/>
  <c r="C1007" i="4" s="1"/>
  <c r="P1006" i="3"/>
  <c r="F1006" i="4" s="1"/>
  <c r="O1006" i="3"/>
  <c r="H1006" i="4" s="1"/>
  <c r="N1006" i="3"/>
  <c r="M1006" i="3"/>
  <c r="G1006" i="4" s="1"/>
  <c r="L1006" i="3"/>
  <c r="Q1005" i="3"/>
  <c r="E1005" i="4" s="1"/>
  <c r="P1005" i="3"/>
  <c r="F1005" i="4" s="1"/>
  <c r="O1005" i="3"/>
  <c r="H1005" i="4" s="1"/>
  <c r="N1005" i="3"/>
  <c r="M1005" i="3"/>
  <c r="G1005" i="4" s="1"/>
  <c r="L1005" i="3"/>
  <c r="C1005" i="4" s="1"/>
  <c r="P1004" i="3"/>
  <c r="F1004" i="4" s="1"/>
  <c r="O1004" i="3"/>
  <c r="H1004" i="4" s="1"/>
  <c r="N1004" i="3"/>
  <c r="M1004" i="3"/>
  <c r="G1004" i="4" s="1"/>
  <c r="L1004" i="3"/>
  <c r="Q1003" i="3"/>
  <c r="E1003" i="4" s="1"/>
  <c r="P1003" i="3"/>
  <c r="F1003" i="4" s="1"/>
  <c r="O1003" i="3"/>
  <c r="H1003" i="4" s="1"/>
  <c r="N1003" i="3"/>
  <c r="M1003" i="3"/>
  <c r="G1003" i="4" s="1"/>
  <c r="L1003" i="3"/>
  <c r="C1003" i="4" s="1"/>
  <c r="Q1002" i="3"/>
  <c r="E1002" i="4" s="1"/>
  <c r="P1002" i="3"/>
  <c r="F1002" i="4" s="1"/>
  <c r="O1002" i="3"/>
  <c r="H1002" i="4" s="1"/>
  <c r="N1002" i="3"/>
  <c r="M1002" i="3"/>
  <c r="G1002" i="4" s="1"/>
  <c r="L1002" i="3"/>
  <c r="Q1001" i="3"/>
  <c r="E1001" i="4" s="1"/>
  <c r="P1001" i="3"/>
  <c r="F1001" i="4" s="1"/>
  <c r="O1001" i="3"/>
  <c r="H1001" i="4" s="1"/>
  <c r="N1001" i="3"/>
  <c r="M1001" i="3"/>
  <c r="G1001" i="4" s="1"/>
  <c r="L1001" i="3"/>
  <c r="C1001" i="4" s="1"/>
  <c r="Q1000" i="3"/>
  <c r="E1000" i="4" s="1"/>
  <c r="P1000" i="3"/>
  <c r="F1000" i="4" s="1"/>
  <c r="O1000" i="3"/>
  <c r="H1000" i="4" s="1"/>
  <c r="N1000" i="3"/>
  <c r="M1000" i="3"/>
  <c r="G1000" i="4" s="1"/>
  <c r="L1000" i="3"/>
  <c r="C1000" i="4" s="1"/>
  <c r="P999" i="3"/>
  <c r="F999" i="4" s="1"/>
  <c r="O999" i="3"/>
  <c r="H999" i="4" s="1"/>
  <c r="N999" i="3"/>
  <c r="M999" i="3"/>
  <c r="G999" i="4" s="1"/>
  <c r="L999" i="3"/>
  <c r="C999" i="4" s="1"/>
  <c r="P998" i="3"/>
  <c r="F998" i="4" s="1"/>
  <c r="O998" i="3"/>
  <c r="H998" i="4" s="1"/>
  <c r="N998" i="3"/>
  <c r="M998" i="3"/>
  <c r="G998" i="4" s="1"/>
  <c r="L998" i="3"/>
  <c r="P997" i="3"/>
  <c r="F997" i="4" s="1"/>
  <c r="O997" i="3"/>
  <c r="H997" i="4" s="1"/>
  <c r="N997" i="3"/>
  <c r="M997" i="3"/>
  <c r="G997" i="4" s="1"/>
  <c r="L997" i="3"/>
  <c r="Q996" i="3"/>
  <c r="E996" i="4" s="1"/>
  <c r="P996" i="3"/>
  <c r="F996" i="4" s="1"/>
  <c r="O996" i="3"/>
  <c r="H996" i="4" s="1"/>
  <c r="N996" i="3"/>
  <c r="M996" i="3"/>
  <c r="G996" i="4" s="1"/>
  <c r="L996" i="3"/>
  <c r="C996" i="4" s="1"/>
  <c r="Q995" i="3"/>
  <c r="E995" i="4" s="1"/>
  <c r="P995" i="3"/>
  <c r="F995" i="4" s="1"/>
  <c r="O995" i="3"/>
  <c r="H995" i="4" s="1"/>
  <c r="N995" i="3"/>
  <c r="M995" i="3"/>
  <c r="G995" i="4" s="1"/>
  <c r="L995" i="3"/>
  <c r="C995" i="4" s="1"/>
  <c r="P994" i="3"/>
  <c r="F994" i="4" s="1"/>
  <c r="O994" i="3"/>
  <c r="H994" i="4" s="1"/>
  <c r="N994" i="3"/>
  <c r="M994" i="3"/>
  <c r="G994" i="4" s="1"/>
  <c r="L994" i="3"/>
  <c r="C994" i="4" s="1"/>
  <c r="P993" i="3"/>
  <c r="F993" i="4" s="1"/>
  <c r="O993" i="3"/>
  <c r="H993" i="4" s="1"/>
  <c r="N993" i="3"/>
  <c r="M993" i="3"/>
  <c r="G993" i="4" s="1"/>
  <c r="L993" i="3"/>
  <c r="C993" i="4" s="1"/>
  <c r="P992" i="3"/>
  <c r="F992" i="4" s="1"/>
  <c r="O992" i="3"/>
  <c r="H992" i="4" s="1"/>
  <c r="N992" i="3"/>
  <c r="M992" i="3"/>
  <c r="G992" i="4" s="1"/>
  <c r="L992" i="3"/>
  <c r="C992" i="4" s="1"/>
  <c r="P991" i="3"/>
  <c r="F991" i="4" s="1"/>
  <c r="O991" i="3"/>
  <c r="H991" i="4" s="1"/>
  <c r="N991" i="3"/>
  <c r="M991" i="3"/>
  <c r="G991" i="4" s="1"/>
  <c r="L991" i="3"/>
  <c r="P990" i="3"/>
  <c r="F990" i="4" s="1"/>
  <c r="O990" i="3"/>
  <c r="H990" i="4" s="1"/>
  <c r="N990" i="3"/>
  <c r="M990" i="3"/>
  <c r="G990" i="4" s="1"/>
  <c r="L990" i="3"/>
  <c r="P989" i="3"/>
  <c r="F989" i="4" s="1"/>
  <c r="O989" i="3"/>
  <c r="H989" i="4" s="1"/>
  <c r="N989" i="3"/>
  <c r="M989" i="3"/>
  <c r="G989" i="4" s="1"/>
  <c r="L989" i="3"/>
  <c r="C989" i="4" s="1"/>
  <c r="Q988" i="3"/>
  <c r="E988" i="4" s="1"/>
  <c r="P988" i="3"/>
  <c r="F988" i="4" s="1"/>
  <c r="O988" i="3"/>
  <c r="H988" i="4" s="1"/>
  <c r="N988" i="3"/>
  <c r="M988" i="3"/>
  <c r="G988" i="4" s="1"/>
  <c r="L988" i="3"/>
  <c r="C988" i="4" s="1"/>
  <c r="Q987" i="3"/>
  <c r="E987" i="4" s="1"/>
  <c r="P987" i="3"/>
  <c r="F987" i="4" s="1"/>
  <c r="O987" i="3"/>
  <c r="H987" i="4" s="1"/>
  <c r="N987" i="3"/>
  <c r="M987" i="3"/>
  <c r="G987" i="4" s="1"/>
  <c r="L987" i="3"/>
  <c r="C987" i="4" s="1"/>
  <c r="P986" i="3"/>
  <c r="F986" i="4" s="1"/>
  <c r="O986" i="3"/>
  <c r="H986" i="4" s="1"/>
  <c r="N986" i="3"/>
  <c r="M986" i="3"/>
  <c r="G986" i="4" s="1"/>
  <c r="L986" i="3"/>
  <c r="C986" i="4" s="1"/>
  <c r="Q985" i="3"/>
  <c r="E985" i="4" s="1"/>
  <c r="P985" i="3"/>
  <c r="F985" i="4" s="1"/>
  <c r="O985" i="3"/>
  <c r="H985" i="4" s="1"/>
  <c r="N985" i="3"/>
  <c r="M985" i="3"/>
  <c r="G985" i="4" s="1"/>
  <c r="L985" i="3"/>
  <c r="C985" i="4" s="1"/>
  <c r="R984" i="3"/>
  <c r="D984" i="4" s="1"/>
  <c r="Q984" i="3"/>
  <c r="E984" i="4" s="1"/>
  <c r="P984" i="3"/>
  <c r="F984" i="4" s="1"/>
  <c r="O984" i="3"/>
  <c r="H984" i="4" s="1"/>
  <c r="N984" i="3"/>
  <c r="M984" i="3"/>
  <c r="G984" i="4" s="1"/>
  <c r="L984" i="3"/>
  <c r="C984" i="4" s="1"/>
  <c r="Q983" i="3"/>
  <c r="E983" i="4" s="1"/>
  <c r="P983" i="3"/>
  <c r="F983" i="4" s="1"/>
  <c r="O983" i="3"/>
  <c r="H983" i="4" s="1"/>
  <c r="N983" i="3"/>
  <c r="M983" i="3"/>
  <c r="G983" i="4" s="1"/>
  <c r="L983" i="3"/>
  <c r="C983" i="4" s="1"/>
  <c r="P982" i="3"/>
  <c r="F982" i="4" s="1"/>
  <c r="O982" i="3"/>
  <c r="H982" i="4" s="1"/>
  <c r="N982" i="3"/>
  <c r="M982" i="3"/>
  <c r="G982" i="4" s="1"/>
  <c r="L982" i="3"/>
  <c r="P981" i="3"/>
  <c r="F981" i="4" s="1"/>
  <c r="O981" i="3"/>
  <c r="H981" i="4" s="1"/>
  <c r="N981" i="3"/>
  <c r="M981" i="3"/>
  <c r="G981" i="4" s="1"/>
  <c r="L981" i="3"/>
  <c r="P980" i="3"/>
  <c r="F980" i="4" s="1"/>
  <c r="O980" i="3"/>
  <c r="H980" i="4" s="1"/>
  <c r="N980" i="3"/>
  <c r="M980" i="3"/>
  <c r="G980" i="4" s="1"/>
  <c r="L980" i="3"/>
  <c r="C980" i="4" s="1"/>
  <c r="Q979" i="3"/>
  <c r="E979" i="4" s="1"/>
  <c r="P979" i="3"/>
  <c r="F979" i="4" s="1"/>
  <c r="O979" i="3"/>
  <c r="H979" i="4" s="1"/>
  <c r="N979" i="3"/>
  <c r="M979" i="3"/>
  <c r="G979" i="4" s="1"/>
  <c r="L979" i="3"/>
  <c r="C979" i="4" s="1"/>
  <c r="Q978" i="3"/>
  <c r="E978" i="4" s="1"/>
  <c r="P978" i="3"/>
  <c r="F978" i="4" s="1"/>
  <c r="O978" i="3"/>
  <c r="H978" i="4" s="1"/>
  <c r="N978" i="3"/>
  <c r="M978" i="3"/>
  <c r="G978" i="4" s="1"/>
  <c r="L978" i="3"/>
  <c r="C978" i="4" s="1"/>
  <c r="Q977" i="3"/>
  <c r="E977" i="4" s="1"/>
  <c r="P977" i="3"/>
  <c r="F977" i="4" s="1"/>
  <c r="O977" i="3"/>
  <c r="H977" i="4" s="1"/>
  <c r="N977" i="3"/>
  <c r="M977" i="3"/>
  <c r="G977" i="4" s="1"/>
  <c r="L977" i="3"/>
  <c r="C977" i="4" s="1"/>
  <c r="P976" i="3"/>
  <c r="F976" i="4" s="1"/>
  <c r="O976" i="3"/>
  <c r="H976" i="4" s="1"/>
  <c r="N976" i="3"/>
  <c r="M976" i="3"/>
  <c r="G976" i="4" s="1"/>
  <c r="L976" i="3"/>
  <c r="C976" i="4" s="1"/>
  <c r="P975" i="3"/>
  <c r="F975" i="4" s="1"/>
  <c r="O975" i="3"/>
  <c r="H975" i="4" s="1"/>
  <c r="N975" i="3"/>
  <c r="M975" i="3"/>
  <c r="G975" i="4" s="1"/>
  <c r="L975" i="3"/>
  <c r="P974" i="3"/>
  <c r="F974" i="4" s="1"/>
  <c r="O974" i="3"/>
  <c r="H974" i="4" s="1"/>
  <c r="N974" i="3"/>
  <c r="M974" i="3"/>
  <c r="G974" i="4" s="1"/>
  <c r="L974" i="3"/>
  <c r="P973" i="3"/>
  <c r="F973" i="4" s="1"/>
  <c r="O973" i="3"/>
  <c r="H973" i="4" s="1"/>
  <c r="N973" i="3"/>
  <c r="M973" i="3"/>
  <c r="G973" i="4" s="1"/>
  <c r="L973" i="3"/>
  <c r="C973" i="4" s="1"/>
  <c r="P972" i="3"/>
  <c r="F972" i="4" s="1"/>
  <c r="O972" i="3"/>
  <c r="H972" i="4" s="1"/>
  <c r="N972" i="3"/>
  <c r="M972" i="3"/>
  <c r="G972" i="4" s="1"/>
  <c r="L972" i="3"/>
  <c r="C972" i="4" s="1"/>
  <c r="Q971" i="3"/>
  <c r="E971" i="4" s="1"/>
  <c r="P971" i="3"/>
  <c r="F971" i="4" s="1"/>
  <c r="O971" i="3"/>
  <c r="H971" i="4" s="1"/>
  <c r="N971" i="3"/>
  <c r="M971" i="3"/>
  <c r="G971" i="4" s="1"/>
  <c r="L971" i="3"/>
  <c r="C971" i="4" s="1"/>
  <c r="Q970" i="3"/>
  <c r="E970" i="4" s="1"/>
  <c r="P970" i="3"/>
  <c r="F970" i="4" s="1"/>
  <c r="O970" i="3"/>
  <c r="H970" i="4" s="1"/>
  <c r="N970" i="3"/>
  <c r="M970" i="3"/>
  <c r="G970" i="4" s="1"/>
  <c r="L970" i="3"/>
  <c r="C970" i="4" s="1"/>
  <c r="Q969" i="3"/>
  <c r="E969" i="4" s="1"/>
  <c r="P969" i="3"/>
  <c r="F969" i="4" s="1"/>
  <c r="O969" i="3"/>
  <c r="H969" i="4" s="1"/>
  <c r="N969" i="3"/>
  <c r="M969" i="3"/>
  <c r="G969" i="4" s="1"/>
  <c r="L969" i="3"/>
  <c r="C969" i="4" s="1"/>
  <c r="Q968" i="3"/>
  <c r="E968" i="4" s="1"/>
  <c r="P968" i="3"/>
  <c r="F968" i="4" s="1"/>
  <c r="O968" i="3"/>
  <c r="H968" i="4" s="1"/>
  <c r="N968" i="3"/>
  <c r="M968" i="3"/>
  <c r="G968" i="4" s="1"/>
  <c r="L968" i="3"/>
  <c r="C968" i="4" s="1"/>
  <c r="P967" i="3"/>
  <c r="F967" i="4" s="1"/>
  <c r="O967" i="3"/>
  <c r="H967" i="4" s="1"/>
  <c r="N967" i="3"/>
  <c r="M967" i="3"/>
  <c r="G967" i="4" s="1"/>
  <c r="L967" i="3"/>
  <c r="C967" i="4" s="1"/>
  <c r="P966" i="3"/>
  <c r="F966" i="4" s="1"/>
  <c r="O966" i="3"/>
  <c r="H966" i="4" s="1"/>
  <c r="N966" i="3"/>
  <c r="M966" i="3"/>
  <c r="G966" i="4" s="1"/>
  <c r="L966" i="3"/>
  <c r="P965" i="3"/>
  <c r="F965" i="4" s="1"/>
  <c r="O965" i="3"/>
  <c r="H965" i="4" s="1"/>
  <c r="N965" i="3"/>
  <c r="M965" i="3"/>
  <c r="G965" i="4" s="1"/>
  <c r="L965" i="3"/>
  <c r="P964" i="3"/>
  <c r="F964" i="4" s="1"/>
  <c r="O964" i="3"/>
  <c r="H964" i="4" s="1"/>
  <c r="N964" i="3"/>
  <c r="M964" i="3"/>
  <c r="G964" i="4" s="1"/>
  <c r="L964" i="3"/>
  <c r="C964" i="4" s="1"/>
  <c r="P963" i="3"/>
  <c r="F963" i="4" s="1"/>
  <c r="O963" i="3"/>
  <c r="H963" i="4" s="1"/>
  <c r="N963" i="3"/>
  <c r="M963" i="3"/>
  <c r="G963" i="4" s="1"/>
  <c r="L963" i="3"/>
  <c r="C963" i="4" s="1"/>
  <c r="Q962" i="3"/>
  <c r="E962" i="4" s="1"/>
  <c r="P962" i="3"/>
  <c r="F962" i="4" s="1"/>
  <c r="O962" i="3"/>
  <c r="H962" i="4" s="1"/>
  <c r="N962" i="3"/>
  <c r="M962" i="3"/>
  <c r="G962" i="4" s="1"/>
  <c r="L962" i="3"/>
  <c r="C962" i="4" s="1"/>
  <c r="Q961" i="3"/>
  <c r="E961" i="4" s="1"/>
  <c r="P961" i="3"/>
  <c r="F961" i="4" s="1"/>
  <c r="O961" i="3"/>
  <c r="H961" i="4" s="1"/>
  <c r="N961" i="3"/>
  <c r="M961" i="3"/>
  <c r="G961" i="4" s="1"/>
  <c r="L961" i="3"/>
  <c r="C961" i="4" s="1"/>
  <c r="P960" i="3"/>
  <c r="F960" i="4" s="1"/>
  <c r="O960" i="3"/>
  <c r="H960" i="4" s="1"/>
  <c r="N960" i="3"/>
  <c r="M960" i="3"/>
  <c r="G960" i="4" s="1"/>
  <c r="L960" i="3"/>
  <c r="C960" i="4" s="1"/>
  <c r="Q959" i="3"/>
  <c r="E959" i="4" s="1"/>
  <c r="P959" i="3"/>
  <c r="F959" i="4" s="1"/>
  <c r="O959" i="3"/>
  <c r="H959" i="4" s="1"/>
  <c r="N959" i="3"/>
  <c r="M959" i="3"/>
  <c r="G959" i="4" s="1"/>
  <c r="L959" i="3"/>
  <c r="Q958" i="3"/>
  <c r="E958" i="4" s="1"/>
  <c r="P958" i="3"/>
  <c r="F958" i="4" s="1"/>
  <c r="O958" i="3"/>
  <c r="H958" i="4" s="1"/>
  <c r="N958" i="3"/>
  <c r="M958" i="3"/>
  <c r="G958" i="4" s="1"/>
  <c r="L958" i="3"/>
  <c r="C958" i="4" s="1"/>
  <c r="P957" i="3"/>
  <c r="F957" i="4" s="1"/>
  <c r="O957" i="3"/>
  <c r="H957" i="4" s="1"/>
  <c r="N957" i="3"/>
  <c r="M957" i="3"/>
  <c r="G957" i="4" s="1"/>
  <c r="L957" i="3"/>
  <c r="C957" i="4" s="1"/>
  <c r="P956" i="3"/>
  <c r="F956" i="4" s="1"/>
  <c r="O956" i="3"/>
  <c r="H956" i="4" s="1"/>
  <c r="N956" i="3"/>
  <c r="M956" i="3"/>
  <c r="G956" i="4" s="1"/>
  <c r="L956" i="3"/>
  <c r="C956" i="4" s="1"/>
  <c r="Q955" i="3"/>
  <c r="E955" i="4" s="1"/>
  <c r="P955" i="3"/>
  <c r="F955" i="4" s="1"/>
  <c r="O955" i="3"/>
  <c r="H955" i="4" s="1"/>
  <c r="N955" i="3"/>
  <c r="M955" i="3"/>
  <c r="G955" i="4" s="1"/>
  <c r="L955" i="3"/>
  <c r="C955" i="4" s="1"/>
  <c r="Q954" i="3"/>
  <c r="E954" i="4" s="1"/>
  <c r="P954" i="3"/>
  <c r="F954" i="4" s="1"/>
  <c r="O954" i="3"/>
  <c r="H954" i="4" s="1"/>
  <c r="N954" i="3"/>
  <c r="M954" i="3"/>
  <c r="G954" i="4" s="1"/>
  <c r="L954" i="3"/>
  <c r="C954" i="4" s="1"/>
  <c r="R953" i="3"/>
  <c r="D953" i="4" s="1"/>
  <c r="Q953" i="3"/>
  <c r="E953" i="4" s="1"/>
  <c r="P953" i="3"/>
  <c r="F953" i="4" s="1"/>
  <c r="O953" i="3"/>
  <c r="H953" i="4" s="1"/>
  <c r="N953" i="3"/>
  <c r="M953" i="3"/>
  <c r="G953" i="4" s="1"/>
  <c r="L953" i="3"/>
  <c r="C953" i="4" s="1"/>
  <c r="P952" i="3"/>
  <c r="F952" i="4" s="1"/>
  <c r="O952" i="3"/>
  <c r="H952" i="4" s="1"/>
  <c r="N952" i="3"/>
  <c r="M952" i="3"/>
  <c r="G952" i="4" s="1"/>
  <c r="L952" i="3"/>
  <c r="C952" i="4" s="1"/>
  <c r="P951" i="3"/>
  <c r="F951" i="4" s="1"/>
  <c r="O951" i="3"/>
  <c r="H951" i="4" s="1"/>
  <c r="N951" i="3"/>
  <c r="M951" i="3"/>
  <c r="G951" i="4" s="1"/>
  <c r="L951" i="3"/>
  <c r="C951" i="4" s="1"/>
  <c r="P950" i="3"/>
  <c r="F950" i="4" s="1"/>
  <c r="O950" i="3"/>
  <c r="H950" i="4" s="1"/>
  <c r="N950" i="3"/>
  <c r="M950" i="3"/>
  <c r="G950" i="4" s="1"/>
  <c r="L950" i="3"/>
  <c r="P949" i="3"/>
  <c r="F949" i="4" s="1"/>
  <c r="O949" i="3"/>
  <c r="H949" i="4" s="1"/>
  <c r="N949" i="3"/>
  <c r="M949" i="3"/>
  <c r="G949" i="4" s="1"/>
  <c r="L949" i="3"/>
  <c r="C949" i="4" s="1"/>
  <c r="Q948" i="3"/>
  <c r="E948" i="4" s="1"/>
  <c r="P948" i="3"/>
  <c r="F948" i="4" s="1"/>
  <c r="O948" i="3"/>
  <c r="H948" i="4" s="1"/>
  <c r="N948" i="3"/>
  <c r="M948" i="3"/>
  <c r="G948" i="4" s="1"/>
  <c r="L948" i="3"/>
  <c r="C948" i="4" s="1"/>
  <c r="Q947" i="3"/>
  <c r="E947" i="4" s="1"/>
  <c r="P947" i="3"/>
  <c r="F947" i="4" s="1"/>
  <c r="O947" i="3"/>
  <c r="H947" i="4" s="1"/>
  <c r="N947" i="3"/>
  <c r="M947" i="3"/>
  <c r="G947" i="4" s="1"/>
  <c r="L947" i="3"/>
  <c r="C947" i="4" s="1"/>
  <c r="P946" i="3"/>
  <c r="F946" i="4" s="1"/>
  <c r="O946" i="3"/>
  <c r="H946" i="4" s="1"/>
  <c r="N946" i="3"/>
  <c r="M946" i="3"/>
  <c r="G946" i="4" s="1"/>
  <c r="L946" i="3"/>
  <c r="C946" i="4" s="1"/>
  <c r="P945" i="3"/>
  <c r="F945" i="4" s="1"/>
  <c r="O945" i="3"/>
  <c r="H945" i="4" s="1"/>
  <c r="N945" i="3"/>
  <c r="M945" i="3"/>
  <c r="G945" i="4" s="1"/>
  <c r="L945" i="3"/>
  <c r="C945" i="4" s="1"/>
  <c r="P944" i="3"/>
  <c r="F944" i="4" s="1"/>
  <c r="O944" i="3"/>
  <c r="H944" i="4" s="1"/>
  <c r="N944" i="3"/>
  <c r="M944" i="3"/>
  <c r="G944" i="4" s="1"/>
  <c r="L944" i="3"/>
  <c r="C944" i="4" s="1"/>
  <c r="Q943" i="3"/>
  <c r="E943" i="4" s="1"/>
  <c r="P943" i="3"/>
  <c r="F943" i="4" s="1"/>
  <c r="O943" i="3"/>
  <c r="H943" i="4" s="1"/>
  <c r="N943" i="3"/>
  <c r="M943" i="3"/>
  <c r="G943" i="4" s="1"/>
  <c r="L943" i="3"/>
  <c r="C943" i="4" s="1"/>
  <c r="Q942" i="3"/>
  <c r="E942" i="4" s="1"/>
  <c r="P942" i="3"/>
  <c r="F942" i="4" s="1"/>
  <c r="O942" i="3"/>
  <c r="H942" i="4" s="1"/>
  <c r="N942" i="3"/>
  <c r="M942" i="3"/>
  <c r="G942" i="4" s="1"/>
  <c r="L942" i="3"/>
  <c r="C942" i="4" s="1"/>
  <c r="Q941" i="3"/>
  <c r="E941" i="4" s="1"/>
  <c r="P941" i="3"/>
  <c r="F941" i="4" s="1"/>
  <c r="O941" i="3"/>
  <c r="H941" i="4" s="1"/>
  <c r="N941" i="3"/>
  <c r="M941" i="3"/>
  <c r="G941" i="4" s="1"/>
  <c r="L941" i="3"/>
  <c r="C941" i="4" s="1"/>
  <c r="P940" i="3"/>
  <c r="F940" i="4" s="1"/>
  <c r="O940" i="3"/>
  <c r="H940" i="4" s="1"/>
  <c r="N940" i="3"/>
  <c r="M940" i="3"/>
  <c r="G940" i="4" s="1"/>
  <c r="L940" i="3"/>
  <c r="C940" i="4" s="1"/>
  <c r="P939" i="3"/>
  <c r="F939" i="4" s="1"/>
  <c r="O939" i="3"/>
  <c r="H939" i="4" s="1"/>
  <c r="N939" i="3"/>
  <c r="M939" i="3"/>
  <c r="G939" i="4" s="1"/>
  <c r="L939" i="3"/>
  <c r="C939" i="4" s="1"/>
  <c r="P938" i="3"/>
  <c r="F938" i="4" s="1"/>
  <c r="O938" i="3"/>
  <c r="H938" i="4" s="1"/>
  <c r="N938" i="3"/>
  <c r="M938" i="3"/>
  <c r="G938" i="4" s="1"/>
  <c r="L938" i="3"/>
  <c r="C938" i="4" s="1"/>
  <c r="Q937" i="3"/>
  <c r="E937" i="4" s="1"/>
  <c r="P937" i="3"/>
  <c r="F937" i="4" s="1"/>
  <c r="O937" i="3"/>
  <c r="H937" i="4" s="1"/>
  <c r="N937" i="3"/>
  <c r="M937" i="3"/>
  <c r="G937" i="4" s="1"/>
  <c r="L937" i="3"/>
  <c r="C937" i="4" s="1"/>
  <c r="Q936" i="3"/>
  <c r="E936" i="4" s="1"/>
  <c r="P936" i="3"/>
  <c r="F936" i="4" s="1"/>
  <c r="O936" i="3"/>
  <c r="H936" i="4" s="1"/>
  <c r="N936" i="3"/>
  <c r="M936" i="3"/>
  <c r="G936" i="4" s="1"/>
  <c r="L936" i="3"/>
  <c r="C936" i="4" s="1"/>
  <c r="Q935" i="3"/>
  <c r="E935" i="4" s="1"/>
  <c r="P935" i="3"/>
  <c r="F935" i="4" s="1"/>
  <c r="O935" i="3"/>
  <c r="H935" i="4" s="1"/>
  <c r="N935" i="3"/>
  <c r="M935" i="3"/>
  <c r="G935" i="4" s="1"/>
  <c r="L935" i="3"/>
  <c r="C935" i="4" s="1"/>
  <c r="P934" i="3"/>
  <c r="F934" i="4" s="1"/>
  <c r="O934" i="3"/>
  <c r="H934" i="4" s="1"/>
  <c r="N934" i="3"/>
  <c r="M934" i="3"/>
  <c r="G934" i="4" s="1"/>
  <c r="L934" i="3"/>
  <c r="C934" i="4" s="1"/>
  <c r="P933" i="3"/>
  <c r="F933" i="4" s="1"/>
  <c r="O933" i="3"/>
  <c r="H933" i="4" s="1"/>
  <c r="N933" i="3"/>
  <c r="M933" i="3"/>
  <c r="G933" i="4" s="1"/>
  <c r="L933" i="3"/>
  <c r="C933" i="4" s="1"/>
  <c r="Q932" i="3"/>
  <c r="E932" i="4" s="1"/>
  <c r="P932" i="3"/>
  <c r="F932" i="4" s="1"/>
  <c r="O932" i="3"/>
  <c r="H932" i="4" s="1"/>
  <c r="N932" i="3"/>
  <c r="M932" i="3"/>
  <c r="G932" i="4" s="1"/>
  <c r="L932" i="3"/>
  <c r="C932" i="4" s="1"/>
  <c r="Q931" i="3"/>
  <c r="E931" i="4" s="1"/>
  <c r="P931" i="3"/>
  <c r="F931" i="4" s="1"/>
  <c r="O931" i="3"/>
  <c r="H931" i="4" s="1"/>
  <c r="N931" i="3"/>
  <c r="M931" i="3"/>
  <c r="G931" i="4" s="1"/>
  <c r="L931" i="3"/>
  <c r="C931" i="4" s="1"/>
  <c r="P930" i="3"/>
  <c r="F930" i="4" s="1"/>
  <c r="O930" i="3"/>
  <c r="H930" i="4" s="1"/>
  <c r="N930" i="3"/>
  <c r="M930" i="3"/>
  <c r="G930" i="4" s="1"/>
  <c r="L930" i="3"/>
  <c r="C930" i="4" s="1"/>
  <c r="P929" i="3"/>
  <c r="F929" i="4" s="1"/>
  <c r="O929" i="3"/>
  <c r="H929" i="4" s="1"/>
  <c r="N929" i="3"/>
  <c r="M929" i="3"/>
  <c r="G929" i="4" s="1"/>
  <c r="L929" i="3"/>
  <c r="C929" i="4" s="1"/>
  <c r="P928" i="3"/>
  <c r="F928" i="4" s="1"/>
  <c r="O928" i="3"/>
  <c r="H928" i="4" s="1"/>
  <c r="N928" i="3"/>
  <c r="M928" i="3"/>
  <c r="G928" i="4" s="1"/>
  <c r="L928" i="3"/>
  <c r="C928" i="4" s="1"/>
  <c r="Q927" i="3"/>
  <c r="E927" i="4" s="1"/>
  <c r="P927" i="3"/>
  <c r="F927" i="4" s="1"/>
  <c r="O927" i="3"/>
  <c r="H927" i="4" s="1"/>
  <c r="N927" i="3"/>
  <c r="M927" i="3"/>
  <c r="G927" i="4" s="1"/>
  <c r="L927" i="3"/>
  <c r="C927" i="4" s="1"/>
  <c r="Q926" i="3"/>
  <c r="E926" i="4" s="1"/>
  <c r="P926" i="3"/>
  <c r="F926" i="4" s="1"/>
  <c r="O926" i="3"/>
  <c r="H926" i="4" s="1"/>
  <c r="N926" i="3"/>
  <c r="M926" i="3"/>
  <c r="G926" i="4" s="1"/>
  <c r="L926" i="3"/>
  <c r="C926" i="4" s="1"/>
  <c r="Q925" i="3"/>
  <c r="E925" i="4" s="1"/>
  <c r="P925" i="3"/>
  <c r="F925" i="4" s="1"/>
  <c r="O925" i="3"/>
  <c r="H925" i="4" s="1"/>
  <c r="N925" i="3"/>
  <c r="M925" i="3"/>
  <c r="G925" i="4" s="1"/>
  <c r="L925" i="3"/>
  <c r="C925" i="4" s="1"/>
  <c r="P924" i="3"/>
  <c r="F924" i="4" s="1"/>
  <c r="O924" i="3"/>
  <c r="H924" i="4" s="1"/>
  <c r="N924" i="3"/>
  <c r="M924" i="3"/>
  <c r="G924" i="4" s="1"/>
  <c r="L924" i="3"/>
  <c r="C924" i="4" s="1"/>
  <c r="P923" i="3"/>
  <c r="F923" i="4" s="1"/>
  <c r="O923" i="3"/>
  <c r="H923" i="4" s="1"/>
  <c r="N923" i="3"/>
  <c r="M923" i="3"/>
  <c r="G923" i="4" s="1"/>
  <c r="L923" i="3"/>
  <c r="C923" i="4" s="1"/>
  <c r="P922" i="3"/>
  <c r="F922" i="4" s="1"/>
  <c r="O922" i="3"/>
  <c r="H922" i="4" s="1"/>
  <c r="N922" i="3"/>
  <c r="M922" i="3"/>
  <c r="G922" i="4" s="1"/>
  <c r="L922" i="3"/>
  <c r="C922" i="4" s="1"/>
  <c r="Q921" i="3"/>
  <c r="E921" i="4" s="1"/>
  <c r="P921" i="3"/>
  <c r="F921" i="4" s="1"/>
  <c r="O921" i="3"/>
  <c r="H921" i="4" s="1"/>
  <c r="N921" i="3"/>
  <c r="M921" i="3"/>
  <c r="G921" i="4" s="1"/>
  <c r="L921" i="3"/>
  <c r="C921" i="4" s="1"/>
  <c r="Q920" i="3"/>
  <c r="E920" i="4" s="1"/>
  <c r="P920" i="3"/>
  <c r="F920" i="4" s="1"/>
  <c r="O920" i="3"/>
  <c r="H920" i="4" s="1"/>
  <c r="N920" i="3"/>
  <c r="M920" i="3"/>
  <c r="G920" i="4" s="1"/>
  <c r="L920" i="3"/>
  <c r="C920" i="4" s="1"/>
  <c r="R919" i="3"/>
  <c r="D919" i="4" s="1"/>
  <c r="Q919" i="3"/>
  <c r="E919" i="4" s="1"/>
  <c r="P919" i="3"/>
  <c r="F919" i="4" s="1"/>
  <c r="O919" i="3"/>
  <c r="H919" i="4" s="1"/>
  <c r="N919" i="3"/>
  <c r="M919" i="3"/>
  <c r="G919" i="4" s="1"/>
  <c r="L919" i="3"/>
  <c r="C919" i="4" s="1"/>
  <c r="P918" i="3"/>
  <c r="F918" i="4" s="1"/>
  <c r="O918" i="3"/>
  <c r="H918" i="4" s="1"/>
  <c r="N918" i="3"/>
  <c r="M918" i="3"/>
  <c r="G918" i="4" s="1"/>
  <c r="L918" i="3"/>
  <c r="C918" i="4" s="1"/>
  <c r="P917" i="3"/>
  <c r="F917" i="4" s="1"/>
  <c r="O917" i="3"/>
  <c r="H917" i="4" s="1"/>
  <c r="N917" i="3"/>
  <c r="M917" i="3"/>
  <c r="G917" i="4" s="1"/>
  <c r="L917" i="3"/>
  <c r="C917" i="4" s="1"/>
  <c r="Q916" i="3"/>
  <c r="E916" i="4" s="1"/>
  <c r="P916" i="3"/>
  <c r="F916" i="4" s="1"/>
  <c r="O916" i="3"/>
  <c r="H916" i="4" s="1"/>
  <c r="N916" i="3"/>
  <c r="M916" i="3"/>
  <c r="G916" i="4" s="1"/>
  <c r="L916" i="3"/>
  <c r="C916" i="4" s="1"/>
  <c r="Q915" i="3"/>
  <c r="E915" i="4" s="1"/>
  <c r="P915" i="3"/>
  <c r="F915" i="4" s="1"/>
  <c r="O915" i="3"/>
  <c r="H915" i="4" s="1"/>
  <c r="N915" i="3"/>
  <c r="M915" i="3"/>
  <c r="G915" i="4" s="1"/>
  <c r="L915" i="3"/>
  <c r="C915" i="4" s="1"/>
  <c r="P914" i="3"/>
  <c r="F914" i="4" s="1"/>
  <c r="O914" i="3"/>
  <c r="H914" i="4" s="1"/>
  <c r="N914" i="3"/>
  <c r="M914" i="3"/>
  <c r="G914" i="4" s="1"/>
  <c r="L914" i="3"/>
  <c r="C914" i="4" s="1"/>
  <c r="P913" i="3"/>
  <c r="F913" i="4" s="1"/>
  <c r="O913" i="3"/>
  <c r="H913" i="4" s="1"/>
  <c r="N913" i="3"/>
  <c r="M913" i="3"/>
  <c r="G913" i="4" s="1"/>
  <c r="L913" i="3"/>
  <c r="C913" i="4" s="1"/>
  <c r="P912" i="3"/>
  <c r="F912" i="4" s="1"/>
  <c r="O912" i="3"/>
  <c r="H912" i="4" s="1"/>
  <c r="N912" i="3"/>
  <c r="M912" i="3"/>
  <c r="G912" i="4" s="1"/>
  <c r="L912" i="3"/>
  <c r="C912" i="4" s="1"/>
  <c r="Q911" i="3"/>
  <c r="E911" i="4" s="1"/>
  <c r="P911" i="3"/>
  <c r="F911" i="4" s="1"/>
  <c r="O911" i="3"/>
  <c r="H911" i="4" s="1"/>
  <c r="N911" i="3"/>
  <c r="M911" i="3"/>
  <c r="G911" i="4" s="1"/>
  <c r="L911" i="3"/>
  <c r="C911" i="4" s="1"/>
  <c r="Q910" i="3"/>
  <c r="E910" i="4" s="1"/>
  <c r="P910" i="3"/>
  <c r="F910" i="4" s="1"/>
  <c r="O910" i="3"/>
  <c r="H910" i="4" s="1"/>
  <c r="N910" i="3"/>
  <c r="M910" i="3"/>
  <c r="G910" i="4" s="1"/>
  <c r="L910" i="3"/>
  <c r="C910" i="4" s="1"/>
  <c r="Q909" i="3"/>
  <c r="E909" i="4" s="1"/>
  <c r="P909" i="3"/>
  <c r="F909" i="4" s="1"/>
  <c r="O909" i="3"/>
  <c r="H909" i="4" s="1"/>
  <c r="N909" i="3"/>
  <c r="M909" i="3"/>
  <c r="G909" i="4" s="1"/>
  <c r="L909" i="3"/>
  <c r="C909" i="4" s="1"/>
  <c r="P908" i="3"/>
  <c r="F908" i="4" s="1"/>
  <c r="O908" i="3"/>
  <c r="H908" i="4" s="1"/>
  <c r="N908" i="3"/>
  <c r="M908" i="3"/>
  <c r="G908" i="4" s="1"/>
  <c r="L908" i="3"/>
  <c r="C908" i="4" s="1"/>
  <c r="P907" i="3"/>
  <c r="F907" i="4" s="1"/>
  <c r="O907" i="3"/>
  <c r="H907" i="4" s="1"/>
  <c r="N907" i="3"/>
  <c r="M907" i="3"/>
  <c r="G907" i="4" s="1"/>
  <c r="L907" i="3"/>
  <c r="C907" i="4" s="1"/>
  <c r="P906" i="3"/>
  <c r="F906" i="4" s="1"/>
  <c r="O906" i="3"/>
  <c r="H906" i="4" s="1"/>
  <c r="N906" i="3"/>
  <c r="M906" i="3"/>
  <c r="G906" i="4" s="1"/>
  <c r="L906" i="3"/>
  <c r="C906" i="4" s="1"/>
  <c r="Q905" i="3"/>
  <c r="E905" i="4" s="1"/>
  <c r="P905" i="3"/>
  <c r="F905" i="4" s="1"/>
  <c r="O905" i="3"/>
  <c r="H905" i="4" s="1"/>
  <c r="N905" i="3"/>
  <c r="M905" i="3"/>
  <c r="G905" i="4" s="1"/>
  <c r="L905" i="3"/>
  <c r="C905" i="4" s="1"/>
  <c r="R904" i="3"/>
  <c r="D904" i="4" s="1"/>
  <c r="Q904" i="3"/>
  <c r="E904" i="4" s="1"/>
  <c r="P904" i="3"/>
  <c r="F904" i="4" s="1"/>
  <c r="O904" i="3"/>
  <c r="H904" i="4" s="1"/>
  <c r="N904" i="3"/>
  <c r="M904" i="3"/>
  <c r="G904" i="4" s="1"/>
  <c r="L904" i="3"/>
  <c r="C904" i="4" s="1"/>
  <c r="R903" i="3"/>
  <c r="D903" i="4" s="1"/>
  <c r="Q903" i="3"/>
  <c r="E903" i="4" s="1"/>
  <c r="P903" i="3"/>
  <c r="F903" i="4" s="1"/>
  <c r="O903" i="3"/>
  <c r="H903" i="4" s="1"/>
  <c r="N903" i="3"/>
  <c r="M903" i="3"/>
  <c r="G903" i="4" s="1"/>
  <c r="L903" i="3"/>
  <c r="C903" i="4" s="1"/>
  <c r="P902" i="3"/>
  <c r="F902" i="4" s="1"/>
  <c r="O902" i="3"/>
  <c r="H902" i="4" s="1"/>
  <c r="N902" i="3"/>
  <c r="M902" i="3"/>
  <c r="G902" i="4" s="1"/>
  <c r="L902" i="3"/>
  <c r="C902" i="4" s="1"/>
  <c r="P901" i="3"/>
  <c r="F901" i="4" s="1"/>
  <c r="O901" i="3"/>
  <c r="H901" i="4" s="1"/>
  <c r="N901" i="3"/>
  <c r="M901" i="3"/>
  <c r="G901" i="4" s="1"/>
  <c r="L901" i="3"/>
  <c r="C901" i="4" s="1"/>
  <c r="Q900" i="3"/>
  <c r="E900" i="4" s="1"/>
  <c r="P900" i="3"/>
  <c r="F900" i="4" s="1"/>
  <c r="O900" i="3"/>
  <c r="H900" i="4" s="1"/>
  <c r="N900" i="3"/>
  <c r="M900" i="3"/>
  <c r="G900" i="4" s="1"/>
  <c r="L900" i="3"/>
  <c r="C900" i="4" s="1"/>
  <c r="Q899" i="3"/>
  <c r="E899" i="4" s="1"/>
  <c r="P899" i="3"/>
  <c r="F899" i="4" s="1"/>
  <c r="O899" i="3"/>
  <c r="H899" i="4" s="1"/>
  <c r="N899" i="3"/>
  <c r="M899" i="3"/>
  <c r="G899" i="4" s="1"/>
  <c r="L899" i="3"/>
  <c r="C899" i="4" s="1"/>
  <c r="P898" i="3"/>
  <c r="F898" i="4" s="1"/>
  <c r="O898" i="3"/>
  <c r="H898" i="4" s="1"/>
  <c r="N898" i="3"/>
  <c r="M898" i="3"/>
  <c r="G898" i="4" s="1"/>
  <c r="L898" i="3"/>
  <c r="C898" i="4" s="1"/>
  <c r="P897" i="3"/>
  <c r="F897" i="4" s="1"/>
  <c r="O897" i="3"/>
  <c r="H897" i="4" s="1"/>
  <c r="N897" i="3"/>
  <c r="M897" i="3"/>
  <c r="G897" i="4" s="1"/>
  <c r="L897" i="3"/>
  <c r="C897" i="4" s="1"/>
  <c r="P896" i="3"/>
  <c r="F896" i="4" s="1"/>
  <c r="O896" i="3"/>
  <c r="H896" i="4" s="1"/>
  <c r="N896" i="3"/>
  <c r="M896" i="3"/>
  <c r="G896" i="4" s="1"/>
  <c r="L896" i="3"/>
  <c r="C896" i="4" s="1"/>
  <c r="Q895" i="3"/>
  <c r="E895" i="4" s="1"/>
  <c r="P895" i="3"/>
  <c r="F895" i="4" s="1"/>
  <c r="O895" i="3"/>
  <c r="H895" i="4" s="1"/>
  <c r="N895" i="3"/>
  <c r="M895" i="3"/>
  <c r="G895" i="4" s="1"/>
  <c r="L895" i="3"/>
  <c r="C895" i="4" s="1"/>
  <c r="Q894" i="3"/>
  <c r="E894" i="4" s="1"/>
  <c r="P894" i="3"/>
  <c r="F894" i="4" s="1"/>
  <c r="O894" i="3"/>
  <c r="H894" i="4" s="1"/>
  <c r="N894" i="3"/>
  <c r="M894" i="3"/>
  <c r="G894" i="4" s="1"/>
  <c r="L894" i="3"/>
  <c r="C894" i="4" s="1"/>
  <c r="Q893" i="3"/>
  <c r="E893" i="4" s="1"/>
  <c r="P893" i="3"/>
  <c r="F893" i="4" s="1"/>
  <c r="O893" i="3"/>
  <c r="H893" i="4" s="1"/>
  <c r="N893" i="3"/>
  <c r="M893" i="3"/>
  <c r="G893" i="4" s="1"/>
  <c r="L893" i="3"/>
  <c r="C893" i="4" s="1"/>
  <c r="P892" i="3"/>
  <c r="F892" i="4" s="1"/>
  <c r="O892" i="3"/>
  <c r="H892" i="4" s="1"/>
  <c r="N892" i="3"/>
  <c r="M892" i="3"/>
  <c r="G892" i="4" s="1"/>
  <c r="L892" i="3"/>
  <c r="C892" i="4" s="1"/>
  <c r="P891" i="3"/>
  <c r="F891" i="4" s="1"/>
  <c r="O891" i="3"/>
  <c r="H891" i="4" s="1"/>
  <c r="N891" i="3"/>
  <c r="M891" i="3"/>
  <c r="G891" i="4" s="1"/>
  <c r="L891" i="3"/>
  <c r="C891" i="4" s="1"/>
  <c r="P890" i="3"/>
  <c r="F890" i="4" s="1"/>
  <c r="O890" i="3"/>
  <c r="H890" i="4" s="1"/>
  <c r="N890" i="3"/>
  <c r="M890" i="3"/>
  <c r="G890" i="4" s="1"/>
  <c r="L890" i="3"/>
  <c r="C890" i="4" s="1"/>
  <c r="Q889" i="3"/>
  <c r="E889" i="4" s="1"/>
  <c r="P889" i="3"/>
  <c r="F889" i="4" s="1"/>
  <c r="O889" i="3"/>
  <c r="H889" i="4" s="1"/>
  <c r="N889" i="3"/>
  <c r="M889" i="3"/>
  <c r="G889" i="4" s="1"/>
  <c r="L889" i="3"/>
  <c r="C889" i="4" s="1"/>
  <c r="R888" i="3"/>
  <c r="D888" i="4" s="1"/>
  <c r="Q888" i="3"/>
  <c r="E888" i="4" s="1"/>
  <c r="P888" i="3"/>
  <c r="F888" i="4" s="1"/>
  <c r="O888" i="3"/>
  <c r="H888" i="4" s="1"/>
  <c r="N888" i="3"/>
  <c r="M888" i="3"/>
  <c r="G888" i="4" s="1"/>
  <c r="L888" i="3"/>
  <c r="C888" i="4" s="1"/>
  <c r="Q887" i="3"/>
  <c r="E887" i="4" s="1"/>
  <c r="P887" i="3"/>
  <c r="F887" i="4" s="1"/>
  <c r="O887" i="3"/>
  <c r="H887" i="4" s="1"/>
  <c r="N887" i="3"/>
  <c r="M887" i="3"/>
  <c r="G887" i="4" s="1"/>
  <c r="L887" i="3"/>
  <c r="C887" i="4" s="1"/>
  <c r="P886" i="3"/>
  <c r="F886" i="4" s="1"/>
  <c r="O886" i="3"/>
  <c r="H886" i="4" s="1"/>
  <c r="N886" i="3"/>
  <c r="M886" i="3"/>
  <c r="G886" i="4" s="1"/>
  <c r="L886" i="3"/>
  <c r="C886" i="4" s="1"/>
  <c r="P885" i="3"/>
  <c r="F885" i="4" s="1"/>
  <c r="O885" i="3"/>
  <c r="H885" i="4" s="1"/>
  <c r="N885" i="3"/>
  <c r="M885" i="3"/>
  <c r="G885" i="4" s="1"/>
  <c r="L885" i="3"/>
  <c r="C885" i="4" s="1"/>
  <c r="Q884" i="3"/>
  <c r="E884" i="4" s="1"/>
  <c r="P884" i="3"/>
  <c r="F884" i="4" s="1"/>
  <c r="O884" i="3"/>
  <c r="H884" i="4" s="1"/>
  <c r="N884" i="3"/>
  <c r="M884" i="3"/>
  <c r="G884" i="4" s="1"/>
  <c r="L884" i="3"/>
  <c r="C884" i="4" s="1"/>
  <c r="Q883" i="3"/>
  <c r="E883" i="4" s="1"/>
  <c r="P883" i="3"/>
  <c r="F883" i="4" s="1"/>
  <c r="O883" i="3"/>
  <c r="H883" i="4" s="1"/>
  <c r="N883" i="3"/>
  <c r="M883" i="3"/>
  <c r="G883" i="4" s="1"/>
  <c r="L883" i="3"/>
  <c r="C883" i="4" s="1"/>
  <c r="P882" i="3"/>
  <c r="F882" i="4" s="1"/>
  <c r="O882" i="3"/>
  <c r="H882" i="4" s="1"/>
  <c r="N882" i="3"/>
  <c r="M882" i="3"/>
  <c r="G882" i="4" s="1"/>
  <c r="L882" i="3"/>
  <c r="C882" i="4" s="1"/>
  <c r="P881" i="3"/>
  <c r="F881" i="4" s="1"/>
  <c r="O881" i="3"/>
  <c r="H881" i="4" s="1"/>
  <c r="N881" i="3"/>
  <c r="M881" i="3"/>
  <c r="G881" i="4" s="1"/>
  <c r="L881" i="3"/>
  <c r="C881" i="4" s="1"/>
  <c r="P880" i="3"/>
  <c r="F880" i="4" s="1"/>
  <c r="O880" i="3"/>
  <c r="H880" i="4" s="1"/>
  <c r="N880" i="3"/>
  <c r="M880" i="3"/>
  <c r="G880" i="4" s="1"/>
  <c r="L880" i="3"/>
  <c r="C880" i="4" s="1"/>
  <c r="Q879" i="3"/>
  <c r="E879" i="4" s="1"/>
  <c r="P879" i="3"/>
  <c r="F879" i="4" s="1"/>
  <c r="O879" i="3"/>
  <c r="H879" i="4" s="1"/>
  <c r="N879" i="3"/>
  <c r="M879" i="3"/>
  <c r="G879" i="4" s="1"/>
  <c r="L879" i="3"/>
  <c r="C879" i="4" s="1"/>
  <c r="Q878" i="3"/>
  <c r="E878" i="4" s="1"/>
  <c r="P878" i="3"/>
  <c r="F878" i="4" s="1"/>
  <c r="O878" i="3"/>
  <c r="H878" i="4" s="1"/>
  <c r="N878" i="3"/>
  <c r="M878" i="3"/>
  <c r="G878" i="4" s="1"/>
  <c r="L878" i="3"/>
  <c r="C878" i="4" s="1"/>
  <c r="Q877" i="3"/>
  <c r="E877" i="4" s="1"/>
  <c r="P877" i="3"/>
  <c r="F877" i="4" s="1"/>
  <c r="O877" i="3"/>
  <c r="H877" i="4" s="1"/>
  <c r="N877" i="3"/>
  <c r="M877" i="3"/>
  <c r="G877" i="4" s="1"/>
  <c r="L877" i="3"/>
  <c r="C877" i="4" s="1"/>
  <c r="P876" i="3"/>
  <c r="F876" i="4" s="1"/>
  <c r="O876" i="3"/>
  <c r="H876" i="4" s="1"/>
  <c r="N876" i="3"/>
  <c r="M876" i="3"/>
  <c r="G876" i="4" s="1"/>
  <c r="L876" i="3"/>
  <c r="C876" i="4" s="1"/>
  <c r="P875" i="3"/>
  <c r="F875" i="4" s="1"/>
  <c r="O875" i="3"/>
  <c r="H875" i="4" s="1"/>
  <c r="N875" i="3"/>
  <c r="M875" i="3"/>
  <c r="G875" i="4" s="1"/>
  <c r="L875" i="3"/>
  <c r="C875" i="4" s="1"/>
  <c r="P874" i="3"/>
  <c r="F874" i="4" s="1"/>
  <c r="O874" i="3"/>
  <c r="H874" i="4" s="1"/>
  <c r="N874" i="3"/>
  <c r="M874" i="3"/>
  <c r="G874" i="4" s="1"/>
  <c r="L874" i="3"/>
  <c r="C874" i="4" s="1"/>
  <c r="Q873" i="3"/>
  <c r="E873" i="4" s="1"/>
  <c r="P873" i="3"/>
  <c r="F873" i="4" s="1"/>
  <c r="O873" i="3"/>
  <c r="H873" i="4" s="1"/>
  <c r="N873" i="3"/>
  <c r="M873" i="3"/>
  <c r="G873" i="4" s="1"/>
  <c r="L873" i="3"/>
  <c r="C873" i="4" s="1"/>
  <c r="R872" i="3"/>
  <c r="D872" i="4" s="1"/>
  <c r="Q872" i="3"/>
  <c r="E872" i="4" s="1"/>
  <c r="P872" i="3"/>
  <c r="F872" i="4" s="1"/>
  <c r="O872" i="3"/>
  <c r="H872" i="4" s="1"/>
  <c r="N872" i="3"/>
  <c r="M872" i="3"/>
  <c r="G872" i="4" s="1"/>
  <c r="L872" i="3"/>
  <c r="C872" i="4" s="1"/>
  <c r="Q871" i="3"/>
  <c r="E871" i="4" s="1"/>
  <c r="P871" i="3"/>
  <c r="F871" i="4" s="1"/>
  <c r="O871" i="3"/>
  <c r="H871" i="4" s="1"/>
  <c r="N871" i="3"/>
  <c r="M871" i="3"/>
  <c r="G871" i="4" s="1"/>
  <c r="L871" i="3"/>
  <c r="C871" i="4" s="1"/>
  <c r="P870" i="3"/>
  <c r="F870" i="4" s="1"/>
  <c r="O870" i="3"/>
  <c r="H870" i="4" s="1"/>
  <c r="N870" i="3"/>
  <c r="M870" i="3"/>
  <c r="G870" i="4" s="1"/>
  <c r="L870" i="3"/>
  <c r="C870" i="4" s="1"/>
  <c r="Q869" i="3"/>
  <c r="E869" i="4" s="1"/>
  <c r="P869" i="3"/>
  <c r="F869" i="4" s="1"/>
  <c r="O869" i="3"/>
  <c r="H869" i="4" s="1"/>
  <c r="N869" i="3"/>
  <c r="M869" i="3"/>
  <c r="G869" i="4" s="1"/>
  <c r="L869" i="3"/>
  <c r="C869" i="4" s="1"/>
  <c r="Q868" i="3"/>
  <c r="E868" i="4" s="1"/>
  <c r="P868" i="3"/>
  <c r="F868" i="4" s="1"/>
  <c r="O868" i="3"/>
  <c r="H868" i="4" s="1"/>
  <c r="N868" i="3"/>
  <c r="M868" i="3"/>
  <c r="G868" i="4" s="1"/>
  <c r="L868" i="3"/>
  <c r="C868" i="4" s="1"/>
  <c r="Q867" i="3"/>
  <c r="E867" i="4" s="1"/>
  <c r="P867" i="3"/>
  <c r="F867" i="4" s="1"/>
  <c r="O867" i="3"/>
  <c r="H867" i="4" s="1"/>
  <c r="N867" i="3"/>
  <c r="M867" i="3"/>
  <c r="G867" i="4" s="1"/>
  <c r="L867" i="3"/>
  <c r="C867" i="4" s="1"/>
  <c r="P866" i="3"/>
  <c r="F866" i="4" s="1"/>
  <c r="O866" i="3"/>
  <c r="H866" i="4" s="1"/>
  <c r="N866" i="3"/>
  <c r="M866" i="3"/>
  <c r="G866" i="4" s="1"/>
  <c r="L866" i="3"/>
  <c r="C866" i="4" s="1"/>
  <c r="P865" i="3"/>
  <c r="F865" i="4" s="1"/>
  <c r="O865" i="3"/>
  <c r="H865" i="4" s="1"/>
  <c r="N865" i="3"/>
  <c r="M865" i="3"/>
  <c r="G865" i="4" s="1"/>
  <c r="L865" i="3"/>
  <c r="C865" i="4" s="1"/>
  <c r="P864" i="3"/>
  <c r="F864" i="4" s="1"/>
  <c r="O864" i="3"/>
  <c r="H864" i="4" s="1"/>
  <c r="N864" i="3"/>
  <c r="M864" i="3"/>
  <c r="G864" i="4" s="1"/>
  <c r="L864" i="3"/>
  <c r="C864" i="4" s="1"/>
  <c r="Q863" i="3"/>
  <c r="E863" i="4" s="1"/>
  <c r="P863" i="3"/>
  <c r="F863" i="4" s="1"/>
  <c r="O863" i="3"/>
  <c r="H863" i="4" s="1"/>
  <c r="N863" i="3"/>
  <c r="M863" i="3"/>
  <c r="G863" i="4" s="1"/>
  <c r="L863" i="3"/>
  <c r="C863" i="4" s="1"/>
  <c r="Q862" i="3"/>
  <c r="E862" i="4" s="1"/>
  <c r="P862" i="3"/>
  <c r="F862" i="4" s="1"/>
  <c r="O862" i="3"/>
  <c r="H862" i="4" s="1"/>
  <c r="N862" i="3"/>
  <c r="M862" i="3"/>
  <c r="G862" i="4" s="1"/>
  <c r="L862" i="3"/>
  <c r="C862" i="4" s="1"/>
  <c r="Q861" i="3"/>
  <c r="E861" i="4" s="1"/>
  <c r="P861" i="3"/>
  <c r="F861" i="4" s="1"/>
  <c r="O861" i="3"/>
  <c r="H861" i="4" s="1"/>
  <c r="N861" i="3"/>
  <c r="M861" i="3"/>
  <c r="G861" i="4" s="1"/>
  <c r="L861" i="3"/>
  <c r="C861" i="4" s="1"/>
  <c r="P860" i="3"/>
  <c r="F860" i="4" s="1"/>
  <c r="O860" i="3"/>
  <c r="H860" i="4" s="1"/>
  <c r="N860" i="3"/>
  <c r="M860" i="3"/>
  <c r="G860" i="4" s="1"/>
  <c r="L860" i="3"/>
  <c r="C860" i="4" s="1"/>
  <c r="P859" i="3"/>
  <c r="F859" i="4" s="1"/>
  <c r="O859" i="3"/>
  <c r="H859" i="4" s="1"/>
  <c r="N859" i="3"/>
  <c r="M859" i="3"/>
  <c r="G859" i="4" s="1"/>
  <c r="L859" i="3"/>
  <c r="C859" i="4" s="1"/>
  <c r="P858" i="3"/>
  <c r="F858" i="4" s="1"/>
  <c r="O858" i="3"/>
  <c r="H858" i="4" s="1"/>
  <c r="N858" i="3"/>
  <c r="M858" i="3"/>
  <c r="G858" i="4" s="1"/>
  <c r="L858" i="3"/>
  <c r="C858" i="4" s="1"/>
  <c r="Q857" i="3"/>
  <c r="E857" i="4" s="1"/>
  <c r="P857" i="3"/>
  <c r="F857" i="4" s="1"/>
  <c r="O857" i="3"/>
  <c r="H857" i="4" s="1"/>
  <c r="N857" i="3"/>
  <c r="M857" i="3"/>
  <c r="G857" i="4" s="1"/>
  <c r="L857" i="3"/>
  <c r="C857" i="4" s="1"/>
  <c r="R856" i="3"/>
  <c r="D856" i="4" s="1"/>
  <c r="Q856" i="3"/>
  <c r="E856" i="4" s="1"/>
  <c r="P856" i="3"/>
  <c r="F856" i="4" s="1"/>
  <c r="O856" i="3"/>
  <c r="H856" i="4" s="1"/>
  <c r="N856" i="3"/>
  <c r="M856" i="3"/>
  <c r="G856" i="4" s="1"/>
  <c r="L856" i="3"/>
  <c r="C856" i="4" s="1"/>
  <c r="Q855" i="3"/>
  <c r="E855" i="4" s="1"/>
  <c r="P855" i="3"/>
  <c r="F855" i="4" s="1"/>
  <c r="O855" i="3"/>
  <c r="H855" i="4" s="1"/>
  <c r="N855" i="3"/>
  <c r="M855" i="3"/>
  <c r="G855" i="4" s="1"/>
  <c r="L855" i="3"/>
  <c r="C855" i="4" s="1"/>
  <c r="P854" i="3"/>
  <c r="F854" i="4" s="1"/>
  <c r="O854" i="3"/>
  <c r="H854" i="4" s="1"/>
  <c r="N854" i="3"/>
  <c r="M854" i="3"/>
  <c r="G854" i="4" s="1"/>
  <c r="L854" i="3"/>
  <c r="C854" i="4" s="1"/>
  <c r="Q853" i="3"/>
  <c r="E853" i="4" s="1"/>
  <c r="P853" i="3"/>
  <c r="F853" i="4" s="1"/>
  <c r="O853" i="3"/>
  <c r="H853" i="4" s="1"/>
  <c r="N853" i="3"/>
  <c r="M853" i="3"/>
  <c r="G853" i="4" s="1"/>
  <c r="L853" i="3"/>
  <c r="C853" i="4" s="1"/>
  <c r="Q852" i="3"/>
  <c r="E852" i="4" s="1"/>
  <c r="P852" i="3"/>
  <c r="F852" i="4" s="1"/>
  <c r="O852" i="3"/>
  <c r="H852" i="4" s="1"/>
  <c r="N852" i="3"/>
  <c r="M852" i="3"/>
  <c r="G852" i="4" s="1"/>
  <c r="L852" i="3"/>
  <c r="C852" i="4" s="1"/>
  <c r="Q851" i="3"/>
  <c r="E851" i="4" s="1"/>
  <c r="P851" i="3"/>
  <c r="F851" i="4" s="1"/>
  <c r="O851" i="3"/>
  <c r="H851" i="4" s="1"/>
  <c r="N851" i="3"/>
  <c r="M851" i="3"/>
  <c r="G851" i="4" s="1"/>
  <c r="L851" i="3"/>
  <c r="C851" i="4" s="1"/>
  <c r="P850" i="3"/>
  <c r="F850" i="4" s="1"/>
  <c r="O850" i="3"/>
  <c r="H850" i="4" s="1"/>
  <c r="N850" i="3"/>
  <c r="M850" i="3"/>
  <c r="G850" i="4" s="1"/>
  <c r="L850" i="3"/>
  <c r="C850" i="4" s="1"/>
  <c r="P849" i="3"/>
  <c r="F849" i="4" s="1"/>
  <c r="O849" i="3"/>
  <c r="H849" i="4" s="1"/>
  <c r="N849" i="3"/>
  <c r="M849" i="3"/>
  <c r="G849" i="4" s="1"/>
  <c r="L849" i="3"/>
  <c r="C849" i="4" s="1"/>
  <c r="P848" i="3"/>
  <c r="F848" i="4" s="1"/>
  <c r="O848" i="3"/>
  <c r="H848" i="4" s="1"/>
  <c r="N848" i="3"/>
  <c r="M848" i="3"/>
  <c r="G848" i="4" s="1"/>
  <c r="L848" i="3"/>
  <c r="C848" i="4" s="1"/>
  <c r="Q847" i="3"/>
  <c r="E847" i="4" s="1"/>
  <c r="P847" i="3"/>
  <c r="F847" i="4" s="1"/>
  <c r="O847" i="3"/>
  <c r="H847" i="4" s="1"/>
  <c r="N847" i="3"/>
  <c r="M847" i="3"/>
  <c r="G847" i="4" s="1"/>
  <c r="L847" i="3"/>
  <c r="C847" i="4" s="1"/>
  <c r="Q846" i="3"/>
  <c r="E846" i="4" s="1"/>
  <c r="P846" i="3"/>
  <c r="F846" i="4" s="1"/>
  <c r="O846" i="3"/>
  <c r="H846" i="4" s="1"/>
  <c r="N846" i="3"/>
  <c r="M846" i="3"/>
  <c r="G846" i="4" s="1"/>
  <c r="L846" i="3"/>
  <c r="C846" i="4" s="1"/>
  <c r="Q845" i="3"/>
  <c r="E845" i="4" s="1"/>
  <c r="P845" i="3"/>
  <c r="F845" i="4" s="1"/>
  <c r="O845" i="3"/>
  <c r="H845" i="4" s="1"/>
  <c r="N845" i="3"/>
  <c r="M845" i="3"/>
  <c r="G845" i="4" s="1"/>
  <c r="L845" i="3"/>
  <c r="C845" i="4" s="1"/>
  <c r="P844" i="3"/>
  <c r="F844" i="4" s="1"/>
  <c r="O844" i="3"/>
  <c r="H844" i="4" s="1"/>
  <c r="N844" i="3"/>
  <c r="M844" i="3"/>
  <c r="G844" i="4" s="1"/>
  <c r="L844" i="3"/>
  <c r="C844" i="4" s="1"/>
  <c r="P843" i="3"/>
  <c r="F843" i="4" s="1"/>
  <c r="O843" i="3"/>
  <c r="H843" i="4" s="1"/>
  <c r="N843" i="3"/>
  <c r="M843" i="3"/>
  <c r="G843" i="4" s="1"/>
  <c r="L843" i="3"/>
  <c r="C843" i="4" s="1"/>
  <c r="P842" i="3"/>
  <c r="F842" i="4" s="1"/>
  <c r="O842" i="3"/>
  <c r="H842" i="4" s="1"/>
  <c r="N842" i="3"/>
  <c r="M842" i="3"/>
  <c r="G842" i="4" s="1"/>
  <c r="L842" i="3"/>
  <c r="C842" i="4" s="1"/>
  <c r="Q841" i="3"/>
  <c r="E841" i="4" s="1"/>
  <c r="P841" i="3"/>
  <c r="F841" i="4" s="1"/>
  <c r="O841" i="3"/>
  <c r="H841" i="4" s="1"/>
  <c r="N841" i="3"/>
  <c r="M841" i="3"/>
  <c r="G841" i="4" s="1"/>
  <c r="L841" i="3"/>
  <c r="C841" i="4" s="1"/>
  <c r="Q840" i="3"/>
  <c r="E840" i="4" s="1"/>
  <c r="P840" i="3"/>
  <c r="F840" i="4" s="1"/>
  <c r="O840" i="3"/>
  <c r="H840" i="4" s="1"/>
  <c r="N840" i="3"/>
  <c r="M840" i="3"/>
  <c r="G840" i="4" s="1"/>
  <c r="L840" i="3"/>
  <c r="C840" i="4" s="1"/>
  <c r="Q839" i="3"/>
  <c r="E839" i="4" s="1"/>
  <c r="P839" i="3"/>
  <c r="F839" i="4" s="1"/>
  <c r="O839" i="3"/>
  <c r="H839" i="4" s="1"/>
  <c r="N839" i="3"/>
  <c r="M839" i="3"/>
  <c r="G839" i="4" s="1"/>
  <c r="L839" i="3"/>
  <c r="C839" i="4" s="1"/>
  <c r="P838" i="3"/>
  <c r="F838" i="4" s="1"/>
  <c r="O838" i="3"/>
  <c r="H838" i="4" s="1"/>
  <c r="N838" i="3"/>
  <c r="M838" i="3"/>
  <c r="G838" i="4" s="1"/>
  <c r="L838" i="3"/>
  <c r="C838" i="4" s="1"/>
  <c r="Q837" i="3"/>
  <c r="E837" i="4" s="1"/>
  <c r="P837" i="3"/>
  <c r="F837" i="4" s="1"/>
  <c r="O837" i="3"/>
  <c r="H837" i="4" s="1"/>
  <c r="N837" i="3"/>
  <c r="M837" i="3"/>
  <c r="G837" i="4" s="1"/>
  <c r="L837" i="3"/>
  <c r="C837" i="4" s="1"/>
  <c r="Q836" i="3"/>
  <c r="E836" i="4" s="1"/>
  <c r="P836" i="3"/>
  <c r="F836" i="4" s="1"/>
  <c r="O836" i="3"/>
  <c r="H836" i="4" s="1"/>
  <c r="N836" i="3"/>
  <c r="M836" i="3"/>
  <c r="G836" i="4" s="1"/>
  <c r="L836" i="3"/>
  <c r="C836" i="4" s="1"/>
  <c r="Q835" i="3"/>
  <c r="E835" i="4" s="1"/>
  <c r="P835" i="3"/>
  <c r="F835" i="4" s="1"/>
  <c r="O835" i="3"/>
  <c r="H835" i="4" s="1"/>
  <c r="N835" i="3"/>
  <c r="M835" i="3"/>
  <c r="G835" i="4" s="1"/>
  <c r="L835" i="3"/>
  <c r="C835" i="4" s="1"/>
  <c r="P834" i="3"/>
  <c r="F834" i="4" s="1"/>
  <c r="O834" i="3"/>
  <c r="H834" i="4" s="1"/>
  <c r="N834" i="3"/>
  <c r="M834" i="3"/>
  <c r="G834" i="4" s="1"/>
  <c r="L834" i="3"/>
  <c r="C834" i="4" s="1"/>
  <c r="P833" i="3"/>
  <c r="F833" i="4" s="1"/>
  <c r="O833" i="3"/>
  <c r="H833" i="4" s="1"/>
  <c r="N833" i="3"/>
  <c r="M833" i="3"/>
  <c r="G833" i="4" s="1"/>
  <c r="L833" i="3"/>
  <c r="C833" i="4" s="1"/>
  <c r="P832" i="3"/>
  <c r="F832" i="4" s="1"/>
  <c r="O832" i="3"/>
  <c r="H832" i="4" s="1"/>
  <c r="N832" i="3"/>
  <c r="M832" i="3"/>
  <c r="G832" i="4" s="1"/>
  <c r="L832" i="3"/>
  <c r="C832" i="4" s="1"/>
  <c r="Q831" i="3"/>
  <c r="E831" i="4" s="1"/>
  <c r="P831" i="3"/>
  <c r="F831" i="4" s="1"/>
  <c r="O831" i="3"/>
  <c r="H831" i="4" s="1"/>
  <c r="N831" i="3"/>
  <c r="M831" i="3"/>
  <c r="G831" i="4" s="1"/>
  <c r="L831" i="3"/>
  <c r="C831" i="4" s="1"/>
  <c r="Q830" i="3"/>
  <c r="E830" i="4" s="1"/>
  <c r="P830" i="3"/>
  <c r="F830" i="4" s="1"/>
  <c r="O830" i="3"/>
  <c r="H830" i="4" s="1"/>
  <c r="N830" i="3"/>
  <c r="M830" i="3"/>
  <c r="G830" i="4" s="1"/>
  <c r="L830" i="3"/>
  <c r="C830" i="4" s="1"/>
  <c r="Q829" i="3"/>
  <c r="E829" i="4" s="1"/>
  <c r="P829" i="3"/>
  <c r="F829" i="4" s="1"/>
  <c r="O829" i="3"/>
  <c r="H829" i="4" s="1"/>
  <c r="N829" i="3"/>
  <c r="M829" i="3"/>
  <c r="G829" i="4" s="1"/>
  <c r="L829" i="3"/>
  <c r="C829" i="4" s="1"/>
  <c r="P828" i="3"/>
  <c r="F828" i="4" s="1"/>
  <c r="O828" i="3"/>
  <c r="H828" i="4" s="1"/>
  <c r="N828" i="3"/>
  <c r="M828" i="3"/>
  <c r="G828" i="4" s="1"/>
  <c r="L828" i="3"/>
  <c r="C828" i="4" s="1"/>
  <c r="P827" i="3"/>
  <c r="F827" i="4" s="1"/>
  <c r="O827" i="3"/>
  <c r="H827" i="4" s="1"/>
  <c r="N827" i="3"/>
  <c r="M827" i="3"/>
  <c r="G827" i="4" s="1"/>
  <c r="L827" i="3"/>
  <c r="C827" i="4" s="1"/>
  <c r="P826" i="3"/>
  <c r="F826" i="4" s="1"/>
  <c r="O826" i="3"/>
  <c r="H826" i="4" s="1"/>
  <c r="N826" i="3"/>
  <c r="M826" i="3"/>
  <c r="G826" i="4" s="1"/>
  <c r="L826" i="3"/>
  <c r="C826" i="4" s="1"/>
  <c r="Q825" i="3"/>
  <c r="E825" i="4" s="1"/>
  <c r="P825" i="3"/>
  <c r="F825" i="4" s="1"/>
  <c r="O825" i="3"/>
  <c r="H825" i="4" s="1"/>
  <c r="N825" i="3"/>
  <c r="M825" i="3"/>
  <c r="G825" i="4" s="1"/>
  <c r="L825" i="3"/>
  <c r="C825" i="4" s="1"/>
  <c r="Q824" i="3"/>
  <c r="E824" i="4" s="1"/>
  <c r="P824" i="3"/>
  <c r="F824" i="4" s="1"/>
  <c r="O824" i="3"/>
  <c r="H824" i="4" s="1"/>
  <c r="N824" i="3"/>
  <c r="M824" i="3"/>
  <c r="G824" i="4" s="1"/>
  <c r="L824" i="3"/>
  <c r="C824" i="4" s="1"/>
  <c r="Q823" i="3"/>
  <c r="E823" i="4" s="1"/>
  <c r="P823" i="3"/>
  <c r="F823" i="4" s="1"/>
  <c r="O823" i="3"/>
  <c r="H823" i="4" s="1"/>
  <c r="N823" i="3"/>
  <c r="M823" i="3"/>
  <c r="G823" i="4" s="1"/>
  <c r="L823" i="3"/>
  <c r="C823" i="4" s="1"/>
  <c r="P822" i="3"/>
  <c r="F822" i="4" s="1"/>
  <c r="O822" i="3"/>
  <c r="H822" i="4" s="1"/>
  <c r="N822" i="3"/>
  <c r="M822" i="3"/>
  <c r="G822" i="4" s="1"/>
  <c r="L822" i="3"/>
  <c r="C822" i="4" s="1"/>
  <c r="P821" i="3"/>
  <c r="F821" i="4" s="1"/>
  <c r="O821" i="3"/>
  <c r="H821" i="4" s="1"/>
  <c r="N821" i="3"/>
  <c r="M821" i="3"/>
  <c r="G821" i="4" s="1"/>
  <c r="L821" i="3"/>
  <c r="C821" i="4" s="1"/>
  <c r="Q820" i="3"/>
  <c r="E820" i="4" s="1"/>
  <c r="P820" i="3"/>
  <c r="F820" i="4" s="1"/>
  <c r="O820" i="3"/>
  <c r="H820" i="4" s="1"/>
  <c r="N820" i="3"/>
  <c r="M820" i="3"/>
  <c r="G820" i="4" s="1"/>
  <c r="L820" i="3"/>
  <c r="C820" i="4" s="1"/>
  <c r="Q819" i="3"/>
  <c r="E819" i="4" s="1"/>
  <c r="P819" i="3"/>
  <c r="F819" i="4" s="1"/>
  <c r="O819" i="3"/>
  <c r="H819" i="4" s="1"/>
  <c r="N819" i="3"/>
  <c r="M819" i="3"/>
  <c r="G819" i="4" s="1"/>
  <c r="L819" i="3"/>
  <c r="C819" i="4" s="1"/>
  <c r="P818" i="3"/>
  <c r="F818" i="4" s="1"/>
  <c r="O818" i="3"/>
  <c r="H818" i="4" s="1"/>
  <c r="N818" i="3"/>
  <c r="M818" i="3"/>
  <c r="G818" i="4" s="1"/>
  <c r="L818" i="3"/>
  <c r="C818" i="4" s="1"/>
  <c r="P817" i="3"/>
  <c r="F817" i="4" s="1"/>
  <c r="O817" i="3"/>
  <c r="H817" i="4" s="1"/>
  <c r="N817" i="3"/>
  <c r="M817" i="3"/>
  <c r="G817" i="4" s="1"/>
  <c r="L817" i="3"/>
  <c r="C817" i="4" s="1"/>
  <c r="P816" i="3"/>
  <c r="F816" i="4" s="1"/>
  <c r="O816" i="3"/>
  <c r="H816" i="4" s="1"/>
  <c r="N816" i="3"/>
  <c r="M816" i="3"/>
  <c r="G816" i="4" s="1"/>
  <c r="L816" i="3"/>
  <c r="C816" i="4" s="1"/>
  <c r="Q815" i="3"/>
  <c r="E815" i="4" s="1"/>
  <c r="P815" i="3"/>
  <c r="F815" i="4" s="1"/>
  <c r="O815" i="3"/>
  <c r="H815" i="4" s="1"/>
  <c r="N815" i="3"/>
  <c r="M815" i="3"/>
  <c r="G815" i="4" s="1"/>
  <c r="L815" i="3"/>
  <c r="C815" i="4" s="1"/>
  <c r="Q814" i="3"/>
  <c r="E814" i="4" s="1"/>
  <c r="P814" i="3"/>
  <c r="F814" i="4" s="1"/>
  <c r="O814" i="3"/>
  <c r="H814" i="4" s="1"/>
  <c r="N814" i="3"/>
  <c r="M814" i="3"/>
  <c r="G814" i="4" s="1"/>
  <c r="L814" i="3"/>
  <c r="C814" i="4" s="1"/>
  <c r="Q813" i="3"/>
  <c r="E813" i="4" s="1"/>
  <c r="P813" i="3"/>
  <c r="F813" i="4" s="1"/>
  <c r="O813" i="3"/>
  <c r="H813" i="4" s="1"/>
  <c r="N813" i="3"/>
  <c r="M813" i="3"/>
  <c r="G813" i="4" s="1"/>
  <c r="L813" i="3"/>
  <c r="C813" i="4" s="1"/>
  <c r="P812" i="3"/>
  <c r="F812" i="4" s="1"/>
  <c r="O812" i="3"/>
  <c r="H812" i="4" s="1"/>
  <c r="N812" i="3"/>
  <c r="M812" i="3"/>
  <c r="G812" i="4" s="1"/>
  <c r="L812" i="3"/>
  <c r="C812" i="4" s="1"/>
  <c r="P811" i="3"/>
  <c r="F811" i="4" s="1"/>
  <c r="O811" i="3"/>
  <c r="H811" i="4" s="1"/>
  <c r="N811" i="3"/>
  <c r="M811" i="3"/>
  <c r="G811" i="4" s="1"/>
  <c r="L811" i="3"/>
  <c r="C811" i="4" s="1"/>
  <c r="P810" i="3"/>
  <c r="F810" i="4" s="1"/>
  <c r="O810" i="3"/>
  <c r="H810" i="4" s="1"/>
  <c r="N810" i="3"/>
  <c r="M810" i="3"/>
  <c r="G810" i="4" s="1"/>
  <c r="L810" i="3"/>
  <c r="C810" i="4" s="1"/>
  <c r="Q809" i="3"/>
  <c r="E809" i="4" s="1"/>
  <c r="P809" i="3"/>
  <c r="F809" i="4" s="1"/>
  <c r="O809" i="3"/>
  <c r="H809" i="4" s="1"/>
  <c r="N809" i="3"/>
  <c r="M809" i="3"/>
  <c r="G809" i="4" s="1"/>
  <c r="L809" i="3"/>
  <c r="C809" i="4" s="1"/>
  <c r="Q808" i="3"/>
  <c r="E808" i="4" s="1"/>
  <c r="P808" i="3"/>
  <c r="F808" i="4" s="1"/>
  <c r="O808" i="3"/>
  <c r="H808" i="4" s="1"/>
  <c r="N808" i="3"/>
  <c r="M808" i="3"/>
  <c r="G808" i="4" s="1"/>
  <c r="L808" i="3"/>
  <c r="C808" i="4" s="1"/>
  <c r="Q807" i="3"/>
  <c r="E807" i="4" s="1"/>
  <c r="P807" i="3"/>
  <c r="F807" i="4" s="1"/>
  <c r="O807" i="3"/>
  <c r="H807" i="4" s="1"/>
  <c r="N807" i="3"/>
  <c r="M807" i="3"/>
  <c r="G807" i="4" s="1"/>
  <c r="L807" i="3"/>
  <c r="C807" i="4" s="1"/>
  <c r="P806" i="3"/>
  <c r="F806" i="4" s="1"/>
  <c r="O806" i="3"/>
  <c r="H806" i="4" s="1"/>
  <c r="N806" i="3"/>
  <c r="M806" i="3"/>
  <c r="G806" i="4" s="1"/>
  <c r="L806" i="3"/>
  <c r="C806" i="4" s="1"/>
  <c r="P805" i="3"/>
  <c r="F805" i="4" s="1"/>
  <c r="O805" i="3"/>
  <c r="H805" i="4" s="1"/>
  <c r="N805" i="3"/>
  <c r="M805" i="3"/>
  <c r="G805" i="4" s="1"/>
  <c r="L805" i="3"/>
  <c r="C805" i="4" s="1"/>
  <c r="Q804" i="3"/>
  <c r="E804" i="4" s="1"/>
  <c r="P804" i="3"/>
  <c r="F804" i="4" s="1"/>
  <c r="O804" i="3"/>
  <c r="H804" i="4" s="1"/>
  <c r="N804" i="3"/>
  <c r="M804" i="3"/>
  <c r="G804" i="4" s="1"/>
  <c r="L804" i="3"/>
  <c r="C804" i="4" s="1"/>
  <c r="Q803" i="3"/>
  <c r="E803" i="4" s="1"/>
  <c r="P803" i="3"/>
  <c r="F803" i="4" s="1"/>
  <c r="O803" i="3"/>
  <c r="H803" i="4" s="1"/>
  <c r="N803" i="3"/>
  <c r="M803" i="3"/>
  <c r="G803" i="4" s="1"/>
  <c r="L803" i="3"/>
  <c r="C803" i="4" s="1"/>
  <c r="P802" i="3"/>
  <c r="F802" i="4" s="1"/>
  <c r="O802" i="3"/>
  <c r="H802" i="4" s="1"/>
  <c r="N802" i="3"/>
  <c r="M802" i="3"/>
  <c r="G802" i="4" s="1"/>
  <c r="L802" i="3"/>
  <c r="C802" i="4" s="1"/>
  <c r="P801" i="3"/>
  <c r="F801" i="4" s="1"/>
  <c r="O801" i="3"/>
  <c r="H801" i="4" s="1"/>
  <c r="N801" i="3"/>
  <c r="M801" i="3"/>
  <c r="G801" i="4" s="1"/>
  <c r="L801" i="3"/>
  <c r="C801" i="4" s="1"/>
  <c r="P800" i="3"/>
  <c r="F800" i="4" s="1"/>
  <c r="O800" i="3"/>
  <c r="H800" i="4" s="1"/>
  <c r="N800" i="3"/>
  <c r="M800" i="3"/>
  <c r="G800" i="4" s="1"/>
  <c r="L800" i="3"/>
  <c r="C800" i="4" s="1"/>
  <c r="Q799" i="3"/>
  <c r="E799" i="4" s="1"/>
  <c r="P799" i="3"/>
  <c r="F799" i="4" s="1"/>
  <c r="O799" i="3"/>
  <c r="H799" i="4" s="1"/>
  <c r="N799" i="3"/>
  <c r="M799" i="3"/>
  <c r="G799" i="4" s="1"/>
  <c r="L799" i="3"/>
  <c r="C799" i="4" s="1"/>
  <c r="Q798" i="3"/>
  <c r="E798" i="4" s="1"/>
  <c r="P798" i="3"/>
  <c r="F798" i="4" s="1"/>
  <c r="O798" i="3"/>
  <c r="H798" i="4" s="1"/>
  <c r="N798" i="3"/>
  <c r="M798" i="3"/>
  <c r="G798" i="4" s="1"/>
  <c r="L798" i="3"/>
  <c r="C798" i="4" s="1"/>
  <c r="Q797" i="3"/>
  <c r="E797" i="4" s="1"/>
  <c r="P797" i="3"/>
  <c r="F797" i="4" s="1"/>
  <c r="O797" i="3"/>
  <c r="H797" i="4" s="1"/>
  <c r="N797" i="3"/>
  <c r="M797" i="3"/>
  <c r="G797" i="4" s="1"/>
  <c r="L797" i="3"/>
  <c r="C797" i="4" s="1"/>
  <c r="P796" i="3"/>
  <c r="F796" i="4" s="1"/>
  <c r="O796" i="3"/>
  <c r="H796" i="4" s="1"/>
  <c r="N796" i="3"/>
  <c r="M796" i="3"/>
  <c r="G796" i="4" s="1"/>
  <c r="L796" i="3"/>
  <c r="C796" i="4" s="1"/>
  <c r="P795" i="3"/>
  <c r="F795" i="4" s="1"/>
  <c r="O795" i="3"/>
  <c r="H795" i="4" s="1"/>
  <c r="N795" i="3"/>
  <c r="M795" i="3"/>
  <c r="G795" i="4" s="1"/>
  <c r="L795" i="3"/>
  <c r="C795" i="4" s="1"/>
  <c r="P794" i="3"/>
  <c r="F794" i="4" s="1"/>
  <c r="O794" i="3"/>
  <c r="H794" i="4" s="1"/>
  <c r="N794" i="3"/>
  <c r="M794" i="3"/>
  <c r="G794" i="4" s="1"/>
  <c r="L794" i="3"/>
  <c r="C794" i="4" s="1"/>
  <c r="Q793" i="3"/>
  <c r="E793" i="4" s="1"/>
  <c r="P793" i="3"/>
  <c r="F793" i="4" s="1"/>
  <c r="O793" i="3"/>
  <c r="H793" i="4" s="1"/>
  <c r="N793" i="3"/>
  <c r="M793" i="3"/>
  <c r="G793" i="4" s="1"/>
  <c r="L793" i="3"/>
  <c r="C793" i="4" s="1"/>
  <c r="Q792" i="3"/>
  <c r="E792" i="4" s="1"/>
  <c r="P792" i="3"/>
  <c r="F792" i="4" s="1"/>
  <c r="O792" i="3"/>
  <c r="H792" i="4" s="1"/>
  <c r="N792" i="3"/>
  <c r="M792" i="3"/>
  <c r="G792" i="4" s="1"/>
  <c r="L792" i="3"/>
  <c r="C792" i="4" s="1"/>
  <c r="Q791" i="3"/>
  <c r="E791" i="4" s="1"/>
  <c r="P791" i="3"/>
  <c r="F791" i="4" s="1"/>
  <c r="O791" i="3"/>
  <c r="H791" i="4" s="1"/>
  <c r="N791" i="3"/>
  <c r="M791" i="3"/>
  <c r="G791" i="4" s="1"/>
  <c r="L791" i="3"/>
  <c r="C791" i="4" s="1"/>
  <c r="P790" i="3"/>
  <c r="F790" i="4" s="1"/>
  <c r="O790" i="3"/>
  <c r="H790" i="4" s="1"/>
  <c r="N790" i="3"/>
  <c r="M790" i="3"/>
  <c r="G790" i="4" s="1"/>
  <c r="L790" i="3"/>
  <c r="C790" i="4" s="1"/>
  <c r="P789" i="3"/>
  <c r="F789" i="4" s="1"/>
  <c r="O789" i="3"/>
  <c r="H789" i="4" s="1"/>
  <c r="N789" i="3"/>
  <c r="M789" i="3"/>
  <c r="G789" i="4" s="1"/>
  <c r="L789" i="3"/>
  <c r="C789" i="4" s="1"/>
  <c r="Q788" i="3"/>
  <c r="E788" i="4" s="1"/>
  <c r="P788" i="3"/>
  <c r="F788" i="4" s="1"/>
  <c r="O788" i="3"/>
  <c r="H788" i="4" s="1"/>
  <c r="N788" i="3"/>
  <c r="M788" i="3"/>
  <c r="G788" i="4" s="1"/>
  <c r="L788" i="3"/>
  <c r="C788" i="4" s="1"/>
  <c r="Q787" i="3"/>
  <c r="E787" i="4" s="1"/>
  <c r="P787" i="3"/>
  <c r="F787" i="4" s="1"/>
  <c r="O787" i="3"/>
  <c r="H787" i="4" s="1"/>
  <c r="N787" i="3"/>
  <c r="M787" i="3"/>
  <c r="G787" i="4" s="1"/>
  <c r="L787" i="3"/>
  <c r="C787" i="4" s="1"/>
  <c r="P786" i="3"/>
  <c r="F786" i="4" s="1"/>
  <c r="O786" i="3"/>
  <c r="H786" i="4" s="1"/>
  <c r="N786" i="3"/>
  <c r="M786" i="3"/>
  <c r="G786" i="4" s="1"/>
  <c r="L786" i="3"/>
  <c r="C786" i="4" s="1"/>
  <c r="P785" i="3"/>
  <c r="F785" i="4" s="1"/>
  <c r="O785" i="3"/>
  <c r="H785" i="4" s="1"/>
  <c r="N785" i="3"/>
  <c r="M785" i="3"/>
  <c r="G785" i="4" s="1"/>
  <c r="L785" i="3"/>
  <c r="C785" i="4" s="1"/>
  <c r="P784" i="3"/>
  <c r="F784" i="4" s="1"/>
  <c r="O784" i="3"/>
  <c r="H784" i="4" s="1"/>
  <c r="N784" i="3"/>
  <c r="M784" i="3"/>
  <c r="G784" i="4" s="1"/>
  <c r="L784" i="3"/>
  <c r="C784" i="4" s="1"/>
  <c r="Q783" i="3"/>
  <c r="E783" i="4" s="1"/>
  <c r="P783" i="3"/>
  <c r="F783" i="4" s="1"/>
  <c r="O783" i="3"/>
  <c r="H783" i="4" s="1"/>
  <c r="N783" i="3"/>
  <c r="M783" i="3"/>
  <c r="G783" i="4" s="1"/>
  <c r="L783" i="3"/>
  <c r="C783" i="4" s="1"/>
  <c r="Q782" i="3"/>
  <c r="E782" i="4" s="1"/>
  <c r="P782" i="3"/>
  <c r="F782" i="4" s="1"/>
  <c r="O782" i="3"/>
  <c r="H782" i="4" s="1"/>
  <c r="N782" i="3"/>
  <c r="M782" i="3"/>
  <c r="G782" i="4" s="1"/>
  <c r="L782" i="3"/>
  <c r="C782" i="4" s="1"/>
  <c r="Q781" i="3"/>
  <c r="E781" i="4" s="1"/>
  <c r="P781" i="3"/>
  <c r="F781" i="4" s="1"/>
  <c r="O781" i="3"/>
  <c r="H781" i="4" s="1"/>
  <c r="N781" i="3"/>
  <c r="M781" i="3"/>
  <c r="G781" i="4" s="1"/>
  <c r="L781" i="3"/>
  <c r="C781" i="4" s="1"/>
  <c r="P780" i="3"/>
  <c r="F780" i="4" s="1"/>
  <c r="O780" i="3"/>
  <c r="H780" i="4" s="1"/>
  <c r="N780" i="3"/>
  <c r="M780" i="3"/>
  <c r="G780" i="4" s="1"/>
  <c r="L780" i="3"/>
  <c r="C780" i="4" s="1"/>
  <c r="P779" i="3"/>
  <c r="F779" i="4" s="1"/>
  <c r="O779" i="3"/>
  <c r="H779" i="4" s="1"/>
  <c r="N779" i="3"/>
  <c r="M779" i="3"/>
  <c r="G779" i="4" s="1"/>
  <c r="L779" i="3"/>
  <c r="C779" i="4" s="1"/>
  <c r="P778" i="3"/>
  <c r="F778" i="4" s="1"/>
  <c r="O778" i="3"/>
  <c r="H778" i="4" s="1"/>
  <c r="N778" i="3"/>
  <c r="M778" i="3"/>
  <c r="G778" i="4" s="1"/>
  <c r="L778" i="3"/>
  <c r="C778" i="4" s="1"/>
  <c r="Q777" i="3"/>
  <c r="E777" i="4" s="1"/>
  <c r="P777" i="3"/>
  <c r="F777" i="4" s="1"/>
  <c r="O777" i="3"/>
  <c r="H777" i="4" s="1"/>
  <c r="N777" i="3"/>
  <c r="M777" i="3"/>
  <c r="G777" i="4" s="1"/>
  <c r="L777" i="3"/>
  <c r="C777" i="4" s="1"/>
  <c r="Q776" i="3"/>
  <c r="E776" i="4" s="1"/>
  <c r="P776" i="3"/>
  <c r="F776" i="4" s="1"/>
  <c r="O776" i="3"/>
  <c r="H776" i="4" s="1"/>
  <c r="N776" i="3"/>
  <c r="M776" i="3"/>
  <c r="G776" i="4" s="1"/>
  <c r="L776" i="3"/>
  <c r="C776" i="4" s="1"/>
  <c r="Q775" i="3"/>
  <c r="E775" i="4" s="1"/>
  <c r="P775" i="3"/>
  <c r="F775" i="4" s="1"/>
  <c r="O775" i="3"/>
  <c r="H775" i="4" s="1"/>
  <c r="N775" i="3"/>
  <c r="M775" i="3"/>
  <c r="G775" i="4" s="1"/>
  <c r="L775" i="3"/>
  <c r="C775" i="4" s="1"/>
  <c r="P774" i="3"/>
  <c r="F774" i="4" s="1"/>
  <c r="O774" i="3"/>
  <c r="H774" i="4" s="1"/>
  <c r="N774" i="3"/>
  <c r="M774" i="3"/>
  <c r="G774" i="4" s="1"/>
  <c r="L774" i="3"/>
  <c r="C774" i="4" s="1"/>
  <c r="P773" i="3"/>
  <c r="F773" i="4" s="1"/>
  <c r="O773" i="3"/>
  <c r="H773" i="4" s="1"/>
  <c r="N773" i="3"/>
  <c r="M773" i="3"/>
  <c r="G773" i="4" s="1"/>
  <c r="L773" i="3"/>
  <c r="C773" i="4" s="1"/>
  <c r="Q772" i="3"/>
  <c r="E772" i="4" s="1"/>
  <c r="P772" i="3"/>
  <c r="F772" i="4" s="1"/>
  <c r="O772" i="3"/>
  <c r="H772" i="4" s="1"/>
  <c r="N772" i="3"/>
  <c r="M772" i="3"/>
  <c r="G772" i="4" s="1"/>
  <c r="L772" i="3"/>
  <c r="C772" i="4" s="1"/>
  <c r="Q771" i="3"/>
  <c r="E771" i="4" s="1"/>
  <c r="P771" i="3"/>
  <c r="F771" i="4" s="1"/>
  <c r="O771" i="3"/>
  <c r="H771" i="4" s="1"/>
  <c r="N771" i="3"/>
  <c r="M771" i="3"/>
  <c r="G771" i="4" s="1"/>
  <c r="L771" i="3"/>
  <c r="C771" i="4" s="1"/>
  <c r="P770" i="3"/>
  <c r="F770" i="4" s="1"/>
  <c r="O770" i="3"/>
  <c r="H770" i="4" s="1"/>
  <c r="N770" i="3"/>
  <c r="M770" i="3"/>
  <c r="G770" i="4" s="1"/>
  <c r="L770" i="3"/>
  <c r="C770" i="4" s="1"/>
  <c r="P769" i="3"/>
  <c r="F769" i="4" s="1"/>
  <c r="O769" i="3"/>
  <c r="H769" i="4" s="1"/>
  <c r="N769" i="3"/>
  <c r="M769" i="3"/>
  <c r="G769" i="4" s="1"/>
  <c r="L769" i="3"/>
  <c r="C769" i="4" s="1"/>
  <c r="P768" i="3"/>
  <c r="F768" i="4" s="1"/>
  <c r="O768" i="3"/>
  <c r="H768" i="4" s="1"/>
  <c r="N768" i="3"/>
  <c r="M768" i="3"/>
  <c r="G768" i="4" s="1"/>
  <c r="L768" i="3"/>
  <c r="C768" i="4" s="1"/>
  <c r="Q767" i="3"/>
  <c r="E767" i="4" s="1"/>
  <c r="P767" i="3"/>
  <c r="F767" i="4" s="1"/>
  <c r="O767" i="3"/>
  <c r="H767" i="4" s="1"/>
  <c r="N767" i="3"/>
  <c r="M767" i="3"/>
  <c r="G767" i="4" s="1"/>
  <c r="L767" i="3"/>
  <c r="C767" i="4" s="1"/>
  <c r="Q766" i="3"/>
  <c r="E766" i="4" s="1"/>
  <c r="P766" i="3"/>
  <c r="F766" i="4" s="1"/>
  <c r="O766" i="3"/>
  <c r="H766" i="4" s="1"/>
  <c r="N766" i="3"/>
  <c r="M766" i="3"/>
  <c r="G766" i="4" s="1"/>
  <c r="L766" i="3"/>
  <c r="C766" i="4" s="1"/>
  <c r="Q765" i="3"/>
  <c r="E765" i="4" s="1"/>
  <c r="P765" i="3"/>
  <c r="F765" i="4" s="1"/>
  <c r="O765" i="3"/>
  <c r="H765" i="4" s="1"/>
  <c r="N765" i="3"/>
  <c r="M765" i="3"/>
  <c r="G765" i="4" s="1"/>
  <c r="L765" i="3"/>
  <c r="C765" i="4" s="1"/>
  <c r="P764" i="3"/>
  <c r="F764" i="4" s="1"/>
  <c r="O764" i="3"/>
  <c r="H764" i="4" s="1"/>
  <c r="N764" i="3"/>
  <c r="M764" i="3"/>
  <c r="G764" i="4" s="1"/>
  <c r="L764" i="3"/>
  <c r="C764" i="4" s="1"/>
  <c r="P763" i="3"/>
  <c r="F763" i="4" s="1"/>
  <c r="O763" i="3"/>
  <c r="H763" i="4" s="1"/>
  <c r="N763" i="3"/>
  <c r="M763" i="3"/>
  <c r="G763" i="4" s="1"/>
  <c r="L763" i="3"/>
  <c r="C763" i="4" s="1"/>
  <c r="P762" i="3"/>
  <c r="F762" i="4" s="1"/>
  <c r="O762" i="3"/>
  <c r="H762" i="4" s="1"/>
  <c r="N762" i="3"/>
  <c r="M762" i="3"/>
  <c r="G762" i="4" s="1"/>
  <c r="L762" i="3"/>
  <c r="C762" i="4" s="1"/>
  <c r="Q761" i="3"/>
  <c r="E761" i="4" s="1"/>
  <c r="P761" i="3"/>
  <c r="F761" i="4" s="1"/>
  <c r="O761" i="3"/>
  <c r="H761" i="4" s="1"/>
  <c r="N761" i="3"/>
  <c r="M761" i="3"/>
  <c r="G761" i="4" s="1"/>
  <c r="L761" i="3"/>
  <c r="C761" i="4" s="1"/>
  <c r="Q760" i="3"/>
  <c r="E760" i="4" s="1"/>
  <c r="P760" i="3"/>
  <c r="F760" i="4" s="1"/>
  <c r="O760" i="3"/>
  <c r="H760" i="4" s="1"/>
  <c r="N760" i="3"/>
  <c r="M760" i="3"/>
  <c r="G760" i="4" s="1"/>
  <c r="L760" i="3"/>
  <c r="C760" i="4" s="1"/>
  <c r="Q759" i="3"/>
  <c r="E759" i="4" s="1"/>
  <c r="P759" i="3"/>
  <c r="F759" i="4" s="1"/>
  <c r="O759" i="3"/>
  <c r="H759" i="4" s="1"/>
  <c r="N759" i="3"/>
  <c r="M759" i="3"/>
  <c r="G759" i="4" s="1"/>
  <c r="L759" i="3"/>
  <c r="C759" i="4" s="1"/>
  <c r="P758" i="3"/>
  <c r="F758" i="4" s="1"/>
  <c r="O758" i="3"/>
  <c r="H758" i="4" s="1"/>
  <c r="N758" i="3"/>
  <c r="M758" i="3"/>
  <c r="G758" i="4" s="1"/>
  <c r="L758" i="3"/>
  <c r="C758" i="4" s="1"/>
  <c r="P757" i="3"/>
  <c r="F757" i="4" s="1"/>
  <c r="O757" i="3"/>
  <c r="H757" i="4" s="1"/>
  <c r="N757" i="3"/>
  <c r="M757" i="3"/>
  <c r="G757" i="4" s="1"/>
  <c r="L757" i="3"/>
  <c r="C757" i="4" s="1"/>
  <c r="Q756" i="3"/>
  <c r="E756" i="4" s="1"/>
  <c r="P756" i="3"/>
  <c r="F756" i="4" s="1"/>
  <c r="O756" i="3"/>
  <c r="H756" i="4" s="1"/>
  <c r="N756" i="3"/>
  <c r="M756" i="3"/>
  <c r="G756" i="4" s="1"/>
  <c r="L756" i="3"/>
  <c r="C756" i="4" s="1"/>
  <c r="Q755" i="3"/>
  <c r="E755" i="4" s="1"/>
  <c r="P755" i="3"/>
  <c r="F755" i="4" s="1"/>
  <c r="O755" i="3"/>
  <c r="H755" i="4" s="1"/>
  <c r="N755" i="3"/>
  <c r="M755" i="3"/>
  <c r="G755" i="4" s="1"/>
  <c r="L755" i="3"/>
  <c r="C755" i="4" s="1"/>
  <c r="P754" i="3"/>
  <c r="F754" i="4" s="1"/>
  <c r="O754" i="3"/>
  <c r="H754" i="4" s="1"/>
  <c r="N754" i="3"/>
  <c r="M754" i="3"/>
  <c r="G754" i="4" s="1"/>
  <c r="L754" i="3"/>
  <c r="C754" i="4" s="1"/>
  <c r="P753" i="3"/>
  <c r="F753" i="4" s="1"/>
  <c r="O753" i="3"/>
  <c r="H753" i="4" s="1"/>
  <c r="N753" i="3"/>
  <c r="M753" i="3"/>
  <c r="G753" i="4" s="1"/>
  <c r="L753" i="3"/>
  <c r="C753" i="4" s="1"/>
  <c r="P752" i="3"/>
  <c r="F752" i="4" s="1"/>
  <c r="O752" i="3"/>
  <c r="H752" i="4" s="1"/>
  <c r="N752" i="3"/>
  <c r="M752" i="3"/>
  <c r="G752" i="4" s="1"/>
  <c r="L752" i="3"/>
  <c r="C752" i="4" s="1"/>
  <c r="Q751" i="3"/>
  <c r="E751" i="4" s="1"/>
  <c r="P751" i="3"/>
  <c r="F751" i="4" s="1"/>
  <c r="O751" i="3"/>
  <c r="H751" i="4" s="1"/>
  <c r="N751" i="3"/>
  <c r="M751" i="3"/>
  <c r="G751" i="4" s="1"/>
  <c r="L751" i="3"/>
  <c r="C751" i="4" s="1"/>
  <c r="Q750" i="3"/>
  <c r="E750" i="4" s="1"/>
  <c r="P750" i="3"/>
  <c r="F750" i="4" s="1"/>
  <c r="O750" i="3"/>
  <c r="H750" i="4" s="1"/>
  <c r="N750" i="3"/>
  <c r="M750" i="3"/>
  <c r="G750" i="4" s="1"/>
  <c r="L750" i="3"/>
  <c r="C750" i="4" s="1"/>
  <c r="Q749" i="3"/>
  <c r="E749" i="4" s="1"/>
  <c r="P749" i="3"/>
  <c r="F749" i="4" s="1"/>
  <c r="O749" i="3"/>
  <c r="H749" i="4" s="1"/>
  <c r="N749" i="3"/>
  <c r="M749" i="3"/>
  <c r="G749" i="4" s="1"/>
  <c r="L749" i="3"/>
  <c r="C749" i="4" s="1"/>
  <c r="P748" i="3"/>
  <c r="F748" i="4" s="1"/>
  <c r="O748" i="3"/>
  <c r="H748" i="4" s="1"/>
  <c r="N748" i="3"/>
  <c r="M748" i="3"/>
  <c r="G748" i="4" s="1"/>
  <c r="L748" i="3"/>
  <c r="C748" i="4" s="1"/>
  <c r="P747" i="3"/>
  <c r="F747" i="4" s="1"/>
  <c r="O747" i="3"/>
  <c r="H747" i="4" s="1"/>
  <c r="N747" i="3"/>
  <c r="M747" i="3"/>
  <c r="G747" i="4" s="1"/>
  <c r="L747" i="3"/>
  <c r="C747" i="4" s="1"/>
  <c r="P746" i="3"/>
  <c r="F746" i="4" s="1"/>
  <c r="O746" i="3"/>
  <c r="H746" i="4" s="1"/>
  <c r="N746" i="3"/>
  <c r="M746" i="3"/>
  <c r="G746" i="4" s="1"/>
  <c r="L746" i="3"/>
  <c r="C746" i="4" s="1"/>
  <c r="Q745" i="3"/>
  <c r="E745" i="4" s="1"/>
  <c r="P745" i="3"/>
  <c r="F745" i="4" s="1"/>
  <c r="O745" i="3"/>
  <c r="H745" i="4" s="1"/>
  <c r="N745" i="3"/>
  <c r="M745" i="3"/>
  <c r="G745" i="4" s="1"/>
  <c r="L745" i="3"/>
  <c r="C745" i="4" s="1"/>
  <c r="Q744" i="3"/>
  <c r="E744" i="4" s="1"/>
  <c r="P744" i="3"/>
  <c r="F744" i="4" s="1"/>
  <c r="O744" i="3"/>
  <c r="H744" i="4" s="1"/>
  <c r="N744" i="3"/>
  <c r="M744" i="3"/>
  <c r="G744" i="4" s="1"/>
  <c r="L744" i="3"/>
  <c r="C744" i="4" s="1"/>
  <c r="Q743" i="3"/>
  <c r="E743" i="4" s="1"/>
  <c r="P743" i="3"/>
  <c r="F743" i="4" s="1"/>
  <c r="O743" i="3"/>
  <c r="H743" i="4" s="1"/>
  <c r="N743" i="3"/>
  <c r="M743" i="3"/>
  <c r="G743" i="4" s="1"/>
  <c r="L743" i="3"/>
  <c r="C743" i="4" s="1"/>
  <c r="P742" i="3"/>
  <c r="F742" i="4" s="1"/>
  <c r="O742" i="3"/>
  <c r="H742" i="4" s="1"/>
  <c r="N742" i="3"/>
  <c r="M742" i="3"/>
  <c r="G742" i="4" s="1"/>
  <c r="L742" i="3"/>
  <c r="C742" i="4" s="1"/>
  <c r="P741" i="3"/>
  <c r="F741" i="4" s="1"/>
  <c r="O741" i="3"/>
  <c r="H741" i="4" s="1"/>
  <c r="N741" i="3"/>
  <c r="M741" i="3"/>
  <c r="G741" i="4" s="1"/>
  <c r="L741" i="3"/>
  <c r="C741" i="4" s="1"/>
  <c r="Q740" i="3"/>
  <c r="E740" i="4" s="1"/>
  <c r="P740" i="3"/>
  <c r="F740" i="4" s="1"/>
  <c r="O740" i="3"/>
  <c r="H740" i="4" s="1"/>
  <c r="N740" i="3"/>
  <c r="M740" i="3"/>
  <c r="G740" i="4" s="1"/>
  <c r="L740" i="3"/>
  <c r="C740" i="4" s="1"/>
  <c r="Q739" i="3"/>
  <c r="E739" i="4" s="1"/>
  <c r="P739" i="3"/>
  <c r="F739" i="4" s="1"/>
  <c r="O739" i="3"/>
  <c r="H739" i="4" s="1"/>
  <c r="N739" i="3"/>
  <c r="M739" i="3"/>
  <c r="G739" i="4" s="1"/>
  <c r="L739" i="3"/>
  <c r="C739" i="4" s="1"/>
  <c r="P738" i="3"/>
  <c r="F738" i="4" s="1"/>
  <c r="O738" i="3"/>
  <c r="H738" i="4" s="1"/>
  <c r="N738" i="3"/>
  <c r="M738" i="3"/>
  <c r="G738" i="4" s="1"/>
  <c r="L738" i="3"/>
  <c r="C738" i="4" s="1"/>
  <c r="P737" i="3"/>
  <c r="F737" i="4" s="1"/>
  <c r="O737" i="3"/>
  <c r="H737" i="4" s="1"/>
  <c r="N737" i="3"/>
  <c r="M737" i="3"/>
  <c r="G737" i="4" s="1"/>
  <c r="L737" i="3"/>
  <c r="C737" i="4" s="1"/>
  <c r="P736" i="3"/>
  <c r="F736" i="4" s="1"/>
  <c r="O736" i="3"/>
  <c r="H736" i="4" s="1"/>
  <c r="N736" i="3"/>
  <c r="M736" i="3"/>
  <c r="G736" i="4" s="1"/>
  <c r="L736" i="3"/>
  <c r="C736" i="4" s="1"/>
  <c r="Q735" i="3"/>
  <c r="E735" i="4" s="1"/>
  <c r="P735" i="3"/>
  <c r="F735" i="4" s="1"/>
  <c r="O735" i="3"/>
  <c r="H735" i="4" s="1"/>
  <c r="N735" i="3"/>
  <c r="M735" i="3"/>
  <c r="G735" i="4" s="1"/>
  <c r="L735" i="3"/>
  <c r="C735" i="4" s="1"/>
  <c r="Q734" i="3"/>
  <c r="E734" i="4" s="1"/>
  <c r="P734" i="3"/>
  <c r="F734" i="4" s="1"/>
  <c r="O734" i="3"/>
  <c r="H734" i="4" s="1"/>
  <c r="N734" i="3"/>
  <c r="M734" i="3"/>
  <c r="G734" i="4" s="1"/>
  <c r="L734" i="3"/>
  <c r="C734" i="4" s="1"/>
  <c r="Q733" i="3"/>
  <c r="E733" i="4" s="1"/>
  <c r="P733" i="3"/>
  <c r="F733" i="4" s="1"/>
  <c r="O733" i="3"/>
  <c r="H733" i="4" s="1"/>
  <c r="N733" i="3"/>
  <c r="M733" i="3"/>
  <c r="G733" i="4" s="1"/>
  <c r="L733" i="3"/>
  <c r="C733" i="4" s="1"/>
  <c r="P732" i="3"/>
  <c r="F732" i="4" s="1"/>
  <c r="O732" i="3"/>
  <c r="H732" i="4" s="1"/>
  <c r="N732" i="3"/>
  <c r="M732" i="3"/>
  <c r="G732" i="4" s="1"/>
  <c r="L732" i="3"/>
  <c r="C732" i="4" s="1"/>
  <c r="P731" i="3"/>
  <c r="F731" i="4" s="1"/>
  <c r="O731" i="3"/>
  <c r="H731" i="4" s="1"/>
  <c r="N731" i="3"/>
  <c r="M731" i="3"/>
  <c r="G731" i="4" s="1"/>
  <c r="L731" i="3"/>
  <c r="C731" i="4" s="1"/>
  <c r="P730" i="3"/>
  <c r="F730" i="4" s="1"/>
  <c r="O730" i="3"/>
  <c r="H730" i="4" s="1"/>
  <c r="N730" i="3"/>
  <c r="M730" i="3"/>
  <c r="G730" i="4" s="1"/>
  <c r="L730" i="3"/>
  <c r="C730" i="4" s="1"/>
  <c r="Q729" i="3"/>
  <c r="E729" i="4" s="1"/>
  <c r="P729" i="3"/>
  <c r="F729" i="4" s="1"/>
  <c r="O729" i="3"/>
  <c r="H729" i="4" s="1"/>
  <c r="N729" i="3"/>
  <c r="M729" i="3"/>
  <c r="G729" i="4" s="1"/>
  <c r="L729" i="3"/>
  <c r="C729" i="4" s="1"/>
  <c r="Q728" i="3"/>
  <c r="E728" i="4" s="1"/>
  <c r="P728" i="3"/>
  <c r="F728" i="4" s="1"/>
  <c r="O728" i="3"/>
  <c r="H728" i="4" s="1"/>
  <c r="N728" i="3"/>
  <c r="M728" i="3"/>
  <c r="G728" i="4" s="1"/>
  <c r="L728" i="3"/>
  <c r="C728" i="4" s="1"/>
  <c r="Q727" i="3"/>
  <c r="E727" i="4" s="1"/>
  <c r="P727" i="3"/>
  <c r="F727" i="4" s="1"/>
  <c r="O727" i="3"/>
  <c r="H727" i="4" s="1"/>
  <c r="N727" i="3"/>
  <c r="M727" i="3"/>
  <c r="G727" i="4" s="1"/>
  <c r="L727" i="3"/>
  <c r="C727" i="4" s="1"/>
  <c r="P726" i="3"/>
  <c r="F726" i="4" s="1"/>
  <c r="O726" i="3"/>
  <c r="H726" i="4" s="1"/>
  <c r="N726" i="3"/>
  <c r="M726" i="3"/>
  <c r="G726" i="4" s="1"/>
  <c r="L726" i="3"/>
  <c r="C726" i="4" s="1"/>
  <c r="P725" i="3"/>
  <c r="F725" i="4" s="1"/>
  <c r="O725" i="3"/>
  <c r="H725" i="4" s="1"/>
  <c r="N725" i="3"/>
  <c r="M725" i="3"/>
  <c r="G725" i="4" s="1"/>
  <c r="L725" i="3"/>
  <c r="C725" i="4" s="1"/>
  <c r="Q724" i="3"/>
  <c r="E724" i="4" s="1"/>
  <c r="P724" i="3"/>
  <c r="F724" i="4" s="1"/>
  <c r="O724" i="3"/>
  <c r="H724" i="4" s="1"/>
  <c r="N724" i="3"/>
  <c r="M724" i="3"/>
  <c r="G724" i="4" s="1"/>
  <c r="L724" i="3"/>
  <c r="C724" i="4" s="1"/>
  <c r="Q723" i="3"/>
  <c r="E723" i="4" s="1"/>
  <c r="P723" i="3"/>
  <c r="F723" i="4" s="1"/>
  <c r="O723" i="3"/>
  <c r="H723" i="4" s="1"/>
  <c r="N723" i="3"/>
  <c r="M723" i="3"/>
  <c r="G723" i="4" s="1"/>
  <c r="L723" i="3"/>
  <c r="C723" i="4" s="1"/>
  <c r="P722" i="3"/>
  <c r="F722" i="4" s="1"/>
  <c r="O722" i="3"/>
  <c r="H722" i="4" s="1"/>
  <c r="N722" i="3"/>
  <c r="M722" i="3"/>
  <c r="G722" i="4" s="1"/>
  <c r="L722" i="3"/>
  <c r="C722" i="4" s="1"/>
  <c r="P721" i="3"/>
  <c r="F721" i="4" s="1"/>
  <c r="O721" i="3"/>
  <c r="H721" i="4" s="1"/>
  <c r="N721" i="3"/>
  <c r="M721" i="3"/>
  <c r="G721" i="4" s="1"/>
  <c r="L721" i="3"/>
  <c r="C721" i="4" s="1"/>
  <c r="P720" i="3"/>
  <c r="F720" i="4" s="1"/>
  <c r="O720" i="3"/>
  <c r="H720" i="4" s="1"/>
  <c r="N720" i="3"/>
  <c r="M720" i="3"/>
  <c r="G720" i="4" s="1"/>
  <c r="L720" i="3"/>
  <c r="C720" i="4" s="1"/>
  <c r="Q719" i="3"/>
  <c r="E719" i="4" s="1"/>
  <c r="P719" i="3"/>
  <c r="F719" i="4" s="1"/>
  <c r="O719" i="3"/>
  <c r="H719" i="4" s="1"/>
  <c r="N719" i="3"/>
  <c r="M719" i="3"/>
  <c r="G719" i="4" s="1"/>
  <c r="L719" i="3"/>
  <c r="C719" i="4" s="1"/>
  <c r="Q718" i="3"/>
  <c r="E718" i="4" s="1"/>
  <c r="P718" i="3"/>
  <c r="F718" i="4" s="1"/>
  <c r="O718" i="3"/>
  <c r="H718" i="4" s="1"/>
  <c r="N718" i="3"/>
  <c r="M718" i="3"/>
  <c r="G718" i="4" s="1"/>
  <c r="L718" i="3"/>
  <c r="C718" i="4" s="1"/>
  <c r="Q717" i="3"/>
  <c r="E717" i="4" s="1"/>
  <c r="P717" i="3"/>
  <c r="F717" i="4" s="1"/>
  <c r="O717" i="3"/>
  <c r="H717" i="4" s="1"/>
  <c r="N717" i="3"/>
  <c r="M717" i="3"/>
  <c r="G717" i="4" s="1"/>
  <c r="L717" i="3"/>
  <c r="C717" i="4" s="1"/>
  <c r="P716" i="3"/>
  <c r="F716" i="4" s="1"/>
  <c r="O716" i="3"/>
  <c r="H716" i="4" s="1"/>
  <c r="N716" i="3"/>
  <c r="M716" i="3"/>
  <c r="G716" i="4" s="1"/>
  <c r="L716" i="3"/>
  <c r="C716" i="4" s="1"/>
  <c r="P715" i="3"/>
  <c r="F715" i="4" s="1"/>
  <c r="O715" i="3"/>
  <c r="H715" i="4" s="1"/>
  <c r="N715" i="3"/>
  <c r="M715" i="3"/>
  <c r="G715" i="4" s="1"/>
  <c r="L715" i="3"/>
  <c r="C715" i="4" s="1"/>
  <c r="P714" i="3"/>
  <c r="F714" i="4" s="1"/>
  <c r="O714" i="3"/>
  <c r="H714" i="4" s="1"/>
  <c r="N714" i="3"/>
  <c r="M714" i="3"/>
  <c r="G714" i="4" s="1"/>
  <c r="L714" i="3"/>
  <c r="C714" i="4" s="1"/>
  <c r="Q713" i="3"/>
  <c r="E713" i="4" s="1"/>
  <c r="P713" i="3"/>
  <c r="F713" i="4" s="1"/>
  <c r="O713" i="3"/>
  <c r="H713" i="4" s="1"/>
  <c r="N713" i="3"/>
  <c r="M713" i="3"/>
  <c r="G713" i="4" s="1"/>
  <c r="L713" i="3"/>
  <c r="C713" i="4" s="1"/>
  <c r="Q712" i="3"/>
  <c r="E712" i="4" s="1"/>
  <c r="P712" i="3"/>
  <c r="F712" i="4" s="1"/>
  <c r="O712" i="3"/>
  <c r="H712" i="4" s="1"/>
  <c r="N712" i="3"/>
  <c r="M712" i="3"/>
  <c r="G712" i="4" s="1"/>
  <c r="L712" i="3"/>
  <c r="C712" i="4" s="1"/>
  <c r="Q711" i="3"/>
  <c r="E711" i="4" s="1"/>
  <c r="P711" i="3"/>
  <c r="F711" i="4" s="1"/>
  <c r="O711" i="3"/>
  <c r="H711" i="4" s="1"/>
  <c r="N711" i="3"/>
  <c r="M711" i="3"/>
  <c r="G711" i="4" s="1"/>
  <c r="L711" i="3"/>
  <c r="C711" i="4" s="1"/>
  <c r="P710" i="3"/>
  <c r="F710" i="4" s="1"/>
  <c r="O710" i="3"/>
  <c r="H710" i="4" s="1"/>
  <c r="N710" i="3"/>
  <c r="M710" i="3"/>
  <c r="G710" i="4" s="1"/>
  <c r="L710" i="3"/>
  <c r="C710" i="4" s="1"/>
  <c r="P709" i="3"/>
  <c r="F709" i="4" s="1"/>
  <c r="O709" i="3"/>
  <c r="H709" i="4" s="1"/>
  <c r="N709" i="3"/>
  <c r="M709" i="3"/>
  <c r="G709" i="4" s="1"/>
  <c r="L709" i="3"/>
  <c r="C709" i="4" s="1"/>
  <c r="Q708" i="3"/>
  <c r="E708" i="4" s="1"/>
  <c r="P708" i="3"/>
  <c r="F708" i="4" s="1"/>
  <c r="O708" i="3"/>
  <c r="H708" i="4" s="1"/>
  <c r="N708" i="3"/>
  <c r="M708" i="3"/>
  <c r="G708" i="4" s="1"/>
  <c r="L708" i="3"/>
  <c r="C708" i="4" s="1"/>
  <c r="Q707" i="3"/>
  <c r="E707" i="4" s="1"/>
  <c r="P707" i="3"/>
  <c r="F707" i="4" s="1"/>
  <c r="O707" i="3"/>
  <c r="H707" i="4" s="1"/>
  <c r="N707" i="3"/>
  <c r="M707" i="3"/>
  <c r="G707" i="4" s="1"/>
  <c r="L707" i="3"/>
  <c r="C707" i="4" s="1"/>
  <c r="P706" i="3"/>
  <c r="F706" i="4" s="1"/>
  <c r="O706" i="3"/>
  <c r="H706" i="4" s="1"/>
  <c r="N706" i="3"/>
  <c r="M706" i="3"/>
  <c r="G706" i="4" s="1"/>
  <c r="L706" i="3"/>
  <c r="C706" i="4" s="1"/>
  <c r="P705" i="3"/>
  <c r="F705" i="4" s="1"/>
  <c r="O705" i="3"/>
  <c r="H705" i="4" s="1"/>
  <c r="N705" i="3"/>
  <c r="M705" i="3"/>
  <c r="G705" i="4" s="1"/>
  <c r="L705" i="3"/>
  <c r="C705" i="4" s="1"/>
  <c r="P704" i="3"/>
  <c r="F704" i="4" s="1"/>
  <c r="O704" i="3"/>
  <c r="H704" i="4" s="1"/>
  <c r="N704" i="3"/>
  <c r="M704" i="3"/>
  <c r="G704" i="4" s="1"/>
  <c r="L704" i="3"/>
  <c r="C704" i="4" s="1"/>
  <c r="Q703" i="3"/>
  <c r="E703" i="4" s="1"/>
  <c r="P703" i="3"/>
  <c r="F703" i="4" s="1"/>
  <c r="O703" i="3"/>
  <c r="H703" i="4" s="1"/>
  <c r="N703" i="3"/>
  <c r="M703" i="3"/>
  <c r="G703" i="4" s="1"/>
  <c r="L703" i="3"/>
  <c r="C703" i="4" s="1"/>
  <c r="Q702" i="3"/>
  <c r="E702" i="4" s="1"/>
  <c r="P702" i="3"/>
  <c r="F702" i="4" s="1"/>
  <c r="O702" i="3"/>
  <c r="H702" i="4" s="1"/>
  <c r="N702" i="3"/>
  <c r="M702" i="3"/>
  <c r="G702" i="4" s="1"/>
  <c r="L702" i="3"/>
  <c r="C702" i="4" s="1"/>
  <c r="Q701" i="3"/>
  <c r="E701" i="4" s="1"/>
  <c r="P701" i="3"/>
  <c r="F701" i="4" s="1"/>
  <c r="O701" i="3"/>
  <c r="H701" i="4" s="1"/>
  <c r="N701" i="3"/>
  <c r="M701" i="3"/>
  <c r="G701" i="4" s="1"/>
  <c r="L701" i="3"/>
  <c r="C701" i="4" s="1"/>
  <c r="P700" i="3"/>
  <c r="F700" i="4" s="1"/>
  <c r="O700" i="3"/>
  <c r="H700" i="4" s="1"/>
  <c r="N700" i="3"/>
  <c r="M700" i="3"/>
  <c r="G700" i="4" s="1"/>
  <c r="L700" i="3"/>
  <c r="C700" i="4" s="1"/>
  <c r="P699" i="3"/>
  <c r="F699" i="4" s="1"/>
  <c r="O699" i="3"/>
  <c r="H699" i="4" s="1"/>
  <c r="N699" i="3"/>
  <c r="M699" i="3"/>
  <c r="G699" i="4" s="1"/>
  <c r="L699" i="3"/>
  <c r="C699" i="4" s="1"/>
  <c r="P698" i="3"/>
  <c r="F698" i="4" s="1"/>
  <c r="O698" i="3"/>
  <c r="H698" i="4" s="1"/>
  <c r="N698" i="3"/>
  <c r="M698" i="3"/>
  <c r="G698" i="4" s="1"/>
  <c r="L698" i="3"/>
  <c r="C698" i="4" s="1"/>
  <c r="Q697" i="3"/>
  <c r="E697" i="4" s="1"/>
  <c r="P697" i="3"/>
  <c r="F697" i="4" s="1"/>
  <c r="O697" i="3"/>
  <c r="H697" i="4" s="1"/>
  <c r="N697" i="3"/>
  <c r="M697" i="3"/>
  <c r="G697" i="4" s="1"/>
  <c r="L697" i="3"/>
  <c r="C697" i="4" s="1"/>
  <c r="Q696" i="3"/>
  <c r="E696" i="4" s="1"/>
  <c r="P696" i="3"/>
  <c r="F696" i="4" s="1"/>
  <c r="O696" i="3"/>
  <c r="H696" i="4" s="1"/>
  <c r="N696" i="3"/>
  <c r="M696" i="3"/>
  <c r="G696" i="4" s="1"/>
  <c r="L696" i="3"/>
  <c r="C696" i="4" s="1"/>
  <c r="Q695" i="3"/>
  <c r="E695" i="4" s="1"/>
  <c r="P695" i="3"/>
  <c r="F695" i="4" s="1"/>
  <c r="O695" i="3"/>
  <c r="H695" i="4" s="1"/>
  <c r="N695" i="3"/>
  <c r="M695" i="3"/>
  <c r="G695" i="4" s="1"/>
  <c r="L695" i="3"/>
  <c r="C695" i="4" s="1"/>
  <c r="P694" i="3"/>
  <c r="F694" i="4" s="1"/>
  <c r="O694" i="3"/>
  <c r="H694" i="4" s="1"/>
  <c r="N694" i="3"/>
  <c r="M694" i="3"/>
  <c r="G694" i="4" s="1"/>
  <c r="L694" i="3"/>
  <c r="C694" i="4" s="1"/>
  <c r="P693" i="3"/>
  <c r="F693" i="4" s="1"/>
  <c r="O693" i="3"/>
  <c r="H693" i="4" s="1"/>
  <c r="N693" i="3"/>
  <c r="M693" i="3"/>
  <c r="G693" i="4" s="1"/>
  <c r="L693" i="3"/>
  <c r="C693" i="4" s="1"/>
  <c r="Q692" i="3"/>
  <c r="E692" i="4" s="1"/>
  <c r="P692" i="3"/>
  <c r="F692" i="4" s="1"/>
  <c r="O692" i="3"/>
  <c r="H692" i="4" s="1"/>
  <c r="N692" i="3"/>
  <c r="M692" i="3"/>
  <c r="G692" i="4" s="1"/>
  <c r="L692" i="3"/>
  <c r="C692" i="4" s="1"/>
  <c r="Q691" i="3"/>
  <c r="E691" i="4" s="1"/>
  <c r="P691" i="3"/>
  <c r="F691" i="4" s="1"/>
  <c r="O691" i="3"/>
  <c r="H691" i="4" s="1"/>
  <c r="N691" i="3"/>
  <c r="M691" i="3"/>
  <c r="G691" i="4" s="1"/>
  <c r="L691" i="3"/>
  <c r="C691" i="4" s="1"/>
  <c r="P690" i="3"/>
  <c r="F690" i="4" s="1"/>
  <c r="O690" i="3"/>
  <c r="H690" i="4" s="1"/>
  <c r="N690" i="3"/>
  <c r="M690" i="3"/>
  <c r="G690" i="4" s="1"/>
  <c r="L690" i="3"/>
  <c r="C690" i="4" s="1"/>
  <c r="P689" i="3"/>
  <c r="F689" i="4" s="1"/>
  <c r="O689" i="3"/>
  <c r="H689" i="4" s="1"/>
  <c r="N689" i="3"/>
  <c r="M689" i="3"/>
  <c r="G689" i="4" s="1"/>
  <c r="L689" i="3"/>
  <c r="C689" i="4" s="1"/>
  <c r="P688" i="3"/>
  <c r="F688" i="4" s="1"/>
  <c r="O688" i="3"/>
  <c r="H688" i="4" s="1"/>
  <c r="N688" i="3"/>
  <c r="M688" i="3"/>
  <c r="G688" i="4" s="1"/>
  <c r="L688" i="3"/>
  <c r="C688" i="4" s="1"/>
  <c r="Q687" i="3"/>
  <c r="E687" i="4" s="1"/>
  <c r="P687" i="3"/>
  <c r="F687" i="4" s="1"/>
  <c r="O687" i="3"/>
  <c r="H687" i="4" s="1"/>
  <c r="N687" i="3"/>
  <c r="M687" i="3"/>
  <c r="G687" i="4" s="1"/>
  <c r="L687" i="3"/>
  <c r="C687" i="4" s="1"/>
  <c r="Q686" i="3"/>
  <c r="E686" i="4" s="1"/>
  <c r="P686" i="3"/>
  <c r="F686" i="4" s="1"/>
  <c r="O686" i="3"/>
  <c r="H686" i="4" s="1"/>
  <c r="N686" i="3"/>
  <c r="M686" i="3"/>
  <c r="G686" i="4" s="1"/>
  <c r="L686" i="3"/>
  <c r="C686" i="4" s="1"/>
  <c r="Q685" i="3"/>
  <c r="E685" i="4" s="1"/>
  <c r="P685" i="3"/>
  <c r="F685" i="4" s="1"/>
  <c r="O685" i="3"/>
  <c r="H685" i="4" s="1"/>
  <c r="N685" i="3"/>
  <c r="M685" i="3"/>
  <c r="G685" i="4" s="1"/>
  <c r="L685" i="3"/>
  <c r="C685" i="4" s="1"/>
  <c r="P684" i="3"/>
  <c r="F684" i="4" s="1"/>
  <c r="O684" i="3"/>
  <c r="H684" i="4" s="1"/>
  <c r="N684" i="3"/>
  <c r="M684" i="3"/>
  <c r="G684" i="4" s="1"/>
  <c r="L684" i="3"/>
  <c r="C684" i="4" s="1"/>
  <c r="P683" i="3"/>
  <c r="F683" i="4" s="1"/>
  <c r="O683" i="3"/>
  <c r="H683" i="4" s="1"/>
  <c r="N683" i="3"/>
  <c r="M683" i="3"/>
  <c r="G683" i="4" s="1"/>
  <c r="L683" i="3"/>
  <c r="C683" i="4" s="1"/>
  <c r="P682" i="3"/>
  <c r="F682" i="4" s="1"/>
  <c r="O682" i="3"/>
  <c r="H682" i="4" s="1"/>
  <c r="N682" i="3"/>
  <c r="M682" i="3"/>
  <c r="G682" i="4" s="1"/>
  <c r="L682" i="3"/>
  <c r="C682" i="4" s="1"/>
  <c r="Q681" i="3"/>
  <c r="E681" i="4" s="1"/>
  <c r="P681" i="3"/>
  <c r="F681" i="4" s="1"/>
  <c r="O681" i="3"/>
  <c r="H681" i="4" s="1"/>
  <c r="N681" i="3"/>
  <c r="M681" i="3"/>
  <c r="G681" i="4" s="1"/>
  <c r="L681" i="3"/>
  <c r="C681" i="4" s="1"/>
  <c r="Q680" i="3"/>
  <c r="E680" i="4" s="1"/>
  <c r="P680" i="3"/>
  <c r="F680" i="4" s="1"/>
  <c r="O680" i="3"/>
  <c r="H680" i="4" s="1"/>
  <c r="N680" i="3"/>
  <c r="M680" i="3"/>
  <c r="G680" i="4" s="1"/>
  <c r="L680" i="3"/>
  <c r="C680" i="4" s="1"/>
  <c r="Q679" i="3"/>
  <c r="E679" i="4" s="1"/>
  <c r="P679" i="3"/>
  <c r="F679" i="4" s="1"/>
  <c r="O679" i="3"/>
  <c r="H679" i="4" s="1"/>
  <c r="N679" i="3"/>
  <c r="M679" i="3"/>
  <c r="G679" i="4" s="1"/>
  <c r="L679" i="3"/>
  <c r="C679" i="4" s="1"/>
  <c r="P678" i="3"/>
  <c r="F678" i="4" s="1"/>
  <c r="O678" i="3"/>
  <c r="H678" i="4" s="1"/>
  <c r="N678" i="3"/>
  <c r="M678" i="3"/>
  <c r="G678" i="4" s="1"/>
  <c r="L678" i="3"/>
  <c r="C678" i="4" s="1"/>
  <c r="P677" i="3"/>
  <c r="F677" i="4" s="1"/>
  <c r="O677" i="3"/>
  <c r="H677" i="4" s="1"/>
  <c r="N677" i="3"/>
  <c r="M677" i="3"/>
  <c r="G677" i="4" s="1"/>
  <c r="L677" i="3"/>
  <c r="C677" i="4" s="1"/>
  <c r="Q676" i="3"/>
  <c r="E676" i="4" s="1"/>
  <c r="P676" i="3"/>
  <c r="F676" i="4" s="1"/>
  <c r="O676" i="3"/>
  <c r="H676" i="4" s="1"/>
  <c r="N676" i="3"/>
  <c r="M676" i="3"/>
  <c r="G676" i="4" s="1"/>
  <c r="L676" i="3"/>
  <c r="C676" i="4" s="1"/>
  <c r="Q675" i="3"/>
  <c r="E675" i="4" s="1"/>
  <c r="P675" i="3"/>
  <c r="F675" i="4" s="1"/>
  <c r="O675" i="3"/>
  <c r="H675" i="4" s="1"/>
  <c r="N675" i="3"/>
  <c r="M675" i="3"/>
  <c r="G675" i="4" s="1"/>
  <c r="L675" i="3"/>
  <c r="C675" i="4" s="1"/>
  <c r="P674" i="3"/>
  <c r="F674" i="4" s="1"/>
  <c r="O674" i="3"/>
  <c r="H674" i="4" s="1"/>
  <c r="N674" i="3"/>
  <c r="M674" i="3"/>
  <c r="G674" i="4" s="1"/>
  <c r="L674" i="3"/>
  <c r="C674" i="4" s="1"/>
  <c r="P673" i="3"/>
  <c r="F673" i="4" s="1"/>
  <c r="O673" i="3"/>
  <c r="H673" i="4" s="1"/>
  <c r="N673" i="3"/>
  <c r="M673" i="3"/>
  <c r="G673" i="4" s="1"/>
  <c r="L673" i="3"/>
  <c r="C673" i="4" s="1"/>
  <c r="P672" i="3"/>
  <c r="F672" i="4" s="1"/>
  <c r="O672" i="3"/>
  <c r="H672" i="4" s="1"/>
  <c r="N672" i="3"/>
  <c r="M672" i="3"/>
  <c r="G672" i="4" s="1"/>
  <c r="L672" i="3"/>
  <c r="C672" i="4" s="1"/>
  <c r="Q671" i="3"/>
  <c r="E671" i="4" s="1"/>
  <c r="P671" i="3"/>
  <c r="F671" i="4" s="1"/>
  <c r="O671" i="3"/>
  <c r="H671" i="4" s="1"/>
  <c r="N671" i="3"/>
  <c r="M671" i="3"/>
  <c r="G671" i="4" s="1"/>
  <c r="L671" i="3"/>
  <c r="C671" i="4" s="1"/>
  <c r="Q670" i="3"/>
  <c r="E670" i="4" s="1"/>
  <c r="P670" i="3"/>
  <c r="F670" i="4" s="1"/>
  <c r="O670" i="3"/>
  <c r="H670" i="4" s="1"/>
  <c r="N670" i="3"/>
  <c r="M670" i="3"/>
  <c r="G670" i="4" s="1"/>
  <c r="L670" i="3"/>
  <c r="C670" i="4" s="1"/>
  <c r="Q669" i="3"/>
  <c r="E669" i="4" s="1"/>
  <c r="P669" i="3"/>
  <c r="F669" i="4" s="1"/>
  <c r="O669" i="3"/>
  <c r="H669" i="4" s="1"/>
  <c r="N669" i="3"/>
  <c r="M669" i="3"/>
  <c r="G669" i="4" s="1"/>
  <c r="L669" i="3"/>
  <c r="C669" i="4" s="1"/>
  <c r="P668" i="3"/>
  <c r="F668" i="4" s="1"/>
  <c r="O668" i="3"/>
  <c r="H668" i="4" s="1"/>
  <c r="N668" i="3"/>
  <c r="M668" i="3"/>
  <c r="G668" i="4" s="1"/>
  <c r="L668" i="3"/>
  <c r="C668" i="4" s="1"/>
  <c r="P667" i="3"/>
  <c r="F667" i="4" s="1"/>
  <c r="O667" i="3"/>
  <c r="H667" i="4" s="1"/>
  <c r="N667" i="3"/>
  <c r="M667" i="3"/>
  <c r="G667" i="4" s="1"/>
  <c r="L667" i="3"/>
  <c r="C667" i="4" s="1"/>
  <c r="P666" i="3"/>
  <c r="F666" i="4" s="1"/>
  <c r="O666" i="3"/>
  <c r="H666" i="4" s="1"/>
  <c r="N666" i="3"/>
  <c r="M666" i="3"/>
  <c r="G666" i="4" s="1"/>
  <c r="L666" i="3"/>
  <c r="C666" i="4" s="1"/>
  <c r="Q665" i="3"/>
  <c r="E665" i="4" s="1"/>
  <c r="P665" i="3"/>
  <c r="F665" i="4" s="1"/>
  <c r="O665" i="3"/>
  <c r="H665" i="4" s="1"/>
  <c r="N665" i="3"/>
  <c r="M665" i="3"/>
  <c r="G665" i="4" s="1"/>
  <c r="L665" i="3"/>
  <c r="C665" i="4" s="1"/>
  <c r="Q664" i="3"/>
  <c r="E664" i="4" s="1"/>
  <c r="P664" i="3"/>
  <c r="F664" i="4" s="1"/>
  <c r="O664" i="3"/>
  <c r="H664" i="4" s="1"/>
  <c r="N664" i="3"/>
  <c r="M664" i="3"/>
  <c r="G664" i="4" s="1"/>
  <c r="L664" i="3"/>
  <c r="C664" i="4" s="1"/>
  <c r="Q663" i="3"/>
  <c r="E663" i="4" s="1"/>
  <c r="P663" i="3"/>
  <c r="F663" i="4" s="1"/>
  <c r="O663" i="3"/>
  <c r="H663" i="4" s="1"/>
  <c r="N663" i="3"/>
  <c r="M663" i="3"/>
  <c r="G663" i="4" s="1"/>
  <c r="L663" i="3"/>
  <c r="C663" i="4" s="1"/>
  <c r="P662" i="3"/>
  <c r="F662" i="4" s="1"/>
  <c r="O662" i="3"/>
  <c r="H662" i="4" s="1"/>
  <c r="N662" i="3"/>
  <c r="M662" i="3"/>
  <c r="G662" i="4" s="1"/>
  <c r="L662" i="3"/>
  <c r="C662" i="4" s="1"/>
  <c r="P661" i="3"/>
  <c r="F661" i="4" s="1"/>
  <c r="O661" i="3"/>
  <c r="H661" i="4" s="1"/>
  <c r="N661" i="3"/>
  <c r="M661" i="3"/>
  <c r="G661" i="4" s="1"/>
  <c r="L661" i="3"/>
  <c r="C661" i="4" s="1"/>
  <c r="Q660" i="3"/>
  <c r="E660" i="4" s="1"/>
  <c r="P660" i="3"/>
  <c r="F660" i="4" s="1"/>
  <c r="O660" i="3"/>
  <c r="H660" i="4" s="1"/>
  <c r="N660" i="3"/>
  <c r="M660" i="3"/>
  <c r="G660" i="4" s="1"/>
  <c r="L660" i="3"/>
  <c r="C660" i="4" s="1"/>
  <c r="Q659" i="3"/>
  <c r="E659" i="4" s="1"/>
  <c r="P659" i="3"/>
  <c r="F659" i="4" s="1"/>
  <c r="O659" i="3"/>
  <c r="H659" i="4" s="1"/>
  <c r="N659" i="3"/>
  <c r="M659" i="3"/>
  <c r="G659" i="4" s="1"/>
  <c r="L659" i="3"/>
  <c r="C659" i="4" s="1"/>
  <c r="P658" i="3"/>
  <c r="F658" i="4" s="1"/>
  <c r="O658" i="3"/>
  <c r="H658" i="4" s="1"/>
  <c r="N658" i="3"/>
  <c r="M658" i="3"/>
  <c r="G658" i="4" s="1"/>
  <c r="L658" i="3"/>
  <c r="C658" i="4" s="1"/>
  <c r="P657" i="3"/>
  <c r="F657" i="4" s="1"/>
  <c r="O657" i="3"/>
  <c r="H657" i="4" s="1"/>
  <c r="N657" i="3"/>
  <c r="M657" i="3"/>
  <c r="G657" i="4" s="1"/>
  <c r="L657" i="3"/>
  <c r="C657" i="4" s="1"/>
  <c r="P656" i="3"/>
  <c r="F656" i="4" s="1"/>
  <c r="O656" i="3"/>
  <c r="H656" i="4" s="1"/>
  <c r="N656" i="3"/>
  <c r="M656" i="3"/>
  <c r="G656" i="4" s="1"/>
  <c r="L656" i="3"/>
  <c r="C656" i="4" s="1"/>
  <c r="Q655" i="3"/>
  <c r="E655" i="4" s="1"/>
  <c r="P655" i="3"/>
  <c r="F655" i="4" s="1"/>
  <c r="O655" i="3"/>
  <c r="H655" i="4" s="1"/>
  <c r="N655" i="3"/>
  <c r="M655" i="3"/>
  <c r="G655" i="4" s="1"/>
  <c r="L655" i="3"/>
  <c r="C655" i="4" s="1"/>
  <c r="Q654" i="3"/>
  <c r="E654" i="4" s="1"/>
  <c r="P654" i="3"/>
  <c r="F654" i="4" s="1"/>
  <c r="O654" i="3"/>
  <c r="H654" i="4" s="1"/>
  <c r="N654" i="3"/>
  <c r="M654" i="3"/>
  <c r="G654" i="4" s="1"/>
  <c r="L654" i="3"/>
  <c r="C654" i="4" s="1"/>
  <c r="Q653" i="3"/>
  <c r="E653" i="4" s="1"/>
  <c r="P653" i="3"/>
  <c r="F653" i="4" s="1"/>
  <c r="O653" i="3"/>
  <c r="H653" i="4" s="1"/>
  <c r="N653" i="3"/>
  <c r="M653" i="3"/>
  <c r="G653" i="4" s="1"/>
  <c r="L653" i="3"/>
  <c r="C653" i="4" s="1"/>
  <c r="P652" i="3"/>
  <c r="F652" i="4" s="1"/>
  <c r="O652" i="3"/>
  <c r="H652" i="4" s="1"/>
  <c r="N652" i="3"/>
  <c r="M652" i="3"/>
  <c r="G652" i="4" s="1"/>
  <c r="L652" i="3"/>
  <c r="C652" i="4" s="1"/>
  <c r="P651" i="3"/>
  <c r="F651" i="4" s="1"/>
  <c r="O651" i="3"/>
  <c r="H651" i="4" s="1"/>
  <c r="N651" i="3"/>
  <c r="M651" i="3"/>
  <c r="G651" i="4" s="1"/>
  <c r="L651" i="3"/>
  <c r="C651" i="4" s="1"/>
  <c r="P650" i="3"/>
  <c r="F650" i="4" s="1"/>
  <c r="O650" i="3"/>
  <c r="H650" i="4" s="1"/>
  <c r="N650" i="3"/>
  <c r="M650" i="3"/>
  <c r="G650" i="4" s="1"/>
  <c r="L650" i="3"/>
  <c r="C650" i="4" s="1"/>
  <c r="Q649" i="3"/>
  <c r="E649" i="4" s="1"/>
  <c r="P649" i="3"/>
  <c r="F649" i="4" s="1"/>
  <c r="O649" i="3"/>
  <c r="H649" i="4" s="1"/>
  <c r="N649" i="3"/>
  <c r="M649" i="3"/>
  <c r="G649" i="4" s="1"/>
  <c r="L649" i="3"/>
  <c r="C649" i="4" s="1"/>
  <c r="Q648" i="3"/>
  <c r="E648" i="4" s="1"/>
  <c r="P648" i="3"/>
  <c r="F648" i="4" s="1"/>
  <c r="O648" i="3"/>
  <c r="H648" i="4" s="1"/>
  <c r="N648" i="3"/>
  <c r="M648" i="3"/>
  <c r="G648" i="4" s="1"/>
  <c r="L648" i="3"/>
  <c r="C648" i="4" s="1"/>
  <c r="Q647" i="3"/>
  <c r="E647" i="4" s="1"/>
  <c r="P647" i="3"/>
  <c r="F647" i="4" s="1"/>
  <c r="O647" i="3"/>
  <c r="H647" i="4" s="1"/>
  <c r="N647" i="3"/>
  <c r="M647" i="3"/>
  <c r="G647" i="4" s="1"/>
  <c r="L647" i="3"/>
  <c r="C647" i="4" s="1"/>
  <c r="P646" i="3"/>
  <c r="F646" i="4" s="1"/>
  <c r="O646" i="3"/>
  <c r="H646" i="4" s="1"/>
  <c r="N646" i="3"/>
  <c r="M646" i="3"/>
  <c r="G646" i="4" s="1"/>
  <c r="L646" i="3"/>
  <c r="C646" i="4" s="1"/>
  <c r="P645" i="3"/>
  <c r="F645" i="4" s="1"/>
  <c r="O645" i="3"/>
  <c r="H645" i="4" s="1"/>
  <c r="N645" i="3"/>
  <c r="M645" i="3"/>
  <c r="G645" i="4" s="1"/>
  <c r="L645" i="3"/>
  <c r="C645" i="4" s="1"/>
  <c r="Q644" i="3"/>
  <c r="E644" i="4" s="1"/>
  <c r="P644" i="3"/>
  <c r="F644" i="4" s="1"/>
  <c r="O644" i="3"/>
  <c r="H644" i="4" s="1"/>
  <c r="N644" i="3"/>
  <c r="M644" i="3"/>
  <c r="G644" i="4" s="1"/>
  <c r="L644" i="3"/>
  <c r="C644" i="4" s="1"/>
  <c r="Q643" i="3"/>
  <c r="E643" i="4" s="1"/>
  <c r="P643" i="3"/>
  <c r="F643" i="4" s="1"/>
  <c r="O643" i="3"/>
  <c r="H643" i="4" s="1"/>
  <c r="N643" i="3"/>
  <c r="M643" i="3"/>
  <c r="G643" i="4" s="1"/>
  <c r="L643" i="3"/>
  <c r="C643" i="4" s="1"/>
  <c r="P642" i="3"/>
  <c r="F642" i="4" s="1"/>
  <c r="O642" i="3"/>
  <c r="H642" i="4" s="1"/>
  <c r="N642" i="3"/>
  <c r="M642" i="3"/>
  <c r="G642" i="4" s="1"/>
  <c r="L642" i="3"/>
  <c r="C642" i="4" s="1"/>
  <c r="P641" i="3"/>
  <c r="F641" i="4" s="1"/>
  <c r="O641" i="3"/>
  <c r="H641" i="4" s="1"/>
  <c r="N641" i="3"/>
  <c r="M641" i="3"/>
  <c r="G641" i="4" s="1"/>
  <c r="L641" i="3"/>
  <c r="C641" i="4" s="1"/>
  <c r="P640" i="3"/>
  <c r="F640" i="4" s="1"/>
  <c r="O640" i="3"/>
  <c r="H640" i="4" s="1"/>
  <c r="N640" i="3"/>
  <c r="M640" i="3"/>
  <c r="G640" i="4" s="1"/>
  <c r="L640" i="3"/>
  <c r="C640" i="4" s="1"/>
  <c r="Q639" i="3"/>
  <c r="E639" i="4" s="1"/>
  <c r="P639" i="3"/>
  <c r="F639" i="4" s="1"/>
  <c r="O639" i="3"/>
  <c r="H639" i="4" s="1"/>
  <c r="N639" i="3"/>
  <c r="M639" i="3"/>
  <c r="G639" i="4" s="1"/>
  <c r="L639" i="3"/>
  <c r="C639" i="4" s="1"/>
  <c r="Q638" i="3"/>
  <c r="E638" i="4" s="1"/>
  <c r="P638" i="3"/>
  <c r="F638" i="4" s="1"/>
  <c r="O638" i="3"/>
  <c r="H638" i="4" s="1"/>
  <c r="N638" i="3"/>
  <c r="M638" i="3"/>
  <c r="G638" i="4" s="1"/>
  <c r="L638" i="3"/>
  <c r="C638" i="4" s="1"/>
  <c r="Q637" i="3"/>
  <c r="E637" i="4" s="1"/>
  <c r="P637" i="3"/>
  <c r="F637" i="4" s="1"/>
  <c r="O637" i="3"/>
  <c r="H637" i="4" s="1"/>
  <c r="N637" i="3"/>
  <c r="M637" i="3"/>
  <c r="G637" i="4" s="1"/>
  <c r="L637" i="3"/>
  <c r="C637" i="4" s="1"/>
  <c r="P636" i="3"/>
  <c r="F636" i="4" s="1"/>
  <c r="O636" i="3"/>
  <c r="H636" i="4" s="1"/>
  <c r="N636" i="3"/>
  <c r="M636" i="3"/>
  <c r="G636" i="4" s="1"/>
  <c r="L636" i="3"/>
  <c r="C636" i="4" s="1"/>
  <c r="P635" i="3"/>
  <c r="F635" i="4" s="1"/>
  <c r="O635" i="3"/>
  <c r="H635" i="4" s="1"/>
  <c r="N635" i="3"/>
  <c r="M635" i="3"/>
  <c r="G635" i="4" s="1"/>
  <c r="L635" i="3"/>
  <c r="C635" i="4" s="1"/>
  <c r="P634" i="3"/>
  <c r="F634" i="4" s="1"/>
  <c r="O634" i="3"/>
  <c r="H634" i="4" s="1"/>
  <c r="N634" i="3"/>
  <c r="M634" i="3"/>
  <c r="G634" i="4" s="1"/>
  <c r="L634" i="3"/>
  <c r="C634" i="4" s="1"/>
  <c r="Q633" i="3"/>
  <c r="E633" i="4" s="1"/>
  <c r="P633" i="3"/>
  <c r="F633" i="4" s="1"/>
  <c r="O633" i="3"/>
  <c r="H633" i="4" s="1"/>
  <c r="N633" i="3"/>
  <c r="M633" i="3"/>
  <c r="G633" i="4" s="1"/>
  <c r="L633" i="3"/>
  <c r="C633" i="4" s="1"/>
  <c r="R632" i="3"/>
  <c r="D632" i="4" s="1"/>
  <c r="Q632" i="3"/>
  <c r="E632" i="4" s="1"/>
  <c r="P632" i="3"/>
  <c r="F632" i="4" s="1"/>
  <c r="O632" i="3"/>
  <c r="H632" i="4" s="1"/>
  <c r="N632" i="3"/>
  <c r="M632" i="3"/>
  <c r="G632" i="4" s="1"/>
  <c r="L632" i="3"/>
  <c r="C632" i="4" s="1"/>
  <c r="Q631" i="3"/>
  <c r="E631" i="4" s="1"/>
  <c r="P631" i="3"/>
  <c r="F631" i="4" s="1"/>
  <c r="O631" i="3"/>
  <c r="H631" i="4" s="1"/>
  <c r="N631" i="3"/>
  <c r="M631" i="3"/>
  <c r="G631" i="4" s="1"/>
  <c r="L631" i="3"/>
  <c r="C631" i="4" s="1"/>
  <c r="P630" i="3"/>
  <c r="F630" i="4" s="1"/>
  <c r="O630" i="3"/>
  <c r="H630" i="4" s="1"/>
  <c r="N630" i="3"/>
  <c r="M630" i="3"/>
  <c r="G630" i="4" s="1"/>
  <c r="L630" i="3"/>
  <c r="C630" i="4" s="1"/>
  <c r="P629" i="3"/>
  <c r="F629" i="4" s="1"/>
  <c r="O629" i="3"/>
  <c r="H629" i="4" s="1"/>
  <c r="N629" i="3"/>
  <c r="M629" i="3"/>
  <c r="G629" i="4" s="1"/>
  <c r="L629" i="3"/>
  <c r="C629" i="4" s="1"/>
  <c r="Q628" i="3"/>
  <c r="E628" i="4" s="1"/>
  <c r="P628" i="3"/>
  <c r="F628" i="4" s="1"/>
  <c r="O628" i="3"/>
  <c r="H628" i="4" s="1"/>
  <c r="N628" i="3"/>
  <c r="M628" i="3"/>
  <c r="G628" i="4" s="1"/>
  <c r="L628" i="3"/>
  <c r="C628" i="4" s="1"/>
  <c r="Q627" i="3"/>
  <c r="E627" i="4" s="1"/>
  <c r="P627" i="3"/>
  <c r="F627" i="4" s="1"/>
  <c r="O627" i="3"/>
  <c r="H627" i="4" s="1"/>
  <c r="N627" i="3"/>
  <c r="M627" i="3"/>
  <c r="G627" i="4" s="1"/>
  <c r="L627" i="3"/>
  <c r="C627" i="4" s="1"/>
  <c r="P626" i="3"/>
  <c r="F626" i="4" s="1"/>
  <c r="O626" i="3"/>
  <c r="H626" i="4" s="1"/>
  <c r="N626" i="3"/>
  <c r="M626" i="3"/>
  <c r="G626" i="4" s="1"/>
  <c r="L626" i="3"/>
  <c r="C626" i="4" s="1"/>
  <c r="P625" i="3"/>
  <c r="F625" i="4" s="1"/>
  <c r="O625" i="3"/>
  <c r="H625" i="4" s="1"/>
  <c r="N625" i="3"/>
  <c r="M625" i="3"/>
  <c r="G625" i="4" s="1"/>
  <c r="L625" i="3"/>
  <c r="C625" i="4" s="1"/>
  <c r="P624" i="3"/>
  <c r="F624" i="4" s="1"/>
  <c r="O624" i="3"/>
  <c r="H624" i="4" s="1"/>
  <c r="N624" i="3"/>
  <c r="M624" i="3"/>
  <c r="G624" i="4" s="1"/>
  <c r="L624" i="3"/>
  <c r="C624" i="4" s="1"/>
  <c r="Q623" i="3"/>
  <c r="E623" i="4" s="1"/>
  <c r="P623" i="3"/>
  <c r="F623" i="4" s="1"/>
  <c r="O623" i="3"/>
  <c r="H623" i="4" s="1"/>
  <c r="N623" i="3"/>
  <c r="M623" i="3"/>
  <c r="G623" i="4" s="1"/>
  <c r="L623" i="3"/>
  <c r="C623" i="4" s="1"/>
  <c r="Q622" i="3"/>
  <c r="E622" i="4" s="1"/>
  <c r="P622" i="3"/>
  <c r="F622" i="4" s="1"/>
  <c r="O622" i="3"/>
  <c r="H622" i="4" s="1"/>
  <c r="N622" i="3"/>
  <c r="M622" i="3"/>
  <c r="G622" i="4" s="1"/>
  <c r="L622" i="3"/>
  <c r="C622" i="4" s="1"/>
  <c r="Q621" i="3"/>
  <c r="E621" i="4" s="1"/>
  <c r="P621" i="3"/>
  <c r="F621" i="4" s="1"/>
  <c r="O621" i="3"/>
  <c r="H621" i="4" s="1"/>
  <c r="N621" i="3"/>
  <c r="M621" i="3"/>
  <c r="G621" i="4" s="1"/>
  <c r="L621" i="3"/>
  <c r="C621" i="4" s="1"/>
  <c r="P620" i="3"/>
  <c r="F620" i="4" s="1"/>
  <c r="O620" i="3"/>
  <c r="H620" i="4" s="1"/>
  <c r="N620" i="3"/>
  <c r="M620" i="3"/>
  <c r="G620" i="4" s="1"/>
  <c r="L620" i="3"/>
  <c r="C620" i="4" s="1"/>
  <c r="P619" i="3"/>
  <c r="F619" i="4" s="1"/>
  <c r="O619" i="3"/>
  <c r="H619" i="4" s="1"/>
  <c r="N619" i="3"/>
  <c r="M619" i="3"/>
  <c r="G619" i="4" s="1"/>
  <c r="L619" i="3"/>
  <c r="C619" i="4" s="1"/>
  <c r="P618" i="3"/>
  <c r="F618" i="4" s="1"/>
  <c r="O618" i="3"/>
  <c r="H618" i="4" s="1"/>
  <c r="N618" i="3"/>
  <c r="M618" i="3"/>
  <c r="G618" i="4" s="1"/>
  <c r="L618" i="3"/>
  <c r="C618" i="4" s="1"/>
  <c r="Q617" i="3"/>
  <c r="E617" i="4" s="1"/>
  <c r="P617" i="3"/>
  <c r="F617" i="4" s="1"/>
  <c r="O617" i="3"/>
  <c r="H617" i="4" s="1"/>
  <c r="N617" i="3"/>
  <c r="M617" i="3"/>
  <c r="G617" i="4" s="1"/>
  <c r="L617" i="3"/>
  <c r="C617" i="4" s="1"/>
  <c r="R616" i="3"/>
  <c r="D616" i="4" s="1"/>
  <c r="Q616" i="3"/>
  <c r="E616" i="4" s="1"/>
  <c r="P616" i="3"/>
  <c r="F616" i="4" s="1"/>
  <c r="O616" i="3"/>
  <c r="H616" i="4" s="1"/>
  <c r="N616" i="3"/>
  <c r="M616" i="3"/>
  <c r="G616" i="4" s="1"/>
  <c r="L616" i="3"/>
  <c r="C616" i="4" s="1"/>
  <c r="Q615" i="3"/>
  <c r="E615" i="4" s="1"/>
  <c r="P615" i="3"/>
  <c r="F615" i="4" s="1"/>
  <c r="O615" i="3"/>
  <c r="H615" i="4" s="1"/>
  <c r="N615" i="3"/>
  <c r="M615" i="3"/>
  <c r="G615" i="4" s="1"/>
  <c r="L615" i="3"/>
  <c r="C615" i="4" s="1"/>
  <c r="P614" i="3"/>
  <c r="F614" i="4" s="1"/>
  <c r="O614" i="3"/>
  <c r="H614" i="4" s="1"/>
  <c r="N614" i="3"/>
  <c r="M614" i="3"/>
  <c r="G614" i="4" s="1"/>
  <c r="L614" i="3"/>
  <c r="P613" i="3"/>
  <c r="F613" i="4" s="1"/>
  <c r="O613" i="3"/>
  <c r="H613" i="4" s="1"/>
  <c r="N613" i="3"/>
  <c r="M613" i="3"/>
  <c r="G613" i="4" s="1"/>
  <c r="L613" i="3"/>
  <c r="C613" i="4" s="1"/>
  <c r="Q612" i="3"/>
  <c r="E612" i="4" s="1"/>
  <c r="P612" i="3"/>
  <c r="F612" i="4" s="1"/>
  <c r="O612" i="3"/>
  <c r="H612" i="4" s="1"/>
  <c r="N612" i="3"/>
  <c r="M612" i="3"/>
  <c r="G612" i="4" s="1"/>
  <c r="L612" i="3"/>
  <c r="C612" i="4" s="1"/>
  <c r="Q611" i="3"/>
  <c r="P611" i="3"/>
  <c r="F611" i="4" s="1"/>
  <c r="O611" i="3"/>
  <c r="H611" i="4" s="1"/>
  <c r="N611" i="3"/>
  <c r="M611" i="3"/>
  <c r="G611" i="4" s="1"/>
  <c r="L611" i="3"/>
  <c r="C611" i="4" s="1"/>
  <c r="P610" i="3"/>
  <c r="F610" i="4" s="1"/>
  <c r="O610" i="3"/>
  <c r="H610" i="4" s="1"/>
  <c r="N610" i="3"/>
  <c r="M610" i="3"/>
  <c r="G610" i="4" s="1"/>
  <c r="L610" i="3"/>
  <c r="C610" i="4" s="1"/>
  <c r="P609" i="3"/>
  <c r="F609" i="4" s="1"/>
  <c r="O609" i="3"/>
  <c r="H609" i="4" s="1"/>
  <c r="N609" i="3"/>
  <c r="M609" i="3"/>
  <c r="G609" i="4" s="1"/>
  <c r="L609" i="3"/>
  <c r="C609" i="4" s="1"/>
  <c r="P608" i="3"/>
  <c r="F608" i="4" s="1"/>
  <c r="O608" i="3"/>
  <c r="H608" i="4" s="1"/>
  <c r="N608" i="3"/>
  <c r="M608" i="3"/>
  <c r="G608" i="4" s="1"/>
  <c r="L608" i="3"/>
  <c r="C608" i="4" s="1"/>
  <c r="Q607" i="3"/>
  <c r="E607" i="4" s="1"/>
  <c r="P607" i="3"/>
  <c r="F607" i="4" s="1"/>
  <c r="O607" i="3"/>
  <c r="H607" i="4" s="1"/>
  <c r="N607" i="3"/>
  <c r="M607" i="3"/>
  <c r="G607" i="4" s="1"/>
  <c r="L607" i="3"/>
  <c r="C607" i="4" s="1"/>
  <c r="Q606" i="3"/>
  <c r="E606" i="4" s="1"/>
  <c r="P606" i="3"/>
  <c r="F606" i="4" s="1"/>
  <c r="O606" i="3"/>
  <c r="H606" i="4" s="1"/>
  <c r="N606" i="3"/>
  <c r="M606" i="3"/>
  <c r="G606" i="4" s="1"/>
  <c r="L606" i="3"/>
  <c r="C606" i="4" s="1"/>
  <c r="Q605" i="3"/>
  <c r="E605" i="4" s="1"/>
  <c r="P605" i="3"/>
  <c r="F605" i="4" s="1"/>
  <c r="O605" i="3"/>
  <c r="H605" i="4" s="1"/>
  <c r="N605" i="3"/>
  <c r="M605" i="3"/>
  <c r="G605" i="4" s="1"/>
  <c r="L605" i="3"/>
  <c r="C605" i="4" s="1"/>
  <c r="P604" i="3"/>
  <c r="F604" i="4" s="1"/>
  <c r="O604" i="3"/>
  <c r="H604" i="4" s="1"/>
  <c r="N604" i="3"/>
  <c r="M604" i="3"/>
  <c r="G604" i="4" s="1"/>
  <c r="L604" i="3"/>
  <c r="C604" i="4" s="1"/>
  <c r="P603" i="3"/>
  <c r="F603" i="4" s="1"/>
  <c r="O603" i="3"/>
  <c r="H603" i="4" s="1"/>
  <c r="N603" i="3"/>
  <c r="M603" i="3"/>
  <c r="G603" i="4" s="1"/>
  <c r="L603" i="3"/>
  <c r="C603" i="4" s="1"/>
  <c r="P602" i="3"/>
  <c r="F602" i="4" s="1"/>
  <c r="O602" i="3"/>
  <c r="H602" i="4" s="1"/>
  <c r="N602" i="3"/>
  <c r="M602" i="3"/>
  <c r="G602" i="4" s="1"/>
  <c r="L602" i="3"/>
  <c r="C602" i="4" s="1"/>
  <c r="Q601" i="3"/>
  <c r="E601" i="4" s="1"/>
  <c r="P601" i="3"/>
  <c r="F601" i="4" s="1"/>
  <c r="O601" i="3"/>
  <c r="H601" i="4" s="1"/>
  <c r="N601" i="3"/>
  <c r="M601" i="3"/>
  <c r="G601" i="4" s="1"/>
  <c r="L601" i="3"/>
  <c r="C601" i="4" s="1"/>
  <c r="R600" i="3"/>
  <c r="D600" i="4" s="1"/>
  <c r="Q600" i="3"/>
  <c r="E600" i="4" s="1"/>
  <c r="P600" i="3"/>
  <c r="F600" i="4" s="1"/>
  <c r="O600" i="3"/>
  <c r="H600" i="4" s="1"/>
  <c r="N600" i="3"/>
  <c r="M600" i="3"/>
  <c r="G600" i="4" s="1"/>
  <c r="L600" i="3"/>
  <c r="C600" i="4" s="1"/>
  <c r="Q599" i="3"/>
  <c r="P599" i="3"/>
  <c r="F599" i="4" s="1"/>
  <c r="O599" i="3"/>
  <c r="H599" i="4" s="1"/>
  <c r="N599" i="3"/>
  <c r="M599" i="3"/>
  <c r="G599" i="4" s="1"/>
  <c r="L599" i="3"/>
  <c r="C599" i="4" s="1"/>
  <c r="P598" i="3"/>
  <c r="F598" i="4" s="1"/>
  <c r="O598" i="3"/>
  <c r="H598" i="4" s="1"/>
  <c r="N598" i="3"/>
  <c r="M598" i="3"/>
  <c r="G598" i="4" s="1"/>
  <c r="L598" i="3"/>
  <c r="P597" i="3"/>
  <c r="F597" i="4" s="1"/>
  <c r="O597" i="3"/>
  <c r="N597" i="3"/>
  <c r="M597" i="3"/>
  <c r="G597" i="4" s="1"/>
  <c r="L597" i="3"/>
  <c r="C597" i="4" s="1"/>
  <c r="Q596" i="3"/>
  <c r="E596" i="4" s="1"/>
  <c r="P596" i="3"/>
  <c r="F596" i="4" s="1"/>
  <c r="O596" i="3"/>
  <c r="H596" i="4" s="1"/>
  <c r="N596" i="3"/>
  <c r="M596" i="3"/>
  <c r="G596" i="4" s="1"/>
  <c r="L596" i="3"/>
  <c r="C596" i="4" s="1"/>
  <c r="Q595" i="3"/>
  <c r="P595" i="3"/>
  <c r="F595" i="4" s="1"/>
  <c r="O595" i="3"/>
  <c r="H595" i="4" s="1"/>
  <c r="N595" i="3"/>
  <c r="M595" i="3"/>
  <c r="G595" i="4" s="1"/>
  <c r="L595" i="3"/>
  <c r="C595" i="4" s="1"/>
  <c r="P594" i="3"/>
  <c r="F594" i="4" s="1"/>
  <c r="O594" i="3"/>
  <c r="H594" i="4" s="1"/>
  <c r="N594" i="3"/>
  <c r="M594" i="3"/>
  <c r="G594" i="4" s="1"/>
  <c r="L594" i="3"/>
  <c r="C594" i="4" s="1"/>
  <c r="P593" i="3"/>
  <c r="F593" i="4" s="1"/>
  <c r="O593" i="3"/>
  <c r="H593" i="4" s="1"/>
  <c r="N593" i="3"/>
  <c r="M593" i="3"/>
  <c r="G593" i="4" s="1"/>
  <c r="L593" i="3"/>
  <c r="C593" i="4" s="1"/>
  <c r="P592" i="3"/>
  <c r="F592" i="4" s="1"/>
  <c r="O592" i="3"/>
  <c r="H592" i="4" s="1"/>
  <c r="N592" i="3"/>
  <c r="M592" i="3"/>
  <c r="G592" i="4" s="1"/>
  <c r="L592" i="3"/>
  <c r="C592" i="4" s="1"/>
  <c r="Q591" i="3"/>
  <c r="E591" i="4" s="1"/>
  <c r="P591" i="3"/>
  <c r="F591" i="4" s="1"/>
  <c r="O591" i="3"/>
  <c r="H591" i="4" s="1"/>
  <c r="N591" i="3"/>
  <c r="M591" i="3"/>
  <c r="G591" i="4" s="1"/>
  <c r="L591" i="3"/>
  <c r="C591" i="4" s="1"/>
  <c r="Q590" i="3"/>
  <c r="E590" i="4" s="1"/>
  <c r="P590" i="3"/>
  <c r="F590" i="4" s="1"/>
  <c r="O590" i="3"/>
  <c r="H590" i="4" s="1"/>
  <c r="N590" i="3"/>
  <c r="M590" i="3"/>
  <c r="G590" i="4" s="1"/>
  <c r="L590" i="3"/>
  <c r="C590" i="4" s="1"/>
  <c r="Q589" i="3"/>
  <c r="E589" i="4" s="1"/>
  <c r="P589" i="3"/>
  <c r="F589" i="4" s="1"/>
  <c r="O589" i="3"/>
  <c r="H589" i="4" s="1"/>
  <c r="N589" i="3"/>
  <c r="M589" i="3"/>
  <c r="G589" i="4" s="1"/>
  <c r="L589" i="3"/>
  <c r="C589" i="4" s="1"/>
  <c r="P588" i="3"/>
  <c r="F588" i="4" s="1"/>
  <c r="O588" i="3"/>
  <c r="H588" i="4" s="1"/>
  <c r="N588" i="3"/>
  <c r="M588" i="3"/>
  <c r="G588" i="4" s="1"/>
  <c r="L588" i="3"/>
  <c r="C588" i="4" s="1"/>
  <c r="P587" i="3"/>
  <c r="F587" i="4" s="1"/>
  <c r="O587" i="3"/>
  <c r="H587" i="4" s="1"/>
  <c r="N587" i="3"/>
  <c r="M587" i="3"/>
  <c r="G587" i="4" s="1"/>
  <c r="L587" i="3"/>
  <c r="C587" i="4" s="1"/>
  <c r="P586" i="3"/>
  <c r="F586" i="4" s="1"/>
  <c r="O586" i="3"/>
  <c r="H586" i="4" s="1"/>
  <c r="N586" i="3"/>
  <c r="M586" i="3"/>
  <c r="G586" i="4" s="1"/>
  <c r="L586" i="3"/>
  <c r="Q585" i="3"/>
  <c r="E585" i="4" s="1"/>
  <c r="P585" i="3"/>
  <c r="F585" i="4" s="1"/>
  <c r="O585" i="3"/>
  <c r="H585" i="4" s="1"/>
  <c r="N585" i="3"/>
  <c r="M585" i="3"/>
  <c r="G585" i="4" s="1"/>
  <c r="L585" i="3"/>
  <c r="C585" i="4" s="1"/>
  <c r="R584" i="3"/>
  <c r="D584" i="4" s="1"/>
  <c r="Q584" i="3"/>
  <c r="E584" i="4" s="1"/>
  <c r="P584" i="3"/>
  <c r="F584" i="4" s="1"/>
  <c r="O584" i="3"/>
  <c r="H584" i="4" s="1"/>
  <c r="N584" i="3"/>
  <c r="M584" i="3"/>
  <c r="G584" i="4" s="1"/>
  <c r="L584" i="3"/>
  <c r="C584" i="4" s="1"/>
  <c r="Q583" i="3"/>
  <c r="P583" i="3"/>
  <c r="F583" i="4" s="1"/>
  <c r="O583" i="3"/>
  <c r="H583" i="4" s="1"/>
  <c r="N583" i="3"/>
  <c r="M583" i="3"/>
  <c r="G583" i="4" s="1"/>
  <c r="L583" i="3"/>
  <c r="C583" i="4" s="1"/>
  <c r="P582" i="3"/>
  <c r="F582" i="4" s="1"/>
  <c r="O582" i="3"/>
  <c r="H582" i="4" s="1"/>
  <c r="N582" i="3"/>
  <c r="M582" i="3"/>
  <c r="G582" i="4" s="1"/>
  <c r="L582" i="3"/>
  <c r="P581" i="3"/>
  <c r="F581" i="4" s="1"/>
  <c r="O581" i="3"/>
  <c r="N581" i="3"/>
  <c r="M581" i="3"/>
  <c r="G581" i="4" s="1"/>
  <c r="L581" i="3"/>
  <c r="C581" i="4" s="1"/>
  <c r="Q580" i="3"/>
  <c r="E580" i="4" s="1"/>
  <c r="P580" i="3"/>
  <c r="F580" i="4" s="1"/>
  <c r="O580" i="3"/>
  <c r="H580" i="4" s="1"/>
  <c r="N580" i="3"/>
  <c r="M580" i="3"/>
  <c r="G580" i="4" s="1"/>
  <c r="L580" i="3"/>
  <c r="C580" i="4" s="1"/>
  <c r="Q579" i="3"/>
  <c r="P579" i="3"/>
  <c r="F579" i="4" s="1"/>
  <c r="O579" i="3"/>
  <c r="H579" i="4" s="1"/>
  <c r="N579" i="3"/>
  <c r="M579" i="3"/>
  <c r="G579" i="4" s="1"/>
  <c r="L579" i="3"/>
  <c r="C579" i="4" s="1"/>
  <c r="P578" i="3"/>
  <c r="F578" i="4" s="1"/>
  <c r="O578" i="3"/>
  <c r="H578" i="4" s="1"/>
  <c r="N578" i="3"/>
  <c r="M578" i="3"/>
  <c r="G578" i="4" s="1"/>
  <c r="L578" i="3"/>
  <c r="C578" i="4" s="1"/>
  <c r="P577" i="3"/>
  <c r="F577" i="4" s="1"/>
  <c r="O577" i="3"/>
  <c r="H577" i="4" s="1"/>
  <c r="N577" i="3"/>
  <c r="M577" i="3"/>
  <c r="G577" i="4" s="1"/>
  <c r="L577" i="3"/>
  <c r="C577" i="4" s="1"/>
  <c r="P576" i="3"/>
  <c r="F576" i="4" s="1"/>
  <c r="O576" i="3"/>
  <c r="H576" i="4" s="1"/>
  <c r="N576" i="3"/>
  <c r="M576" i="3"/>
  <c r="G576" i="4" s="1"/>
  <c r="L576" i="3"/>
  <c r="C576" i="4" s="1"/>
  <c r="Q575" i="3"/>
  <c r="E575" i="4" s="1"/>
  <c r="P575" i="3"/>
  <c r="F575" i="4" s="1"/>
  <c r="O575" i="3"/>
  <c r="H575" i="4" s="1"/>
  <c r="N575" i="3"/>
  <c r="M575" i="3"/>
  <c r="G575" i="4" s="1"/>
  <c r="L575" i="3"/>
  <c r="C575" i="4" s="1"/>
  <c r="Q574" i="3"/>
  <c r="E574" i="4" s="1"/>
  <c r="P574" i="3"/>
  <c r="F574" i="4" s="1"/>
  <c r="O574" i="3"/>
  <c r="H574" i="4" s="1"/>
  <c r="N574" i="3"/>
  <c r="M574" i="3"/>
  <c r="G574" i="4" s="1"/>
  <c r="L574" i="3"/>
  <c r="C574" i="4" s="1"/>
  <c r="Q573" i="3"/>
  <c r="E573" i="4" s="1"/>
  <c r="P573" i="3"/>
  <c r="F573" i="4" s="1"/>
  <c r="O573" i="3"/>
  <c r="H573" i="4" s="1"/>
  <c r="N573" i="3"/>
  <c r="M573" i="3"/>
  <c r="G573" i="4" s="1"/>
  <c r="L573" i="3"/>
  <c r="C573" i="4" s="1"/>
  <c r="P572" i="3"/>
  <c r="F572" i="4" s="1"/>
  <c r="O572" i="3"/>
  <c r="H572" i="4" s="1"/>
  <c r="N572" i="3"/>
  <c r="M572" i="3"/>
  <c r="G572" i="4" s="1"/>
  <c r="L572" i="3"/>
  <c r="C572" i="4" s="1"/>
  <c r="P571" i="3"/>
  <c r="F571" i="4" s="1"/>
  <c r="O571" i="3"/>
  <c r="H571" i="4" s="1"/>
  <c r="N571" i="3"/>
  <c r="M571" i="3"/>
  <c r="G571" i="4" s="1"/>
  <c r="L571" i="3"/>
  <c r="C571" i="4" s="1"/>
  <c r="P570" i="3"/>
  <c r="F570" i="4" s="1"/>
  <c r="O570" i="3"/>
  <c r="H570" i="4" s="1"/>
  <c r="N570" i="3"/>
  <c r="M570" i="3"/>
  <c r="G570" i="4" s="1"/>
  <c r="L570" i="3"/>
  <c r="Q569" i="3"/>
  <c r="E569" i="4" s="1"/>
  <c r="P569" i="3"/>
  <c r="F569" i="4" s="1"/>
  <c r="O569" i="3"/>
  <c r="H569" i="4" s="1"/>
  <c r="N569" i="3"/>
  <c r="M569" i="3"/>
  <c r="G569" i="4" s="1"/>
  <c r="L569" i="3"/>
  <c r="C569" i="4" s="1"/>
  <c r="R568" i="3"/>
  <c r="D568" i="4" s="1"/>
  <c r="Q568" i="3"/>
  <c r="E568" i="4" s="1"/>
  <c r="P568" i="3"/>
  <c r="F568" i="4" s="1"/>
  <c r="O568" i="3"/>
  <c r="H568" i="4" s="1"/>
  <c r="N568" i="3"/>
  <c r="M568" i="3"/>
  <c r="G568" i="4" s="1"/>
  <c r="L568" i="3"/>
  <c r="C568" i="4" s="1"/>
  <c r="Q567" i="3"/>
  <c r="P567" i="3"/>
  <c r="F567" i="4" s="1"/>
  <c r="O567" i="3"/>
  <c r="H567" i="4" s="1"/>
  <c r="N567" i="3"/>
  <c r="M567" i="3"/>
  <c r="G567" i="4" s="1"/>
  <c r="L567" i="3"/>
  <c r="C567" i="4" s="1"/>
  <c r="P566" i="3"/>
  <c r="F566" i="4" s="1"/>
  <c r="O566" i="3"/>
  <c r="H566" i="4" s="1"/>
  <c r="N566" i="3"/>
  <c r="M566" i="3"/>
  <c r="G566" i="4" s="1"/>
  <c r="L566" i="3"/>
  <c r="P565" i="3"/>
  <c r="F565" i="4" s="1"/>
  <c r="O565" i="3"/>
  <c r="N565" i="3"/>
  <c r="M565" i="3"/>
  <c r="G565" i="4" s="1"/>
  <c r="L565" i="3"/>
  <c r="C565" i="4" s="1"/>
  <c r="Q564" i="3"/>
  <c r="E564" i="4" s="1"/>
  <c r="P564" i="3"/>
  <c r="F564" i="4" s="1"/>
  <c r="O564" i="3"/>
  <c r="H564" i="4" s="1"/>
  <c r="N564" i="3"/>
  <c r="M564" i="3"/>
  <c r="G564" i="4" s="1"/>
  <c r="L564" i="3"/>
  <c r="C564" i="4" s="1"/>
  <c r="Q563" i="3"/>
  <c r="P563" i="3"/>
  <c r="F563" i="4" s="1"/>
  <c r="O563" i="3"/>
  <c r="H563" i="4" s="1"/>
  <c r="N563" i="3"/>
  <c r="M563" i="3"/>
  <c r="G563" i="4" s="1"/>
  <c r="L563" i="3"/>
  <c r="C563" i="4" s="1"/>
  <c r="P562" i="3"/>
  <c r="F562" i="4" s="1"/>
  <c r="O562" i="3"/>
  <c r="H562" i="4" s="1"/>
  <c r="N562" i="3"/>
  <c r="M562" i="3"/>
  <c r="G562" i="4" s="1"/>
  <c r="L562" i="3"/>
  <c r="C562" i="4" s="1"/>
  <c r="P561" i="3"/>
  <c r="F561" i="4" s="1"/>
  <c r="O561" i="3"/>
  <c r="H561" i="4" s="1"/>
  <c r="N561" i="3"/>
  <c r="M561" i="3"/>
  <c r="G561" i="4" s="1"/>
  <c r="L561" i="3"/>
  <c r="C561" i="4" s="1"/>
  <c r="P560" i="3"/>
  <c r="F560" i="4" s="1"/>
  <c r="O560" i="3"/>
  <c r="H560" i="4" s="1"/>
  <c r="N560" i="3"/>
  <c r="M560" i="3"/>
  <c r="G560" i="4" s="1"/>
  <c r="L560" i="3"/>
  <c r="C560" i="4" s="1"/>
  <c r="Q559" i="3"/>
  <c r="E559" i="4" s="1"/>
  <c r="P559" i="3"/>
  <c r="F559" i="4" s="1"/>
  <c r="O559" i="3"/>
  <c r="H559" i="4" s="1"/>
  <c r="N559" i="3"/>
  <c r="M559" i="3"/>
  <c r="G559" i="4" s="1"/>
  <c r="L559" i="3"/>
  <c r="C559" i="4" s="1"/>
  <c r="Q558" i="3"/>
  <c r="E558" i="4" s="1"/>
  <c r="P558" i="3"/>
  <c r="F558" i="4" s="1"/>
  <c r="O558" i="3"/>
  <c r="H558" i="4" s="1"/>
  <c r="N558" i="3"/>
  <c r="M558" i="3"/>
  <c r="G558" i="4" s="1"/>
  <c r="L558" i="3"/>
  <c r="C558" i="4" s="1"/>
  <c r="Q557" i="3"/>
  <c r="E557" i="4" s="1"/>
  <c r="P557" i="3"/>
  <c r="F557" i="4" s="1"/>
  <c r="O557" i="3"/>
  <c r="H557" i="4" s="1"/>
  <c r="N557" i="3"/>
  <c r="M557" i="3"/>
  <c r="G557" i="4" s="1"/>
  <c r="L557" i="3"/>
  <c r="C557" i="4" s="1"/>
  <c r="P556" i="3"/>
  <c r="F556" i="4" s="1"/>
  <c r="O556" i="3"/>
  <c r="H556" i="4" s="1"/>
  <c r="N556" i="3"/>
  <c r="M556" i="3"/>
  <c r="G556" i="4" s="1"/>
  <c r="L556" i="3"/>
  <c r="C556" i="4" s="1"/>
  <c r="P555" i="3"/>
  <c r="F555" i="4" s="1"/>
  <c r="O555" i="3"/>
  <c r="H555" i="4" s="1"/>
  <c r="N555" i="3"/>
  <c r="M555" i="3"/>
  <c r="G555" i="4" s="1"/>
  <c r="L555" i="3"/>
  <c r="C555" i="4" s="1"/>
  <c r="P554" i="3"/>
  <c r="F554" i="4" s="1"/>
  <c r="O554" i="3"/>
  <c r="H554" i="4" s="1"/>
  <c r="N554" i="3"/>
  <c r="M554" i="3"/>
  <c r="G554" i="4" s="1"/>
  <c r="L554" i="3"/>
  <c r="Q553" i="3"/>
  <c r="E553" i="4" s="1"/>
  <c r="P553" i="3"/>
  <c r="F553" i="4" s="1"/>
  <c r="O553" i="3"/>
  <c r="H553" i="4" s="1"/>
  <c r="N553" i="3"/>
  <c r="M553" i="3"/>
  <c r="G553" i="4" s="1"/>
  <c r="L553" i="3"/>
  <c r="C553" i="4" s="1"/>
  <c r="R552" i="3"/>
  <c r="D552" i="4" s="1"/>
  <c r="Q552" i="3"/>
  <c r="E552" i="4" s="1"/>
  <c r="P552" i="3"/>
  <c r="F552" i="4" s="1"/>
  <c r="O552" i="3"/>
  <c r="H552" i="4" s="1"/>
  <c r="N552" i="3"/>
  <c r="M552" i="3"/>
  <c r="G552" i="4" s="1"/>
  <c r="L552" i="3"/>
  <c r="C552" i="4" s="1"/>
  <c r="Q551" i="3"/>
  <c r="P551" i="3"/>
  <c r="F551" i="4" s="1"/>
  <c r="O551" i="3"/>
  <c r="H551" i="4" s="1"/>
  <c r="N551" i="3"/>
  <c r="M551" i="3"/>
  <c r="G551" i="4" s="1"/>
  <c r="L551" i="3"/>
  <c r="C551" i="4" s="1"/>
  <c r="P550" i="3"/>
  <c r="F550" i="4" s="1"/>
  <c r="O550" i="3"/>
  <c r="H550" i="4" s="1"/>
  <c r="N550" i="3"/>
  <c r="M550" i="3"/>
  <c r="G550" i="4" s="1"/>
  <c r="L550" i="3"/>
  <c r="P549" i="3"/>
  <c r="F549" i="4" s="1"/>
  <c r="O549" i="3"/>
  <c r="N549" i="3"/>
  <c r="M549" i="3"/>
  <c r="G549" i="4" s="1"/>
  <c r="L549" i="3"/>
  <c r="C549" i="4" s="1"/>
  <c r="Q548" i="3"/>
  <c r="E548" i="4" s="1"/>
  <c r="P548" i="3"/>
  <c r="F548" i="4" s="1"/>
  <c r="O548" i="3"/>
  <c r="H548" i="4" s="1"/>
  <c r="N548" i="3"/>
  <c r="M548" i="3"/>
  <c r="G548" i="4" s="1"/>
  <c r="L548" i="3"/>
  <c r="C548" i="4" s="1"/>
  <c r="Q547" i="3"/>
  <c r="P547" i="3"/>
  <c r="F547" i="4" s="1"/>
  <c r="O547" i="3"/>
  <c r="H547" i="4" s="1"/>
  <c r="N547" i="3"/>
  <c r="M547" i="3"/>
  <c r="G547" i="4" s="1"/>
  <c r="L547" i="3"/>
  <c r="C547" i="4" s="1"/>
  <c r="P546" i="3"/>
  <c r="F546" i="4" s="1"/>
  <c r="O546" i="3"/>
  <c r="H546" i="4" s="1"/>
  <c r="N546" i="3"/>
  <c r="M546" i="3"/>
  <c r="G546" i="4" s="1"/>
  <c r="L546" i="3"/>
  <c r="C546" i="4" s="1"/>
  <c r="P545" i="3"/>
  <c r="F545" i="4" s="1"/>
  <c r="O545" i="3"/>
  <c r="H545" i="4" s="1"/>
  <c r="N545" i="3"/>
  <c r="M545" i="3"/>
  <c r="G545" i="4" s="1"/>
  <c r="L545" i="3"/>
  <c r="C545" i="4" s="1"/>
  <c r="P544" i="3"/>
  <c r="F544" i="4" s="1"/>
  <c r="O544" i="3"/>
  <c r="H544" i="4" s="1"/>
  <c r="N544" i="3"/>
  <c r="M544" i="3"/>
  <c r="G544" i="4" s="1"/>
  <c r="L544" i="3"/>
  <c r="C544" i="4" s="1"/>
  <c r="Q543" i="3"/>
  <c r="E543" i="4" s="1"/>
  <c r="P543" i="3"/>
  <c r="F543" i="4" s="1"/>
  <c r="O543" i="3"/>
  <c r="H543" i="4" s="1"/>
  <c r="N543" i="3"/>
  <c r="M543" i="3"/>
  <c r="G543" i="4" s="1"/>
  <c r="L543" i="3"/>
  <c r="C543" i="4" s="1"/>
  <c r="Q542" i="3"/>
  <c r="E542" i="4" s="1"/>
  <c r="P542" i="3"/>
  <c r="F542" i="4" s="1"/>
  <c r="O542" i="3"/>
  <c r="H542" i="4" s="1"/>
  <c r="N542" i="3"/>
  <c r="M542" i="3"/>
  <c r="G542" i="4" s="1"/>
  <c r="L542" i="3"/>
  <c r="C542" i="4" s="1"/>
  <c r="Q541" i="3"/>
  <c r="E541" i="4" s="1"/>
  <c r="P541" i="3"/>
  <c r="F541" i="4" s="1"/>
  <c r="O541" i="3"/>
  <c r="H541" i="4" s="1"/>
  <c r="N541" i="3"/>
  <c r="M541" i="3"/>
  <c r="G541" i="4" s="1"/>
  <c r="L541" i="3"/>
  <c r="C541" i="4" s="1"/>
  <c r="P540" i="3"/>
  <c r="F540" i="4" s="1"/>
  <c r="O540" i="3"/>
  <c r="H540" i="4" s="1"/>
  <c r="N540" i="3"/>
  <c r="M540" i="3"/>
  <c r="G540" i="4" s="1"/>
  <c r="L540" i="3"/>
  <c r="C540" i="4" s="1"/>
  <c r="P539" i="3"/>
  <c r="F539" i="4" s="1"/>
  <c r="O539" i="3"/>
  <c r="H539" i="4" s="1"/>
  <c r="N539" i="3"/>
  <c r="M539" i="3"/>
  <c r="G539" i="4" s="1"/>
  <c r="L539" i="3"/>
  <c r="C539" i="4" s="1"/>
  <c r="P538" i="3"/>
  <c r="F538" i="4" s="1"/>
  <c r="O538" i="3"/>
  <c r="H538" i="4" s="1"/>
  <c r="N538" i="3"/>
  <c r="M538" i="3"/>
  <c r="G538" i="4" s="1"/>
  <c r="L538" i="3"/>
  <c r="Q537" i="3"/>
  <c r="E537" i="4" s="1"/>
  <c r="P537" i="3"/>
  <c r="F537" i="4" s="1"/>
  <c r="O537" i="3"/>
  <c r="H537" i="4" s="1"/>
  <c r="N537" i="3"/>
  <c r="M537" i="3"/>
  <c r="G537" i="4" s="1"/>
  <c r="L537" i="3"/>
  <c r="C537" i="4" s="1"/>
  <c r="R536" i="3"/>
  <c r="D536" i="4" s="1"/>
  <c r="Q536" i="3"/>
  <c r="E536" i="4" s="1"/>
  <c r="P536" i="3"/>
  <c r="F536" i="4" s="1"/>
  <c r="O536" i="3"/>
  <c r="H536" i="4" s="1"/>
  <c r="N536" i="3"/>
  <c r="M536" i="3"/>
  <c r="G536" i="4" s="1"/>
  <c r="L536" i="3"/>
  <c r="C536" i="4" s="1"/>
  <c r="Q535" i="3"/>
  <c r="P535" i="3"/>
  <c r="F535" i="4" s="1"/>
  <c r="O535" i="3"/>
  <c r="H535" i="4" s="1"/>
  <c r="N535" i="3"/>
  <c r="M535" i="3"/>
  <c r="G535" i="4" s="1"/>
  <c r="L535" i="3"/>
  <c r="C535" i="4" s="1"/>
  <c r="P534" i="3"/>
  <c r="F534" i="4" s="1"/>
  <c r="O534" i="3"/>
  <c r="H534" i="4" s="1"/>
  <c r="N534" i="3"/>
  <c r="M534" i="3"/>
  <c r="G534" i="4" s="1"/>
  <c r="L534" i="3"/>
  <c r="Q533" i="3"/>
  <c r="E533" i="4" s="1"/>
  <c r="P533" i="3"/>
  <c r="F533" i="4" s="1"/>
  <c r="O533" i="3"/>
  <c r="N533" i="3"/>
  <c r="M533" i="3"/>
  <c r="G533" i="4" s="1"/>
  <c r="L533" i="3"/>
  <c r="C533" i="4" s="1"/>
  <c r="Q532" i="3"/>
  <c r="E532" i="4" s="1"/>
  <c r="P532" i="3"/>
  <c r="F532" i="4" s="1"/>
  <c r="O532" i="3"/>
  <c r="H532" i="4" s="1"/>
  <c r="N532" i="3"/>
  <c r="M532" i="3"/>
  <c r="G532" i="4" s="1"/>
  <c r="L532" i="3"/>
  <c r="C532" i="4" s="1"/>
  <c r="Q531" i="3"/>
  <c r="P531" i="3"/>
  <c r="F531" i="4" s="1"/>
  <c r="O531" i="3"/>
  <c r="H531" i="4" s="1"/>
  <c r="N531" i="3"/>
  <c r="M531" i="3"/>
  <c r="G531" i="4" s="1"/>
  <c r="L531" i="3"/>
  <c r="C531" i="4" s="1"/>
  <c r="P530" i="3"/>
  <c r="F530" i="4" s="1"/>
  <c r="O530" i="3"/>
  <c r="H530" i="4" s="1"/>
  <c r="N530" i="3"/>
  <c r="M530" i="3"/>
  <c r="G530" i="4" s="1"/>
  <c r="L530" i="3"/>
  <c r="P529" i="3"/>
  <c r="F529" i="4" s="1"/>
  <c r="O529" i="3"/>
  <c r="H529" i="4" s="1"/>
  <c r="N529" i="3"/>
  <c r="M529" i="3"/>
  <c r="G529" i="4" s="1"/>
  <c r="L529" i="3"/>
  <c r="C529" i="4" s="1"/>
  <c r="P528" i="3"/>
  <c r="F528" i="4" s="1"/>
  <c r="O528" i="3"/>
  <c r="H528" i="4" s="1"/>
  <c r="N528" i="3"/>
  <c r="M528" i="3"/>
  <c r="G528" i="4" s="1"/>
  <c r="L528" i="3"/>
  <c r="Q527" i="3"/>
  <c r="E527" i="4" s="1"/>
  <c r="P527" i="3"/>
  <c r="F527" i="4" s="1"/>
  <c r="O527" i="3"/>
  <c r="H527" i="4" s="1"/>
  <c r="N527" i="3"/>
  <c r="M527" i="3"/>
  <c r="G527" i="4" s="1"/>
  <c r="L527" i="3"/>
  <c r="C527" i="4" s="1"/>
  <c r="Q526" i="3"/>
  <c r="E526" i="4" s="1"/>
  <c r="P526" i="3"/>
  <c r="F526" i="4" s="1"/>
  <c r="O526" i="3"/>
  <c r="H526" i="4" s="1"/>
  <c r="N526" i="3"/>
  <c r="M526" i="3"/>
  <c r="G526" i="4" s="1"/>
  <c r="L526" i="3"/>
  <c r="C526" i="4" s="1"/>
  <c r="Q525" i="3"/>
  <c r="E525" i="4" s="1"/>
  <c r="P525" i="3"/>
  <c r="F525" i="4" s="1"/>
  <c r="O525" i="3"/>
  <c r="N525" i="3"/>
  <c r="M525" i="3"/>
  <c r="G525" i="4" s="1"/>
  <c r="L525" i="3"/>
  <c r="C525" i="4" s="1"/>
  <c r="P524" i="3"/>
  <c r="F524" i="4" s="1"/>
  <c r="O524" i="3"/>
  <c r="H524" i="4" s="1"/>
  <c r="N524" i="3"/>
  <c r="M524" i="3"/>
  <c r="G524" i="4" s="1"/>
  <c r="L524" i="3"/>
  <c r="C524" i="4" s="1"/>
  <c r="P523" i="3"/>
  <c r="F523" i="4" s="1"/>
  <c r="O523" i="3"/>
  <c r="H523" i="4" s="1"/>
  <c r="N523" i="3"/>
  <c r="M523" i="3"/>
  <c r="G523" i="4" s="1"/>
  <c r="L523" i="3"/>
  <c r="C523" i="4" s="1"/>
  <c r="P522" i="3"/>
  <c r="F522" i="4" s="1"/>
  <c r="O522" i="3"/>
  <c r="H522" i="4" s="1"/>
  <c r="N522" i="3"/>
  <c r="M522" i="3"/>
  <c r="G522" i="4" s="1"/>
  <c r="L522" i="3"/>
  <c r="Q521" i="3"/>
  <c r="E521" i="4" s="1"/>
  <c r="P521" i="3"/>
  <c r="F521" i="4" s="1"/>
  <c r="O521" i="3"/>
  <c r="H521" i="4" s="1"/>
  <c r="N521" i="3"/>
  <c r="M521" i="3"/>
  <c r="G521" i="4" s="1"/>
  <c r="L521" i="3"/>
  <c r="C521" i="4" s="1"/>
  <c r="R520" i="3"/>
  <c r="D520" i="4" s="1"/>
  <c r="Q520" i="3"/>
  <c r="E520" i="4" s="1"/>
  <c r="P520" i="3"/>
  <c r="F520" i="4" s="1"/>
  <c r="O520" i="3"/>
  <c r="H520" i="4" s="1"/>
  <c r="N520" i="3"/>
  <c r="M520" i="3"/>
  <c r="G520" i="4" s="1"/>
  <c r="L520" i="3"/>
  <c r="C520" i="4" s="1"/>
  <c r="R519" i="3"/>
  <c r="D519" i="4" s="1"/>
  <c r="Q519" i="3"/>
  <c r="E519" i="4" s="1"/>
  <c r="P519" i="3"/>
  <c r="F519" i="4" s="1"/>
  <c r="O519" i="3"/>
  <c r="H519" i="4" s="1"/>
  <c r="N519" i="3"/>
  <c r="M519" i="3"/>
  <c r="G519" i="4" s="1"/>
  <c r="L519" i="3"/>
  <c r="C519" i="4" s="1"/>
  <c r="P518" i="3"/>
  <c r="F518" i="4" s="1"/>
  <c r="O518" i="3"/>
  <c r="H518" i="4" s="1"/>
  <c r="N518" i="3"/>
  <c r="M518" i="3"/>
  <c r="G518" i="4" s="1"/>
  <c r="L518" i="3"/>
  <c r="Q517" i="3"/>
  <c r="E517" i="4" s="1"/>
  <c r="P517" i="3"/>
  <c r="F517" i="4" s="1"/>
  <c r="O517" i="3"/>
  <c r="N517" i="3"/>
  <c r="M517" i="3"/>
  <c r="G517" i="4" s="1"/>
  <c r="L517" i="3"/>
  <c r="C517" i="4" s="1"/>
  <c r="Q516" i="3"/>
  <c r="E516" i="4" s="1"/>
  <c r="P516" i="3"/>
  <c r="F516" i="4" s="1"/>
  <c r="O516" i="3"/>
  <c r="H516" i="4" s="1"/>
  <c r="N516" i="3"/>
  <c r="M516" i="3"/>
  <c r="G516" i="4" s="1"/>
  <c r="L516" i="3"/>
  <c r="C516" i="4" s="1"/>
  <c r="Q515" i="3"/>
  <c r="P515" i="3"/>
  <c r="F515" i="4" s="1"/>
  <c r="O515" i="3"/>
  <c r="H515" i="4" s="1"/>
  <c r="N515" i="3"/>
  <c r="M515" i="3"/>
  <c r="G515" i="4" s="1"/>
  <c r="L515" i="3"/>
  <c r="C515" i="4" s="1"/>
  <c r="P514" i="3"/>
  <c r="F514" i="4" s="1"/>
  <c r="O514" i="3"/>
  <c r="H514" i="4" s="1"/>
  <c r="N514" i="3"/>
  <c r="M514" i="3"/>
  <c r="G514" i="4" s="1"/>
  <c r="L514" i="3"/>
  <c r="P513" i="3"/>
  <c r="F513" i="4" s="1"/>
  <c r="O513" i="3"/>
  <c r="H513" i="4" s="1"/>
  <c r="N513" i="3"/>
  <c r="M513" i="3"/>
  <c r="G513" i="4" s="1"/>
  <c r="L513" i="3"/>
  <c r="P512" i="3"/>
  <c r="F512" i="4" s="1"/>
  <c r="O512" i="3"/>
  <c r="H512" i="4" s="1"/>
  <c r="N512" i="3"/>
  <c r="M512" i="3"/>
  <c r="G512" i="4" s="1"/>
  <c r="L512" i="3"/>
  <c r="Q511" i="3"/>
  <c r="E511" i="4" s="1"/>
  <c r="P511" i="3"/>
  <c r="F511" i="4" s="1"/>
  <c r="O511" i="3"/>
  <c r="H511" i="4" s="1"/>
  <c r="N511" i="3"/>
  <c r="M511" i="3"/>
  <c r="G511" i="4" s="1"/>
  <c r="L511" i="3"/>
  <c r="C511" i="4" s="1"/>
  <c r="Q510" i="3"/>
  <c r="E510" i="4" s="1"/>
  <c r="P510" i="3"/>
  <c r="F510" i="4" s="1"/>
  <c r="O510" i="3"/>
  <c r="H510" i="4" s="1"/>
  <c r="N510" i="3"/>
  <c r="M510" i="3"/>
  <c r="G510" i="4" s="1"/>
  <c r="L510" i="3"/>
  <c r="C510" i="4" s="1"/>
  <c r="Q509" i="3"/>
  <c r="E509" i="4" s="1"/>
  <c r="P509" i="3"/>
  <c r="F509" i="4" s="1"/>
  <c r="O509" i="3"/>
  <c r="N509" i="3"/>
  <c r="M509" i="3"/>
  <c r="G509" i="4" s="1"/>
  <c r="L509" i="3"/>
  <c r="C509" i="4" s="1"/>
  <c r="P508" i="3"/>
  <c r="F508" i="4" s="1"/>
  <c r="O508" i="3"/>
  <c r="H508" i="4" s="1"/>
  <c r="N508" i="3"/>
  <c r="M508" i="3"/>
  <c r="G508" i="4" s="1"/>
  <c r="L508" i="3"/>
  <c r="C508" i="4" s="1"/>
  <c r="P507" i="3"/>
  <c r="F507" i="4" s="1"/>
  <c r="O507" i="3"/>
  <c r="H507" i="4" s="1"/>
  <c r="N507" i="3"/>
  <c r="M507" i="3"/>
  <c r="G507" i="4" s="1"/>
  <c r="L507" i="3"/>
  <c r="C507" i="4" s="1"/>
  <c r="P506" i="3"/>
  <c r="F506" i="4" s="1"/>
  <c r="O506" i="3"/>
  <c r="H506" i="4" s="1"/>
  <c r="N506" i="3"/>
  <c r="M506" i="3"/>
  <c r="G506" i="4" s="1"/>
  <c r="L506" i="3"/>
  <c r="Q505" i="3"/>
  <c r="E505" i="4" s="1"/>
  <c r="P505" i="3"/>
  <c r="F505" i="4" s="1"/>
  <c r="O505" i="3"/>
  <c r="H505" i="4" s="1"/>
  <c r="N505" i="3"/>
  <c r="M505" i="3"/>
  <c r="G505" i="4" s="1"/>
  <c r="L505" i="3"/>
  <c r="C505" i="4" s="1"/>
  <c r="R504" i="3"/>
  <c r="D504" i="4" s="1"/>
  <c r="Q504" i="3"/>
  <c r="E504" i="4" s="1"/>
  <c r="P504" i="3"/>
  <c r="F504" i="4" s="1"/>
  <c r="O504" i="3"/>
  <c r="H504" i="4" s="1"/>
  <c r="N504" i="3"/>
  <c r="M504" i="3"/>
  <c r="G504" i="4" s="1"/>
  <c r="L504" i="3"/>
  <c r="C504" i="4" s="1"/>
  <c r="Q503" i="3"/>
  <c r="E503" i="4" s="1"/>
  <c r="P503" i="3"/>
  <c r="F503" i="4" s="1"/>
  <c r="O503" i="3"/>
  <c r="H503" i="4" s="1"/>
  <c r="N503" i="3"/>
  <c r="M503" i="3"/>
  <c r="G503" i="4" s="1"/>
  <c r="L503" i="3"/>
  <c r="C503" i="4" s="1"/>
  <c r="P502" i="3"/>
  <c r="F502" i="4" s="1"/>
  <c r="O502" i="3"/>
  <c r="H502" i="4" s="1"/>
  <c r="N502" i="3"/>
  <c r="M502" i="3"/>
  <c r="G502" i="4" s="1"/>
  <c r="L502" i="3"/>
  <c r="Q501" i="3"/>
  <c r="E501" i="4" s="1"/>
  <c r="P501" i="3"/>
  <c r="F501" i="4" s="1"/>
  <c r="O501" i="3"/>
  <c r="N501" i="3"/>
  <c r="M501" i="3"/>
  <c r="G501" i="4" s="1"/>
  <c r="L501" i="3"/>
  <c r="C501" i="4" s="1"/>
  <c r="Q500" i="3"/>
  <c r="E500" i="4" s="1"/>
  <c r="P500" i="3"/>
  <c r="F500" i="4" s="1"/>
  <c r="O500" i="3"/>
  <c r="H500" i="4" s="1"/>
  <c r="N500" i="3"/>
  <c r="M500" i="3"/>
  <c r="G500" i="4" s="1"/>
  <c r="L500" i="3"/>
  <c r="C500" i="4" s="1"/>
  <c r="Q499" i="3"/>
  <c r="P499" i="3"/>
  <c r="F499" i="4" s="1"/>
  <c r="O499" i="3"/>
  <c r="H499" i="4" s="1"/>
  <c r="N499" i="3"/>
  <c r="M499" i="3"/>
  <c r="G499" i="4" s="1"/>
  <c r="L499" i="3"/>
  <c r="C499" i="4" s="1"/>
  <c r="P498" i="3"/>
  <c r="F498" i="4" s="1"/>
  <c r="O498" i="3"/>
  <c r="H498" i="4" s="1"/>
  <c r="N498" i="3"/>
  <c r="M498" i="3"/>
  <c r="G498" i="4" s="1"/>
  <c r="L498" i="3"/>
  <c r="P497" i="3"/>
  <c r="F497" i="4" s="1"/>
  <c r="O497" i="3"/>
  <c r="H497" i="4" s="1"/>
  <c r="N497" i="3"/>
  <c r="M497" i="3"/>
  <c r="G497" i="4" s="1"/>
  <c r="L497" i="3"/>
  <c r="P496" i="3"/>
  <c r="F496" i="4" s="1"/>
  <c r="O496" i="3"/>
  <c r="H496" i="4" s="1"/>
  <c r="N496" i="3"/>
  <c r="M496" i="3"/>
  <c r="G496" i="4" s="1"/>
  <c r="L496" i="3"/>
  <c r="Q495" i="3"/>
  <c r="E495" i="4" s="1"/>
  <c r="P495" i="3"/>
  <c r="F495" i="4" s="1"/>
  <c r="O495" i="3"/>
  <c r="H495" i="4" s="1"/>
  <c r="N495" i="3"/>
  <c r="M495" i="3"/>
  <c r="G495" i="4" s="1"/>
  <c r="L495" i="3"/>
  <c r="C495" i="4" s="1"/>
  <c r="Q494" i="3"/>
  <c r="E494" i="4" s="1"/>
  <c r="P494" i="3"/>
  <c r="F494" i="4" s="1"/>
  <c r="O494" i="3"/>
  <c r="H494" i="4" s="1"/>
  <c r="N494" i="3"/>
  <c r="M494" i="3"/>
  <c r="G494" i="4" s="1"/>
  <c r="L494" i="3"/>
  <c r="C494" i="4" s="1"/>
  <c r="Q493" i="3"/>
  <c r="E493" i="4" s="1"/>
  <c r="P493" i="3"/>
  <c r="F493" i="4" s="1"/>
  <c r="O493" i="3"/>
  <c r="H493" i="4" s="1"/>
  <c r="N493" i="3"/>
  <c r="M493" i="3"/>
  <c r="G493" i="4" s="1"/>
  <c r="L493" i="3"/>
  <c r="C493" i="4" s="1"/>
  <c r="P492" i="3"/>
  <c r="F492" i="4" s="1"/>
  <c r="O492" i="3"/>
  <c r="H492" i="4" s="1"/>
  <c r="N492" i="3"/>
  <c r="M492" i="3"/>
  <c r="G492" i="4" s="1"/>
  <c r="L492" i="3"/>
  <c r="C492" i="4" s="1"/>
  <c r="P491" i="3"/>
  <c r="F491" i="4" s="1"/>
  <c r="O491" i="3"/>
  <c r="H491" i="4" s="1"/>
  <c r="N491" i="3"/>
  <c r="M491" i="3"/>
  <c r="G491" i="4" s="1"/>
  <c r="L491" i="3"/>
  <c r="C491" i="4" s="1"/>
  <c r="P490" i="3"/>
  <c r="F490" i="4" s="1"/>
  <c r="O490" i="3"/>
  <c r="H490" i="4" s="1"/>
  <c r="N490" i="3"/>
  <c r="M490" i="3"/>
  <c r="G490" i="4" s="1"/>
  <c r="L490" i="3"/>
  <c r="Q489" i="3"/>
  <c r="E489" i="4" s="1"/>
  <c r="P489" i="3"/>
  <c r="F489" i="4" s="1"/>
  <c r="O489" i="3"/>
  <c r="H489" i="4" s="1"/>
  <c r="N489" i="3"/>
  <c r="M489" i="3"/>
  <c r="G489" i="4" s="1"/>
  <c r="L489" i="3"/>
  <c r="C489" i="4" s="1"/>
  <c r="R488" i="3"/>
  <c r="D488" i="4" s="1"/>
  <c r="Q488" i="3"/>
  <c r="E488" i="4" s="1"/>
  <c r="P488" i="3"/>
  <c r="F488" i="4" s="1"/>
  <c r="O488" i="3"/>
  <c r="H488" i="4" s="1"/>
  <c r="N488" i="3"/>
  <c r="M488" i="3"/>
  <c r="G488" i="4" s="1"/>
  <c r="L488" i="3"/>
  <c r="C488" i="4" s="1"/>
  <c r="P487" i="3"/>
  <c r="F487" i="4" s="1"/>
  <c r="O487" i="3"/>
  <c r="H487" i="4" s="1"/>
  <c r="N487" i="3"/>
  <c r="M487" i="3"/>
  <c r="G487" i="4" s="1"/>
  <c r="L487" i="3"/>
  <c r="C487" i="4" s="1"/>
  <c r="P486" i="3"/>
  <c r="F486" i="4" s="1"/>
  <c r="O486" i="3"/>
  <c r="H486" i="4" s="1"/>
  <c r="N486" i="3"/>
  <c r="M486" i="3"/>
  <c r="G486" i="4" s="1"/>
  <c r="L486" i="3"/>
  <c r="Q485" i="3"/>
  <c r="E485" i="4" s="1"/>
  <c r="P485" i="3"/>
  <c r="F485" i="4" s="1"/>
  <c r="O485" i="3"/>
  <c r="N485" i="3"/>
  <c r="M485" i="3"/>
  <c r="G485" i="4" s="1"/>
  <c r="L485" i="3"/>
  <c r="C485" i="4" s="1"/>
  <c r="Q484" i="3"/>
  <c r="E484" i="4" s="1"/>
  <c r="P484" i="3"/>
  <c r="F484" i="4" s="1"/>
  <c r="O484" i="3"/>
  <c r="H484" i="4" s="1"/>
  <c r="N484" i="3"/>
  <c r="M484" i="3"/>
  <c r="G484" i="4" s="1"/>
  <c r="L484" i="3"/>
  <c r="C484" i="4" s="1"/>
  <c r="Q483" i="3"/>
  <c r="P483" i="3"/>
  <c r="F483" i="4" s="1"/>
  <c r="O483" i="3"/>
  <c r="H483" i="4" s="1"/>
  <c r="N483" i="3"/>
  <c r="M483" i="3"/>
  <c r="G483" i="4" s="1"/>
  <c r="L483" i="3"/>
  <c r="C483" i="4" s="1"/>
  <c r="P482" i="3"/>
  <c r="F482" i="4" s="1"/>
  <c r="O482" i="3"/>
  <c r="H482" i="4" s="1"/>
  <c r="N482" i="3"/>
  <c r="M482" i="3"/>
  <c r="G482" i="4" s="1"/>
  <c r="L482" i="3"/>
  <c r="P481" i="3"/>
  <c r="F481" i="4" s="1"/>
  <c r="O481" i="3"/>
  <c r="H481" i="4" s="1"/>
  <c r="N481" i="3"/>
  <c r="M481" i="3"/>
  <c r="G481" i="4" s="1"/>
  <c r="L481" i="3"/>
  <c r="P480" i="3"/>
  <c r="F480" i="4" s="1"/>
  <c r="O480" i="3"/>
  <c r="H480" i="4" s="1"/>
  <c r="N480" i="3"/>
  <c r="M480" i="3"/>
  <c r="G480" i="4" s="1"/>
  <c r="L480" i="3"/>
  <c r="Q479" i="3"/>
  <c r="E479" i="4" s="1"/>
  <c r="P479" i="3"/>
  <c r="F479" i="4" s="1"/>
  <c r="O479" i="3"/>
  <c r="H479" i="4" s="1"/>
  <c r="N479" i="3"/>
  <c r="M479" i="3"/>
  <c r="G479" i="4" s="1"/>
  <c r="L479" i="3"/>
  <c r="C479" i="4" s="1"/>
  <c r="Q478" i="3"/>
  <c r="E478" i="4" s="1"/>
  <c r="P478" i="3"/>
  <c r="F478" i="4" s="1"/>
  <c r="O478" i="3"/>
  <c r="H478" i="4" s="1"/>
  <c r="N478" i="3"/>
  <c r="M478" i="3"/>
  <c r="G478" i="4" s="1"/>
  <c r="L478" i="3"/>
  <c r="C478" i="4" s="1"/>
  <c r="Q477" i="3"/>
  <c r="E477" i="4" s="1"/>
  <c r="P477" i="3"/>
  <c r="F477" i="4" s="1"/>
  <c r="O477" i="3"/>
  <c r="H477" i="4" s="1"/>
  <c r="N477" i="3"/>
  <c r="M477" i="3"/>
  <c r="G477" i="4" s="1"/>
  <c r="L477" i="3"/>
  <c r="C477" i="4" s="1"/>
  <c r="P476" i="3"/>
  <c r="F476" i="4" s="1"/>
  <c r="O476" i="3"/>
  <c r="H476" i="4" s="1"/>
  <c r="N476" i="3"/>
  <c r="M476" i="3"/>
  <c r="G476" i="4" s="1"/>
  <c r="L476" i="3"/>
  <c r="C476" i="4" s="1"/>
  <c r="P475" i="3"/>
  <c r="F475" i="4" s="1"/>
  <c r="O475" i="3"/>
  <c r="H475" i="4" s="1"/>
  <c r="N475" i="3"/>
  <c r="M475" i="3"/>
  <c r="G475" i="4" s="1"/>
  <c r="L475" i="3"/>
  <c r="C475" i="4" s="1"/>
  <c r="P474" i="3"/>
  <c r="F474" i="4" s="1"/>
  <c r="O474" i="3"/>
  <c r="H474" i="4" s="1"/>
  <c r="N474" i="3"/>
  <c r="M474" i="3"/>
  <c r="G474" i="4" s="1"/>
  <c r="L474" i="3"/>
  <c r="Q473" i="3"/>
  <c r="E473" i="4" s="1"/>
  <c r="P473" i="3"/>
  <c r="F473" i="4" s="1"/>
  <c r="O473" i="3"/>
  <c r="H473" i="4" s="1"/>
  <c r="N473" i="3"/>
  <c r="M473" i="3"/>
  <c r="G473" i="4" s="1"/>
  <c r="L473" i="3"/>
  <c r="C473" i="4" s="1"/>
  <c r="R472" i="3"/>
  <c r="D472" i="4" s="1"/>
  <c r="Q472" i="3"/>
  <c r="E472" i="4" s="1"/>
  <c r="P472" i="3"/>
  <c r="F472" i="4" s="1"/>
  <c r="O472" i="3"/>
  <c r="H472" i="4" s="1"/>
  <c r="N472" i="3"/>
  <c r="M472" i="3"/>
  <c r="G472" i="4" s="1"/>
  <c r="L472" i="3"/>
  <c r="C472" i="4" s="1"/>
  <c r="Q471" i="3"/>
  <c r="E471" i="4" s="1"/>
  <c r="P471" i="3"/>
  <c r="F471" i="4" s="1"/>
  <c r="O471" i="3"/>
  <c r="H471" i="4" s="1"/>
  <c r="N471" i="3"/>
  <c r="M471" i="3"/>
  <c r="G471" i="4" s="1"/>
  <c r="L471" i="3"/>
  <c r="C471" i="4" s="1"/>
  <c r="P470" i="3"/>
  <c r="F470" i="4" s="1"/>
  <c r="O470" i="3"/>
  <c r="H470" i="4" s="1"/>
  <c r="N470" i="3"/>
  <c r="M470" i="3"/>
  <c r="G470" i="4" s="1"/>
  <c r="L470" i="3"/>
  <c r="Q469" i="3"/>
  <c r="E469" i="4" s="1"/>
  <c r="P469" i="3"/>
  <c r="F469" i="4" s="1"/>
  <c r="O469" i="3"/>
  <c r="N469" i="3"/>
  <c r="M469" i="3"/>
  <c r="G469" i="4" s="1"/>
  <c r="L469" i="3"/>
  <c r="C469" i="4" s="1"/>
  <c r="Q468" i="3"/>
  <c r="E468" i="4" s="1"/>
  <c r="P468" i="3"/>
  <c r="F468" i="4" s="1"/>
  <c r="O468" i="3"/>
  <c r="H468" i="4" s="1"/>
  <c r="N468" i="3"/>
  <c r="M468" i="3"/>
  <c r="G468" i="4" s="1"/>
  <c r="L468" i="3"/>
  <c r="C468" i="4" s="1"/>
  <c r="Q467" i="3"/>
  <c r="P467" i="3"/>
  <c r="F467" i="4" s="1"/>
  <c r="O467" i="3"/>
  <c r="H467" i="4" s="1"/>
  <c r="N467" i="3"/>
  <c r="M467" i="3"/>
  <c r="G467" i="4" s="1"/>
  <c r="L467" i="3"/>
  <c r="C467" i="4" s="1"/>
  <c r="P466" i="3"/>
  <c r="F466" i="4" s="1"/>
  <c r="O466" i="3"/>
  <c r="H466" i="4" s="1"/>
  <c r="N466" i="3"/>
  <c r="M466" i="3"/>
  <c r="G466" i="4" s="1"/>
  <c r="L466" i="3"/>
  <c r="P465" i="3"/>
  <c r="F465" i="4" s="1"/>
  <c r="O465" i="3"/>
  <c r="H465" i="4" s="1"/>
  <c r="N465" i="3"/>
  <c r="M465" i="3"/>
  <c r="G465" i="4" s="1"/>
  <c r="L465" i="3"/>
  <c r="P464" i="3"/>
  <c r="F464" i="4" s="1"/>
  <c r="O464" i="3"/>
  <c r="H464" i="4" s="1"/>
  <c r="N464" i="3"/>
  <c r="M464" i="3"/>
  <c r="G464" i="4" s="1"/>
  <c r="L464" i="3"/>
  <c r="Q463" i="3"/>
  <c r="E463" i="4" s="1"/>
  <c r="P463" i="3"/>
  <c r="F463" i="4" s="1"/>
  <c r="O463" i="3"/>
  <c r="H463" i="4" s="1"/>
  <c r="N463" i="3"/>
  <c r="M463" i="3"/>
  <c r="G463" i="4" s="1"/>
  <c r="L463" i="3"/>
  <c r="C463" i="4" s="1"/>
  <c r="Q462" i="3"/>
  <c r="E462" i="4" s="1"/>
  <c r="P462" i="3"/>
  <c r="F462" i="4" s="1"/>
  <c r="O462" i="3"/>
  <c r="H462" i="4" s="1"/>
  <c r="N462" i="3"/>
  <c r="M462" i="3"/>
  <c r="G462" i="4" s="1"/>
  <c r="L462" i="3"/>
  <c r="C462" i="4" s="1"/>
  <c r="Q461" i="3"/>
  <c r="E461" i="4" s="1"/>
  <c r="P461" i="3"/>
  <c r="F461" i="4" s="1"/>
  <c r="O461" i="3"/>
  <c r="H461" i="4" s="1"/>
  <c r="N461" i="3"/>
  <c r="M461" i="3"/>
  <c r="G461" i="4" s="1"/>
  <c r="L461" i="3"/>
  <c r="C461" i="4" s="1"/>
  <c r="P460" i="3"/>
  <c r="F460" i="4" s="1"/>
  <c r="O460" i="3"/>
  <c r="H460" i="4" s="1"/>
  <c r="N460" i="3"/>
  <c r="M460" i="3"/>
  <c r="G460" i="4" s="1"/>
  <c r="L460" i="3"/>
  <c r="C460" i="4" s="1"/>
  <c r="P459" i="3"/>
  <c r="F459" i="4" s="1"/>
  <c r="O459" i="3"/>
  <c r="H459" i="4" s="1"/>
  <c r="N459" i="3"/>
  <c r="M459" i="3"/>
  <c r="G459" i="4" s="1"/>
  <c r="L459" i="3"/>
  <c r="C459" i="4" s="1"/>
  <c r="P458" i="3"/>
  <c r="F458" i="4" s="1"/>
  <c r="O458" i="3"/>
  <c r="H458" i="4" s="1"/>
  <c r="N458" i="3"/>
  <c r="M458" i="3"/>
  <c r="G458" i="4" s="1"/>
  <c r="L458" i="3"/>
  <c r="Q457" i="3"/>
  <c r="E457" i="4" s="1"/>
  <c r="P457" i="3"/>
  <c r="F457" i="4" s="1"/>
  <c r="O457" i="3"/>
  <c r="H457" i="4" s="1"/>
  <c r="N457" i="3"/>
  <c r="M457" i="3"/>
  <c r="G457" i="4" s="1"/>
  <c r="L457" i="3"/>
  <c r="C457" i="4" s="1"/>
  <c r="R456" i="3"/>
  <c r="D456" i="4" s="1"/>
  <c r="Q456" i="3"/>
  <c r="E456" i="4" s="1"/>
  <c r="P456" i="3"/>
  <c r="F456" i="4" s="1"/>
  <c r="O456" i="3"/>
  <c r="H456" i="4" s="1"/>
  <c r="N456" i="3"/>
  <c r="M456" i="3"/>
  <c r="G456" i="4" s="1"/>
  <c r="L456" i="3"/>
  <c r="C456" i="4" s="1"/>
  <c r="P455" i="3"/>
  <c r="F455" i="4" s="1"/>
  <c r="O455" i="3"/>
  <c r="H455" i="4" s="1"/>
  <c r="N455" i="3"/>
  <c r="M455" i="3"/>
  <c r="G455" i="4" s="1"/>
  <c r="L455" i="3"/>
  <c r="C455" i="4" s="1"/>
  <c r="P454" i="3"/>
  <c r="F454" i="4" s="1"/>
  <c r="O454" i="3"/>
  <c r="H454" i="4" s="1"/>
  <c r="N454" i="3"/>
  <c r="M454" i="3"/>
  <c r="G454" i="4" s="1"/>
  <c r="L454" i="3"/>
  <c r="Q453" i="3"/>
  <c r="E453" i="4" s="1"/>
  <c r="P453" i="3"/>
  <c r="F453" i="4" s="1"/>
  <c r="O453" i="3"/>
  <c r="N453" i="3"/>
  <c r="M453" i="3"/>
  <c r="G453" i="4" s="1"/>
  <c r="L453" i="3"/>
  <c r="C453" i="4" s="1"/>
  <c r="Q452" i="3"/>
  <c r="E452" i="4" s="1"/>
  <c r="P452" i="3"/>
  <c r="O452" i="3"/>
  <c r="H452" i="4" s="1"/>
  <c r="N452" i="3"/>
  <c r="M452" i="3"/>
  <c r="G452" i="4" s="1"/>
  <c r="L452" i="3"/>
  <c r="C452" i="4" s="1"/>
  <c r="Q451" i="3"/>
  <c r="P451" i="3"/>
  <c r="F451" i="4" s="1"/>
  <c r="O451" i="3"/>
  <c r="H451" i="4" s="1"/>
  <c r="N451" i="3"/>
  <c r="M451" i="3"/>
  <c r="G451" i="4" s="1"/>
  <c r="L451" i="3"/>
  <c r="C451" i="4" s="1"/>
  <c r="P450" i="3"/>
  <c r="F450" i="4" s="1"/>
  <c r="O450" i="3"/>
  <c r="H450" i="4" s="1"/>
  <c r="N450" i="3"/>
  <c r="M450" i="3"/>
  <c r="G450" i="4" s="1"/>
  <c r="L450" i="3"/>
  <c r="P449" i="3"/>
  <c r="F449" i="4" s="1"/>
  <c r="O449" i="3"/>
  <c r="H449" i="4" s="1"/>
  <c r="N449" i="3"/>
  <c r="M449" i="3"/>
  <c r="G449" i="4" s="1"/>
  <c r="L449" i="3"/>
  <c r="P448" i="3"/>
  <c r="F448" i="4" s="1"/>
  <c r="O448" i="3"/>
  <c r="H448" i="4" s="1"/>
  <c r="N448" i="3"/>
  <c r="M448" i="3"/>
  <c r="G448" i="4" s="1"/>
  <c r="L448" i="3"/>
  <c r="Q447" i="3"/>
  <c r="E447" i="4" s="1"/>
  <c r="P447" i="3"/>
  <c r="F447" i="4" s="1"/>
  <c r="O447" i="3"/>
  <c r="H447" i="4" s="1"/>
  <c r="N447" i="3"/>
  <c r="M447" i="3"/>
  <c r="G447" i="4" s="1"/>
  <c r="L447" i="3"/>
  <c r="C447" i="4" s="1"/>
  <c r="Q446" i="3"/>
  <c r="E446" i="4" s="1"/>
  <c r="P446" i="3"/>
  <c r="F446" i="4" s="1"/>
  <c r="O446" i="3"/>
  <c r="H446" i="4" s="1"/>
  <c r="N446" i="3"/>
  <c r="M446" i="3"/>
  <c r="G446" i="4" s="1"/>
  <c r="L446" i="3"/>
  <c r="C446" i="4" s="1"/>
  <c r="R445" i="3"/>
  <c r="D445" i="4" s="1"/>
  <c r="Q445" i="3"/>
  <c r="E445" i="4" s="1"/>
  <c r="P445" i="3"/>
  <c r="F445" i="4" s="1"/>
  <c r="O445" i="3"/>
  <c r="H445" i="4" s="1"/>
  <c r="N445" i="3"/>
  <c r="M445" i="3"/>
  <c r="G445" i="4" s="1"/>
  <c r="L445" i="3"/>
  <c r="C445" i="4" s="1"/>
  <c r="P444" i="3"/>
  <c r="F444" i="4" s="1"/>
  <c r="O444" i="3"/>
  <c r="H444" i="4" s="1"/>
  <c r="N444" i="3"/>
  <c r="M444" i="3"/>
  <c r="G444" i="4" s="1"/>
  <c r="L444" i="3"/>
  <c r="C444" i="4" s="1"/>
  <c r="P443" i="3"/>
  <c r="F443" i="4" s="1"/>
  <c r="O443" i="3"/>
  <c r="H443" i="4" s="1"/>
  <c r="N443" i="3"/>
  <c r="M443" i="3"/>
  <c r="G443" i="4" s="1"/>
  <c r="L443" i="3"/>
  <c r="C443" i="4" s="1"/>
  <c r="P442" i="3"/>
  <c r="F442" i="4" s="1"/>
  <c r="O442" i="3"/>
  <c r="H442" i="4" s="1"/>
  <c r="N442" i="3"/>
  <c r="M442" i="3"/>
  <c r="G442" i="4" s="1"/>
  <c r="L442" i="3"/>
  <c r="Q441" i="3"/>
  <c r="E441" i="4" s="1"/>
  <c r="P441" i="3"/>
  <c r="F441" i="4" s="1"/>
  <c r="O441" i="3"/>
  <c r="H441" i="4" s="1"/>
  <c r="N441" i="3"/>
  <c r="M441" i="3"/>
  <c r="G441" i="4" s="1"/>
  <c r="L441" i="3"/>
  <c r="C441" i="4" s="1"/>
  <c r="R440" i="3"/>
  <c r="D440" i="4" s="1"/>
  <c r="Q440" i="3"/>
  <c r="E440" i="4" s="1"/>
  <c r="P440" i="3"/>
  <c r="F440" i="4" s="1"/>
  <c r="O440" i="3"/>
  <c r="H440" i="4" s="1"/>
  <c r="N440" i="3"/>
  <c r="M440" i="3"/>
  <c r="G440" i="4" s="1"/>
  <c r="L440" i="3"/>
  <c r="C440" i="4" s="1"/>
  <c r="Q439" i="3"/>
  <c r="E439" i="4" s="1"/>
  <c r="P439" i="3"/>
  <c r="F439" i="4" s="1"/>
  <c r="O439" i="3"/>
  <c r="H439" i="4" s="1"/>
  <c r="N439" i="3"/>
  <c r="M439" i="3"/>
  <c r="G439" i="4" s="1"/>
  <c r="L439" i="3"/>
  <c r="C439" i="4" s="1"/>
  <c r="P438" i="3"/>
  <c r="F438" i="4" s="1"/>
  <c r="O438" i="3"/>
  <c r="H438" i="4" s="1"/>
  <c r="N438" i="3"/>
  <c r="M438" i="3"/>
  <c r="G438" i="4" s="1"/>
  <c r="L438" i="3"/>
  <c r="Q437" i="3"/>
  <c r="E437" i="4" s="1"/>
  <c r="P437" i="3"/>
  <c r="F437" i="4" s="1"/>
  <c r="O437" i="3"/>
  <c r="N437" i="3"/>
  <c r="M437" i="3"/>
  <c r="G437" i="4" s="1"/>
  <c r="L437" i="3"/>
  <c r="C437" i="4" s="1"/>
  <c r="Q436" i="3"/>
  <c r="E436" i="4" s="1"/>
  <c r="P436" i="3"/>
  <c r="O436" i="3"/>
  <c r="H436" i="4" s="1"/>
  <c r="N436" i="3"/>
  <c r="M436" i="3"/>
  <c r="G436" i="4" s="1"/>
  <c r="L436" i="3"/>
  <c r="C436" i="4" s="1"/>
  <c r="Q435" i="3"/>
  <c r="P435" i="3"/>
  <c r="F435" i="4" s="1"/>
  <c r="O435" i="3"/>
  <c r="H435" i="4" s="1"/>
  <c r="N435" i="3"/>
  <c r="M435" i="3"/>
  <c r="G435" i="4" s="1"/>
  <c r="L435" i="3"/>
  <c r="C435" i="4" s="1"/>
  <c r="P434" i="3"/>
  <c r="F434" i="4" s="1"/>
  <c r="O434" i="3"/>
  <c r="H434" i="4" s="1"/>
  <c r="N434" i="3"/>
  <c r="M434" i="3"/>
  <c r="G434" i="4" s="1"/>
  <c r="L434" i="3"/>
  <c r="P433" i="3"/>
  <c r="F433" i="4" s="1"/>
  <c r="O433" i="3"/>
  <c r="H433" i="4" s="1"/>
  <c r="N433" i="3"/>
  <c r="M433" i="3"/>
  <c r="G433" i="4" s="1"/>
  <c r="L433" i="3"/>
  <c r="P432" i="3"/>
  <c r="F432" i="4" s="1"/>
  <c r="O432" i="3"/>
  <c r="H432" i="4" s="1"/>
  <c r="N432" i="3"/>
  <c r="M432" i="3"/>
  <c r="G432" i="4" s="1"/>
  <c r="L432" i="3"/>
  <c r="Q431" i="3"/>
  <c r="E431" i="4" s="1"/>
  <c r="P431" i="3"/>
  <c r="F431" i="4" s="1"/>
  <c r="O431" i="3"/>
  <c r="H431" i="4" s="1"/>
  <c r="N431" i="3"/>
  <c r="M431" i="3"/>
  <c r="G431" i="4" s="1"/>
  <c r="L431" i="3"/>
  <c r="C431" i="4" s="1"/>
  <c r="Q430" i="3"/>
  <c r="E430" i="4" s="1"/>
  <c r="P430" i="3"/>
  <c r="F430" i="4" s="1"/>
  <c r="O430" i="3"/>
  <c r="H430" i="4" s="1"/>
  <c r="N430" i="3"/>
  <c r="M430" i="3"/>
  <c r="G430" i="4" s="1"/>
  <c r="L430" i="3"/>
  <c r="C430" i="4" s="1"/>
  <c r="Q429" i="3"/>
  <c r="E429" i="4" s="1"/>
  <c r="P429" i="3"/>
  <c r="F429" i="4" s="1"/>
  <c r="O429" i="3"/>
  <c r="H429" i="4" s="1"/>
  <c r="N429" i="3"/>
  <c r="M429" i="3"/>
  <c r="G429" i="4" s="1"/>
  <c r="L429" i="3"/>
  <c r="C429" i="4" s="1"/>
  <c r="P428" i="3"/>
  <c r="F428" i="4" s="1"/>
  <c r="O428" i="3"/>
  <c r="H428" i="4" s="1"/>
  <c r="N428" i="3"/>
  <c r="M428" i="3"/>
  <c r="G428" i="4" s="1"/>
  <c r="L428" i="3"/>
  <c r="C428" i="4" s="1"/>
  <c r="Q427" i="3"/>
  <c r="E427" i="4" s="1"/>
  <c r="P427" i="3"/>
  <c r="F427" i="4" s="1"/>
  <c r="O427" i="3"/>
  <c r="H427" i="4" s="1"/>
  <c r="N427" i="3"/>
  <c r="M427" i="3"/>
  <c r="G427" i="4" s="1"/>
  <c r="L427" i="3"/>
  <c r="C427" i="4" s="1"/>
  <c r="P426" i="3"/>
  <c r="F426" i="4" s="1"/>
  <c r="O426" i="3"/>
  <c r="H426" i="4" s="1"/>
  <c r="N426" i="3"/>
  <c r="M426" i="3"/>
  <c r="G426" i="4" s="1"/>
  <c r="L426" i="3"/>
  <c r="Q425" i="3"/>
  <c r="E425" i="4" s="1"/>
  <c r="P425" i="3"/>
  <c r="F425" i="4" s="1"/>
  <c r="O425" i="3"/>
  <c r="H425" i="4" s="1"/>
  <c r="N425" i="3"/>
  <c r="M425" i="3"/>
  <c r="G425" i="4" s="1"/>
  <c r="L425" i="3"/>
  <c r="C425" i="4" s="1"/>
  <c r="R424" i="3"/>
  <c r="D424" i="4" s="1"/>
  <c r="Q424" i="3"/>
  <c r="E424" i="4" s="1"/>
  <c r="P424" i="3"/>
  <c r="F424" i="4" s="1"/>
  <c r="O424" i="3"/>
  <c r="H424" i="4" s="1"/>
  <c r="N424" i="3"/>
  <c r="M424" i="3"/>
  <c r="G424" i="4" s="1"/>
  <c r="L424" i="3"/>
  <c r="C424" i="4" s="1"/>
  <c r="Q423" i="3"/>
  <c r="E423" i="4" s="1"/>
  <c r="P423" i="3"/>
  <c r="F423" i="4" s="1"/>
  <c r="O423" i="3"/>
  <c r="H423" i="4" s="1"/>
  <c r="N423" i="3"/>
  <c r="M423" i="3"/>
  <c r="G423" i="4" s="1"/>
  <c r="L423" i="3"/>
  <c r="C423" i="4" s="1"/>
  <c r="P422" i="3"/>
  <c r="F422" i="4" s="1"/>
  <c r="O422" i="3"/>
  <c r="H422" i="4" s="1"/>
  <c r="N422" i="3"/>
  <c r="M422" i="3"/>
  <c r="G422" i="4" s="1"/>
  <c r="L422" i="3"/>
  <c r="Q421" i="3"/>
  <c r="E421" i="4" s="1"/>
  <c r="P421" i="3"/>
  <c r="F421" i="4" s="1"/>
  <c r="O421" i="3"/>
  <c r="H421" i="4" s="1"/>
  <c r="N421" i="3"/>
  <c r="M421" i="3"/>
  <c r="G421" i="4" s="1"/>
  <c r="L421" i="3"/>
  <c r="C421" i="4" s="1"/>
  <c r="Q420" i="3"/>
  <c r="E420" i="4" s="1"/>
  <c r="P420" i="3"/>
  <c r="O420" i="3"/>
  <c r="H420" i="4" s="1"/>
  <c r="N420" i="3"/>
  <c r="M420" i="3"/>
  <c r="G420" i="4" s="1"/>
  <c r="L420" i="3"/>
  <c r="C420" i="4" s="1"/>
  <c r="Q419" i="3"/>
  <c r="P419" i="3"/>
  <c r="F419" i="4" s="1"/>
  <c r="O419" i="3"/>
  <c r="H419" i="4" s="1"/>
  <c r="N419" i="3"/>
  <c r="M419" i="3"/>
  <c r="G419" i="4" s="1"/>
  <c r="L419" i="3"/>
  <c r="C419" i="4" s="1"/>
  <c r="P418" i="3"/>
  <c r="F418" i="4" s="1"/>
  <c r="O418" i="3"/>
  <c r="H418" i="4" s="1"/>
  <c r="N418" i="3"/>
  <c r="M418" i="3"/>
  <c r="G418" i="4" s="1"/>
  <c r="L418" i="3"/>
  <c r="P417" i="3"/>
  <c r="F417" i="4" s="1"/>
  <c r="O417" i="3"/>
  <c r="H417" i="4" s="1"/>
  <c r="N417" i="3"/>
  <c r="M417" i="3"/>
  <c r="G417" i="4" s="1"/>
  <c r="L417" i="3"/>
  <c r="P416" i="3"/>
  <c r="F416" i="4" s="1"/>
  <c r="O416" i="3"/>
  <c r="H416" i="4" s="1"/>
  <c r="N416" i="3"/>
  <c r="M416" i="3"/>
  <c r="G416" i="4" s="1"/>
  <c r="L416" i="3"/>
  <c r="Q415" i="3"/>
  <c r="E415" i="4" s="1"/>
  <c r="P415" i="3"/>
  <c r="F415" i="4" s="1"/>
  <c r="O415" i="3"/>
  <c r="H415" i="4" s="1"/>
  <c r="N415" i="3"/>
  <c r="M415" i="3"/>
  <c r="G415" i="4" s="1"/>
  <c r="L415" i="3"/>
  <c r="C415" i="4" s="1"/>
  <c r="Q414" i="3"/>
  <c r="E414" i="4" s="1"/>
  <c r="P414" i="3"/>
  <c r="F414" i="4" s="1"/>
  <c r="O414" i="3"/>
  <c r="H414" i="4" s="1"/>
  <c r="N414" i="3"/>
  <c r="M414" i="3"/>
  <c r="G414" i="4" s="1"/>
  <c r="L414" i="3"/>
  <c r="C414" i="4" s="1"/>
  <c r="Q413" i="3"/>
  <c r="E413" i="4" s="1"/>
  <c r="P413" i="3"/>
  <c r="F413" i="4" s="1"/>
  <c r="O413" i="3"/>
  <c r="H413" i="4" s="1"/>
  <c r="N413" i="3"/>
  <c r="M413" i="3"/>
  <c r="G413" i="4" s="1"/>
  <c r="L413" i="3"/>
  <c r="C413" i="4" s="1"/>
  <c r="P412" i="3"/>
  <c r="F412" i="4" s="1"/>
  <c r="O412" i="3"/>
  <c r="H412" i="4" s="1"/>
  <c r="N412" i="3"/>
  <c r="M412" i="3"/>
  <c r="G412" i="4" s="1"/>
  <c r="L412" i="3"/>
  <c r="C412" i="4" s="1"/>
  <c r="Q411" i="3"/>
  <c r="E411" i="4" s="1"/>
  <c r="P411" i="3"/>
  <c r="F411" i="4" s="1"/>
  <c r="O411" i="3"/>
  <c r="H411" i="4" s="1"/>
  <c r="N411" i="3"/>
  <c r="M411" i="3"/>
  <c r="G411" i="4" s="1"/>
  <c r="L411" i="3"/>
  <c r="C411" i="4" s="1"/>
  <c r="P410" i="3"/>
  <c r="F410" i="4" s="1"/>
  <c r="O410" i="3"/>
  <c r="H410" i="4" s="1"/>
  <c r="N410" i="3"/>
  <c r="M410" i="3"/>
  <c r="G410" i="4" s="1"/>
  <c r="L410" i="3"/>
  <c r="Q409" i="3"/>
  <c r="E409" i="4" s="1"/>
  <c r="P409" i="3"/>
  <c r="F409" i="4" s="1"/>
  <c r="O409" i="3"/>
  <c r="H409" i="4" s="1"/>
  <c r="N409" i="3"/>
  <c r="M409" i="3"/>
  <c r="G409" i="4" s="1"/>
  <c r="L409" i="3"/>
  <c r="C409" i="4" s="1"/>
  <c r="R408" i="3"/>
  <c r="D408" i="4" s="1"/>
  <c r="Q408" i="3"/>
  <c r="E408" i="4" s="1"/>
  <c r="P408" i="3"/>
  <c r="F408" i="4" s="1"/>
  <c r="O408" i="3"/>
  <c r="H408" i="4" s="1"/>
  <c r="N408" i="3"/>
  <c r="M408" i="3"/>
  <c r="G408" i="4" s="1"/>
  <c r="L408" i="3"/>
  <c r="C408" i="4" s="1"/>
  <c r="Q407" i="3"/>
  <c r="E407" i="4" s="1"/>
  <c r="P407" i="3"/>
  <c r="F407" i="4" s="1"/>
  <c r="O407" i="3"/>
  <c r="H407" i="4" s="1"/>
  <c r="N407" i="3"/>
  <c r="M407" i="3"/>
  <c r="G407" i="4" s="1"/>
  <c r="L407" i="3"/>
  <c r="C407" i="4" s="1"/>
  <c r="P406" i="3"/>
  <c r="F406" i="4" s="1"/>
  <c r="O406" i="3"/>
  <c r="H406" i="4" s="1"/>
  <c r="N406" i="3"/>
  <c r="M406" i="3"/>
  <c r="G406" i="4" s="1"/>
  <c r="L406" i="3"/>
  <c r="Q405" i="3"/>
  <c r="E405" i="4" s="1"/>
  <c r="P405" i="3"/>
  <c r="F405" i="4" s="1"/>
  <c r="O405" i="3"/>
  <c r="H405" i="4" s="1"/>
  <c r="N405" i="3"/>
  <c r="M405" i="3"/>
  <c r="G405" i="4" s="1"/>
  <c r="L405" i="3"/>
  <c r="C405" i="4" s="1"/>
  <c r="Q404" i="3"/>
  <c r="E404" i="4" s="1"/>
  <c r="P404" i="3"/>
  <c r="O404" i="3"/>
  <c r="H404" i="4" s="1"/>
  <c r="N404" i="3"/>
  <c r="M404" i="3"/>
  <c r="G404" i="4" s="1"/>
  <c r="L404" i="3"/>
  <c r="C404" i="4" s="1"/>
  <c r="Q403" i="3"/>
  <c r="P403" i="3"/>
  <c r="F403" i="4" s="1"/>
  <c r="O403" i="3"/>
  <c r="H403" i="4" s="1"/>
  <c r="N403" i="3"/>
  <c r="M403" i="3"/>
  <c r="G403" i="4" s="1"/>
  <c r="L403" i="3"/>
  <c r="C403" i="4" s="1"/>
  <c r="P402" i="3"/>
  <c r="F402" i="4" s="1"/>
  <c r="O402" i="3"/>
  <c r="H402" i="4" s="1"/>
  <c r="N402" i="3"/>
  <c r="M402" i="3"/>
  <c r="G402" i="4" s="1"/>
  <c r="L402" i="3"/>
  <c r="P401" i="3"/>
  <c r="F401" i="4" s="1"/>
  <c r="O401" i="3"/>
  <c r="H401" i="4" s="1"/>
  <c r="N401" i="3"/>
  <c r="M401" i="3"/>
  <c r="G401" i="4" s="1"/>
  <c r="L401" i="3"/>
  <c r="P400" i="3"/>
  <c r="F400" i="4" s="1"/>
  <c r="O400" i="3"/>
  <c r="H400" i="4" s="1"/>
  <c r="N400" i="3"/>
  <c r="M400" i="3"/>
  <c r="G400" i="4" s="1"/>
  <c r="L400" i="3"/>
  <c r="Q399" i="3"/>
  <c r="E399" i="4" s="1"/>
  <c r="P399" i="3"/>
  <c r="F399" i="4" s="1"/>
  <c r="O399" i="3"/>
  <c r="H399" i="4" s="1"/>
  <c r="N399" i="3"/>
  <c r="M399" i="3"/>
  <c r="G399" i="4" s="1"/>
  <c r="L399" i="3"/>
  <c r="C399" i="4" s="1"/>
  <c r="Q398" i="3"/>
  <c r="E398" i="4" s="1"/>
  <c r="P398" i="3"/>
  <c r="F398" i="4" s="1"/>
  <c r="O398" i="3"/>
  <c r="H398" i="4" s="1"/>
  <c r="N398" i="3"/>
  <c r="M398" i="3"/>
  <c r="G398" i="4" s="1"/>
  <c r="L398" i="3"/>
  <c r="C398" i="4" s="1"/>
  <c r="Q397" i="3"/>
  <c r="E397" i="4" s="1"/>
  <c r="P397" i="3"/>
  <c r="F397" i="4" s="1"/>
  <c r="O397" i="3"/>
  <c r="H397" i="4" s="1"/>
  <c r="N397" i="3"/>
  <c r="M397" i="3"/>
  <c r="G397" i="4" s="1"/>
  <c r="L397" i="3"/>
  <c r="C397" i="4" s="1"/>
  <c r="P396" i="3"/>
  <c r="F396" i="4" s="1"/>
  <c r="O396" i="3"/>
  <c r="H396" i="4" s="1"/>
  <c r="N396" i="3"/>
  <c r="M396" i="3"/>
  <c r="G396" i="4" s="1"/>
  <c r="L396" i="3"/>
  <c r="Q395" i="3"/>
  <c r="E395" i="4" s="1"/>
  <c r="P395" i="3"/>
  <c r="F395" i="4" s="1"/>
  <c r="O395" i="3"/>
  <c r="H395" i="4" s="1"/>
  <c r="N395" i="3"/>
  <c r="M395" i="3"/>
  <c r="G395" i="4" s="1"/>
  <c r="L395" i="3"/>
  <c r="C395" i="4" s="1"/>
  <c r="P394" i="3"/>
  <c r="F394" i="4" s="1"/>
  <c r="O394" i="3"/>
  <c r="H394" i="4" s="1"/>
  <c r="N394" i="3"/>
  <c r="M394" i="3"/>
  <c r="G394" i="4" s="1"/>
  <c r="L394" i="3"/>
  <c r="Q393" i="3"/>
  <c r="E393" i="4" s="1"/>
  <c r="P393" i="3"/>
  <c r="F393" i="4" s="1"/>
  <c r="O393" i="3"/>
  <c r="H393" i="4" s="1"/>
  <c r="N393" i="3"/>
  <c r="M393" i="3"/>
  <c r="G393" i="4" s="1"/>
  <c r="L393" i="3"/>
  <c r="C393" i="4" s="1"/>
  <c r="R392" i="3"/>
  <c r="D392" i="4" s="1"/>
  <c r="Q392" i="3"/>
  <c r="E392" i="4" s="1"/>
  <c r="P392" i="3"/>
  <c r="F392" i="4" s="1"/>
  <c r="O392" i="3"/>
  <c r="H392" i="4" s="1"/>
  <c r="N392" i="3"/>
  <c r="M392" i="3"/>
  <c r="G392" i="4" s="1"/>
  <c r="L392" i="3"/>
  <c r="C392" i="4" s="1"/>
  <c r="Q391" i="3"/>
  <c r="E391" i="4" s="1"/>
  <c r="P391" i="3"/>
  <c r="F391" i="4" s="1"/>
  <c r="O391" i="3"/>
  <c r="H391" i="4" s="1"/>
  <c r="N391" i="3"/>
  <c r="M391" i="3"/>
  <c r="G391" i="4" s="1"/>
  <c r="L391" i="3"/>
  <c r="C391" i="4" s="1"/>
  <c r="P390" i="3"/>
  <c r="F390" i="4" s="1"/>
  <c r="O390" i="3"/>
  <c r="H390" i="4" s="1"/>
  <c r="N390" i="3"/>
  <c r="M390" i="3"/>
  <c r="G390" i="4" s="1"/>
  <c r="L390" i="3"/>
  <c r="Q389" i="3"/>
  <c r="E389" i="4" s="1"/>
  <c r="P389" i="3"/>
  <c r="F389" i="4" s="1"/>
  <c r="O389" i="3"/>
  <c r="H389" i="4" s="1"/>
  <c r="N389" i="3"/>
  <c r="M389" i="3"/>
  <c r="G389" i="4" s="1"/>
  <c r="L389" i="3"/>
  <c r="C389" i="4" s="1"/>
  <c r="Q388" i="3"/>
  <c r="E388" i="4" s="1"/>
  <c r="P388" i="3"/>
  <c r="O388" i="3"/>
  <c r="H388" i="4" s="1"/>
  <c r="N388" i="3"/>
  <c r="M388" i="3"/>
  <c r="G388" i="4" s="1"/>
  <c r="L388" i="3"/>
  <c r="C388" i="4" s="1"/>
  <c r="Q387" i="3"/>
  <c r="P387" i="3"/>
  <c r="F387" i="4" s="1"/>
  <c r="O387" i="3"/>
  <c r="H387" i="4" s="1"/>
  <c r="N387" i="3"/>
  <c r="M387" i="3"/>
  <c r="G387" i="4" s="1"/>
  <c r="L387" i="3"/>
  <c r="C387" i="4" s="1"/>
  <c r="P386" i="3"/>
  <c r="F386" i="4" s="1"/>
  <c r="O386" i="3"/>
  <c r="H386" i="4" s="1"/>
  <c r="N386" i="3"/>
  <c r="M386" i="3"/>
  <c r="G386" i="4" s="1"/>
  <c r="L386" i="3"/>
  <c r="P385" i="3"/>
  <c r="F385" i="4" s="1"/>
  <c r="O385" i="3"/>
  <c r="H385" i="4" s="1"/>
  <c r="N385" i="3"/>
  <c r="M385" i="3"/>
  <c r="G385" i="4" s="1"/>
  <c r="L385" i="3"/>
  <c r="P384" i="3"/>
  <c r="F384" i="4" s="1"/>
  <c r="O384" i="3"/>
  <c r="H384" i="4" s="1"/>
  <c r="N384" i="3"/>
  <c r="M384" i="3"/>
  <c r="G384" i="4" s="1"/>
  <c r="L384" i="3"/>
  <c r="Q383" i="3"/>
  <c r="E383" i="4" s="1"/>
  <c r="P383" i="3"/>
  <c r="F383" i="4" s="1"/>
  <c r="O383" i="3"/>
  <c r="H383" i="4" s="1"/>
  <c r="N383" i="3"/>
  <c r="M383" i="3"/>
  <c r="G383" i="4" s="1"/>
  <c r="L383" i="3"/>
  <c r="C383" i="4" s="1"/>
  <c r="Q382" i="3"/>
  <c r="E382" i="4" s="1"/>
  <c r="P382" i="3"/>
  <c r="F382" i="4" s="1"/>
  <c r="O382" i="3"/>
  <c r="H382" i="4" s="1"/>
  <c r="N382" i="3"/>
  <c r="M382" i="3"/>
  <c r="G382" i="4" s="1"/>
  <c r="L382" i="3"/>
  <c r="C382" i="4" s="1"/>
  <c r="R381" i="3"/>
  <c r="D381" i="4" s="1"/>
  <c r="Q381" i="3"/>
  <c r="E381" i="4" s="1"/>
  <c r="P381" i="3"/>
  <c r="F381" i="4" s="1"/>
  <c r="O381" i="3"/>
  <c r="H381" i="4" s="1"/>
  <c r="N381" i="3"/>
  <c r="M381" i="3"/>
  <c r="G381" i="4" s="1"/>
  <c r="L381" i="3"/>
  <c r="C381" i="4" s="1"/>
  <c r="P380" i="3"/>
  <c r="F380" i="4" s="1"/>
  <c r="O380" i="3"/>
  <c r="H380" i="4" s="1"/>
  <c r="N380" i="3"/>
  <c r="M380" i="3"/>
  <c r="G380" i="4" s="1"/>
  <c r="L380" i="3"/>
  <c r="Q379" i="3"/>
  <c r="E379" i="4" s="1"/>
  <c r="P379" i="3"/>
  <c r="F379" i="4" s="1"/>
  <c r="O379" i="3"/>
  <c r="H379" i="4" s="1"/>
  <c r="N379" i="3"/>
  <c r="M379" i="3"/>
  <c r="G379" i="4" s="1"/>
  <c r="L379" i="3"/>
  <c r="C379" i="4" s="1"/>
  <c r="P378" i="3"/>
  <c r="F378" i="4" s="1"/>
  <c r="O378" i="3"/>
  <c r="H378" i="4" s="1"/>
  <c r="N378" i="3"/>
  <c r="M378" i="3"/>
  <c r="G378" i="4" s="1"/>
  <c r="L378" i="3"/>
  <c r="Q377" i="3"/>
  <c r="E377" i="4" s="1"/>
  <c r="P377" i="3"/>
  <c r="F377" i="4" s="1"/>
  <c r="O377" i="3"/>
  <c r="H377" i="4" s="1"/>
  <c r="N377" i="3"/>
  <c r="M377" i="3"/>
  <c r="G377" i="4" s="1"/>
  <c r="L377" i="3"/>
  <c r="C377" i="4" s="1"/>
  <c r="R376" i="3"/>
  <c r="D376" i="4" s="1"/>
  <c r="Q376" i="3"/>
  <c r="E376" i="4" s="1"/>
  <c r="P376" i="3"/>
  <c r="F376" i="4" s="1"/>
  <c r="O376" i="3"/>
  <c r="H376" i="4" s="1"/>
  <c r="N376" i="3"/>
  <c r="M376" i="3"/>
  <c r="G376" i="4" s="1"/>
  <c r="L376" i="3"/>
  <c r="C376" i="4" s="1"/>
  <c r="P375" i="3"/>
  <c r="F375" i="4" s="1"/>
  <c r="O375" i="3"/>
  <c r="H375" i="4" s="1"/>
  <c r="N375" i="3"/>
  <c r="M375" i="3"/>
  <c r="G375" i="4" s="1"/>
  <c r="L375" i="3"/>
  <c r="C375" i="4" s="1"/>
  <c r="P374" i="3"/>
  <c r="F374" i="4" s="1"/>
  <c r="O374" i="3"/>
  <c r="H374" i="4" s="1"/>
  <c r="N374" i="3"/>
  <c r="M374" i="3"/>
  <c r="G374" i="4" s="1"/>
  <c r="L374" i="3"/>
  <c r="Q373" i="3"/>
  <c r="E373" i="4" s="1"/>
  <c r="P373" i="3"/>
  <c r="F373" i="4" s="1"/>
  <c r="O373" i="3"/>
  <c r="H373" i="4" s="1"/>
  <c r="N373" i="3"/>
  <c r="M373" i="3"/>
  <c r="G373" i="4" s="1"/>
  <c r="L373" i="3"/>
  <c r="C373" i="4" s="1"/>
  <c r="Q372" i="3"/>
  <c r="E372" i="4" s="1"/>
  <c r="P372" i="3"/>
  <c r="O372" i="3"/>
  <c r="H372" i="4" s="1"/>
  <c r="N372" i="3"/>
  <c r="M372" i="3"/>
  <c r="G372" i="4" s="1"/>
  <c r="L372" i="3"/>
  <c r="C372" i="4" s="1"/>
  <c r="Q371" i="3"/>
  <c r="P371" i="3"/>
  <c r="F371" i="4" s="1"/>
  <c r="O371" i="3"/>
  <c r="H371" i="4" s="1"/>
  <c r="N371" i="3"/>
  <c r="M371" i="3"/>
  <c r="G371" i="4" s="1"/>
  <c r="L371" i="3"/>
  <c r="C371" i="4" s="1"/>
  <c r="P370" i="3"/>
  <c r="F370" i="4" s="1"/>
  <c r="O370" i="3"/>
  <c r="H370" i="4" s="1"/>
  <c r="N370" i="3"/>
  <c r="M370" i="3"/>
  <c r="G370" i="4" s="1"/>
  <c r="L370" i="3"/>
  <c r="P369" i="3"/>
  <c r="F369" i="4" s="1"/>
  <c r="O369" i="3"/>
  <c r="H369" i="4" s="1"/>
  <c r="N369" i="3"/>
  <c r="M369" i="3"/>
  <c r="G369" i="4" s="1"/>
  <c r="L369" i="3"/>
  <c r="P368" i="3"/>
  <c r="F368" i="4" s="1"/>
  <c r="O368" i="3"/>
  <c r="H368" i="4" s="1"/>
  <c r="N368" i="3"/>
  <c r="M368" i="3"/>
  <c r="G368" i="4" s="1"/>
  <c r="L368" i="3"/>
  <c r="Q367" i="3"/>
  <c r="E367" i="4" s="1"/>
  <c r="P367" i="3"/>
  <c r="F367" i="4" s="1"/>
  <c r="O367" i="3"/>
  <c r="H367" i="4" s="1"/>
  <c r="N367" i="3"/>
  <c r="M367" i="3"/>
  <c r="G367" i="4" s="1"/>
  <c r="L367" i="3"/>
  <c r="C367" i="4" s="1"/>
  <c r="Q366" i="3"/>
  <c r="E366" i="4" s="1"/>
  <c r="P366" i="3"/>
  <c r="F366" i="4" s="1"/>
  <c r="O366" i="3"/>
  <c r="H366" i="4" s="1"/>
  <c r="N366" i="3"/>
  <c r="M366" i="3"/>
  <c r="G366" i="4" s="1"/>
  <c r="L366" i="3"/>
  <c r="C366" i="4" s="1"/>
  <c r="Q365" i="3"/>
  <c r="E365" i="4" s="1"/>
  <c r="P365" i="3"/>
  <c r="F365" i="4" s="1"/>
  <c r="O365" i="3"/>
  <c r="H365" i="4" s="1"/>
  <c r="N365" i="3"/>
  <c r="M365" i="3"/>
  <c r="G365" i="4" s="1"/>
  <c r="L365" i="3"/>
  <c r="C365" i="4" s="1"/>
  <c r="P364" i="3"/>
  <c r="F364" i="4" s="1"/>
  <c r="O364" i="3"/>
  <c r="H364" i="4" s="1"/>
  <c r="N364" i="3"/>
  <c r="M364" i="3"/>
  <c r="G364" i="4" s="1"/>
  <c r="L364" i="3"/>
  <c r="P363" i="3"/>
  <c r="F363" i="4" s="1"/>
  <c r="O363" i="3"/>
  <c r="H363" i="4" s="1"/>
  <c r="N363" i="3"/>
  <c r="M363" i="3"/>
  <c r="G363" i="4" s="1"/>
  <c r="L363" i="3"/>
  <c r="C363" i="4" s="1"/>
  <c r="P362" i="3"/>
  <c r="F362" i="4" s="1"/>
  <c r="O362" i="3"/>
  <c r="H362" i="4" s="1"/>
  <c r="N362" i="3"/>
  <c r="M362" i="3"/>
  <c r="G362" i="4" s="1"/>
  <c r="L362" i="3"/>
  <c r="Q361" i="3"/>
  <c r="E361" i="4" s="1"/>
  <c r="P361" i="3"/>
  <c r="F361" i="4" s="1"/>
  <c r="O361" i="3"/>
  <c r="H361" i="4" s="1"/>
  <c r="N361" i="3"/>
  <c r="M361" i="3"/>
  <c r="G361" i="4" s="1"/>
  <c r="L361" i="3"/>
  <c r="C361" i="4" s="1"/>
  <c r="R360" i="3"/>
  <c r="D360" i="4" s="1"/>
  <c r="Q360" i="3"/>
  <c r="E360" i="4" s="1"/>
  <c r="P360" i="3"/>
  <c r="F360" i="4" s="1"/>
  <c r="O360" i="3"/>
  <c r="H360" i="4" s="1"/>
  <c r="N360" i="3"/>
  <c r="M360" i="3"/>
  <c r="G360" i="4" s="1"/>
  <c r="L360" i="3"/>
  <c r="C360" i="4" s="1"/>
  <c r="P359" i="3"/>
  <c r="F359" i="4" s="1"/>
  <c r="O359" i="3"/>
  <c r="H359" i="4" s="1"/>
  <c r="N359" i="3"/>
  <c r="M359" i="3"/>
  <c r="G359" i="4" s="1"/>
  <c r="L359" i="3"/>
  <c r="C359" i="4" s="1"/>
  <c r="P358" i="3"/>
  <c r="F358" i="4" s="1"/>
  <c r="O358" i="3"/>
  <c r="H358" i="4" s="1"/>
  <c r="N358" i="3"/>
  <c r="M358" i="3"/>
  <c r="G358" i="4" s="1"/>
  <c r="L358" i="3"/>
  <c r="Q357" i="3"/>
  <c r="E357" i="4" s="1"/>
  <c r="P357" i="3"/>
  <c r="F357" i="4" s="1"/>
  <c r="O357" i="3"/>
  <c r="H357" i="4" s="1"/>
  <c r="N357" i="3"/>
  <c r="M357" i="3"/>
  <c r="G357" i="4" s="1"/>
  <c r="L357" i="3"/>
  <c r="C357" i="4" s="1"/>
  <c r="Q356" i="3"/>
  <c r="E356" i="4" s="1"/>
  <c r="P356" i="3"/>
  <c r="O356" i="3"/>
  <c r="H356" i="4" s="1"/>
  <c r="N356" i="3"/>
  <c r="M356" i="3"/>
  <c r="G356" i="4" s="1"/>
  <c r="L356" i="3"/>
  <c r="C356" i="4" s="1"/>
  <c r="Q355" i="3"/>
  <c r="P355" i="3"/>
  <c r="F355" i="4" s="1"/>
  <c r="O355" i="3"/>
  <c r="H355" i="4" s="1"/>
  <c r="N355" i="3"/>
  <c r="M355" i="3"/>
  <c r="G355" i="4" s="1"/>
  <c r="L355" i="3"/>
  <c r="C355" i="4" s="1"/>
  <c r="P354" i="3"/>
  <c r="F354" i="4" s="1"/>
  <c r="O354" i="3"/>
  <c r="H354" i="4" s="1"/>
  <c r="N354" i="3"/>
  <c r="M354" i="3"/>
  <c r="G354" i="4" s="1"/>
  <c r="L354" i="3"/>
  <c r="P353" i="3"/>
  <c r="F353" i="4" s="1"/>
  <c r="O353" i="3"/>
  <c r="H353" i="4" s="1"/>
  <c r="N353" i="3"/>
  <c r="M353" i="3"/>
  <c r="G353" i="4" s="1"/>
  <c r="L353" i="3"/>
  <c r="P352" i="3"/>
  <c r="F352" i="4" s="1"/>
  <c r="O352" i="3"/>
  <c r="H352" i="4" s="1"/>
  <c r="N352" i="3"/>
  <c r="M352" i="3"/>
  <c r="G352" i="4" s="1"/>
  <c r="L352" i="3"/>
  <c r="Q351" i="3"/>
  <c r="E351" i="4" s="1"/>
  <c r="P351" i="3"/>
  <c r="F351" i="4" s="1"/>
  <c r="O351" i="3"/>
  <c r="H351" i="4" s="1"/>
  <c r="N351" i="3"/>
  <c r="M351" i="3"/>
  <c r="G351" i="4" s="1"/>
  <c r="L351" i="3"/>
  <c r="C351" i="4" s="1"/>
  <c r="Q350" i="3"/>
  <c r="E350" i="4" s="1"/>
  <c r="P350" i="3"/>
  <c r="F350" i="4" s="1"/>
  <c r="O350" i="3"/>
  <c r="H350" i="4" s="1"/>
  <c r="N350" i="3"/>
  <c r="M350" i="3"/>
  <c r="G350" i="4" s="1"/>
  <c r="L350" i="3"/>
  <c r="C350" i="4" s="1"/>
  <c r="Q349" i="3"/>
  <c r="E349" i="4" s="1"/>
  <c r="P349" i="3"/>
  <c r="F349" i="4" s="1"/>
  <c r="O349" i="3"/>
  <c r="H349" i="4" s="1"/>
  <c r="N349" i="3"/>
  <c r="M349" i="3"/>
  <c r="G349" i="4" s="1"/>
  <c r="L349" i="3"/>
  <c r="C349" i="4" s="1"/>
  <c r="P348" i="3"/>
  <c r="F348" i="4" s="1"/>
  <c r="O348" i="3"/>
  <c r="H348" i="4" s="1"/>
  <c r="N348" i="3"/>
  <c r="M348" i="3"/>
  <c r="G348" i="4" s="1"/>
  <c r="L348" i="3"/>
  <c r="P347" i="3"/>
  <c r="F347" i="4" s="1"/>
  <c r="O347" i="3"/>
  <c r="H347" i="4" s="1"/>
  <c r="N347" i="3"/>
  <c r="M347" i="3"/>
  <c r="G347" i="4" s="1"/>
  <c r="L347" i="3"/>
  <c r="C347" i="4" s="1"/>
  <c r="P346" i="3"/>
  <c r="F346" i="4" s="1"/>
  <c r="O346" i="3"/>
  <c r="H346" i="4" s="1"/>
  <c r="N346" i="3"/>
  <c r="M346" i="3"/>
  <c r="G346" i="4" s="1"/>
  <c r="L346" i="3"/>
  <c r="Q345" i="3"/>
  <c r="E345" i="4" s="1"/>
  <c r="P345" i="3"/>
  <c r="F345" i="4" s="1"/>
  <c r="O345" i="3"/>
  <c r="H345" i="4" s="1"/>
  <c r="N345" i="3"/>
  <c r="M345" i="3"/>
  <c r="G345" i="4" s="1"/>
  <c r="L345" i="3"/>
  <c r="C345" i="4" s="1"/>
  <c r="R344" i="3"/>
  <c r="D344" i="4" s="1"/>
  <c r="Q344" i="3"/>
  <c r="E344" i="4" s="1"/>
  <c r="P344" i="3"/>
  <c r="F344" i="4" s="1"/>
  <c r="O344" i="3"/>
  <c r="H344" i="4" s="1"/>
  <c r="N344" i="3"/>
  <c r="M344" i="3"/>
  <c r="G344" i="4" s="1"/>
  <c r="L344" i="3"/>
  <c r="C344" i="4" s="1"/>
  <c r="P343" i="3"/>
  <c r="F343" i="4" s="1"/>
  <c r="O343" i="3"/>
  <c r="H343" i="4" s="1"/>
  <c r="N343" i="3"/>
  <c r="M343" i="3"/>
  <c r="G343" i="4" s="1"/>
  <c r="L343" i="3"/>
  <c r="C343" i="4" s="1"/>
  <c r="P342" i="3"/>
  <c r="F342" i="4" s="1"/>
  <c r="O342" i="3"/>
  <c r="H342" i="4" s="1"/>
  <c r="N342" i="3"/>
  <c r="M342" i="3"/>
  <c r="G342" i="4" s="1"/>
  <c r="L342" i="3"/>
  <c r="Q341" i="3"/>
  <c r="E341" i="4" s="1"/>
  <c r="P341" i="3"/>
  <c r="F341" i="4" s="1"/>
  <c r="O341" i="3"/>
  <c r="N341" i="3"/>
  <c r="M341" i="3"/>
  <c r="G341" i="4" s="1"/>
  <c r="L341" i="3"/>
  <c r="C341" i="4" s="1"/>
  <c r="Q340" i="3"/>
  <c r="E340" i="4" s="1"/>
  <c r="P340" i="3"/>
  <c r="F340" i="4" s="1"/>
  <c r="O340" i="3"/>
  <c r="H340" i="4" s="1"/>
  <c r="N340" i="3"/>
  <c r="M340" i="3"/>
  <c r="G340" i="4" s="1"/>
  <c r="L340" i="3"/>
  <c r="C340" i="4" s="1"/>
  <c r="Q339" i="3"/>
  <c r="P339" i="3"/>
  <c r="F339" i="4" s="1"/>
  <c r="O339" i="3"/>
  <c r="H339" i="4" s="1"/>
  <c r="N339" i="3"/>
  <c r="M339" i="3"/>
  <c r="G339" i="4" s="1"/>
  <c r="L339" i="3"/>
  <c r="C339" i="4" s="1"/>
  <c r="P338" i="3"/>
  <c r="F338" i="4" s="1"/>
  <c r="O338" i="3"/>
  <c r="H338" i="4" s="1"/>
  <c r="N338" i="3"/>
  <c r="M338" i="3"/>
  <c r="G338" i="4" s="1"/>
  <c r="L338" i="3"/>
  <c r="P337" i="3"/>
  <c r="F337" i="4" s="1"/>
  <c r="O337" i="3"/>
  <c r="H337" i="4" s="1"/>
  <c r="N337" i="3"/>
  <c r="M337" i="3"/>
  <c r="G337" i="4" s="1"/>
  <c r="L337" i="3"/>
  <c r="P336" i="3"/>
  <c r="F336" i="4" s="1"/>
  <c r="O336" i="3"/>
  <c r="H336" i="4" s="1"/>
  <c r="N336" i="3"/>
  <c r="M336" i="3"/>
  <c r="G336" i="4" s="1"/>
  <c r="L336" i="3"/>
  <c r="Q335" i="3"/>
  <c r="E335" i="4" s="1"/>
  <c r="P335" i="3"/>
  <c r="F335" i="4" s="1"/>
  <c r="O335" i="3"/>
  <c r="H335" i="4" s="1"/>
  <c r="N335" i="3"/>
  <c r="M335" i="3"/>
  <c r="G335" i="4" s="1"/>
  <c r="L335" i="3"/>
  <c r="C335" i="4" s="1"/>
  <c r="Q334" i="3"/>
  <c r="E334" i="4" s="1"/>
  <c r="P334" i="3"/>
  <c r="F334" i="4" s="1"/>
  <c r="O334" i="3"/>
  <c r="H334" i="4" s="1"/>
  <c r="N334" i="3"/>
  <c r="M334" i="3"/>
  <c r="G334" i="4" s="1"/>
  <c r="L334" i="3"/>
  <c r="C334" i="4" s="1"/>
  <c r="Q333" i="3"/>
  <c r="E333" i="4" s="1"/>
  <c r="P333" i="3"/>
  <c r="F333" i="4" s="1"/>
  <c r="O333" i="3"/>
  <c r="H333" i="4" s="1"/>
  <c r="N333" i="3"/>
  <c r="M333" i="3"/>
  <c r="G333" i="4" s="1"/>
  <c r="L333" i="3"/>
  <c r="C333" i="4" s="1"/>
  <c r="P332" i="3"/>
  <c r="F332" i="4" s="1"/>
  <c r="O332" i="3"/>
  <c r="H332" i="4" s="1"/>
  <c r="N332" i="3"/>
  <c r="M332" i="3"/>
  <c r="G332" i="4" s="1"/>
  <c r="L332" i="3"/>
  <c r="P331" i="3"/>
  <c r="F331" i="4" s="1"/>
  <c r="O331" i="3"/>
  <c r="H331" i="4" s="1"/>
  <c r="N331" i="3"/>
  <c r="M331" i="3"/>
  <c r="G331" i="4" s="1"/>
  <c r="L331" i="3"/>
  <c r="C331" i="4" s="1"/>
  <c r="P330" i="3"/>
  <c r="F330" i="4" s="1"/>
  <c r="O330" i="3"/>
  <c r="H330" i="4" s="1"/>
  <c r="N330" i="3"/>
  <c r="M330" i="3"/>
  <c r="G330" i="4" s="1"/>
  <c r="L330" i="3"/>
  <c r="Q329" i="3"/>
  <c r="E329" i="4" s="1"/>
  <c r="P329" i="3"/>
  <c r="F329" i="4" s="1"/>
  <c r="O329" i="3"/>
  <c r="H329" i="4" s="1"/>
  <c r="N329" i="3"/>
  <c r="M329" i="3"/>
  <c r="G329" i="4" s="1"/>
  <c r="L329" i="3"/>
  <c r="C329" i="4" s="1"/>
  <c r="R328" i="3"/>
  <c r="D328" i="4" s="1"/>
  <c r="Q328" i="3"/>
  <c r="E328" i="4" s="1"/>
  <c r="P328" i="3"/>
  <c r="F328" i="4" s="1"/>
  <c r="O328" i="3"/>
  <c r="H328" i="4" s="1"/>
  <c r="N328" i="3"/>
  <c r="M328" i="3"/>
  <c r="G328" i="4" s="1"/>
  <c r="L328" i="3"/>
  <c r="C328" i="4" s="1"/>
  <c r="P327" i="3"/>
  <c r="F327" i="4" s="1"/>
  <c r="O327" i="3"/>
  <c r="H327" i="4" s="1"/>
  <c r="N327" i="3"/>
  <c r="M327" i="3"/>
  <c r="G327" i="4" s="1"/>
  <c r="L327" i="3"/>
  <c r="C327" i="4" s="1"/>
  <c r="P326" i="3"/>
  <c r="F326" i="4" s="1"/>
  <c r="O326" i="3"/>
  <c r="H326" i="4" s="1"/>
  <c r="N326" i="3"/>
  <c r="M326" i="3"/>
  <c r="G326" i="4" s="1"/>
  <c r="L326" i="3"/>
  <c r="Q325" i="3"/>
  <c r="E325" i="4" s="1"/>
  <c r="P325" i="3"/>
  <c r="F325" i="4" s="1"/>
  <c r="O325" i="3"/>
  <c r="N325" i="3"/>
  <c r="M325" i="3"/>
  <c r="G325" i="4" s="1"/>
  <c r="L325" i="3"/>
  <c r="C325" i="4" s="1"/>
  <c r="P324" i="3"/>
  <c r="F324" i="4" s="1"/>
  <c r="O324" i="3"/>
  <c r="H324" i="4" s="1"/>
  <c r="N324" i="3"/>
  <c r="M324" i="3"/>
  <c r="G324" i="4" s="1"/>
  <c r="L324" i="3"/>
  <c r="Q323" i="3"/>
  <c r="P323" i="3"/>
  <c r="F323" i="4" s="1"/>
  <c r="O323" i="3"/>
  <c r="H323" i="4" s="1"/>
  <c r="N323" i="3"/>
  <c r="M323" i="3"/>
  <c r="G323" i="4" s="1"/>
  <c r="L323" i="3"/>
  <c r="C323" i="4" s="1"/>
  <c r="P322" i="3"/>
  <c r="F322" i="4" s="1"/>
  <c r="O322" i="3"/>
  <c r="H322" i="4" s="1"/>
  <c r="N322" i="3"/>
  <c r="M322" i="3"/>
  <c r="G322" i="4" s="1"/>
  <c r="L322" i="3"/>
  <c r="Q321" i="3"/>
  <c r="E321" i="4" s="1"/>
  <c r="P321" i="3"/>
  <c r="F321" i="4" s="1"/>
  <c r="O321" i="3"/>
  <c r="H321" i="4" s="1"/>
  <c r="N321" i="3"/>
  <c r="M321" i="3"/>
  <c r="G321" i="4" s="1"/>
  <c r="L321" i="3"/>
  <c r="C321" i="4" s="1"/>
  <c r="P320" i="3"/>
  <c r="F320" i="4" s="1"/>
  <c r="O320" i="3"/>
  <c r="H320" i="4" s="1"/>
  <c r="N320" i="3"/>
  <c r="M320" i="3"/>
  <c r="G320" i="4" s="1"/>
  <c r="L320" i="3"/>
  <c r="Q319" i="3"/>
  <c r="E319" i="4" s="1"/>
  <c r="P319" i="3"/>
  <c r="F319" i="4" s="1"/>
  <c r="O319" i="3"/>
  <c r="H319" i="4" s="1"/>
  <c r="N319" i="3"/>
  <c r="M319" i="3"/>
  <c r="G319" i="4" s="1"/>
  <c r="L319" i="3"/>
  <c r="C319" i="4" s="1"/>
  <c r="Q318" i="3"/>
  <c r="E318" i="4" s="1"/>
  <c r="P318" i="3"/>
  <c r="F318" i="4" s="1"/>
  <c r="O318" i="3"/>
  <c r="H318" i="4" s="1"/>
  <c r="N318" i="3"/>
  <c r="M318" i="3"/>
  <c r="G318" i="4" s="1"/>
  <c r="L318" i="3"/>
  <c r="Q317" i="3"/>
  <c r="E317" i="4" s="1"/>
  <c r="P317" i="3"/>
  <c r="F317" i="4" s="1"/>
  <c r="O317" i="3"/>
  <c r="H317" i="4" s="1"/>
  <c r="N317" i="3"/>
  <c r="M317" i="3"/>
  <c r="G317" i="4" s="1"/>
  <c r="L317" i="3"/>
  <c r="C317" i="4" s="1"/>
  <c r="P316" i="3"/>
  <c r="F316" i="4" s="1"/>
  <c r="O316" i="3"/>
  <c r="H316" i="4" s="1"/>
  <c r="N316" i="3"/>
  <c r="M316" i="3"/>
  <c r="G316" i="4" s="1"/>
  <c r="L316" i="3"/>
  <c r="Q315" i="3"/>
  <c r="E315" i="4" s="1"/>
  <c r="P315" i="3"/>
  <c r="F315" i="4" s="1"/>
  <c r="O315" i="3"/>
  <c r="H315" i="4" s="1"/>
  <c r="N315" i="3"/>
  <c r="M315" i="3"/>
  <c r="G315" i="4" s="1"/>
  <c r="L315" i="3"/>
  <c r="P314" i="3"/>
  <c r="F314" i="4" s="1"/>
  <c r="O314" i="3"/>
  <c r="H314" i="4" s="1"/>
  <c r="N314" i="3"/>
  <c r="M314" i="3"/>
  <c r="G314" i="4" s="1"/>
  <c r="L314" i="3"/>
  <c r="Q313" i="3"/>
  <c r="E313" i="4" s="1"/>
  <c r="P313" i="3"/>
  <c r="F313" i="4" s="1"/>
  <c r="O313" i="3"/>
  <c r="N313" i="3"/>
  <c r="M313" i="3"/>
  <c r="G313" i="4" s="1"/>
  <c r="L313" i="3"/>
  <c r="C313" i="4" s="1"/>
  <c r="Q312" i="3"/>
  <c r="E312" i="4" s="1"/>
  <c r="P312" i="3"/>
  <c r="F312" i="4" s="1"/>
  <c r="O312" i="3"/>
  <c r="H312" i="4" s="1"/>
  <c r="N312" i="3"/>
  <c r="M312" i="3"/>
  <c r="G312" i="4" s="1"/>
  <c r="L312" i="3"/>
  <c r="C312" i="4" s="1"/>
  <c r="P311" i="3"/>
  <c r="F311" i="4" s="1"/>
  <c r="O311" i="3"/>
  <c r="H311" i="4" s="1"/>
  <c r="N311" i="3"/>
  <c r="M311" i="3"/>
  <c r="G311" i="4" s="1"/>
  <c r="L311" i="3"/>
  <c r="C311" i="4" s="1"/>
  <c r="P310" i="3"/>
  <c r="F310" i="4" s="1"/>
  <c r="O310" i="3"/>
  <c r="H310" i="4" s="1"/>
  <c r="N310" i="3"/>
  <c r="M310" i="3"/>
  <c r="G310" i="4" s="1"/>
  <c r="L310" i="3"/>
  <c r="Q309" i="3"/>
  <c r="E309" i="4" s="1"/>
  <c r="P309" i="3"/>
  <c r="F309" i="4" s="1"/>
  <c r="O309" i="3"/>
  <c r="N309" i="3"/>
  <c r="M309" i="3"/>
  <c r="G309" i="4" s="1"/>
  <c r="L309" i="3"/>
  <c r="C309" i="4" s="1"/>
  <c r="Q308" i="3"/>
  <c r="E308" i="4" s="1"/>
  <c r="P308" i="3"/>
  <c r="F308" i="4" s="1"/>
  <c r="O308" i="3"/>
  <c r="H308" i="4" s="1"/>
  <c r="N308" i="3"/>
  <c r="M308" i="3"/>
  <c r="G308" i="4" s="1"/>
  <c r="L308" i="3"/>
  <c r="C308" i="4" s="1"/>
  <c r="Q307" i="3"/>
  <c r="P307" i="3"/>
  <c r="F307" i="4" s="1"/>
  <c r="O307" i="3"/>
  <c r="H307" i="4" s="1"/>
  <c r="N307" i="3"/>
  <c r="M307" i="3"/>
  <c r="G307" i="4" s="1"/>
  <c r="L307" i="3"/>
  <c r="C307" i="4" s="1"/>
  <c r="P306" i="3"/>
  <c r="F306" i="4" s="1"/>
  <c r="O306" i="3"/>
  <c r="H306" i="4" s="1"/>
  <c r="N306" i="3"/>
  <c r="M306" i="3"/>
  <c r="G306" i="4" s="1"/>
  <c r="L306" i="3"/>
  <c r="R305" i="3"/>
  <c r="D305" i="4" s="1"/>
  <c r="Q305" i="3"/>
  <c r="E305" i="4" s="1"/>
  <c r="P305" i="3"/>
  <c r="F305" i="4" s="1"/>
  <c r="O305" i="3"/>
  <c r="H305" i="4" s="1"/>
  <c r="N305" i="3"/>
  <c r="M305" i="3"/>
  <c r="G305" i="4" s="1"/>
  <c r="L305" i="3"/>
  <c r="C305" i="4" s="1"/>
  <c r="P304" i="3"/>
  <c r="F304" i="4" s="1"/>
  <c r="O304" i="3"/>
  <c r="H304" i="4" s="1"/>
  <c r="N304" i="3"/>
  <c r="M304" i="3"/>
  <c r="G304" i="4" s="1"/>
  <c r="L304" i="3"/>
  <c r="Q303" i="3"/>
  <c r="E303" i="4" s="1"/>
  <c r="P303" i="3"/>
  <c r="F303" i="4" s="1"/>
  <c r="O303" i="3"/>
  <c r="H303" i="4" s="1"/>
  <c r="N303" i="3"/>
  <c r="M303" i="3"/>
  <c r="G303" i="4" s="1"/>
  <c r="L303" i="3"/>
  <c r="C303" i="4" s="1"/>
  <c r="Q302" i="3"/>
  <c r="E302" i="4" s="1"/>
  <c r="P302" i="3"/>
  <c r="F302" i="4" s="1"/>
  <c r="O302" i="3"/>
  <c r="H302" i="4" s="1"/>
  <c r="N302" i="3"/>
  <c r="M302" i="3"/>
  <c r="G302" i="4" s="1"/>
  <c r="L302" i="3"/>
  <c r="Q301" i="3"/>
  <c r="E301" i="4" s="1"/>
  <c r="P301" i="3"/>
  <c r="F301" i="4" s="1"/>
  <c r="O301" i="3"/>
  <c r="H301" i="4" s="1"/>
  <c r="N301" i="3"/>
  <c r="M301" i="3"/>
  <c r="G301" i="4" s="1"/>
  <c r="L301" i="3"/>
  <c r="C301" i="4" s="1"/>
  <c r="P300" i="3"/>
  <c r="F300" i="4" s="1"/>
  <c r="O300" i="3"/>
  <c r="H300" i="4" s="1"/>
  <c r="N300" i="3"/>
  <c r="M300" i="3"/>
  <c r="G300" i="4" s="1"/>
  <c r="L300" i="3"/>
  <c r="P299" i="3"/>
  <c r="F299" i="4" s="1"/>
  <c r="O299" i="3"/>
  <c r="H299" i="4" s="1"/>
  <c r="N299" i="3"/>
  <c r="M299" i="3"/>
  <c r="G299" i="4" s="1"/>
  <c r="L299" i="3"/>
  <c r="Q299" i="3" s="1"/>
  <c r="E299" i="4" s="1"/>
  <c r="P298" i="3"/>
  <c r="F298" i="4" s="1"/>
  <c r="O298" i="3"/>
  <c r="H298" i="4" s="1"/>
  <c r="N298" i="3"/>
  <c r="M298" i="3"/>
  <c r="G298" i="4" s="1"/>
  <c r="L298" i="3"/>
  <c r="Q297" i="3"/>
  <c r="E297" i="4" s="1"/>
  <c r="P297" i="3"/>
  <c r="F297" i="4" s="1"/>
  <c r="O297" i="3"/>
  <c r="N297" i="3"/>
  <c r="M297" i="3"/>
  <c r="G297" i="4" s="1"/>
  <c r="L297" i="3"/>
  <c r="C297" i="4" s="1"/>
  <c r="Q296" i="3"/>
  <c r="E296" i="4" s="1"/>
  <c r="P296" i="3"/>
  <c r="F296" i="4" s="1"/>
  <c r="O296" i="3"/>
  <c r="H296" i="4" s="1"/>
  <c r="N296" i="3"/>
  <c r="M296" i="3"/>
  <c r="G296" i="4" s="1"/>
  <c r="L296" i="3"/>
  <c r="C296" i="4" s="1"/>
  <c r="P295" i="3"/>
  <c r="F295" i="4" s="1"/>
  <c r="O295" i="3"/>
  <c r="H295" i="4" s="1"/>
  <c r="N295" i="3"/>
  <c r="M295" i="3"/>
  <c r="G295" i="4" s="1"/>
  <c r="L295" i="3"/>
  <c r="C295" i="4" s="1"/>
  <c r="P294" i="3"/>
  <c r="F294" i="4" s="1"/>
  <c r="O294" i="3"/>
  <c r="H294" i="4" s="1"/>
  <c r="N294" i="3"/>
  <c r="M294" i="3"/>
  <c r="G294" i="4" s="1"/>
  <c r="L294" i="3"/>
  <c r="Q293" i="3"/>
  <c r="E293" i="4" s="1"/>
  <c r="P293" i="3"/>
  <c r="F293" i="4" s="1"/>
  <c r="O293" i="3"/>
  <c r="N293" i="3"/>
  <c r="M293" i="3"/>
  <c r="G293" i="4" s="1"/>
  <c r="L293" i="3"/>
  <c r="C293" i="4" s="1"/>
  <c r="Q292" i="3"/>
  <c r="E292" i="4" s="1"/>
  <c r="P292" i="3"/>
  <c r="F292" i="4" s="1"/>
  <c r="O292" i="3"/>
  <c r="H292" i="4" s="1"/>
  <c r="N292" i="3"/>
  <c r="M292" i="3"/>
  <c r="G292" i="4" s="1"/>
  <c r="L292" i="3"/>
  <c r="C292" i="4" s="1"/>
  <c r="Q291" i="3"/>
  <c r="P291" i="3"/>
  <c r="F291" i="4" s="1"/>
  <c r="O291" i="3"/>
  <c r="H291" i="4" s="1"/>
  <c r="N291" i="3"/>
  <c r="M291" i="3"/>
  <c r="G291" i="4" s="1"/>
  <c r="L291" i="3"/>
  <c r="C291" i="4" s="1"/>
  <c r="P290" i="3"/>
  <c r="F290" i="4" s="1"/>
  <c r="O290" i="3"/>
  <c r="H290" i="4" s="1"/>
  <c r="N290" i="3"/>
  <c r="M290" i="3"/>
  <c r="G290" i="4" s="1"/>
  <c r="L290" i="3"/>
  <c r="P289" i="3"/>
  <c r="F289" i="4" s="1"/>
  <c r="O289" i="3"/>
  <c r="H289" i="4" s="1"/>
  <c r="N289" i="3"/>
  <c r="M289" i="3"/>
  <c r="G289" i="4" s="1"/>
  <c r="L289" i="3"/>
  <c r="C289" i="4" s="1"/>
  <c r="P288" i="3"/>
  <c r="F288" i="4" s="1"/>
  <c r="O288" i="3"/>
  <c r="H288" i="4" s="1"/>
  <c r="N288" i="3"/>
  <c r="M288" i="3"/>
  <c r="G288" i="4" s="1"/>
  <c r="L288" i="3"/>
  <c r="Q287" i="3"/>
  <c r="E287" i="4" s="1"/>
  <c r="P287" i="3"/>
  <c r="F287" i="4" s="1"/>
  <c r="O287" i="3"/>
  <c r="H287" i="4" s="1"/>
  <c r="N287" i="3"/>
  <c r="M287" i="3"/>
  <c r="G287" i="4" s="1"/>
  <c r="L287" i="3"/>
  <c r="C287" i="4" s="1"/>
  <c r="P286" i="3"/>
  <c r="F286" i="4" s="1"/>
  <c r="O286" i="3"/>
  <c r="H286" i="4" s="1"/>
  <c r="N286" i="3"/>
  <c r="M286" i="3"/>
  <c r="G286" i="4" s="1"/>
  <c r="L286" i="3"/>
  <c r="Q285" i="3"/>
  <c r="E285" i="4" s="1"/>
  <c r="P285" i="3"/>
  <c r="F285" i="4" s="1"/>
  <c r="O285" i="3"/>
  <c r="H285" i="4" s="1"/>
  <c r="N285" i="3"/>
  <c r="M285" i="3"/>
  <c r="G285" i="4" s="1"/>
  <c r="L285" i="3"/>
  <c r="C285" i="4" s="1"/>
  <c r="P284" i="3"/>
  <c r="F284" i="4" s="1"/>
  <c r="O284" i="3"/>
  <c r="H284" i="4" s="1"/>
  <c r="N284" i="3"/>
  <c r="M284" i="3"/>
  <c r="G284" i="4" s="1"/>
  <c r="L284" i="3"/>
  <c r="P283" i="3"/>
  <c r="F283" i="4" s="1"/>
  <c r="O283" i="3"/>
  <c r="H283" i="4" s="1"/>
  <c r="N283" i="3"/>
  <c r="M283" i="3"/>
  <c r="G283" i="4" s="1"/>
  <c r="L283" i="3"/>
  <c r="P282" i="3"/>
  <c r="F282" i="4" s="1"/>
  <c r="O282" i="3"/>
  <c r="H282" i="4" s="1"/>
  <c r="N282" i="3"/>
  <c r="M282" i="3"/>
  <c r="G282" i="4" s="1"/>
  <c r="L282" i="3"/>
  <c r="C282" i="4" s="1"/>
  <c r="Q281" i="3"/>
  <c r="E281" i="4" s="1"/>
  <c r="P281" i="3"/>
  <c r="F281" i="4" s="1"/>
  <c r="O281" i="3"/>
  <c r="N281" i="3"/>
  <c r="M281" i="3"/>
  <c r="G281" i="4" s="1"/>
  <c r="L281" i="3"/>
  <c r="C281" i="4" s="1"/>
  <c r="Q280" i="3"/>
  <c r="E280" i="4" s="1"/>
  <c r="P280" i="3"/>
  <c r="F280" i="4" s="1"/>
  <c r="O280" i="3"/>
  <c r="H280" i="4" s="1"/>
  <c r="N280" i="3"/>
  <c r="M280" i="3"/>
  <c r="G280" i="4" s="1"/>
  <c r="L280" i="3"/>
  <c r="C280" i="4" s="1"/>
  <c r="P279" i="3"/>
  <c r="F279" i="4" s="1"/>
  <c r="O279" i="3"/>
  <c r="H279" i="4" s="1"/>
  <c r="N279" i="3"/>
  <c r="M279" i="3"/>
  <c r="G279" i="4" s="1"/>
  <c r="L279" i="3"/>
  <c r="C279" i="4" s="1"/>
  <c r="P278" i="3"/>
  <c r="F278" i="4" s="1"/>
  <c r="O278" i="3"/>
  <c r="H278" i="4" s="1"/>
  <c r="N278" i="3"/>
  <c r="M278" i="3"/>
  <c r="G278" i="4" s="1"/>
  <c r="L278" i="3"/>
  <c r="Q277" i="3"/>
  <c r="E277" i="4" s="1"/>
  <c r="P277" i="3"/>
  <c r="F277" i="4" s="1"/>
  <c r="O277" i="3"/>
  <c r="N277" i="3"/>
  <c r="M277" i="3"/>
  <c r="G277" i="4" s="1"/>
  <c r="L277" i="3"/>
  <c r="C277" i="4" s="1"/>
  <c r="P276" i="3"/>
  <c r="F276" i="4" s="1"/>
  <c r="O276" i="3"/>
  <c r="H276" i="4" s="1"/>
  <c r="N276" i="3"/>
  <c r="M276" i="3"/>
  <c r="G276" i="4" s="1"/>
  <c r="L276" i="3"/>
  <c r="C276" i="4" s="1"/>
  <c r="Q275" i="3"/>
  <c r="E275" i="4" s="1"/>
  <c r="P275" i="3"/>
  <c r="F275" i="4" s="1"/>
  <c r="O275" i="3"/>
  <c r="H275" i="4" s="1"/>
  <c r="N275" i="3"/>
  <c r="M275" i="3"/>
  <c r="G275" i="4" s="1"/>
  <c r="L275" i="3"/>
  <c r="C275" i="4" s="1"/>
  <c r="P274" i="3"/>
  <c r="F274" i="4" s="1"/>
  <c r="O274" i="3"/>
  <c r="H274" i="4" s="1"/>
  <c r="N274" i="3"/>
  <c r="M274" i="3"/>
  <c r="G274" i="4" s="1"/>
  <c r="L274" i="3"/>
  <c r="P273" i="3"/>
  <c r="F273" i="4" s="1"/>
  <c r="O273" i="3"/>
  <c r="H273" i="4" s="1"/>
  <c r="N273" i="3"/>
  <c r="M273" i="3"/>
  <c r="G273" i="4" s="1"/>
  <c r="L273" i="3"/>
  <c r="C273" i="4" s="1"/>
  <c r="P272" i="3"/>
  <c r="F272" i="4" s="1"/>
  <c r="O272" i="3"/>
  <c r="H272" i="4" s="1"/>
  <c r="N272" i="3"/>
  <c r="M272" i="3"/>
  <c r="G272" i="4" s="1"/>
  <c r="L272" i="3"/>
  <c r="Q271" i="3"/>
  <c r="E271" i="4" s="1"/>
  <c r="P271" i="3"/>
  <c r="F271" i="4" s="1"/>
  <c r="O271" i="3"/>
  <c r="H271" i="4" s="1"/>
  <c r="N271" i="3"/>
  <c r="M271" i="3"/>
  <c r="G271" i="4" s="1"/>
  <c r="L271" i="3"/>
  <c r="C271" i="4" s="1"/>
  <c r="Q270" i="3"/>
  <c r="E270" i="4" s="1"/>
  <c r="P270" i="3"/>
  <c r="F270" i="4" s="1"/>
  <c r="O270" i="3"/>
  <c r="H270" i="4" s="1"/>
  <c r="N270" i="3"/>
  <c r="M270" i="3"/>
  <c r="G270" i="4" s="1"/>
  <c r="L270" i="3"/>
  <c r="R269" i="3"/>
  <c r="D269" i="4" s="1"/>
  <c r="Q269" i="3"/>
  <c r="E269" i="4" s="1"/>
  <c r="P269" i="3"/>
  <c r="F269" i="4" s="1"/>
  <c r="O269" i="3"/>
  <c r="H269" i="4" s="1"/>
  <c r="N269" i="3"/>
  <c r="M269" i="3"/>
  <c r="G269" i="4" s="1"/>
  <c r="L269" i="3"/>
  <c r="C269" i="4" s="1"/>
  <c r="P268" i="3"/>
  <c r="F268" i="4" s="1"/>
  <c r="O268" i="3"/>
  <c r="H268" i="4" s="1"/>
  <c r="N268" i="3"/>
  <c r="M268" i="3"/>
  <c r="G268" i="4" s="1"/>
  <c r="L268" i="3"/>
  <c r="P267" i="3"/>
  <c r="F267" i="4" s="1"/>
  <c r="O267" i="3"/>
  <c r="H267" i="4" s="1"/>
  <c r="N267" i="3"/>
  <c r="M267" i="3"/>
  <c r="G267" i="4" s="1"/>
  <c r="L267" i="3"/>
  <c r="Q267" i="3" s="1"/>
  <c r="E267" i="4" s="1"/>
  <c r="P266" i="3"/>
  <c r="F266" i="4" s="1"/>
  <c r="O266" i="3"/>
  <c r="H266" i="4" s="1"/>
  <c r="N266" i="3"/>
  <c r="M266" i="3"/>
  <c r="G266" i="4" s="1"/>
  <c r="L266" i="3"/>
  <c r="C266" i="4" s="1"/>
  <c r="Q265" i="3"/>
  <c r="E265" i="4" s="1"/>
  <c r="P265" i="3"/>
  <c r="F265" i="4" s="1"/>
  <c r="O265" i="3"/>
  <c r="N265" i="3"/>
  <c r="M265" i="3"/>
  <c r="G265" i="4" s="1"/>
  <c r="L265" i="3"/>
  <c r="C265" i="4" s="1"/>
  <c r="R264" i="3"/>
  <c r="D264" i="4" s="1"/>
  <c r="Q264" i="3"/>
  <c r="E264" i="4" s="1"/>
  <c r="P264" i="3"/>
  <c r="F264" i="4" s="1"/>
  <c r="O264" i="3"/>
  <c r="H264" i="4" s="1"/>
  <c r="N264" i="3"/>
  <c r="M264" i="3"/>
  <c r="G264" i="4" s="1"/>
  <c r="L264" i="3"/>
  <c r="C264" i="4" s="1"/>
  <c r="P263" i="3"/>
  <c r="F263" i="4" s="1"/>
  <c r="O263" i="3"/>
  <c r="H263" i="4" s="1"/>
  <c r="N263" i="3"/>
  <c r="M263" i="3"/>
  <c r="G263" i="4" s="1"/>
  <c r="L263" i="3"/>
  <c r="C263" i="4" s="1"/>
  <c r="P262" i="3"/>
  <c r="F262" i="4" s="1"/>
  <c r="O262" i="3"/>
  <c r="H262" i="4" s="1"/>
  <c r="N262" i="3"/>
  <c r="M262" i="3"/>
  <c r="G262" i="4" s="1"/>
  <c r="L262" i="3"/>
  <c r="Q261" i="3"/>
  <c r="E261" i="4" s="1"/>
  <c r="P261" i="3"/>
  <c r="F261" i="4" s="1"/>
  <c r="O261" i="3"/>
  <c r="N261" i="3"/>
  <c r="M261" i="3"/>
  <c r="G261" i="4" s="1"/>
  <c r="L261" i="3"/>
  <c r="C261" i="4" s="1"/>
  <c r="P260" i="3"/>
  <c r="F260" i="4" s="1"/>
  <c r="O260" i="3"/>
  <c r="H260" i="4" s="1"/>
  <c r="N260" i="3"/>
  <c r="M260" i="3"/>
  <c r="G260" i="4" s="1"/>
  <c r="L260" i="3"/>
  <c r="C260" i="4" s="1"/>
  <c r="Q259" i="3"/>
  <c r="E259" i="4" s="1"/>
  <c r="P259" i="3"/>
  <c r="F259" i="4" s="1"/>
  <c r="O259" i="3"/>
  <c r="H259" i="4" s="1"/>
  <c r="N259" i="3"/>
  <c r="M259" i="3"/>
  <c r="G259" i="4" s="1"/>
  <c r="L259" i="3"/>
  <c r="C259" i="4" s="1"/>
  <c r="P258" i="3"/>
  <c r="F258" i="4" s="1"/>
  <c r="O258" i="3"/>
  <c r="H258" i="4" s="1"/>
  <c r="N258" i="3"/>
  <c r="M258" i="3"/>
  <c r="G258" i="4" s="1"/>
  <c r="L258" i="3"/>
  <c r="P257" i="3"/>
  <c r="F257" i="4" s="1"/>
  <c r="O257" i="3"/>
  <c r="H257" i="4" s="1"/>
  <c r="N257" i="3"/>
  <c r="M257" i="3"/>
  <c r="G257" i="4" s="1"/>
  <c r="L257" i="3"/>
  <c r="C257" i="4" s="1"/>
  <c r="P256" i="3"/>
  <c r="F256" i="4" s="1"/>
  <c r="O256" i="3"/>
  <c r="H256" i="4" s="1"/>
  <c r="N256" i="3"/>
  <c r="M256" i="3"/>
  <c r="G256" i="4" s="1"/>
  <c r="L256" i="3"/>
  <c r="Q255" i="3"/>
  <c r="E255" i="4" s="1"/>
  <c r="P255" i="3"/>
  <c r="F255" i="4" s="1"/>
  <c r="O255" i="3"/>
  <c r="H255" i="4" s="1"/>
  <c r="N255" i="3"/>
  <c r="M255" i="3"/>
  <c r="G255" i="4" s="1"/>
  <c r="L255" i="3"/>
  <c r="C255" i="4" s="1"/>
  <c r="P254" i="3"/>
  <c r="F254" i="4" s="1"/>
  <c r="O254" i="3"/>
  <c r="H254" i="4" s="1"/>
  <c r="N254" i="3"/>
  <c r="M254" i="3"/>
  <c r="G254" i="4" s="1"/>
  <c r="L254" i="3"/>
  <c r="Q254" i="3" s="1"/>
  <c r="E254" i="4" s="1"/>
  <c r="P253" i="3"/>
  <c r="F253" i="4" s="1"/>
  <c r="O253" i="3"/>
  <c r="H253" i="4" s="1"/>
  <c r="N253" i="3"/>
  <c r="M253" i="3"/>
  <c r="G253" i="4" s="1"/>
  <c r="L253" i="3"/>
  <c r="C253" i="4" s="1"/>
  <c r="P252" i="3"/>
  <c r="F252" i="4" s="1"/>
  <c r="O252" i="3"/>
  <c r="H252" i="4" s="1"/>
  <c r="N252" i="3"/>
  <c r="M252" i="3"/>
  <c r="G252" i="4" s="1"/>
  <c r="L252" i="3"/>
  <c r="P251" i="3"/>
  <c r="F251" i="4" s="1"/>
  <c r="O251" i="3"/>
  <c r="H251" i="4" s="1"/>
  <c r="N251" i="3"/>
  <c r="M251" i="3"/>
  <c r="G251" i="4" s="1"/>
  <c r="L251" i="3"/>
  <c r="P250" i="3"/>
  <c r="F250" i="4" s="1"/>
  <c r="O250" i="3"/>
  <c r="H250" i="4" s="1"/>
  <c r="N250" i="3"/>
  <c r="M250" i="3"/>
  <c r="G250" i="4" s="1"/>
  <c r="L250" i="3"/>
  <c r="C250" i="4" s="1"/>
  <c r="Q249" i="3"/>
  <c r="E249" i="4" s="1"/>
  <c r="P249" i="3"/>
  <c r="F249" i="4" s="1"/>
  <c r="O249" i="3"/>
  <c r="N249" i="3"/>
  <c r="M249" i="3"/>
  <c r="G249" i="4" s="1"/>
  <c r="L249" i="3"/>
  <c r="C249" i="4" s="1"/>
  <c r="R248" i="3"/>
  <c r="D248" i="4" s="1"/>
  <c r="Q248" i="3"/>
  <c r="E248" i="4" s="1"/>
  <c r="P248" i="3"/>
  <c r="F248" i="4" s="1"/>
  <c r="O248" i="3"/>
  <c r="H248" i="4" s="1"/>
  <c r="N248" i="3"/>
  <c r="M248" i="3"/>
  <c r="G248" i="4" s="1"/>
  <c r="L248" i="3"/>
  <c r="C248" i="4" s="1"/>
  <c r="P247" i="3"/>
  <c r="F247" i="4" s="1"/>
  <c r="O247" i="3"/>
  <c r="H247" i="4" s="1"/>
  <c r="N247" i="3"/>
  <c r="M247" i="3"/>
  <c r="G247" i="4" s="1"/>
  <c r="L247" i="3"/>
  <c r="C247" i="4" s="1"/>
  <c r="P246" i="3"/>
  <c r="F246" i="4" s="1"/>
  <c r="O246" i="3"/>
  <c r="H246" i="4" s="1"/>
  <c r="N246" i="3"/>
  <c r="M246" i="3"/>
  <c r="G246" i="4" s="1"/>
  <c r="L246" i="3"/>
  <c r="Q245" i="3"/>
  <c r="E245" i="4" s="1"/>
  <c r="P245" i="3"/>
  <c r="F245" i="4" s="1"/>
  <c r="O245" i="3"/>
  <c r="N245" i="3"/>
  <c r="M245" i="3"/>
  <c r="G245" i="4" s="1"/>
  <c r="L245" i="3"/>
  <c r="C245" i="4" s="1"/>
  <c r="P244" i="3"/>
  <c r="F244" i="4" s="1"/>
  <c r="O244" i="3"/>
  <c r="H244" i="4" s="1"/>
  <c r="N244" i="3"/>
  <c r="M244" i="3"/>
  <c r="G244" i="4" s="1"/>
  <c r="L244" i="3"/>
  <c r="C244" i="4" s="1"/>
  <c r="Q243" i="3"/>
  <c r="E243" i="4" s="1"/>
  <c r="P243" i="3"/>
  <c r="F243" i="4" s="1"/>
  <c r="O243" i="3"/>
  <c r="H243" i="4" s="1"/>
  <c r="N243" i="3"/>
  <c r="M243" i="3"/>
  <c r="G243" i="4" s="1"/>
  <c r="L243" i="3"/>
  <c r="C243" i="4" s="1"/>
  <c r="P242" i="3"/>
  <c r="F242" i="4" s="1"/>
  <c r="O242" i="3"/>
  <c r="H242" i="4" s="1"/>
  <c r="N242" i="3"/>
  <c r="M242" i="3"/>
  <c r="G242" i="4" s="1"/>
  <c r="L242" i="3"/>
  <c r="P241" i="3"/>
  <c r="F241" i="4" s="1"/>
  <c r="O241" i="3"/>
  <c r="H241" i="4" s="1"/>
  <c r="N241" i="3"/>
  <c r="M241" i="3"/>
  <c r="G241" i="4" s="1"/>
  <c r="L241" i="3"/>
  <c r="C241" i="4" s="1"/>
  <c r="P240" i="3"/>
  <c r="F240" i="4" s="1"/>
  <c r="O240" i="3"/>
  <c r="H240" i="4" s="1"/>
  <c r="N240" i="3"/>
  <c r="M240" i="3"/>
  <c r="G240" i="4" s="1"/>
  <c r="L240" i="3"/>
  <c r="Q239" i="3"/>
  <c r="E239" i="4" s="1"/>
  <c r="P239" i="3"/>
  <c r="F239" i="4" s="1"/>
  <c r="O239" i="3"/>
  <c r="H239" i="4" s="1"/>
  <c r="N239" i="3"/>
  <c r="M239" i="3"/>
  <c r="G239" i="4" s="1"/>
  <c r="L239" i="3"/>
  <c r="C239" i="4" s="1"/>
  <c r="P238" i="3"/>
  <c r="F238" i="4" s="1"/>
  <c r="O238" i="3"/>
  <c r="H238" i="4" s="1"/>
  <c r="N238" i="3"/>
  <c r="M238" i="3"/>
  <c r="G238" i="4" s="1"/>
  <c r="L238" i="3"/>
  <c r="P237" i="3"/>
  <c r="F237" i="4" s="1"/>
  <c r="O237" i="3"/>
  <c r="H237" i="4" s="1"/>
  <c r="N237" i="3"/>
  <c r="M237" i="3"/>
  <c r="G237" i="4" s="1"/>
  <c r="L237" i="3"/>
  <c r="C237" i="4" s="1"/>
  <c r="P236" i="3"/>
  <c r="F236" i="4" s="1"/>
  <c r="O236" i="3"/>
  <c r="H236" i="4" s="1"/>
  <c r="N236" i="3"/>
  <c r="M236" i="3"/>
  <c r="G236" i="4" s="1"/>
  <c r="L236" i="3"/>
  <c r="P235" i="3"/>
  <c r="F235" i="4" s="1"/>
  <c r="O235" i="3"/>
  <c r="H235" i="4" s="1"/>
  <c r="N235" i="3"/>
  <c r="M235" i="3"/>
  <c r="G235" i="4" s="1"/>
  <c r="L235" i="3"/>
  <c r="P234" i="3"/>
  <c r="F234" i="4" s="1"/>
  <c r="O234" i="3"/>
  <c r="H234" i="4" s="1"/>
  <c r="N234" i="3"/>
  <c r="M234" i="3"/>
  <c r="G234" i="4" s="1"/>
  <c r="L234" i="3"/>
  <c r="C234" i="4" s="1"/>
  <c r="Q233" i="3"/>
  <c r="E233" i="4" s="1"/>
  <c r="P233" i="3"/>
  <c r="F233" i="4" s="1"/>
  <c r="O233" i="3"/>
  <c r="N233" i="3"/>
  <c r="M233" i="3"/>
  <c r="G233" i="4" s="1"/>
  <c r="L233" i="3"/>
  <c r="C233" i="4" s="1"/>
  <c r="Q232" i="3"/>
  <c r="E232" i="4" s="1"/>
  <c r="P232" i="3"/>
  <c r="F232" i="4" s="1"/>
  <c r="O232" i="3"/>
  <c r="H232" i="4" s="1"/>
  <c r="N232" i="3"/>
  <c r="M232" i="3"/>
  <c r="G232" i="4" s="1"/>
  <c r="L232" i="3"/>
  <c r="C232" i="4" s="1"/>
  <c r="P231" i="3"/>
  <c r="F231" i="4" s="1"/>
  <c r="O231" i="3"/>
  <c r="H231" i="4" s="1"/>
  <c r="N231" i="3"/>
  <c r="M231" i="3"/>
  <c r="G231" i="4" s="1"/>
  <c r="L231" i="3"/>
  <c r="C231" i="4" s="1"/>
  <c r="P230" i="3"/>
  <c r="F230" i="4" s="1"/>
  <c r="O230" i="3"/>
  <c r="H230" i="4" s="1"/>
  <c r="N230" i="3"/>
  <c r="M230" i="3"/>
  <c r="G230" i="4" s="1"/>
  <c r="L230" i="3"/>
  <c r="Q229" i="3"/>
  <c r="E229" i="4" s="1"/>
  <c r="P229" i="3"/>
  <c r="F229" i="4" s="1"/>
  <c r="O229" i="3"/>
  <c r="N229" i="3"/>
  <c r="M229" i="3"/>
  <c r="G229" i="4" s="1"/>
  <c r="L229" i="3"/>
  <c r="C229" i="4" s="1"/>
  <c r="Q228" i="3"/>
  <c r="E228" i="4" s="1"/>
  <c r="P228" i="3"/>
  <c r="F228" i="4" s="1"/>
  <c r="O228" i="3"/>
  <c r="H228" i="4" s="1"/>
  <c r="N228" i="3"/>
  <c r="M228" i="3"/>
  <c r="G228" i="4" s="1"/>
  <c r="L228" i="3"/>
  <c r="C228" i="4" s="1"/>
  <c r="Q227" i="3"/>
  <c r="E227" i="4" s="1"/>
  <c r="P227" i="3"/>
  <c r="F227" i="4" s="1"/>
  <c r="O227" i="3"/>
  <c r="H227" i="4" s="1"/>
  <c r="N227" i="3"/>
  <c r="M227" i="3"/>
  <c r="G227" i="4" s="1"/>
  <c r="L227" i="3"/>
  <c r="C227" i="4" s="1"/>
  <c r="P226" i="3"/>
  <c r="F226" i="4" s="1"/>
  <c r="O226" i="3"/>
  <c r="H226" i="4" s="1"/>
  <c r="N226" i="3"/>
  <c r="M226" i="3"/>
  <c r="G226" i="4" s="1"/>
  <c r="L226" i="3"/>
  <c r="P225" i="3"/>
  <c r="F225" i="4" s="1"/>
  <c r="O225" i="3"/>
  <c r="H225" i="4" s="1"/>
  <c r="N225" i="3"/>
  <c r="M225" i="3"/>
  <c r="G225" i="4" s="1"/>
  <c r="L225" i="3"/>
  <c r="C225" i="4" s="1"/>
  <c r="P224" i="3"/>
  <c r="F224" i="4" s="1"/>
  <c r="O224" i="3"/>
  <c r="H224" i="4" s="1"/>
  <c r="N224" i="3"/>
  <c r="M224" i="3"/>
  <c r="G224" i="4" s="1"/>
  <c r="L224" i="3"/>
  <c r="Q223" i="3"/>
  <c r="E223" i="4" s="1"/>
  <c r="P223" i="3"/>
  <c r="F223" i="4" s="1"/>
  <c r="O223" i="3"/>
  <c r="H223" i="4" s="1"/>
  <c r="N223" i="3"/>
  <c r="M223" i="3"/>
  <c r="G223" i="4" s="1"/>
  <c r="L223" i="3"/>
  <c r="C223" i="4" s="1"/>
  <c r="P222" i="3"/>
  <c r="F222" i="4" s="1"/>
  <c r="O222" i="3"/>
  <c r="H222" i="4" s="1"/>
  <c r="N222" i="3"/>
  <c r="M222" i="3"/>
  <c r="G222" i="4" s="1"/>
  <c r="L222" i="3"/>
  <c r="Q222" i="3" s="1"/>
  <c r="E222" i="4" s="1"/>
  <c r="P221" i="3"/>
  <c r="F221" i="4" s="1"/>
  <c r="O221" i="3"/>
  <c r="H221" i="4" s="1"/>
  <c r="N221" i="3"/>
  <c r="M221" i="3"/>
  <c r="G221" i="4" s="1"/>
  <c r="L221" i="3"/>
  <c r="C221" i="4" s="1"/>
  <c r="P220" i="3"/>
  <c r="F220" i="4" s="1"/>
  <c r="O220" i="3"/>
  <c r="H220" i="4" s="1"/>
  <c r="N220" i="3"/>
  <c r="M220" i="3"/>
  <c r="G220" i="4" s="1"/>
  <c r="L220" i="3"/>
  <c r="P219" i="3"/>
  <c r="F219" i="4" s="1"/>
  <c r="O219" i="3"/>
  <c r="H219" i="4" s="1"/>
  <c r="N219" i="3"/>
  <c r="M219" i="3"/>
  <c r="G219" i="4" s="1"/>
  <c r="L219" i="3"/>
  <c r="Q218" i="3"/>
  <c r="E218" i="4" s="1"/>
  <c r="P218" i="3"/>
  <c r="F218" i="4" s="1"/>
  <c r="O218" i="3"/>
  <c r="H218" i="4" s="1"/>
  <c r="N218" i="3"/>
  <c r="M218" i="3"/>
  <c r="G218" i="4" s="1"/>
  <c r="L218" i="3"/>
  <c r="C218" i="4" s="1"/>
  <c r="Q217" i="3"/>
  <c r="E217" i="4" s="1"/>
  <c r="P217" i="3"/>
  <c r="F217" i="4" s="1"/>
  <c r="O217" i="3"/>
  <c r="N217" i="3"/>
  <c r="M217" i="3"/>
  <c r="G217" i="4" s="1"/>
  <c r="L217" i="3"/>
  <c r="C217" i="4" s="1"/>
  <c r="Q216" i="3"/>
  <c r="E216" i="4" s="1"/>
  <c r="P216" i="3"/>
  <c r="F216" i="4" s="1"/>
  <c r="O216" i="3"/>
  <c r="H216" i="4" s="1"/>
  <c r="N216" i="3"/>
  <c r="M216" i="3"/>
  <c r="G216" i="4" s="1"/>
  <c r="L216" i="3"/>
  <c r="C216" i="4" s="1"/>
  <c r="P215" i="3"/>
  <c r="F215" i="4" s="1"/>
  <c r="O215" i="3"/>
  <c r="H215" i="4" s="1"/>
  <c r="N215" i="3"/>
  <c r="M215" i="3"/>
  <c r="G215" i="4" s="1"/>
  <c r="L215" i="3"/>
  <c r="C215" i="4" s="1"/>
  <c r="P214" i="3"/>
  <c r="F214" i="4" s="1"/>
  <c r="O214" i="3"/>
  <c r="H214" i="4" s="1"/>
  <c r="N214" i="3"/>
  <c r="M214" i="3"/>
  <c r="G214" i="4" s="1"/>
  <c r="L214" i="3"/>
  <c r="Q213" i="3"/>
  <c r="E213" i="4" s="1"/>
  <c r="P213" i="3"/>
  <c r="F213" i="4" s="1"/>
  <c r="O213" i="3"/>
  <c r="N213" i="3"/>
  <c r="M213" i="3"/>
  <c r="G213" i="4" s="1"/>
  <c r="L213" i="3"/>
  <c r="C213" i="4" s="1"/>
  <c r="Q212" i="3"/>
  <c r="E212" i="4" s="1"/>
  <c r="P212" i="3"/>
  <c r="F212" i="4" s="1"/>
  <c r="O212" i="3"/>
  <c r="H212" i="4" s="1"/>
  <c r="N212" i="3"/>
  <c r="M212" i="3"/>
  <c r="G212" i="4" s="1"/>
  <c r="L212" i="3"/>
  <c r="C212" i="4" s="1"/>
  <c r="Q211" i="3"/>
  <c r="E211" i="4" s="1"/>
  <c r="P211" i="3"/>
  <c r="F211" i="4" s="1"/>
  <c r="O211" i="3"/>
  <c r="H211" i="4" s="1"/>
  <c r="N211" i="3"/>
  <c r="M211" i="3"/>
  <c r="G211" i="4" s="1"/>
  <c r="L211" i="3"/>
  <c r="C211" i="4" s="1"/>
  <c r="P210" i="3"/>
  <c r="F210" i="4" s="1"/>
  <c r="O210" i="3"/>
  <c r="H210" i="4" s="1"/>
  <c r="N210" i="3"/>
  <c r="M210" i="3"/>
  <c r="G210" i="4" s="1"/>
  <c r="L210" i="3"/>
  <c r="P209" i="3"/>
  <c r="F209" i="4" s="1"/>
  <c r="O209" i="3"/>
  <c r="H209" i="4" s="1"/>
  <c r="N209" i="3"/>
  <c r="M209" i="3"/>
  <c r="G209" i="4" s="1"/>
  <c r="L209" i="3"/>
  <c r="C209" i="4" s="1"/>
  <c r="P208" i="3"/>
  <c r="F208" i="4" s="1"/>
  <c r="O208" i="3"/>
  <c r="H208" i="4" s="1"/>
  <c r="N208" i="3"/>
  <c r="M208" i="3"/>
  <c r="G208" i="4" s="1"/>
  <c r="L208" i="3"/>
  <c r="Q207" i="3"/>
  <c r="E207" i="4" s="1"/>
  <c r="P207" i="3"/>
  <c r="F207" i="4" s="1"/>
  <c r="O207" i="3"/>
  <c r="H207" i="4" s="1"/>
  <c r="N207" i="3"/>
  <c r="M207" i="3"/>
  <c r="G207" i="4" s="1"/>
  <c r="L207" i="3"/>
  <c r="C207" i="4" s="1"/>
  <c r="P206" i="3"/>
  <c r="F206" i="4" s="1"/>
  <c r="O206" i="3"/>
  <c r="H206" i="4" s="1"/>
  <c r="N206" i="3"/>
  <c r="M206" i="3"/>
  <c r="G206" i="4" s="1"/>
  <c r="L206" i="3"/>
  <c r="P205" i="3"/>
  <c r="F205" i="4" s="1"/>
  <c r="O205" i="3"/>
  <c r="H205" i="4" s="1"/>
  <c r="N205" i="3"/>
  <c r="M205" i="3"/>
  <c r="G205" i="4" s="1"/>
  <c r="L205" i="3"/>
  <c r="C205" i="4" s="1"/>
  <c r="P204" i="3"/>
  <c r="F204" i="4" s="1"/>
  <c r="O204" i="3"/>
  <c r="H204" i="4" s="1"/>
  <c r="N204" i="3"/>
  <c r="M204" i="3"/>
  <c r="G204" i="4" s="1"/>
  <c r="L204" i="3"/>
  <c r="Q203" i="3"/>
  <c r="E203" i="4" s="1"/>
  <c r="P203" i="3"/>
  <c r="F203" i="4" s="1"/>
  <c r="O203" i="3"/>
  <c r="H203" i="4" s="1"/>
  <c r="N203" i="3"/>
  <c r="M203" i="3"/>
  <c r="G203" i="4" s="1"/>
  <c r="L203" i="3"/>
  <c r="Q202" i="3"/>
  <c r="E202" i="4" s="1"/>
  <c r="P202" i="3"/>
  <c r="F202" i="4" s="1"/>
  <c r="O202" i="3"/>
  <c r="H202" i="4" s="1"/>
  <c r="N202" i="3"/>
  <c r="M202" i="3"/>
  <c r="G202" i="4" s="1"/>
  <c r="L202" i="3"/>
  <c r="C202" i="4" s="1"/>
  <c r="Q201" i="3"/>
  <c r="E201" i="4" s="1"/>
  <c r="P201" i="3"/>
  <c r="F201" i="4" s="1"/>
  <c r="O201" i="3"/>
  <c r="N201" i="3"/>
  <c r="M201" i="3"/>
  <c r="G201" i="4" s="1"/>
  <c r="L201" i="3"/>
  <c r="C201" i="4" s="1"/>
  <c r="R200" i="3"/>
  <c r="D200" i="4" s="1"/>
  <c r="Q200" i="3"/>
  <c r="E200" i="4" s="1"/>
  <c r="P200" i="3"/>
  <c r="F200" i="4" s="1"/>
  <c r="O200" i="3"/>
  <c r="H200" i="4" s="1"/>
  <c r="N200" i="3"/>
  <c r="M200" i="3"/>
  <c r="G200" i="4" s="1"/>
  <c r="L200" i="3"/>
  <c r="C200" i="4" s="1"/>
  <c r="P199" i="3"/>
  <c r="F199" i="4" s="1"/>
  <c r="O199" i="3"/>
  <c r="H199" i="4" s="1"/>
  <c r="N199" i="3"/>
  <c r="M199" i="3"/>
  <c r="G199" i="4" s="1"/>
  <c r="L199" i="3"/>
  <c r="C199" i="4" s="1"/>
  <c r="P198" i="3"/>
  <c r="F198" i="4" s="1"/>
  <c r="O198" i="3"/>
  <c r="H198" i="4" s="1"/>
  <c r="N198" i="3"/>
  <c r="M198" i="3"/>
  <c r="G198" i="4" s="1"/>
  <c r="L198" i="3"/>
  <c r="Q197" i="3"/>
  <c r="E197" i="4" s="1"/>
  <c r="P197" i="3"/>
  <c r="F197" i="4" s="1"/>
  <c r="O197" i="3"/>
  <c r="N197" i="3"/>
  <c r="M197" i="3"/>
  <c r="G197" i="4" s="1"/>
  <c r="L197" i="3"/>
  <c r="C197" i="4" s="1"/>
  <c r="Q196" i="3"/>
  <c r="E196" i="4" s="1"/>
  <c r="P196" i="3"/>
  <c r="F196" i="4" s="1"/>
  <c r="O196" i="3"/>
  <c r="H196" i="4" s="1"/>
  <c r="N196" i="3"/>
  <c r="M196" i="3"/>
  <c r="G196" i="4" s="1"/>
  <c r="L196" i="3"/>
  <c r="C196" i="4" s="1"/>
  <c r="Q195" i="3"/>
  <c r="E195" i="4" s="1"/>
  <c r="P195" i="3"/>
  <c r="F195" i="4" s="1"/>
  <c r="O195" i="3"/>
  <c r="H195" i="4" s="1"/>
  <c r="N195" i="3"/>
  <c r="M195" i="3"/>
  <c r="G195" i="4" s="1"/>
  <c r="L195" i="3"/>
  <c r="C195" i="4" s="1"/>
  <c r="P194" i="3"/>
  <c r="F194" i="4" s="1"/>
  <c r="O194" i="3"/>
  <c r="H194" i="4" s="1"/>
  <c r="N194" i="3"/>
  <c r="M194" i="3"/>
  <c r="G194" i="4" s="1"/>
  <c r="L194" i="3"/>
  <c r="P193" i="3"/>
  <c r="F193" i="4" s="1"/>
  <c r="O193" i="3"/>
  <c r="H193" i="4" s="1"/>
  <c r="N193" i="3"/>
  <c r="M193" i="3"/>
  <c r="G193" i="4" s="1"/>
  <c r="L193" i="3"/>
  <c r="C193" i="4" s="1"/>
  <c r="P192" i="3"/>
  <c r="F192" i="4" s="1"/>
  <c r="O192" i="3"/>
  <c r="H192" i="4" s="1"/>
  <c r="N192" i="3"/>
  <c r="M192" i="3"/>
  <c r="G192" i="4" s="1"/>
  <c r="L192" i="3"/>
  <c r="Q191" i="3"/>
  <c r="E191" i="4" s="1"/>
  <c r="P191" i="3"/>
  <c r="F191" i="4" s="1"/>
  <c r="O191" i="3"/>
  <c r="H191" i="4" s="1"/>
  <c r="N191" i="3"/>
  <c r="M191" i="3"/>
  <c r="G191" i="4" s="1"/>
  <c r="L191" i="3"/>
  <c r="C191" i="4" s="1"/>
  <c r="P190" i="3"/>
  <c r="F190" i="4" s="1"/>
  <c r="O190" i="3"/>
  <c r="H190" i="4" s="1"/>
  <c r="N190" i="3"/>
  <c r="M190" i="3"/>
  <c r="G190" i="4" s="1"/>
  <c r="L190" i="3"/>
  <c r="Q190" i="3" s="1"/>
  <c r="E190" i="4" s="1"/>
  <c r="P189" i="3"/>
  <c r="F189" i="4" s="1"/>
  <c r="O189" i="3"/>
  <c r="H189" i="4" s="1"/>
  <c r="N189" i="3"/>
  <c r="M189" i="3"/>
  <c r="G189" i="4" s="1"/>
  <c r="L189" i="3"/>
  <c r="C189" i="4" s="1"/>
  <c r="P188" i="3"/>
  <c r="F188" i="4" s="1"/>
  <c r="O188" i="3"/>
  <c r="H188" i="4" s="1"/>
  <c r="N188" i="3"/>
  <c r="M188" i="3"/>
  <c r="G188" i="4" s="1"/>
  <c r="L188" i="3"/>
  <c r="Q187" i="3"/>
  <c r="E187" i="4" s="1"/>
  <c r="P187" i="3"/>
  <c r="F187" i="4" s="1"/>
  <c r="O187" i="3"/>
  <c r="H187" i="4" s="1"/>
  <c r="N187" i="3"/>
  <c r="M187" i="3"/>
  <c r="G187" i="4" s="1"/>
  <c r="L187" i="3"/>
  <c r="Q186" i="3"/>
  <c r="E186" i="4" s="1"/>
  <c r="P186" i="3"/>
  <c r="F186" i="4" s="1"/>
  <c r="O186" i="3"/>
  <c r="H186" i="4" s="1"/>
  <c r="N186" i="3"/>
  <c r="M186" i="3"/>
  <c r="G186" i="4" s="1"/>
  <c r="L186" i="3"/>
  <c r="C186" i="4" s="1"/>
  <c r="Q185" i="3"/>
  <c r="E185" i="4" s="1"/>
  <c r="P185" i="3"/>
  <c r="F185" i="4" s="1"/>
  <c r="O185" i="3"/>
  <c r="N185" i="3"/>
  <c r="M185" i="3"/>
  <c r="G185" i="4" s="1"/>
  <c r="L185" i="3"/>
  <c r="C185" i="4" s="1"/>
  <c r="Q184" i="3"/>
  <c r="E184" i="4" s="1"/>
  <c r="P184" i="3"/>
  <c r="F184" i="4" s="1"/>
  <c r="O184" i="3"/>
  <c r="H184" i="4" s="1"/>
  <c r="N184" i="3"/>
  <c r="M184" i="3"/>
  <c r="G184" i="4" s="1"/>
  <c r="L184" i="3"/>
  <c r="C184" i="4" s="1"/>
  <c r="P183" i="3"/>
  <c r="F183" i="4" s="1"/>
  <c r="O183" i="3"/>
  <c r="H183" i="4" s="1"/>
  <c r="N183" i="3"/>
  <c r="M183" i="3"/>
  <c r="G183" i="4" s="1"/>
  <c r="L183" i="3"/>
  <c r="C183" i="4" s="1"/>
  <c r="P182" i="3"/>
  <c r="F182" i="4" s="1"/>
  <c r="O182" i="3"/>
  <c r="H182" i="4" s="1"/>
  <c r="N182" i="3"/>
  <c r="M182" i="3"/>
  <c r="G182" i="4" s="1"/>
  <c r="L182" i="3"/>
  <c r="Q181" i="3"/>
  <c r="E181" i="4" s="1"/>
  <c r="P181" i="3"/>
  <c r="F181" i="4" s="1"/>
  <c r="O181" i="3"/>
  <c r="N181" i="3"/>
  <c r="M181" i="3"/>
  <c r="G181" i="4" s="1"/>
  <c r="L181" i="3"/>
  <c r="C181" i="4" s="1"/>
  <c r="Q180" i="3"/>
  <c r="E180" i="4" s="1"/>
  <c r="P180" i="3"/>
  <c r="F180" i="4" s="1"/>
  <c r="O180" i="3"/>
  <c r="H180" i="4" s="1"/>
  <c r="N180" i="3"/>
  <c r="M180" i="3"/>
  <c r="G180" i="4" s="1"/>
  <c r="L180" i="3"/>
  <c r="C180" i="4" s="1"/>
  <c r="Q179" i="3"/>
  <c r="E179" i="4" s="1"/>
  <c r="P179" i="3"/>
  <c r="F179" i="4" s="1"/>
  <c r="O179" i="3"/>
  <c r="H179" i="4" s="1"/>
  <c r="N179" i="3"/>
  <c r="M179" i="3"/>
  <c r="G179" i="4" s="1"/>
  <c r="L179" i="3"/>
  <c r="C179" i="4" s="1"/>
  <c r="P178" i="3"/>
  <c r="F178" i="4" s="1"/>
  <c r="O178" i="3"/>
  <c r="H178" i="4" s="1"/>
  <c r="N178" i="3"/>
  <c r="M178" i="3"/>
  <c r="G178" i="4" s="1"/>
  <c r="L178" i="3"/>
  <c r="P177" i="3"/>
  <c r="F177" i="4" s="1"/>
  <c r="O177" i="3"/>
  <c r="H177" i="4" s="1"/>
  <c r="N177" i="3"/>
  <c r="M177" i="3"/>
  <c r="G177" i="4" s="1"/>
  <c r="L177" i="3"/>
  <c r="C177" i="4" s="1"/>
  <c r="P176" i="3"/>
  <c r="F176" i="4" s="1"/>
  <c r="O176" i="3"/>
  <c r="H176" i="4" s="1"/>
  <c r="N176" i="3"/>
  <c r="M176" i="3"/>
  <c r="G176" i="4" s="1"/>
  <c r="L176" i="3"/>
  <c r="Q175" i="3"/>
  <c r="E175" i="4" s="1"/>
  <c r="P175" i="3"/>
  <c r="F175" i="4" s="1"/>
  <c r="O175" i="3"/>
  <c r="H175" i="4" s="1"/>
  <c r="N175" i="3"/>
  <c r="M175" i="3"/>
  <c r="G175" i="4" s="1"/>
  <c r="L175" i="3"/>
  <c r="C175" i="4" s="1"/>
  <c r="P174" i="3"/>
  <c r="F174" i="4" s="1"/>
  <c r="O174" i="3"/>
  <c r="H174" i="4" s="1"/>
  <c r="N174" i="3"/>
  <c r="M174" i="3"/>
  <c r="G174" i="4" s="1"/>
  <c r="L174" i="3"/>
  <c r="P173" i="3"/>
  <c r="F173" i="4" s="1"/>
  <c r="O173" i="3"/>
  <c r="H173" i="4" s="1"/>
  <c r="N173" i="3"/>
  <c r="M173" i="3"/>
  <c r="G173" i="4" s="1"/>
  <c r="L173" i="3"/>
  <c r="C173" i="4" s="1"/>
  <c r="P172" i="3"/>
  <c r="F172" i="4" s="1"/>
  <c r="O172" i="3"/>
  <c r="H172" i="4" s="1"/>
  <c r="N172" i="3"/>
  <c r="M172" i="3"/>
  <c r="G172" i="4" s="1"/>
  <c r="L172" i="3"/>
  <c r="Q171" i="3"/>
  <c r="E171" i="4" s="1"/>
  <c r="P171" i="3"/>
  <c r="F171" i="4" s="1"/>
  <c r="O171" i="3"/>
  <c r="H171" i="4" s="1"/>
  <c r="N171" i="3"/>
  <c r="M171" i="3"/>
  <c r="G171" i="4" s="1"/>
  <c r="L171" i="3"/>
  <c r="Q170" i="3"/>
  <c r="E170" i="4" s="1"/>
  <c r="P170" i="3"/>
  <c r="F170" i="4" s="1"/>
  <c r="O170" i="3"/>
  <c r="H170" i="4" s="1"/>
  <c r="N170" i="3"/>
  <c r="M170" i="3"/>
  <c r="G170" i="4" s="1"/>
  <c r="L170" i="3"/>
  <c r="C170" i="4" s="1"/>
  <c r="Q169" i="3"/>
  <c r="E169" i="4" s="1"/>
  <c r="P169" i="3"/>
  <c r="F169" i="4" s="1"/>
  <c r="O169" i="3"/>
  <c r="N169" i="3"/>
  <c r="M169" i="3"/>
  <c r="G169" i="4" s="1"/>
  <c r="L169" i="3"/>
  <c r="C169" i="4" s="1"/>
  <c r="P168" i="3"/>
  <c r="F168" i="4" s="1"/>
  <c r="O168" i="3"/>
  <c r="H168" i="4" s="1"/>
  <c r="N168" i="3"/>
  <c r="M168" i="3"/>
  <c r="G168" i="4" s="1"/>
  <c r="L168" i="3"/>
  <c r="C168" i="4" s="1"/>
  <c r="P167" i="3"/>
  <c r="F167" i="4" s="1"/>
  <c r="O167" i="3"/>
  <c r="H167" i="4" s="1"/>
  <c r="N167" i="3"/>
  <c r="M167" i="3"/>
  <c r="G167" i="4" s="1"/>
  <c r="L167" i="3"/>
  <c r="C167" i="4" s="1"/>
  <c r="P166" i="3"/>
  <c r="F166" i="4" s="1"/>
  <c r="O166" i="3"/>
  <c r="H166" i="4" s="1"/>
  <c r="N166" i="3"/>
  <c r="M166" i="3"/>
  <c r="G166" i="4" s="1"/>
  <c r="L166" i="3"/>
  <c r="Q165" i="3"/>
  <c r="E165" i="4" s="1"/>
  <c r="P165" i="3"/>
  <c r="F165" i="4" s="1"/>
  <c r="O165" i="3"/>
  <c r="N165" i="3"/>
  <c r="M165" i="3"/>
  <c r="G165" i="4" s="1"/>
  <c r="L165" i="3"/>
  <c r="C165" i="4" s="1"/>
  <c r="P164" i="3"/>
  <c r="F164" i="4" s="1"/>
  <c r="O164" i="3"/>
  <c r="H164" i="4" s="1"/>
  <c r="N164" i="3"/>
  <c r="M164" i="3"/>
  <c r="G164" i="4" s="1"/>
  <c r="L164" i="3"/>
  <c r="C164" i="4" s="1"/>
  <c r="Q163" i="3"/>
  <c r="E163" i="4" s="1"/>
  <c r="P163" i="3"/>
  <c r="F163" i="4" s="1"/>
  <c r="O163" i="3"/>
  <c r="H163" i="4" s="1"/>
  <c r="N163" i="3"/>
  <c r="M163" i="3"/>
  <c r="G163" i="4" s="1"/>
  <c r="L163" i="3"/>
  <c r="C163" i="4" s="1"/>
  <c r="P162" i="3"/>
  <c r="F162" i="4" s="1"/>
  <c r="O162" i="3"/>
  <c r="H162" i="4" s="1"/>
  <c r="N162" i="3"/>
  <c r="M162" i="3"/>
  <c r="G162" i="4" s="1"/>
  <c r="L162" i="3"/>
  <c r="P161" i="3"/>
  <c r="F161" i="4" s="1"/>
  <c r="O161" i="3"/>
  <c r="H161" i="4" s="1"/>
  <c r="N161" i="3"/>
  <c r="M161" i="3"/>
  <c r="G161" i="4" s="1"/>
  <c r="L161" i="3"/>
  <c r="C161" i="4" s="1"/>
  <c r="P160" i="3"/>
  <c r="F160" i="4" s="1"/>
  <c r="O160" i="3"/>
  <c r="H160" i="4" s="1"/>
  <c r="N160" i="3"/>
  <c r="M160" i="3"/>
  <c r="G160" i="4" s="1"/>
  <c r="L160" i="3"/>
  <c r="Q159" i="3"/>
  <c r="E159" i="4" s="1"/>
  <c r="P159" i="3"/>
  <c r="F159" i="4" s="1"/>
  <c r="O159" i="3"/>
  <c r="H159" i="4" s="1"/>
  <c r="N159" i="3"/>
  <c r="M159" i="3"/>
  <c r="G159" i="4" s="1"/>
  <c r="L159" i="3"/>
  <c r="C159" i="4" s="1"/>
  <c r="R158" i="3"/>
  <c r="D158" i="4" s="1"/>
  <c r="Q158" i="3"/>
  <c r="E158" i="4" s="1"/>
  <c r="P158" i="3"/>
  <c r="F158" i="4" s="1"/>
  <c r="O158" i="3"/>
  <c r="H158" i="4" s="1"/>
  <c r="N158" i="3"/>
  <c r="M158" i="3"/>
  <c r="G158" i="4" s="1"/>
  <c r="L158" i="3"/>
  <c r="C158" i="4" s="1"/>
  <c r="Q157" i="3"/>
  <c r="E157" i="4" s="1"/>
  <c r="P157" i="3"/>
  <c r="F157" i="4" s="1"/>
  <c r="O157" i="3"/>
  <c r="H157" i="4" s="1"/>
  <c r="N157" i="3"/>
  <c r="M157" i="3"/>
  <c r="G157" i="4" s="1"/>
  <c r="L157" i="3"/>
  <c r="C157" i="4" s="1"/>
  <c r="Q156" i="3"/>
  <c r="E156" i="4" s="1"/>
  <c r="P156" i="3"/>
  <c r="F156" i="4" s="1"/>
  <c r="O156" i="3"/>
  <c r="H156" i="4" s="1"/>
  <c r="N156" i="3"/>
  <c r="M156" i="3"/>
  <c r="G156" i="4" s="1"/>
  <c r="L156" i="3"/>
  <c r="C156" i="4" s="1"/>
  <c r="Q155" i="3"/>
  <c r="E155" i="4" s="1"/>
  <c r="P155" i="3"/>
  <c r="F155" i="4" s="1"/>
  <c r="O155" i="3"/>
  <c r="H155" i="4" s="1"/>
  <c r="N155" i="3"/>
  <c r="M155" i="3"/>
  <c r="G155" i="4" s="1"/>
  <c r="L155" i="3"/>
  <c r="Q154" i="3"/>
  <c r="E154" i="4" s="1"/>
  <c r="P154" i="3"/>
  <c r="F154" i="4" s="1"/>
  <c r="O154" i="3"/>
  <c r="H154" i="4" s="1"/>
  <c r="N154" i="3"/>
  <c r="M154" i="3"/>
  <c r="G154" i="4" s="1"/>
  <c r="L154" i="3"/>
  <c r="C154" i="4" s="1"/>
  <c r="Q153" i="3"/>
  <c r="E153" i="4" s="1"/>
  <c r="P153" i="3"/>
  <c r="F153" i="4" s="1"/>
  <c r="O153" i="3"/>
  <c r="H153" i="4" s="1"/>
  <c r="N153" i="3"/>
  <c r="M153" i="3"/>
  <c r="G153" i="4" s="1"/>
  <c r="L153" i="3"/>
  <c r="C153" i="4" s="1"/>
  <c r="P152" i="3"/>
  <c r="F152" i="4" s="1"/>
  <c r="O152" i="3"/>
  <c r="H152" i="4" s="1"/>
  <c r="N152" i="3"/>
  <c r="M152" i="3"/>
  <c r="G152" i="4" s="1"/>
  <c r="L152" i="3"/>
  <c r="C152" i="4" s="1"/>
  <c r="Q151" i="3"/>
  <c r="E151" i="4" s="1"/>
  <c r="P151" i="3"/>
  <c r="F151" i="4" s="1"/>
  <c r="O151" i="3"/>
  <c r="H151" i="4" s="1"/>
  <c r="N151" i="3"/>
  <c r="M151" i="3"/>
  <c r="G151" i="4" s="1"/>
  <c r="L151" i="3"/>
  <c r="C151" i="4" s="1"/>
  <c r="P150" i="3"/>
  <c r="F150" i="4" s="1"/>
  <c r="O150" i="3"/>
  <c r="H150" i="4" s="1"/>
  <c r="N150" i="3"/>
  <c r="M150" i="3"/>
  <c r="G150" i="4" s="1"/>
  <c r="L150" i="3"/>
  <c r="Q149" i="3"/>
  <c r="E149" i="4" s="1"/>
  <c r="P149" i="3"/>
  <c r="F149" i="4" s="1"/>
  <c r="O149" i="3"/>
  <c r="H149" i="4" s="1"/>
  <c r="N149" i="3"/>
  <c r="M149" i="3"/>
  <c r="G149" i="4" s="1"/>
  <c r="L149" i="3"/>
  <c r="C149" i="4" s="1"/>
  <c r="Q148" i="3"/>
  <c r="E148" i="4" s="1"/>
  <c r="P148" i="3"/>
  <c r="F148" i="4" s="1"/>
  <c r="O148" i="3"/>
  <c r="H148" i="4" s="1"/>
  <c r="N148" i="3"/>
  <c r="M148" i="3"/>
  <c r="G148" i="4" s="1"/>
  <c r="L148" i="3"/>
  <c r="C148" i="4" s="1"/>
  <c r="P147" i="3"/>
  <c r="F147" i="4" s="1"/>
  <c r="O147" i="3"/>
  <c r="H147" i="4" s="1"/>
  <c r="N147" i="3"/>
  <c r="M147" i="3"/>
  <c r="G147" i="4" s="1"/>
  <c r="L147" i="3"/>
  <c r="C147" i="4" s="1"/>
  <c r="Q146" i="3"/>
  <c r="E146" i="4" s="1"/>
  <c r="P146" i="3"/>
  <c r="F146" i="4" s="1"/>
  <c r="O146" i="3"/>
  <c r="H146" i="4" s="1"/>
  <c r="N146" i="3"/>
  <c r="M146" i="3"/>
  <c r="G146" i="4" s="1"/>
  <c r="L146" i="3"/>
  <c r="C146" i="4" s="1"/>
  <c r="P145" i="3"/>
  <c r="F145" i="4" s="1"/>
  <c r="O145" i="3"/>
  <c r="H145" i="4" s="1"/>
  <c r="N145" i="3"/>
  <c r="M145" i="3"/>
  <c r="G145" i="4" s="1"/>
  <c r="L145" i="3"/>
  <c r="C145" i="4" s="1"/>
  <c r="Q144" i="3"/>
  <c r="E144" i="4" s="1"/>
  <c r="P144" i="3"/>
  <c r="F144" i="4" s="1"/>
  <c r="O144" i="3"/>
  <c r="H144" i="4" s="1"/>
  <c r="N144" i="3"/>
  <c r="M144" i="3"/>
  <c r="G144" i="4" s="1"/>
  <c r="L144" i="3"/>
  <c r="C144" i="4" s="1"/>
  <c r="P143" i="3"/>
  <c r="F143" i="4" s="1"/>
  <c r="O143" i="3"/>
  <c r="H143" i="4" s="1"/>
  <c r="N143" i="3"/>
  <c r="M143" i="3"/>
  <c r="G143" i="4" s="1"/>
  <c r="L143" i="3"/>
  <c r="C143" i="4" s="1"/>
  <c r="Q142" i="3"/>
  <c r="E142" i="4" s="1"/>
  <c r="P142" i="3"/>
  <c r="F142" i="4" s="1"/>
  <c r="O142" i="3"/>
  <c r="H142" i="4" s="1"/>
  <c r="N142" i="3"/>
  <c r="M142" i="3"/>
  <c r="G142" i="4" s="1"/>
  <c r="L142" i="3"/>
  <c r="C142" i="4" s="1"/>
  <c r="P141" i="3"/>
  <c r="F141" i="4" s="1"/>
  <c r="O141" i="3"/>
  <c r="H141" i="4" s="1"/>
  <c r="N141" i="3"/>
  <c r="M141" i="3"/>
  <c r="G141" i="4" s="1"/>
  <c r="L141" i="3"/>
  <c r="C141" i="4" s="1"/>
  <c r="Q140" i="3"/>
  <c r="E140" i="4" s="1"/>
  <c r="P140" i="3"/>
  <c r="F140" i="4" s="1"/>
  <c r="O140" i="3"/>
  <c r="H140" i="4" s="1"/>
  <c r="N140" i="3"/>
  <c r="M140" i="3"/>
  <c r="G140" i="4" s="1"/>
  <c r="L140" i="3"/>
  <c r="C140" i="4" s="1"/>
  <c r="P139" i="3"/>
  <c r="F139" i="4" s="1"/>
  <c r="O139" i="3"/>
  <c r="H139" i="4" s="1"/>
  <c r="N139" i="3"/>
  <c r="M139" i="3"/>
  <c r="G139" i="4" s="1"/>
  <c r="L139" i="3"/>
  <c r="C139" i="4" s="1"/>
  <c r="P138" i="3"/>
  <c r="F138" i="4" s="1"/>
  <c r="O138" i="3"/>
  <c r="H138" i="4" s="1"/>
  <c r="N138" i="3"/>
  <c r="M138" i="3"/>
  <c r="G138" i="4" s="1"/>
  <c r="L138" i="3"/>
  <c r="C138" i="4" s="1"/>
  <c r="P137" i="3"/>
  <c r="F137" i="4" s="1"/>
  <c r="O137" i="3"/>
  <c r="H137" i="4" s="1"/>
  <c r="N137" i="3"/>
  <c r="M137" i="3"/>
  <c r="G137" i="4" s="1"/>
  <c r="L137" i="3"/>
  <c r="C137" i="4" s="1"/>
  <c r="P136" i="3"/>
  <c r="F136" i="4" s="1"/>
  <c r="O136" i="3"/>
  <c r="H136" i="4" s="1"/>
  <c r="N136" i="3"/>
  <c r="M136" i="3"/>
  <c r="G136" i="4" s="1"/>
  <c r="L136" i="3"/>
  <c r="C136" i="4" s="1"/>
  <c r="P135" i="3"/>
  <c r="F135" i="4" s="1"/>
  <c r="O135" i="3"/>
  <c r="H135" i="4" s="1"/>
  <c r="N135" i="3"/>
  <c r="M135" i="3"/>
  <c r="G135" i="4" s="1"/>
  <c r="L135" i="3"/>
  <c r="C135" i="4" s="1"/>
  <c r="P134" i="3"/>
  <c r="F134" i="4" s="1"/>
  <c r="O134" i="3"/>
  <c r="H134" i="4" s="1"/>
  <c r="N134" i="3"/>
  <c r="M134" i="3"/>
  <c r="G134" i="4" s="1"/>
  <c r="L134" i="3"/>
  <c r="C134" i="4" s="1"/>
  <c r="P133" i="3"/>
  <c r="F133" i="4" s="1"/>
  <c r="O133" i="3"/>
  <c r="H133" i="4" s="1"/>
  <c r="N133" i="3"/>
  <c r="M133" i="3"/>
  <c r="G133" i="4" s="1"/>
  <c r="L133" i="3"/>
  <c r="C133" i="4" s="1"/>
  <c r="Q132" i="3"/>
  <c r="E132" i="4" s="1"/>
  <c r="P132" i="3"/>
  <c r="F132" i="4" s="1"/>
  <c r="O132" i="3"/>
  <c r="H132" i="4" s="1"/>
  <c r="N132" i="3"/>
  <c r="M132" i="3"/>
  <c r="G132" i="4" s="1"/>
  <c r="L132" i="3"/>
  <c r="C132" i="4" s="1"/>
  <c r="P131" i="3"/>
  <c r="F131" i="4" s="1"/>
  <c r="O131" i="3"/>
  <c r="H131" i="4" s="1"/>
  <c r="N131" i="3"/>
  <c r="M131" i="3"/>
  <c r="G131" i="4" s="1"/>
  <c r="L131" i="3"/>
  <c r="C131" i="4" s="1"/>
  <c r="Q130" i="3"/>
  <c r="E130" i="4" s="1"/>
  <c r="P130" i="3"/>
  <c r="F130" i="4" s="1"/>
  <c r="O130" i="3"/>
  <c r="H130" i="4" s="1"/>
  <c r="N130" i="3"/>
  <c r="M130" i="3"/>
  <c r="G130" i="4" s="1"/>
  <c r="L130" i="3"/>
  <c r="C130" i="4" s="1"/>
  <c r="P129" i="3"/>
  <c r="F129" i="4" s="1"/>
  <c r="O129" i="3"/>
  <c r="H129" i="4" s="1"/>
  <c r="N129" i="3"/>
  <c r="M129" i="3"/>
  <c r="G129" i="4" s="1"/>
  <c r="L129" i="3"/>
  <c r="C129" i="4" s="1"/>
  <c r="Q128" i="3"/>
  <c r="E128" i="4" s="1"/>
  <c r="P128" i="3"/>
  <c r="F128" i="4" s="1"/>
  <c r="O128" i="3"/>
  <c r="H128" i="4" s="1"/>
  <c r="N128" i="3"/>
  <c r="M128" i="3"/>
  <c r="G128" i="4" s="1"/>
  <c r="L128" i="3"/>
  <c r="C128" i="4" s="1"/>
  <c r="P127" i="3"/>
  <c r="F127" i="4" s="1"/>
  <c r="O127" i="3"/>
  <c r="H127" i="4" s="1"/>
  <c r="N127" i="3"/>
  <c r="M127" i="3"/>
  <c r="G127" i="4" s="1"/>
  <c r="L127" i="3"/>
  <c r="C127" i="4" s="1"/>
  <c r="Q126" i="3"/>
  <c r="E126" i="4" s="1"/>
  <c r="P126" i="3"/>
  <c r="F126" i="4" s="1"/>
  <c r="O126" i="3"/>
  <c r="H126" i="4" s="1"/>
  <c r="N126" i="3"/>
  <c r="M126" i="3"/>
  <c r="G126" i="4" s="1"/>
  <c r="L126" i="3"/>
  <c r="C126" i="4" s="1"/>
  <c r="P125" i="3"/>
  <c r="F125" i="4" s="1"/>
  <c r="O125" i="3"/>
  <c r="H125" i="4" s="1"/>
  <c r="N125" i="3"/>
  <c r="M125" i="3"/>
  <c r="G125" i="4" s="1"/>
  <c r="L125" i="3"/>
  <c r="C125" i="4" s="1"/>
  <c r="Q124" i="3"/>
  <c r="E124" i="4" s="1"/>
  <c r="P124" i="3"/>
  <c r="F124" i="4" s="1"/>
  <c r="O124" i="3"/>
  <c r="H124" i="4" s="1"/>
  <c r="N124" i="3"/>
  <c r="M124" i="3"/>
  <c r="G124" i="4" s="1"/>
  <c r="L124" i="3"/>
  <c r="C124" i="4" s="1"/>
  <c r="P123" i="3"/>
  <c r="F123" i="4" s="1"/>
  <c r="O123" i="3"/>
  <c r="H123" i="4" s="1"/>
  <c r="N123" i="3"/>
  <c r="M123" i="3"/>
  <c r="G123" i="4" s="1"/>
  <c r="L123" i="3"/>
  <c r="C123" i="4" s="1"/>
  <c r="P122" i="3"/>
  <c r="F122" i="4" s="1"/>
  <c r="O122" i="3"/>
  <c r="H122" i="4" s="1"/>
  <c r="N122" i="3"/>
  <c r="M122" i="3"/>
  <c r="G122" i="4" s="1"/>
  <c r="L122" i="3"/>
  <c r="C122" i="4" s="1"/>
  <c r="P121" i="3"/>
  <c r="F121" i="4" s="1"/>
  <c r="O121" i="3"/>
  <c r="H121" i="4" s="1"/>
  <c r="N121" i="3"/>
  <c r="M121" i="3"/>
  <c r="G121" i="4" s="1"/>
  <c r="L121" i="3"/>
  <c r="C121" i="4" s="1"/>
  <c r="P120" i="3"/>
  <c r="F120" i="4" s="1"/>
  <c r="O120" i="3"/>
  <c r="H120" i="4" s="1"/>
  <c r="N120" i="3"/>
  <c r="M120" i="3"/>
  <c r="G120" i="4" s="1"/>
  <c r="L120" i="3"/>
  <c r="C120" i="4" s="1"/>
  <c r="P119" i="3"/>
  <c r="F119" i="4" s="1"/>
  <c r="O119" i="3"/>
  <c r="H119" i="4" s="1"/>
  <c r="N119" i="3"/>
  <c r="M119" i="3"/>
  <c r="G119" i="4" s="1"/>
  <c r="L119" i="3"/>
  <c r="C119" i="4" s="1"/>
  <c r="P118" i="3"/>
  <c r="F118" i="4" s="1"/>
  <c r="O118" i="3"/>
  <c r="H118" i="4" s="1"/>
  <c r="N118" i="3"/>
  <c r="M118" i="3"/>
  <c r="G118" i="4" s="1"/>
  <c r="L118" i="3"/>
  <c r="C118" i="4" s="1"/>
  <c r="P117" i="3"/>
  <c r="F117" i="4" s="1"/>
  <c r="O117" i="3"/>
  <c r="H117" i="4" s="1"/>
  <c r="N117" i="3"/>
  <c r="M117" i="3"/>
  <c r="G117" i="4" s="1"/>
  <c r="L117" i="3"/>
  <c r="C117" i="4" s="1"/>
  <c r="Q116" i="3"/>
  <c r="E116" i="4" s="1"/>
  <c r="P116" i="3"/>
  <c r="F116" i="4" s="1"/>
  <c r="O116" i="3"/>
  <c r="H116" i="4" s="1"/>
  <c r="N116" i="3"/>
  <c r="M116" i="3"/>
  <c r="G116" i="4" s="1"/>
  <c r="L116" i="3"/>
  <c r="C116" i="4" s="1"/>
  <c r="P115" i="3"/>
  <c r="F115" i="4" s="1"/>
  <c r="O115" i="3"/>
  <c r="H115" i="4" s="1"/>
  <c r="N115" i="3"/>
  <c r="M115" i="3"/>
  <c r="G115" i="4" s="1"/>
  <c r="L115" i="3"/>
  <c r="C115" i="4" s="1"/>
  <c r="Q114" i="3"/>
  <c r="E114" i="4" s="1"/>
  <c r="P114" i="3"/>
  <c r="F114" i="4" s="1"/>
  <c r="O114" i="3"/>
  <c r="H114" i="4" s="1"/>
  <c r="N114" i="3"/>
  <c r="M114" i="3"/>
  <c r="G114" i="4" s="1"/>
  <c r="L114" i="3"/>
  <c r="C114" i="4" s="1"/>
  <c r="P113" i="3"/>
  <c r="F113" i="4" s="1"/>
  <c r="O113" i="3"/>
  <c r="H113" i="4" s="1"/>
  <c r="N113" i="3"/>
  <c r="M113" i="3"/>
  <c r="G113" i="4" s="1"/>
  <c r="L113" i="3"/>
  <c r="C113" i="4" s="1"/>
  <c r="Q112" i="3"/>
  <c r="E112" i="4" s="1"/>
  <c r="P112" i="3"/>
  <c r="F112" i="4" s="1"/>
  <c r="O112" i="3"/>
  <c r="H112" i="4" s="1"/>
  <c r="N112" i="3"/>
  <c r="M112" i="3"/>
  <c r="G112" i="4" s="1"/>
  <c r="L112" i="3"/>
  <c r="C112" i="4" s="1"/>
  <c r="P111" i="3"/>
  <c r="F111" i="4" s="1"/>
  <c r="O111" i="3"/>
  <c r="H111" i="4" s="1"/>
  <c r="N111" i="3"/>
  <c r="M111" i="3"/>
  <c r="G111" i="4" s="1"/>
  <c r="L111" i="3"/>
  <c r="C111" i="4" s="1"/>
  <c r="Q110" i="3"/>
  <c r="E110" i="4" s="1"/>
  <c r="P110" i="3"/>
  <c r="F110" i="4" s="1"/>
  <c r="O110" i="3"/>
  <c r="H110" i="4" s="1"/>
  <c r="N110" i="3"/>
  <c r="M110" i="3"/>
  <c r="G110" i="4" s="1"/>
  <c r="L110" i="3"/>
  <c r="C110" i="4" s="1"/>
  <c r="P109" i="3"/>
  <c r="F109" i="4" s="1"/>
  <c r="O109" i="3"/>
  <c r="H109" i="4" s="1"/>
  <c r="N109" i="3"/>
  <c r="M109" i="3"/>
  <c r="G109" i="4" s="1"/>
  <c r="L109" i="3"/>
  <c r="C109" i="4" s="1"/>
  <c r="P108" i="3"/>
  <c r="F108" i="4" s="1"/>
  <c r="O108" i="3"/>
  <c r="H108" i="4" s="1"/>
  <c r="N108" i="3"/>
  <c r="M108" i="3"/>
  <c r="G108" i="4" s="1"/>
  <c r="L108" i="3"/>
  <c r="C108" i="4" s="1"/>
  <c r="P107" i="3"/>
  <c r="F107" i="4" s="1"/>
  <c r="O107" i="3"/>
  <c r="H107" i="4" s="1"/>
  <c r="N107" i="3"/>
  <c r="M107" i="3"/>
  <c r="G107" i="4" s="1"/>
  <c r="L107" i="3"/>
  <c r="C107" i="4" s="1"/>
  <c r="P106" i="3"/>
  <c r="F106" i="4" s="1"/>
  <c r="O106" i="3"/>
  <c r="H106" i="4" s="1"/>
  <c r="N106" i="3"/>
  <c r="M106" i="3"/>
  <c r="G106" i="4" s="1"/>
  <c r="L106" i="3"/>
  <c r="C106" i="4" s="1"/>
  <c r="P105" i="3"/>
  <c r="F105" i="4" s="1"/>
  <c r="O105" i="3"/>
  <c r="H105" i="4" s="1"/>
  <c r="N105" i="3"/>
  <c r="M105" i="3"/>
  <c r="G105" i="4" s="1"/>
  <c r="L105" i="3"/>
  <c r="C105" i="4" s="1"/>
  <c r="P104" i="3"/>
  <c r="F104" i="4" s="1"/>
  <c r="O104" i="3"/>
  <c r="H104" i="4" s="1"/>
  <c r="N104" i="3"/>
  <c r="M104" i="3"/>
  <c r="G104" i="4" s="1"/>
  <c r="L104" i="3"/>
  <c r="C104" i="4" s="1"/>
  <c r="P103" i="3"/>
  <c r="F103" i="4" s="1"/>
  <c r="O103" i="3"/>
  <c r="H103" i="4" s="1"/>
  <c r="N103" i="3"/>
  <c r="M103" i="3"/>
  <c r="G103" i="4" s="1"/>
  <c r="L103" i="3"/>
  <c r="C103" i="4" s="1"/>
  <c r="P102" i="3"/>
  <c r="F102" i="4" s="1"/>
  <c r="O102" i="3"/>
  <c r="H102" i="4" s="1"/>
  <c r="N102" i="3"/>
  <c r="M102" i="3"/>
  <c r="G102" i="4" s="1"/>
  <c r="L102" i="3"/>
  <c r="C102" i="4" s="1"/>
  <c r="P101" i="3"/>
  <c r="F101" i="4" s="1"/>
  <c r="O101" i="3"/>
  <c r="H101" i="4" s="1"/>
  <c r="N101" i="3"/>
  <c r="M101" i="3"/>
  <c r="G101" i="4" s="1"/>
  <c r="L101" i="3"/>
  <c r="C101" i="4" s="1"/>
  <c r="Q100" i="3"/>
  <c r="E100" i="4" s="1"/>
  <c r="P100" i="3"/>
  <c r="F100" i="4" s="1"/>
  <c r="O100" i="3"/>
  <c r="H100" i="4" s="1"/>
  <c r="N100" i="3"/>
  <c r="M100" i="3"/>
  <c r="G100" i="4" s="1"/>
  <c r="L100" i="3"/>
  <c r="C100" i="4" s="1"/>
  <c r="P99" i="3"/>
  <c r="F99" i="4" s="1"/>
  <c r="O99" i="3"/>
  <c r="H99" i="4" s="1"/>
  <c r="N99" i="3"/>
  <c r="M99" i="3"/>
  <c r="G99" i="4" s="1"/>
  <c r="L99" i="3"/>
  <c r="C99" i="4" s="1"/>
  <c r="Q98" i="3"/>
  <c r="E98" i="4" s="1"/>
  <c r="P98" i="3"/>
  <c r="F98" i="4" s="1"/>
  <c r="O98" i="3"/>
  <c r="H98" i="4" s="1"/>
  <c r="N98" i="3"/>
  <c r="M98" i="3"/>
  <c r="G98" i="4" s="1"/>
  <c r="L98" i="3"/>
  <c r="C98" i="4" s="1"/>
  <c r="P97" i="3"/>
  <c r="F97" i="4" s="1"/>
  <c r="O97" i="3"/>
  <c r="H97" i="4" s="1"/>
  <c r="N97" i="3"/>
  <c r="M97" i="3"/>
  <c r="G97" i="4" s="1"/>
  <c r="L97" i="3"/>
  <c r="C97" i="4" s="1"/>
  <c r="Q96" i="3"/>
  <c r="E96" i="4" s="1"/>
  <c r="P96" i="3"/>
  <c r="F96" i="4" s="1"/>
  <c r="O96" i="3"/>
  <c r="H96" i="4" s="1"/>
  <c r="N96" i="3"/>
  <c r="M96" i="3"/>
  <c r="G96" i="4" s="1"/>
  <c r="L96" i="3"/>
  <c r="C96" i="4" s="1"/>
  <c r="P95" i="3"/>
  <c r="F95" i="4" s="1"/>
  <c r="O95" i="3"/>
  <c r="H95" i="4" s="1"/>
  <c r="N95" i="3"/>
  <c r="M95" i="3"/>
  <c r="G95" i="4" s="1"/>
  <c r="L95" i="3"/>
  <c r="C95" i="4" s="1"/>
  <c r="Q94" i="3"/>
  <c r="E94" i="4" s="1"/>
  <c r="P94" i="3"/>
  <c r="F94" i="4" s="1"/>
  <c r="O94" i="3"/>
  <c r="H94" i="4" s="1"/>
  <c r="N94" i="3"/>
  <c r="M94" i="3"/>
  <c r="G94" i="4" s="1"/>
  <c r="L94" i="3"/>
  <c r="C94" i="4" s="1"/>
  <c r="P93" i="3"/>
  <c r="F93" i="4" s="1"/>
  <c r="O93" i="3"/>
  <c r="H93" i="4" s="1"/>
  <c r="N93" i="3"/>
  <c r="M93" i="3"/>
  <c r="G93" i="4" s="1"/>
  <c r="L93" i="3"/>
  <c r="C93" i="4" s="1"/>
  <c r="P92" i="3"/>
  <c r="F92" i="4" s="1"/>
  <c r="O92" i="3"/>
  <c r="H92" i="4" s="1"/>
  <c r="N92" i="3"/>
  <c r="M92" i="3"/>
  <c r="G92" i="4" s="1"/>
  <c r="L92" i="3"/>
  <c r="C92" i="4" s="1"/>
  <c r="P91" i="3"/>
  <c r="F91" i="4" s="1"/>
  <c r="O91" i="3"/>
  <c r="H91" i="4" s="1"/>
  <c r="N91" i="3"/>
  <c r="M91" i="3"/>
  <c r="G91" i="4" s="1"/>
  <c r="L91" i="3"/>
  <c r="C91" i="4" s="1"/>
  <c r="P90" i="3"/>
  <c r="F90" i="4" s="1"/>
  <c r="O90" i="3"/>
  <c r="H90" i="4" s="1"/>
  <c r="N90" i="3"/>
  <c r="M90" i="3"/>
  <c r="G90" i="4" s="1"/>
  <c r="L90" i="3"/>
  <c r="C90" i="4" s="1"/>
  <c r="P89" i="3"/>
  <c r="F89" i="4" s="1"/>
  <c r="O89" i="3"/>
  <c r="H89" i="4" s="1"/>
  <c r="N89" i="3"/>
  <c r="M89" i="3"/>
  <c r="G89" i="4" s="1"/>
  <c r="L89" i="3"/>
  <c r="C89" i="4" s="1"/>
  <c r="P88" i="3"/>
  <c r="F88" i="4" s="1"/>
  <c r="O88" i="3"/>
  <c r="H88" i="4" s="1"/>
  <c r="N88" i="3"/>
  <c r="M88" i="3"/>
  <c r="G88" i="4" s="1"/>
  <c r="L88" i="3"/>
  <c r="C88" i="4" s="1"/>
  <c r="P87" i="3"/>
  <c r="F87" i="4" s="1"/>
  <c r="O87" i="3"/>
  <c r="H87" i="4" s="1"/>
  <c r="N87" i="3"/>
  <c r="M87" i="3"/>
  <c r="G87" i="4" s="1"/>
  <c r="L87" i="3"/>
  <c r="C87" i="4" s="1"/>
  <c r="P86" i="3"/>
  <c r="F86" i="4" s="1"/>
  <c r="O86" i="3"/>
  <c r="H86" i="4" s="1"/>
  <c r="N86" i="3"/>
  <c r="M86" i="3"/>
  <c r="G86" i="4" s="1"/>
  <c r="L86" i="3"/>
  <c r="C86" i="4" s="1"/>
  <c r="P85" i="3"/>
  <c r="F85" i="4" s="1"/>
  <c r="O85" i="3"/>
  <c r="H85" i="4" s="1"/>
  <c r="N85" i="3"/>
  <c r="M85" i="3"/>
  <c r="G85" i="4" s="1"/>
  <c r="L85" i="3"/>
  <c r="C85" i="4" s="1"/>
  <c r="Q84" i="3"/>
  <c r="E84" i="4" s="1"/>
  <c r="P84" i="3"/>
  <c r="F84" i="4" s="1"/>
  <c r="O84" i="3"/>
  <c r="H84" i="4" s="1"/>
  <c r="N84" i="3"/>
  <c r="M84" i="3"/>
  <c r="G84" i="4" s="1"/>
  <c r="L84" i="3"/>
  <c r="C84" i="4" s="1"/>
  <c r="P83" i="3"/>
  <c r="F83" i="4" s="1"/>
  <c r="O83" i="3"/>
  <c r="H83" i="4" s="1"/>
  <c r="N83" i="3"/>
  <c r="M83" i="3"/>
  <c r="G83" i="4" s="1"/>
  <c r="L83" i="3"/>
  <c r="C83" i="4" s="1"/>
  <c r="Q82" i="3"/>
  <c r="E82" i="4" s="1"/>
  <c r="P82" i="3"/>
  <c r="F82" i="4" s="1"/>
  <c r="O82" i="3"/>
  <c r="H82" i="4" s="1"/>
  <c r="N82" i="3"/>
  <c r="M82" i="3"/>
  <c r="G82" i="4" s="1"/>
  <c r="L82" i="3"/>
  <c r="C82" i="4" s="1"/>
  <c r="P81" i="3"/>
  <c r="F81" i="4" s="1"/>
  <c r="O81" i="3"/>
  <c r="H81" i="4" s="1"/>
  <c r="N81" i="3"/>
  <c r="M81" i="3"/>
  <c r="G81" i="4" s="1"/>
  <c r="L81" i="3"/>
  <c r="C81" i="4" s="1"/>
  <c r="Q80" i="3"/>
  <c r="E80" i="4" s="1"/>
  <c r="P80" i="3"/>
  <c r="F80" i="4" s="1"/>
  <c r="O80" i="3"/>
  <c r="H80" i="4" s="1"/>
  <c r="N80" i="3"/>
  <c r="M80" i="3"/>
  <c r="G80" i="4" s="1"/>
  <c r="L80" i="3"/>
  <c r="C80" i="4" s="1"/>
  <c r="P79" i="3"/>
  <c r="F79" i="4" s="1"/>
  <c r="O79" i="3"/>
  <c r="H79" i="4" s="1"/>
  <c r="N79" i="3"/>
  <c r="M79" i="3"/>
  <c r="G79" i="4" s="1"/>
  <c r="L79" i="3"/>
  <c r="C79" i="4" s="1"/>
  <c r="Q78" i="3"/>
  <c r="E78" i="4" s="1"/>
  <c r="P78" i="3"/>
  <c r="F78" i="4" s="1"/>
  <c r="O78" i="3"/>
  <c r="H78" i="4" s="1"/>
  <c r="N78" i="3"/>
  <c r="M78" i="3"/>
  <c r="G78" i="4" s="1"/>
  <c r="L78" i="3"/>
  <c r="C78" i="4" s="1"/>
  <c r="P77" i="3"/>
  <c r="F77" i="4" s="1"/>
  <c r="O77" i="3"/>
  <c r="H77" i="4" s="1"/>
  <c r="N77" i="3"/>
  <c r="M77" i="3"/>
  <c r="G77" i="4" s="1"/>
  <c r="L77" i="3"/>
  <c r="C77" i="4" s="1"/>
  <c r="P76" i="3"/>
  <c r="F76" i="4" s="1"/>
  <c r="O76" i="3"/>
  <c r="H76" i="4" s="1"/>
  <c r="N76" i="3"/>
  <c r="M76" i="3"/>
  <c r="G76" i="4" s="1"/>
  <c r="L76" i="3"/>
  <c r="C76" i="4" s="1"/>
  <c r="P75" i="3"/>
  <c r="F75" i="4" s="1"/>
  <c r="O75" i="3"/>
  <c r="H75" i="4" s="1"/>
  <c r="N75" i="3"/>
  <c r="M75" i="3"/>
  <c r="G75" i="4" s="1"/>
  <c r="L75" i="3"/>
  <c r="C75" i="4" s="1"/>
  <c r="P74" i="3"/>
  <c r="F74" i="4" s="1"/>
  <c r="O74" i="3"/>
  <c r="H74" i="4" s="1"/>
  <c r="N74" i="3"/>
  <c r="M74" i="3"/>
  <c r="G74" i="4" s="1"/>
  <c r="L74" i="3"/>
  <c r="C74" i="4" s="1"/>
  <c r="P73" i="3"/>
  <c r="F73" i="4" s="1"/>
  <c r="O73" i="3"/>
  <c r="H73" i="4" s="1"/>
  <c r="N73" i="3"/>
  <c r="M73" i="3"/>
  <c r="G73" i="4" s="1"/>
  <c r="L73" i="3"/>
  <c r="C73" i="4" s="1"/>
  <c r="P72" i="3"/>
  <c r="F72" i="4" s="1"/>
  <c r="O72" i="3"/>
  <c r="H72" i="4" s="1"/>
  <c r="N72" i="3"/>
  <c r="M72" i="3"/>
  <c r="G72" i="4" s="1"/>
  <c r="L72" i="3"/>
  <c r="C72" i="4" s="1"/>
  <c r="P71" i="3"/>
  <c r="F71" i="4" s="1"/>
  <c r="O71" i="3"/>
  <c r="H71" i="4" s="1"/>
  <c r="N71" i="3"/>
  <c r="M71" i="3"/>
  <c r="G71" i="4" s="1"/>
  <c r="L71" i="3"/>
  <c r="C71" i="4" s="1"/>
  <c r="P70" i="3"/>
  <c r="F70" i="4" s="1"/>
  <c r="O70" i="3"/>
  <c r="H70" i="4" s="1"/>
  <c r="N70" i="3"/>
  <c r="M70" i="3"/>
  <c r="G70" i="4" s="1"/>
  <c r="L70" i="3"/>
  <c r="C70" i="4" s="1"/>
  <c r="P69" i="3"/>
  <c r="F69" i="4" s="1"/>
  <c r="O69" i="3"/>
  <c r="H69" i="4" s="1"/>
  <c r="N69" i="3"/>
  <c r="M69" i="3"/>
  <c r="G69" i="4" s="1"/>
  <c r="L69" i="3"/>
  <c r="C69" i="4" s="1"/>
  <c r="Q68" i="3"/>
  <c r="E68" i="4" s="1"/>
  <c r="P68" i="3"/>
  <c r="F68" i="4" s="1"/>
  <c r="O68" i="3"/>
  <c r="H68" i="4" s="1"/>
  <c r="N68" i="3"/>
  <c r="M68" i="3"/>
  <c r="G68" i="4" s="1"/>
  <c r="L68" i="3"/>
  <c r="C68" i="4" s="1"/>
  <c r="P67" i="3"/>
  <c r="F67" i="4" s="1"/>
  <c r="O67" i="3"/>
  <c r="H67" i="4" s="1"/>
  <c r="N67" i="3"/>
  <c r="M67" i="3"/>
  <c r="G67" i="4" s="1"/>
  <c r="L67" i="3"/>
  <c r="C67" i="4" s="1"/>
  <c r="Q66" i="3"/>
  <c r="E66" i="4" s="1"/>
  <c r="P66" i="3"/>
  <c r="F66" i="4" s="1"/>
  <c r="O66" i="3"/>
  <c r="H66" i="4" s="1"/>
  <c r="N66" i="3"/>
  <c r="M66" i="3"/>
  <c r="G66" i="4" s="1"/>
  <c r="L66" i="3"/>
  <c r="C66" i="4" s="1"/>
  <c r="P65" i="3"/>
  <c r="F65" i="4" s="1"/>
  <c r="O65" i="3"/>
  <c r="H65" i="4" s="1"/>
  <c r="N65" i="3"/>
  <c r="M65" i="3"/>
  <c r="G65" i="4" s="1"/>
  <c r="L65" i="3"/>
  <c r="C65" i="4" s="1"/>
  <c r="Q64" i="3"/>
  <c r="E64" i="4" s="1"/>
  <c r="P64" i="3"/>
  <c r="F64" i="4" s="1"/>
  <c r="O64" i="3"/>
  <c r="H64" i="4" s="1"/>
  <c r="N64" i="3"/>
  <c r="M64" i="3"/>
  <c r="G64" i="4" s="1"/>
  <c r="L64" i="3"/>
  <c r="C64" i="4" s="1"/>
  <c r="P63" i="3"/>
  <c r="F63" i="4" s="1"/>
  <c r="O63" i="3"/>
  <c r="H63" i="4" s="1"/>
  <c r="N63" i="3"/>
  <c r="M63" i="3"/>
  <c r="G63" i="4" s="1"/>
  <c r="L63" i="3"/>
  <c r="C63" i="4" s="1"/>
  <c r="Q62" i="3"/>
  <c r="E62" i="4" s="1"/>
  <c r="P62" i="3"/>
  <c r="F62" i="4" s="1"/>
  <c r="O62" i="3"/>
  <c r="H62" i="4" s="1"/>
  <c r="N62" i="3"/>
  <c r="M62" i="3"/>
  <c r="G62" i="4" s="1"/>
  <c r="L62" i="3"/>
  <c r="C62" i="4" s="1"/>
  <c r="P61" i="3"/>
  <c r="F61" i="4" s="1"/>
  <c r="O61" i="3"/>
  <c r="H61" i="4" s="1"/>
  <c r="N61" i="3"/>
  <c r="M61" i="3"/>
  <c r="G61" i="4" s="1"/>
  <c r="L61" i="3"/>
  <c r="C61" i="4" s="1"/>
  <c r="P60" i="3"/>
  <c r="F60" i="4" s="1"/>
  <c r="O60" i="3"/>
  <c r="H60" i="4" s="1"/>
  <c r="N60" i="3"/>
  <c r="M60" i="3"/>
  <c r="G60" i="4" s="1"/>
  <c r="L60" i="3"/>
  <c r="C60" i="4" s="1"/>
  <c r="P59" i="3"/>
  <c r="F59" i="4" s="1"/>
  <c r="O59" i="3"/>
  <c r="H59" i="4" s="1"/>
  <c r="N59" i="3"/>
  <c r="M59" i="3"/>
  <c r="G59" i="4" s="1"/>
  <c r="L59" i="3"/>
  <c r="C59" i="4" s="1"/>
  <c r="P58" i="3"/>
  <c r="F58" i="4" s="1"/>
  <c r="O58" i="3"/>
  <c r="H58" i="4" s="1"/>
  <c r="N58" i="3"/>
  <c r="M58" i="3"/>
  <c r="G58" i="4" s="1"/>
  <c r="L58" i="3"/>
  <c r="C58" i="4" s="1"/>
  <c r="P57" i="3"/>
  <c r="F57" i="4" s="1"/>
  <c r="O57" i="3"/>
  <c r="H57" i="4" s="1"/>
  <c r="N57" i="3"/>
  <c r="M57" i="3"/>
  <c r="G57" i="4" s="1"/>
  <c r="L57" i="3"/>
  <c r="C57" i="4" s="1"/>
  <c r="P56" i="3"/>
  <c r="F56" i="4" s="1"/>
  <c r="O56" i="3"/>
  <c r="H56" i="4" s="1"/>
  <c r="N56" i="3"/>
  <c r="M56" i="3"/>
  <c r="G56" i="4" s="1"/>
  <c r="L56" i="3"/>
  <c r="C56" i="4" s="1"/>
  <c r="P55" i="3"/>
  <c r="F55" i="4" s="1"/>
  <c r="O55" i="3"/>
  <c r="H55" i="4" s="1"/>
  <c r="N55" i="3"/>
  <c r="M55" i="3"/>
  <c r="G55" i="4" s="1"/>
  <c r="L55" i="3"/>
  <c r="C55" i="4" s="1"/>
  <c r="P54" i="3"/>
  <c r="F54" i="4" s="1"/>
  <c r="O54" i="3"/>
  <c r="H54" i="4" s="1"/>
  <c r="N54" i="3"/>
  <c r="M54" i="3"/>
  <c r="G54" i="4" s="1"/>
  <c r="L54" i="3"/>
  <c r="C54" i="4" s="1"/>
  <c r="P53" i="3"/>
  <c r="F53" i="4" s="1"/>
  <c r="O53" i="3"/>
  <c r="H53" i="4" s="1"/>
  <c r="N53" i="3"/>
  <c r="M53" i="3"/>
  <c r="G53" i="4" s="1"/>
  <c r="L53" i="3"/>
  <c r="C53" i="4" s="1"/>
  <c r="Q52" i="3"/>
  <c r="E52" i="4" s="1"/>
  <c r="P52" i="3"/>
  <c r="F52" i="4" s="1"/>
  <c r="O52" i="3"/>
  <c r="H52" i="4" s="1"/>
  <c r="N52" i="3"/>
  <c r="M52" i="3"/>
  <c r="G52" i="4" s="1"/>
  <c r="L52" i="3"/>
  <c r="C52" i="4" s="1"/>
  <c r="P51" i="3"/>
  <c r="F51" i="4" s="1"/>
  <c r="O51" i="3"/>
  <c r="H51" i="4" s="1"/>
  <c r="N51" i="3"/>
  <c r="M51" i="3"/>
  <c r="G51" i="4" s="1"/>
  <c r="L51" i="3"/>
  <c r="C51" i="4" s="1"/>
  <c r="Q50" i="3"/>
  <c r="E50" i="4" s="1"/>
  <c r="P50" i="3"/>
  <c r="F50" i="4" s="1"/>
  <c r="O50" i="3"/>
  <c r="H50" i="4" s="1"/>
  <c r="N50" i="3"/>
  <c r="M50" i="3"/>
  <c r="G50" i="4" s="1"/>
  <c r="L50" i="3"/>
  <c r="C50" i="4" s="1"/>
  <c r="P49" i="3"/>
  <c r="F49" i="4" s="1"/>
  <c r="O49" i="3"/>
  <c r="H49" i="4" s="1"/>
  <c r="N49" i="3"/>
  <c r="M49" i="3"/>
  <c r="G49" i="4" s="1"/>
  <c r="L49" i="3"/>
  <c r="C49" i="4" s="1"/>
  <c r="Q48" i="3"/>
  <c r="E48" i="4" s="1"/>
  <c r="P48" i="3"/>
  <c r="F48" i="4" s="1"/>
  <c r="O48" i="3"/>
  <c r="H48" i="4" s="1"/>
  <c r="N48" i="3"/>
  <c r="M48" i="3"/>
  <c r="G48" i="4" s="1"/>
  <c r="L48" i="3"/>
  <c r="C48" i="4" s="1"/>
  <c r="P47" i="3"/>
  <c r="F47" i="4" s="1"/>
  <c r="O47" i="3"/>
  <c r="H47" i="4" s="1"/>
  <c r="N47" i="3"/>
  <c r="M47" i="3"/>
  <c r="G47" i="4" s="1"/>
  <c r="L47" i="3"/>
  <c r="C47" i="4" s="1"/>
  <c r="Q46" i="3"/>
  <c r="E46" i="4" s="1"/>
  <c r="P46" i="3"/>
  <c r="F46" i="4" s="1"/>
  <c r="O46" i="3"/>
  <c r="H46" i="4" s="1"/>
  <c r="N46" i="3"/>
  <c r="M46" i="3"/>
  <c r="G46" i="4" s="1"/>
  <c r="L46" i="3"/>
  <c r="C46" i="4" s="1"/>
  <c r="R45" i="3"/>
  <c r="D45" i="4" s="1"/>
  <c r="Q45" i="3"/>
  <c r="E45" i="4" s="1"/>
  <c r="P45" i="3"/>
  <c r="F45" i="4" s="1"/>
  <c r="O45" i="3"/>
  <c r="H45" i="4" s="1"/>
  <c r="N45" i="3"/>
  <c r="M45" i="3"/>
  <c r="G45" i="4" s="1"/>
  <c r="L45" i="3"/>
  <c r="C45" i="4" s="1"/>
  <c r="P44" i="3"/>
  <c r="F44" i="4" s="1"/>
  <c r="O44" i="3"/>
  <c r="H44" i="4" s="1"/>
  <c r="N44" i="3"/>
  <c r="M44" i="3"/>
  <c r="G44" i="4" s="1"/>
  <c r="L44" i="3"/>
  <c r="C44" i="4" s="1"/>
  <c r="P43" i="3"/>
  <c r="F43" i="4" s="1"/>
  <c r="O43" i="3"/>
  <c r="H43" i="4" s="1"/>
  <c r="N43" i="3"/>
  <c r="M43" i="3"/>
  <c r="G43" i="4" s="1"/>
  <c r="L43" i="3"/>
  <c r="C43" i="4" s="1"/>
  <c r="P42" i="3"/>
  <c r="F42" i="4" s="1"/>
  <c r="O42" i="3"/>
  <c r="H42" i="4" s="1"/>
  <c r="N42" i="3"/>
  <c r="M42" i="3"/>
  <c r="G42" i="4" s="1"/>
  <c r="L42" i="3"/>
  <c r="C42" i="4" s="1"/>
  <c r="P41" i="3"/>
  <c r="F41" i="4" s="1"/>
  <c r="O41" i="3"/>
  <c r="H41" i="4" s="1"/>
  <c r="N41" i="3"/>
  <c r="M41" i="3"/>
  <c r="G41" i="4" s="1"/>
  <c r="L41" i="3"/>
  <c r="C41" i="4" s="1"/>
  <c r="P40" i="3"/>
  <c r="F40" i="4" s="1"/>
  <c r="O40" i="3"/>
  <c r="H40" i="4" s="1"/>
  <c r="N40" i="3"/>
  <c r="M40" i="3"/>
  <c r="G40" i="4" s="1"/>
  <c r="L40" i="3"/>
  <c r="C40" i="4" s="1"/>
  <c r="P39" i="3"/>
  <c r="F39" i="4" s="1"/>
  <c r="O39" i="3"/>
  <c r="H39" i="4" s="1"/>
  <c r="N39" i="3"/>
  <c r="M39" i="3"/>
  <c r="G39" i="4" s="1"/>
  <c r="L39" i="3"/>
  <c r="C39" i="4" s="1"/>
  <c r="Q38" i="3"/>
  <c r="E38" i="4" s="1"/>
  <c r="P38" i="3"/>
  <c r="F38" i="4" s="1"/>
  <c r="O38" i="3"/>
  <c r="H38" i="4" s="1"/>
  <c r="N38" i="3"/>
  <c r="M38" i="3"/>
  <c r="G38" i="4" s="1"/>
  <c r="L38" i="3"/>
  <c r="C38" i="4" s="1"/>
  <c r="P37" i="3"/>
  <c r="F37" i="4" s="1"/>
  <c r="O37" i="3"/>
  <c r="H37" i="4" s="1"/>
  <c r="N37" i="3"/>
  <c r="M37" i="3"/>
  <c r="G37" i="4" s="1"/>
  <c r="L37" i="3"/>
  <c r="C37" i="4" s="1"/>
  <c r="Q36" i="3"/>
  <c r="E36" i="4" s="1"/>
  <c r="P36" i="3"/>
  <c r="F36" i="4" s="1"/>
  <c r="O36" i="3"/>
  <c r="H36" i="4" s="1"/>
  <c r="N36" i="3"/>
  <c r="M36" i="3"/>
  <c r="G36" i="4" s="1"/>
  <c r="L36" i="3"/>
  <c r="C36" i="4" s="1"/>
  <c r="P35" i="3"/>
  <c r="F35" i="4" s="1"/>
  <c r="O35" i="3"/>
  <c r="H35" i="4" s="1"/>
  <c r="N35" i="3"/>
  <c r="M35" i="3"/>
  <c r="G35" i="4" s="1"/>
  <c r="L35" i="3"/>
  <c r="C35" i="4" s="1"/>
  <c r="Q34" i="3"/>
  <c r="E34" i="4" s="1"/>
  <c r="P34" i="3"/>
  <c r="F34" i="4" s="1"/>
  <c r="O34" i="3"/>
  <c r="H34" i="4" s="1"/>
  <c r="N34" i="3"/>
  <c r="M34" i="3"/>
  <c r="G34" i="4" s="1"/>
  <c r="L34" i="3"/>
  <c r="C34" i="4" s="1"/>
  <c r="P33" i="3"/>
  <c r="F33" i="4" s="1"/>
  <c r="O33" i="3"/>
  <c r="H33" i="4" s="1"/>
  <c r="N33" i="3"/>
  <c r="M33" i="3"/>
  <c r="G33" i="4" s="1"/>
  <c r="L33" i="3"/>
  <c r="C33" i="4" s="1"/>
  <c r="Q32" i="3"/>
  <c r="E32" i="4" s="1"/>
  <c r="P32" i="3"/>
  <c r="F32" i="4" s="1"/>
  <c r="O32" i="3"/>
  <c r="H32" i="4" s="1"/>
  <c r="N32" i="3"/>
  <c r="M32" i="3"/>
  <c r="G32" i="4" s="1"/>
  <c r="L32" i="3"/>
  <c r="C32" i="4" s="1"/>
  <c r="P31" i="3"/>
  <c r="F31" i="4" s="1"/>
  <c r="O31" i="3"/>
  <c r="H31" i="4" s="1"/>
  <c r="N31" i="3"/>
  <c r="M31" i="3"/>
  <c r="G31" i="4" s="1"/>
  <c r="L31" i="3"/>
  <c r="C31" i="4" s="1"/>
  <c r="Q30" i="3"/>
  <c r="E30" i="4" s="1"/>
  <c r="P30" i="3"/>
  <c r="F30" i="4" s="1"/>
  <c r="O30" i="3"/>
  <c r="H30" i="4" s="1"/>
  <c r="N30" i="3"/>
  <c r="M30" i="3"/>
  <c r="G30" i="4" s="1"/>
  <c r="L30" i="3"/>
  <c r="C30" i="4" s="1"/>
  <c r="R29" i="3"/>
  <c r="D29" i="4" s="1"/>
  <c r="Q29" i="3"/>
  <c r="E29" i="4" s="1"/>
  <c r="P29" i="3"/>
  <c r="F29" i="4" s="1"/>
  <c r="O29" i="3"/>
  <c r="H29" i="4" s="1"/>
  <c r="N29" i="3"/>
  <c r="M29" i="3"/>
  <c r="G29" i="4" s="1"/>
  <c r="L29" i="3"/>
  <c r="C29" i="4" s="1"/>
  <c r="Q28" i="3"/>
  <c r="E28" i="4" s="1"/>
  <c r="P28" i="3"/>
  <c r="F28" i="4" s="1"/>
  <c r="O28" i="3"/>
  <c r="H28" i="4" s="1"/>
  <c r="N28" i="3"/>
  <c r="M28" i="3"/>
  <c r="G28" i="4" s="1"/>
  <c r="L28" i="3"/>
  <c r="C28" i="4" s="1"/>
  <c r="P27" i="3"/>
  <c r="F27" i="4" s="1"/>
  <c r="O27" i="3"/>
  <c r="H27" i="4" s="1"/>
  <c r="N27" i="3"/>
  <c r="M27" i="3"/>
  <c r="G27" i="4" s="1"/>
  <c r="L27" i="3"/>
  <c r="C27" i="4" s="1"/>
  <c r="P26" i="3"/>
  <c r="F26" i="4" s="1"/>
  <c r="O26" i="3"/>
  <c r="H26" i="4" s="1"/>
  <c r="N26" i="3"/>
  <c r="M26" i="3"/>
  <c r="G26" i="4" s="1"/>
  <c r="L26" i="3"/>
  <c r="C26" i="4" s="1"/>
  <c r="P25" i="3"/>
  <c r="F25" i="4" s="1"/>
  <c r="O25" i="3"/>
  <c r="H25" i="4" s="1"/>
  <c r="N25" i="3"/>
  <c r="M25" i="3"/>
  <c r="G25" i="4" s="1"/>
  <c r="L25" i="3"/>
  <c r="C25" i="4" s="1"/>
  <c r="P24" i="3"/>
  <c r="F24" i="4" s="1"/>
  <c r="O24" i="3"/>
  <c r="H24" i="4" s="1"/>
  <c r="N24" i="3"/>
  <c r="M24" i="3"/>
  <c r="G24" i="4" s="1"/>
  <c r="L24" i="3"/>
  <c r="C24" i="4" s="1"/>
  <c r="P23" i="3"/>
  <c r="F23" i="4" s="1"/>
  <c r="O23" i="3"/>
  <c r="H23" i="4" s="1"/>
  <c r="N23" i="3"/>
  <c r="M23" i="3"/>
  <c r="G23" i="4" s="1"/>
  <c r="L23" i="3"/>
  <c r="C23" i="4" s="1"/>
  <c r="Q22" i="3"/>
  <c r="E22" i="4" s="1"/>
  <c r="P22" i="3"/>
  <c r="F22" i="4" s="1"/>
  <c r="O22" i="3"/>
  <c r="H22" i="4" s="1"/>
  <c r="N22" i="3"/>
  <c r="M22" i="3"/>
  <c r="G22" i="4" s="1"/>
  <c r="L22" i="3"/>
  <c r="C22" i="4" s="1"/>
  <c r="P21" i="3"/>
  <c r="F21" i="4" s="1"/>
  <c r="O21" i="3"/>
  <c r="H21" i="4" s="1"/>
  <c r="N21" i="3"/>
  <c r="M21" i="3"/>
  <c r="G21" i="4" s="1"/>
  <c r="L21" i="3"/>
  <c r="C21" i="4" s="1"/>
  <c r="Q20" i="3"/>
  <c r="E20" i="4" s="1"/>
  <c r="P20" i="3"/>
  <c r="F20" i="4" s="1"/>
  <c r="O20" i="3"/>
  <c r="H20" i="4" s="1"/>
  <c r="N20" i="3"/>
  <c r="M20" i="3"/>
  <c r="G20" i="4" s="1"/>
  <c r="L20" i="3"/>
  <c r="C20" i="4" s="1"/>
  <c r="P19" i="3"/>
  <c r="F19" i="4" s="1"/>
  <c r="O19" i="3"/>
  <c r="H19" i="4" s="1"/>
  <c r="N19" i="3"/>
  <c r="M19" i="3"/>
  <c r="G19" i="4" s="1"/>
  <c r="L19" i="3"/>
  <c r="C19" i="4" s="1"/>
  <c r="Q18" i="3"/>
  <c r="E18" i="4" s="1"/>
  <c r="P18" i="3"/>
  <c r="F18" i="4" s="1"/>
  <c r="O18" i="3"/>
  <c r="H18" i="4" s="1"/>
  <c r="N18" i="3"/>
  <c r="M18" i="3"/>
  <c r="G18" i="4" s="1"/>
  <c r="L18" i="3"/>
  <c r="C18" i="4" s="1"/>
  <c r="P17" i="3"/>
  <c r="F17" i="4" s="1"/>
  <c r="O17" i="3"/>
  <c r="H17" i="4" s="1"/>
  <c r="N17" i="3"/>
  <c r="M17" i="3"/>
  <c r="G17" i="4" s="1"/>
  <c r="L17" i="3"/>
  <c r="C17" i="4" s="1"/>
  <c r="Q16" i="3"/>
  <c r="E16" i="4" s="1"/>
  <c r="P16" i="3"/>
  <c r="F16" i="4" s="1"/>
  <c r="O16" i="3"/>
  <c r="H16" i="4" s="1"/>
  <c r="N16" i="3"/>
  <c r="M16" i="3"/>
  <c r="G16" i="4" s="1"/>
  <c r="L16" i="3"/>
  <c r="C16" i="4" s="1"/>
  <c r="P15" i="3"/>
  <c r="F15" i="4" s="1"/>
  <c r="O15" i="3"/>
  <c r="H15" i="4" s="1"/>
  <c r="N15" i="3"/>
  <c r="M15" i="3"/>
  <c r="G15" i="4" s="1"/>
  <c r="L15" i="3"/>
  <c r="C15" i="4" s="1"/>
  <c r="Q14" i="3"/>
  <c r="E14" i="4" s="1"/>
  <c r="P14" i="3"/>
  <c r="F14" i="4" s="1"/>
  <c r="O14" i="3"/>
  <c r="H14" i="4" s="1"/>
  <c r="N14" i="3"/>
  <c r="M14" i="3"/>
  <c r="G14" i="4" s="1"/>
  <c r="L14" i="3"/>
  <c r="C14" i="4" s="1"/>
  <c r="R13" i="3"/>
  <c r="D13" i="4" s="1"/>
  <c r="Q13" i="3"/>
  <c r="E13" i="4" s="1"/>
  <c r="P13" i="3"/>
  <c r="F13" i="4" s="1"/>
  <c r="O13" i="3"/>
  <c r="H13" i="4" s="1"/>
  <c r="N13" i="3"/>
  <c r="M13" i="3"/>
  <c r="G13" i="4" s="1"/>
  <c r="L13" i="3"/>
  <c r="C13" i="4" s="1"/>
  <c r="Q12" i="3"/>
  <c r="E12" i="4" s="1"/>
  <c r="P12" i="3"/>
  <c r="F12" i="4" s="1"/>
  <c r="O12" i="3"/>
  <c r="H12" i="4" s="1"/>
  <c r="N12" i="3"/>
  <c r="M12" i="3"/>
  <c r="G12" i="4" s="1"/>
  <c r="L12" i="3"/>
  <c r="C12" i="4" s="1"/>
  <c r="P11" i="3"/>
  <c r="F11" i="4" s="1"/>
  <c r="O11" i="3"/>
  <c r="H11" i="4" s="1"/>
  <c r="N11" i="3"/>
  <c r="M11" i="3"/>
  <c r="G11" i="4" s="1"/>
  <c r="L11" i="3"/>
  <c r="C11" i="4" s="1"/>
  <c r="P10" i="3"/>
  <c r="F10" i="4" s="1"/>
  <c r="O10" i="3"/>
  <c r="H10" i="4" s="1"/>
  <c r="N10" i="3"/>
  <c r="M10" i="3"/>
  <c r="G10" i="4" s="1"/>
  <c r="L10" i="3"/>
  <c r="C10" i="4" s="1"/>
  <c r="P9" i="3"/>
  <c r="F9" i="4" s="1"/>
  <c r="O9" i="3"/>
  <c r="H9" i="4" s="1"/>
  <c r="N9" i="3"/>
  <c r="M9" i="3"/>
  <c r="G9" i="4" s="1"/>
  <c r="L9" i="3"/>
  <c r="C9" i="4" s="1"/>
  <c r="P8" i="3"/>
  <c r="F8" i="4" s="1"/>
  <c r="O8" i="3"/>
  <c r="H8" i="4" s="1"/>
  <c r="N8" i="3"/>
  <c r="M8" i="3"/>
  <c r="G8" i="4" s="1"/>
  <c r="L8" i="3"/>
  <c r="C8" i="4" s="1"/>
  <c r="P7" i="3"/>
  <c r="F7" i="4" s="1"/>
  <c r="O7" i="3"/>
  <c r="H7" i="4" s="1"/>
  <c r="N7" i="3"/>
  <c r="M7" i="3"/>
  <c r="G7" i="4" s="1"/>
  <c r="L7" i="3"/>
  <c r="C7" i="4" s="1"/>
  <c r="Q6" i="3"/>
  <c r="E6" i="4" s="1"/>
  <c r="P6" i="3"/>
  <c r="F6" i="4" s="1"/>
  <c r="O6" i="3"/>
  <c r="H6" i="4" s="1"/>
  <c r="N6" i="3"/>
  <c r="M6" i="3"/>
  <c r="G6" i="4" s="1"/>
  <c r="L6" i="3"/>
  <c r="C6" i="4" s="1"/>
  <c r="P5" i="3"/>
  <c r="F5" i="4" s="1"/>
  <c r="O5" i="3"/>
  <c r="H5" i="4" s="1"/>
  <c r="N5" i="3"/>
  <c r="M5" i="3"/>
  <c r="G5" i="4" s="1"/>
  <c r="L5" i="3"/>
  <c r="C5" i="4" s="1"/>
  <c r="Q4" i="3"/>
  <c r="E4" i="4" s="1"/>
  <c r="P4" i="3"/>
  <c r="F4" i="4" s="1"/>
  <c r="O4" i="3"/>
  <c r="H4" i="4" s="1"/>
  <c r="N4" i="3"/>
  <c r="M4" i="3"/>
  <c r="G4" i="4" s="1"/>
  <c r="L4" i="3"/>
  <c r="C4" i="4" s="1"/>
  <c r="P3" i="3"/>
  <c r="F3" i="4" s="1"/>
  <c r="O3" i="3"/>
  <c r="H3" i="4" s="1"/>
  <c r="N3" i="3"/>
  <c r="M3" i="3"/>
  <c r="G3" i="4" s="1"/>
  <c r="L3" i="3"/>
  <c r="C3" i="4" s="1"/>
  <c r="Q2" i="3"/>
  <c r="E2" i="4" s="1"/>
  <c r="P2" i="3"/>
  <c r="F2" i="4" s="1"/>
  <c r="O2" i="3"/>
  <c r="H2" i="4" s="1"/>
  <c r="N2" i="3"/>
  <c r="M2" i="3"/>
  <c r="G2" i="4" s="1"/>
  <c r="L2" i="3"/>
  <c r="C2" i="4" s="1"/>
  <c r="Q7" i="3" l="1"/>
  <c r="E7" i="4" s="1"/>
  <c r="R32" i="3"/>
  <c r="D32" i="4" s="1"/>
  <c r="R48" i="3"/>
  <c r="D48" i="4" s="1"/>
  <c r="I48" i="4" s="1"/>
  <c r="Q135" i="3"/>
  <c r="E135" i="4" s="1"/>
  <c r="Q70" i="3"/>
  <c r="E70" i="4" s="1"/>
  <c r="R6" i="3"/>
  <c r="D6" i="4" s="1"/>
  <c r="R22" i="3"/>
  <c r="D22" i="4" s="1"/>
  <c r="I32" i="4"/>
  <c r="R38" i="3"/>
  <c r="D38" i="4" s="1"/>
  <c r="Q61" i="3"/>
  <c r="Q77" i="3"/>
  <c r="Q93" i="3"/>
  <c r="Q109" i="3"/>
  <c r="Q125" i="3"/>
  <c r="Q141" i="3"/>
  <c r="I158" i="4"/>
  <c r="H217" i="4"/>
  <c r="R217" i="3"/>
  <c r="D217" i="4" s="1"/>
  <c r="C220" i="4"/>
  <c r="Q220" i="3"/>
  <c r="C230" i="4"/>
  <c r="Q230" i="3"/>
  <c r="C240" i="4"/>
  <c r="Q240" i="3"/>
  <c r="E240" i="4" s="1"/>
  <c r="R259" i="3"/>
  <c r="D259" i="4" s="1"/>
  <c r="Q279" i="3"/>
  <c r="Q289" i="3"/>
  <c r="I305" i="4"/>
  <c r="C310" i="4"/>
  <c r="Q310" i="3"/>
  <c r="E310" i="4" s="1"/>
  <c r="C315" i="4"/>
  <c r="R315" i="3"/>
  <c r="D315" i="4" s="1"/>
  <c r="Q343" i="3"/>
  <c r="Q359" i="3"/>
  <c r="Q375" i="3"/>
  <c r="C394" i="4"/>
  <c r="R394" i="3"/>
  <c r="D394" i="4" s="1"/>
  <c r="Q394" i="3"/>
  <c r="E394" i="4" s="1"/>
  <c r="C410" i="4"/>
  <c r="R410" i="3"/>
  <c r="D410" i="4" s="1"/>
  <c r="Q410" i="3"/>
  <c r="E410" i="4" s="1"/>
  <c r="C426" i="4"/>
  <c r="Q426" i="3"/>
  <c r="E426" i="4" s="1"/>
  <c r="C442" i="4"/>
  <c r="Q442" i="3"/>
  <c r="E442" i="4" s="1"/>
  <c r="Q455" i="3"/>
  <c r="R471" i="3"/>
  <c r="D471" i="4" s="1"/>
  <c r="H485" i="4"/>
  <c r="R485" i="3"/>
  <c r="D485" i="4" s="1"/>
  <c r="C496" i="4"/>
  <c r="Q496" i="3"/>
  <c r="C518" i="4"/>
  <c r="Q518" i="3"/>
  <c r="E518" i="4" s="1"/>
  <c r="C582" i="4"/>
  <c r="Q582" i="3"/>
  <c r="E582" i="4" s="1"/>
  <c r="C235" i="4"/>
  <c r="C300" i="4"/>
  <c r="Q300" i="3"/>
  <c r="E300" i="4" s="1"/>
  <c r="H325" i="4"/>
  <c r="R325" i="3"/>
  <c r="D325" i="4" s="1"/>
  <c r="H469" i="4"/>
  <c r="R469" i="3"/>
  <c r="D469" i="4" s="1"/>
  <c r="C480" i="4"/>
  <c r="Q480" i="3"/>
  <c r="E480" i="4" s="1"/>
  <c r="E531" i="4"/>
  <c r="R531" i="3"/>
  <c r="D531" i="4" s="1"/>
  <c r="R4" i="3"/>
  <c r="D4" i="4" s="1"/>
  <c r="Q11" i="3"/>
  <c r="E11" i="4" s="1"/>
  <c r="R20" i="3"/>
  <c r="D20" i="4" s="1"/>
  <c r="Q27" i="3"/>
  <c r="E27" i="4" s="1"/>
  <c r="R36" i="3"/>
  <c r="D36" i="4" s="1"/>
  <c r="Q43" i="3"/>
  <c r="E43" i="4" s="1"/>
  <c r="R52" i="3"/>
  <c r="D52" i="4" s="1"/>
  <c r="Q59" i="3"/>
  <c r="E59" i="4" s="1"/>
  <c r="R68" i="3"/>
  <c r="D68" i="4" s="1"/>
  <c r="Q75" i="3"/>
  <c r="E75" i="4" s="1"/>
  <c r="R84" i="3"/>
  <c r="D84" i="4" s="1"/>
  <c r="Q91" i="3"/>
  <c r="E91" i="4" s="1"/>
  <c r="R100" i="3"/>
  <c r="D100" i="4" s="1"/>
  <c r="Q107" i="3"/>
  <c r="E107" i="4" s="1"/>
  <c r="R116" i="3"/>
  <c r="D116" i="4" s="1"/>
  <c r="Q123" i="3"/>
  <c r="E123" i="4" s="1"/>
  <c r="R132" i="3"/>
  <c r="D132" i="4" s="1"/>
  <c r="Q139" i="3"/>
  <c r="E139" i="4" s="1"/>
  <c r="R148" i="3"/>
  <c r="D148" i="4" s="1"/>
  <c r="H185" i="4"/>
  <c r="R185" i="3"/>
  <c r="D185" i="4" s="1"/>
  <c r="C188" i="4"/>
  <c r="Q188" i="3"/>
  <c r="C198" i="4"/>
  <c r="Q198" i="3"/>
  <c r="E198" i="4" s="1"/>
  <c r="R202" i="3"/>
  <c r="D202" i="4" s="1"/>
  <c r="C208" i="4"/>
  <c r="Q208" i="3"/>
  <c r="E208" i="4" s="1"/>
  <c r="R212" i="3"/>
  <c r="D212" i="4" s="1"/>
  <c r="R227" i="3"/>
  <c r="D227" i="4" s="1"/>
  <c r="Q237" i="3"/>
  <c r="Q247" i="3"/>
  <c r="Q257" i="3"/>
  <c r="E257" i="4" s="1"/>
  <c r="C270" i="4"/>
  <c r="I270" i="4" s="1"/>
  <c r="R270" i="3"/>
  <c r="D270" i="4" s="1"/>
  <c r="H277" i="4"/>
  <c r="R277" i="3"/>
  <c r="D277" i="4" s="1"/>
  <c r="C290" i="4"/>
  <c r="Q290" i="3"/>
  <c r="E290" i="4" s="1"/>
  <c r="H297" i="4"/>
  <c r="R297" i="3"/>
  <c r="D297" i="4" s="1"/>
  <c r="E307" i="4"/>
  <c r="R307" i="3"/>
  <c r="D307" i="4" s="1"/>
  <c r="R317" i="3"/>
  <c r="D317" i="4" s="1"/>
  <c r="C336" i="4"/>
  <c r="Q336" i="3"/>
  <c r="E336" i="4" s="1"/>
  <c r="H341" i="4"/>
  <c r="R341" i="3"/>
  <c r="D341" i="4" s="1"/>
  <c r="C352" i="4"/>
  <c r="Q352" i="3"/>
  <c r="E352" i="4" s="1"/>
  <c r="C368" i="4"/>
  <c r="Q368" i="3"/>
  <c r="E368" i="4" s="1"/>
  <c r="R391" i="3"/>
  <c r="D391" i="4" s="1"/>
  <c r="R407" i="3"/>
  <c r="D407" i="4" s="1"/>
  <c r="R423" i="3"/>
  <c r="D423" i="4" s="1"/>
  <c r="R439" i="3"/>
  <c r="D439" i="4" s="1"/>
  <c r="H453" i="4"/>
  <c r="R453" i="3"/>
  <c r="D453" i="4" s="1"/>
  <c r="C464" i="4"/>
  <c r="Q464" i="3"/>
  <c r="C502" i="4"/>
  <c r="Q502" i="3"/>
  <c r="C554" i="4"/>
  <c r="R554" i="3"/>
  <c r="D554" i="4" s="1"/>
  <c r="Q554" i="3"/>
  <c r="E554" i="4" s="1"/>
  <c r="R11" i="3"/>
  <c r="D11" i="4" s="1"/>
  <c r="R43" i="3"/>
  <c r="D43" i="4" s="1"/>
  <c r="R75" i="3"/>
  <c r="D75" i="4" s="1"/>
  <c r="R123" i="3"/>
  <c r="D123" i="4" s="1"/>
  <c r="R139" i="3"/>
  <c r="D139" i="4" s="1"/>
  <c r="C203" i="4"/>
  <c r="R203" i="3"/>
  <c r="D203" i="4" s="1"/>
  <c r="R232" i="3"/>
  <c r="D232" i="4" s="1"/>
  <c r="I308" i="4"/>
  <c r="R312" i="3"/>
  <c r="D312" i="4" s="1"/>
  <c r="C318" i="4"/>
  <c r="R318" i="3"/>
  <c r="D318" i="4" s="1"/>
  <c r="C384" i="4"/>
  <c r="Q384" i="3"/>
  <c r="H437" i="4"/>
  <c r="R437" i="3"/>
  <c r="D437" i="4" s="1"/>
  <c r="C448" i="4"/>
  <c r="Q448" i="3"/>
  <c r="C486" i="4"/>
  <c r="Q486" i="3"/>
  <c r="R493" i="3"/>
  <c r="D493" i="4" s="1"/>
  <c r="E515" i="4"/>
  <c r="R515" i="3"/>
  <c r="D515" i="4" s="1"/>
  <c r="H565" i="4"/>
  <c r="R91" i="3"/>
  <c r="D91" i="4" s="1"/>
  <c r="R107" i="3"/>
  <c r="D107" i="4" s="1"/>
  <c r="R2" i="3"/>
  <c r="D2" i="4" s="1"/>
  <c r="Q9" i="3"/>
  <c r="R18" i="3"/>
  <c r="D18" i="4" s="1"/>
  <c r="Q25" i="3"/>
  <c r="R34" i="3"/>
  <c r="D34" i="4" s="1"/>
  <c r="Q41" i="3"/>
  <c r="R50" i="3"/>
  <c r="D50" i="4" s="1"/>
  <c r="Q57" i="3"/>
  <c r="R66" i="3"/>
  <c r="D66" i="4" s="1"/>
  <c r="Q73" i="3"/>
  <c r="R82" i="3"/>
  <c r="D82" i="4" s="1"/>
  <c r="Q89" i="3"/>
  <c r="R98" i="3"/>
  <c r="D98" i="4" s="1"/>
  <c r="Q105" i="3"/>
  <c r="R114" i="3"/>
  <c r="D114" i="4" s="1"/>
  <c r="Q121" i="3"/>
  <c r="R130" i="3"/>
  <c r="D130" i="4" s="1"/>
  <c r="Q137" i="3"/>
  <c r="R146" i="3"/>
  <c r="D146" i="4" s="1"/>
  <c r="R153" i="3"/>
  <c r="D153" i="4" s="1"/>
  <c r="C166" i="4"/>
  <c r="Q166" i="3"/>
  <c r="E166" i="4" s="1"/>
  <c r="R170" i="3"/>
  <c r="D170" i="4" s="1"/>
  <c r="C176" i="4"/>
  <c r="Q176" i="3"/>
  <c r="E176" i="4" s="1"/>
  <c r="R180" i="3"/>
  <c r="D180" i="4" s="1"/>
  <c r="R195" i="3"/>
  <c r="D195" i="4" s="1"/>
  <c r="Q205" i="3"/>
  <c r="Q215" i="3"/>
  <c r="Q225" i="3"/>
  <c r="C238" i="4"/>
  <c r="H245" i="4"/>
  <c r="R245" i="3"/>
  <c r="D245" i="4" s="1"/>
  <c r="C258" i="4"/>
  <c r="I258" i="4" s="1"/>
  <c r="Q258" i="3"/>
  <c r="E258" i="4" s="1"/>
  <c r="Q282" i="3"/>
  <c r="E282" i="4" s="1"/>
  <c r="R292" i="3"/>
  <c r="D292" i="4" s="1"/>
  <c r="C326" i="4"/>
  <c r="Q326" i="3"/>
  <c r="E326" i="4" s="1"/>
  <c r="C400" i="4"/>
  <c r="Q400" i="3"/>
  <c r="E400" i="4" s="1"/>
  <c r="C416" i="4"/>
  <c r="Q416" i="3"/>
  <c r="E416" i="4" s="1"/>
  <c r="C432" i="4"/>
  <c r="Q432" i="3"/>
  <c r="E432" i="4" s="1"/>
  <c r="C470" i="4"/>
  <c r="Q470" i="3"/>
  <c r="E470" i="4" s="1"/>
  <c r="R477" i="3"/>
  <c r="D477" i="4" s="1"/>
  <c r="C513" i="4"/>
  <c r="I513" i="4" s="1"/>
  <c r="R513" i="3"/>
  <c r="D513" i="4" s="1"/>
  <c r="Q513" i="3"/>
  <c r="E513" i="4" s="1"/>
  <c r="E551" i="4"/>
  <c r="R551" i="3"/>
  <c r="D551" i="4" s="1"/>
  <c r="E579" i="4"/>
  <c r="R579" i="3"/>
  <c r="D579" i="4" s="1"/>
  <c r="C171" i="4"/>
  <c r="R171" i="3"/>
  <c r="D171" i="4" s="1"/>
  <c r="R240" i="3"/>
  <c r="D240" i="4" s="1"/>
  <c r="H265" i="4"/>
  <c r="R265" i="3"/>
  <c r="D265" i="4" s="1"/>
  <c r="C268" i="4"/>
  <c r="Q268" i="3"/>
  <c r="C278" i="4"/>
  <c r="Q278" i="3"/>
  <c r="C288" i="4"/>
  <c r="Q288" i="3"/>
  <c r="C298" i="4"/>
  <c r="Q298" i="3"/>
  <c r="R310" i="3"/>
  <c r="D310" i="4" s="1"/>
  <c r="R333" i="3"/>
  <c r="D333" i="4" s="1"/>
  <c r="C342" i="4"/>
  <c r="Q342" i="3"/>
  <c r="R349" i="3"/>
  <c r="D349" i="4" s="1"/>
  <c r="C358" i="4"/>
  <c r="Q358" i="3"/>
  <c r="R365" i="3"/>
  <c r="D365" i="4" s="1"/>
  <c r="C374" i="4"/>
  <c r="Q374" i="3"/>
  <c r="C454" i="4"/>
  <c r="Q454" i="3"/>
  <c r="R461" i="3"/>
  <c r="D461" i="4" s="1"/>
  <c r="E499" i="4"/>
  <c r="R499" i="3"/>
  <c r="D499" i="4" s="1"/>
  <c r="R518" i="3"/>
  <c r="D518" i="4" s="1"/>
  <c r="C566" i="4"/>
  <c r="Q566" i="3"/>
  <c r="E566" i="4" s="1"/>
  <c r="E599" i="4"/>
  <c r="R599" i="3"/>
  <c r="D599" i="4" s="1"/>
  <c r="C614" i="4"/>
  <c r="R614" i="3"/>
  <c r="D614" i="4" s="1"/>
  <c r="Q614" i="3"/>
  <c r="E614" i="4" s="1"/>
  <c r="I168" i="4"/>
  <c r="R151" i="3"/>
  <c r="D151" i="4" s="1"/>
  <c r="I151" i="4" s="1"/>
  <c r="R163" i="3"/>
  <c r="D163" i="4" s="1"/>
  <c r="Q168" i="3"/>
  <c r="E168" i="4" s="1"/>
  <c r="Q173" i="3"/>
  <c r="E173" i="4" s="1"/>
  <c r="Q183" i="3"/>
  <c r="E183" i="4" s="1"/>
  <c r="Q193" i="3"/>
  <c r="E193" i="4" s="1"/>
  <c r="C206" i="4"/>
  <c r="H213" i="4"/>
  <c r="R213" i="3"/>
  <c r="D213" i="4" s="1"/>
  <c r="C226" i="4"/>
  <c r="Q226" i="3"/>
  <c r="E226" i="4" s="1"/>
  <c r="Q235" i="3"/>
  <c r="E235" i="4" s="1"/>
  <c r="Q250" i="3"/>
  <c r="E250" i="4" s="1"/>
  <c r="Q260" i="3"/>
  <c r="E260" i="4" s="1"/>
  <c r="C283" i="4"/>
  <c r="Q295" i="3"/>
  <c r="E295" i="4" s="1"/>
  <c r="R300" i="3"/>
  <c r="D300" i="4" s="1"/>
  <c r="C316" i="4"/>
  <c r="Q316" i="3"/>
  <c r="E316" i="4" s="1"/>
  <c r="C390" i="4"/>
  <c r="Q390" i="3"/>
  <c r="E390" i="4" s="1"/>
  <c r="C406" i="4"/>
  <c r="Q406" i="3"/>
  <c r="E406" i="4" s="1"/>
  <c r="C422" i="4"/>
  <c r="Q422" i="3"/>
  <c r="E422" i="4" s="1"/>
  <c r="C438" i="4"/>
  <c r="Q438" i="3"/>
  <c r="E438" i="4" s="1"/>
  <c r="R480" i="3"/>
  <c r="D480" i="4" s="1"/>
  <c r="E483" i="4"/>
  <c r="R483" i="3"/>
  <c r="D483" i="4" s="1"/>
  <c r="C497" i="4"/>
  <c r="Q497" i="3"/>
  <c r="E497" i="4" s="1"/>
  <c r="R135" i="3"/>
  <c r="D135" i="4" s="1"/>
  <c r="R168" i="3"/>
  <c r="D168" i="4" s="1"/>
  <c r="R173" i="3"/>
  <c r="D173" i="4" s="1"/>
  <c r="I173" i="4" s="1"/>
  <c r="R183" i="3"/>
  <c r="D183" i="4" s="1"/>
  <c r="I183" i="4" s="1"/>
  <c r="R193" i="3"/>
  <c r="D193" i="4" s="1"/>
  <c r="I193" i="4" s="1"/>
  <c r="R198" i="3"/>
  <c r="D198" i="4" s="1"/>
  <c r="R208" i="3"/>
  <c r="D208" i="4" s="1"/>
  <c r="H233" i="4"/>
  <c r="R233" i="3"/>
  <c r="D233" i="4" s="1"/>
  <c r="C236" i="4"/>
  <c r="Q236" i="3"/>
  <c r="E236" i="4" s="1"/>
  <c r="C246" i="4"/>
  <c r="Q246" i="3"/>
  <c r="E246" i="4" s="1"/>
  <c r="C256" i="4"/>
  <c r="Q256" i="3"/>
  <c r="E256" i="4" s="1"/>
  <c r="R275" i="3"/>
  <c r="D275" i="4" s="1"/>
  <c r="R290" i="3"/>
  <c r="D290" i="4" s="1"/>
  <c r="R295" i="3"/>
  <c r="D295" i="4" s="1"/>
  <c r="I295" i="4" s="1"/>
  <c r="C306" i="4"/>
  <c r="Q306" i="3"/>
  <c r="E306" i="4" s="1"/>
  <c r="H313" i="4"/>
  <c r="R313" i="3"/>
  <c r="D313" i="4" s="1"/>
  <c r="E323" i="4"/>
  <c r="R323" i="3"/>
  <c r="D323" i="4" s="1"/>
  <c r="R336" i="3"/>
  <c r="D336" i="4" s="1"/>
  <c r="R352" i="3"/>
  <c r="D352" i="4" s="1"/>
  <c r="R368" i="3"/>
  <c r="D368" i="4" s="1"/>
  <c r="R397" i="3"/>
  <c r="D397" i="4" s="1"/>
  <c r="R413" i="3"/>
  <c r="D413" i="4" s="1"/>
  <c r="R429" i="3"/>
  <c r="D429" i="4" s="1"/>
  <c r="E467" i="4"/>
  <c r="R467" i="3"/>
  <c r="D467" i="4" s="1"/>
  <c r="C481" i="4"/>
  <c r="I481" i="4" s="1"/>
  <c r="R481" i="3"/>
  <c r="D481" i="4" s="1"/>
  <c r="Q481" i="3"/>
  <c r="E481" i="4" s="1"/>
  <c r="C530" i="4"/>
  <c r="R530" i="3"/>
  <c r="D530" i="4" s="1"/>
  <c r="Q530" i="3"/>
  <c r="E530" i="4" s="1"/>
  <c r="C538" i="4"/>
  <c r="R538" i="3"/>
  <c r="D538" i="4" s="1"/>
  <c r="Q538" i="3"/>
  <c r="E538" i="4" s="1"/>
  <c r="Q69" i="3"/>
  <c r="E69" i="4" s="1"/>
  <c r="R78" i="3"/>
  <c r="D78" i="4" s="1"/>
  <c r="I78" i="4" s="1"/>
  <c r="Q101" i="3"/>
  <c r="E101" i="4" s="1"/>
  <c r="R110" i="3"/>
  <c r="D110" i="4" s="1"/>
  <c r="I110" i="4" s="1"/>
  <c r="Q117" i="3"/>
  <c r="E117" i="4" s="1"/>
  <c r="R126" i="3"/>
  <c r="D126" i="4" s="1"/>
  <c r="I126" i="4" s="1"/>
  <c r="Q133" i="3"/>
  <c r="E133" i="4" s="1"/>
  <c r="R142" i="3"/>
  <c r="D142" i="4" s="1"/>
  <c r="I142" i="4" s="1"/>
  <c r="R156" i="3"/>
  <c r="D156" i="4" s="1"/>
  <c r="I156" i="4" s="1"/>
  <c r="Q161" i="3"/>
  <c r="E161" i="4" s="1"/>
  <c r="C174" i="4"/>
  <c r="H181" i="4"/>
  <c r="R181" i="3"/>
  <c r="D181" i="4" s="1"/>
  <c r="C194" i="4"/>
  <c r="Q194" i="3"/>
  <c r="E194" i="4" s="1"/>
  <c r="C251" i="4"/>
  <c r="R280" i="3"/>
  <c r="D280" i="4" s="1"/>
  <c r="R285" i="3"/>
  <c r="D285" i="4" s="1"/>
  <c r="I285" i="4" s="1"/>
  <c r="H293" i="4"/>
  <c r="R293" i="3"/>
  <c r="D293" i="4" s="1"/>
  <c r="C324" i="4"/>
  <c r="C337" i="4"/>
  <c r="Q337" i="3"/>
  <c r="E337" i="4" s="1"/>
  <c r="E339" i="4"/>
  <c r="R339" i="3"/>
  <c r="D339" i="4" s="1"/>
  <c r="C353" i="4"/>
  <c r="R353" i="3"/>
  <c r="D353" i="4" s="1"/>
  <c r="Q353" i="3"/>
  <c r="E353" i="4" s="1"/>
  <c r="E355" i="4"/>
  <c r="R355" i="3"/>
  <c r="D355" i="4" s="1"/>
  <c r="C369" i="4"/>
  <c r="Q369" i="3"/>
  <c r="E369" i="4" s="1"/>
  <c r="E371" i="4"/>
  <c r="R371" i="3"/>
  <c r="D371" i="4" s="1"/>
  <c r="E451" i="4"/>
  <c r="R451" i="3"/>
  <c r="D451" i="4" s="1"/>
  <c r="C465" i="4"/>
  <c r="R465" i="3"/>
  <c r="D465" i="4" s="1"/>
  <c r="Q465" i="3"/>
  <c r="E465" i="4" s="1"/>
  <c r="H549" i="4"/>
  <c r="C586" i="4"/>
  <c r="I586" i="4" s="1"/>
  <c r="R586" i="3"/>
  <c r="D586" i="4" s="1"/>
  <c r="Q586" i="3"/>
  <c r="E586" i="4" s="1"/>
  <c r="Q71" i="3"/>
  <c r="E71" i="4" s="1"/>
  <c r="Q87" i="3"/>
  <c r="E87" i="4" s="1"/>
  <c r="Q119" i="3"/>
  <c r="E119" i="4" s="1"/>
  <c r="Q85" i="3"/>
  <c r="E85" i="4" s="1"/>
  <c r="R94" i="3"/>
  <c r="D94" i="4" s="1"/>
  <c r="I94" i="4" s="1"/>
  <c r="Q44" i="3"/>
  <c r="E44" i="4" s="1"/>
  <c r="Q60" i="3"/>
  <c r="E60" i="4" s="1"/>
  <c r="R69" i="3"/>
  <c r="D69" i="4" s="1"/>
  <c r="I69" i="4" s="1"/>
  <c r="Q76" i="3"/>
  <c r="E76" i="4" s="1"/>
  <c r="Q92" i="3"/>
  <c r="E92" i="4" s="1"/>
  <c r="Q108" i="3"/>
  <c r="E108" i="4" s="1"/>
  <c r="R133" i="3"/>
  <c r="D133" i="4" s="1"/>
  <c r="I133" i="4" s="1"/>
  <c r="R149" i="3"/>
  <c r="D149" i="4" s="1"/>
  <c r="I149" i="4" s="1"/>
  <c r="R161" i="3"/>
  <c r="D161" i="4" s="1"/>
  <c r="I161" i="4" s="1"/>
  <c r="R166" i="3"/>
  <c r="D166" i="4" s="1"/>
  <c r="R176" i="3"/>
  <c r="D176" i="4" s="1"/>
  <c r="H201" i="4"/>
  <c r="R201" i="3"/>
  <c r="D201" i="4" s="1"/>
  <c r="C204" i="4"/>
  <c r="Q204" i="3"/>
  <c r="C214" i="4"/>
  <c r="Q214" i="3"/>
  <c r="E214" i="4" s="1"/>
  <c r="R218" i="3"/>
  <c r="D218" i="4" s="1"/>
  <c r="I218" i="4" s="1"/>
  <c r="C224" i="4"/>
  <c r="Q224" i="3"/>
  <c r="E224" i="4" s="1"/>
  <c r="R228" i="3"/>
  <c r="D228" i="4" s="1"/>
  <c r="I228" i="4" s="1"/>
  <c r="Q238" i="3"/>
  <c r="E238" i="4" s="1"/>
  <c r="R243" i="3"/>
  <c r="D243" i="4" s="1"/>
  <c r="Q253" i="3"/>
  <c r="R258" i="3"/>
  <c r="D258" i="4" s="1"/>
  <c r="Q263" i="3"/>
  <c r="Q273" i="3"/>
  <c r="C286" i="4"/>
  <c r="R308" i="3"/>
  <c r="D308" i="4" s="1"/>
  <c r="R326" i="3"/>
  <c r="D326" i="4" s="1"/>
  <c r="C332" i="4"/>
  <c r="Q332" i="3"/>
  <c r="E332" i="4" s="1"/>
  <c r="C348" i="4"/>
  <c r="Q348" i="3"/>
  <c r="E348" i="4" s="1"/>
  <c r="C364" i="4"/>
  <c r="Q364" i="3"/>
  <c r="E364" i="4" s="1"/>
  <c r="C385" i="4"/>
  <c r="I385" i="4" s="1"/>
  <c r="R385" i="3"/>
  <c r="D385" i="4" s="1"/>
  <c r="Q385" i="3"/>
  <c r="E385" i="4" s="1"/>
  <c r="E387" i="4"/>
  <c r="R387" i="3"/>
  <c r="D387" i="4" s="1"/>
  <c r="R400" i="3"/>
  <c r="D400" i="4" s="1"/>
  <c r="E403" i="4"/>
  <c r="R403" i="3"/>
  <c r="D403" i="4" s="1"/>
  <c r="R416" i="3"/>
  <c r="D416" i="4" s="1"/>
  <c r="E419" i="4"/>
  <c r="R419" i="3"/>
  <c r="D419" i="4" s="1"/>
  <c r="R432" i="3"/>
  <c r="D432" i="4" s="1"/>
  <c r="E435" i="4"/>
  <c r="R435" i="3"/>
  <c r="D435" i="4" s="1"/>
  <c r="C449" i="4"/>
  <c r="R449" i="3"/>
  <c r="D449" i="4" s="1"/>
  <c r="Q449" i="3"/>
  <c r="E449" i="4" s="1"/>
  <c r="R470" i="3"/>
  <c r="D470" i="4" s="1"/>
  <c r="C514" i="4"/>
  <c r="Q514" i="3"/>
  <c r="E514" i="4" s="1"/>
  <c r="E535" i="4"/>
  <c r="R535" i="3"/>
  <c r="D535" i="4" s="1"/>
  <c r="E563" i="4"/>
  <c r="R563" i="3"/>
  <c r="D563" i="4" s="1"/>
  <c r="H597" i="4"/>
  <c r="E611" i="4"/>
  <c r="R611" i="3"/>
  <c r="D611" i="4" s="1"/>
  <c r="R30" i="3"/>
  <c r="D30" i="4" s="1"/>
  <c r="I30" i="4" s="1"/>
  <c r="R60" i="3"/>
  <c r="D60" i="4" s="1"/>
  <c r="I60" i="4" s="1"/>
  <c r="Q67" i="3"/>
  <c r="E67" i="4" s="1"/>
  <c r="Q83" i="3"/>
  <c r="E83" i="4" s="1"/>
  <c r="R124" i="3"/>
  <c r="D124" i="4" s="1"/>
  <c r="I124" i="4" s="1"/>
  <c r="Q131" i="3"/>
  <c r="E131" i="4" s="1"/>
  <c r="Q147" i="3"/>
  <c r="E147" i="4" s="1"/>
  <c r="C162" i="4"/>
  <c r="Q162" i="3"/>
  <c r="E162" i="4" s="1"/>
  <c r="C219" i="4"/>
  <c r="C304" i="4"/>
  <c r="Q304" i="3"/>
  <c r="E304" i="4" s="1"/>
  <c r="C314" i="4"/>
  <c r="Q314" i="3"/>
  <c r="E314" i="4" s="1"/>
  <c r="C380" i="4"/>
  <c r="Q380" i="3"/>
  <c r="E380" i="4" s="1"/>
  <c r="C401" i="4"/>
  <c r="Q401" i="3"/>
  <c r="E401" i="4" s="1"/>
  <c r="C417" i="4"/>
  <c r="R417" i="3"/>
  <c r="D417" i="4" s="1"/>
  <c r="Q417" i="3"/>
  <c r="E417" i="4" s="1"/>
  <c r="C433" i="4"/>
  <c r="Q433" i="3"/>
  <c r="E433" i="4" s="1"/>
  <c r="I471" i="4"/>
  <c r="C522" i="4"/>
  <c r="R522" i="3"/>
  <c r="D522" i="4" s="1"/>
  <c r="Q522" i="3"/>
  <c r="E522" i="4" s="1"/>
  <c r="C550" i="4"/>
  <c r="R550" i="3"/>
  <c r="D550" i="4" s="1"/>
  <c r="Q550" i="3"/>
  <c r="E550" i="4" s="1"/>
  <c r="E583" i="4"/>
  <c r="R583" i="3"/>
  <c r="D583" i="4" s="1"/>
  <c r="H165" i="4"/>
  <c r="R165" i="3"/>
  <c r="D165" i="4" s="1"/>
  <c r="R16" i="3"/>
  <c r="D16" i="4" s="1"/>
  <c r="I16" i="4" s="1"/>
  <c r="Q23" i="3"/>
  <c r="E23" i="4" s="1"/>
  <c r="Q55" i="3"/>
  <c r="E55" i="4" s="1"/>
  <c r="R64" i="3"/>
  <c r="D64" i="4" s="1"/>
  <c r="I64" i="4" s="1"/>
  <c r="R80" i="3"/>
  <c r="D80" i="4" s="1"/>
  <c r="I80" i="4" s="1"/>
  <c r="R7" i="3"/>
  <c r="D7" i="4" s="1"/>
  <c r="R14" i="3"/>
  <c r="D14" i="4" s="1"/>
  <c r="I14" i="4" s="1"/>
  <c r="Q21" i="3"/>
  <c r="E21" i="4" s="1"/>
  <c r="R46" i="3"/>
  <c r="D46" i="4" s="1"/>
  <c r="I46" i="4" s="1"/>
  <c r="I6" i="4"/>
  <c r="I22" i="4"/>
  <c r="R28" i="3"/>
  <c r="D28" i="4" s="1"/>
  <c r="I28" i="4" s="1"/>
  <c r="Q35" i="3"/>
  <c r="E35" i="4" s="1"/>
  <c r="I38" i="4"/>
  <c r="Q51" i="3"/>
  <c r="E51" i="4" s="1"/>
  <c r="R76" i="3"/>
  <c r="D76" i="4" s="1"/>
  <c r="I76" i="4" s="1"/>
  <c r="Q99" i="3"/>
  <c r="E99" i="4" s="1"/>
  <c r="R108" i="3"/>
  <c r="D108" i="4" s="1"/>
  <c r="I108" i="4" s="1"/>
  <c r="Q115" i="3"/>
  <c r="E115" i="4" s="1"/>
  <c r="Q10" i="3"/>
  <c r="E10" i="4" s="1"/>
  <c r="I13" i="4"/>
  <c r="R19" i="3"/>
  <c r="D19" i="4" s="1"/>
  <c r="I19" i="4" s="1"/>
  <c r="Q26" i="3"/>
  <c r="E26" i="4" s="1"/>
  <c r="I29" i="4"/>
  <c r="R35" i="3"/>
  <c r="D35" i="4" s="1"/>
  <c r="I35" i="4" s="1"/>
  <c r="Q42" i="3"/>
  <c r="E42" i="4" s="1"/>
  <c r="I45" i="4"/>
  <c r="R51" i="3"/>
  <c r="D51" i="4" s="1"/>
  <c r="I51" i="4" s="1"/>
  <c r="Q58" i="3"/>
  <c r="E58" i="4" s="1"/>
  <c r="R67" i="3"/>
  <c r="D67" i="4" s="1"/>
  <c r="I67" i="4" s="1"/>
  <c r="Q74" i="3"/>
  <c r="E74" i="4" s="1"/>
  <c r="Q90" i="3"/>
  <c r="E90" i="4" s="1"/>
  <c r="R99" i="3"/>
  <c r="D99" i="4" s="1"/>
  <c r="I99" i="4" s="1"/>
  <c r="Q106" i="3"/>
  <c r="E106" i="4" s="1"/>
  <c r="Q122" i="3"/>
  <c r="E122" i="4" s="1"/>
  <c r="R131" i="3"/>
  <c r="D131" i="4" s="1"/>
  <c r="I131" i="4" s="1"/>
  <c r="Q138" i="3"/>
  <c r="E138" i="4" s="1"/>
  <c r="R147" i="3"/>
  <c r="D147" i="4" s="1"/>
  <c r="I147" i="4" s="1"/>
  <c r="R154" i="3"/>
  <c r="D154" i="4" s="1"/>
  <c r="I154" i="4" s="1"/>
  <c r="H169" i="4"/>
  <c r="R169" i="3"/>
  <c r="D169" i="4" s="1"/>
  <c r="C172" i="4"/>
  <c r="Q172" i="3"/>
  <c r="E172" i="4" s="1"/>
  <c r="C182" i="4"/>
  <c r="Q182" i="3"/>
  <c r="E182" i="4" s="1"/>
  <c r="R186" i="3"/>
  <c r="D186" i="4" s="1"/>
  <c r="I186" i="4" s="1"/>
  <c r="C192" i="4"/>
  <c r="Q192" i="3"/>
  <c r="E192" i="4" s="1"/>
  <c r="R196" i="3"/>
  <c r="D196" i="4" s="1"/>
  <c r="I196" i="4" s="1"/>
  <c r="Q206" i="3"/>
  <c r="E206" i="4" s="1"/>
  <c r="R211" i="3"/>
  <c r="D211" i="4" s="1"/>
  <c r="Q221" i="3"/>
  <c r="E221" i="4" s="1"/>
  <c r="Q231" i="3"/>
  <c r="E231" i="4" s="1"/>
  <c r="Q241" i="3"/>
  <c r="E241" i="4" s="1"/>
  <c r="C254" i="4"/>
  <c r="R254" i="3"/>
  <c r="D254" i="4" s="1"/>
  <c r="H261" i="4"/>
  <c r="R261" i="3"/>
  <c r="D261" i="4" s="1"/>
  <c r="I269" i="4"/>
  <c r="C274" i="4"/>
  <c r="Q274" i="3"/>
  <c r="E274" i="4" s="1"/>
  <c r="Q283" i="3"/>
  <c r="E283" i="4" s="1"/>
  <c r="C294" i="4"/>
  <c r="Q294" i="3"/>
  <c r="E294" i="4" s="1"/>
  <c r="C299" i="4"/>
  <c r="I299" i="4" s="1"/>
  <c r="R299" i="3"/>
  <c r="D299" i="4" s="1"/>
  <c r="Q311" i="3"/>
  <c r="E311" i="4" s="1"/>
  <c r="R316" i="3"/>
  <c r="D316" i="4" s="1"/>
  <c r="R321" i="3"/>
  <c r="D321" i="4" s="1"/>
  <c r="I321" i="4" s="1"/>
  <c r="R390" i="3"/>
  <c r="D390" i="4" s="1"/>
  <c r="C396" i="4"/>
  <c r="Q396" i="3"/>
  <c r="E396" i="4" s="1"/>
  <c r="R406" i="3"/>
  <c r="D406" i="4" s="1"/>
  <c r="R438" i="3"/>
  <c r="D438" i="4" s="1"/>
  <c r="C498" i="4"/>
  <c r="R498" i="3"/>
  <c r="D498" i="4" s="1"/>
  <c r="Q498" i="3"/>
  <c r="E498" i="4" s="1"/>
  <c r="H533" i="4"/>
  <c r="R533" i="3"/>
  <c r="D533" i="4" s="1"/>
  <c r="C598" i="4"/>
  <c r="R598" i="3"/>
  <c r="D598" i="4" s="1"/>
  <c r="Q598" i="3"/>
  <c r="E598" i="4" s="1"/>
  <c r="R128" i="3"/>
  <c r="D128" i="4" s="1"/>
  <c r="I128" i="4" s="1"/>
  <c r="R144" i="3"/>
  <c r="D144" i="4" s="1"/>
  <c r="I144" i="4" s="1"/>
  <c r="Q53" i="3"/>
  <c r="E53" i="4" s="1"/>
  <c r="R62" i="3"/>
  <c r="D62" i="4" s="1"/>
  <c r="I62" i="4" s="1"/>
  <c r="Q3" i="3"/>
  <c r="E3" i="4" s="1"/>
  <c r="R12" i="3"/>
  <c r="D12" i="4" s="1"/>
  <c r="I12" i="4" s="1"/>
  <c r="Q19" i="3"/>
  <c r="E19" i="4" s="1"/>
  <c r="R140" i="3"/>
  <c r="D140" i="4" s="1"/>
  <c r="I140" i="4" s="1"/>
  <c r="C150" i="4"/>
  <c r="Q150" i="3"/>
  <c r="E150" i="4" s="1"/>
  <c r="I4" i="4"/>
  <c r="Q17" i="3"/>
  <c r="E17" i="4" s="1"/>
  <c r="I20" i="4"/>
  <c r="Q33" i="3"/>
  <c r="E33" i="4" s="1"/>
  <c r="I36" i="4"/>
  <c r="R42" i="3"/>
  <c r="D42" i="4" s="1"/>
  <c r="I42" i="4" s="1"/>
  <c r="Q49" i="3"/>
  <c r="E49" i="4" s="1"/>
  <c r="I52" i="4"/>
  <c r="R58" i="3"/>
  <c r="D58" i="4" s="1"/>
  <c r="I58" i="4" s="1"/>
  <c r="Q65" i="3"/>
  <c r="E65" i="4" s="1"/>
  <c r="I68" i="4"/>
  <c r="R74" i="3"/>
  <c r="D74" i="4" s="1"/>
  <c r="I74" i="4" s="1"/>
  <c r="Q81" i="3"/>
  <c r="E81" i="4" s="1"/>
  <c r="I84" i="4"/>
  <c r="R90" i="3"/>
  <c r="D90" i="4" s="1"/>
  <c r="I90" i="4" s="1"/>
  <c r="Q97" i="3"/>
  <c r="E97" i="4" s="1"/>
  <c r="I100" i="4"/>
  <c r="R106" i="3"/>
  <c r="D106" i="4" s="1"/>
  <c r="I106" i="4" s="1"/>
  <c r="Q113" i="3"/>
  <c r="E113" i="4" s="1"/>
  <c r="I116" i="4"/>
  <c r="R122" i="3"/>
  <c r="D122" i="4" s="1"/>
  <c r="I122" i="4" s="1"/>
  <c r="Q129" i="3"/>
  <c r="E129" i="4" s="1"/>
  <c r="I132" i="4"/>
  <c r="Q145" i="3"/>
  <c r="E145" i="4" s="1"/>
  <c r="I148" i="4"/>
  <c r="Q152" i="3"/>
  <c r="E152" i="4" s="1"/>
  <c r="C155" i="4"/>
  <c r="I155" i="4" s="1"/>
  <c r="R155" i="3"/>
  <c r="D155" i="4" s="1"/>
  <c r="Q164" i="3"/>
  <c r="E164" i="4" s="1"/>
  <c r="C187" i="4"/>
  <c r="I187" i="4" s="1"/>
  <c r="R187" i="3"/>
  <c r="D187" i="4" s="1"/>
  <c r="I202" i="4"/>
  <c r="I212" i="4"/>
  <c r="R216" i="3"/>
  <c r="D216" i="4" s="1"/>
  <c r="R221" i="3"/>
  <c r="D221" i="4" s="1"/>
  <c r="I221" i="4" s="1"/>
  <c r="R231" i="3"/>
  <c r="D231" i="4" s="1"/>
  <c r="I231" i="4" s="1"/>
  <c r="R236" i="3"/>
  <c r="D236" i="4" s="1"/>
  <c r="R241" i="3"/>
  <c r="D241" i="4" s="1"/>
  <c r="I241" i="4" s="1"/>
  <c r="R246" i="3"/>
  <c r="D246" i="4" s="1"/>
  <c r="R256" i="3"/>
  <c r="D256" i="4" s="1"/>
  <c r="H281" i="4"/>
  <c r="R281" i="3"/>
  <c r="D281" i="4" s="1"/>
  <c r="C284" i="4"/>
  <c r="Q284" i="3"/>
  <c r="R306" i="3"/>
  <c r="D306" i="4" s="1"/>
  <c r="R311" i="3"/>
  <c r="D311" i="4" s="1"/>
  <c r="I311" i="4" s="1"/>
  <c r="C322" i="4"/>
  <c r="Q322" i="3"/>
  <c r="I391" i="4"/>
  <c r="I407" i="4"/>
  <c r="I423" i="4"/>
  <c r="I439" i="4"/>
  <c r="C482" i="4"/>
  <c r="R482" i="3"/>
  <c r="D482" i="4" s="1"/>
  <c r="Q482" i="3"/>
  <c r="E482" i="4" s="1"/>
  <c r="C506" i="4"/>
  <c r="R506" i="3"/>
  <c r="D506" i="4" s="1"/>
  <c r="Q506" i="3"/>
  <c r="E506" i="4" s="1"/>
  <c r="C528" i="4"/>
  <c r="Q528" i="3"/>
  <c r="I7" i="4"/>
  <c r="I23" i="4"/>
  <c r="R96" i="3"/>
  <c r="D96" i="4" s="1"/>
  <c r="I96" i="4" s="1"/>
  <c r="R112" i="3"/>
  <c r="D112" i="4" s="1"/>
  <c r="I112" i="4" s="1"/>
  <c r="R23" i="3"/>
  <c r="D23" i="4" s="1"/>
  <c r="Q5" i="3"/>
  <c r="E5" i="4" s="1"/>
  <c r="Q37" i="3"/>
  <c r="E37" i="4" s="1"/>
  <c r="Q8" i="3"/>
  <c r="E8" i="4" s="1"/>
  <c r="Q24" i="3"/>
  <c r="E24" i="4" s="1"/>
  <c r="R65" i="3"/>
  <c r="D65" i="4" s="1"/>
  <c r="I65" i="4" s="1"/>
  <c r="Q72" i="3"/>
  <c r="E72" i="4" s="1"/>
  <c r="Q88" i="3"/>
  <c r="E88" i="4" s="1"/>
  <c r="I91" i="4"/>
  <c r="Q104" i="3"/>
  <c r="E104" i="4" s="1"/>
  <c r="I107" i="4"/>
  <c r="R113" i="3"/>
  <c r="D113" i="4" s="1"/>
  <c r="I113" i="4" s="1"/>
  <c r="Q120" i="3"/>
  <c r="E120" i="4" s="1"/>
  <c r="I123" i="4"/>
  <c r="Q136" i="3"/>
  <c r="E136" i="4" s="1"/>
  <c r="I139" i="4"/>
  <c r="R145" i="3"/>
  <c r="D145" i="4" s="1"/>
  <c r="I145" i="4" s="1"/>
  <c r="R152" i="3"/>
  <c r="D152" i="4" s="1"/>
  <c r="I152" i="4" s="1"/>
  <c r="C160" i="4"/>
  <c r="Q160" i="3"/>
  <c r="E160" i="4" s="1"/>
  <c r="R164" i="3"/>
  <c r="D164" i="4" s="1"/>
  <c r="I164" i="4" s="1"/>
  <c r="Q174" i="3"/>
  <c r="E174" i="4" s="1"/>
  <c r="R179" i="3"/>
  <c r="D179" i="4" s="1"/>
  <c r="Q189" i="3"/>
  <c r="E189" i="4" s="1"/>
  <c r="R194" i="3"/>
  <c r="D194" i="4" s="1"/>
  <c r="Q199" i="3"/>
  <c r="E199" i="4" s="1"/>
  <c r="Q209" i="3"/>
  <c r="E209" i="4" s="1"/>
  <c r="C222" i="4"/>
  <c r="I222" i="4" s="1"/>
  <c r="R222" i="3"/>
  <c r="D222" i="4" s="1"/>
  <c r="H229" i="4"/>
  <c r="R229" i="3"/>
  <c r="D229" i="4" s="1"/>
  <c r="C242" i="4"/>
  <c r="Q242" i="3"/>
  <c r="E242" i="4" s="1"/>
  <c r="Q251" i="3"/>
  <c r="E251" i="4" s="1"/>
  <c r="Q266" i="3"/>
  <c r="E266" i="4" s="1"/>
  <c r="Q276" i="3"/>
  <c r="E276" i="4" s="1"/>
  <c r="E291" i="4"/>
  <c r="R291" i="3"/>
  <c r="D291" i="4" s="1"/>
  <c r="R301" i="3"/>
  <c r="D301" i="4" s="1"/>
  <c r="H309" i="4"/>
  <c r="R309" i="3"/>
  <c r="D309" i="4" s="1"/>
  <c r="Q324" i="3"/>
  <c r="E324" i="4" s="1"/>
  <c r="C338" i="4"/>
  <c r="Q338" i="3"/>
  <c r="E338" i="4" s="1"/>
  <c r="C354" i="4"/>
  <c r="Q354" i="3"/>
  <c r="E354" i="4" s="1"/>
  <c r="F356" i="4"/>
  <c r="R356" i="3"/>
  <c r="D356" i="4" s="1"/>
  <c r="I356" i="4" s="1"/>
  <c r="C370" i="4"/>
  <c r="Q370" i="3"/>
  <c r="E370" i="4" s="1"/>
  <c r="F372" i="4"/>
  <c r="R372" i="3"/>
  <c r="D372" i="4" s="1"/>
  <c r="I372" i="4" s="1"/>
  <c r="F452" i="4"/>
  <c r="R452" i="3"/>
  <c r="D452" i="4" s="1"/>
  <c r="C466" i="4"/>
  <c r="Q466" i="3"/>
  <c r="E466" i="4" s="1"/>
  <c r="C490" i="4"/>
  <c r="Q490" i="3"/>
  <c r="E490" i="4" s="1"/>
  <c r="H517" i="4"/>
  <c r="R517" i="3"/>
  <c r="D517" i="4" s="1"/>
  <c r="H525" i="4"/>
  <c r="R525" i="3"/>
  <c r="D525" i="4" s="1"/>
  <c r="I525" i="4" s="1"/>
  <c r="C570" i="4"/>
  <c r="Q570" i="3"/>
  <c r="E570" i="4" s="1"/>
  <c r="I135" i="4"/>
  <c r="I11" i="4"/>
  <c r="R33" i="3"/>
  <c r="D33" i="4" s="1"/>
  <c r="I33" i="4" s="1"/>
  <c r="Q40" i="3"/>
  <c r="E40" i="4" s="1"/>
  <c r="I43" i="4"/>
  <c r="R49" i="3"/>
  <c r="D49" i="4" s="1"/>
  <c r="I49" i="4" s="1"/>
  <c r="Q56" i="3"/>
  <c r="E56" i="4" s="1"/>
  <c r="I75" i="4"/>
  <c r="R81" i="3"/>
  <c r="D81" i="4" s="1"/>
  <c r="I81" i="4" s="1"/>
  <c r="I2" i="4"/>
  <c r="Q15" i="3"/>
  <c r="I18" i="4"/>
  <c r="R24" i="3"/>
  <c r="D24" i="4" s="1"/>
  <c r="I24" i="4" s="1"/>
  <c r="Q31" i="3"/>
  <c r="I34" i="4"/>
  <c r="R40" i="3"/>
  <c r="D40" i="4" s="1"/>
  <c r="I40" i="4" s="1"/>
  <c r="Q47" i="3"/>
  <c r="I50" i="4"/>
  <c r="R56" i="3"/>
  <c r="D56" i="4" s="1"/>
  <c r="I56" i="4" s="1"/>
  <c r="Q63" i="3"/>
  <c r="I66" i="4"/>
  <c r="Q79" i="3"/>
  <c r="I82" i="4"/>
  <c r="Q95" i="3"/>
  <c r="I98" i="4"/>
  <c r="R104" i="3"/>
  <c r="D104" i="4" s="1"/>
  <c r="I104" i="4" s="1"/>
  <c r="Q111" i="3"/>
  <c r="I114" i="4"/>
  <c r="R120" i="3"/>
  <c r="D120" i="4" s="1"/>
  <c r="I120" i="4" s="1"/>
  <c r="Q127" i="3"/>
  <c r="I130" i="4"/>
  <c r="R136" i="3"/>
  <c r="D136" i="4" s="1"/>
  <c r="I136" i="4" s="1"/>
  <c r="Q143" i="3"/>
  <c r="I146" i="4"/>
  <c r="I170" i="4"/>
  <c r="I180" i="4"/>
  <c r="R184" i="3"/>
  <c r="D184" i="4" s="1"/>
  <c r="R189" i="3"/>
  <c r="D189" i="4" s="1"/>
  <c r="I189" i="4" s="1"/>
  <c r="R214" i="3"/>
  <c r="D214" i="4" s="1"/>
  <c r="R224" i="3"/>
  <c r="D224" i="4" s="1"/>
  <c r="H249" i="4"/>
  <c r="R249" i="3"/>
  <c r="D249" i="4" s="1"/>
  <c r="C252" i="4"/>
  <c r="Q252" i="3"/>
  <c r="E252" i="4" s="1"/>
  <c r="C262" i="4"/>
  <c r="Q262" i="3"/>
  <c r="E262" i="4" s="1"/>
  <c r="R266" i="3"/>
  <c r="D266" i="4" s="1"/>
  <c r="I266" i="4" s="1"/>
  <c r="C272" i="4"/>
  <c r="Q272" i="3"/>
  <c r="Q286" i="3"/>
  <c r="E286" i="4" s="1"/>
  <c r="I292" i="4"/>
  <c r="R296" i="3"/>
  <c r="D296" i="4" s="1"/>
  <c r="C302" i="4"/>
  <c r="I302" i="4" s="1"/>
  <c r="R302" i="3"/>
  <c r="D302" i="4" s="1"/>
  <c r="C330" i="4"/>
  <c r="Q330" i="3"/>
  <c r="R332" i="3"/>
  <c r="D332" i="4" s="1"/>
  <c r="R348" i="3"/>
  <c r="D348" i="4" s="1"/>
  <c r="R364" i="3"/>
  <c r="D364" i="4" s="1"/>
  <c r="C386" i="4"/>
  <c r="Q386" i="3"/>
  <c r="E386" i="4" s="1"/>
  <c r="F388" i="4"/>
  <c r="R388" i="3"/>
  <c r="D388" i="4" s="1"/>
  <c r="I388" i="4" s="1"/>
  <c r="F404" i="4"/>
  <c r="R404" i="3"/>
  <c r="D404" i="4" s="1"/>
  <c r="F420" i="4"/>
  <c r="R420" i="3"/>
  <c r="D420" i="4" s="1"/>
  <c r="F436" i="4"/>
  <c r="R436" i="3"/>
  <c r="D436" i="4" s="1"/>
  <c r="C450" i="4"/>
  <c r="R450" i="3"/>
  <c r="D450" i="4" s="1"/>
  <c r="Q450" i="3"/>
  <c r="E450" i="4" s="1"/>
  <c r="C474" i="4"/>
  <c r="R474" i="3"/>
  <c r="D474" i="4" s="1"/>
  <c r="Q474" i="3"/>
  <c r="E474" i="4" s="1"/>
  <c r="Q487" i="3"/>
  <c r="R503" i="3"/>
  <c r="D503" i="4" s="1"/>
  <c r="I503" i="4" s="1"/>
  <c r="C512" i="4"/>
  <c r="Q512" i="3"/>
  <c r="C534" i="4"/>
  <c r="Q534" i="3"/>
  <c r="E534" i="4" s="1"/>
  <c r="E547" i="4"/>
  <c r="R547" i="3"/>
  <c r="D547" i="4" s="1"/>
  <c r="H581" i="4"/>
  <c r="C178" i="4"/>
  <c r="Q178" i="3"/>
  <c r="E178" i="4" s="1"/>
  <c r="Q39" i="3"/>
  <c r="E39" i="4" s="1"/>
  <c r="Q103" i="3"/>
  <c r="E103" i="4" s="1"/>
  <c r="Q54" i="3"/>
  <c r="E54" i="4" s="1"/>
  <c r="Q86" i="3"/>
  <c r="E86" i="4" s="1"/>
  <c r="Q102" i="3"/>
  <c r="E102" i="4" s="1"/>
  <c r="Q118" i="3"/>
  <c r="E118" i="4" s="1"/>
  <c r="Q134" i="3"/>
  <c r="E134" i="4" s="1"/>
  <c r="R150" i="3"/>
  <c r="D150" i="4" s="1"/>
  <c r="R157" i="3"/>
  <c r="D157" i="4" s="1"/>
  <c r="I157" i="4" s="1"/>
  <c r="R162" i="3"/>
  <c r="D162" i="4" s="1"/>
  <c r="Q167" i="3"/>
  <c r="E167" i="4" s="1"/>
  <c r="Q177" i="3"/>
  <c r="E177" i="4" s="1"/>
  <c r="C190" i="4"/>
  <c r="R190" i="3"/>
  <c r="D190" i="4" s="1"/>
  <c r="H197" i="4"/>
  <c r="R197" i="3"/>
  <c r="D197" i="4" s="1"/>
  <c r="C210" i="4"/>
  <c r="Q210" i="3"/>
  <c r="E210" i="4" s="1"/>
  <c r="Q219" i="3"/>
  <c r="E219" i="4" s="1"/>
  <c r="Q234" i="3"/>
  <c r="E234" i="4" s="1"/>
  <c r="Q244" i="3"/>
  <c r="E244" i="4" s="1"/>
  <c r="C267" i="4"/>
  <c r="I267" i="4" s="1"/>
  <c r="R267" i="3"/>
  <c r="D267" i="4" s="1"/>
  <c r="R304" i="3"/>
  <c r="D304" i="4" s="1"/>
  <c r="R314" i="3"/>
  <c r="D314" i="4" s="1"/>
  <c r="C320" i="4"/>
  <c r="Q320" i="3"/>
  <c r="E320" i="4" s="1"/>
  <c r="Q327" i="3"/>
  <c r="E327" i="4" s="1"/>
  <c r="C346" i="4"/>
  <c r="Q346" i="3"/>
  <c r="E346" i="4" s="1"/>
  <c r="C362" i="4"/>
  <c r="R362" i="3"/>
  <c r="D362" i="4" s="1"/>
  <c r="Q362" i="3"/>
  <c r="E362" i="4" s="1"/>
  <c r="C378" i="4"/>
  <c r="Q378" i="3"/>
  <c r="E378" i="4" s="1"/>
  <c r="R380" i="3"/>
  <c r="D380" i="4" s="1"/>
  <c r="C402" i="4"/>
  <c r="I402" i="4" s="1"/>
  <c r="R402" i="3"/>
  <c r="D402" i="4" s="1"/>
  <c r="Q402" i="3"/>
  <c r="E402" i="4" s="1"/>
  <c r="C418" i="4"/>
  <c r="Q418" i="3"/>
  <c r="E418" i="4" s="1"/>
  <c r="C434" i="4"/>
  <c r="Q434" i="3"/>
  <c r="E434" i="4" s="1"/>
  <c r="C458" i="4"/>
  <c r="R458" i="3"/>
  <c r="D458" i="4" s="1"/>
  <c r="Q458" i="3"/>
  <c r="E458" i="4" s="1"/>
  <c r="H501" i="4"/>
  <c r="I501" i="4" s="1"/>
  <c r="R501" i="3"/>
  <c r="D501" i="4" s="1"/>
  <c r="H509" i="4"/>
  <c r="I509" i="4" s="1"/>
  <c r="R509" i="3"/>
  <c r="D509" i="4" s="1"/>
  <c r="E567" i="4"/>
  <c r="R567" i="3"/>
  <c r="D567" i="4" s="1"/>
  <c r="E595" i="4"/>
  <c r="R595" i="3"/>
  <c r="D595" i="4" s="1"/>
  <c r="C950" i="4"/>
  <c r="Q950" i="3"/>
  <c r="E950" i="4" s="1"/>
  <c r="R968" i="3"/>
  <c r="D968" i="4" s="1"/>
  <c r="C990" i="4"/>
  <c r="C1072" i="4"/>
  <c r="I1072" i="4" s="1"/>
  <c r="Q1072" i="3"/>
  <c r="E1072" i="4" s="1"/>
  <c r="C1122" i="4"/>
  <c r="Q1122" i="3"/>
  <c r="E1122" i="4" s="1"/>
  <c r="F1124" i="4"/>
  <c r="R1124" i="3"/>
  <c r="D1124" i="4" s="1"/>
  <c r="C1152" i="4"/>
  <c r="R1152" i="3"/>
  <c r="D1152" i="4" s="1"/>
  <c r="Q1152" i="3"/>
  <c r="E1152" i="4" s="1"/>
  <c r="C1163" i="4"/>
  <c r="Q1163" i="3"/>
  <c r="E1163" i="4" s="1"/>
  <c r="H1196" i="4"/>
  <c r="I301" i="4"/>
  <c r="I317" i="4"/>
  <c r="I333" i="4"/>
  <c r="I349" i="4"/>
  <c r="I365" i="4"/>
  <c r="I381" i="4"/>
  <c r="I397" i="4"/>
  <c r="I413" i="4"/>
  <c r="I429" i="4"/>
  <c r="I445" i="4"/>
  <c r="I461" i="4"/>
  <c r="I477" i="4"/>
  <c r="I493" i="4"/>
  <c r="I589" i="4"/>
  <c r="Q602" i="3"/>
  <c r="E602" i="4" s="1"/>
  <c r="Q618" i="3"/>
  <c r="E618" i="4" s="1"/>
  <c r="R627" i="3"/>
  <c r="D627" i="4" s="1"/>
  <c r="Q634" i="3"/>
  <c r="E634" i="4" s="1"/>
  <c r="I637" i="4"/>
  <c r="R643" i="3"/>
  <c r="D643" i="4" s="1"/>
  <c r="Q650" i="3"/>
  <c r="E650" i="4" s="1"/>
  <c r="I653" i="4"/>
  <c r="R659" i="3"/>
  <c r="D659" i="4" s="1"/>
  <c r="I659" i="4" s="1"/>
  <c r="Q666" i="3"/>
  <c r="E666" i="4" s="1"/>
  <c r="R675" i="3"/>
  <c r="D675" i="4" s="1"/>
  <c r="Q682" i="3"/>
  <c r="E682" i="4" s="1"/>
  <c r="R691" i="3"/>
  <c r="D691" i="4" s="1"/>
  <c r="Q698" i="3"/>
  <c r="E698" i="4" s="1"/>
  <c r="R707" i="3"/>
  <c r="D707" i="4" s="1"/>
  <c r="Q714" i="3"/>
  <c r="E714" i="4" s="1"/>
  <c r="R723" i="3"/>
  <c r="D723" i="4" s="1"/>
  <c r="Q730" i="3"/>
  <c r="E730" i="4" s="1"/>
  <c r="I733" i="4"/>
  <c r="R739" i="3"/>
  <c r="D739" i="4" s="1"/>
  <c r="Q746" i="3"/>
  <c r="E746" i="4" s="1"/>
  <c r="I749" i="4"/>
  <c r="R755" i="3"/>
  <c r="D755" i="4" s="1"/>
  <c r="Q762" i="3"/>
  <c r="E762" i="4" s="1"/>
  <c r="R771" i="3"/>
  <c r="D771" i="4" s="1"/>
  <c r="Q778" i="3"/>
  <c r="E778" i="4" s="1"/>
  <c r="R787" i="3"/>
  <c r="D787" i="4" s="1"/>
  <c r="Q794" i="3"/>
  <c r="E794" i="4" s="1"/>
  <c r="R803" i="3"/>
  <c r="D803" i="4" s="1"/>
  <c r="Q810" i="3"/>
  <c r="E810" i="4" s="1"/>
  <c r="R819" i="3"/>
  <c r="D819" i="4" s="1"/>
  <c r="I819" i="4" s="1"/>
  <c r="Q826" i="3"/>
  <c r="E826" i="4" s="1"/>
  <c r="R835" i="3"/>
  <c r="D835" i="4" s="1"/>
  <c r="Q842" i="3"/>
  <c r="E842" i="4" s="1"/>
  <c r="I845" i="4"/>
  <c r="R851" i="3"/>
  <c r="D851" i="4" s="1"/>
  <c r="Q858" i="3"/>
  <c r="E858" i="4" s="1"/>
  <c r="R867" i="3"/>
  <c r="D867" i="4" s="1"/>
  <c r="Q874" i="3"/>
  <c r="E874" i="4" s="1"/>
  <c r="R883" i="3"/>
  <c r="D883" i="4" s="1"/>
  <c r="Q890" i="3"/>
  <c r="E890" i="4" s="1"/>
  <c r="I893" i="4"/>
  <c r="R899" i="3"/>
  <c r="D899" i="4" s="1"/>
  <c r="Q906" i="3"/>
  <c r="E906" i="4" s="1"/>
  <c r="I909" i="4"/>
  <c r="R915" i="3"/>
  <c r="D915" i="4" s="1"/>
  <c r="I915" i="4" s="1"/>
  <c r="Q922" i="3"/>
  <c r="E922" i="4" s="1"/>
  <c r="R931" i="3"/>
  <c r="D931" i="4" s="1"/>
  <c r="Q938" i="3"/>
  <c r="E938" i="4" s="1"/>
  <c r="R947" i="3"/>
  <c r="D947" i="4" s="1"/>
  <c r="R954" i="3"/>
  <c r="D954" i="4" s="1"/>
  <c r="R961" i="3"/>
  <c r="D961" i="4" s="1"/>
  <c r="Q980" i="3"/>
  <c r="E980" i="4" s="1"/>
  <c r="R987" i="3"/>
  <c r="D987" i="4" s="1"/>
  <c r="Q992" i="3"/>
  <c r="E992" i="4" s="1"/>
  <c r="I995" i="4"/>
  <c r="C1022" i="4"/>
  <c r="R1022" i="3"/>
  <c r="D1022" i="4" s="1"/>
  <c r="I1027" i="4"/>
  <c r="C1057" i="4"/>
  <c r="Q1057" i="3"/>
  <c r="C1062" i="4"/>
  <c r="Q1062" i="3"/>
  <c r="C1067" i="4"/>
  <c r="I1067" i="4" s="1"/>
  <c r="R1067" i="3"/>
  <c r="D1067" i="4" s="1"/>
  <c r="C1098" i="4"/>
  <c r="Q1098" i="3"/>
  <c r="E1098" i="4" s="1"/>
  <c r="C1106" i="4"/>
  <c r="Q1106" i="3"/>
  <c r="E1106" i="4" s="1"/>
  <c r="F1108" i="4"/>
  <c r="R1108" i="3"/>
  <c r="D1108" i="4" s="1"/>
  <c r="H1149" i="4"/>
  <c r="R1149" i="3"/>
  <c r="D1149" i="4" s="1"/>
  <c r="C1158" i="4"/>
  <c r="Q1158" i="3"/>
  <c r="E1158" i="4" s="1"/>
  <c r="E1224" i="4"/>
  <c r="R1224" i="3"/>
  <c r="D1224" i="4" s="1"/>
  <c r="C1259" i="4"/>
  <c r="I1259" i="4" s="1"/>
  <c r="R1259" i="3"/>
  <c r="D1259" i="4" s="1"/>
  <c r="Q1259" i="3"/>
  <c r="E1259" i="4" s="1"/>
  <c r="I340" i="4"/>
  <c r="I404" i="4"/>
  <c r="I420" i="4"/>
  <c r="I436" i="4"/>
  <c r="I452" i="4"/>
  <c r="I468" i="4"/>
  <c r="I484" i="4"/>
  <c r="Q529" i="3"/>
  <c r="E529" i="4" s="1"/>
  <c r="I532" i="4"/>
  <c r="Q545" i="3"/>
  <c r="E545" i="4" s="1"/>
  <c r="Q561" i="3"/>
  <c r="E561" i="4" s="1"/>
  <c r="Q577" i="3"/>
  <c r="E577" i="4" s="1"/>
  <c r="Q593" i="3"/>
  <c r="E593" i="4" s="1"/>
  <c r="R602" i="3"/>
  <c r="D602" i="4" s="1"/>
  <c r="I602" i="4" s="1"/>
  <c r="Q609" i="3"/>
  <c r="E609" i="4" s="1"/>
  <c r="Q625" i="3"/>
  <c r="E625" i="4" s="1"/>
  <c r="R634" i="3"/>
  <c r="D634" i="4" s="1"/>
  <c r="Q641" i="3"/>
  <c r="E641" i="4" s="1"/>
  <c r="Q657" i="3"/>
  <c r="E657" i="4" s="1"/>
  <c r="Q673" i="3"/>
  <c r="E673" i="4" s="1"/>
  <c r="I676" i="4"/>
  <c r="R682" i="3"/>
  <c r="D682" i="4" s="1"/>
  <c r="Q689" i="3"/>
  <c r="E689" i="4" s="1"/>
  <c r="R698" i="3"/>
  <c r="D698" i="4" s="1"/>
  <c r="Q705" i="3"/>
  <c r="E705" i="4" s="1"/>
  <c r="R714" i="3"/>
  <c r="D714" i="4" s="1"/>
  <c r="I714" i="4" s="1"/>
  <c r="Q721" i="3"/>
  <c r="E721" i="4" s="1"/>
  <c r="I724" i="4"/>
  <c r="Q737" i="3"/>
  <c r="E737" i="4" s="1"/>
  <c r="I740" i="4"/>
  <c r="Q753" i="3"/>
  <c r="E753" i="4" s="1"/>
  <c r="R762" i="3"/>
  <c r="D762" i="4" s="1"/>
  <c r="Q769" i="3"/>
  <c r="E769" i="4" s="1"/>
  <c r="R778" i="3"/>
  <c r="D778" i="4" s="1"/>
  <c r="I778" i="4" s="1"/>
  <c r="Q785" i="3"/>
  <c r="E785" i="4" s="1"/>
  <c r="R794" i="3"/>
  <c r="D794" i="4" s="1"/>
  <c r="Q801" i="3"/>
  <c r="E801" i="4" s="1"/>
  <c r="Q817" i="3"/>
  <c r="E817" i="4" s="1"/>
  <c r="R826" i="3"/>
  <c r="D826" i="4" s="1"/>
  <c r="Q833" i="3"/>
  <c r="E833" i="4" s="1"/>
  <c r="Q849" i="3"/>
  <c r="E849" i="4" s="1"/>
  <c r="Q865" i="3"/>
  <c r="E865" i="4" s="1"/>
  <c r="Q881" i="3"/>
  <c r="E881" i="4" s="1"/>
  <c r="R890" i="3"/>
  <c r="D890" i="4" s="1"/>
  <c r="Q897" i="3"/>
  <c r="E897" i="4" s="1"/>
  <c r="Q913" i="3"/>
  <c r="E913" i="4" s="1"/>
  <c r="Q929" i="3"/>
  <c r="E929" i="4" s="1"/>
  <c r="I932" i="4"/>
  <c r="R938" i="3"/>
  <c r="D938" i="4" s="1"/>
  <c r="I938" i="4" s="1"/>
  <c r="Q945" i="3"/>
  <c r="E945" i="4" s="1"/>
  <c r="Q952" i="3"/>
  <c r="E952" i="4" s="1"/>
  <c r="Q973" i="3"/>
  <c r="E973" i="4" s="1"/>
  <c r="R980" i="3"/>
  <c r="D980" i="4" s="1"/>
  <c r="I988" i="4"/>
  <c r="R992" i="3"/>
  <c r="D992" i="4" s="1"/>
  <c r="H1049" i="4"/>
  <c r="R1049" i="3"/>
  <c r="D1049" i="4" s="1"/>
  <c r="I1049" i="4" s="1"/>
  <c r="C1052" i="4"/>
  <c r="Q1052" i="3"/>
  <c r="C1114" i="4"/>
  <c r="R1114" i="3"/>
  <c r="D1114" i="4" s="1"/>
  <c r="Q1114" i="3"/>
  <c r="E1114" i="4" s="1"/>
  <c r="C1169" i="4"/>
  <c r="Q1169" i="3"/>
  <c r="E1169" i="4" s="1"/>
  <c r="I395" i="4"/>
  <c r="R529" i="3"/>
  <c r="D529" i="4" s="1"/>
  <c r="I529" i="4" s="1"/>
  <c r="R545" i="3"/>
  <c r="D545" i="4" s="1"/>
  <c r="R561" i="3"/>
  <c r="D561" i="4" s="1"/>
  <c r="I561" i="4" s="1"/>
  <c r="I619" i="4"/>
  <c r="R625" i="3"/>
  <c r="D625" i="4" s="1"/>
  <c r="R673" i="3"/>
  <c r="D673" i="4" s="1"/>
  <c r="R689" i="3"/>
  <c r="D689" i="4" s="1"/>
  <c r="R753" i="3"/>
  <c r="D753" i="4" s="1"/>
  <c r="R769" i="3"/>
  <c r="D769" i="4" s="1"/>
  <c r="R801" i="3"/>
  <c r="D801" i="4" s="1"/>
  <c r="R817" i="3"/>
  <c r="D817" i="4" s="1"/>
  <c r="R833" i="3"/>
  <c r="D833" i="4" s="1"/>
  <c r="I875" i="4"/>
  <c r="R881" i="3"/>
  <c r="D881" i="4" s="1"/>
  <c r="R929" i="3"/>
  <c r="D929" i="4" s="1"/>
  <c r="R945" i="3"/>
  <c r="D945" i="4" s="1"/>
  <c r="R973" i="3"/>
  <c r="D973" i="4" s="1"/>
  <c r="I973" i="4" s="1"/>
  <c r="C981" i="4"/>
  <c r="Q981" i="3"/>
  <c r="E981" i="4" s="1"/>
  <c r="R985" i="3"/>
  <c r="D985" i="4" s="1"/>
  <c r="I993" i="4"/>
  <c r="R1019" i="3"/>
  <c r="D1019" i="4" s="1"/>
  <c r="R1024" i="3"/>
  <c r="D1024" i="4" s="1"/>
  <c r="R1069" i="3"/>
  <c r="D1069" i="4" s="1"/>
  <c r="C1088" i="4"/>
  <c r="I1088" i="4" s="1"/>
  <c r="Q1088" i="3"/>
  <c r="E1088" i="4" s="1"/>
  <c r="R1095" i="3"/>
  <c r="D1095" i="4" s="1"/>
  <c r="C1136" i="4"/>
  <c r="Q1136" i="3"/>
  <c r="E1136" i="4" s="1"/>
  <c r="C1147" i="4"/>
  <c r="R1147" i="3"/>
  <c r="D1147" i="4" s="1"/>
  <c r="Q1147" i="3"/>
  <c r="E1147" i="4" s="1"/>
  <c r="F1188" i="4"/>
  <c r="R1188" i="3"/>
  <c r="D1188" i="4" s="1"/>
  <c r="C1211" i="4"/>
  <c r="R1211" i="3"/>
  <c r="D1211" i="4" s="1"/>
  <c r="Q1211" i="3"/>
  <c r="E1211" i="4" s="1"/>
  <c r="H1222" i="4"/>
  <c r="I642" i="4"/>
  <c r="R648" i="3"/>
  <c r="D648" i="4" s="1"/>
  <c r="R664" i="3"/>
  <c r="D664" i="4" s="1"/>
  <c r="R680" i="3"/>
  <c r="D680" i="4" s="1"/>
  <c r="R696" i="3"/>
  <c r="D696" i="4" s="1"/>
  <c r="R712" i="3"/>
  <c r="D712" i="4" s="1"/>
  <c r="R728" i="3"/>
  <c r="D728" i="4" s="1"/>
  <c r="I728" i="4" s="1"/>
  <c r="R744" i="3"/>
  <c r="D744" i="4" s="1"/>
  <c r="R760" i="3"/>
  <c r="D760" i="4" s="1"/>
  <c r="R776" i="3"/>
  <c r="D776" i="4" s="1"/>
  <c r="R792" i="3"/>
  <c r="D792" i="4" s="1"/>
  <c r="R808" i="3"/>
  <c r="D808" i="4" s="1"/>
  <c r="R824" i="3"/>
  <c r="D824" i="4" s="1"/>
  <c r="R840" i="3"/>
  <c r="D840" i="4" s="1"/>
  <c r="R920" i="3"/>
  <c r="D920" i="4" s="1"/>
  <c r="R936" i="3"/>
  <c r="D936" i="4" s="1"/>
  <c r="C974" i="4"/>
  <c r="I974" i="4" s="1"/>
  <c r="R974" i="3"/>
  <c r="D974" i="4" s="1"/>
  <c r="R978" i="3"/>
  <c r="D978" i="4" s="1"/>
  <c r="I978" i="4" s="1"/>
  <c r="C998" i="4"/>
  <c r="Q998" i="3"/>
  <c r="E998" i="4" s="1"/>
  <c r="C1020" i="4"/>
  <c r="Q1020" i="3"/>
  <c r="E1020" i="4" s="1"/>
  <c r="C1025" i="4"/>
  <c r="Q1025" i="3"/>
  <c r="E1025" i="4" s="1"/>
  <c r="C1030" i="4"/>
  <c r="Q1030" i="3"/>
  <c r="E1030" i="4" s="1"/>
  <c r="R1064" i="3"/>
  <c r="D1064" i="4" s="1"/>
  <c r="C1070" i="4"/>
  <c r="C1083" i="4"/>
  <c r="R1083" i="3"/>
  <c r="D1083" i="4" s="1"/>
  <c r="R1111" i="3"/>
  <c r="D1111" i="4" s="1"/>
  <c r="I1111" i="4" s="1"/>
  <c r="C1200" i="4"/>
  <c r="Q1200" i="3"/>
  <c r="E1200" i="4" s="1"/>
  <c r="C1217" i="4"/>
  <c r="Q1217" i="3"/>
  <c r="E1217" i="4" s="1"/>
  <c r="I153" i="4"/>
  <c r="R159" i="3"/>
  <c r="D159" i="4" s="1"/>
  <c r="I169" i="4"/>
  <c r="R175" i="3"/>
  <c r="D175" i="4" s="1"/>
  <c r="I185" i="4"/>
  <c r="R191" i="3"/>
  <c r="D191" i="4" s="1"/>
  <c r="I191" i="4" s="1"/>
  <c r="I201" i="4"/>
  <c r="R207" i="3"/>
  <c r="D207" i="4" s="1"/>
  <c r="I217" i="4"/>
  <c r="R223" i="3"/>
  <c r="D223" i="4" s="1"/>
  <c r="I223" i="4" s="1"/>
  <c r="I233" i="4"/>
  <c r="R239" i="3"/>
  <c r="D239" i="4" s="1"/>
  <c r="I249" i="4"/>
  <c r="R255" i="3"/>
  <c r="D255" i="4" s="1"/>
  <c r="I255" i="4" s="1"/>
  <c r="I265" i="4"/>
  <c r="R271" i="3"/>
  <c r="D271" i="4" s="1"/>
  <c r="I281" i="4"/>
  <c r="R287" i="3"/>
  <c r="D287" i="4" s="1"/>
  <c r="I297" i="4"/>
  <c r="R303" i="3"/>
  <c r="D303" i="4" s="1"/>
  <c r="I313" i="4"/>
  <c r="R319" i="3"/>
  <c r="D319" i="4" s="1"/>
  <c r="R335" i="3"/>
  <c r="D335" i="4" s="1"/>
  <c r="R351" i="3"/>
  <c r="D351" i="4" s="1"/>
  <c r="I351" i="4" s="1"/>
  <c r="R367" i="3"/>
  <c r="D367" i="4" s="1"/>
  <c r="R383" i="3"/>
  <c r="D383" i="4" s="1"/>
  <c r="R399" i="3"/>
  <c r="D399" i="4" s="1"/>
  <c r="R415" i="3"/>
  <c r="D415" i="4" s="1"/>
  <c r="R431" i="3"/>
  <c r="D431" i="4" s="1"/>
  <c r="R447" i="3"/>
  <c r="D447" i="4" s="1"/>
  <c r="R463" i="3"/>
  <c r="D463" i="4" s="1"/>
  <c r="R479" i="3"/>
  <c r="D479" i="4" s="1"/>
  <c r="R495" i="3"/>
  <c r="D495" i="4" s="1"/>
  <c r="R511" i="3"/>
  <c r="D511" i="4" s="1"/>
  <c r="I511" i="4" s="1"/>
  <c r="R527" i="3"/>
  <c r="D527" i="4" s="1"/>
  <c r="R543" i="3"/>
  <c r="D543" i="4" s="1"/>
  <c r="R559" i="3"/>
  <c r="D559" i="4" s="1"/>
  <c r="R575" i="3"/>
  <c r="D575" i="4" s="1"/>
  <c r="R591" i="3"/>
  <c r="D591" i="4" s="1"/>
  <c r="R607" i="3"/>
  <c r="D607" i="4" s="1"/>
  <c r="R623" i="3"/>
  <c r="D623" i="4" s="1"/>
  <c r="Q630" i="3"/>
  <c r="R639" i="3"/>
  <c r="D639" i="4" s="1"/>
  <c r="Q646" i="3"/>
  <c r="I649" i="4"/>
  <c r="R655" i="3"/>
  <c r="D655" i="4" s="1"/>
  <c r="Q662" i="3"/>
  <c r="R671" i="3"/>
  <c r="D671" i="4" s="1"/>
  <c r="Q678" i="3"/>
  <c r="R687" i="3"/>
  <c r="D687" i="4" s="1"/>
  <c r="Q694" i="3"/>
  <c r="R703" i="3"/>
  <c r="D703" i="4" s="1"/>
  <c r="Q710" i="3"/>
  <c r="R719" i="3"/>
  <c r="D719" i="4" s="1"/>
  <c r="Q726" i="3"/>
  <c r="R735" i="3"/>
  <c r="D735" i="4" s="1"/>
  <c r="I735" i="4" s="1"/>
  <c r="Q742" i="3"/>
  <c r="I745" i="4"/>
  <c r="R751" i="3"/>
  <c r="D751" i="4" s="1"/>
  <c r="Q758" i="3"/>
  <c r="R767" i="3"/>
  <c r="D767" i="4" s="1"/>
  <c r="Q774" i="3"/>
  <c r="R783" i="3"/>
  <c r="D783" i="4" s="1"/>
  <c r="Q790" i="3"/>
  <c r="R799" i="3"/>
  <c r="D799" i="4" s="1"/>
  <c r="I799" i="4" s="1"/>
  <c r="Q806" i="3"/>
  <c r="R815" i="3"/>
  <c r="D815" i="4" s="1"/>
  <c r="Q822" i="3"/>
  <c r="R831" i="3"/>
  <c r="D831" i="4" s="1"/>
  <c r="Q838" i="3"/>
  <c r="R847" i="3"/>
  <c r="D847" i="4" s="1"/>
  <c r="Q854" i="3"/>
  <c r="R863" i="3"/>
  <c r="D863" i="4" s="1"/>
  <c r="Q870" i="3"/>
  <c r="R879" i="3"/>
  <c r="D879" i="4" s="1"/>
  <c r="Q886" i="3"/>
  <c r="R895" i="3"/>
  <c r="D895" i="4" s="1"/>
  <c r="Q902" i="3"/>
  <c r="I905" i="4"/>
  <c r="R911" i="3"/>
  <c r="D911" i="4" s="1"/>
  <c r="Q918" i="3"/>
  <c r="R927" i="3"/>
  <c r="D927" i="4" s="1"/>
  <c r="Q934" i="3"/>
  <c r="R943" i="3"/>
  <c r="D943" i="4" s="1"/>
  <c r="Q957" i="3"/>
  <c r="Q964" i="3"/>
  <c r="R971" i="3"/>
  <c r="D971" i="4" s="1"/>
  <c r="Q976" i="3"/>
  <c r="R983" i="3"/>
  <c r="D983" i="4" s="1"/>
  <c r="Q990" i="3"/>
  <c r="E990" i="4" s="1"/>
  <c r="I1003" i="4"/>
  <c r="I1035" i="4"/>
  <c r="C1040" i="4"/>
  <c r="Q1040" i="3"/>
  <c r="R1044" i="3"/>
  <c r="D1044" i="4" s="1"/>
  <c r="C1050" i="4"/>
  <c r="R1050" i="3"/>
  <c r="D1050" i="4" s="1"/>
  <c r="R1072" i="3"/>
  <c r="D1072" i="4" s="1"/>
  <c r="C1078" i="4"/>
  <c r="Q1078" i="3"/>
  <c r="E1078" i="4" s="1"/>
  <c r="H1093" i="4"/>
  <c r="C1104" i="4"/>
  <c r="I1104" i="4" s="1"/>
  <c r="Q1104" i="3"/>
  <c r="E1104" i="4" s="1"/>
  <c r="C1120" i="4"/>
  <c r="R1120" i="3"/>
  <c r="D1120" i="4" s="1"/>
  <c r="Q1120" i="3"/>
  <c r="E1120" i="4" s="1"/>
  <c r="R1122" i="3"/>
  <c r="D1122" i="4" s="1"/>
  <c r="C1131" i="4"/>
  <c r="Q1131" i="3"/>
  <c r="E1131" i="4" s="1"/>
  <c r="C1142" i="4"/>
  <c r="Q1142" i="3"/>
  <c r="E1142" i="4" s="1"/>
  <c r="C1153" i="4"/>
  <c r="Q1153" i="3"/>
  <c r="E1153" i="4" s="1"/>
  <c r="H1180" i="4"/>
  <c r="E1256" i="4"/>
  <c r="R1256" i="3"/>
  <c r="D1256" i="4" s="1"/>
  <c r="I880" i="4"/>
  <c r="C991" i="4"/>
  <c r="C1045" i="4"/>
  <c r="Q1045" i="3"/>
  <c r="E1045" i="4" s="1"/>
  <c r="C1073" i="4"/>
  <c r="Q1073" i="3"/>
  <c r="E1073" i="4" s="1"/>
  <c r="C1099" i="4"/>
  <c r="H1109" i="4"/>
  <c r="R1158" i="3"/>
  <c r="D1158" i="4" s="1"/>
  <c r="I519" i="4"/>
  <c r="I535" i="4"/>
  <c r="R541" i="3"/>
  <c r="D541" i="4" s="1"/>
  <c r="I541" i="4" s="1"/>
  <c r="I551" i="4"/>
  <c r="R557" i="3"/>
  <c r="D557" i="4" s="1"/>
  <c r="I557" i="4" s="1"/>
  <c r="I567" i="4"/>
  <c r="R573" i="3"/>
  <c r="D573" i="4" s="1"/>
  <c r="I573" i="4" s="1"/>
  <c r="I583" i="4"/>
  <c r="R589" i="3"/>
  <c r="D589" i="4" s="1"/>
  <c r="I599" i="4"/>
  <c r="R605" i="3"/>
  <c r="D605" i="4" s="1"/>
  <c r="I605" i="4" s="1"/>
  <c r="I615" i="4"/>
  <c r="R621" i="3"/>
  <c r="D621" i="4" s="1"/>
  <c r="I621" i="4" s="1"/>
  <c r="R637" i="3"/>
  <c r="D637" i="4" s="1"/>
  <c r="R653" i="3"/>
  <c r="D653" i="4" s="1"/>
  <c r="R669" i="3"/>
  <c r="D669" i="4" s="1"/>
  <c r="I669" i="4" s="1"/>
  <c r="I679" i="4"/>
  <c r="R685" i="3"/>
  <c r="D685" i="4" s="1"/>
  <c r="I685" i="4" s="1"/>
  <c r="I695" i="4"/>
  <c r="R701" i="3"/>
  <c r="D701" i="4" s="1"/>
  <c r="I701" i="4" s="1"/>
  <c r="I711" i="4"/>
  <c r="R717" i="3"/>
  <c r="D717" i="4" s="1"/>
  <c r="I717" i="4" s="1"/>
  <c r="R733" i="3"/>
  <c r="D733" i="4" s="1"/>
  <c r="I743" i="4"/>
  <c r="R749" i="3"/>
  <c r="D749" i="4" s="1"/>
  <c r="R765" i="3"/>
  <c r="D765" i="4" s="1"/>
  <c r="I765" i="4" s="1"/>
  <c r="R781" i="3"/>
  <c r="D781" i="4" s="1"/>
  <c r="I781" i="4" s="1"/>
  <c r="R797" i="3"/>
  <c r="D797" i="4" s="1"/>
  <c r="I797" i="4" s="1"/>
  <c r="I807" i="4"/>
  <c r="R813" i="3"/>
  <c r="D813" i="4" s="1"/>
  <c r="I813" i="4" s="1"/>
  <c r="I823" i="4"/>
  <c r="R829" i="3"/>
  <c r="D829" i="4" s="1"/>
  <c r="I829" i="4" s="1"/>
  <c r="I839" i="4"/>
  <c r="R845" i="3"/>
  <c r="D845" i="4" s="1"/>
  <c r="R861" i="3"/>
  <c r="D861" i="4" s="1"/>
  <c r="I861" i="4" s="1"/>
  <c r="R877" i="3"/>
  <c r="D877" i="4" s="1"/>
  <c r="I877" i="4" s="1"/>
  <c r="R893" i="3"/>
  <c r="D893" i="4" s="1"/>
  <c r="I903" i="4"/>
  <c r="R909" i="3"/>
  <c r="D909" i="4" s="1"/>
  <c r="I919" i="4"/>
  <c r="R925" i="3"/>
  <c r="D925" i="4" s="1"/>
  <c r="I925" i="4" s="1"/>
  <c r="R941" i="3"/>
  <c r="D941" i="4" s="1"/>
  <c r="I941" i="4" s="1"/>
  <c r="C965" i="4"/>
  <c r="Q965" i="3"/>
  <c r="R969" i="3"/>
  <c r="D969" i="4" s="1"/>
  <c r="R995" i="3"/>
  <c r="D995" i="4" s="1"/>
  <c r="R1000" i="3"/>
  <c r="D1000" i="4" s="1"/>
  <c r="I1000" i="4" s="1"/>
  <c r="C1013" i="4"/>
  <c r="Q1013" i="3"/>
  <c r="E1013" i="4" s="1"/>
  <c r="C1018" i="4"/>
  <c r="R1018" i="3"/>
  <c r="D1018" i="4" s="1"/>
  <c r="R1027" i="3"/>
  <c r="D1027" i="4" s="1"/>
  <c r="R1032" i="3"/>
  <c r="D1032" i="4" s="1"/>
  <c r="I1032" i="4" s="1"/>
  <c r="R1042" i="3"/>
  <c r="D1042" i="4" s="1"/>
  <c r="I1042" i="4" s="1"/>
  <c r="R1047" i="3"/>
  <c r="D1047" i="4" s="1"/>
  <c r="I1047" i="4" s="1"/>
  <c r="C1068" i="4"/>
  <c r="Q1068" i="3"/>
  <c r="E1068" i="4" s="1"/>
  <c r="C1086" i="4"/>
  <c r="I1086" i="4" s="1"/>
  <c r="R1086" i="3"/>
  <c r="D1086" i="4" s="1"/>
  <c r="C1094" i="4"/>
  <c r="Q1094" i="3"/>
  <c r="C1115" i="4"/>
  <c r="R1115" i="3"/>
  <c r="D1115" i="4" s="1"/>
  <c r="Q1115" i="3"/>
  <c r="E1115" i="4" s="1"/>
  <c r="C1126" i="4"/>
  <c r="Q1126" i="3"/>
  <c r="R1144" i="3"/>
  <c r="D1144" i="4" s="1"/>
  <c r="R1169" i="3"/>
  <c r="D1169" i="4" s="1"/>
  <c r="F1172" i="4"/>
  <c r="R1172" i="3"/>
  <c r="D1172" i="4" s="1"/>
  <c r="E1208" i="4"/>
  <c r="R1208" i="3"/>
  <c r="D1208" i="4" s="1"/>
  <c r="C1243" i="4"/>
  <c r="R1243" i="3"/>
  <c r="D1243" i="4" s="1"/>
  <c r="Q1243" i="3"/>
  <c r="E1243" i="4" s="1"/>
  <c r="H1254" i="4"/>
  <c r="Q331" i="3"/>
  <c r="E331" i="4" s="1"/>
  <c r="R340" i="3"/>
  <c r="D340" i="4" s="1"/>
  <c r="Q347" i="3"/>
  <c r="E347" i="4" s="1"/>
  <c r="Q363" i="3"/>
  <c r="E363" i="4" s="1"/>
  <c r="Q443" i="3"/>
  <c r="E443" i="4" s="1"/>
  <c r="Q459" i="3"/>
  <c r="E459" i="4" s="1"/>
  <c r="R468" i="3"/>
  <c r="D468" i="4" s="1"/>
  <c r="Q475" i="3"/>
  <c r="E475" i="4" s="1"/>
  <c r="R484" i="3"/>
  <c r="D484" i="4" s="1"/>
  <c r="Q491" i="3"/>
  <c r="E491" i="4" s="1"/>
  <c r="R500" i="3"/>
  <c r="D500" i="4" s="1"/>
  <c r="I500" i="4" s="1"/>
  <c r="Q507" i="3"/>
  <c r="E507" i="4" s="1"/>
  <c r="R516" i="3"/>
  <c r="D516" i="4" s="1"/>
  <c r="I516" i="4" s="1"/>
  <c r="Q523" i="3"/>
  <c r="E523" i="4" s="1"/>
  <c r="R532" i="3"/>
  <c r="D532" i="4" s="1"/>
  <c r="Q539" i="3"/>
  <c r="E539" i="4" s="1"/>
  <c r="R548" i="3"/>
  <c r="D548" i="4" s="1"/>
  <c r="I548" i="4" s="1"/>
  <c r="Q555" i="3"/>
  <c r="E555" i="4" s="1"/>
  <c r="R564" i="3"/>
  <c r="D564" i="4" s="1"/>
  <c r="I564" i="4" s="1"/>
  <c r="Q571" i="3"/>
  <c r="E571" i="4" s="1"/>
  <c r="R580" i="3"/>
  <c r="D580" i="4" s="1"/>
  <c r="I580" i="4" s="1"/>
  <c r="Q587" i="3"/>
  <c r="E587" i="4" s="1"/>
  <c r="R596" i="3"/>
  <c r="D596" i="4" s="1"/>
  <c r="I596" i="4" s="1"/>
  <c r="Q603" i="3"/>
  <c r="E603" i="4" s="1"/>
  <c r="R612" i="3"/>
  <c r="D612" i="4" s="1"/>
  <c r="I612" i="4" s="1"/>
  <c r="Q619" i="3"/>
  <c r="E619" i="4" s="1"/>
  <c r="I622" i="4"/>
  <c r="R628" i="3"/>
  <c r="D628" i="4" s="1"/>
  <c r="I628" i="4" s="1"/>
  <c r="Q635" i="3"/>
  <c r="E635" i="4" s="1"/>
  <c r="R644" i="3"/>
  <c r="D644" i="4" s="1"/>
  <c r="I644" i="4" s="1"/>
  <c r="Q651" i="3"/>
  <c r="E651" i="4" s="1"/>
  <c r="R660" i="3"/>
  <c r="D660" i="4" s="1"/>
  <c r="I660" i="4" s="1"/>
  <c r="Q667" i="3"/>
  <c r="E667" i="4" s="1"/>
  <c r="R676" i="3"/>
  <c r="D676" i="4" s="1"/>
  <c r="Q683" i="3"/>
  <c r="E683" i="4" s="1"/>
  <c r="R692" i="3"/>
  <c r="D692" i="4" s="1"/>
  <c r="I692" i="4" s="1"/>
  <c r="Q699" i="3"/>
  <c r="E699" i="4" s="1"/>
  <c r="R708" i="3"/>
  <c r="D708" i="4" s="1"/>
  <c r="I708" i="4" s="1"/>
  <c r="Q715" i="3"/>
  <c r="E715" i="4" s="1"/>
  <c r="I718" i="4"/>
  <c r="R724" i="3"/>
  <c r="D724" i="4" s="1"/>
  <c r="Q731" i="3"/>
  <c r="E731" i="4" s="1"/>
  <c r="R740" i="3"/>
  <c r="D740" i="4" s="1"/>
  <c r="Q747" i="3"/>
  <c r="E747" i="4" s="1"/>
  <c r="R756" i="3"/>
  <c r="D756" i="4" s="1"/>
  <c r="I756" i="4" s="1"/>
  <c r="Q763" i="3"/>
  <c r="E763" i="4" s="1"/>
  <c r="R772" i="3"/>
  <c r="D772" i="4" s="1"/>
  <c r="I772" i="4" s="1"/>
  <c r="Q779" i="3"/>
  <c r="E779" i="4" s="1"/>
  <c r="R788" i="3"/>
  <c r="D788" i="4" s="1"/>
  <c r="I788" i="4" s="1"/>
  <c r="Q795" i="3"/>
  <c r="E795" i="4" s="1"/>
  <c r="R804" i="3"/>
  <c r="D804" i="4" s="1"/>
  <c r="I804" i="4" s="1"/>
  <c r="Q811" i="3"/>
  <c r="E811" i="4" s="1"/>
  <c r="R820" i="3"/>
  <c r="D820" i="4" s="1"/>
  <c r="I820" i="4" s="1"/>
  <c r="Q827" i="3"/>
  <c r="E827" i="4" s="1"/>
  <c r="R836" i="3"/>
  <c r="D836" i="4" s="1"/>
  <c r="I836" i="4" s="1"/>
  <c r="Q843" i="3"/>
  <c r="E843" i="4" s="1"/>
  <c r="R852" i="3"/>
  <c r="D852" i="4" s="1"/>
  <c r="I852" i="4" s="1"/>
  <c r="Q859" i="3"/>
  <c r="E859" i="4" s="1"/>
  <c r="R868" i="3"/>
  <c r="D868" i="4" s="1"/>
  <c r="I868" i="4" s="1"/>
  <c r="Q875" i="3"/>
  <c r="E875" i="4" s="1"/>
  <c r="R884" i="3"/>
  <c r="D884" i="4" s="1"/>
  <c r="I884" i="4" s="1"/>
  <c r="Q891" i="3"/>
  <c r="E891" i="4" s="1"/>
  <c r="R900" i="3"/>
  <c r="D900" i="4" s="1"/>
  <c r="I900" i="4" s="1"/>
  <c r="Q907" i="3"/>
  <c r="E907" i="4" s="1"/>
  <c r="R916" i="3"/>
  <c r="D916" i="4" s="1"/>
  <c r="I916" i="4" s="1"/>
  <c r="Q923" i="3"/>
  <c r="E923" i="4" s="1"/>
  <c r="I926" i="4"/>
  <c r="R932" i="3"/>
  <c r="D932" i="4" s="1"/>
  <c r="Q939" i="3"/>
  <c r="E939" i="4" s="1"/>
  <c r="R948" i="3"/>
  <c r="D948" i="4" s="1"/>
  <c r="I948" i="4" s="1"/>
  <c r="R955" i="3"/>
  <c r="D955" i="4" s="1"/>
  <c r="I955" i="4" s="1"/>
  <c r="R962" i="3"/>
  <c r="D962" i="4" s="1"/>
  <c r="I962" i="4" s="1"/>
  <c r="Q967" i="3"/>
  <c r="E967" i="4" s="1"/>
  <c r="R981" i="3"/>
  <c r="D981" i="4" s="1"/>
  <c r="R988" i="3"/>
  <c r="D988" i="4" s="1"/>
  <c r="Q993" i="3"/>
  <c r="E993" i="4" s="1"/>
  <c r="R1005" i="3"/>
  <c r="D1005" i="4" s="1"/>
  <c r="I1005" i="4" s="1"/>
  <c r="R1010" i="3"/>
  <c r="D1010" i="4" s="1"/>
  <c r="I1010" i="4" s="1"/>
  <c r="R1015" i="3"/>
  <c r="D1015" i="4" s="1"/>
  <c r="I1015" i="4" s="1"/>
  <c r="R1037" i="3"/>
  <c r="D1037" i="4" s="1"/>
  <c r="I1037" i="4" s="1"/>
  <c r="H1065" i="4"/>
  <c r="R1065" i="3"/>
  <c r="D1065" i="4" s="1"/>
  <c r="R1075" i="3"/>
  <c r="D1075" i="4" s="1"/>
  <c r="R1080" i="3"/>
  <c r="D1080" i="4" s="1"/>
  <c r="R1088" i="3"/>
  <c r="D1088" i="4" s="1"/>
  <c r="R1101" i="3"/>
  <c r="D1101" i="4" s="1"/>
  <c r="C1110" i="4"/>
  <c r="Q1110" i="3"/>
  <c r="E1110" i="4" s="1"/>
  <c r="R1117" i="3"/>
  <c r="D1117" i="4" s="1"/>
  <c r="C1137" i="4"/>
  <c r="Q1137" i="3"/>
  <c r="E1137" i="4" s="1"/>
  <c r="C1170" i="4"/>
  <c r="Q1170" i="3"/>
  <c r="E1170" i="4" s="1"/>
  <c r="C1195" i="4"/>
  <c r="Q1195" i="3"/>
  <c r="E1195" i="4" s="1"/>
  <c r="I165" i="4"/>
  <c r="I181" i="4"/>
  <c r="I197" i="4"/>
  <c r="I213" i="4"/>
  <c r="I229" i="4"/>
  <c r="I245" i="4"/>
  <c r="I261" i="4"/>
  <c r="I277" i="4"/>
  <c r="I293" i="4"/>
  <c r="I309" i="4"/>
  <c r="I325" i="4"/>
  <c r="R331" i="3"/>
  <c r="D331" i="4" s="1"/>
  <c r="I331" i="4" s="1"/>
  <c r="I341" i="4"/>
  <c r="R347" i="3"/>
  <c r="D347" i="4" s="1"/>
  <c r="I347" i="4" s="1"/>
  <c r="R379" i="3"/>
  <c r="D379" i="4" s="1"/>
  <c r="I379" i="4" s="1"/>
  <c r="R395" i="3"/>
  <c r="D395" i="4" s="1"/>
  <c r="R411" i="3"/>
  <c r="D411" i="4" s="1"/>
  <c r="I411" i="4" s="1"/>
  <c r="I421" i="4"/>
  <c r="R427" i="3"/>
  <c r="D427" i="4" s="1"/>
  <c r="I427" i="4" s="1"/>
  <c r="I437" i="4"/>
  <c r="R443" i="3"/>
  <c r="D443" i="4" s="1"/>
  <c r="I443" i="4" s="1"/>
  <c r="I453" i="4"/>
  <c r="R459" i="3"/>
  <c r="D459" i="4" s="1"/>
  <c r="I459" i="4" s="1"/>
  <c r="I469" i="4"/>
  <c r="R475" i="3"/>
  <c r="D475" i="4" s="1"/>
  <c r="I475" i="4" s="1"/>
  <c r="I485" i="4"/>
  <c r="R507" i="3"/>
  <c r="D507" i="4" s="1"/>
  <c r="I507" i="4" s="1"/>
  <c r="I517" i="4"/>
  <c r="I533" i="4"/>
  <c r="Q546" i="3"/>
  <c r="E546" i="4" s="1"/>
  <c r="Q562" i="3"/>
  <c r="E562" i="4" s="1"/>
  <c r="R571" i="3"/>
  <c r="D571" i="4" s="1"/>
  <c r="I571" i="4" s="1"/>
  <c r="Q578" i="3"/>
  <c r="E578" i="4" s="1"/>
  <c r="Q594" i="3"/>
  <c r="E594" i="4" s="1"/>
  <c r="R603" i="3"/>
  <c r="D603" i="4" s="1"/>
  <c r="I603" i="4" s="1"/>
  <c r="Q610" i="3"/>
  <c r="E610" i="4" s="1"/>
  <c r="R619" i="3"/>
  <c r="D619" i="4" s="1"/>
  <c r="Q626" i="3"/>
  <c r="E626" i="4" s="1"/>
  <c r="Q642" i="3"/>
  <c r="E642" i="4" s="1"/>
  <c r="Q658" i="3"/>
  <c r="E658" i="4" s="1"/>
  <c r="R667" i="3"/>
  <c r="D667" i="4" s="1"/>
  <c r="I667" i="4" s="1"/>
  <c r="Q674" i="3"/>
  <c r="E674" i="4" s="1"/>
  <c r="Q690" i="3"/>
  <c r="E690" i="4" s="1"/>
  <c r="Q706" i="3"/>
  <c r="E706" i="4" s="1"/>
  <c r="R715" i="3"/>
  <c r="D715" i="4" s="1"/>
  <c r="I715" i="4" s="1"/>
  <c r="Q722" i="3"/>
  <c r="E722" i="4" s="1"/>
  <c r="R731" i="3"/>
  <c r="D731" i="4" s="1"/>
  <c r="I731" i="4" s="1"/>
  <c r="Q738" i="3"/>
  <c r="E738" i="4" s="1"/>
  <c r="Q754" i="3"/>
  <c r="E754" i="4" s="1"/>
  <c r="R763" i="3"/>
  <c r="D763" i="4" s="1"/>
  <c r="I763" i="4" s="1"/>
  <c r="Q770" i="3"/>
  <c r="E770" i="4" s="1"/>
  <c r="Q786" i="3"/>
  <c r="E786" i="4" s="1"/>
  <c r="Q802" i="3"/>
  <c r="E802" i="4" s="1"/>
  <c r="Q818" i="3"/>
  <c r="R827" i="3"/>
  <c r="D827" i="4" s="1"/>
  <c r="I827" i="4" s="1"/>
  <c r="Q834" i="3"/>
  <c r="I837" i="4"/>
  <c r="Q850" i="3"/>
  <c r="R859" i="3"/>
  <c r="D859" i="4" s="1"/>
  <c r="I859" i="4" s="1"/>
  <c r="Q866" i="3"/>
  <c r="R875" i="3"/>
  <c r="D875" i="4" s="1"/>
  <c r="Q882" i="3"/>
  <c r="Q898" i="3"/>
  <c r="Q914" i="3"/>
  <c r="R923" i="3"/>
  <c r="D923" i="4" s="1"/>
  <c r="I923" i="4" s="1"/>
  <c r="Q930" i="3"/>
  <c r="Q946" i="3"/>
  <c r="Q960" i="3"/>
  <c r="R967" i="3"/>
  <c r="D967" i="4" s="1"/>
  <c r="I967" i="4" s="1"/>
  <c r="Q974" i="3"/>
  <c r="E974" i="4" s="1"/>
  <c r="C982" i="4"/>
  <c r="Q982" i="3"/>
  <c r="E982" i="4" s="1"/>
  <c r="Q986" i="3"/>
  <c r="I989" i="4"/>
  <c r="R993" i="3"/>
  <c r="D993" i="4" s="1"/>
  <c r="R998" i="3"/>
  <c r="D998" i="4" s="1"/>
  <c r="C1006" i="4"/>
  <c r="R1020" i="3"/>
  <c r="D1020" i="4" s="1"/>
  <c r="R1030" i="3"/>
  <c r="D1030" i="4" s="1"/>
  <c r="C1038" i="4"/>
  <c r="Q1070" i="3"/>
  <c r="E1070" i="4" s="1"/>
  <c r="Q1083" i="3"/>
  <c r="E1083" i="4" s="1"/>
  <c r="C1089" i="4"/>
  <c r="Q1089" i="3"/>
  <c r="E1089" i="4" s="1"/>
  <c r="E1139" i="4"/>
  <c r="R1139" i="3"/>
  <c r="D1139" i="4" s="1"/>
  <c r="C1184" i="4"/>
  <c r="Q1184" i="3"/>
  <c r="E1184" i="4" s="1"/>
  <c r="C1201" i="4"/>
  <c r="Q1201" i="3"/>
  <c r="E1201" i="4" s="1"/>
  <c r="R1217" i="3"/>
  <c r="D1217" i="4" s="1"/>
  <c r="R578" i="3"/>
  <c r="D578" i="4" s="1"/>
  <c r="I578" i="4" s="1"/>
  <c r="R610" i="3"/>
  <c r="D610" i="4" s="1"/>
  <c r="I610" i="4" s="1"/>
  <c r="R626" i="3"/>
  <c r="D626" i="4" s="1"/>
  <c r="I626" i="4" s="1"/>
  <c r="R642" i="3"/>
  <c r="D642" i="4" s="1"/>
  <c r="R722" i="3"/>
  <c r="D722" i="4" s="1"/>
  <c r="I722" i="4" s="1"/>
  <c r="R738" i="3"/>
  <c r="D738" i="4" s="1"/>
  <c r="I738" i="4" s="1"/>
  <c r="C975" i="4"/>
  <c r="I975" i="4" s="1"/>
  <c r="R975" i="3"/>
  <c r="D975" i="4" s="1"/>
  <c r="R1078" i="3"/>
  <c r="D1078" i="4" s="1"/>
  <c r="C1084" i="4"/>
  <c r="Q1084" i="3"/>
  <c r="E1084" i="4" s="1"/>
  <c r="E1091" i="4"/>
  <c r="R1091" i="3"/>
  <c r="D1091" i="4" s="1"/>
  <c r="I1091" i="4" s="1"/>
  <c r="R1096" i="3"/>
  <c r="D1096" i="4" s="1"/>
  <c r="R1104" i="3"/>
  <c r="D1104" i="4" s="1"/>
  <c r="C1121" i="4"/>
  <c r="Q1121" i="3"/>
  <c r="C1132" i="4"/>
  <c r="Q1132" i="3"/>
  <c r="F1156" i="4"/>
  <c r="R1156" i="3"/>
  <c r="D1156" i="4" s="1"/>
  <c r="I163" i="4"/>
  <c r="I179" i="4"/>
  <c r="I195" i="4"/>
  <c r="I211" i="4"/>
  <c r="I227" i="4"/>
  <c r="I243" i="4"/>
  <c r="I259" i="4"/>
  <c r="I275" i="4"/>
  <c r="I291" i="4"/>
  <c r="I307" i="4"/>
  <c r="I323" i="4"/>
  <c r="R329" i="3"/>
  <c r="D329" i="4" s="1"/>
  <c r="I329" i="4" s="1"/>
  <c r="I339" i="4"/>
  <c r="R345" i="3"/>
  <c r="D345" i="4" s="1"/>
  <c r="I345" i="4" s="1"/>
  <c r="I355" i="4"/>
  <c r="R361" i="3"/>
  <c r="D361" i="4" s="1"/>
  <c r="I361" i="4" s="1"/>
  <c r="I371" i="4"/>
  <c r="R377" i="3"/>
  <c r="D377" i="4" s="1"/>
  <c r="I377" i="4" s="1"/>
  <c r="I387" i="4"/>
  <c r="R393" i="3"/>
  <c r="D393" i="4" s="1"/>
  <c r="I393" i="4" s="1"/>
  <c r="I403" i="4"/>
  <c r="R409" i="3"/>
  <c r="D409" i="4" s="1"/>
  <c r="I409" i="4" s="1"/>
  <c r="I419" i="4"/>
  <c r="R425" i="3"/>
  <c r="D425" i="4" s="1"/>
  <c r="I425" i="4" s="1"/>
  <c r="I435" i="4"/>
  <c r="R441" i="3"/>
  <c r="D441" i="4" s="1"/>
  <c r="I441" i="4" s="1"/>
  <c r="I451" i="4"/>
  <c r="R457" i="3"/>
  <c r="D457" i="4" s="1"/>
  <c r="I457" i="4" s="1"/>
  <c r="I467" i="4"/>
  <c r="R473" i="3"/>
  <c r="D473" i="4" s="1"/>
  <c r="I473" i="4" s="1"/>
  <c r="I483" i="4"/>
  <c r="R489" i="3"/>
  <c r="D489" i="4" s="1"/>
  <c r="I489" i="4" s="1"/>
  <c r="I499" i="4"/>
  <c r="R505" i="3"/>
  <c r="D505" i="4" s="1"/>
  <c r="I505" i="4" s="1"/>
  <c r="I515" i="4"/>
  <c r="R521" i="3"/>
  <c r="D521" i="4" s="1"/>
  <c r="I521" i="4" s="1"/>
  <c r="I531" i="4"/>
  <c r="R537" i="3"/>
  <c r="D537" i="4" s="1"/>
  <c r="I537" i="4" s="1"/>
  <c r="Q544" i="3"/>
  <c r="I547" i="4"/>
  <c r="R553" i="3"/>
  <c r="D553" i="4" s="1"/>
  <c r="I553" i="4" s="1"/>
  <c r="Q560" i="3"/>
  <c r="I563" i="4"/>
  <c r="R569" i="3"/>
  <c r="D569" i="4" s="1"/>
  <c r="I569" i="4" s="1"/>
  <c r="Q576" i="3"/>
  <c r="I579" i="4"/>
  <c r="R585" i="3"/>
  <c r="D585" i="4" s="1"/>
  <c r="I585" i="4" s="1"/>
  <c r="Q592" i="3"/>
  <c r="I595" i="4"/>
  <c r="R601" i="3"/>
  <c r="D601" i="4" s="1"/>
  <c r="I601" i="4" s="1"/>
  <c r="Q608" i="3"/>
  <c r="I611" i="4"/>
  <c r="R617" i="3"/>
  <c r="D617" i="4" s="1"/>
  <c r="I617" i="4" s="1"/>
  <c r="Q624" i="3"/>
  <c r="I627" i="4"/>
  <c r="R633" i="3"/>
  <c r="D633" i="4" s="1"/>
  <c r="I633" i="4" s="1"/>
  <c r="Q640" i="3"/>
  <c r="I643" i="4"/>
  <c r="R649" i="3"/>
  <c r="D649" i="4" s="1"/>
  <c r="Q656" i="3"/>
  <c r="R665" i="3"/>
  <c r="D665" i="4" s="1"/>
  <c r="I665" i="4" s="1"/>
  <c r="Q672" i="3"/>
  <c r="I675" i="4"/>
  <c r="R681" i="3"/>
  <c r="D681" i="4" s="1"/>
  <c r="I681" i="4" s="1"/>
  <c r="Q688" i="3"/>
  <c r="I691" i="4"/>
  <c r="R697" i="3"/>
  <c r="D697" i="4" s="1"/>
  <c r="I697" i="4" s="1"/>
  <c r="Q704" i="3"/>
  <c r="I707" i="4"/>
  <c r="R713" i="3"/>
  <c r="D713" i="4" s="1"/>
  <c r="I713" i="4" s="1"/>
  <c r="Q720" i="3"/>
  <c r="I723" i="4"/>
  <c r="R729" i="3"/>
  <c r="D729" i="4" s="1"/>
  <c r="I729" i="4" s="1"/>
  <c r="Q736" i="3"/>
  <c r="I739" i="4"/>
  <c r="R745" i="3"/>
  <c r="D745" i="4" s="1"/>
  <c r="Q752" i="3"/>
  <c r="I755" i="4"/>
  <c r="R761" i="3"/>
  <c r="D761" i="4" s="1"/>
  <c r="I761" i="4" s="1"/>
  <c r="Q768" i="3"/>
  <c r="I771" i="4"/>
  <c r="R777" i="3"/>
  <c r="D777" i="4" s="1"/>
  <c r="I777" i="4" s="1"/>
  <c r="Q784" i="3"/>
  <c r="I787" i="4"/>
  <c r="R793" i="3"/>
  <c r="D793" i="4" s="1"/>
  <c r="I793" i="4" s="1"/>
  <c r="Q800" i="3"/>
  <c r="I803" i="4"/>
  <c r="R809" i="3"/>
  <c r="D809" i="4" s="1"/>
  <c r="I809" i="4" s="1"/>
  <c r="Q816" i="3"/>
  <c r="R825" i="3"/>
  <c r="D825" i="4" s="1"/>
  <c r="I825" i="4" s="1"/>
  <c r="Q832" i="3"/>
  <c r="I835" i="4"/>
  <c r="R841" i="3"/>
  <c r="D841" i="4" s="1"/>
  <c r="I841" i="4" s="1"/>
  <c r="Q848" i="3"/>
  <c r="I851" i="4"/>
  <c r="R857" i="3"/>
  <c r="D857" i="4" s="1"/>
  <c r="I857" i="4" s="1"/>
  <c r="Q864" i="3"/>
  <c r="I867" i="4"/>
  <c r="R873" i="3"/>
  <c r="D873" i="4" s="1"/>
  <c r="I873" i="4" s="1"/>
  <c r="Q880" i="3"/>
  <c r="E880" i="4" s="1"/>
  <c r="I883" i="4"/>
  <c r="R889" i="3"/>
  <c r="D889" i="4" s="1"/>
  <c r="I889" i="4" s="1"/>
  <c r="Q896" i="3"/>
  <c r="E896" i="4" s="1"/>
  <c r="I899" i="4"/>
  <c r="R905" i="3"/>
  <c r="D905" i="4" s="1"/>
  <c r="Q912" i="3"/>
  <c r="E912" i="4" s="1"/>
  <c r="R921" i="3"/>
  <c r="D921" i="4" s="1"/>
  <c r="I921" i="4" s="1"/>
  <c r="Q928" i="3"/>
  <c r="E928" i="4" s="1"/>
  <c r="I931" i="4"/>
  <c r="R937" i="3"/>
  <c r="D937" i="4" s="1"/>
  <c r="I937" i="4" s="1"/>
  <c r="Q944" i="3"/>
  <c r="E944" i="4" s="1"/>
  <c r="I947" i="4"/>
  <c r="Q951" i="3"/>
  <c r="E951" i="4" s="1"/>
  <c r="I954" i="4"/>
  <c r="I961" i="4"/>
  <c r="Q972" i="3"/>
  <c r="E972" i="4" s="1"/>
  <c r="R979" i="3"/>
  <c r="D979" i="4" s="1"/>
  <c r="I979" i="4" s="1"/>
  <c r="I987" i="4"/>
  <c r="Q991" i="3"/>
  <c r="E991" i="4" s="1"/>
  <c r="R1003" i="3"/>
  <c r="D1003" i="4" s="1"/>
  <c r="R1008" i="3"/>
  <c r="D1008" i="4" s="1"/>
  <c r="I1008" i="4" s="1"/>
  <c r="R1035" i="3"/>
  <c r="D1035" i="4" s="1"/>
  <c r="C1041" i="4"/>
  <c r="Q1041" i="3"/>
  <c r="C1046" i="4"/>
  <c r="Q1046" i="3"/>
  <c r="I1051" i="4"/>
  <c r="C1056" i="4"/>
  <c r="Q1056" i="3"/>
  <c r="R1060" i="3"/>
  <c r="D1060" i="4" s="1"/>
  <c r="C1066" i="4"/>
  <c r="R1066" i="3"/>
  <c r="D1066" i="4" s="1"/>
  <c r="R1073" i="3"/>
  <c r="D1073" i="4" s="1"/>
  <c r="I1079" i="4"/>
  <c r="Q1099" i="3"/>
  <c r="E1099" i="4" s="1"/>
  <c r="C1105" i="4"/>
  <c r="Q1105" i="3"/>
  <c r="E1123" i="4"/>
  <c r="R1123" i="3"/>
  <c r="D1123" i="4" s="1"/>
  <c r="C1154" i="4"/>
  <c r="I1154" i="4" s="1"/>
  <c r="Q1154" i="3"/>
  <c r="E1154" i="4" s="1"/>
  <c r="R1154" i="3"/>
  <c r="D1154" i="4" s="1"/>
  <c r="E1240" i="4"/>
  <c r="R1240" i="3"/>
  <c r="D1240" i="4" s="1"/>
  <c r="I634" i="4"/>
  <c r="I682" i="4"/>
  <c r="I698" i="4"/>
  <c r="I762" i="4"/>
  <c r="I794" i="4"/>
  <c r="I826" i="4"/>
  <c r="R880" i="3"/>
  <c r="D880" i="4" s="1"/>
  <c r="I890" i="4"/>
  <c r="R928" i="3"/>
  <c r="D928" i="4" s="1"/>
  <c r="I928" i="4" s="1"/>
  <c r="R944" i="3"/>
  <c r="D944" i="4" s="1"/>
  <c r="I944" i="4" s="1"/>
  <c r="R972" i="3"/>
  <c r="D972" i="4" s="1"/>
  <c r="I972" i="4" s="1"/>
  <c r="I980" i="4"/>
  <c r="I992" i="4"/>
  <c r="C1004" i="4"/>
  <c r="Q1004" i="3"/>
  <c r="E1004" i="4" s="1"/>
  <c r="C1009" i="4"/>
  <c r="Q1009" i="3"/>
  <c r="E1009" i="4" s="1"/>
  <c r="C1014" i="4"/>
  <c r="Q1014" i="3"/>
  <c r="E1014" i="4" s="1"/>
  <c r="C1036" i="4"/>
  <c r="Q1036" i="3"/>
  <c r="Q1058" i="3"/>
  <c r="E1058" i="4" s="1"/>
  <c r="C1061" i="4"/>
  <c r="Q1061" i="3"/>
  <c r="E1061" i="4" s="1"/>
  <c r="Q1063" i="3"/>
  <c r="E1063" i="4" s="1"/>
  <c r="R1068" i="3"/>
  <c r="D1068" i="4" s="1"/>
  <c r="C1074" i="4"/>
  <c r="Q1074" i="3"/>
  <c r="H1081" i="4"/>
  <c r="R1081" i="3"/>
  <c r="D1081" i="4" s="1"/>
  <c r="C1100" i="4"/>
  <c r="Q1100" i="3"/>
  <c r="E1107" i="4"/>
  <c r="R1107" i="3"/>
  <c r="D1107" i="4" s="1"/>
  <c r="C1116" i="4"/>
  <c r="Q1116" i="3"/>
  <c r="E1192" i="4"/>
  <c r="R1192" i="3"/>
  <c r="D1192" i="4" s="1"/>
  <c r="I545" i="4"/>
  <c r="R615" i="3"/>
  <c r="D615" i="4" s="1"/>
  <c r="I625" i="4"/>
  <c r="R631" i="3"/>
  <c r="D631" i="4" s="1"/>
  <c r="I631" i="4" s="1"/>
  <c r="R647" i="3"/>
  <c r="D647" i="4" s="1"/>
  <c r="I647" i="4" s="1"/>
  <c r="R663" i="3"/>
  <c r="D663" i="4" s="1"/>
  <c r="I663" i="4" s="1"/>
  <c r="I673" i="4"/>
  <c r="R679" i="3"/>
  <c r="D679" i="4" s="1"/>
  <c r="I689" i="4"/>
  <c r="R695" i="3"/>
  <c r="D695" i="4" s="1"/>
  <c r="R711" i="3"/>
  <c r="D711" i="4" s="1"/>
  <c r="R727" i="3"/>
  <c r="D727" i="4" s="1"/>
  <c r="I727" i="4" s="1"/>
  <c r="R743" i="3"/>
  <c r="D743" i="4" s="1"/>
  <c r="I753" i="4"/>
  <c r="R759" i="3"/>
  <c r="D759" i="4" s="1"/>
  <c r="I759" i="4" s="1"/>
  <c r="I769" i="4"/>
  <c r="R775" i="3"/>
  <c r="D775" i="4" s="1"/>
  <c r="I775" i="4" s="1"/>
  <c r="R791" i="3"/>
  <c r="D791" i="4" s="1"/>
  <c r="I791" i="4" s="1"/>
  <c r="I801" i="4"/>
  <c r="R807" i="3"/>
  <c r="D807" i="4" s="1"/>
  <c r="I817" i="4"/>
  <c r="R823" i="3"/>
  <c r="D823" i="4" s="1"/>
  <c r="I833" i="4"/>
  <c r="R839" i="3"/>
  <c r="D839" i="4" s="1"/>
  <c r="R855" i="3"/>
  <c r="D855" i="4" s="1"/>
  <c r="I855" i="4" s="1"/>
  <c r="R871" i="3"/>
  <c r="D871" i="4" s="1"/>
  <c r="I871" i="4" s="1"/>
  <c r="I881" i="4"/>
  <c r="R887" i="3"/>
  <c r="D887" i="4" s="1"/>
  <c r="I887" i="4" s="1"/>
  <c r="I929" i="4"/>
  <c r="R935" i="3"/>
  <c r="D935" i="4" s="1"/>
  <c r="I935" i="4" s="1"/>
  <c r="I945" i="4"/>
  <c r="R958" i="3"/>
  <c r="D958" i="4" s="1"/>
  <c r="I958" i="4" s="1"/>
  <c r="C966" i="4"/>
  <c r="Q966" i="3"/>
  <c r="E966" i="4" s="1"/>
  <c r="R977" i="3"/>
  <c r="D977" i="4" s="1"/>
  <c r="I977" i="4" s="1"/>
  <c r="I1019" i="4"/>
  <c r="I1024" i="4"/>
  <c r="Q1053" i="3"/>
  <c r="E1053" i="4" s="1"/>
  <c r="R1058" i="3"/>
  <c r="D1058" i="4" s="1"/>
  <c r="I1058" i="4" s="1"/>
  <c r="R1063" i="3"/>
  <c r="D1063" i="4" s="1"/>
  <c r="I1063" i="4" s="1"/>
  <c r="I1069" i="4"/>
  <c r="I1095" i="4"/>
  <c r="R1110" i="3"/>
  <c r="D1110" i="4" s="1"/>
  <c r="C1127" i="4"/>
  <c r="Q1127" i="3"/>
  <c r="C1168" i="4"/>
  <c r="R1168" i="3"/>
  <c r="D1168" i="4" s="1"/>
  <c r="Q1168" i="3"/>
  <c r="E1168" i="4" s="1"/>
  <c r="C1179" i="4"/>
  <c r="Q1179" i="3"/>
  <c r="E1179" i="4" s="1"/>
  <c r="C1227" i="4"/>
  <c r="R1227" i="3"/>
  <c r="D1227" i="4" s="1"/>
  <c r="Q1227" i="3"/>
  <c r="E1227" i="4" s="1"/>
  <c r="H1238" i="4"/>
  <c r="I184" i="4"/>
  <c r="I200" i="4"/>
  <c r="I216" i="4"/>
  <c r="I232" i="4"/>
  <c r="I248" i="4"/>
  <c r="I264" i="4"/>
  <c r="I280" i="4"/>
  <c r="I296" i="4"/>
  <c r="I312" i="4"/>
  <c r="I328" i="4"/>
  <c r="R334" i="3"/>
  <c r="D334" i="4" s="1"/>
  <c r="I334" i="4" s="1"/>
  <c r="I344" i="4"/>
  <c r="R350" i="3"/>
  <c r="D350" i="4" s="1"/>
  <c r="I350" i="4" s="1"/>
  <c r="I360" i="4"/>
  <c r="R366" i="3"/>
  <c r="D366" i="4" s="1"/>
  <c r="I366" i="4" s="1"/>
  <c r="I376" i="4"/>
  <c r="R382" i="3"/>
  <c r="D382" i="4" s="1"/>
  <c r="I382" i="4" s="1"/>
  <c r="I392" i="4"/>
  <c r="R398" i="3"/>
  <c r="D398" i="4" s="1"/>
  <c r="I398" i="4" s="1"/>
  <c r="I408" i="4"/>
  <c r="R414" i="3"/>
  <c r="D414" i="4" s="1"/>
  <c r="I414" i="4" s="1"/>
  <c r="I424" i="4"/>
  <c r="R430" i="3"/>
  <c r="D430" i="4" s="1"/>
  <c r="I430" i="4" s="1"/>
  <c r="I440" i="4"/>
  <c r="R446" i="3"/>
  <c r="D446" i="4" s="1"/>
  <c r="I446" i="4" s="1"/>
  <c r="I456" i="4"/>
  <c r="R462" i="3"/>
  <c r="D462" i="4" s="1"/>
  <c r="I462" i="4" s="1"/>
  <c r="I472" i="4"/>
  <c r="R478" i="3"/>
  <c r="D478" i="4" s="1"/>
  <c r="I478" i="4" s="1"/>
  <c r="I488" i="4"/>
  <c r="R494" i="3"/>
  <c r="D494" i="4" s="1"/>
  <c r="I494" i="4" s="1"/>
  <c r="I504" i="4"/>
  <c r="R510" i="3"/>
  <c r="D510" i="4" s="1"/>
  <c r="I510" i="4" s="1"/>
  <c r="I520" i="4"/>
  <c r="R526" i="3"/>
  <c r="D526" i="4" s="1"/>
  <c r="I526" i="4" s="1"/>
  <c r="I536" i="4"/>
  <c r="R542" i="3"/>
  <c r="D542" i="4" s="1"/>
  <c r="I542" i="4" s="1"/>
  <c r="Q549" i="3"/>
  <c r="E549" i="4" s="1"/>
  <c r="I552" i="4"/>
  <c r="R558" i="3"/>
  <c r="D558" i="4" s="1"/>
  <c r="I558" i="4" s="1"/>
  <c r="Q565" i="3"/>
  <c r="E565" i="4" s="1"/>
  <c r="I568" i="4"/>
  <c r="R574" i="3"/>
  <c r="D574" i="4" s="1"/>
  <c r="I574" i="4" s="1"/>
  <c r="Q581" i="3"/>
  <c r="E581" i="4" s="1"/>
  <c r="I584" i="4"/>
  <c r="R590" i="3"/>
  <c r="D590" i="4" s="1"/>
  <c r="I590" i="4" s="1"/>
  <c r="Q597" i="3"/>
  <c r="E597" i="4" s="1"/>
  <c r="I600" i="4"/>
  <c r="R606" i="3"/>
  <c r="D606" i="4" s="1"/>
  <c r="I606" i="4" s="1"/>
  <c r="Q613" i="3"/>
  <c r="E613" i="4" s="1"/>
  <c r="I616" i="4"/>
  <c r="R622" i="3"/>
  <c r="D622" i="4" s="1"/>
  <c r="Q629" i="3"/>
  <c r="E629" i="4" s="1"/>
  <c r="I632" i="4"/>
  <c r="R638" i="3"/>
  <c r="D638" i="4" s="1"/>
  <c r="I638" i="4" s="1"/>
  <c r="Q645" i="3"/>
  <c r="E645" i="4" s="1"/>
  <c r="I648" i="4"/>
  <c r="R654" i="3"/>
  <c r="D654" i="4" s="1"/>
  <c r="I654" i="4" s="1"/>
  <c r="Q661" i="3"/>
  <c r="E661" i="4" s="1"/>
  <c r="I664" i="4"/>
  <c r="R670" i="3"/>
  <c r="D670" i="4" s="1"/>
  <c r="I670" i="4" s="1"/>
  <c r="Q677" i="3"/>
  <c r="E677" i="4" s="1"/>
  <c r="I680" i="4"/>
  <c r="R686" i="3"/>
  <c r="D686" i="4" s="1"/>
  <c r="I686" i="4" s="1"/>
  <c r="Q693" i="3"/>
  <c r="E693" i="4" s="1"/>
  <c r="I696" i="4"/>
  <c r="R702" i="3"/>
  <c r="D702" i="4" s="1"/>
  <c r="I702" i="4" s="1"/>
  <c r="Q709" i="3"/>
  <c r="E709" i="4" s="1"/>
  <c r="I712" i="4"/>
  <c r="R718" i="3"/>
  <c r="D718" i="4" s="1"/>
  <c r="Q725" i="3"/>
  <c r="E725" i="4" s="1"/>
  <c r="R734" i="3"/>
  <c r="D734" i="4" s="1"/>
  <c r="I734" i="4" s="1"/>
  <c r="Q741" i="3"/>
  <c r="E741" i="4" s="1"/>
  <c r="I744" i="4"/>
  <c r="R750" i="3"/>
  <c r="D750" i="4" s="1"/>
  <c r="I750" i="4" s="1"/>
  <c r="Q757" i="3"/>
  <c r="E757" i="4" s="1"/>
  <c r="I760" i="4"/>
  <c r="R766" i="3"/>
  <c r="D766" i="4" s="1"/>
  <c r="I766" i="4" s="1"/>
  <c r="Q773" i="3"/>
  <c r="E773" i="4" s="1"/>
  <c r="I776" i="4"/>
  <c r="R782" i="3"/>
  <c r="D782" i="4" s="1"/>
  <c r="I782" i="4" s="1"/>
  <c r="Q789" i="3"/>
  <c r="E789" i="4" s="1"/>
  <c r="I792" i="4"/>
  <c r="R798" i="3"/>
  <c r="D798" i="4" s="1"/>
  <c r="I798" i="4" s="1"/>
  <c r="Q805" i="3"/>
  <c r="E805" i="4" s="1"/>
  <c r="I808" i="4"/>
  <c r="R814" i="3"/>
  <c r="D814" i="4" s="1"/>
  <c r="I814" i="4" s="1"/>
  <c r="Q821" i="3"/>
  <c r="E821" i="4" s="1"/>
  <c r="I824" i="4"/>
  <c r="R830" i="3"/>
  <c r="D830" i="4" s="1"/>
  <c r="I830" i="4" s="1"/>
  <c r="I840" i="4"/>
  <c r="R846" i="3"/>
  <c r="D846" i="4" s="1"/>
  <c r="I846" i="4" s="1"/>
  <c r="I856" i="4"/>
  <c r="R862" i="3"/>
  <c r="D862" i="4" s="1"/>
  <c r="I862" i="4" s="1"/>
  <c r="I872" i="4"/>
  <c r="R878" i="3"/>
  <c r="D878" i="4" s="1"/>
  <c r="I878" i="4" s="1"/>
  <c r="Q885" i="3"/>
  <c r="E885" i="4" s="1"/>
  <c r="I888" i="4"/>
  <c r="R894" i="3"/>
  <c r="D894" i="4" s="1"/>
  <c r="I894" i="4" s="1"/>
  <c r="Q901" i="3"/>
  <c r="E901" i="4" s="1"/>
  <c r="I904" i="4"/>
  <c r="R910" i="3"/>
  <c r="D910" i="4" s="1"/>
  <c r="I910" i="4" s="1"/>
  <c r="Q917" i="3"/>
  <c r="E917" i="4" s="1"/>
  <c r="I920" i="4"/>
  <c r="R926" i="3"/>
  <c r="D926" i="4" s="1"/>
  <c r="Q933" i="3"/>
  <c r="E933" i="4" s="1"/>
  <c r="I936" i="4"/>
  <c r="R942" i="3"/>
  <c r="D942" i="4" s="1"/>
  <c r="I942" i="4" s="1"/>
  <c r="Q949" i="3"/>
  <c r="E949" i="4" s="1"/>
  <c r="Q956" i="3"/>
  <c r="E956" i="4" s="1"/>
  <c r="C959" i="4"/>
  <c r="R959" i="3"/>
  <c r="D959" i="4" s="1"/>
  <c r="Q963" i="3"/>
  <c r="E963" i="4" s="1"/>
  <c r="R970" i="3"/>
  <c r="D970" i="4" s="1"/>
  <c r="I970" i="4" s="1"/>
  <c r="R982" i="3"/>
  <c r="D982" i="4" s="1"/>
  <c r="Q989" i="3"/>
  <c r="E989" i="4" s="1"/>
  <c r="R996" i="3"/>
  <c r="D996" i="4" s="1"/>
  <c r="I996" i="4" s="1"/>
  <c r="R1001" i="3"/>
  <c r="D1001" i="4" s="1"/>
  <c r="Q1006" i="3"/>
  <c r="E1006" i="4" s="1"/>
  <c r="Q1011" i="3"/>
  <c r="E1011" i="4" s="1"/>
  <c r="R1028" i="3"/>
  <c r="D1028" i="4" s="1"/>
  <c r="I1028" i="4" s="1"/>
  <c r="R1033" i="3"/>
  <c r="D1033" i="4" s="1"/>
  <c r="I1033" i="4" s="1"/>
  <c r="Q1038" i="3"/>
  <c r="E1038" i="4" s="1"/>
  <c r="R1043" i="3"/>
  <c r="D1043" i="4" s="1"/>
  <c r="R1048" i="3"/>
  <c r="D1048" i="4" s="1"/>
  <c r="R1053" i="3"/>
  <c r="D1053" i="4" s="1"/>
  <c r="I1053" i="4" s="1"/>
  <c r="R1089" i="3"/>
  <c r="D1089" i="4" s="1"/>
  <c r="H1097" i="4"/>
  <c r="R1097" i="3"/>
  <c r="D1097" i="4" s="1"/>
  <c r="C1138" i="4"/>
  <c r="Q1138" i="3"/>
  <c r="E1138" i="4" s="1"/>
  <c r="F1140" i="4"/>
  <c r="R1140" i="3"/>
  <c r="D1140" i="4" s="1"/>
  <c r="H1165" i="4"/>
  <c r="R1165" i="3"/>
  <c r="D1165" i="4" s="1"/>
  <c r="I1165" i="4" s="1"/>
  <c r="C1174" i="4"/>
  <c r="Q1174" i="3"/>
  <c r="E1174" i="4" s="1"/>
  <c r="C1185" i="4"/>
  <c r="Q1185" i="3"/>
  <c r="F1204" i="4"/>
  <c r="R1204" i="3"/>
  <c r="D1204" i="4" s="1"/>
  <c r="I1204" i="4" s="1"/>
  <c r="I159" i="4"/>
  <c r="I175" i="4"/>
  <c r="I207" i="4"/>
  <c r="I239" i="4"/>
  <c r="I271" i="4"/>
  <c r="I287" i="4"/>
  <c r="I303" i="4"/>
  <c r="I319" i="4"/>
  <c r="I335" i="4"/>
  <c r="R357" i="3"/>
  <c r="D357" i="4" s="1"/>
  <c r="I357" i="4" s="1"/>
  <c r="I367" i="4"/>
  <c r="R373" i="3"/>
  <c r="D373" i="4" s="1"/>
  <c r="I373" i="4" s="1"/>
  <c r="I383" i="4"/>
  <c r="R389" i="3"/>
  <c r="D389" i="4" s="1"/>
  <c r="I389" i="4" s="1"/>
  <c r="I399" i="4"/>
  <c r="R405" i="3"/>
  <c r="D405" i="4" s="1"/>
  <c r="I405" i="4" s="1"/>
  <c r="Q412" i="3"/>
  <c r="I415" i="4"/>
  <c r="R421" i="3"/>
  <c r="D421" i="4" s="1"/>
  <c r="Q428" i="3"/>
  <c r="I431" i="4"/>
  <c r="Q444" i="3"/>
  <c r="I447" i="4"/>
  <c r="Q460" i="3"/>
  <c r="E460" i="4" s="1"/>
  <c r="I463" i="4"/>
  <c r="Q476" i="3"/>
  <c r="I479" i="4"/>
  <c r="Q492" i="3"/>
  <c r="I495" i="4"/>
  <c r="Q508" i="3"/>
  <c r="Q524" i="3"/>
  <c r="I527" i="4"/>
  <c r="Q540" i="3"/>
  <c r="I543" i="4"/>
  <c r="Q556" i="3"/>
  <c r="I559" i="4"/>
  <c r="Q572" i="3"/>
  <c r="I575" i="4"/>
  <c r="Q588" i="3"/>
  <c r="I591" i="4"/>
  <c r="Q604" i="3"/>
  <c r="I607" i="4"/>
  <c r="Q620" i="3"/>
  <c r="I623" i="4"/>
  <c r="Q636" i="3"/>
  <c r="E636" i="4" s="1"/>
  <c r="I639" i="4"/>
  <c r="R645" i="3"/>
  <c r="D645" i="4" s="1"/>
  <c r="I645" i="4" s="1"/>
  <c r="Q652" i="3"/>
  <c r="E652" i="4" s="1"/>
  <c r="I655" i="4"/>
  <c r="R661" i="3"/>
  <c r="D661" i="4" s="1"/>
  <c r="I661" i="4" s="1"/>
  <c r="Q668" i="3"/>
  <c r="E668" i="4" s="1"/>
  <c r="I671" i="4"/>
  <c r="R677" i="3"/>
  <c r="D677" i="4" s="1"/>
  <c r="I677" i="4" s="1"/>
  <c r="Q684" i="3"/>
  <c r="E684" i="4" s="1"/>
  <c r="I687" i="4"/>
  <c r="R693" i="3"/>
  <c r="D693" i="4" s="1"/>
  <c r="I693" i="4" s="1"/>
  <c r="Q700" i="3"/>
  <c r="E700" i="4" s="1"/>
  <c r="I703" i="4"/>
  <c r="R709" i="3"/>
  <c r="D709" i="4" s="1"/>
  <c r="I709" i="4" s="1"/>
  <c r="Q716" i="3"/>
  <c r="E716" i="4" s="1"/>
  <c r="I719" i="4"/>
  <c r="Q732" i="3"/>
  <c r="E732" i="4" s="1"/>
  <c r="R741" i="3"/>
  <c r="D741" i="4" s="1"/>
  <c r="I741" i="4" s="1"/>
  <c r="Q748" i="3"/>
  <c r="E748" i="4" s="1"/>
  <c r="I751" i="4"/>
  <c r="Q764" i="3"/>
  <c r="E764" i="4" s="1"/>
  <c r="I767" i="4"/>
  <c r="Q780" i="3"/>
  <c r="I783" i="4"/>
  <c r="R789" i="3"/>
  <c r="D789" i="4" s="1"/>
  <c r="I789" i="4" s="1"/>
  <c r="Q796" i="3"/>
  <c r="E796" i="4" s="1"/>
  <c r="R805" i="3"/>
  <c r="D805" i="4" s="1"/>
  <c r="I805" i="4" s="1"/>
  <c r="Q812" i="3"/>
  <c r="E812" i="4" s="1"/>
  <c r="I815" i="4"/>
  <c r="Q828" i="3"/>
  <c r="E828" i="4" s="1"/>
  <c r="I831" i="4"/>
  <c r="R837" i="3"/>
  <c r="D837" i="4" s="1"/>
  <c r="Q844" i="3"/>
  <c r="E844" i="4" s="1"/>
  <c r="I847" i="4"/>
  <c r="R853" i="3"/>
  <c r="D853" i="4" s="1"/>
  <c r="I853" i="4" s="1"/>
  <c r="Q860" i="3"/>
  <c r="E860" i="4" s="1"/>
  <c r="I863" i="4"/>
  <c r="R869" i="3"/>
  <c r="D869" i="4" s="1"/>
  <c r="I869" i="4" s="1"/>
  <c r="Q876" i="3"/>
  <c r="E876" i="4" s="1"/>
  <c r="I879" i="4"/>
  <c r="Q892" i="3"/>
  <c r="E892" i="4" s="1"/>
  <c r="I895" i="4"/>
  <c r="R901" i="3"/>
  <c r="D901" i="4" s="1"/>
  <c r="I901" i="4" s="1"/>
  <c r="Q908" i="3"/>
  <c r="E908" i="4" s="1"/>
  <c r="I911" i="4"/>
  <c r="R917" i="3"/>
  <c r="D917" i="4" s="1"/>
  <c r="I917" i="4" s="1"/>
  <c r="Q924" i="3"/>
  <c r="E924" i="4" s="1"/>
  <c r="I927" i="4"/>
  <c r="R933" i="3"/>
  <c r="D933" i="4" s="1"/>
  <c r="I933" i="4" s="1"/>
  <c r="Q940" i="3"/>
  <c r="E940" i="4" s="1"/>
  <c r="I943" i="4"/>
  <c r="R949" i="3"/>
  <c r="D949" i="4" s="1"/>
  <c r="I949" i="4" s="1"/>
  <c r="R956" i="3"/>
  <c r="D956" i="4" s="1"/>
  <c r="I956" i="4" s="1"/>
  <c r="R963" i="3"/>
  <c r="D963" i="4" s="1"/>
  <c r="I963" i="4" s="1"/>
  <c r="I971" i="4"/>
  <c r="Q975" i="3"/>
  <c r="E975" i="4" s="1"/>
  <c r="I983" i="4"/>
  <c r="R989" i="3"/>
  <c r="D989" i="4" s="1"/>
  <c r="Q994" i="3"/>
  <c r="E994" i="4" s="1"/>
  <c r="C997" i="4"/>
  <c r="R997" i="3"/>
  <c r="D997" i="4" s="1"/>
  <c r="Q997" i="3"/>
  <c r="E997" i="4" s="1"/>
  <c r="Q999" i="3"/>
  <c r="E999" i="4" s="1"/>
  <c r="C1002" i="4"/>
  <c r="R1002" i="3"/>
  <c r="D1002" i="4" s="1"/>
  <c r="R1011" i="3"/>
  <c r="D1011" i="4" s="1"/>
  <c r="I1011" i="4" s="1"/>
  <c r="R1016" i="3"/>
  <c r="D1016" i="4" s="1"/>
  <c r="Q1021" i="3"/>
  <c r="Q1026" i="3"/>
  <c r="C1029" i="4"/>
  <c r="I1029" i="4" s="1"/>
  <c r="R1029" i="3"/>
  <c r="D1029" i="4" s="1"/>
  <c r="Q1029" i="3"/>
  <c r="E1029" i="4" s="1"/>
  <c r="Q1031" i="3"/>
  <c r="C1034" i="4"/>
  <c r="R1034" i="3"/>
  <c r="D1034" i="4" s="1"/>
  <c r="C1054" i="4"/>
  <c r="R1054" i="3"/>
  <c r="D1054" i="4" s="1"/>
  <c r="R1076" i="3"/>
  <c r="D1076" i="4" s="1"/>
  <c r="C1082" i="4"/>
  <c r="Q1082" i="3"/>
  <c r="E1082" i="4" s="1"/>
  <c r="R1084" i="3"/>
  <c r="D1084" i="4" s="1"/>
  <c r="C1090" i="4"/>
  <c r="Q1090" i="3"/>
  <c r="I1216" i="4"/>
  <c r="R1234" i="3"/>
  <c r="D1234" i="4" s="1"/>
  <c r="I1234" i="4" s="1"/>
  <c r="R1250" i="3"/>
  <c r="D1250" i="4" s="1"/>
  <c r="I1250" i="4" s="1"/>
  <c r="R1266" i="3"/>
  <c r="D1266" i="4" s="1"/>
  <c r="I1266" i="4" s="1"/>
  <c r="I1276" i="4"/>
  <c r="R1378" i="3"/>
  <c r="D1378" i="4" s="1"/>
  <c r="R1394" i="3"/>
  <c r="D1394" i="4" s="1"/>
  <c r="I1394" i="4" s="1"/>
  <c r="R1410" i="3"/>
  <c r="D1410" i="4" s="1"/>
  <c r="I1043" i="4"/>
  <c r="I1059" i="4"/>
  <c r="I1075" i="4"/>
  <c r="I1107" i="4"/>
  <c r="R1113" i="3"/>
  <c r="D1113" i="4" s="1"/>
  <c r="I1123" i="4"/>
  <c r="R1129" i="3"/>
  <c r="D1129" i="4" s="1"/>
  <c r="I1139" i="4"/>
  <c r="R1145" i="3"/>
  <c r="D1145" i="4" s="1"/>
  <c r="I1145" i="4" s="1"/>
  <c r="I1155" i="4"/>
  <c r="R1161" i="3"/>
  <c r="D1161" i="4" s="1"/>
  <c r="I1161" i="4" s="1"/>
  <c r="R1177" i="3"/>
  <c r="D1177" i="4" s="1"/>
  <c r="I1177" i="4" s="1"/>
  <c r="I1187" i="4"/>
  <c r="R1193" i="3"/>
  <c r="D1193" i="4" s="1"/>
  <c r="R1209" i="3"/>
  <c r="D1209" i="4" s="1"/>
  <c r="Q1216" i="3"/>
  <c r="E1216" i="4" s="1"/>
  <c r="R1225" i="3"/>
  <c r="D1225" i="4" s="1"/>
  <c r="Q1232" i="3"/>
  <c r="E1232" i="4" s="1"/>
  <c r="I1235" i="4"/>
  <c r="R1241" i="3"/>
  <c r="D1241" i="4" s="1"/>
  <c r="I1241" i="4" s="1"/>
  <c r="Q1248" i="3"/>
  <c r="E1248" i="4" s="1"/>
  <c r="I1251" i="4"/>
  <c r="R1257" i="3"/>
  <c r="D1257" i="4" s="1"/>
  <c r="I1257" i="4" s="1"/>
  <c r="Q1264" i="3"/>
  <c r="E1264" i="4" s="1"/>
  <c r="R1273" i="3"/>
  <c r="D1273" i="4" s="1"/>
  <c r="Q1280" i="3"/>
  <c r="E1280" i="4" s="1"/>
  <c r="R1289" i="3"/>
  <c r="D1289" i="4" s="1"/>
  <c r="Q1296" i="3"/>
  <c r="E1296" i="4" s="1"/>
  <c r="R1305" i="3"/>
  <c r="D1305" i="4" s="1"/>
  <c r="Q1312" i="3"/>
  <c r="E1312" i="4" s="1"/>
  <c r="R1321" i="3"/>
  <c r="D1321" i="4" s="1"/>
  <c r="I1321" i="4" s="1"/>
  <c r="Q1328" i="3"/>
  <c r="I1331" i="4"/>
  <c r="R1337" i="3"/>
  <c r="D1337" i="4" s="1"/>
  <c r="I1337" i="4" s="1"/>
  <c r="Q1344" i="3"/>
  <c r="E1344" i="4" s="1"/>
  <c r="I1347" i="4"/>
  <c r="R1353" i="3"/>
  <c r="D1353" i="4" s="1"/>
  <c r="Q1360" i="3"/>
  <c r="E1360" i="4" s="1"/>
  <c r="R1369" i="3"/>
  <c r="D1369" i="4" s="1"/>
  <c r="Q1376" i="3"/>
  <c r="E1376" i="4" s="1"/>
  <c r="R1385" i="3"/>
  <c r="D1385" i="4" s="1"/>
  <c r="Q1392" i="3"/>
  <c r="E1392" i="4" s="1"/>
  <c r="I1395" i="4"/>
  <c r="R1401" i="3"/>
  <c r="D1401" i="4" s="1"/>
  <c r="Q1408" i="3"/>
  <c r="E1408" i="4" s="1"/>
  <c r="R1417" i="3"/>
  <c r="D1417" i="4" s="1"/>
  <c r="I1417" i="4" s="1"/>
  <c r="Q1424" i="3"/>
  <c r="E1424" i="4" s="1"/>
  <c r="I1427" i="4"/>
  <c r="R1433" i="3"/>
  <c r="D1433" i="4" s="1"/>
  <c r="I1433" i="4" s="1"/>
  <c r="Q1440" i="3"/>
  <c r="E1440" i="4" s="1"/>
  <c r="I1443" i="4"/>
  <c r="R1449" i="3"/>
  <c r="D1449" i="4" s="1"/>
  <c r="Q1456" i="3"/>
  <c r="E1456" i="4" s="1"/>
  <c r="R1465" i="3"/>
  <c r="D1465" i="4" s="1"/>
  <c r="Q1143" i="3"/>
  <c r="R1216" i="3"/>
  <c r="D1216" i="4" s="1"/>
  <c r="I1226" i="4"/>
  <c r="R1232" i="3"/>
  <c r="D1232" i="4" s="1"/>
  <c r="R1264" i="3"/>
  <c r="D1264" i="4" s="1"/>
  <c r="R1296" i="3"/>
  <c r="D1296" i="4" s="1"/>
  <c r="R1360" i="3"/>
  <c r="D1360" i="4" s="1"/>
  <c r="I1360" i="4" s="1"/>
  <c r="R1376" i="3"/>
  <c r="D1376" i="4" s="1"/>
  <c r="R1392" i="3"/>
  <c r="D1392" i="4" s="1"/>
  <c r="R1440" i="3"/>
  <c r="D1440" i="4" s="1"/>
  <c r="I1440" i="4" s="1"/>
  <c r="R1456" i="3"/>
  <c r="D1456" i="4" s="1"/>
  <c r="I1456" i="4" s="1"/>
  <c r="I1345" i="4"/>
  <c r="R1383" i="3"/>
  <c r="D1383" i="4" s="1"/>
  <c r="R1399" i="3"/>
  <c r="D1399" i="4" s="1"/>
  <c r="I1399" i="4" s="1"/>
  <c r="R1415" i="3"/>
  <c r="D1415" i="4" s="1"/>
  <c r="I1415" i="4" s="1"/>
  <c r="Q1422" i="3"/>
  <c r="E1422" i="4" s="1"/>
  <c r="I1425" i="4"/>
  <c r="R1431" i="3"/>
  <c r="D1431" i="4" s="1"/>
  <c r="Q1438" i="3"/>
  <c r="E1438" i="4" s="1"/>
  <c r="R1447" i="3"/>
  <c r="D1447" i="4" s="1"/>
  <c r="Q1454" i="3"/>
  <c r="E1454" i="4" s="1"/>
  <c r="I1457" i="4"/>
  <c r="R1463" i="3"/>
  <c r="D1463" i="4" s="1"/>
  <c r="Q1470" i="3"/>
  <c r="E1470" i="4" s="1"/>
  <c r="I968" i="4"/>
  <c r="I984" i="4"/>
  <c r="I1016" i="4"/>
  <c r="I1048" i="4"/>
  <c r="I1064" i="4"/>
  <c r="Q1077" i="3"/>
  <c r="E1077" i="4" s="1"/>
  <c r="I1080" i="4"/>
  <c r="Q1093" i="3"/>
  <c r="E1093" i="4" s="1"/>
  <c r="I1096" i="4"/>
  <c r="R1102" i="3"/>
  <c r="D1102" i="4" s="1"/>
  <c r="I1102" i="4" s="1"/>
  <c r="Q1109" i="3"/>
  <c r="E1109" i="4" s="1"/>
  <c r="I1112" i="4"/>
  <c r="R1118" i="3"/>
  <c r="D1118" i="4" s="1"/>
  <c r="Q1125" i="3"/>
  <c r="E1125" i="4" s="1"/>
  <c r="I1128" i="4"/>
  <c r="R1134" i="3"/>
  <c r="D1134" i="4" s="1"/>
  <c r="Q1141" i="3"/>
  <c r="E1141" i="4" s="1"/>
  <c r="I1144" i="4"/>
  <c r="R1150" i="3"/>
  <c r="D1150" i="4" s="1"/>
  <c r="Q1157" i="3"/>
  <c r="E1157" i="4" s="1"/>
  <c r="I1160" i="4"/>
  <c r="R1166" i="3"/>
  <c r="D1166" i="4" s="1"/>
  <c r="I1166" i="4" s="1"/>
  <c r="Q1173" i="3"/>
  <c r="E1173" i="4" s="1"/>
  <c r="I1176" i="4"/>
  <c r="R1182" i="3"/>
  <c r="D1182" i="4" s="1"/>
  <c r="I1182" i="4" s="1"/>
  <c r="Q1189" i="3"/>
  <c r="E1189" i="4" s="1"/>
  <c r="I1192" i="4"/>
  <c r="R1198" i="3"/>
  <c r="D1198" i="4" s="1"/>
  <c r="Q1205" i="3"/>
  <c r="E1205" i="4" s="1"/>
  <c r="I1208" i="4"/>
  <c r="R1214" i="3"/>
  <c r="D1214" i="4" s="1"/>
  <c r="Q1221" i="3"/>
  <c r="E1221" i="4" s="1"/>
  <c r="I1224" i="4"/>
  <c r="R1230" i="3"/>
  <c r="D1230" i="4" s="1"/>
  <c r="Q1237" i="3"/>
  <c r="E1237" i="4" s="1"/>
  <c r="I1240" i="4"/>
  <c r="R1246" i="3"/>
  <c r="D1246" i="4" s="1"/>
  <c r="Q1253" i="3"/>
  <c r="E1253" i="4" s="1"/>
  <c r="I1256" i="4"/>
  <c r="R1262" i="3"/>
  <c r="D1262" i="4" s="1"/>
  <c r="I1262" i="4" s="1"/>
  <c r="Q1269" i="3"/>
  <c r="E1269" i="4" s="1"/>
  <c r="R1278" i="3"/>
  <c r="D1278" i="4" s="1"/>
  <c r="Q1285" i="3"/>
  <c r="E1285" i="4" s="1"/>
  <c r="R1294" i="3"/>
  <c r="D1294" i="4" s="1"/>
  <c r="I1294" i="4" s="1"/>
  <c r="Q1301" i="3"/>
  <c r="E1301" i="4" s="1"/>
  <c r="I1304" i="4"/>
  <c r="R1310" i="3"/>
  <c r="D1310" i="4" s="1"/>
  <c r="Q1317" i="3"/>
  <c r="E1317" i="4" s="1"/>
  <c r="R1326" i="3"/>
  <c r="D1326" i="4" s="1"/>
  <c r="Q1333" i="3"/>
  <c r="E1333" i="4" s="1"/>
  <c r="I1336" i="4"/>
  <c r="R1342" i="3"/>
  <c r="D1342" i="4" s="1"/>
  <c r="Q1349" i="3"/>
  <c r="E1349" i="4" s="1"/>
  <c r="I1352" i="4"/>
  <c r="R1358" i="3"/>
  <c r="D1358" i="4" s="1"/>
  <c r="Q1365" i="3"/>
  <c r="E1365" i="4" s="1"/>
  <c r="I1368" i="4"/>
  <c r="R1374" i="3"/>
  <c r="D1374" i="4" s="1"/>
  <c r="I1374" i="4" s="1"/>
  <c r="Q1381" i="3"/>
  <c r="E1381" i="4" s="1"/>
  <c r="R1390" i="3"/>
  <c r="D1390" i="4" s="1"/>
  <c r="I1390" i="4" s="1"/>
  <c r="Q1397" i="3"/>
  <c r="E1397" i="4" s="1"/>
  <c r="I1400" i="4"/>
  <c r="R1406" i="3"/>
  <c r="D1406" i="4" s="1"/>
  <c r="Q1413" i="3"/>
  <c r="E1413" i="4" s="1"/>
  <c r="I1416" i="4"/>
  <c r="R1422" i="3"/>
  <c r="D1422" i="4" s="1"/>
  <c r="Q1429" i="3"/>
  <c r="E1429" i="4" s="1"/>
  <c r="I1432" i="4"/>
  <c r="Q1445" i="3"/>
  <c r="E1445" i="4" s="1"/>
  <c r="R1454" i="3"/>
  <c r="D1454" i="4" s="1"/>
  <c r="R1470" i="3"/>
  <c r="D1470" i="4" s="1"/>
  <c r="I1103" i="4"/>
  <c r="R1125" i="3"/>
  <c r="D1125" i="4" s="1"/>
  <c r="I1125" i="4" s="1"/>
  <c r="I1135" i="4"/>
  <c r="R1141" i="3"/>
  <c r="D1141" i="4" s="1"/>
  <c r="Q1148" i="3"/>
  <c r="E1148" i="4" s="1"/>
  <c r="I1151" i="4"/>
  <c r="Q1164" i="3"/>
  <c r="E1164" i="4" s="1"/>
  <c r="Q1180" i="3"/>
  <c r="E1180" i="4" s="1"/>
  <c r="Q1196" i="3"/>
  <c r="E1196" i="4" s="1"/>
  <c r="R1205" i="3"/>
  <c r="D1205" i="4" s="1"/>
  <c r="I1205" i="4" s="1"/>
  <c r="Q1212" i="3"/>
  <c r="E1212" i="4" s="1"/>
  <c r="I1215" i="4"/>
  <c r="R1221" i="3"/>
  <c r="D1221" i="4" s="1"/>
  <c r="Q1228" i="3"/>
  <c r="E1228" i="4" s="1"/>
  <c r="R1237" i="3"/>
  <c r="D1237" i="4" s="1"/>
  <c r="I1237" i="4" s="1"/>
  <c r="Q1244" i="3"/>
  <c r="E1244" i="4" s="1"/>
  <c r="Q1260" i="3"/>
  <c r="E1260" i="4" s="1"/>
  <c r="R1269" i="3"/>
  <c r="D1269" i="4" s="1"/>
  <c r="I1269" i="4" s="1"/>
  <c r="Q1276" i="3"/>
  <c r="E1276" i="4" s="1"/>
  <c r="Q1292" i="3"/>
  <c r="E1292" i="4" s="1"/>
  <c r="R1301" i="3"/>
  <c r="D1301" i="4" s="1"/>
  <c r="I1301" i="4" s="1"/>
  <c r="Q1308" i="3"/>
  <c r="E1308" i="4" s="1"/>
  <c r="Q1324" i="3"/>
  <c r="E1324" i="4" s="1"/>
  <c r="I1327" i="4"/>
  <c r="Q1340" i="3"/>
  <c r="E1340" i="4" s="1"/>
  <c r="Q1356" i="3"/>
  <c r="E1356" i="4" s="1"/>
  <c r="R1365" i="3"/>
  <c r="D1365" i="4" s="1"/>
  <c r="Q1372" i="3"/>
  <c r="R1381" i="3"/>
  <c r="D1381" i="4" s="1"/>
  <c r="Q1388" i="3"/>
  <c r="R1397" i="3"/>
  <c r="D1397" i="4" s="1"/>
  <c r="Q1404" i="3"/>
  <c r="I1407" i="4"/>
  <c r="Q1420" i="3"/>
  <c r="Q1436" i="3"/>
  <c r="Q1452" i="3"/>
  <c r="R1461" i="3"/>
  <c r="D1461" i="4" s="1"/>
  <c r="I1461" i="4" s="1"/>
  <c r="Q1468" i="3"/>
  <c r="E1468" i="4" s="1"/>
  <c r="I1471" i="4"/>
  <c r="R1228" i="3"/>
  <c r="D1228" i="4" s="1"/>
  <c r="I1228" i="4" s="1"/>
  <c r="R1276" i="3"/>
  <c r="D1276" i="4" s="1"/>
  <c r="R1308" i="3"/>
  <c r="D1308" i="4" s="1"/>
  <c r="I1308" i="4" s="1"/>
  <c r="R1340" i="3"/>
  <c r="D1340" i="4" s="1"/>
  <c r="I1340" i="4" s="1"/>
  <c r="R1356" i="3"/>
  <c r="D1356" i="4" s="1"/>
  <c r="I1356" i="4" s="1"/>
  <c r="I1462" i="4"/>
  <c r="I1085" i="4"/>
  <c r="I1101" i="4"/>
  <c r="I1117" i="4"/>
  <c r="Q1130" i="3"/>
  <c r="E1130" i="4" s="1"/>
  <c r="I1133" i="4"/>
  <c r="Q1146" i="3"/>
  <c r="E1146" i="4" s="1"/>
  <c r="I1149" i="4"/>
  <c r="R1155" i="3"/>
  <c r="D1155" i="4" s="1"/>
  <c r="Q1162" i="3"/>
  <c r="E1162" i="4" s="1"/>
  <c r="R1171" i="3"/>
  <c r="D1171" i="4" s="1"/>
  <c r="I1171" i="4" s="1"/>
  <c r="Q1178" i="3"/>
  <c r="E1178" i="4" s="1"/>
  <c r="I1181" i="4"/>
  <c r="R1187" i="3"/>
  <c r="D1187" i="4" s="1"/>
  <c r="Q1194" i="3"/>
  <c r="E1194" i="4" s="1"/>
  <c r="R1203" i="3"/>
  <c r="D1203" i="4" s="1"/>
  <c r="I1203" i="4" s="1"/>
  <c r="Q1210" i="3"/>
  <c r="E1210" i="4" s="1"/>
  <c r="I1213" i="4"/>
  <c r="R1219" i="3"/>
  <c r="D1219" i="4" s="1"/>
  <c r="I1219" i="4" s="1"/>
  <c r="Q1226" i="3"/>
  <c r="E1226" i="4" s="1"/>
  <c r="R1235" i="3"/>
  <c r="D1235" i="4" s="1"/>
  <c r="Q1242" i="3"/>
  <c r="E1242" i="4" s="1"/>
  <c r="R1251" i="3"/>
  <c r="D1251" i="4" s="1"/>
  <c r="Q1258" i="3"/>
  <c r="E1258" i="4" s="1"/>
  <c r="R1267" i="3"/>
  <c r="D1267" i="4" s="1"/>
  <c r="I1267" i="4" s="1"/>
  <c r="Q1274" i="3"/>
  <c r="E1274" i="4" s="1"/>
  <c r="I1277" i="4"/>
  <c r="R1283" i="3"/>
  <c r="D1283" i="4" s="1"/>
  <c r="I1283" i="4" s="1"/>
  <c r="Q1290" i="3"/>
  <c r="E1290" i="4" s="1"/>
  <c r="I1293" i="4"/>
  <c r="R1299" i="3"/>
  <c r="D1299" i="4" s="1"/>
  <c r="I1299" i="4" s="1"/>
  <c r="Q1306" i="3"/>
  <c r="E1306" i="4" s="1"/>
  <c r="R1315" i="3"/>
  <c r="D1315" i="4" s="1"/>
  <c r="I1315" i="4" s="1"/>
  <c r="Q1322" i="3"/>
  <c r="E1322" i="4" s="1"/>
  <c r="I1325" i="4"/>
  <c r="R1331" i="3"/>
  <c r="D1331" i="4" s="1"/>
  <c r="Q1338" i="3"/>
  <c r="E1338" i="4" s="1"/>
  <c r="R1347" i="3"/>
  <c r="D1347" i="4" s="1"/>
  <c r="Q1354" i="3"/>
  <c r="E1354" i="4" s="1"/>
  <c r="R1363" i="3"/>
  <c r="D1363" i="4" s="1"/>
  <c r="I1363" i="4" s="1"/>
  <c r="Q1370" i="3"/>
  <c r="E1370" i="4" s="1"/>
  <c r="I1373" i="4"/>
  <c r="R1379" i="3"/>
  <c r="D1379" i="4" s="1"/>
  <c r="I1379" i="4" s="1"/>
  <c r="Q1386" i="3"/>
  <c r="E1386" i="4" s="1"/>
  <c r="I1389" i="4"/>
  <c r="R1395" i="3"/>
  <c r="D1395" i="4" s="1"/>
  <c r="Q1402" i="3"/>
  <c r="E1402" i="4" s="1"/>
  <c r="I1405" i="4"/>
  <c r="R1411" i="3"/>
  <c r="D1411" i="4" s="1"/>
  <c r="I1411" i="4" s="1"/>
  <c r="Q1418" i="3"/>
  <c r="E1418" i="4" s="1"/>
  <c r="R1427" i="3"/>
  <c r="D1427" i="4" s="1"/>
  <c r="Q1434" i="3"/>
  <c r="E1434" i="4" s="1"/>
  <c r="R1443" i="3"/>
  <c r="D1443" i="4" s="1"/>
  <c r="Q1450" i="3"/>
  <c r="E1450" i="4" s="1"/>
  <c r="I1453" i="4"/>
  <c r="R1459" i="3"/>
  <c r="D1459" i="4" s="1"/>
  <c r="I1459" i="4" s="1"/>
  <c r="Q1466" i="3"/>
  <c r="E1466" i="4" s="1"/>
  <c r="I1012" i="4"/>
  <c r="I1044" i="4"/>
  <c r="I1060" i="4"/>
  <c r="I1076" i="4"/>
  <c r="I1092" i="4"/>
  <c r="I1108" i="4"/>
  <c r="I1124" i="4"/>
  <c r="I1140" i="4"/>
  <c r="I1156" i="4"/>
  <c r="R1162" i="3"/>
  <c r="D1162" i="4" s="1"/>
  <c r="I1162" i="4" s="1"/>
  <c r="I1172" i="4"/>
  <c r="R1178" i="3"/>
  <c r="D1178" i="4" s="1"/>
  <c r="I1178" i="4" s="1"/>
  <c r="I1188" i="4"/>
  <c r="R1226" i="3"/>
  <c r="D1226" i="4" s="1"/>
  <c r="Q1233" i="3"/>
  <c r="Q1249" i="3"/>
  <c r="Q1265" i="3"/>
  <c r="I1268" i="4"/>
  <c r="R1274" i="3"/>
  <c r="D1274" i="4" s="1"/>
  <c r="I1274" i="4" s="1"/>
  <c r="Q1281" i="3"/>
  <c r="I1284" i="4"/>
  <c r="Q1297" i="3"/>
  <c r="I1300" i="4"/>
  <c r="R1306" i="3"/>
  <c r="D1306" i="4" s="1"/>
  <c r="I1306" i="4" s="1"/>
  <c r="Q1313" i="3"/>
  <c r="E1313" i="4" s="1"/>
  <c r="I1316" i="4"/>
  <c r="Q1329" i="3"/>
  <c r="E1329" i="4" s="1"/>
  <c r="R1338" i="3"/>
  <c r="D1338" i="4" s="1"/>
  <c r="I1338" i="4" s="1"/>
  <c r="Q1345" i="3"/>
  <c r="E1345" i="4" s="1"/>
  <c r="R1354" i="3"/>
  <c r="D1354" i="4" s="1"/>
  <c r="I1354" i="4" s="1"/>
  <c r="Q1361" i="3"/>
  <c r="E1361" i="4" s="1"/>
  <c r="I1364" i="4"/>
  <c r="R1370" i="3"/>
  <c r="D1370" i="4" s="1"/>
  <c r="I1370" i="4" s="1"/>
  <c r="Q1377" i="3"/>
  <c r="E1377" i="4" s="1"/>
  <c r="Q1393" i="3"/>
  <c r="I1396" i="4"/>
  <c r="Q1409" i="3"/>
  <c r="I1460" i="4"/>
  <c r="R1466" i="3"/>
  <c r="D1466" i="4" s="1"/>
  <c r="I1466" i="4" s="1"/>
  <c r="I1275" i="4"/>
  <c r="R1329" i="3"/>
  <c r="D1329" i="4" s="1"/>
  <c r="I1329" i="4" s="1"/>
  <c r="R1345" i="3"/>
  <c r="D1345" i="4" s="1"/>
  <c r="I1403" i="4"/>
  <c r="R1441" i="3"/>
  <c r="D1441" i="4" s="1"/>
  <c r="I1441" i="4" s="1"/>
  <c r="R1457" i="3"/>
  <c r="D1457" i="4" s="1"/>
  <c r="R1272" i="3"/>
  <c r="D1272" i="4" s="1"/>
  <c r="I1272" i="4" s="1"/>
  <c r="R1288" i="3"/>
  <c r="D1288" i="4" s="1"/>
  <c r="I1288" i="4" s="1"/>
  <c r="R1320" i="3"/>
  <c r="D1320" i="4" s="1"/>
  <c r="I1320" i="4" s="1"/>
  <c r="R1336" i="3"/>
  <c r="D1336" i="4" s="1"/>
  <c r="I1378" i="4"/>
  <c r="R1384" i="3"/>
  <c r="D1384" i="4" s="1"/>
  <c r="I1384" i="4" s="1"/>
  <c r="R1400" i="3"/>
  <c r="D1400" i="4" s="1"/>
  <c r="I1410" i="4"/>
  <c r="R1416" i="3"/>
  <c r="D1416" i="4" s="1"/>
  <c r="I1426" i="4"/>
  <c r="R1432" i="3"/>
  <c r="D1432" i="4" s="1"/>
  <c r="I1442" i="4"/>
  <c r="R1448" i="3"/>
  <c r="D1448" i="4" s="1"/>
  <c r="I1448" i="4" s="1"/>
  <c r="Q1455" i="3"/>
  <c r="E1455" i="4" s="1"/>
  <c r="I1458" i="4"/>
  <c r="R1464" i="3"/>
  <c r="D1464" i="4" s="1"/>
  <c r="I1464" i="4" s="1"/>
  <c r="Q1471" i="3"/>
  <c r="E1471" i="4" s="1"/>
  <c r="I953" i="4"/>
  <c r="I969" i="4"/>
  <c r="I985" i="4"/>
  <c r="I1001" i="4"/>
  <c r="R1007" i="3"/>
  <c r="D1007" i="4" s="1"/>
  <c r="I1007" i="4" s="1"/>
  <c r="I1017" i="4"/>
  <c r="R1023" i="3"/>
  <c r="D1023" i="4" s="1"/>
  <c r="I1023" i="4" s="1"/>
  <c r="R1039" i="3"/>
  <c r="D1039" i="4" s="1"/>
  <c r="I1039" i="4" s="1"/>
  <c r="R1055" i="3"/>
  <c r="D1055" i="4" s="1"/>
  <c r="I1055" i="4" s="1"/>
  <c r="I1065" i="4"/>
  <c r="R1071" i="3"/>
  <c r="D1071" i="4" s="1"/>
  <c r="I1071" i="4" s="1"/>
  <c r="I1081" i="4"/>
  <c r="R1087" i="3"/>
  <c r="D1087" i="4" s="1"/>
  <c r="I1087" i="4" s="1"/>
  <c r="I1097" i="4"/>
  <c r="R1103" i="3"/>
  <c r="D1103" i="4" s="1"/>
  <c r="I1113" i="4"/>
  <c r="R1119" i="3"/>
  <c r="D1119" i="4" s="1"/>
  <c r="I1119" i="4" s="1"/>
  <c r="I1129" i="4"/>
  <c r="R1135" i="3"/>
  <c r="D1135" i="4" s="1"/>
  <c r="R1151" i="3"/>
  <c r="D1151" i="4" s="1"/>
  <c r="R1167" i="3"/>
  <c r="D1167" i="4" s="1"/>
  <c r="I1167" i="4" s="1"/>
  <c r="R1183" i="3"/>
  <c r="D1183" i="4" s="1"/>
  <c r="I1183" i="4" s="1"/>
  <c r="Q1190" i="3"/>
  <c r="E1190" i="4" s="1"/>
  <c r="I1193" i="4"/>
  <c r="R1199" i="3"/>
  <c r="D1199" i="4" s="1"/>
  <c r="I1199" i="4" s="1"/>
  <c r="Q1206" i="3"/>
  <c r="E1206" i="4" s="1"/>
  <c r="I1209" i="4"/>
  <c r="R1215" i="3"/>
  <c r="D1215" i="4" s="1"/>
  <c r="Q1222" i="3"/>
  <c r="E1222" i="4" s="1"/>
  <c r="I1225" i="4"/>
  <c r="R1231" i="3"/>
  <c r="D1231" i="4" s="1"/>
  <c r="I1231" i="4" s="1"/>
  <c r="Q1238" i="3"/>
  <c r="E1238" i="4" s="1"/>
  <c r="R1247" i="3"/>
  <c r="D1247" i="4" s="1"/>
  <c r="I1247" i="4" s="1"/>
  <c r="Q1254" i="3"/>
  <c r="E1254" i="4" s="1"/>
  <c r="R1263" i="3"/>
  <c r="D1263" i="4" s="1"/>
  <c r="I1263" i="4" s="1"/>
  <c r="Q1270" i="3"/>
  <c r="E1270" i="4" s="1"/>
  <c r="I1273" i="4"/>
  <c r="R1279" i="3"/>
  <c r="D1279" i="4" s="1"/>
  <c r="I1279" i="4" s="1"/>
  <c r="Q1286" i="3"/>
  <c r="E1286" i="4" s="1"/>
  <c r="I1289" i="4"/>
  <c r="R1295" i="3"/>
  <c r="D1295" i="4" s="1"/>
  <c r="I1295" i="4" s="1"/>
  <c r="Q1302" i="3"/>
  <c r="E1302" i="4" s="1"/>
  <c r="I1305" i="4"/>
  <c r="R1311" i="3"/>
  <c r="D1311" i="4" s="1"/>
  <c r="I1311" i="4" s="1"/>
  <c r="Q1318" i="3"/>
  <c r="R1327" i="3"/>
  <c r="D1327" i="4" s="1"/>
  <c r="Q1334" i="3"/>
  <c r="R1343" i="3"/>
  <c r="D1343" i="4" s="1"/>
  <c r="I1343" i="4" s="1"/>
  <c r="Q1350" i="3"/>
  <c r="I1353" i="4"/>
  <c r="R1359" i="3"/>
  <c r="D1359" i="4" s="1"/>
  <c r="I1359" i="4" s="1"/>
  <c r="Q1366" i="3"/>
  <c r="I1369" i="4"/>
  <c r="R1375" i="3"/>
  <c r="D1375" i="4" s="1"/>
  <c r="I1375" i="4" s="1"/>
  <c r="Q1382" i="3"/>
  <c r="I1385" i="4"/>
  <c r="R1391" i="3"/>
  <c r="D1391" i="4" s="1"/>
  <c r="I1391" i="4" s="1"/>
  <c r="Q1398" i="3"/>
  <c r="I1401" i="4"/>
  <c r="R1407" i="3"/>
  <c r="D1407" i="4" s="1"/>
  <c r="Q1414" i="3"/>
  <c r="R1423" i="3"/>
  <c r="D1423" i="4" s="1"/>
  <c r="I1423" i="4" s="1"/>
  <c r="Q1430" i="3"/>
  <c r="R1439" i="3"/>
  <c r="D1439" i="4" s="1"/>
  <c r="I1439" i="4" s="1"/>
  <c r="Q1446" i="3"/>
  <c r="I1449" i="4"/>
  <c r="R1455" i="3"/>
  <c r="D1455" i="4" s="1"/>
  <c r="I1455" i="4" s="1"/>
  <c r="I1465" i="4"/>
  <c r="R1471" i="3"/>
  <c r="D1471" i="4" s="1"/>
  <c r="I1232" i="4"/>
  <c r="I1264" i="4"/>
  <c r="R1270" i="3"/>
  <c r="D1270" i="4" s="1"/>
  <c r="I1270" i="4" s="1"/>
  <c r="I1296" i="4"/>
  <c r="I1376" i="4"/>
  <c r="I1392" i="4"/>
  <c r="R1462" i="3"/>
  <c r="D1462" i="4" s="1"/>
  <c r="Q1469" i="3"/>
  <c r="E1469" i="4" s="1"/>
  <c r="I1159" i="4"/>
  <c r="I1175" i="4"/>
  <c r="R1181" i="3"/>
  <c r="D1181" i="4" s="1"/>
  <c r="I1191" i="4"/>
  <c r="R1197" i="3"/>
  <c r="D1197" i="4" s="1"/>
  <c r="I1197" i="4" s="1"/>
  <c r="I1207" i="4"/>
  <c r="R1213" i="3"/>
  <c r="D1213" i="4" s="1"/>
  <c r="I1223" i="4"/>
  <c r="R1229" i="3"/>
  <c r="D1229" i="4" s="1"/>
  <c r="I1229" i="4" s="1"/>
  <c r="I1239" i="4"/>
  <c r="R1245" i="3"/>
  <c r="D1245" i="4" s="1"/>
  <c r="I1245" i="4" s="1"/>
  <c r="I1255" i="4"/>
  <c r="R1261" i="3"/>
  <c r="D1261" i="4" s="1"/>
  <c r="I1261" i="4" s="1"/>
  <c r="I1271" i="4"/>
  <c r="R1277" i="3"/>
  <c r="D1277" i="4" s="1"/>
  <c r="I1287" i="4"/>
  <c r="R1293" i="3"/>
  <c r="D1293" i="4" s="1"/>
  <c r="I1303" i="4"/>
  <c r="R1309" i="3"/>
  <c r="D1309" i="4" s="1"/>
  <c r="I1309" i="4" s="1"/>
  <c r="I1319" i="4"/>
  <c r="R1325" i="3"/>
  <c r="D1325" i="4" s="1"/>
  <c r="Q1332" i="3"/>
  <c r="E1332" i="4" s="1"/>
  <c r="I1335" i="4"/>
  <c r="R1341" i="3"/>
  <c r="D1341" i="4" s="1"/>
  <c r="I1341" i="4" s="1"/>
  <c r="Q1348" i="3"/>
  <c r="E1348" i="4" s="1"/>
  <c r="I1351" i="4"/>
  <c r="R1357" i="3"/>
  <c r="D1357" i="4" s="1"/>
  <c r="I1357" i="4" s="1"/>
  <c r="Q1364" i="3"/>
  <c r="E1364" i="4" s="1"/>
  <c r="I1367" i="4"/>
  <c r="R1373" i="3"/>
  <c r="D1373" i="4" s="1"/>
  <c r="Q1380" i="3"/>
  <c r="E1380" i="4" s="1"/>
  <c r="I1383" i="4"/>
  <c r="R1389" i="3"/>
  <c r="D1389" i="4" s="1"/>
  <c r="Q1396" i="3"/>
  <c r="E1396" i="4" s="1"/>
  <c r="R1405" i="3"/>
  <c r="D1405" i="4" s="1"/>
  <c r="Q1412" i="3"/>
  <c r="E1412" i="4" s="1"/>
  <c r="R1421" i="3"/>
  <c r="D1421" i="4" s="1"/>
  <c r="I1421" i="4" s="1"/>
  <c r="Q1428" i="3"/>
  <c r="E1428" i="4" s="1"/>
  <c r="I1431" i="4"/>
  <c r="R1437" i="3"/>
  <c r="D1437" i="4" s="1"/>
  <c r="I1437" i="4" s="1"/>
  <c r="Q1444" i="3"/>
  <c r="E1444" i="4" s="1"/>
  <c r="I1447" i="4"/>
  <c r="R1453" i="3"/>
  <c r="D1453" i="4" s="1"/>
  <c r="I1463" i="4"/>
  <c r="I1118" i="4"/>
  <c r="I1134" i="4"/>
  <c r="I1150" i="4"/>
  <c r="I1198" i="4"/>
  <c r="I1214" i="4"/>
  <c r="R1220" i="3"/>
  <c r="D1220" i="4" s="1"/>
  <c r="I1220" i="4" s="1"/>
  <c r="I1230" i="4"/>
  <c r="R1236" i="3"/>
  <c r="D1236" i="4" s="1"/>
  <c r="I1236" i="4" s="1"/>
  <c r="I1246" i="4"/>
  <c r="R1252" i="3"/>
  <c r="D1252" i="4" s="1"/>
  <c r="I1252" i="4" s="1"/>
  <c r="R1268" i="3"/>
  <c r="D1268" i="4" s="1"/>
  <c r="Q1275" i="3"/>
  <c r="E1275" i="4" s="1"/>
  <c r="I1278" i="4"/>
  <c r="R1284" i="3"/>
  <c r="D1284" i="4" s="1"/>
  <c r="Q1291" i="3"/>
  <c r="E1291" i="4" s="1"/>
  <c r="R1300" i="3"/>
  <c r="D1300" i="4" s="1"/>
  <c r="Q1307" i="3"/>
  <c r="E1307" i="4" s="1"/>
  <c r="I1310" i="4"/>
  <c r="R1316" i="3"/>
  <c r="D1316" i="4" s="1"/>
  <c r="Q1323" i="3"/>
  <c r="E1323" i="4" s="1"/>
  <c r="I1326" i="4"/>
  <c r="R1332" i="3"/>
  <c r="D1332" i="4" s="1"/>
  <c r="I1332" i="4" s="1"/>
  <c r="Q1339" i="3"/>
  <c r="E1339" i="4" s="1"/>
  <c r="I1342" i="4"/>
  <c r="Q1355" i="3"/>
  <c r="E1355" i="4" s="1"/>
  <c r="I1358" i="4"/>
  <c r="R1364" i="3"/>
  <c r="D1364" i="4" s="1"/>
  <c r="Q1371" i="3"/>
  <c r="E1371" i="4" s="1"/>
  <c r="Q1387" i="3"/>
  <c r="E1387" i="4" s="1"/>
  <c r="R1396" i="3"/>
  <c r="D1396" i="4" s="1"/>
  <c r="Q1403" i="3"/>
  <c r="E1403" i="4" s="1"/>
  <c r="I1406" i="4"/>
  <c r="R1412" i="3"/>
  <c r="D1412" i="4" s="1"/>
  <c r="I1412" i="4" s="1"/>
  <c r="Q1419" i="3"/>
  <c r="E1419" i="4" s="1"/>
  <c r="I1422" i="4"/>
  <c r="R1428" i="3"/>
  <c r="D1428" i="4" s="1"/>
  <c r="I1428" i="4" s="1"/>
  <c r="Q1435" i="3"/>
  <c r="E1435" i="4" s="1"/>
  <c r="Q1451" i="3"/>
  <c r="E1451" i="4" s="1"/>
  <c r="I1454" i="4"/>
  <c r="R1460" i="3"/>
  <c r="D1460" i="4" s="1"/>
  <c r="Q1467" i="3"/>
  <c r="E1467" i="4" s="1"/>
  <c r="I1470" i="4"/>
  <c r="I1141" i="4"/>
  <c r="Q1186" i="3"/>
  <c r="Q1202" i="3"/>
  <c r="Q1218" i="3"/>
  <c r="I1221" i="4"/>
  <c r="Q1234" i="3"/>
  <c r="E1234" i="4" s="1"/>
  <c r="Q1250" i="3"/>
  <c r="E1250" i="4" s="1"/>
  <c r="Q1266" i="3"/>
  <c r="E1266" i="4" s="1"/>
  <c r="R1275" i="3"/>
  <c r="D1275" i="4" s="1"/>
  <c r="Q1282" i="3"/>
  <c r="E1282" i="4" s="1"/>
  <c r="R1291" i="3"/>
  <c r="D1291" i="4" s="1"/>
  <c r="I1291" i="4" s="1"/>
  <c r="Q1298" i="3"/>
  <c r="E1298" i="4" s="1"/>
  <c r="R1307" i="3"/>
  <c r="D1307" i="4" s="1"/>
  <c r="I1307" i="4" s="1"/>
  <c r="Q1314" i="3"/>
  <c r="R1323" i="3"/>
  <c r="D1323" i="4" s="1"/>
  <c r="I1323" i="4" s="1"/>
  <c r="Q1330" i="3"/>
  <c r="E1330" i="4" s="1"/>
  <c r="Q1346" i="3"/>
  <c r="E1346" i="4" s="1"/>
  <c r="Q1362" i="3"/>
  <c r="E1362" i="4" s="1"/>
  <c r="I1365" i="4"/>
  <c r="R1371" i="3"/>
  <c r="D1371" i="4" s="1"/>
  <c r="I1371" i="4" s="1"/>
  <c r="I1381" i="4"/>
  <c r="R1387" i="3"/>
  <c r="D1387" i="4" s="1"/>
  <c r="I1387" i="4" s="1"/>
  <c r="I1397" i="4"/>
  <c r="R1403" i="3"/>
  <c r="D1403" i="4" s="1"/>
  <c r="R1467" i="3"/>
  <c r="D1467" i="4" s="1"/>
  <c r="I1467" i="4" s="1"/>
  <c r="E588" i="4" l="1"/>
  <c r="R588" i="3"/>
  <c r="D588" i="4" s="1"/>
  <c r="I588" i="4" s="1"/>
  <c r="E1281" i="4"/>
  <c r="R1281" i="3"/>
  <c r="D1281" i="4" s="1"/>
  <c r="I1281" i="4" s="1"/>
  <c r="R1082" i="3"/>
  <c r="D1082" i="4" s="1"/>
  <c r="I1002" i="4"/>
  <c r="R757" i="3"/>
  <c r="D757" i="4" s="1"/>
  <c r="I757" i="4" s="1"/>
  <c r="I1227" i="4"/>
  <c r="E864" i="4"/>
  <c r="R864" i="3"/>
  <c r="D864" i="4" s="1"/>
  <c r="I864" i="4" s="1"/>
  <c r="E608" i="4"/>
  <c r="R608" i="3"/>
  <c r="D608" i="4" s="1"/>
  <c r="I608" i="4" s="1"/>
  <c r="R706" i="3"/>
  <c r="D706" i="4" s="1"/>
  <c r="I706" i="4" s="1"/>
  <c r="R939" i="3"/>
  <c r="D939" i="4" s="1"/>
  <c r="I939" i="4" s="1"/>
  <c r="R683" i="3"/>
  <c r="D683" i="4" s="1"/>
  <c r="I683" i="4" s="1"/>
  <c r="R1045" i="3"/>
  <c r="D1045" i="4" s="1"/>
  <c r="R1093" i="3"/>
  <c r="D1093" i="4" s="1"/>
  <c r="I1093" i="4" s="1"/>
  <c r="E976" i="4"/>
  <c r="R976" i="3"/>
  <c r="D976" i="4" s="1"/>
  <c r="I976" i="4" s="1"/>
  <c r="E886" i="4"/>
  <c r="R886" i="3"/>
  <c r="D886" i="4" s="1"/>
  <c r="I886" i="4" s="1"/>
  <c r="E630" i="4"/>
  <c r="R630" i="3"/>
  <c r="D630" i="4" s="1"/>
  <c r="I630" i="4" s="1"/>
  <c r="R1200" i="3"/>
  <c r="D1200" i="4" s="1"/>
  <c r="I1200" i="4" s="1"/>
  <c r="R897" i="3"/>
  <c r="D897" i="4" s="1"/>
  <c r="I897" i="4" s="1"/>
  <c r="R641" i="3"/>
  <c r="D641" i="4" s="1"/>
  <c r="I641" i="4" s="1"/>
  <c r="I1114" i="4"/>
  <c r="R1163" i="3"/>
  <c r="D1163" i="4" s="1"/>
  <c r="I1163" i="4" s="1"/>
  <c r="R716" i="3"/>
  <c r="D716" i="4" s="1"/>
  <c r="I716" i="4" s="1"/>
  <c r="I474" i="4"/>
  <c r="E322" i="4"/>
  <c r="R322" i="3"/>
  <c r="D322" i="4" s="1"/>
  <c r="R251" i="3"/>
  <c r="D251" i="4" s="1"/>
  <c r="R55" i="3"/>
  <c r="D55" i="4" s="1"/>
  <c r="I55" i="4" s="1"/>
  <c r="I390" i="4"/>
  <c r="E342" i="4"/>
  <c r="R342" i="3"/>
  <c r="D342" i="4" s="1"/>
  <c r="I166" i="4"/>
  <c r="E73" i="4"/>
  <c r="R73" i="3"/>
  <c r="D73" i="4" s="1"/>
  <c r="E448" i="4"/>
  <c r="R448" i="3"/>
  <c r="D448" i="4" s="1"/>
  <c r="I448" i="4" s="1"/>
  <c r="I352" i="4"/>
  <c r="I480" i="4"/>
  <c r="I518" i="4"/>
  <c r="E1366" i="4"/>
  <c r="R1366" i="3"/>
  <c r="D1366" i="4" s="1"/>
  <c r="I1366" i="4" s="1"/>
  <c r="R1344" i="3"/>
  <c r="D1344" i="4" s="1"/>
  <c r="I1344" i="4" s="1"/>
  <c r="I1082" i="4"/>
  <c r="E572" i="4"/>
  <c r="R572" i="3"/>
  <c r="D572" i="4" s="1"/>
  <c r="I572" i="4" s="1"/>
  <c r="E444" i="4"/>
  <c r="R444" i="3"/>
  <c r="D444" i="4" s="1"/>
  <c r="I444" i="4" s="1"/>
  <c r="E1074" i="4"/>
  <c r="R1074" i="3"/>
  <c r="D1074" i="4" s="1"/>
  <c r="E688" i="4"/>
  <c r="R688" i="3"/>
  <c r="D688" i="4" s="1"/>
  <c r="I688" i="4" s="1"/>
  <c r="R1006" i="3"/>
  <c r="D1006" i="4" s="1"/>
  <c r="I1006" i="4" s="1"/>
  <c r="E850" i="4"/>
  <c r="R850" i="3"/>
  <c r="D850" i="4" s="1"/>
  <c r="I850" i="4" s="1"/>
  <c r="R491" i="3"/>
  <c r="D491" i="4" s="1"/>
  <c r="I491" i="4" s="1"/>
  <c r="R363" i="3"/>
  <c r="D363" i="4" s="1"/>
  <c r="I363" i="4" s="1"/>
  <c r="I1045" i="4"/>
  <c r="R1180" i="3"/>
  <c r="D1180" i="4" s="1"/>
  <c r="I1180" i="4" s="1"/>
  <c r="E710" i="4"/>
  <c r="R710" i="3"/>
  <c r="D710" i="4" s="1"/>
  <c r="I710" i="4" s="1"/>
  <c r="E1052" i="4"/>
  <c r="R1052" i="3"/>
  <c r="D1052" i="4" s="1"/>
  <c r="I1052" i="4" s="1"/>
  <c r="R858" i="3"/>
  <c r="D858" i="4" s="1"/>
  <c r="I858" i="4" s="1"/>
  <c r="R844" i="3"/>
  <c r="D844" i="4" s="1"/>
  <c r="I844" i="4" s="1"/>
  <c r="R460" i="3"/>
  <c r="D460" i="4" s="1"/>
  <c r="I460" i="4" s="1"/>
  <c r="E31" i="4"/>
  <c r="R31" i="3"/>
  <c r="D31" i="4" s="1"/>
  <c r="R570" i="3"/>
  <c r="D570" i="4" s="1"/>
  <c r="I322" i="4"/>
  <c r="R10" i="3"/>
  <c r="D10" i="4" s="1"/>
  <c r="I10" i="4" s="1"/>
  <c r="I251" i="4"/>
  <c r="I342" i="4"/>
  <c r="E496" i="4"/>
  <c r="R496" i="3"/>
  <c r="D496" i="4" s="1"/>
  <c r="I240" i="4"/>
  <c r="E125" i="4"/>
  <c r="R125" i="3"/>
  <c r="D125" i="4" s="1"/>
  <c r="I125" i="4" s="1"/>
  <c r="E1388" i="4"/>
  <c r="R1388" i="3"/>
  <c r="D1388" i="4" s="1"/>
  <c r="E1446" i="4"/>
  <c r="R1446" i="3"/>
  <c r="D1446" i="4" s="1"/>
  <c r="I1446" i="4" s="1"/>
  <c r="R1450" i="3"/>
  <c r="D1450" i="4" s="1"/>
  <c r="I1450" i="4" s="1"/>
  <c r="R1468" i="3"/>
  <c r="D1468" i="4" s="1"/>
  <c r="I1468" i="4" s="1"/>
  <c r="R1292" i="3"/>
  <c r="D1292" i="4" s="1"/>
  <c r="I1292" i="4" s="1"/>
  <c r="E1372" i="4"/>
  <c r="R1372" i="3"/>
  <c r="D1372" i="4" s="1"/>
  <c r="R1285" i="3"/>
  <c r="D1285" i="4" s="1"/>
  <c r="I1285" i="4" s="1"/>
  <c r="E1328" i="4"/>
  <c r="R1328" i="3"/>
  <c r="D1328" i="4" s="1"/>
  <c r="I1328" i="4" s="1"/>
  <c r="R1179" i="3"/>
  <c r="D1179" i="4" s="1"/>
  <c r="I1074" i="4"/>
  <c r="E1046" i="4"/>
  <c r="R1046" i="3"/>
  <c r="D1046" i="4" s="1"/>
  <c r="E768" i="4"/>
  <c r="R768" i="3"/>
  <c r="D768" i="4" s="1"/>
  <c r="I1084" i="4"/>
  <c r="R690" i="3"/>
  <c r="D690" i="4" s="1"/>
  <c r="I690" i="4" s="1"/>
  <c r="R562" i="3"/>
  <c r="D562" i="4" s="1"/>
  <c r="I562" i="4" s="1"/>
  <c r="R1184" i="3"/>
  <c r="D1184" i="4" s="1"/>
  <c r="E930" i="4"/>
  <c r="R930" i="3"/>
  <c r="D930" i="4" s="1"/>
  <c r="I930" i="4" s="1"/>
  <c r="R843" i="3"/>
  <c r="D843" i="4" s="1"/>
  <c r="I843" i="4" s="1"/>
  <c r="R587" i="3"/>
  <c r="D587" i="4" s="1"/>
  <c r="I587" i="4" s="1"/>
  <c r="R1195" i="3"/>
  <c r="D1195" i="4" s="1"/>
  <c r="R991" i="3"/>
  <c r="D991" i="4" s="1"/>
  <c r="E964" i="4"/>
  <c r="R964" i="3"/>
  <c r="D964" i="4" s="1"/>
  <c r="I964" i="4" s="1"/>
  <c r="E790" i="4"/>
  <c r="R790" i="3"/>
  <c r="D790" i="4" s="1"/>
  <c r="I790" i="4" s="1"/>
  <c r="I1211" i="4"/>
  <c r="I1022" i="4"/>
  <c r="R700" i="3"/>
  <c r="D700" i="4" s="1"/>
  <c r="I700" i="4" s="1"/>
  <c r="R378" i="3"/>
  <c r="D378" i="4" s="1"/>
  <c r="I378" i="4" s="1"/>
  <c r="E330" i="4"/>
  <c r="R330" i="3"/>
  <c r="D330" i="4" s="1"/>
  <c r="I330" i="4" s="1"/>
  <c r="E111" i="4"/>
  <c r="R111" i="3"/>
  <c r="D111" i="4" s="1"/>
  <c r="I570" i="4"/>
  <c r="I417" i="4"/>
  <c r="I162" i="4"/>
  <c r="I449" i="4"/>
  <c r="I364" i="4"/>
  <c r="R37" i="3"/>
  <c r="D37" i="4" s="1"/>
  <c r="I37" i="4" s="1"/>
  <c r="R549" i="3"/>
  <c r="D549" i="4" s="1"/>
  <c r="I549" i="4" s="1"/>
  <c r="I353" i="4"/>
  <c r="I316" i="4"/>
  <c r="R206" i="3"/>
  <c r="D206" i="4" s="1"/>
  <c r="R566" i="3"/>
  <c r="D566" i="4" s="1"/>
  <c r="I566" i="4" s="1"/>
  <c r="R59" i="3"/>
  <c r="D59" i="4" s="1"/>
  <c r="I59" i="4" s="1"/>
  <c r="I203" i="4"/>
  <c r="I554" i="4"/>
  <c r="E247" i="4"/>
  <c r="R247" i="3"/>
  <c r="D247" i="4" s="1"/>
  <c r="I496" i="4"/>
  <c r="I394" i="4"/>
  <c r="R234" i="3"/>
  <c r="D234" i="4" s="1"/>
  <c r="I234" i="4" s="1"/>
  <c r="R118" i="3"/>
  <c r="D118" i="4" s="1"/>
  <c r="I118" i="4" s="1"/>
  <c r="R396" i="3"/>
  <c r="D396" i="4" s="1"/>
  <c r="I396" i="4" s="1"/>
  <c r="E1452" i="4"/>
  <c r="R1452" i="3"/>
  <c r="D1452" i="4" s="1"/>
  <c r="I1046" i="4"/>
  <c r="I1078" i="4"/>
  <c r="E870" i="4"/>
  <c r="R870" i="3"/>
  <c r="D870" i="4" s="1"/>
  <c r="I870" i="4" s="1"/>
  <c r="R828" i="3"/>
  <c r="D828" i="4" s="1"/>
  <c r="I828" i="4" s="1"/>
  <c r="R1009" i="3"/>
  <c r="D1009" i="4" s="1"/>
  <c r="R3" i="3"/>
  <c r="D3" i="4" s="1"/>
  <c r="I3" i="4" s="1"/>
  <c r="R1014" i="3"/>
  <c r="D1014" i="4" s="1"/>
  <c r="I224" i="4"/>
  <c r="R117" i="3"/>
  <c r="D117" i="4" s="1"/>
  <c r="I117" i="4" s="1"/>
  <c r="R260" i="3"/>
  <c r="D260" i="4" s="1"/>
  <c r="I260" i="4" s="1"/>
  <c r="I206" i="4"/>
  <c r="I470" i="4"/>
  <c r="E57" i="4"/>
  <c r="R57" i="3"/>
  <c r="D57" i="4" s="1"/>
  <c r="I57" i="4" s="1"/>
  <c r="E502" i="4"/>
  <c r="R502" i="3"/>
  <c r="D502" i="4" s="1"/>
  <c r="I502" i="4" s="1"/>
  <c r="E237" i="4"/>
  <c r="R237" i="3"/>
  <c r="D237" i="4" s="1"/>
  <c r="I237" i="4" s="1"/>
  <c r="E375" i="4"/>
  <c r="R375" i="3"/>
  <c r="D375" i="4" s="1"/>
  <c r="I375" i="4" s="1"/>
  <c r="E230" i="4"/>
  <c r="R230" i="3"/>
  <c r="D230" i="4" s="1"/>
  <c r="R172" i="3"/>
  <c r="D172" i="4" s="1"/>
  <c r="I172" i="4" s="1"/>
  <c r="I1179" i="4"/>
  <c r="E848" i="4"/>
  <c r="R848" i="3"/>
  <c r="D848" i="4" s="1"/>
  <c r="I848" i="4" s="1"/>
  <c r="E592" i="4"/>
  <c r="R592" i="3"/>
  <c r="D592" i="4" s="1"/>
  <c r="I592" i="4" s="1"/>
  <c r="R1206" i="3"/>
  <c r="D1206" i="4" s="1"/>
  <c r="I1206" i="4" s="1"/>
  <c r="I1184" i="4"/>
  <c r="I1195" i="4"/>
  <c r="I991" i="4"/>
  <c r="E957" i="4"/>
  <c r="R957" i="3"/>
  <c r="D957" i="4" s="1"/>
  <c r="I957" i="4" s="1"/>
  <c r="R1355" i="3"/>
  <c r="D1355" i="4" s="1"/>
  <c r="I1355" i="4" s="1"/>
  <c r="E1350" i="4"/>
  <c r="R1350" i="3"/>
  <c r="D1350" i="4" s="1"/>
  <c r="I1350" i="4" s="1"/>
  <c r="R1377" i="3"/>
  <c r="D1377" i="4" s="1"/>
  <c r="I1377" i="4" s="1"/>
  <c r="R1434" i="3"/>
  <c r="D1434" i="4" s="1"/>
  <c r="I1434" i="4" s="1"/>
  <c r="R1258" i="3"/>
  <c r="D1258" i="4" s="1"/>
  <c r="I1258" i="4" s="1"/>
  <c r="R1146" i="3"/>
  <c r="D1146" i="4" s="1"/>
  <c r="I1146" i="4" s="1"/>
  <c r="R1445" i="3"/>
  <c r="D1445" i="4" s="1"/>
  <c r="I1445" i="4" s="1"/>
  <c r="R1189" i="3"/>
  <c r="D1189" i="4" s="1"/>
  <c r="I1189" i="4" s="1"/>
  <c r="R1312" i="3"/>
  <c r="D1312" i="4" s="1"/>
  <c r="I1312" i="4" s="1"/>
  <c r="R1362" i="3"/>
  <c r="D1362" i="4" s="1"/>
  <c r="I1362" i="4" s="1"/>
  <c r="I1054" i="4"/>
  <c r="I997" i="4"/>
  <c r="R821" i="3"/>
  <c r="D821" i="4" s="1"/>
  <c r="I821" i="4" s="1"/>
  <c r="R951" i="3"/>
  <c r="D951" i="4" s="1"/>
  <c r="I951" i="4" s="1"/>
  <c r="E1041" i="4"/>
  <c r="R1041" i="3"/>
  <c r="D1041" i="4" s="1"/>
  <c r="E672" i="4"/>
  <c r="R672" i="3"/>
  <c r="D672" i="4" s="1"/>
  <c r="I672" i="4" s="1"/>
  <c r="R1164" i="3"/>
  <c r="D1164" i="4" s="1"/>
  <c r="I1164" i="4" s="1"/>
  <c r="R802" i="3"/>
  <c r="D802" i="4" s="1"/>
  <c r="I802" i="4" s="1"/>
  <c r="R674" i="3"/>
  <c r="D674" i="4" s="1"/>
  <c r="I674" i="4" s="1"/>
  <c r="R546" i="3"/>
  <c r="D546" i="4" s="1"/>
  <c r="I546" i="4" s="1"/>
  <c r="E834" i="4"/>
  <c r="R834" i="3"/>
  <c r="D834" i="4" s="1"/>
  <c r="R747" i="3"/>
  <c r="D747" i="4" s="1"/>
  <c r="I747" i="4" s="1"/>
  <c r="R1170" i="3"/>
  <c r="D1170" i="4" s="1"/>
  <c r="E1126" i="4"/>
  <c r="R1126" i="3"/>
  <c r="D1126" i="4" s="1"/>
  <c r="I1153" i="4"/>
  <c r="R950" i="3"/>
  <c r="D950" i="4" s="1"/>
  <c r="E694" i="4"/>
  <c r="R694" i="3"/>
  <c r="D694" i="4" s="1"/>
  <c r="I694" i="4" s="1"/>
  <c r="I1083" i="4"/>
  <c r="R865" i="3"/>
  <c r="D865" i="4" s="1"/>
  <c r="I865" i="4" s="1"/>
  <c r="R737" i="3"/>
  <c r="D737" i="4" s="1"/>
  <c r="I737" i="4" s="1"/>
  <c r="R609" i="3"/>
  <c r="D609" i="4" s="1"/>
  <c r="I609" i="4" s="1"/>
  <c r="R842" i="3"/>
  <c r="D842" i="4" s="1"/>
  <c r="I842" i="4" s="1"/>
  <c r="I1152" i="4"/>
  <c r="I950" i="4"/>
  <c r="R684" i="3"/>
  <c r="D684" i="4" s="1"/>
  <c r="I684" i="4" s="1"/>
  <c r="R581" i="3"/>
  <c r="D581" i="4" s="1"/>
  <c r="I581" i="4" s="1"/>
  <c r="I450" i="4"/>
  <c r="E15" i="4"/>
  <c r="R15" i="3"/>
  <c r="D15" i="4" s="1"/>
  <c r="I15" i="4" s="1"/>
  <c r="E528" i="4"/>
  <c r="R528" i="3"/>
  <c r="D528" i="4" s="1"/>
  <c r="E284" i="4"/>
  <c r="R284" i="3"/>
  <c r="D284" i="4" s="1"/>
  <c r="I150" i="4"/>
  <c r="R83" i="3"/>
  <c r="D83" i="4" s="1"/>
  <c r="I83" i="4" s="1"/>
  <c r="R401" i="3"/>
  <c r="D401" i="4" s="1"/>
  <c r="I401" i="4" s="1"/>
  <c r="R597" i="3"/>
  <c r="D597" i="4" s="1"/>
  <c r="I597" i="4" s="1"/>
  <c r="I348" i="4"/>
  <c r="R21" i="3"/>
  <c r="D21" i="4" s="1"/>
  <c r="I21" i="4" s="1"/>
  <c r="R497" i="3"/>
  <c r="D497" i="4" s="1"/>
  <c r="I497" i="4" s="1"/>
  <c r="I171" i="4"/>
  <c r="E137" i="4"/>
  <c r="R137" i="3"/>
  <c r="D137" i="4" s="1"/>
  <c r="I137" i="4" s="1"/>
  <c r="R27" i="3"/>
  <c r="D27" i="4" s="1"/>
  <c r="I27" i="4" s="1"/>
  <c r="R386" i="3"/>
  <c r="D386" i="4" s="1"/>
  <c r="I336" i="4"/>
  <c r="E359" i="4"/>
  <c r="R359" i="3"/>
  <c r="D359" i="4" s="1"/>
  <c r="I359" i="4" s="1"/>
  <c r="I230" i="4"/>
  <c r="E109" i="4"/>
  <c r="R109" i="3"/>
  <c r="D109" i="4" s="1"/>
  <c r="R370" i="3"/>
  <c r="D370" i="4" s="1"/>
  <c r="I370" i="4" s="1"/>
  <c r="E1186" i="4"/>
  <c r="R1186" i="3"/>
  <c r="D1186" i="4" s="1"/>
  <c r="I1126" i="4"/>
  <c r="E774" i="4"/>
  <c r="R774" i="3"/>
  <c r="D774" i="4" s="1"/>
  <c r="I774" i="4" s="1"/>
  <c r="R1070" i="3"/>
  <c r="D1070" i="4" s="1"/>
  <c r="R1174" i="3"/>
  <c r="D1174" i="4" s="1"/>
  <c r="I1174" i="4" s="1"/>
  <c r="R922" i="3"/>
  <c r="D922" i="4" s="1"/>
  <c r="I922" i="4" s="1"/>
  <c r="R666" i="3"/>
  <c r="D666" i="4" s="1"/>
  <c r="I666" i="4" s="1"/>
  <c r="R940" i="3"/>
  <c r="D940" i="4" s="1"/>
  <c r="I940" i="4" s="1"/>
  <c r="R812" i="3"/>
  <c r="D812" i="4" s="1"/>
  <c r="I812" i="4" s="1"/>
  <c r="R209" i="3"/>
  <c r="D209" i="4" s="1"/>
  <c r="I209" i="4" s="1"/>
  <c r="E95" i="4"/>
  <c r="R95" i="3"/>
  <c r="D95" i="4" s="1"/>
  <c r="I95" i="4" s="1"/>
  <c r="R8" i="3"/>
  <c r="D8" i="4" s="1"/>
  <c r="I8" i="4" s="1"/>
  <c r="I528" i="4"/>
  <c r="I284" i="4"/>
  <c r="I194" i="4"/>
  <c r="I256" i="4"/>
  <c r="E298" i="4"/>
  <c r="I298" i="4" s="1"/>
  <c r="R298" i="3"/>
  <c r="D298" i="4" s="1"/>
  <c r="I432" i="4"/>
  <c r="R238" i="3"/>
  <c r="D238" i="4" s="1"/>
  <c r="E384" i="4"/>
  <c r="R384" i="3"/>
  <c r="D384" i="4" s="1"/>
  <c r="I384" i="4" s="1"/>
  <c r="E464" i="4"/>
  <c r="R464" i="3"/>
  <c r="D464" i="4" s="1"/>
  <c r="I464" i="4" s="1"/>
  <c r="E343" i="4"/>
  <c r="R343" i="3"/>
  <c r="D343" i="4" s="1"/>
  <c r="E220" i="4"/>
  <c r="R220" i="3"/>
  <c r="D220" i="4" s="1"/>
  <c r="R102" i="3"/>
  <c r="D102" i="4" s="1"/>
  <c r="I102" i="4" s="1"/>
  <c r="R210" i="3"/>
  <c r="D210" i="4" s="1"/>
  <c r="R1077" i="3"/>
  <c r="D1077" i="4" s="1"/>
  <c r="I1077" i="4" s="1"/>
  <c r="E556" i="4"/>
  <c r="R556" i="3"/>
  <c r="D556" i="4" s="1"/>
  <c r="I556" i="4" s="1"/>
  <c r="E540" i="4"/>
  <c r="R540" i="3"/>
  <c r="D540" i="4" s="1"/>
  <c r="I540" i="4" s="1"/>
  <c r="I1041" i="4"/>
  <c r="E752" i="4"/>
  <c r="R752" i="3"/>
  <c r="D752" i="4" s="1"/>
  <c r="I752" i="4" s="1"/>
  <c r="E914" i="4"/>
  <c r="R914" i="3"/>
  <c r="D914" i="4" s="1"/>
  <c r="I914" i="4" s="1"/>
  <c r="R1302" i="3"/>
  <c r="D1302" i="4" s="1"/>
  <c r="I1302" i="4" s="1"/>
  <c r="R1361" i="3"/>
  <c r="D1361" i="4" s="1"/>
  <c r="I1361" i="4" s="1"/>
  <c r="R1418" i="3"/>
  <c r="D1418" i="4" s="1"/>
  <c r="I1418" i="4" s="1"/>
  <c r="E1249" i="4"/>
  <c r="R1249" i="3"/>
  <c r="D1249" i="4" s="1"/>
  <c r="I1249" i="4" s="1"/>
  <c r="R1130" i="3"/>
  <c r="D1130" i="4" s="1"/>
  <c r="I1130" i="4" s="1"/>
  <c r="R1260" i="3"/>
  <c r="D1260" i="4" s="1"/>
  <c r="I1260" i="4" s="1"/>
  <c r="E1436" i="4"/>
  <c r="R1436" i="3"/>
  <c r="D1436" i="4" s="1"/>
  <c r="I1436" i="4" s="1"/>
  <c r="R1349" i="3"/>
  <c r="D1349" i="4" s="1"/>
  <c r="I1349" i="4" s="1"/>
  <c r="E1143" i="4"/>
  <c r="R1143" i="3"/>
  <c r="D1143" i="4" s="1"/>
  <c r="I1143" i="4" s="1"/>
  <c r="R1346" i="3"/>
  <c r="D1346" i="4" s="1"/>
  <c r="I1346" i="4" s="1"/>
  <c r="I1034" i="4"/>
  <c r="R725" i="3"/>
  <c r="D725" i="4" s="1"/>
  <c r="I725" i="4" s="1"/>
  <c r="E412" i="4"/>
  <c r="R412" i="3"/>
  <c r="D412" i="4" s="1"/>
  <c r="I1168" i="4"/>
  <c r="R1061" i="3"/>
  <c r="D1061" i="4" s="1"/>
  <c r="E832" i="4"/>
  <c r="R832" i="3"/>
  <c r="D832" i="4" s="1"/>
  <c r="E576" i="4"/>
  <c r="R576" i="3"/>
  <c r="D576" i="4" s="1"/>
  <c r="I576" i="4" s="1"/>
  <c r="R786" i="3"/>
  <c r="D786" i="4" s="1"/>
  <c r="I786" i="4" s="1"/>
  <c r="R658" i="3"/>
  <c r="D658" i="4" s="1"/>
  <c r="I658" i="4" s="1"/>
  <c r="E986" i="4"/>
  <c r="R986" i="3"/>
  <c r="D986" i="4" s="1"/>
  <c r="I986" i="4" s="1"/>
  <c r="R907" i="3"/>
  <c r="D907" i="4" s="1"/>
  <c r="I907" i="4" s="1"/>
  <c r="R651" i="3"/>
  <c r="D651" i="4" s="1"/>
  <c r="I651" i="4" s="1"/>
  <c r="I1170" i="4"/>
  <c r="I1018" i="4"/>
  <c r="I1050" i="4"/>
  <c r="E854" i="4"/>
  <c r="R854" i="3"/>
  <c r="D854" i="4" s="1"/>
  <c r="I1070" i="4"/>
  <c r="I981" i="4"/>
  <c r="R849" i="3"/>
  <c r="D849" i="4" s="1"/>
  <c r="I849" i="4" s="1"/>
  <c r="R721" i="3"/>
  <c r="D721" i="4" s="1"/>
  <c r="I721" i="4" s="1"/>
  <c r="R593" i="3"/>
  <c r="D593" i="4" s="1"/>
  <c r="I593" i="4" s="1"/>
  <c r="R746" i="3"/>
  <c r="D746" i="4" s="1"/>
  <c r="I746" i="4" s="1"/>
  <c r="R1098" i="3"/>
  <c r="D1098" i="4" s="1"/>
  <c r="R668" i="3"/>
  <c r="D668" i="4" s="1"/>
  <c r="I668" i="4" s="1"/>
  <c r="I458" i="4"/>
  <c r="I362" i="4"/>
  <c r="R199" i="3"/>
  <c r="D199" i="4" s="1"/>
  <c r="I199" i="4" s="1"/>
  <c r="R88" i="3"/>
  <c r="D88" i="4" s="1"/>
  <c r="I88" i="4" s="1"/>
  <c r="R17" i="3"/>
  <c r="D17" i="4" s="1"/>
  <c r="I17" i="4" s="1"/>
  <c r="I598" i="4"/>
  <c r="I254" i="4"/>
  <c r="R92" i="3"/>
  <c r="D92" i="4" s="1"/>
  <c r="I92" i="4" s="1"/>
  <c r="I332" i="4"/>
  <c r="I214" i="4"/>
  <c r="R101" i="3"/>
  <c r="D101" i="4" s="1"/>
  <c r="I101" i="4" s="1"/>
  <c r="R5" i="3"/>
  <c r="D5" i="4" s="1"/>
  <c r="I5" i="4" s="1"/>
  <c r="I465" i="4"/>
  <c r="R337" i="3"/>
  <c r="D337" i="4" s="1"/>
  <c r="R250" i="3"/>
  <c r="D250" i="4" s="1"/>
  <c r="I250" i="4" s="1"/>
  <c r="R283" i="3"/>
  <c r="D283" i="4" s="1"/>
  <c r="I283" i="4" s="1"/>
  <c r="I238" i="4"/>
  <c r="E41" i="4"/>
  <c r="R41" i="3"/>
  <c r="D41" i="4" s="1"/>
  <c r="I300" i="4"/>
  <c r="E455" i="4"/>
  <c r="R455" i="3"/>
  <c r="D455" i="4" s="1"/>
  <c r="R327" i="3"/>
  <c r="D327" i="4" s="1"/>
  <c r="I327" i="4" s="1"/>
  <c r="I220" i="4"/>
  <c r="R160" i="3"/>
  <c r="D160" i="4" s="1"/>
  <c r="I160" i="4" s="1"/>
  <c r="E428" i="4"/>
  <c r="R428" i="3"/>
  <c r="D428" i="4" s="1"/>
  <c r="I428" i="4" s="1"/>
  <c r="R1339" i="3"/>
  <c r="D1339" i="4" s="1"/>
  <c r="I1339" i="4" s="1"/>
  <c r="R1429" i="3"/>
  <c r="D1429" i="4" s="1"/>
  <c r="I1429" i="4" s="1"/>
  <c r="R1173" i="3"/>
  <c r="D1173" i="4" s="1"/>
  <c r="I1173" i="4" s="1"/>
  <c r="R1424" i="3"/>
  <c r="D1424" i="4" s="1"/>
  <c r="I1424" i="4" s="1"/>
  <c r="E1105" i="4"/>
  <c r="R1105" i="3"/>
  <c r="D1105" i="4" s="1"/>
  <c r="E656" i="4"/>
  <c r="R656" i="3"/>
  <c r="D656" i="4" s="1"/>
  <c r="I656" i="4" s="1"/>
  <c r="R1153" i="3"/>
  <c r="D1153" i="4" s="1"/>
  <c r="E818" i="4"/>
  <c r="R818" i="3"/>
  <c r="D818" i="4" s="1"/>
  <c r="E934" i="4"/>
  <c r="R934" i="3"/>
  <c r="D934" i="4" s="1"/>
  <c r="I934" i="4" s="1"/>
  <c r="E678" i="4"/>
  <c r="R678" i="3"/>
  <c r="D678" i="4" s="1"/>
  <c r="I1098" i="4"/>
  <c r="R924" i="3"/>
  <c r="D924" i="4" s="1"/>
  <c r="I924" i="4" s="1"/>
  <c r="R796" i="3"/>
  <c r="D796" i="4" s="1"/>
  <c r="I796" i="4" s="1"/>
  <c r="I380" i="4"/>
  <c r="E204" i="4"/>
  <c r="R204" i="3"/>
  <c r="D204" i="4" s="1"/>
  <c r="I204" i="4" s="1"/>
  <c r="I337" i="4"/>
  <c r="E288" i="4"/>
  <c r="R288" i="3"/>
  <c r="D288" i="4" s="1"/>
  <c r="I416" i="4"/>
  <c r="E225" i="4"/>
  <c r="R225" i="3"/>
  <c r="D225" i="4" s="1"/>
  <c r="I225" i="4" s="1"/>
  <c r="E121" i="4"/>
  <c r="R121" i="3"/>
  <c r="D121" i="4" s="1"/>
  <c r="I121" i="4" s="1"/>
  <c r="I208" i="4"/>
  <c r="E93" i="4"/>
  <c r="R93" i="3"/>
  <c r="D93" i="4" s="1"/>
  <c r="I93" i="4" s="1"/>
  <c r="R178" i="3"/>
  <c r="D178" i="4" s="1"/>
  <c r="I178" i="4" s="1"/>
  <c r="E1430" i="4"/>
  <c r="R1430" i="3"/>
  <c r="D1430" i="4" s="1"/>
  <c r="R1451" i="3"/>
  <c r="D1451" i="4" s="1"/>
  <c r="I1451" i="4" s="1"/>
  <c r="E1334" i="4"/>
  <c r="R1334" i="3"/>
  <c r="D1334" i="4" s="1"/>
  <c r="R1242" i="3"/>
  <c r="D1242" i="4" s="1"/>
  <c r="I1242" i="4" s="1"/>
  <c r="E1031" i="4"/>
  <c r="R1031" i="3"/>
  <c r="D1031" i="4" s="1"/>
  <c r="I1031" i="4" s="1"/>
  <c r="E524" i="4"/>
  <c r="R524" i="3"/>
  <c r="D524" i="4" s="1"/>
  <c r="I524" i="4" s="1"/>
  <c r="R1148" i="3"/>
  <c r="D1148" i="4" s="1"/>
  <c r="I1148" i="4" s="1"/>
  <c r="I1061" i="4"/>
  <c r="R1380" i="3"/>
  <c r="D1380" i="4" s="1"/>
  <c r="I1380" i="4" s="1"/>
  <c r="R1286" i="3"/>
  <c r="D1286" i="4" s="1"/>
  <c r="I1286" i="4" s="1"/>
  <c r="E1414" i="4"/>
  <c r="R1414" i="3"/>
  <c r="D1414" i="4" s="1"/>
  <c r="I1414" i="4" s="1"/>
  <c r="E1409" i="4"/>
  <c r="R1409" i="3"/>
  <c r="D1409" i="4" s="1"/>
  <c r="I1409" i="4" s="1"/>
  <c r="R1322" i="3"/>
  <c r="D1322" i="4" s="1"/>
  <c r="I1322" i="4" s="1"/>
  <c r="R1244" i="3"/>
  <c r="D1244" i="4" s="1"/>
  <c r="I1244" i="4" s="1"/>
  <c r="R1253" i="3"/>
  <c r="D1253" i="4" s="1"/>
  <c r="I1253" i="4" s="1"/>
  <c r="R1280" i="3"/>
  <c r="D1280" i="4" s="1"/>
  <c r="I1280" i="4" s="1"/>
  <c r="R1330" i="3"/>
  <c r="D1330" i="4" s="1"/>
  <c r="I1330" i="4" s="1"/>
  <c r="R885" i="3"/>
  <c r="D885" i="4" s="1"/>
  <c r="I885" i="4" s="1"/>
  <c r="R629" i="3"/>
  <c r="D629" i="4" s="1"/>
  <c r="I629" i="4" s="1"/>
  <c r="R1137" i="3"/>
  <c r="D1137" i="4" s="1"/>
  <c r="I1137" i="4" s="1"/>
  <c r="I1105" i="4"/>
  <c r="E736" i="4"/>
  <c r="R736" i="3"/>
  <c r="D736" i="4" s="1"/>
  <c r="I736" i="4" s="1"/>
  <c r="R1142" i="3"/>
  <c r="D1142" i="4" s="1"/>
  <c r="I1142" i="4" s="1"/>
  <c r="R770" i="3"/>
  <c r="D770" i="4" s="1"/>
  <c r="I770" i="4" s="1"/>
  <c r="I1089" i="4"/>
  <c r="I982" i="4"/>
  <c r="E898" i="4"/>
  <c r="R898" i="3"/>
  <c r="D898" i="4" s="1"/>
  <c r="R811" i="3"/>
  <c r="D811" i="4" s="1"/>
  <c r="I811" i="4" s="1"/>
  <c r="R555" i="3"/>
  <c r="D555" i="4" s="1"/>
  <c r="I555" i="4" s="1"/>
  <c r="I1115" i="4"/>
  <c r="R1013" i="3"/>
  <c r="D1013" i="4" s="1"/>
  <c r="R1109" i="3"/>
  <c r="D1109" i="4" s="1"/>
  <c r="I1109" i="4" s="1"/>
  <c r="R1131" i="3"/>
  <c r="D1131" i="4" s="1"/>
  <c r="E1040" i="4"/>
  <c r="I1040" i="4" s="1"/>
  <c r="R1040" i="3"/>
  <c r="D1040" i="4" s="1"/>
  <c r="E758" i="4"/>
  <c r="R758" i="3"/>
  <c r="D758" i="4" s="1"/>
  <c r="I758" i="4" s="1"/>
  <c r="I1147" i="4"/>
  <c r="R705" i="3"/>
  <c r="D705" i="4" s="1"/>
  <c r="I705" i="4" s="1"/>
  <c r="R577" i="3"/>
  <c r="D577" i="4" s="1"/>
  <c r="I577" i="4" s="1"/>
  <c r="R906" i="3"/>
  <c r="D906" i="4" s="1"/>
  <c r="I906" i="4" s="1"/>
  <c r="R650" i="3"/>
  <c r="D650" i="4" s="1"/>
  <c r="I650" i="4" s="1"/>
  <c r="I1122" i="4"/>
  <c r="R652" i="3"/>
  <c r="D652" i="4" s="1"/>
  <c r="I652" i="4" s="1"/>
  <c r="R434" i="3"/>
  <c r="D434" i="4" s="1"/>
  <c r="I434" i="4" s="1"/>
  <c r="R346" i="3"/>
  <c r="D346" i="4" s="1"/>
  <c r="I210" i="4"/>
  <c r="E79" i="4"/>
  <c r="R79" i="3"/>
  <c r="D79" i="4" s="1"/>
  <c r="I79" i="4" s="1"/>
  <c r="R490" i="3"/>
  <c r="D490" i="4" s="1"/>
  <c r="I490" i="4" s="1"/>
  <c r="R129" i="3"/>
  <c r="D129" i="4" s="1"/>
  <c r="I129" i="4" s="1"/>
  <c r="I506" i="4"/>
  <c r="R44" i="3"/>
  <c r="D44" i="4" s="1"/>
  <c r="I44" i="4" s="1"/>
  <c r="I550" i="4"/>
  <c r="R324" i="3"/>
  <c r="D324" i="4" s="1"/>
  <c r="I246" i="4"/>
  <c r="R119" i="3"/>
  <c r="D119" i="4" s="1"/>
  <c r="I119" i="4" s="1"/>
  <c r="E454" i="4"/>
  <c r="R454" i="3"/>
  <c r="D454" i="4" s="1"/>
  <c r="I288" i="4"/>
  <c r="E215" i="4"/>
  <c r="R215" i="3"/>
  <c r="D215" i="4" s="1"/>
  <c r="I215" i="4" s="1"/>
  <c r="R565" i="3"/>
  <c r="D565" i="4" s="1"/>
  <c r="I565" i="4" s="1"/>
  <c r="I318" i="4"/>
  <c r="R442" i="3"/>
  <c r="D442" i="4" s="1"/>
  <c r="I315" i="4"/>
  <c r="R86" i="3"/>
  <c r="D86" i="4" s="1"/>
  <c r="I86" i="4" s="1"/>
  <c r="R338" i="3"/>
  <c r="D338" i="4" s="1"/>
  <c r="I338" i="4" s="1"/>
  <c r="E1265" i="4"/>
  <c r="R1265" i="3"/>
  <c r="D1265" i="4" s="1"/>
  <c r="R1435" i="3"/>
  <c r="D1435" i="4" s="1"/>
  <c r="I1435" i="4" s="1"/>
  <c r="R1402" i="3"/>
  <c r="D1402" i="4" s="1"/>
  <c r="I1402" i="4" s="1"/>
  <c r="E1233" i="4"/>
  <c r="R1233" i="3"/>
  <c r="D1233" i="4" s="1"/>
  <c r="I1233" i="4" s="1"/>
  <c r="E1420" i="4"/>
  <c r="R1420" i="3"/>
  <c r="D1420" i="4" s="1"/>
  <c r="I1420" i="4" s="1"/>
  <c r="R1333" i="3"/>
  <c r="D1333" i="4" s="1"/>
  <c r="I1333" i="4" s="1"/>
  <c r="R1408" i="3"/>
  <c r="D1408" i="4" s="1"/>
  <c r="I1408" i="4" s="1"/>
  <c r="E508" i="4"/>
  <c r="R508" i="3"/>
  <c r="D508" i="4" s="1"/>
  <c r="I508" i="4" s="1"/>
  <c r="E1127" i="4"/>
  <c r="R1127" i="3"/>
  <c r="D1127" i="4" s="1"/>
  <c r="E1116" i="4"/>
  <c r="R1116" i="3"/>
  <c r="D1116" i="4" s="1"/>
  <c r="E1036" i="4"/>
  <c r="R1036" i="3"/>
  <c r="D1036" i="4" s="1"/>
  <c r="I1036" i="4" s="1"/>
  <c r="R912" i="3"/>
  <c r="D912" i="4" s="1"/>
  <c r="I912" i="4" s="1"/>
  <c r="E816" i="4"/>
  <c r="R816" i="3"/>
  <c r="D816" i="4" s="1"/>
  <c r="E560" i="4"/>
  <c r="R560" i="3"/>
  <c r="D560" i="4" s="1"/>
  <c r="E1132" i="4"/>
  <c r="R1132" i="3"/>
  <c r="D1132" i="4" s="1"/>
  <c r="R891" i="3"/>
  <c r="D891" i="4" s="1"/>
  <c r="I891" i="4" s="1"/>
  <c r="R635" i="3"/>
  <c r="D635" i="4" s="1"/>
  <c r="I635" i="4" s="1"/>
  <c r="R1254" i="3"/>
  <c r="D1254" i="4" s="1"/>
  <c r="I1254" i="4" s="1"/>
  <c r="E1094" i="4"/>
  <c r="R1094" i="3"/>
  <c r="D1094" i="4" s="1"/>
  <c r="I1013" i="4"/>
  <c r="I1131" i="4"/>
  <c r="E838" i="4"/>
  <c r="R838" i="3"/>
  <c r="D838" i="4" s="1"/>
  <c r="I838" i="4" s="1"/>
  <c r="I1030" i="4"/>
  <c r="R1138" i="3"/>
  <c r="D1138" i="4" s="1"/>
  <c r="I1138" i="4" s="1"/>
  <c r="R952" i="3"/>
  <c r="D952" i="4" s="1"/>
  <c r="I952" i="4" s="1"/>
  <c r="R730" i="3"/>
  <c r="D730" i="4" s="1"/>
  <c r="I730" i="4" s="1"/>
  <c r="R908" i="3"/>
  <c r="D908" i="4" s="1"/>
  <c r="I908" i="4" s="1"/>
  <c r="I346" i="4"/>
  <c r="R276" i="3"/>
  <c r="D276" i="4" s="1"/>
  <c r="I276" i="4" s="1"/>
  <c r="R72" i="3"/>
  <c r="D72" i="4" s="1"/>
  <c r="I72" i="4" s="1"/>
  <c r="R138" i="3"/>
  <c r="D138" i="4" s="1"/>
  <c r="I138" i="4" s="1"/>
  <c r="R226" i="3"/>
  <c r="D226" i="4" s="1"/>
  <c r="R286" i="3"/>
  <c r="D286" i="4" s="1"/>
  <c r="I286" i="4" s="1"/>
  <c r="R85" i="3"/>
  <c r="D85" i="4" s="1"/>
  <c r="I85" i="4" s="1"/>
  <c r="I324" i="4"/>
  <c r="R174" i="3"/>
  <c r="D174" i="4" s="1"/>
  <c r="I174" i="4" s="1"/>
  <c r="I454" i="4"/>
  <c r="R282" i="3"/>
  <c r="D282" i="4" s="1"/>
  <c r="I282" i="4" s="1"/>
  <c r="I400" i="4"/>
  <c r="E205" i="4"/>
  <c r="R205" i="3"/>
  <c r="D205" i="4" s="1"/>
  <c r="E25" i="4"/>
  <c r="R25" i="3"/>
  <c r="D25" i="4" s="1"/>
  <c r="I442" i="4"/>
  <c r="R177" i="3"/>
  <c r="D177" i="4" s="1"/>
  <c r="I177" i="4" s="1"/>
  <c r="R242" i="3"/>
  <c r="D242" i="4" s="1"/>
  <c r="I242" i="4" s="1"/>
  <c r="R1413" i="3"/>
  <c r="D1413" i="4" s="1"/>
  <c r="I1413" i="4" s="1"/>
  <c r="R1157" i="3"/>
  <c r="D1157" i="4" s="1"/>
  <c r="I1157" i="4" s="1"/>
  <c r="E620" i="4"/>
  <c r="R620" i="3"/>
  <c r="D620" i="4" s="1"/>
  <c r="I620" i="4" s="1"/>
  <c r="I1127" i="4"/>
  <c r="I1116" i="4"/>
  <c r="E640" i="4"/>
  <c r="R640" i="3"/>
  <c r="D640" i="4" s="1"/>
  <c r="I1132" i="4"/>
  <c r="R754" i="3"/>
  <c r="D754" i="4" s="1"/>
  <c r="I754" i="4" s="1"/>
  <c r="I1094" i="4"/>
  <c r="R1106" i="3"/>
  <c r="D1106" i="4" s="1"/>
  <c r="I1106" i="4" s="1"/>
  <c r="E918" i="4"/>
  <c r="R918" i="3"/>
  <c r="D918" i="4" s="1"/>
  <c r="E662" i="4"/>
  <c r="R662" i="3"/>
  <c r="D662" i="4" s="1"/>
  <c r="I662" i="4" s="1"/>
  <c r="R810" i="3"/>
  <c r="D810" i="4" s="1"/>
  <c r="I810" i="4" s="1"/>
  <c r="E1062" i="4"/>
  <c r="R1062" i="3"/>
  <c r="D1062" i="4" s="1"/>
  <c r="I1062" i="4" s="1"/>
  <c r="R764" i="3"/>
  <c r="D764" i="4" s="1"/>
  <c r="I764" i="4" s="1"/>
  <c r="R636" i="3"/>
  <c r="D636" i="4" s="1"/>
  <c r="I636" i="4" s="1"/>
  <c r="E512" i="4"/>
  <c r="R512" i="3"/>
  <c r="D512" i="4" s="1"/>
  <c r="E272" i="4"/>
  <c r="R272" i="3"/>
  <c r="D272" i="4" s="1"/>
  <c r="I272" i="4" s="1"/>
  <c r="I314" i="4"/>
  <c r="I236" i="4"/>
  <c r="R103" i="3"/>
  <c r="D103" i="4" s="1"/>
  <c r="I103" i="4" s="1"/>
  <c r="I438" i="4"/>
  <c r="E374" i="4"/>
  <c r="R374" i="3"/>
  <c r="D374" i="4" s="1"/>
  <c r="I374" i="4" s="1"/>
  <c r="E278" i="4"/>
  <c r="R278" i="3"/>
  <c r="D278" i="4" s="1"/>
  <c r="I278" i="4" s="1"/>
  <c r="E105" i="4"/>
  <c r="R105" i="3"/>
  <c r="D105" i="4" s="1"/>
  <c r="R534" i="3"/>
  <c r="D534" i="4" s="1"/>
  <c r="I534" i="4" s="1"/>
  <c r="I198" i="4"/>
  <c r="R235" i="3"/>
  <c r="D235" i="4" s="1"/>
  <c r="I310" i="4"/>
  <c r="R167" i="3"/>
  <c r="D167" i="4" s="1"/>
  <c r="I167" i="4" s="1"/>
  <c r="E77" i="4"/>
  <c r="R77" i="3"/>
  <c r="D77" i="4" s="1"/>
  <c r="I77" i="4" s="1"/>
  <c r="R192" i="3"/>
  <c r="D192" i="4" s="1"/>
  <c r="I192" i="4" s="1"/>
  <c r="E1318" i="4"/>
  <c r="R1318" i="3"/>
  <c r="D1318" i="4" s="1"/>
  <c r="I1318" i="4" s="1"/>
  <c r="E1393" i="4"/>
  <c r="R1393" i="3"/>
  <c r="D1393" i="4" s="1"/>
  <c r="R1298" i="3"/>
  <c r="D1298" i="4" s="1"/>
  <c r="I1298" i="4" s="1"/>
  <c r="R1190" i="3"/>
  <c r="D1190" i="4" s="1"/>
  <c r="I1190" i="4" s="1"/>
  <c r="E1026" i="4"/>
  <c r="R1026" i="3"/>
  <c r="D1026" i="4" s="1"/>
  <c r="R613" i="3"/>
  <c r="D613" i="4" s="1"/>
  <c r="I613" i="4" s="1"/>
  <c r="E492" i="4"/>
  <c r="R492" i="3"/>
  <c r="D492" i="4" s="1"/>
  <c r="R896" i="3"/>
  <c r="D896" i="4" s="1"/>
  <c r="I896" i="4" s="1"/>
  <c r="E720" i="4"/>
  <c r="R720" i="3"/>
  <c r="D720" i="4" s="1"/>
  <c r="I720" i="4" s="1"/>
  <c r="E1121" i="4"/>
  <c r="R1121" i="3"/>
  <c r="D1121" i="4" s="1"/>
  <c r="I1121" i="4" s="1"/>
  <c r="R1038" i="3"/>
  <c r="D1038" i="4" s="1"/>
  <c r="E882" i="4"/>
  <c r="R882" i="3"/>
  <c r="D882" i="4" s="1"/>
  <c r="I882" i="4" s="1"/>
  <c r="R795" i="3"/>
  <c r="D795" i="4" s="1"/>
  <c r="I795" i="4" s="1"/>
  <c r="R539" i="3"/>
  <c r="D539" i="4" s="1"/>
  <c r="I539" i="4" s="1"/>
  <c r="I1110" i="4"/>
  <c r="R1099" i="3"/>
  <c r="D1099" i="4" s="1"/>
  <c r="I1099" i="4" s="1"/>
  <c r="E742" i="4"/>
  <c r="R742" i="3"/>
  <c r="D742" i="4" s="1"/>
  <c r="R1136" i="3"/>
  <c r="D1136" i="4" s="1"/>
  <c r="I1136" i="4" s="1"/>
  <c r="R999" i="3"/>
  <c r="D999" i="4" s="1"/>
  <c r="I999" i="4" s="1"/>
  <c r="R892" i="3"/>
  <c r="D892" i="4" s="1"/>
  <c r="I892" i="4" s="1"/>
  <c r="R418" i="3"/>
  <c r="D418" i="4" s="1"/>
  <c r="I512" i="4"/>
  <c r="E63" i="4"/>
  <c r="R63" i="3"/>
  <c r="D63" i="4" s="1"/>
  <c r="I63" i="4" s="1"/>
  <c r="R466" i="3"/>
  <c r="D466" i="4" s="1"/>
  <c r="I466" i="4" s="1"/>
  <c r="R39" i="3"/>
  <c r="D39" i="4" s="1"/>
  <c r="I39" i="4" s="1"/>
  <c r="I482" i="4"/>
  <c r="I498" i="4"/>
  <c r="I522" i="4"/>
  <c r="E273" i="4"/>
  <c r="R273" i="3"/>
  <c r="D273" i="4" s="1"/>
  <c r="I538" i="4"/>
  <c r="I326" i="4"/>
  <c r="R262" i="3"/>
  <c r="D262" i="4" s="1"/>
  <c r="I262" i="4" s="1"/>
  <c r="I290" i="4"/>
  <c r="E188" i="4"/>
  <c r="R188" i="3"/>
  <c r="D188" i="4" s="1"/>
  <c r="I235" i="4"/>
  <c r="R426" i="3"/>
  <c r="D426" i="4" s="1"/>
  <c r="I426" i="4" s="1"/>
  <c r="R70" i="3"/>
  <c r="D70" i="4" s="1"/>
  <c r="I70" i="4" s="1"/>
  <c r="R274" i="3"/>
  <c r="D274" i="4" s="1"/>
  <c r="I274" i="4" s="1"/>
  <c r="R1419" i="3"/>
  <c r="D1419" i="4" s="1"/>
  <c r="I1419" i="4" s="1"/>
  <c r="R1469" i="3"/>
  <c r="D1469" i="4" s="1"/>
  <c r="I1469" i="4" s="1"/>
  <c r="E1314" i="4"/>
  <c r="R1314" i="3"/>
  <c r="D1314" i="4" s="1"/>
  <c r="R1212" i="3"/>
  <c r="D1212" i="4" s="1"/>
  <c r="I1212" i="4" s="1"/>
  <c r="R1248" i="3"/>
  <c r="D1248" i="4" s="1"/>
  <c r="I1248" i="4" s="1"/>
  <c r="E1090" i="4"/>
  <c r="R1090" i="3"/>
  <c r="D1090" i="4" s="1"/>
  <c r="E1021" i="4"/>
  <c r="R1021" i="3"/>
  <c r="D1021" i="4" s="1"/>
  <c r="I1021" i="4" s="1"/>
  <c r="E780" i="4"/>
  <c r="R780" i="3"/>
  <c r="D780" i="4" s="1"/>
  <c r="I780" i="4" s="1"/>
  <c r="I959" i="4"/>
  <c r="R1238" i="3"/>
  <c r="D1238" i="4" s="1"/>
  <c r="I1238" i="4" s="1"/>
  <c r="I1014" i="4"/>
  <c r="E800" i="4"/>
  <c r="R800" i="3"/>
  <c r="D800" i="4" s="1"/>
  <c r="I800" i="4" s="1"/>
  <c r="E544" i="4"/>
  <c r="R544" i="3"/>
  <c r="D544" i="4" s="1"/>
  <c r="I1038" i="4"/>
  <c r="E960" i="4"/>
  <c r="R960" i="3"/>
  <c r="D960" i="4" s="1"/>
  <c r="E822" i="4"/>
  <c r="R822" i="3"/>
  <c r="D822" i="4" s="1"/>
  <c r="I822" i="4" s="1"/>
  <c r="E1057" i="4"/>
  <c r="R1057" i="3"/>
  <c r="D1057" i="4" s="1"/>
  <c r="I1057" i="4" s="1"/>
  <c r="R994" i="3"/>
  <c r="D994" i="4" s="1"/>
  <c r="I994" i="4" s="1"/>
  <c r="R748" i="3"/>
  <c r="D748" i="4" s="1"/>
  <c r="I748" i="4" s="1"/>
  <c r="I418" i="4"/>
  <c r="I320" i="4"/>
  <c r="E143" i="4"/>
  <c r="R143" i="3"/>
  <c r="D143" i="4" s="1"/>
  <c r="I304" i="4"/>
  <c r="R514" i="3"/>
  <c r="D514" i="4" s="1"/>
  <c r="E263" i="4"/>
  <c r="R263" i="3"/>
  <c r="D263" i="4" s="1"/>
  <c r="I263" i="4" s="1"/>
  <c r="R369" i="3"/>
  <c r="D369" i="4" s="1"/>
  <c r="I369" i="4" s="1"/>
  <c r="R87" i="3"/>
  <c r="D87" i="4" s="1"/>
  <c r="I87" i="4" s="1"/>
  <c r="E268" i="4"/>
  <c r="R268" i="3"/>
  <c r="D268" i="4" s="1"/>
  <c r="I268" i="4" s="1"/>
  <c r="E9" i="4"/>
  <c r="R9" i="3"/>
  <c r="D9" i="4" s="1"/>
  <c r="I9" i="4" s="1"/>
  <c r="R257" i="3"/>
  <c r="D257" i="4" s="1"/>
  <c r="I257" i="4" s="1"/>
  <c r="I188" i="4"/>
  <c r="R966" i="3"/>
  <c r="D966" i="4" s="1"/>
  <c r="I966" i="4" s="1"/>
  <c r="E289" i="4"/>
  <c r="R289" i="3"/>
  <c r="D289" i="4" s="1"/>
  <c r="I289" i="4" s="1"/>
  <c r="R320" i="3"/>
  <c r="D320" i="4" s="1"/>
  <c r="E1218" i="4"/>
  <c r="R1218" i="3"/>
  <c r="D1218" i="4" s="1"/>
  <c r="I1218" i="4" s="1"/>
  <c r="R1444" i="3"/>
  <c r="D1444" i="4" s="1"/>
  <c r="I1444" i="4" s="1"/>
  <c r="R1313" i="3"/>
  <c r="D1313" i="4" s="1"/>
  <c r="I1313" i="4" s="1"/>
  <c r="R1386" i="3"/>
  <c r="D1386" i="4" s="1"/>
  <c r="I1386" i="4" s="1"/>
  <c r="R1210" i="3"/>
  <c r="D1210" i="4" s="1"/>
  <c r="I1210" i="4" s="1"/>
  <c r="E1404" i="4"/>
  <c r="R1404" i="3"/>
  <c r="D1404" i="4" s="1"/>
  <c r="I1404" i="4" s="1"/>
  <c r="R1317" i="3"/>
  <c r="D1317" i="4" s="1"/>
  <c r="I1317" i="4" s="1"/>
  <c r="E1202" i="4"/>
  <c r="R1202" i="3"/>
  <c r="D1202" i="4" s="1"/>
  <c r="E1297" i="4"/>
  <c r="R1297" i="3"/>
  <c r="D1297" i="4" s="1"/>
  <c r="R1282" i="3"/>
  <c r="D1282" i="4" s="1"/>
  <c r="I1282" i="4" s="1"/>
  <c r="I1090" i="4"/>
  <c r="R773" i="3"/>
  <c r="D773" i="4" s="1"/>
  <c r="I773" i="4" s="1"/>
  <c r="E604" i="4"/>
  <c r="R604" i="3"/>
  <c r="D604" i="4" s="1"/>
  <c r="I604" i="4" s="1"/>
  <c r="E476" i="4"/>
  <c r="R476" i="3"/>
  <c r="D476" i="4" s="1"/>
  <c r="R1201" i="3"/>
  <c r="D1201" i="4" s="1"/>
  <c r="I1201" i="4" s="1"/>
  <c r="E1100" i="4"/>
  <c r="R1100" i="3"/>
  <c r="D1100" i="4" s="1"/>
  <c r="I1100" i="4" s="1"/>
  <c r="I1066" i="4"/>
  <c r="E624" i="4"/>
  <c r="R624" i="3"/>
  <c r="D624" i="4" s="1"/>
  <c r="I624" i="4" s="1"/>
  <c r="R699" i="3"/>
  <c r="D699" i="4" s="1"/>
  <c r="I699" i="4" s="1"/>
  <c r="R523" i="3"/>
  <c r="D523" i="4" s="1"/>
  <c r="I523" i="4" s="1"/>
  <c r="I1243" i="4"/>
  <c r="I1120" i="4"/>
  <c r="E902" i="4"/>
  <c r="R902" i="3"/>
  <c r="D902" i="4" s="1"/>
  <c r="E646" i="4"/>
  <c r="R646" i="3"/>
  <c r="D646" i="4" s="1"/>
  <c r="I646" i="4" s="1"/>
  <c r="I1020" i="4"/>
  <c r="I1169" i="4"/>
  <c r="R1196" i="3"/>
  <c r="D1196" i="4" s="1"/>
  <c r="I1196" i="4" s="1"/>
  <c r="R990" i="3"/>
  <c r="D990" i="4" s="1"/>
  <c r="I990" i="4" s="1"/>
  <c r="R876" i="3"/>
  <c r="D876" i="4" s="1"/>
  <c r="I876" i="4" s="1"/>
  <c r="I190" i="4"/>
  <c r="E487" i="4"/>
  <c r="R487" i="3"/>
  <c r="D487" i="4" s="1"/>
  <c r="I514" i="4"/>
  <c r="E358" i="4"/>
  <c r="R358" i="3"/>
  <c r="D358" i="4" s="1"/>
  <c r="I358" i="4" s="1"/>
  <c r="I176" i="4"/>
  <c r="E89" i="4"/>
  <c r="R89" i="3"/>
  <c r="D89" i="4" s="1"/>
  <c r="I89" i="4" s="1"/>
  <c r="R252" i="3"/>
  <c r="D252" i="4" s="1"/>
  <c r="I252" i="4" s="1"/>
  <c r="R582" i="3"/>
  <c r="D582" i="4" s="1"/>
  <c r="E279" i="4"/>
  <c r="R279" i="3"/>
  <c r="D279" i="4" s="1"/>
  <c r="I279" i="4" s="1"/>
  <c r="E61" i="4"/>
  <c r="R61" i="3"/>
  <c r="D61" i="4" s="1"/>
  <c r="I61" i="4" s="1"/>
  <c r="R354" i="3"/>
  <c r="D354" i="4" s="1"/>
  <c r="I354" i="4" s="1"/>
  <c r="E1398" i="4"/>
  <c r="R1398" i="3"/>
  <c r="D1398" i="4" s="1"/>
  <c r="R1348" i="3"/>
  <c r="D1348" i="4" s="1"/>
  <c r="I1348" i="4" s="1"/>
  <c r="E1382" i="4"/>
  <c r="R1382" i="3"/>
  <c r="D1382" i="4" s="1"/>
  <c r="I1382" i="4" s="1"/>
  <c r="R1290" i="3"/>
  <c r="D1290" i="4" s="1"/>
  <c r="I1290" i="4" s="1"/>
  <c r="R1194" i="3"/>
  <c r="D1194" i="4" s="1"/>
  <c r="I1194" i="4" s="1"/>
  <c r="R1324" i="3"/>
  <c r="D1324" i="4" s="1"/>
  <c r="I1324" i="4" s="1"/>
  <c r="R1438" i="3"/>
  <c r="D1438" i="4" s="1"/>
  <c r="I1438" i="4" s="1"/>
  <c r="E1185" i="4"/>
  <c r="R1185" i="3"/>
  <c r="D1185" i="4" s="1"/>
  <c r="I1185" i="4" s="1"/>
  <c r="I1009" i="4"/>
  <c r="E704" i="4"/>
  <c r="R704" i="3"/>
  <c r="D704" i="4" s="1"/>
  <c r="I704" i="4" s="1"/>
  <c r="R594" i="3"/>
  <c r="D594" i="4" s="1"/>
  <c r="I594" i="4" s="1"/>
  <c r="R1025" i="3"/>
  <c r="D1025" i="4" s="1"/>
  <c r="I1025" i="4" s="1"/>
  <c r="E866" i="4"/>
  <c r="R866" i="3"/>
  <c r="D866" i="4" s="1"/>
  <c r="R779" i="3"/>
  <c r="D779" i="4" s="1"/>
  <c r="I779" i="4" s="1"/>
  <c r="I1068" i="4"/>
  <c r="E965" i="4"/>
  <c r="R965" i="3"/>
  <c r="D965" i="4" s="1"/>
  <c r="I1073" i="4"/>
  <c r="E726" i="4"/>
  <c r="R726" i="3"/>
  <c r="D726" i="4" s="1"/>
  <c r="I1217" i="4"/>
  <c r="R1222" i="3"/>
  <c r="D1222" i="4" s="1"/>
  <c r="I1222" i="4" s="1"/>
  <c r="R913" i="3"/>
  <c r="D913" i="4" s="1"/>
  <c r="I913" i="4" s="1"/>
  <c r="R785" i="3"/>
  <c r="D785" i="4" s="1"/>
  <c r="I785" i="4" s="1"/>
  <c r="R657" i="3"/>
  <c r="D657" i="4" s="1"/>
  <c r="I657" i="4" s="1"/>
  <c r="R874" i="3"/>
  <c r="D874" i="4" s="1"/>
  <c r="I874" i="4" s="1"/>
  <c r="R618" i="3"/>
  <c r="D618" i="4" s="1"/>
  <c r="I618" i="4" s="1"/>
  <c r="I1158" i="4"/>
  <c r="R732" i="3"/>
  <c r="D732" i="4" s="1"/>
  <c r="I732" i="4" s="1"/>
  <c r="I386" i="4"/>
  <c r="E47" i="4"/>
  <c r="R47" i="3"/>
  <c r="D47" i="4" s="1"/>
  <c r="I47" i="4" s="1"/>
  <c r="R97" i="3"/>
  <c r="D97" i="4" s="1"/>
  <c r="I97" i="4" s="1"/>
  <c r="R26" i="3"/>
  <c r="D26" i="4" s="1"/>
  <c r="I26" i="4" s="1"/>
  <c r="R422" i="3"/>
  <c r="D422" i="4" s="1"/>
  <c r="I422" i="4" s="1"/>
  <c r="R115" i="3"/>
  <c r="D115" i="4" s="1"/>
  <c r="I115" i="4" s="1"/>
  <c r="R433" i="3"/>
  <c r="D433" i="4" s="1"/>
  <c r="I433" i="4" s="1"/>
  <c r="E253" i="4"/>
  <c r="R253" i="3"/>
  <c r="D253" i="4" s="1"/>
  <c r="I253" i="4" s="1"/>
  <c r="I530" i="4"/>
  <c r="R71" i="3"/>
  <c r="D71" i="4" s="1"/>
  <c r="I71" i="4" s="1"/>
  <c r="I406" i="4"/>
  <c r="I226" i="4"/>
  <c r="I614" i="4"/>
  <c r="E486" i="4"/>
  <c r="R486" i="3"/>
  <c r="D486" i="4" s="1"/>
  <c r="I368" i="4"/>
  <c r="I582" i="4"/>
  <c r="E141" i="4"/>
  <c r="R141" i="3"/>
  <c r="D141" i="4" s="1"/>
  <c r="I141" i="4" s="1"/>
  <c r="R54" i="3"/>
  <c r="D54" i="4" s="1"/>
  <c r="I54" i="4" s="1"/>
  <c r="R294" i="3"/>
  <c r="D294" i="4" s="1"/>
  <c r="I294" i="4" s="1"/>
  <c r="E1056" i="4"/>
  <c r="R1056" i="3"/>
  <c r="D1056" i="4" s="1"/>
  <c r="I1056" i="4" s="1"/>
  <c r="E784" i="4"/>
  <c r="R784" i="3"/>
  <c r="D784" i="4" s="1"/>
  <c r="I784" i="4" s="1"/>
  <c r="E946" i="4"/>
  <c r="R946" i="3"/>
  <c r="D946" i="4" s="1"/>
  <c r="I965" i="4"/>
  <c r="E806" i="4"/>
  <c r="R806" i="3"/>
  <c r="D806" i="4" s="1"/>
  <c r="I998" i="4"/>
  <c r="R860" i="3"/>
  <c r="D860" i="4" s="1"/>
  <c r="I860" i="4" s="1"/>
  <c r="E127" i="4"/>
  <c r="R127" i="3"/>
  <c r="D127" i="4" s="1"/>
  <c r="R219" i="3"/>
  <c r="D219" i="4" s="1"/>
  <c r="I219" i="4" s="1"/>
  <c r="R53" i="3"/>
  <c r="D53" i="4" s="1"/>
  <c r="I53" i="4" s="1"/>
  <c r="I306" i="4"/>
  <c r="I486" i="4"/>
  <c r="R1004" i="3"/>
  <c r="D1004" i="4" s="1"/>
  <c r="I1004" i="4" s="1"/>
  <c r="I410" i="4"/>
  <c r="R244" i="3"/>
  <c r="D244" i="4" s="1"/>
  <c r="I244" i="4" s="1"/>
  <c r="R134" i="3"/>
  <c r="D134" i="4" s="1"/>
  <c r="I134" i="4" s="1"/>
  <c r="R182" i="3"/>
  <c r="D182" i="4" s="1"/>
  <c r="I182" i="4" s="1"/>
  <c r="I487" i="4" l="1"/>
  <c r="I1202" i="4"/>
  <c r="I1026" i="4"/>
  <c r="I105" i="4"/>
  <c r="I898" i="4"/>
  <c r="I41" i="4"/>
  <c r="I412" i="4"/>
  <c r="I109" i="4"/>
  <c r="I768" i="4"/>
  <c r="I1388" i="4"/>
  <c r="I1265" i="4"/>
  <c r="I1430" i="4"/>
  <c r="I73" i="4"/>
  <c r="I1393" i="4"/>
  <c r="I247" i="4"/>
  <c r="I127" i="4"/>
  <c r="I726" i="4"/>
  <c r="I476" i="4"/>
  <c r="I918" i="4"/>
  <c r="I678" i="4"/>
  <c r="I111" i="4"/>
  <c r="I25" i="4"/>
  <c r="I1372" i="4"/>
  <c r="I806" i="4"/>
  <c r="I902" i="4"/>
  <c r="I960" i="4"/>
  <c r="I205" i="4"/>
  <c r="I818" i="4"/>
  <c r="I455" i="4"/>
  <c r="I832" i="4"/>
  <c r="I492" i="4"/>
  <c r="I640" i="4"/>
  <c r="I560" i="4"/>
  <c r="I854" i="4"/>
  <c r="I1186" i="4"/>
  <c r="I834" i="4"/>
  <c r="I1452" i="4"/>
  <c r="I946" i="4"/>
  <c r="I866" i="4"/>
  <c r="I1297" i="4"/>
  <c r="I1314" i="4"/>
  <c r="I273" i="4"/>
  <c r="I1398" i="4"/>
  <c r="I143" i="4"/>
  <c r="I544" i="4"/>
  <c r="I742" i="4"/>
  <c r="I816" i="4"/>
  <c r="I1334" i="4"/>
  <c r="I343" i="4"/>
  <c r="I31" i="4"/>
</calcChain>
</file>

<file path=xl/sharedStrings.xml><?xml version="1.0" encoding="utf-8"?>
<sst xmlns="http://schemas.openxmlformats.org/spreadsheetml/2006/main" count="33948" uniqueCount="119">
  <si>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</si>
  <si>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</si>
  <si>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</si>
  <si>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</si>
  <si>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</si>
  <si>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</si>
  <si>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</si>
  <si>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</si>
  <si>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</si>
  <si>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</si>
  <si>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</si>
  <si>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</si>
  <si>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</si>
  <si>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</si>
  <si>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</si>
  <si>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</si>
  <si>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</si>
  <si>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</si>
  <si>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</si>
  <si>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</si>
  <si>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</si>
  <si>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</si>
  <si>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</si>
  <si>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</si>
  <si>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</si>
  <si>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</si>
  <si>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</si>
  <si>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</si>
  <si>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</si>
  <si>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</si>
  <si>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</si>
  <si>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</si>
  <si>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</si>
  <si>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</si>
  <si>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</si>
  <si>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</si>
  <si>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</si>
  <si>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</si>
  <si>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</si>
  <si>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</si>
  <si>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</si>
  <si>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</si>
  <si>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</si>
  <si>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</si>
  <si>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</si>
  <si>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</si>
  <si>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</si>
  <si>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</si>
  <si>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</si>
  <si>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</si>
  <si>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</si>
  <si>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</si>
  <si>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</si>
  <si>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</si>
  <si>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</si>
  <si>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</si>
  <si>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</si>
  <si>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</si>
  <si>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</si>
  <si>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</si>
  <si>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</si>
  <si>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</si>
  <si>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,</t>
  </si>
  <si>
    <t>EMPLOYEE NUMBER</t>
  </si>
  <si>
    <t>ATTRITION</t>
  </si>
  <si>
    <t>AGE</t>
  </si>
  <si>
    <t>DEPARTMENT</t>
  </si>
  <si>
    <t>JOBROLE</t>
  </si>
  <si>
    <t>MONTHLY INCOME</t>
  </si>
  <si>
    <t>OVERTIME</t>
  </si>
  <si>
    <t>YEARS AT COMPANY</t>
  </si>
  <si>
    <t>YEAR SINCE LAST PROMOTION</t>
  </si>
  <si>
    <t>JOB SATISFACTION</t>
  </si>
  <si>
    <t>WORK LIFE BALANCE</t>
  </si>
  <si>
    <t>HIGH ATTRITION RISK</t>
  </si>
  <si>
    <t>INCOME LEVEL GROUP</t>
  </si>
  <si>
    <t>EXPERIENCE LEVEL</t>
  </si>
  <si>
    <t>PROMOTION  STAGNATION</t>
  </si>
  <si>
    <t>WORK PRESSURE LEVEL</t>
  </si>
  <si>
    <t>ENGAGEMENT LEVEL</t>
  </si>
  <si>
    <t>RETENTION PROIRITY</t>
  </si>
  <si>
    <t>EMPLOYEMENT  NUMBER</t>
  </si>
  <si>
    <t>RETENTION PRIORITY</t>
  </si>
  <si>
    <t>PROMOTION STAGNATION</t>
  </si>
  <si>
    <t>SEGMENT LEVEL</t>
  </si>
  <si>
    <t xml:space="preserve">ENTITIY NAME </t>
  </si>
  <si>
    <t>DESCRIPTION</t>
  </si>
  <si>
    <t>TABLE NAME</t>
  </si>
  <si>
    <t>PRIMARY KEY</t>
  </si>
  <si>
    <t>MAIN COLUMNS</t>
  </si>
  <si>
    <t>RELATIONSHIP</t>
  </si>
  <si>
    <t>EMPLOYEE</t>
  </si>
  <si>
    <t>BASIC EMPLOYEE IDENTITY</t>
  </si>
  <si>
    <t>EMPLOYEE NUMBERS,AGE ,GENDER, MARTIAL STATUS,EDUCATION, EDUCATION FIELD</t>
  </si>
  <si>
    <t>MASTER TABLE</t>
  </si>
  <si>
    <t>JOB</t>
  </si>
  <si>
    <t>JOB ROLE, LEVEL,DEPARTMENT</t>
  </si>
  <si>
    <t>JOB_ID</t>
  </si>
  <si>
    <t>JOB ID, EMPLOYEE NUMBER(FK),DEPARTMENT,JOB ROLE, JOB LEVEL, BUSINNES LEVEL, OVERTIME</t>
  </si>
  <si>
    <t>JOB.EMPLOYEE_NUMBER→EMPLOYEE.EMPLOYEE_NUMBER</t>
  </si>
  <si>
    <t>COMPENSATION</t>
  </si>
  <si>
    <t>SALARY AND PAY DATA</t>
  </si>
  <si>
    <t>COMP_ID,EMPLOYEE NUMBER(FK),MONTHLY INCOME,DAILY_RATE,HOURLY_RATE,PERCENT_SALARY_HIKE</t>
  </si>
  <si>
    <t>COMPENSATION.EMPLOYEE_NUMBER→ EMPLOYEE.EMPLOYEE_NUMBER</t>
  </si>
  <si>
    <t>PERFORMANCE</t>
  </si>
  <si>
    <t>RATING , HIKES</t>
  </si>
  <si>
    <t>PERF_ID</t>
  </si>
  <si>
    <t>PERF_ID,EMPLOYEE_NUMBER(FK),PERFORMANCE_RATIG,TRAINING_TIME_LAST_YEAR</t>
  </si>
  <si>
    <t>PERFORMANCE.EMPLOYEE_NUMBER→ EMPLOYEE.EMPLOYEE_NUMBER</t>
  </si>
  <si>
    <t>SATISFACTION</t>
  </si>
  <si>
    <t>ENGAGEMENT, SATISFACTION DATA</t>
  </si>
  <si>
    <t>SAT_ID</t>
  </si>
  <si>
    <t>SAT-ID, EMPLOYEE_NUMBER(FK), JOB_SATISFACTION, RELATIONSHIP_SATISFACTION, WORK_LIFE_BALANCE</t>
  </si>
  <si>
    <t>SATISFACTION.EMPLOYEE_NUMBER→ EMPLYEE.EMPLOYEE_NUMBER</t>
  </si>
  <si>
    <t>EXPERIENCE</t>
  </si>
  <si>
    <t>TIME, TENURE , PROMOTION HISTORY</t>
  </si>
  <si>
    <t>EXP_ID</t>
  </si>
  <si>
    <t>EXP_ID, EMPLOYEE_NUMBER(FK), YEARS_AT_COMPANY,YEARS_IN_CURRENT_ROLE,YEARS_SINCE_LAST_PERFORMANCE, TOTAL_WORKING_YEARS</t>
  </si>
  <si>
    <t>EXPERIENCE..EMPLOYEE_NUMBER→ EMPLOYEE.EMPLOYEE_NUMBER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</si>
</sst>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3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5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47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4.88671875" customWidth="1"/>
    <col min="2" max="2" width="7.44140625" customWidth="1"/>
    <col min="3" max="3" width="15.88671875" customWidth="1"/>
    <col min="4" max="4" width="8.88671875" customWidth="1"/>
    <col min="5" max="5" width="20" customWidth="1"/>
    <col min="6" max="6" width="16.77734375" customWidth="1"/>
    <col min="9" max="9" width="12.88671875" customWidth="1"/>
    <col min="10" max="10" width="15.21875" customWidth="1"/>
    <col min="11" max="11" width="20.44140625" customWidth="1"/>
    <col min="12" max="12" width="6.88671875" customWidth="1"/>
    <col min="13" max="13" width="10.21875" customWidth="1"/>
    <col min="14" max="14" width="13.6640625" customWidth="1"/>
    <col min="23" max="23" width="9" customWidth="1"/>
    <col min="24" max="24" width="15.88671875" customWidth="1"/>
    <col min="25" max="25" width="16.44140625" customWidth="1"/>
    <col min="26" max="26" width="20" customWidth="1"/>
    <col min="27" max="27" width="13.21875" customWidth="1"/>
    <col min="28" max="28" width="15.109375" customWidth="1"/>
    <col min="29" max="29" width="16.21875" customWidth="1"/>
    <col min="30" max="30" width="19.6640625" customWidth="1"/>
    <col min="31" max="31" width="14.88671875" customWidth="1"/>
    <col min="32" max="32" width="15" customWidth="1"/>
    <col min="33" max="33" width="17" customWidth="1"/>
    <col min="34" max="34" width="21.33203125" customWidth="1"/>
    <col min="35" max="35" width="20.3320312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6" x14ac:dyDescent="0.25">
      <c r="A2" s="2">
        <v>41</v>
      </c>
      <c r="B2" s="2" t="s">
        <v>35</v>
      </c>
      <c r="C2" s="2" t="s">
        <v>36</v>
      </c>
      <c r="D2" s="2">
        <v>1102</v>
      </c>
      <c r="E2" s="2" t="s">
        <v>37</v>
      </c>
      <c r="F2" s="2">
        <v>1</v>
      </c>
      <c r="G2" s="2">
        <v>2</v>
      </c>
      <c r="H2" s="2" t="s">
        <v>38</v>
      </c>
      <c r="I2" s="2">
        <v>1</v>
      </c>
      <c r="J2" s="2">
        <v>1</v>
      </c>
      <c r="K2" s="2">
        <v>2</v>
      </c>
      <c r="L2" s="2" t="s">
        <v>39</v>
      </c>
      <c r="M2" s="2">
        <v>94</v>
      </c>
      <c r="N2" s="2">
        <v>3</v>
      </c>
      <c r="O2" s="2">
        <v>2</v>
      </c>
      <c r="P2" s="2" t="s">
        <v>40</v>
      </c>
      <c r="Q2" s="2">
        <v>4</v>
      </c>
      <c r="R2" s="2" t="s">
        <v>41</v>
      </c>
      <c r="S2" s="2">
        <v>5993</v>
      </c>
      <c r="T2" s="2">
        <v>19479</v>
      </c>
      <c r="U2" s="2">
        <v>8</v>
      </c>
      <c r="V2" s="2" t="s">
        <v>42</v>
      </c>
      <c r="W2" s="2" t="s">
        <v>35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</row>
    <row r="3" spans="1:36" x14ac:dyDescent="0.25">
      <c r="A3" s="2">
        <v>49</v>
      </c>
      <c r="B3" s="2" t="s">
        <v>43</v>
      </c>
      <c r="C3" s="2" t="s">
        <v>44</v>
      </c>
      <c r="D3" s="2">
        <v>279</v>
      </c>
      <c r="E3" s="2" t="s">
        <v>45</v>
      </c>
      <c r="F3" s="2">
        <v>8</v>
      </c>
      <c r="G3" s="2">
        <v>1</v>
      </c>
      <c r="H3" s="2" t="s">
        <v>38</v>
      </c>
      <c r="I3" s="2">
        <v>1</v>
      </c>
      <c r="J3" s="2">
        <v>2</v>
      </c>
      <c r="K3" s="2">
        <v>3</v>
      </c>
      <c r="L3" s="2" t="s">
        <v>46</v>
      </c>
      <c r="M3" s="2">
        <v>61</v>
      </c>
      <c r="N3" s="2">
        <v>2</v>
      </c>
      <c r="O3" s="2">
        <v>2</v>
      </c>
      <c r="P3" s="2" t="s">
        <v>47</v>
      </c>
      <c r="Q3" s="2">
        <v>2</v>
      </c>
      <c r="R3" s="2" t="s">
        <v>48</v>
      </c>
      <c r="S3" s="2">
        <v>5130</v>
      </c>
      <c r="T3" s="2">
        <v>24907</v>
      </c>
      <c r="U3" s="2">
        <v>1</v>
      </c>
      <c r="V3" s="2" t="s">
        <v>42</v>
      </c>
      <c r="W3" s="2" t="s">
        <v>43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</row>
    <row r="4" spans="1:36" x14ac:dyDescent="0.25">
      <c r="A4" s="2">
        <v>37</v>
      </c>
      <c r="B4" s="2" t="s">
        <v>35</v>
      </c>
      <c r="C4" s="2" t="s">
        <v>36</v>
      </c>
      <c r="D4" s="2">
        <v>1373</v>
      </c>
      <c r="E4" s="2" t="s">
        <v>45</v>
      </c>
      <c r="F4" s="2">
        <v>2</v>
      </c>
      <c r="G4" s="2">
        <v>2</v>
      </c>
      <c r="H4" s="2" t="s">
        <v>49</v>
      </c>
      <c r="I4" s="2">
        <v>1</v>
      </c>
      <c r="J4" s="2">
        <v>4</v>
      </c>
      <c r="K4" s="2">
        <v>4</v>
      </c>
      <c r="L4" s="2" t="s">
        <v>46</v>
      </c>
      <c r="M4" s="2">
        <v>92</v>
      </c>
      <c r="N4" s="2">
        <v>2</v>
      </c>
      <c r="O4" s="2">
        <v>1</v>
      </c>
      <c r="P4" s="2" t="s">
        <v>50</v>
      </c>
      <c r="Q4" s="2">
        <v>3</v>
      </c>
      <c r="R4" s="2" t="s">
        <v>41</v>
      </c>
      <c r="S4" s="2">
        <v>2090</v>
      </c>
      <c r="T4" s="2">
        <v>2396</v>
      </c>
      <c r="U4" s="2">
        <v>6</v>
      </c>
      <c r="V4" s="2" t="s">
        <v>42</v>
      </c>
      <c r="W4" s="2" t="s">
        <v>35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</row>
    <row r="5" spans="1:36" x14ac:dyDescent="0.25">
      <c r="A5" s="2">
        <v>33</v>
      </c>
      <c r="B5" s="2" t="s">
        <v>43</v>
      </c>
      <c r="C5" s="2" t="s">
        <v>44</v>
      </c>
      <c r="D5" s="2">
        <v>1392</v>
      </c>
      <c r="E5" s="2" t="s">
        <v>45</v>
      </c>
      <c r="F5" s="2">
        <v>3</v>
      </c>
      <c r="G5" s="2">
        <v>4</v>
      </c>
      <c r="H5" s="2" t="s">
        <v>38</v>
      </c>
      <c r="I5" s="2">
        <v>1</v>
      </c>
      <c r="J5" s="2">
        <v>5</v>
      </c>
      <c r="K5" s="2">
        <v>4</v>
      </c>
      <c r="L5" s="2" t="s">
        <v>39</v>
      </c>
      <c r="M5" s="2">
        <v>56</v>
      </c>
      <c r="N5" s="2">
        <v>3</v>
      </c>
      <c r="O5" s="2">
        <v>1</v>
      </c>
      <c r="P5" s="2" t="s">
        <v>47</v>
      </c>
      <c r="Q5" s="2">
        <v>3</v>
      </c>
      <c r="R5" s="2" t="s">
        <v>48</v>
      </c>
      <c r="S5" s="2">
        <v>2909</v>
      </c>
      <c r="T5" s="2">
        <v>23159</v>
      </c>
      <c r="U5" s="2">
        <v>1</v>
      </c>
      <c r="V5" s="2" t="s">
        <v>42</v>
      </c>
      <c r="W5" s="2" t="s">
        <v>35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  <c r="AJ5" s="2"/>
    </row>
    <row r="6" spans="1:36" x14ac:dyDescent="0.25">
      <c r="A6" s="2">
        <v>27</v>
      </c>
      <c r="B6" s="2" t="s">
        <v>43</v>
      </c>
      <c r="C6" s="2" t="s">
        <v>36</v>
      </c>
      <c r="D6" s="2">
        <v>591</v>
      </c>
      <c r="E6" s="2" t="s">
        <v>45</v>
      </c>
      <c r="F6" s="2">
        <v>2</v>
      </c>
      <c r="G6" s="2">
        <v>1</v>
      </c>
      <c r="H6" s="2" t="s">
        <v>51</v>
      </c>
      <c r="I6" s="2">
        <v>1</v>
      </c>
      <c r="J6" s="2">
        <v>7</v>
      </c>
      <c r="K6" s="2">
        <v>1</v>
      </c>
      <c r="L6" s="2" t="s">
        <v>46</v>
      </c>
      <c r="M6" s="2">
        <v>40</v>
      </c>
      <c r="N6" s="2">
        <v>3</v>
      </c>
      <c r="O6" s="2">
        <v>1</v>
      </c>
      <c r="P6" s="2" t="s">
        <v>50</v>
      </c>
      <c r="Q6" s="2">
        <v>2</v>
      </c>
      <c r="R6" s="2" t="s">
        <v>48</v>
      </c>
      <c r="S6" s="2">
        <v>3468</v>
      </c>
      <c r="T6" s="2">
        <v>16632</v>
      </c>
      <c r="U6" s="2">
        <v>9</v>
      </c>
      <c r="V6" s="2" t="s">
        <v>42</v>
      </c>
      <c r="W6" s="2" t="s">
        <v>43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</row>
    <row r="7" spans="1:36" x14ac:dyDescent="0.25">
      <c r="A7" s="2">
        <v>32</v>
      </c>
      <c r="B7" s="2" t="s">
        <v>43</v>
      </c>
      <c r="C7" s="2" t="s">
        <v>44</v>
      </c>
      <c r="D7" s="2">
        <v>1005</v>
      </c>
      <c r="E7" s="2" t="s">
        <v>45</v>
      </c>
      <c r="F7" s="2">
        <v>2</v>
      </c>
      <c r="G7" s="2">
        <v>2</v>
      </c>
      <c r="H7" s="2" t="s">
        <v>38</v>
      </c>
      <c r="I7" s="2">
        <v>1</v>
      </c>
      <c r="J7" s="2">
        <v>8</v>
      </c>
      <c r="K7" s="2">
        <v>4</v>
      </c>
      <c r="L7" s="2" t="s">
        <v>46</v>
      </c>
      <c r="M7" s="2">
        <v>79</v>
      </c>
      <c r="N7" s="2">
        <v>3</v>
      </c>
      <c r="O7" s="2">
        <v>1</v>
      </c>
      <c r="P7" s="2" t="s">
        <v>50</v>
      </c>
      <c r="Q7" s="2">
        <v>4</v>
      </c>
      <c r="R7" s="2" t="s">
        <v>41</v>
      </c>
      <c r="S7" s="2">
        <v>3068</v>
      </c>
      <c r="T7" s="2">
        <v>11864</v>
      </c>
      <c r="U7" s="2">
        <v>0</v>
      </c>
      <c r="V7" s="2" t="s">
        <v>42</v>
      </c>
      <c r="W7" s="2" t="s">
        <v>43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</row>
    <row r="8" spans="1:36" x14ac:dyDescent="0.25">
      <c r="A8" s="2">
        <v>59</v>
      </c>
      <c r="B8" s="2" t="s">
        <v>43</v>
      </c>
      <c r="C8" s="2" t="s">
        <v>36</v>
      </c>
      <c r="D8" s="2">
        <v>1324</v>
      </c>
      <c r="E8" s="2" t="s">
        <v>45</v>
      </c>
      <c r="F8" s="2">
        <v>3</v>
      </c>
      <c r="G8" s="2">
        <v>3</v>
      </c>
      <c r="H8" s="2" t="s">
        <v>51</v>
      </c>
      <c r="I8" s="2">
        <v>1</v>
      </c>
      <c r="J8" s="2">
        <v>10</v>
      </c>
      <c r="K8" s="2">
        <v>3</v>
      </c>
      <c r="L8" s="2" t="s">
        <v>39</v>
      </c>
      <c r="M8" s="2">
        <v>81</v>
      </c>
      <c r="N8" s="2">
        <v>4</v>
      </c>
      <c r="O8" s="2">
        <v>1</v>
      </c>
      <c r="P8" s="2" t="s">
        <v>50</v>
      </c>
      <c r="Q8" s="2">
        <v>1</v>
      </c>
      <c r="R8" s="2" t="s">
        <v>48</v>
      </c>
      <c r="S8" s="2">
        <v>2670</v>
      </c>
      <c r="T8" s="2">
        <v>9964</v>
      </c>
      <c r="U8" s="2">
        <v>4</v>
      </c>
      <c r="V8" s="2" t="s">
        <v>42</v>
      </c>
      <c r="W8" s="2" t="s">
        <v>35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</row>
    <row r="9" spans="1:36" x14ac:dyDescent="0.25">
      <c r="A9" s="2">
        <v>30</v>
      </c>
      <c r="B9" s="2" t="s">
        <v>43</v>
      </c>
      <c r="C9" s="2" t="s">
        <v>36</v>
      </c>
      <c r="D9" s="2">
        <v>1358</v>
      </c>
      <c r="E9" s="2" t="s">
        <v>45</v>
      </c>
      <c r="F9" s="2">
        <v>24</v>
      </c>
      <c r="G9" s="2">
        <v>1</v>
      </c>
      <c r="H9" s="2" t="s">
        <v>38</v>
      </c>
      <c r="I9" s="2">
        <v>1</v>
      </c>
      <c r="J9" s="2">
        <v>11</v>
      </c>
      <c r="K9" s="2">
        <v>4</v>
      </c>
      <c r="L9" s="2" t="s">
        <v>46</v>
      </c>
      <c r="M9" s="2">
        <v>67</v>
      </c>
      <c r="N9" s="2">
        <v>3</v>
      </c>
      <c r="O9" s="2">
        <v>1</v>
      </c>
      <c r="P9" s="2" t="s">
        <v>50</v>
      </c>
      <c r="Q9" s="2">
        <v>3</v>
      </c>
      <c r="R9" s="2" t="s">
        <v>52</v>
      </c>
      <c r="S9" s="2">
        <v>2693</v>
      </c>
      <c r="T9" s="2">
        <v>13335</v>
      </c>
      <c r="U9" s="2">
        <v>1</v>
      </c>
      <c r="V9" s="2" t="s">
        <v>42</v>
      </c>
      <c r="W9" s="2" t="s">
        <v>43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</row>
    <row r="10" spans="1:36" x14ac:dyDescent="0.25">
      <c r="A10" s="2">
        <v>38</v>
      </c>
      <c r="B10" s="2" t="s">
        <v>43</v>
      </c>
      <c r="C10" s="2" t="s">
        <v>44</v>
      </c>
      <c r="D10" s="2">
        <v>216</v>
      </c>
      <c r="E10" s="2" t="s">
        <v>45</v>
      </c>
      <c r="F10" s="2">
        <v>23</v>
      </c>
      <c r="G10" s="2">
        <v>3</v>
      </c>
      <c r="H10" s="2" t="s">
        <v>38</v>
      </c>
      <c r="I10" s="2">
        <v>1</v>
      </c>
      <c r="J10" s="2">
        <v>12</v>
      </c>
      <c r="K10" s="2">
        <v>4</v>
      </c>
      <c r="L10" s="2" t="s">
        <v>46</v>
      </c>
      <c r="M10" s="2">
        <v>44</v>
      </c>
      <c r="N10" s="2">
        <v>2</v>
      </c>
      <c r="O10" s="2">
        <v>3</v>
      </c>
      <c r="P10" s="2" t="s">
        <v>53</v>
      </c>
      <c r="Q10" s="2">
        <v>3</v>
      </c>
      <c r="R10" s="2" t="s">
        <v>41</v>
      </c>
      <c r="S10" s="2">
        <v>9526</v>
      </c>
      <c r="T10" s="2">
        <v>8787</v>
      </c>
      <c r="U10" s="2">
        <v>0</v>
      </c>
      <c r="V10" s="2" t="s">
        <v>42</v>
      </c>
      <c r="W10" s="2" t="s">
        <v>43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</row>
    <row r="11" spans="1:36" x14ac:dyDescent="0.25">
      <c r="A11" s="2">
        <v>36</v>
      </c>
      <c r="B11" s="2" t="s">
        <v>43</v>
      </c>
      <c r="C11" s="2" t="s">
        <v>36</v>
      </c>
      <c r="D11" s="2">
        <v>1299</v>
      </c>
      <c r="E11" s="2" t="s">
        <v>45</v>
      </c>
      <c r="F11" s="2">
        <v>27</v>
      </c>
      <c r="G11" s="2">
        <v>3</v>
      </c>
      <c r="H11" s="2" t="s">
        <v>51</v>
      </c>
      <c r="I11" s="2">
        <v>1</v>
      </c>
      <c r="J11" s="2">
        <v>13</v>
      </c>
      <c r="K11" s="2">
        <v>3</v>
      </c>
      <c r="L11" s="2" t="s">
        <v>46</v>
      </c>
      <c r="M11" s="2">
        <v>94</v>
      </c>
      <c r="N11" s="2">
        <v>3</v>
      </c>
      <c r="O11" s="2">
        <v>2</v>
      </c>
      <c r="P11" s="2" t="s">
        <v>54</v>
      </c>
      <c r="Q11" s="2">
        <v>3</v>
      </c>
      <c r="R11" s="2" t="s">
        <v>48</v>
      </c>
      <c r="S11" s="2">
        <v>5237</v>
      </c>
      <c r="T11" s="2">
        <v>16577</v>
      </c>
      <c r="U11" s="2">
        <v>6</v>
      </c>
      <c r="V11" s="2" t="s">
        <v>42</v>
      </c>
      <c r="W11" s="2" t="s">
        <v>43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</row>
    <row r="12" spans="1:36" x14ac:dyDescent="0.25">
      <c r="A12" s="2">
        <v>35</v>
      </c>
      <c r="B12" s="2" t="s">
        <v>43</v>
      </c>
      <c r="C12" s="2" t="s">
        <v>36</v>
      </c>
      <c r="D12" s="2">
        <v>809</v>
      </c>
      <c r="E12" s="2" t="s">
        <v>45</v>
      </c>
      <c r="F12" s="2">
        <v>16</v>
      </c>
      <c r="G12" s="2">
        <v>3</v>
      </c>
      <c r="H12" s="2" t="s">
        <v>51</v>
      </c>
      <c r="I12" s="2">
        <v>1</v>
      </c>
      <c r="J12" s="2">
        <v>14</v>
      </c>
      <c r="K12" s="2">
        <v>1</v>
      </c>
      <c r="L12" s="2" t="s">
        <v>46</v>
      </c>
      <c r="M12" s="2">
        <v>84</v>
      </c>
      <c r="N12" s="2">
        <v>4</v>
      </c>
      <c r="O12" s="2">
        <v>1</v>
      </c>
      <c r="P12" s="2" t="s">
        <v>50</v>
      </c>
      <c r="Q12" s="2">
        <v>2</v>
      </c>
      <c r="R12" s="2" t="s">
        <v>48</v>
      </c>
      <c r="S12" s="2">
        <v>2426</v>
      </c>
      <c r="T12" s="2">
        <v>16479</v>
      </c>
      <c r="U12" s="2">
        <v>0</v>
      </c>
      <c r="V12" s="2" t="s">
        <v>42</v>
      </c>
      <c r="W12" s="2" t="s">
        <v>43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</row>
    <row r="13" spans="1:36" x14ac:dyDescent="0.25">
      <c r="A13" s="2">
        <v>29</v>
      </c>
      <c r="B13" s="2" t="s">
        <v>43</v>
      </c>
      <c r="C13" s="2" t="s">
        <v>36</v>
      </c>
      <c r="D13" s="2">
        <v>153</v>
      </c>
      <c r="E13" s="2" t="s">
        <v>45</v>
      </c>
      <c r="F13" s="2">
        <v>15</v>
      </c>
      <c r="G13" s="2">
        <v>2</v>
      </c>
      <c r="H13" s="2" t="s">
        <v>38</v>
      </c>
      <c r="I13" s="2">
        <v>1</v>
      </c>
      <c r="J13" s="2">
        <v>15</v>
      </c>
      <c r="K13" s="2">
        <v>4</v>
      </c>
      <c r="L13" s="2" t="s">
        <v>39</v>
      </c>
      <c r="M13" s="2">
        <v>49</v>
      </c>
      <c r="N13" s="2">
        <v>2</v>
      </c>
      <c r="O13" s="2">
        <v>2</v>
      </c>
      <c r="P13" s="2" t="s">
        <v>50</v>
      </c>
      <c r="Q13" s="2">
        <v>3</v>
      </c>
      <c r="R13" s="2" t="s">
        <v>41</v>
      </c>
      <c r="S13" s="2">
        <v>4193</v>
      </c>
      <c r="T13" s="2">
        <v>12682</v>
      </c>
      <c r="U13" s="2">
        <v>0</v>
      </c>
      <c r="V13" s="2" t="s">
        <v>42</v>
      </c>
      <c r="W13" s="2" t="s">
        <v>35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</row>
    <row r="14" spans="1:36" x14ac:dyDescent="0.25">
      <c r="A14" s="2">
        <v>31</v>
      </c>
      <c r="B14" s="2" t="s">
        <v>43</v>
      </c>
      <c r="C14" s="2" t="s">
        <v>36</v>
      </c>
      <c r="D14" s="2">
        <v>670</v>
      </c>
      <c r="E14" s="2" t="s">
        <v>45</v>
      </c>
      <c r="F14" s="2">
        <v>26</v>
      </c>
      <c r="G14" s="2">
        <v>1</v>
      </c>
      <c r="H14" s="2" t="s">
        <v>38</v>
      </c>
      <c r="I14" s="2">
        <v>1</v>
      </c>
      <c r="J14" s="2">
        <v>16</v>
      </c>
      <c r="K14" s="2">
        <v>1</v>
      </c>
      <c r="L14" s="2" t="s">
        <v>46</v>
      </c>
      <c r="M14" s="2">
        <v>31</v>
      </c>
      <c r="N14" s="2">
        <v>3</v>
      </c>
      <c r="O14" s="2">
        <v>1</v>
      </c>
      <c r="P14" s="2" t="s">
        <v>47</v>
      </c>
      <c r="Q14" s="2">
        <v>3</v>
      </c>
      <c r="R14" s="2" t="s">
        <v>52</v>
      </c>
      <c r="S14" s="2">
        <v>2911</v>
      </c>
      <c r="T14" s="2">
        <v>15170</v>
      </c>
      <c r="U14" s="2">
        <v>1</v>
      </c>
      <c r="V14" s="2" t="s">
        <v>42</v>
      </c>
      <c r="W14" s="2" t="s">
        <v>43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</row>
    <row r="15" spans="1:36" x14ac:dyDescent="0.25">
      <c r="A15" s="2">
        <v>34</v>
      </c>
      <c r="B15" s="2" t="s">
        <v>43</v>
      </c>
      <c r="C15" s="2" t="s">
        <v>36</v>
      </c>
      <c r="D15" s="2">
        <v>1346</v>
      </c>
      <c r="E15" s="2" t="s">
        <v>45</v>
      </c>
      <c r="F15" s="2">
        <v>19</v>
      </c>
      <c r="G15" s="2">
        <v>2</v>
      </c>
      <c r="H15" s="2" t="s">
        <v>51</v>
      </c>
      <c r="I15" s="2">
        <v>1</v>
      </c>
      <c r="J15" s="2">
        <v>18</v>
      </c>
      <c r="K15" s="2">
        <v>2</v>
      </c>
      <c r="L15" s="2" t="s">
        <v>46</v>
      </c>
      <c r="M15" s="2">
        <v>93</v>
      </c>
      <c r="N15" s="2">
        <v>3</v>
      </c>
      <c r="O15" s="2">
        <v>1</v>
      </c>
      <c r="P15" s="2" t="s">
        <v>50</v>
      </c>
      <c r="Q15" s="2">
        <v>4</v>
      </c>
      <c r="R15" s="2" t="s">
        <v>52</v>
      </c>
      <c r="S15" s="2">
        <v>2661</v>
      </c>
      <c r="T15" s="2">
        <v>8758</v>
      </c>
      <c r="U15" s="2">
        <v>0</v>
      </c>
      <c r="V15" s="2" t="s">
        <v>42</v>
      </c>
      <c r="W15" s="2" t="s">
        <v>43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</row>
    <row r="16" spans="1:36" x14ac:dyDescent="0.25">
      <c r="A16" s="2">
        <v>28</v>
      </c>
      <c r="B16" s="2" t="s">
        <v>35</v>
      </c>
      <c r="C16" s="2" t="s">
        <v>36</v>
      </c>
      <c r="D16" s="2">
        <v>103</v>
      </c>
      <c r="E16" s="2" t="s">
        <v>45</v>
      </c>
      <c r="F16" s="2">
        <v>24</v>
      </c>
      <c r="G16" s="2">
        <v>3</v>
      </c>
      <c r="H16" s="2" t="s">
        <v>38</v>
      </c>
      <c r="I16" s="2">
        <v>1</v>
      </c>
      <c r="J16" s="2">
        <v>19</v>
      </c>
      <c r="K16" s="2">
        <v>3</v>
      </c>
      <c r="L16" s="2" t="s">
        <v>46</v>
      </c>
      <c r="M16" s="2">
        <v>50</v>
      </c>
      <c r="N16" s="2">
        <v>2</v>
      </c>
      <c r="O16" s="2">
        <v>1</v>
      </c>
      <c r="P16" s="2" t="s">
        <v>50</v>
      </c>
      <c r="Q16" s="2">
        <v>3</v>
      </c>
      <c r="R16" s="2" t="s">
        <v>41</v>
      </c>
      <c r="S16" s="2">
        <v>2028</v>
      </c>
      <c r="T16" s="2">
        <v>12947</v>
      </c>
      <c r="U16" s="2">
        <v>5</v>
      </c>
      <c r="V16" s="2" t="s">
        <v>42</v>
      </c>
      <c r="W16" s="2" t="s">
        <v>35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</row>
    <row r="17" spans="1:35" x14ac:dyDescent="0.25">
      <c r="A17" s="2">
        <v>29</v>
      </c>
      <c r="B17" s="2" t="s">
        <v>43</v>
      </c>
      <c r="C17" s="2" t="s">
        <v>36</v>
      </c>
      <c r="D17" s="2">
        <v>1389</v>
      </c>
      <c r="E17" s="2" t="s">
        <v>45</v>
      </c>
      <c r="F17" s="2">
        <v>21</v>
      </c>
      <c r="G17" s="2">
        <v>4</v>
      </c>
      <c r="H17" s="2" t="s">
        <v>38</v>
      </c>
      <c r="I17" s="2">
        <v>1</v>
      </c>
      <c r="J17" s="2">
        <v>20</v>
      </c>
      <c r="K17" s="2">
        <v>2</v>
      </c>
      <c r="L17" s="2" t="s">
        <v>39</v>
      </c>
      <c r="M17" s="2">
        <v>51</v>
      </c>
      <c r="N17" s="2">
        <v>4</v>
      </c>
      <c r="O17" s="2">
        <v>3</v>
      </c>
      <c r="P17" s="2" t="s">
        <v>53</v>
      </c>
      <c r="Q17" s="2">
        <v>1</v>
      </c>
      <c r="R17" s="2" t="s">
        <v>52</v>
      </c>
      <c r="S17" s="2">
        <v>9980</v>
      </c>
      <c r="T17" s="2">
        <v>10195</v>
      </c>
      <c r="U17" s="2">
        <v>1</v>
      </c>
      <c r="V17" s="2" t="s">
        <v>42</v>
      </c>
      <c r="W17" s="2" t="s">
        <v>43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</row>
    <row r="18" spans="1:35" x14ac:dyDescent="0.25">
      <c r="A18" s="2">
        <v>32</v>
      </c>
      <c r="B18" s="2" t="s">
        <v>43</v>
      </c>
      <c r="C18" s="2" t="s">
        <v>36</v>
      </c>
      <c r="D18" s="2">
        <v>334</v>
      </c>
      <c r="E18" s="2" t="s">
        <v>45</v>
      </c>
      <c r="F18" s="2">
        <v>5</v>
      </c>
      <c r="G18" s="2">
        <v>2</v>
      </c>
      <c r="H18" s="2" t="s">
        <v>38</v>
      </c>
      <c r="I18" s="2">
        <v>1</v>
      </c>
      <c r="J18" s="2">
        <v>21</v>
      </c>
      <c r="K18" s="2">
        <v>1</v>
      </c>
      <c r="L18" s="2" t="s">
        <v>46</v>
      </c>
      <c r="M18" s="2">
        <v>80</v>
      </c>
      <c r="N18" s="2">
        <v>4</v>
      </c>
      <c r="O18" s="2">
        <v>1</v>
      </c>
      <c r="P18" s="2" t="s">
        <v>47</v>
      </c>
      <c r="Q18" s="2">
        <v>2</v>
      </c>
      <c r="R18" s="2" t="s">
        <v>52</v>
      </c>
      <c r="S18" s="2">
        <v>3298</v>
      </c>
      <c r="T18" s="2">
        <v>15053</v>
      </c>
      <c r="U18" s="2">
        <v>0</v>
      </c>
      <c r="V18" s="2" t="s">
        <v>42</v>
      </c>
      <c r="W18" s="2" t="s">
        <v>35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</row>
    <row r="19" spans="1:35" x14ac:dyDescent="0.25">
      <c r="A19" s="2">
        <v>22</v>
      </c>
      <c r="B19" s="2" t="s">
        <v>43</v>
      </c>
      <c r="C19" s="2" t="s">
        <v>55</v>
      </c>
      <c r="D19" s="2">
        <v>1123</v>
      </c>
      <c r="E19" s="2" t="s">
        <v>45</v>
      </c>
      <c r="F19" s="2">
        <v>16</v>
      </c>
      <c r="G19" s="2">
        <v>2</v>
      </c>
      <c r="H19" s="2" t="s">
        <v>51</v>
      </c>
      <c r="I19" s="2">
        <v>1</v>
      </c>
      <c r="J19" s="2">
        <v>22</v>
      </c>
      <c r="K19" s="2">
        <v>4</v>
      </c>
      <c r="L19" s="2" t="s">
        <v>46</v>
      </c>
      <c r="M19" s="2">
        <v>96</v>
      </c>
      <c r="N19" s="2">
        <v>4</v>
      </c>
      <c r="O19" s="2">
        <v>1</v>
      </c>
      <c r="P19" s="2" t="s">
        <v>50</v>
      </c>
      <c r="Q19" s="2">
        <v>4</v>
      </c>
      <c r="R19" s="2" t="s">
        <v>52</v>
      </c>
      <c r="S19" s="2">
        <v>2935</v>
      </c>
      <c r="T19" s="2">
        <v>7324</v>
      </c>
      <c r="U19" s="2">
        <v>1</v>
      </c>
      <c r="V19" s="2" t="s">
        <v>42</v>
      </c>
      <c r="W19" s="2" t="s">
        <v>35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</row>
    <row r="20" spans="1:35" x14ac:dyDescent="0.25">
      <c r="A20" s="2">
        <v>53</v>
      </c>
      <c r="B20" s="2" t="s">
        <v>43</v>
      </c>
      <c r="C20" s="2" t="s">
        <v>36</v>
      </c>
      <c r="D20" s="2">
        <v>1219</v>
      </c>
      <c r="E20" s="2" t="s">
        <v>37</v>
      </c>
      <c r="F20" s="2">
        <v>2</v>
      </c>
      <c r="G20" s="2">
        <v>4</v>
      </c>
      <c r="H20" s="2" t="s">
        <v>38</v>
      </c>
      <c r="I20" s="2">
        <v>1</v>
      </c>
      <c r="J20" s="2">
        <v>23</v>
      </c>
      <c r="K20" s="2">
        <v>1</v>
      </c>
      <c r="L20" s="2" t="s">
        <v>39</v>
      </c>
      <c r="M20" s="2">
        <v>78</v>
      </c>
      <c r="N20" s="2">
        <v>2</v>
      </c>
      <c r="O20" s="2">
        <v>4</v>
      </c>
      <c r="P20" s="2" t="s">
        <v>56</v>
      </c>
      <c r="Q20" s="2">
        <v>4</v>
      </c>
      <c r="R20" s="2" t="s">
        <v>48</v>
      </c>
      <c r="S20" s="2">
        <v>15427</v>
      </c>
      <c r="T20" s="2">
        <v>22021</v>
      </c>
      <c r="U20" s="2">
        <v>2</v>
      </c>
      <c r="V20" s="2" t="s">
        <v>42</v>
      </c>
      <c r="W20" s="2" t="s">
        <v>43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</row>
    <row r="21" spans="1:35" x14ac:dyDescent="0.25">
      <c r="A21" s="2">
        <v>38</v>
      </c>
      <c r="B21" s="2" t="s">
        <v>43</v>
      </c>
      <c r="C21" s="2" t="s">
        <v>36</v>
      </c>
      <c r="D21" s="2">
        <v>371</v>
      </c>
      <c r="E21" s="2" t="s">
        <v>45</v>
      </c>
      <c r="F21" s="2">
        <v>2</v>
      </c>
      <c r="G21" s="2">
        <v>3</v>
      </c>
      <c r="H21" s="2" t="s">
        <v>38</v>
      </c>
      <c r="I21" s="2">
        <v>1</v>
      </c>
      <c r="J21" s="2">
        <v>24</v>
      </c>
      <c r="K21" s="2">
        <v>4</v>
      </c>
      <c r="L21" s="2" t="s">
        <v>46</v>
      </c>
      <c r="M21" s="2">
        <v>45</v>
      </c>
      <c r="N21" s="2">
        <v>3</v>
      </c>
      <c r="O21" s="2">
        <v>1</v>
      </c>
      <c r="P21" s="2" t="s">
        <v>47</v>
      </c>
      <c r="Q21" s="2">
        <v>4</v>
      </c>
      <c r="R21" s="2" t="s">
        <v>41</v>
      </c>
      <c r="S21" s="2">
        <v>3944</v>
      </c>
      <c r="T21" s="2">
        <v>4306</v>
      </c>
      <c r="U21" s="2">
        <v>5</v>
      </c>
      <c r="V21" s="2" t="s">
        <v>42</v>
      </c>
      <c r="W21" s="2" t="s">
        <v>35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</row>
    <row r="22" spans="1:35" x14ac:dyDescent="0.25">
      <c r="A22" s="2">
        <v>24</v>
      </c>
      <c r="B22" s="2" t="s">
        <v>43</v>
      </c>
      <c r="C22" s="2" t="s">
        <v>55</v>
      </c>
      <c r="D22" s="2">
        <v>673</v>
      </c>
      <c r="E22" s="2" t="s">
        <v>45</v>
      </c>
      <c r="F22" s="2">
        <v>11</v>
      </c>
      <c r="G22" s="2">
        <v>2</v>
      </c>
      <c r="H22" s="2" t="s">
        <v>49</v>
      </c>
      <c r="I22" s="2">
        <v>1</v>
      </c>
      <c r="J22" s="2">
        <v>26</v>
      </c>
      <c r="K22" s="2">
        <v>1</v>
      </c>
      <c r="L22" s="2" t="s">
        <v>39</v>
      </c>
      <c r="M22" s="2">
        <v>96</v>
      </c>
      <c r="N22" s="2">
        <v>4</v>
      </c>
      <c r="O22" s="2">
        <v>2</v>
      </c>
      <c r="P22" s="2" t="s">
        <v>53</v>
      </c>
      <c r="Q22" s="2">
        <v>3</v>
      </c>
      <c r="R22" s="2" t="s">
        <v>52</v>
      </c>
      <c r="S22" s="2">
        <v>4011</v>
      </c>
      <c r="T22" s="2">
        <v>8232</v>
      </c>
      <c r="U22" s="2">
        <v>0</v>
      </c>
      <c r="V22" s="2" t="s">
        <v>42</v>
      </c>
      <c r="W22" s="2" t="s">
        <v>43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</row>
    <row r="23" spans="1:35" x14ac:dyDescent="0.25">
      <c r="A23" s="2">
        <v>36</v>
      </c>
      <c r="B23" s="2" t="s">
        <v>35</v>
      </c>
      <c r="C23" s="2" t="s">
        <v>36</v>
      </c>
      <c r="D23" s="2">
        <v>1218</v>
      </c>
      <c r="E23" s="2" t="s">
        <v>37</v>
      </c>
      <c r="F23" s="2">
        <v>9</v>
      </c>
      <c r="G23" s="2">
        <v>4</v>
      </c>
      <c r="H23" s="2" t="s">
        <v>38</v>
      </c>
      <c r="I23" s="2">
        <v>1</v>
      </c>
      <c r="J23" s="2">
        <v>27</v>
      </c>
      <c r="K23" s="2">
        <v>3</v>
      </c>
      <c r="L23" s="2" t="s">
        <v>46</v>
      </c>
      <c r="M23" s="2">
        <v>82</v>
      </c>
      <c r="N23" s="2">
        <v>2</v>
      </c>
      <c r="O23" s="2">
        <v>1</v>
      </c>
      <c r="P23" s="2" t="s">
        <v>57</v>
      </c>
      <c r="Q23" s="2">
        <v>1</v>
      </c>
      <c r="R23" s="2" t="s">
        <v>41</v>
      </c>
      <c r="S23" s="2">
        <v>3407</v>
      </c>
      <c r="T23" s="2">
        <v>6986</v>
      </c>
      <c r="U23" s="2">
        <v>7</v>
      </c>
      <c r="V23" s="2" t="s">
        <v>42</v>
      </c>
      <c r="W23" s="2" t="s">
        <v>43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</row>
    <row r="24" spans="1:35" x14ac:dyDescent="0.25">
      <c r="A24" s="2">
        <v>34</v>
      </c>
      <c r="B24" s="2" t="s">
        <v>43</v>
      </c>
      <c r="C24" s="2" t="s">
        <v>36</v>
      </c>
      <c r="D24" s="2">
        <v>419</v>
      </c>
      <c r="E24" s="2" t="s">
        <v>45</v>
      </c>
      <c r="F24" s="2">
        <v>7</v>
      </c>
      <c r="G24" s="2">
        <v>4</v>
      </c>
      <c r="H24" s="2" t="s">
        <v>38</v>
      </c>
      <c r="I24" s="2">
        <v>1</v>
      </c>
      <c r="J24" s="2">
        <v>28</v>
      </c>
      <c r="K24" s="2">
        <v>1</v>
      </c>
      <c r="L24" s="2" t="s">
        <v>39</v>
      </c>
      <c r="M24" s="2">
        <v>53</v>
      </c>
      <c r="N24" s="2">
        <v>3</v>
      </c>
      <c r="O24" s="2">
        <v>3</v>
      </c>
      <c r="P24" s="2" t="s">
        <v>58</v>
      </c>
      <c r="Q24" s="2">
        <v>2</v>
      </c>
      <c r="R24" s="2" t="s">
        <v>41</v>
      </c>
      <c r="S24" s="2">
        <v>11994</v>
      </c>
      <c r="T24" s="2">
        <v>21293</v>
      </c>
      <c r="U24" s="2">
        <v>0</v>
      </c>
      <c r="V24" s="2" t="s">
        <v>42</v>
      </c>
      <c r="W24" s="2" t="s">
        <v>43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</row>
    <row r="25" spans="1:35" x14ac:dyDescent="0.25">
      <c r="A25" s="2">
        <v>21</v>
      </c>
      <c r="B25" s="2" t="s">
        <v>43</v>
      </c>
      <c r="C25" s="2" t="s">
        <v>36</v>
      </c>
      <c r="D25" s="2">
        <v>391</v>
      </c>
      <c r="E25" s="2" t="s">
        <v>45</v>
      </c>
      <c r="F25" s="2">
        <v>15</v>
      </c>
      <c r="G25" s="2">
        <v>2</v>
      </c>
      <c r="H25" s="2" t="s">
        <v>38</v>
      </c>
      <c r="I25" s="2">
        <v>1</v>
      </c>
      <c r="J25" s="2">
        <v>30</v>
      </c>
      <c r="K25" s="2">
        <v>3</v>
      </c>
      <c r="L25" s="2" t="s">
        <v>46</v>
      </c>
      <c r="M25" s="2">
        <v>96</v>
      </c>
      <c r="N25" s="2">
        <v>3</v>
      </c>
      <c r="O25" s="2">
        <v>1</v>
      </c>
      <c r="P25" s="2" t="s">
        <v>47</v>
      </c>
      <c r="Q25" s="2">
        <v>4</v>
      </c>
      <c r="R25" s="2" t="s">
        <v>41</v>
      </c>
      <c r="S25" s="2">
        <v>1232</v>
      </c>
      <c r="T25" s="2">
        <v>19281</v>
      </c>
      <c r="U25" s="2">
        <v>1</v>
      </c>
      <c r="V25" s="2" t="s">
        <v>42</v>
      </c>
      <c r="W25" s="2" t="s">
        <v>43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</row>
    <row r="26" spans="1:35" x14ac:dyDescent="0.25">
      <c r="A26" s="2">
        <v>34</v>
      </c>
      <c r="B26" s="2" t="s">
        <v>35</v>
      </c>
      <c r="C26" s="2" t="s">
        <v>36</v>
      </c>
      <c r="D26" s="2">
        <v>699</v>
      </c>
      <c r="E26" s="2" t="s">
        <v>45</v>
      </c>
      <c r="F26" s="2">
        <v>6</v>
      </c>
      <c r="G26" s="2">
        <v>1</v>
      </c>
      <c r="H26" s="2" t="s">
        <v>51</v>
      </c>
      <c r="I26" s="2">
        <v>1</v>
      </c>
      <c r="J26" s="2">
        <v>31</v>
      </c>
      <c r="K26" s="2">
        <v>2</v>
      </c>
      <c r="L26" s="2" t="s">
        <v>46</v>
      </c>
      <c r="M26" s="2">
        <v>83</v>
      </c>
      <c r="N26" s="2">
        <v>3</v>
      </c>
      <c r="O26" s="2">
        <v>1</v>
      </c>
      <c r="P26" s="2" t="s">
        <v>47</v>
      </c>
      <c r="Q26" s="2">
        <v>1</v>
      </c>
      <c r="R26" s="2" t="s">
        <v>41</v>
      </c>
      <c r="S26" s="2">
        <v>2960</v>
      </c>
      <c r="T26" s="2">
        <v>17102</v>
      </c>
      <c r="U26" s="2">
        <v>2</v>
      </c>
      <c r="V26" s="2" t="s">
        <v>42</v>
      </c>
      <c r="W26" s="2" t="s">
        <v>43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</row>
    <row r="27" spans="1:35" x14ac:dyDescent="0.25">
      <c r="A27" s="2">
        <v>53</v>
      </c>
      <c r="B27" s="2" t="s">
        <v>43</v>
      </c>
      <c r="C27" s="2" t="s">
        <v>36</v>
      </c>
      <c r="D27" s="2">
        <v>1282</v>
      </c>
      <c r="E27" s="2" t="s">
        <v>45</v>
      </c>
      <c r="F27" s="2">
        <v>5</v>
      </c>
      <c r="G27" s="2">
        <v>3</v>
      </c>
      <c r="H27" s="2" t="s">
        <v>49</v>
      </c>
      <c r="I27" s="2">
        <v>1</v>
      </c>
      <c r="J27" s="2">
        <v>32</v>
      </c>
      <c r="K27" s="2">
        <v>3</v>
      </c>
      <c r="L27" s="2" t="s">
        <v>39</v>
      </c>
      <c r="M27" s="2">
        <v>58</v>
      </c>
      <c r="N27" s="2">
        <v>3</v>
      </c>
      <c r="O27" s="2">
        <v>5</v>
      </c>
      <c r="P27" s="2" t="s">
        <v>56</v>
      </c>
      <c r="Q27" s="2">
        <v>3</v>
      </c>
      <c r="R27" s="2" t="s">
        <v>52</v>
      </c>
      <c r="S27" s="2">
        <v>19094</v>
      </c>
      <c r="T27" s="2">
        <v>10735</v>
      </c>
      <c r="U27" s="2">
        <v>4</v>
      </c>
      <c r="V27" s="2" t="s">
        <v>42</v>
      </c>
      <c r="W27" s="2" t="s">
        <v>43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</row>
    <row r="28" spans="1:35" x14ac:dyDescent="0.25">
      <c r="A28" s="2">
        <v>32</v>
      </c>
      <c r="B28" s="2" t="s">
        <v>35</v>
      </c>
      <c r="C28" s="2" t="s">
        <v>44</v>
      </c>
      <c r="D28" s="2">
        <v>1125</v>
      </c>
      <c r="E28" s="2" t="s">
        <v>45</v>
      </c>
      <c r="F28" s="2">
        <v>16</v>
      </c>
      <c r="G28" s="2">
        <v>1</v>
      </c>
      <c r="H28" s="2" t="s">
        <v>38</v>
      </c>
      <c r="I28" s="2">
        <v>1</v>
      </c>
      <c r="J28" s="2">
        <v>33</v>
      </c>
      <c r="K28" s="2">
        <v>2</v>
      </c>
      <c r="L28" s="2" t="s">
        <v>39</v>
      </c>
      <c r="M28" s="2">
        <v>72</v>
      </c>
      <c r="N28" s="2">
        <v>1</v>
      </c>
      <c r="O28" s="2">
        <v>1</v>
      </c>
      <c r="P28" s="2" t="s">
        <v>47</v>
      </c>
      <c r="Q28" s="2">
        <v>1</v>
      </c>
      <c r="R28" s="2" t="s">
        <v>41</v>
      </c>
      <c r="S28" s="2">
        <v>3919</v>
      </c>
      <c r="T28" s="2">
        <v>4681</v>
      </c>
      <c r="U28" s="2">
        <v>1</v>
      </c>
      <c r="V28" s="2" t="s">
        <v>42</v>
      </c>
      <c r="W28" s="2" t="s">
        <v>35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</row>
    <row r="29" spans="1:35" x14ac:dyDescent="0.25">
      <c r="A29" s="2">
        <v>42</v>
      </c>
      <c r="B29" s="2" t="s">
        <v>43</v>
      </c>
      <c r="C29" s="2" t="s">
        <v>36</v>
      </c>
      <c r="D29" s="2">
        <v>691</v>
      </c>
      <c r="E29" s="2" t="s">
        <v>37</v>
      </c>
      <c r="F29" s="2">
        <v>8</v>
      </c>
      <c r="G29" s="2">
        <v>4</v>
      </c>
      <c r="H29" s="2" t="s">
        <v>59</v>
      </c>
      <c r="I29" s="2">
        <v>1</v>
      </c>
      <c r="J29" s="2">
        <v>35</v>
      </c>
      <c r="K29" s="2">
        <v>3</v>
      </c>
      <c r="L29" s="2" t="s">
        <v>46</v>
      </c>
      <c r="M29" s="2">
        <v>48</v>
      </c>
      <c r="N29" s="2">
        <v>3</v>
      </c>
      <c r="O29" s="2">
        <v>2</v>
      </c>
      <c r="P29" s="2" t="s">
        <v>40</v>
      </c>
      <c r="Q29" s="2">
        <v>2</v>
      </c>
      <c r="R29" s="2" t="s">
        <v>48</v>
      </c>
      <c r="S29" s="2">
        <v>6825</v>
      </c>
      <c r="T29" s="2">
        <v>21173</v>
      </c>
      <c r="U29" s="2">
        <v>0</v>
      </c>
      <c r="V29" s="2" t="s">
        <v>42</v>
      </c>
      <c r="W29" s="2" t="s">
        <v>43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</row>
    <row r="30" spans="1:35" x14ac:dyDescent="0.25">
      <c r="A30" s="2">
        <v>44</v>
      </c>
      <c r="B30" s="2" t="s">
        <v>43</v>
      </c>
      <c r="C30" s="2" t="s">
        <v>36</v>
      </c>
      <c r="D30" s="2">
        <v>477</v>
      </c>
      <c r="E30" s="2" t="s">
        <v>45</v>
      </c>
      <c r="F30" s="2">
        <v>7</v>
      </c>
      <c r="G30" s="2">
        <v>4</v>
      </c>
      <c r="H30" s="2" t="s">
        <v>51</v>
      </c>
      <c r="I30" s="2">
        <v>1</v>
      </c>
      <c r="J30" s="2">
        <v>36</v>
      </c>
      <c r="K30" s="2">
        <v>1</v>
      </c>
      <c r="L30" s="2" t="s">
        <v>39</v>
      </c>
      <c r="M30" s="2">
        <v>42</v>
      </c>
      <c r="N30" s="2">
        <v>2</v>
      </c>
      <c r="O30" s="2">
        <v>3</v>
      </c>
      <c r="P30" s="2" t="s">
        <v>54</v>
      </c>
      <c r="Q30" s="2">
        <v>4</v>
      </c>
      <c r="R30" s="2" t="s">
        <v>48</v>
      </c>
      <c r="S30" s="2">
        <v>10248</v>
      </c>
      <c r="T30" s="2">
        <v>2094</v>
      </c>
      <c r="U30" s="2">
        <v>3</v>
      </c>
      <c r="V30" s="2" t="s">
        <v>42</v>
      </c>
      <c r="W30" s="2" t="s">
        <v>43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</row>
    <row r="31" spans="1:35" x14ac:dyDescent="0.25">
      <c r="A31" s="2">
        <v>46</v>
      </c>
      <c r="B31" s="2" t="s">
        <v>43</v>
      </c>
      <c r="C31" s="2" t="s">
        <v>36</v>
      </c>
      <c r="D31" s="2">
        <v>705</v>
      </c>
      <c r="E31" s="2" t="s">
        <v>37</v>
      </c>
      <c r="F31" s="2">
        <v>2</v>
      </c>
      <c r="G31" s="2">
        <v>4</v>
      </c>
      <c r="H31" s="2" t="s">
        <v>59</v>
      </c>
      <c r="I31" s="2">
        <v>1</v>
      </c>
      <c r="J31" s="2">
        <v>38</v>
      </c>
      <c r="K31" s="2">
        <v>2</v>
      </c>
      <c r="L31" s="2" t="s">
        <v>39</v>
      </c>
      <c r="M31" s="2">
        <v>83</v>
      </c>
      <c r="N31" s="2">
        <v>3</v>
      </c>
      <c r="O31" s="2">
        <v>5</v>
      </c>
      <c r="P31" s="2" t="s">
        <v>56</v>
      </c>
      <c r="Q31" s="2">
        <v>1</v>
      </c>
      <c r="R31" s="2" t="s">
        <v>41</v>
      </c>
      <c r="S31" s="2">
        <v>18947</v>
      </c>
      <c r="T31" s="2">
        <v>22822</v>
      </c>
      <c r="U31" s="2">
        <v>3</v>
      </c>
      <c r="V31" s="2" t="s">
        <v>42</v>
      </c>
      <c r="W31" s="2" t="s">
        <v>43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</row>
    <row r="32" spans="1:35" x14ac:dyDescent="0.25">
      <c r="A32" s="2">
        <v>33</v>
      </c>
      <c r="B32" s="2" t="s">
        <v>43</v>
      </c>
      <c r="C32" s="2" t="s">
        <v>36</v>
      </c>
      <c r="D32" s="2">
        <v>924</v>
      </c>
      <c r="E32" s="2" t="s">
        <v>45</v>
      </c>
      <c r="F32" s="2">
        <v>2</v>
      </c>
      <c r="G32" s="2">
        <v>3</v>
      </c>
      <c r="H32" s="2" t="s">
        <v>51</v>
      </c>
      <c r="I32" s="2">
        <v>1</v>
      </c>
      <c r="J32" s="2">
        <v>39</v>
      </c>
      <c r="K32" s="2">
        <v>3</v>
      </c>
      <c r="L32" s="2" t="s">
        <v>46</v>
      </c>
      <c r="M32" s="2">
        <v>78</v>
      </c>
      <c r="N32" s="2">
        <v>3</v>
      </c>
      <c r="O32" s="2">
        <v>1</v>
      </c>
      <c r="P32" s="2" t="s">
        <v>50</v>
      </c>
      <c r="Q32" s="2">
        <v>4</v>
      </c>
      <c r="R32" s="2" t="s">
        <v>41</v>
      </c>
      <c r="S32" s="2">
        <v>2496</v>
      </c>
      <c r="T32" s="2">
        <v>6670</v>
      </c>
      <c r="U32" s="2">
        <v>4</v>
      </c>
      <c r="V32" s="2" t="s">
        <v>42</v>
      </c>
      <c r="W32" s="2" t="s">
        <v>43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</row>
    <row r="33" spans="1:35" x14ac:dyDescent="0.25">
      <c r="A33" s="2">
        <v>44</v>
      </c>
      <c r="B33" s="2" t="s">
        <v>43</v>
      </c>
      <c r="C33" s="2" t="s">
        <v>36</v>
      </c>
      <c r="D33" s="2">
        <v>1459</v>
      </c>
      <c r="E33" s="2" t="s">
        <v>45</v>
      </c>
      <c r="F33" s="2">
        <v>10</v>
      </c>
      <c r="G33" s="2">
        <v>4</v>
      </c>
      <c r="H33" s="2" t="s">
        <v>49</v>
      </c>
      <c r="I33" s="2">
        <v>1</v>
      </c>
      <c r="J33" s="2">
        <v>40</v>
      </c>
      <c r="K33" s="2">
        <v>4</v>
      </c>
      <c r="L33" s="2" t="s">
        <v>46</v>
      </c>
      <c r="M33" s="2">
        <v>41</v>
      </c>
      <c r="N33" s="2">
        <v>3</v>
      </c>
      <c r="O33" s="2">
        <v>2</v>
      </c>
      <c r="P33" s="2" t="s">
        <v>54</v>
      </c>
      <c r="Q33" s="2">
        <v>4</v>
      </c>
      <c r="R33" s="2" t="s">
        <v>48</v>
      </c>
      <c r="S33" s="2">
        <v>6465</v>
      </c>
      <c r="T33" s="2">
        <v>19121</v>
      </c>
      <c r="U33" s="2">
        <v>2</v>
      </c>
      <c r="V33" s="2" t="s">
        <v>42</v>
      </c>
      <c r="W33" s="2" t="s">
        <v>35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</row>
    <row r="34" spans="1:35" x14ac:dyDescent="0.25">
      <c r="A34" s="2">
        <v>30</v>
      </c>
      <c r="B34" s="2" t="s">
        <v>43</v>
      </c>
      <c r="C34" s="2" t="s">
        <v>36</v>
      </c>
      <c r="D34" s="2">
        <v>125</v>
      </c>
      <c r="E34" s="2" t="s">
        <v>45</v>
      </c>
      <c r="F34" s="2">
        <v>9</v>
      </c>
      <c r="G34" s="2">
        <v>2</v>
      </c>
      <c r="H34" s="2" t="s">
        <v>51</v>
      </c>
      <c r="I34" s="2">
        <v>1</v>
      </c>
      <c r="J34" s="2">
        <v>41</v>
      </c>
      <c r="K34" s="2">
        <v>4</v>
      </c>
      <c r="L34" s="2" t="s">
        <v>46</v>
      </c>
      <c r="M34" s="2">
        <v>83</v>
      </c>
      <c r="N34" s="2">
        <v>2</v>
      </c>
      <c r="O34" s="2">
        <v>1</v>
      </c>
      <c r="P34" s="2" t="s">
        <v>50</v>
      </c>
      <c r="Q34" s="2">
        <v>3</v>
      </c>
      <c r="R34" s="2" t="s">
        <v>41</v>
      </c>
      <c r="S34" s="2">
        <v>2206</v>
      </c>
      <c r="T34" s="2">
        <v>16117</v>
      </c>
      <c r="U34" s="2">
        <v>1</v>
      </c>
      <c r="V34" s="2" t="s">
        <v>42</v>
      </c>
      <c r="W34" s="2" t="s">
        <v>43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</row>
    <row r="35" spans="1:35" x14ac:dyDescent="0.25">
      <c r="A35" s="2">
        <v>39</v>
      </c>
      <c r="B35" s="2" t="s">
        <v>35</v>
      </c>
      <c r="C35" s="2" t="s">
        <v>36</v>
      </c>
      <c r="D35" s="2">
        <v>895</v>
      </c>
      <c r="E35" s="2" t="s">
        <v>37</v>
      </c>
      <c r="F35" s="2">
        <v>5</v>
      </c>
      <c r="G35" s="2">
        <v>3</v>
      </c>
      <c r="H35" s="2" t="s">
        <v>60</v>
      </c>
      <c r="I35" s="2">
        <v>1</v>
      </c>
      <c r="J35" s="2">
        <v>42</v>
      </c>
      <c r="K35" s="2">
        <v>4</v>
      </c>
      <c r="L35" s="2" t="s">
        <v>46</v>
      </c>
      <c r="M35" s="2">
        <v>56</v>
      </c>
      <c r="N35" s="2">
        <v>3</v>
      </c>
      <c r="O35" s="2">
        <v>2</v>
      </c>
      <c r="P35" s="2" t="s">
        <v>57</v>
      </c>
      <c r="Q35" s="2">
        <v>4</v>
      </c>
      <c r="R35" s="2" t="s">
        <v>48</v>
      </c>
      <c r="S35" s="2">
        <v>2086</v>
      </c>
      <c r="T35" s="2">
        <v>3335</v>
      </c>
      <c r="U35" s="2">
        <v>3</v>
      </c>
      <c r="V35" s="2" t="s">
        <v>42</v>
      </c>
      <c r="W35" s="2" t="s">
        <v>43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</row>
    <row r="36" spans="1:35" x14ac:dyDescent="0.25">
      <c r="A36" s="2">
        <v>24</v>
      </c>
      <c r="B36" s="2" t="s">
        <v>35</v>
      </c>
      <c r="C36" s="2" t="s">
        <v>36</v>
      </c>
      <c r="D36" s="2">
        <v>813</v>
      </c>
      <c r="E36" s="2" t="s">
        <v>45</v>
      </c>
      <c r="F36" s="2">
        <v>1</v>
      </c>
      <c r="G36" s="2">
        <v>3</v>
      </c>
      <c r="H36" s="2" t="s">
        <v>51</v>
      </c>
      <c r="I36" s="2">
        <v>1</v>
      </c>
      <c r="J36" s="2">
        <v>45</v>
      </c>
      <c r="K36" s="2">
        <v>2</v>
      </c>
      <c r="L36" s="2" t="s">
        <v>46</v>
      </c>
      <c r="M36" s="2">
        <v>61</v>
      </c>
      <c r="N36" s="2">
        <v>3</v>
      </c>
      <c r="O36" s="2">
        <v>1</v>
      </c>
      <c r="P36" s="2" t="s">
        <v>47</v>
      </c>
      <c r="Q36" s="2">
        <v>4</v>
      </c>
      <c r="R36" s="2" t="s">
        <v>48</v>
      </c>
      <c r="S36" s="2">
        <v>2293</v>
      </c>
      <c r="T36" s="2">
        <v>3020</v>
      </c>
      <c r="U36" s="2">
        <v>2</v>
      </c>
      <c r="V36" s="2" t="s">
        <v>42</v>
      </c>
      <c r="W36" s="2" t="s">
        <v>35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</row>
    <row r="37" spans="1:35" x14ac:dyDescent="0.25">
      <c r="A37" s="2">
        <v>43</v>
      </c>
      <c r="B37" s="2" t="s">
        <v>43</v>
      </c>
      <c r="C37" s="2" t="s">
        <v>36</v>
      </c>
      <c r="D37" s="2">
        <v>1273</v>
      </c>
      <c r="E37" s="2" t="s">
        <v>45</v>
      </c>
      <c r="F37" s="2">
        <v>2</v>
      </c>
      <c r="G37" s="2">
        <v>2</v>
      </c>
      <c r="H37" s="2" t="s">
        <v>51</v>
      </c>
      <c r="I37" s="2">
        <v>1</v>
      </c>
      <c r="J37" s="2">
        <v>46</v>
      </c>
      <c r="K37" s="2">
        <v>4</v>
      </c>
      <c r="L37" s="2" t="s">
        <v>39</v>
      </c>
      <c r="M37" s="2">
        <v>72</v>
      </c>
      <c r="N37" s="2">
        <v>4</v>
      </c>
      <c r="O37" s="2">
        <v>1</v>
      </c>
      <c r="P37" s="2" t="s">
        <v>47</v>
      </c>
      <c r="Q37" s="2">
        <v>3</v>
      </c>
      <c r="R37" s="2" t="s">
        <v>52</v>
      </c>
      <c r="S37" s="2">
        <v>2645</v>
      </c>
      <c r="T37" s="2">
        <v>21923</v>
      </c>
      <c r="U37" s="2">
        <v>1</v>
      </c>
      <c r="V37" s="2" t="s">
        <v>42</v>
      </c>
      <c r="W37" s="2" t="s">
        <v>43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</row>
    <row r="38" spans="1:35" x14ac:dyDescent="0.25">
      <c r="A38" s="2">
        <v>50</v>
      </c>
      <c r="B38" s="2" t="s">
        <v>35</v>
      </c>
      <c r="C38" s="2" t="s">
        <v>36</v>
      </c>
      <c r="D38" s="2">
        <v>869</v>
      </c>
      <c r="E38" s="2" t="s">
        <v>37</v>
      </c>
      <c r="F38" s="2">
        <v>3</v>
      </c>
      <c r="G38" s="2">
        <v>2</v>
      </c>
      <c r="H38" s="2" t="s">
        <v>59</v>
      </c>
      <c r="I38" s="2">
        <v>1</v>
      </c>
      <c r="J38" s="2">
        <v>47</v>
      </c>
      <c r="K38" s="2">
        <v>1</v>
      </c>
      <c r="L38" s="2" t="s">
        <v>46</v>
      </c>
      <c r="M38" s="2">
        <v>86</v>
      </c>
      <c r="N38" s="2">
        <v>2</v>
      </c>
      <c r="O38" s="2">
        <v>1</v>
      </c>
      <c r="P38" s="2" t="s">
        <v>57</v>
      </c>
      <c r="Q38" s="2">
        <v>3</v>
      </c>
      <c r="R38" s="2" t="s">
        <v>48</v>
      </c>
      <c r="S38" s="2">
        <v>2683</v>
      </c>
      <c r="T38" s="2">
        <v>3810</v>
      </c>
      <c r="U38" s="2">
        <v>1</v>
      </c>
      <c r="V38" s="2" t="s">
        <v>42</v>
      </c>
      <c r="W38" s="2" t="s">
        <v>35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</row>
    <row r="39" spans="1:35" x14ac:dyDescent="0.25">
      <c r="A39" s="2">
        <v>35</v>
      </c>
      <c r="B39" s="2" t="s">
        <v>43</v>
      </c>
      <c r="C39" s="2" t="s">
        <v>36</v>
      </c>
      <c r="D39" s="2">
        <v>890</v>
      </c>
      <c r="E39" s="2" t="s">
        <v>37</v>
      </c>
      <c r="F39" s="2">
        <v>2</v>
      </c>
      <c r="G39" s="2">
        <v>3</v>
      </c>
      <c r="H39" s="2" t="s">
        <v>59</v>
      </c>
      <c r="I39" s="2">
        <v>1</v>
      </c>
      <c r="J39" s="2">
        <v>49</v>
      </c>
      <c r="K39" s="2">
        <v>4</v>
      </c>
      <c r="L39" s="2" t="s">
        <v>39</v>
      </c>
      <c r="M39" s="2">
        <v>97</v>
      </c>
      <c r="N39" s="2">
        <v>3</v>
      </c>
      <c r="O39" s="2">
        <v>1</v>
      </c>
      <c r="P39" s="2" t="s">
        <v>57</v>
      </c>
      <c r="Q39" s="2">
        <v>4</v>
      </c>
      <c r="R39" s="2" t="s">
        <v>48</v>
      </c>
      <c r="S39" s="2">
        <v>2014</v>
      </c>
      <c r="T39" s="2">
        <v>9687</v>
      </c>
      <c r="U39" s="2">
        <v>1</v>
      </c>
      <c r="V39" s="2" t="s">
        <v>42</v>
      </c>
      <c r="W39" s="2" t="s">
        <v>43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</row>
    <row r="40" spans="1:35" x14ac:dyDescent="0.25">
      <c r="A40" s="2">
        <v>36</v>
      </c>
      <c r="B40" s="2" t="s">
        <v>43</v>
      </c>
      <c r="C40" s="2" t="s">
        <v>36</v>
      </c>
      <c r="D40" s="2">
        <v>852</v>
      </c>
      <c r="E40" s="2" t="s">
        <v>45</v>
      </c>
      <c r="F40" s="2">
        <v>5</v>
      </c>
      <c r="G40" s="2">
        <v>4</v>
      </c>
      <c r="H40" s="2" t="s">
        <v>38</v>
      </c>
      <c r="I40" s="2">
        <v>1</v>
      </c>
      <c r="J40" s="2">
        <v>51</v>
      </c>
      <c r="K40" s="2">
        <v>2</v>
      </c>
      <c r="L40" s="2" t="s">
        <v>39</v>
      </c>
      <c r="M40" s="2">
        <v>82</v>
      </c>
      <c r="N40" s="2">
        <v>2</v>
      </c>
      <c r="O40" s="2">
        <v>1</v>
      </c>
      <c r="P40" s="2" t="s">
        <v>47</v>
      </c>
      <c r="Q40" s="2">
        <v>1</v>
      </c>
      <c r="R40" s="2" t="s">
        <v>48</v>
      </c>
      <c r="S40" s="2">
        <v>3419</v>
      </c>
      <c r="T40" s="2">
        <v>13072</v>
      </c>
      <c r="U40" s="2">
        <v>9</v>
      </c>
      <c r="V40" s="2" t="s">
        <v>42</v>
      </c>
      <c r="W40" s="2" t="s">
        <v>35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</row>
    <row r="41" spans="1:35" x14ac:dyDescent="0.25">
      <c r="A41" s="2">
        <v>33</v>
      </c>
      <c r="B41" s="2" t="s">
        <v>43</v>
      </c>
      <c r="C41" s="2" t="s">
        <v>44</v>
      </c>
      <c r="D41" s="2">
        <v>1141</v>
      </c>
      <c r="E41" s="2" t="s">
        <v>37</v>
      </c>
      <c r="F41" s="2">
        <v>1</v>
      </c>
      <c r="G41" s="2">
        <v>3</v>
      </c>
      <c r="H41" s="2" t="s">
        <v>38</v>
      </c>
      <c r="I41" s="2">
        <v>1</v>
      </c>
      <c r="J41" s="2">
        <v>52</v>
      </c>
      <c r="K41" s="2">
        <v>3</v>
      </c>
      <c r="L41" s="2" t="s">
        <v>39</v>
      </c>
      <c r="M41" s="2">
        <v>42</v>
      </c>
      <c r="N41" s="2">
        <v>4</v>
      </c>
      <c r="O41" s="2">
        <v>2</v>
      </c>
      <c r="P41" s="2" t="s">
        <v>40</v>
      </c>
      <c r="Q41" s="2">
        <v>1</v>
      </c>
      <c r="R41" s="2" t="s">
        <v>48</v>
      </c>
      <c r="S41" s="2">
        <v>5376</v>
      </c>
      <c r="T41" s="2">
        <v>3193</v>
      </c>
      <c r="U41" s="2">
        <v>2</v>
      </c>
      <c r="V41" s="2" t="s">
        <v>42</v>
      </c>
      <c r="W41" s="2" t="s">
        <v>43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</row>
    <row r="42" spans="1:35" x14ac:dyDescent="0.25">
      <c r="A42" s="2">
        <v>35</v>
      </c>
      <c r="B42" s="2" t="s">
        <v>43</v>
      </c>
      <c r="C42" s="2" t="s">
        <v>36</v>
      </c>
      <c r="D42" s="2">
        <v>464</v>
      </c>
      <c r="E42" s="2" t="s">
        <v>45</v>
      </c>
      <c r="F42" s="2">
        <v>4</v>
      </c>
      <c r="G42" s="2">
        <v>2</v>
      </c>
      <c r="H42" s="2" t="s">
        <v>49</v>
      </c>
      <c r="I42" s="2">
        <v>1</v>
      </c>
      <c r="J42" s="2">
        <v>53</v>
      </c>
      <c r="K42" s="2">
        <v>3</v>
      </c>
      <c r="L42" s="2" t="s">
        <v>46</v>
      </c>
      <c r="M42" s="2">
        <v>75</v>
      </c>
      <c r="N42" s="2">
        <v>3</v>
      </c>
      <c r="O42" s="2">
        <v>1</v>
      </c>
      <c r="P42" s="2" t="s">
        <v>50</v>
      </c>
      <c r="Q42" s="2">
        <v>4</v>
      </c>
      <c r="R42" s="2" t="s">
        <v>52</v>
      </c>
      <c r="S42" s="2">
        <v>1951</v>
      </c>
      <c r="T42" s="2">
        <v>10910</v>
      </c>
      <c r="U42" s="2">
        <v>1</v>
      </c>
      <c r="V42" s="2" t="s">
        <v>42</v>
      </c>
      <c r="W42" s="2" t="s">
        <v>43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</row>
    <row r="43" spans="1:35" x14ac:dyDescent="0.25">
      <c r="A43" s="2">
        <v>27</v>
      </c>
      <c r="B43" s="2" t="s">
        <v>43</v>
      </c>
      <c r="C43" s="2" t="s">
        <v>36</v>
      </c>
      <c r="D43" s="2">
        <v>1240</v>
      </c>
      <c r="E43" s="2" t="s">
        <v>45</v>
      </c>
      <c r="F43" s="2">
        <v>2</v>
      </c>
      <c r="G43" s="2">
        <v>4</v>
      </c>
      <c r="H43" s="2" t="s">
        <v>38</v>
      </c>
      <c r="I43" s="2">
        <v>1</v>
      </c>
      <c r="J43" s="2">
        <v>54</v>
      </c>
      <c r="K43" s="2">
        <v>4</v>
      </c>
      <c r="L43" s="2" t="s">
        <v>39</v>
      </c>
      <c r="M43" s="2">
        <v>33</v>
      </c>
      <c r="N43" s="2">
        <v>3</v>
      </c>
      <c r="O43" s="2">
        <v>1</v>
      </c>
      <c r="P43" s="2" t="s">
        <v>50</v>
      </c>
      <c r="Q43" s="2">
        <v>1</v>
      </c>
      <c r="R43" s="2" t="s">
        <v>52</v>
      </c>
      <c r="S43" s="2">
        <v>2341</v>
      </c>
      <c r="T43" s="2">
        <v>19715</v>
      </c>
      <c r="U43" s="2">
        <v>1</v>
      </c>
      <c r="V43" s="2" t="s">
        <v>42</v>
      </c>
      <c r="W43" s="2" t="s">
        <v>43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</row>
    <row r="44" spans="1:35" x14ac:dyDescent="0.25">
      <c r="A44" s="2">
        <v>26</v>
      </c>
      <c r="B44" s="2" t="s">
        <v>35</v>
      </c>
      <c r="C44" s="2" t="s">
        <v>36</v>
      </c>
      <c r="D44" s="2">
        <v>1357</v>
      </c>
      <c r="E44" s="2" t="s">
        <v>45</v>
      </c>
      <c r="F44" s="2">
        <v>25</v>
      </c>
      <c r="G44" s="2">
        <v>3</v>
      </c>
      <c r="H44" s="2" t="s">
        <v>38</v>
      </c>
      <c r="I44" s="2">
        <v>1</v>
      </c>
      <c r="J44" s="2">
        <v>55</v>
      </c>
      <c r="K44" s="2">
        <v>1</v>
      </c>
      <c r="L44" s="2" t="s">
        <v>46</v>
      </c>
      <c r="M44" s="2">
        <v>48</v>
      </c>
      <c r="N44" s="2">
        <v>1</v>
      </c>
      <c r="O44" s="2">
        <v>1</v>
      </c>
      <c r="P44" s="2" t="s">
        <v>50</v>
      </c>
      <c r="Q44" s="2">
        <v>3</v>
      </c>
      <c r="R44" s="2" t="s">
        <v>41</v>
      </c>
      <c r="S44" s="2">
        <v>2293</v>
      </c>
      <c r="T44" s="2">
        <v>10558</v>
      </c>
      <c r="U44" s="2">
        <v>1</v>
      </c>
      <c r="V44" s="2" t="s">
        <v>42</v>
      </c>
      <c r="W44" s="2" t="s">
        <v>43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</row>
    <row r="45" spans="1:35" x14ac:dyDescent="0.25">
      <c r="A45" s="2">
        <v>27</v>
      </c>
      <c r="B45" s="2" t="s">
        <v>43</v>
      </c>
      <c r="C45" s="2" t="s">
        <v>44</v>
      </c>
      <c r="D45" s="2">
        <v>994</v>
      </c>
      <c r="E45" s="2" t="s">
        <v>37</v>
      </c>
      <c r="F45" s="2">
        <v>8</v>
      </c>
      <c r="G45" s="2">
        <v>3</v>
      </c>
      <c r="H45" s="2" t="s">
        <v>38</v>
      </c>
      <c r="I45" s="2">
        <v>1</v>
      </c>
      <c r="J45" s="2">
        <v>56</v>
      </c>
      <c r="K45" s="2">
        <v>4</v>
      </c>
      <c r="L45" s="2" t="s">
        <v>46</v>
      </c>
      <c r="M45" s="2">
        <v>37</v>
      </c>
      <c r="N45" s="2">
        <v>3</v>
      </c>
      <c r="O45" s="2">
        <v>3</v>
      </c>
      <c r="P45" s="2" t="s">
        <v>40</v>
      </c>
      <c r="Q45" s="2">
        <v>3</v>
      </c>
      <c r="R45" s="2" t="s">
        <v>41</v>
      </c>
      <c r="S45" s="2">
        <v>8726</v>
      </c>
      <c r="T45" s="2">
        <v>2975</v>
      </c>
      <c r="U45" s="2">
        <v>1</v>
      </c>
      <c r="V45" s="2" t="s">
        <v>42</v>
      </c>
      <c r="W45" s="2" t="s">
        <v>43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</row>
    <row r="46" spans="1:35" x14ac:dyDescent="0.25">
      <c r="A46" s="2">
        <v>30</v>
      </c>
      <c r="B46" s="2" t="s">
        <v>43</v>
      </c>
      <c r="C46" s="2" t="s">
        <v>44</v>
      </c>
      <c r="D46" s="2">
        <v>721</v>
      </c>
      <c r="E46" s="2" t="s">
        <v>45</v>
      </c>
      <c r="F46" s="2">
        <v>1</v>
      </c>
      <c r="G46" s="2">
        <v>2</v>
      </c>
      <c r="H46" s="2" t="s">
        <v>51</v>
      </c>
      <c r="I46" s="2">
        <v>1</v>
      </c>
      <c r="J46" s="2">
        <v>57</v>
      </c>
      <c r="K46" s="2">
        <v>3</v>
      </c>
      <c r="L46" s="2" t="s">
        <v>39</v>
      </c>
      <c r="M46" s="2">
        <v>58</v>
      </c>
      <c r="N46" s="2">
        <v>3</v>
      </c>
      <c r="O46" s="2">
        <v>2</v>
      </c>
      <c r="P46" s="2" t="s">
        <v>50</v>
      </c>
      <c r="Q46" s="2">
        <v>4</v>
      </c>
      <c r="R46" s="2" t="s">
        <v>41</v>
      </c>
      <c r="S46" s="2">
        <v>4011</v>
      </c>
      <c r="T46" s="2">
        <v>10781</v>
      </c>
      <c r="U46" s="2">
        <v>1</v>
      </c>
      <c r="V46" s="2" t="s">
        <v>42</v>
      </c>
      <c r="W46" s="2" t="s">
        <v>43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</row>
    <row r="47" spans="1:35" x14ac:dyDescent="0.25">
      <c r="A47" s="2">
        <v>41</v>
      </c>
      <c r="B47" s="2" t="s">
        <v>35</v>
      </c>
      <c r="C47" s="2" t="s">
        <v>36</v>
      </c>
      <c r="D47" s="2">
        <v>1360</v>
      </c>
      <c r="E47" s="2" t="s">
        <v>45</v>
      </c>
      <c r="F47" s="2">
        <v>12</v>
      </c>
      <c r="G47" s="2">
        <v>3</v>
      </c>
      <c r="H47" s="2" t="s">
        <v>60</v>
      </c>
      <c r="I47" s="2">
        <v>1</v>
      </c>
      <c r="J47" s="2">
        <v>58</v>
      </c>
      <c r="K47" s="2">
        <v>2</v>
      </c>
      <c r="L47" s="2" t="s">
        <v>39</v>
      </c>
      <c r="M47" s="2">
        <v>49</v>
      </c>
      <c r="N47" s="2">
        <v>3</v>
      </c>
      <c r="O47" s="2">
        <v>5</v>
      </c>
      <c r="P47" s="2" t="s">
        <v>58</v>
      </c>
      <c r="Q47" s="2">
        <v>3</v>
      </c>
      <c r="R47" s="2" t="s">
        <v>48</v>
      </c>
      <c r="S47" s="2">
        <v>19545</v>
      </c>
      <c r="T47" s="2">
        <v>16280</v>
      </c>
      <c r="U47" s="2">
        <v>1</v>
      </c>
      <c r="V47" s="2" t="s">
        <v>42</v>
      </c>
      <c r="W47" s="2" t="s">
        <v>43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</row>
    <row r="48" spans="1:35" x14ac:dyDescent="0.25">
      <c r="A48" s="2">
        <v>34</v>
      </c>
      <c r="B48" s="2" t="s">
        <v>43</v>
      </c>
      <c r="C48" s="2" t="s">
        <v>55</v>
      </c>
      <c r="D48" s="2">
        <v>1065</v>
      </c>
      <c r="E48" s="2" t="s">
        <v>37</v>
      </c>
      <c r="F48" s="2">
        <v>23</v>
      </c>
      <c r="G48" s="2">
        <v>4</v>
      </c>
      <c r="H48" s="2" t="s">
        <v>59</v>
      </c>
      <c r="I48" s="2">
        <v>1</v>
      </c>
      <c r="J48" s="2">
        <v>60</v>
      </c>
      <c r="K48" s="2">
        <v>2</v>
      </c>
      <c r="L48" s="2" t="s">
        <v>46</v>
      </c>
      <c r="M48" s="2">
        <v>72</v>
      </c>
      <c r="N48" s="2">
        <v>3</v>
      </c>
      <c r="O48" s="2">
        <v>2</v>
      </c>
      <c r="P48" s="2" t="s">
        <v>40</v>
      </c>
      <c r="Q48" s="2">
        <v>3</v>
      </c>
      <c r="R48" s="2" t="s">
        <v>41</v>
      </c>
      <c r="S48" s="2">
        <v>4568</v>
      </c>
      <c r="T48" s="2">
        <v>10034</v>
      </c>
      <c r="U48" s="2">
        <v>0</v>
      </c>
      <c r="V48" s="2" t="s">
        <v>42</v>
      </c>
      <c r="W48" s="2" t="s">
        <v>43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</row>
    <row r="49" spans="1:35" x14ac:dyDescent="0.25">
      <c r="A49" s="2">
        <v>37</v>
      </c>
      <c r="B49" s="2" t="s">
        <v>43</v>
      </c>
      <c r="C49" s="2" t="s">
        <v>36</v>
      </c>
      <c r="D49" s="2">
        <v>408</v>
      </c>
      <c r="E49" s="2" t="s">
        <v>45</v>
      </c>
      <c r="F49" s="2">
        <v>19</v>
      </c>
      <c r="G49" s="2">
        <v>2</v>
      </c>
      <c r="H49" s="2" t="s">
        <v>38</v>
      </c>
      <c r="I49" s="2">
        <v>1</v>
      </c>
      <c r="J49" s="2">
        <v>61</v>
      </c>
      <c r="K49" s="2">
        <v>2</v>
      </c>
      <c r="L49" s="2" t="s">
        <v>46</v>
      </c>
      <c r="M49" s="2">
        <v>73</v>
      </c>
      <c r="N49" s="2">
        <v>3</v>
      </c>
      <c r="O49" s="2">
        <v>1</v>
      </c>
      <c r="P49" s="2" t="s">
        <v>47</v>
      </c>
      <c r="Q49" s="2">
        <v>2</v>
      </c>
      <c r="R49" s="2" t="s">
        <v>48</v>
      </c>
      <c r="S49" s="2">
        <v>3022</v>
      </c>
      <c r="T49" s="2">
        <v>10227</v>
      </c>
      <c r="U49" s="2">
        <v>4</v>
      </c>
      <c r="V49" s="2" t="s">
        <v>42</v>
      </c>
      <c r="W49" s="2" t="s">
        <v>43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</row>
    <row r="50" spans="1:35" x14ac:dyDescent="0.25">
      <c r="A50" s="2">
        <v>46</v>
      </c>
      <c r="B50" s="2" t="s">
        <v>43</v>
      </c>
      <c r="C50" s="2" t="s">
        <v>44</v>
      </c>
      <c r="D50" s="2">
        <v>1211</v>
      </c>
      <c r="E50" s="2" t="s">
        <v>37</v>
      </c>
      <c r="F50" s="2">
        <v>5</v>
      </c>
      <c r="G50" s="2">
        <v>4</v>
      </c>
      <c r="H50" s="2" t="s">
        <v>59</v>
      </c>
      <c r="I50" s="2">
        <v>1</v>
      </c>
      <c r="J50" s="2">
        <v>62</v>
      </c>
      <c r="K50" s="2">
        <v>1</v>
      </c>
      <c r="L50" s="2" t="s">
        <v>46</v>
      </c>
      <c r="M50" s="2">
        <v>98</v>
      </c>
      <c r="N50" s="2">
        <v>3</v>
      </c>
      <c r="O50" s="2">
        <v>2</v>
      </c>
      <c r="P50" s="2" t="s">
        <v>40</v>
      </c>
      <c r="Q50" s="2">
        <v>4</v>
      </c>
      <c r="R50" s="2" t="s">
        <v>41</v>
      </c>
      <c r="S50" s="2">
        <v>5772</v>
      </c>
      <c r="T50" s="2">
        <v>20445</v>
      </c>
      <c r="U50" s="2">
        <v>4</v>
      </c>
      <c r="V50" s="2" t="s">
        <v>42</v>
      </c>
      <c r="W50" s="2" t="s">
        <v>35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</row>
    <row r="51" spans="1:35" x14ac:dyDescent="0.25">
      <c r="A51" s="2">
        <v>35</v>
      </c>
      <c r="B51" s="2" t="s">
        <v>43</v>
      </c>
      <c r="C51" s="2" t="s">
        <v>36</v>
      </c>
      <c r="D51" s="2">
        <v>1229</v>
      </c>
      <c r="E51" s="2" t="s">
        <v>45</v>
      </c>
      <c r="F51" s="2">
        <v>8</v>
      </c>
      <c r="G51" s="2">
        <v>1</v>
      </c>
      <c r="H51" s="2" t="s">
        <v>38</v>
      </c>
      <c r="I51" s="2">
        <v>1</v>
      </c>
      <c r="J51" s="2">
        <v>63</v>
      </c>
      <c r="K51" s="2">
        <v>4</v>
      </c>
      <c r="L51" s="2" t="s">
        <v>46</v>
      </c>
      <c r="M51" s="2">
        <v>36</v>
      </c>
      <c r="N51" s="2">
        <v>4</v>
      </c>
      <c r="O51" s="2">
        <v>1</v>
      </c>
      <c r="P51" s="2" t="s">
        <v>50</v>
      </c>
      <c r="Q51" s="2">
        <v>4</v>
      </c>
      <c r="R51" s="2" t="s">
        <v>48</v>
      </c>
      <c r="S51" s="2">
        <v>2269</v>
      </c>
      <c r="T51" s="2">
        <v>4892</v>
      </c>
      <c r="U51" s="2">
        <v>1</v>
      </c>
      <c r="V51" s="2" t="s">
        <v>42</v>
      </c>
      <c r="W51" s="2" t="s">
        <v>43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</row>
    <row r="52" spans="1:35" x14ac:dyDescent="0.25">
      <c r="A52" s="2">
        <v>48</v>
      </c>
      <c r="B52" s="2" t="s">
        <v>35</v>
      </c>
      <c r="C52" s="2" t="s">
        <v>36</v>
      </c>
      <c r="D52" s="2">
        <v>626</v>
      </c>
      <c r="E52" s="2" t="s">
        <v>45</v>
      </c>
      <c r="F52" s="2">
        <v>1</v>
      </c>
      <c r="G52" s="2">
        <v>2</v>
      </c>
      <c r="H52" s="2" t="s">
        <v>38</v>
      </c>
      <c r="I52" s="2">
        <v>1</v>
      </c>
      <c r="J52" s="2">
        <v>64</v>
      </c>
      <c r="K52" s="2">
        <v>1</v>
      </c>
      <c r="L52" s="2" t="s">
        <v>46</v>
      </c>
      <c r="M52" s="2">
        <v>98</v>
      </c>
      <c r="N52" s="2">
        <v>2</v>
      </c>
      <c r="O52" s="2">
        <v>3</v>
      </c>
      <c r="P52" s="2" t="s">
        <v>50</v>
      </c>
      <c r="Q52" s="2">
        <v>3</v>
      </c>
      <c r="R52" s="2" t="s">
        <v>41</v>
      </c>
      <c r="S52" s="2">
        <v>5381</v>
      </c>
      <c r="T52" s="2">
        <v>19294</v>
      </c>
      <c r="U52" s="2">
        <v>9</v>
      </c>
      <c r="V52" s="2" t="s">
        <v>42</v>
      </c>
      <c r="W52" s="2" t="s">
        <v>35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</row>
    <row r="53" spans="1:35" x14ac:dyDescent="0.25">
      <c r="A53" s="2">
        <v>28</v>
      </c>
      <c r="B53" s="2" t="s">
        <v>35</v>
      </c>
      <c r="C53" s="2" t="s">
        <v>36</v>
      </c>
      <c r="D53" s="2">
        <v>1434</v>
      </c>
      <c r="E53" s="2" t="s">
        <v>45</v>
      </c>
      <c r="F53" s="2">
        <v>5</v>
      </c>
      <c r="G53" s="2">
        <v>4</v>
      </c>
      <c r="H53" s="2" t="s">
        <v>60</v>
      </c>
      <c r="I53" s="2">
        <v>1</v>
      </c>
      <c r="J53" s="2">
        <v>65</v>
      </c>
      <c r="K53" s="2">
        <v>3</v>
      </c>
      <c r="L53" s="2" t="s">
        <v>46</v>
      </c>
      <c r="M53" s="2">
        <v>50</v>
      </c>
      <c r="N53" s="2">
        <v>3</v>
      </c>
      <c r="O53" s="2">
        <v>1</v>
      </c>
      <c r="P53" s="2" t="s">
        <v>50</v>
      </c>
      <c r="Q53" s="2">
        <v>3</v>
      </c>
      <c r="R53" s="2" t="s">
        <v>41</v>
      </c>
      <c r="S53" s="2">
        <v>3441</v>
      </c>
      <c r="T53" s="2">
        <v>11179</v>
      </c>
      <c r="U53" s="2">
        <v>1</v>
      </c>
      <c r="V53" s="2" t="s">
        <v>42</v>
      </c>
      <c r="W53" s="2" t="s">
        <v>35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</row>
    <row r="54" spans="1:35" x14ac:dyDescent="0.25">
      <c r="A54" s="2">
        <v>44</v>
      </c>
      <c r="B54" s="2" t="s">
        <v>43</v>
      </c>
      <c r="C54" s="2" t="s">
        <v>36</v>
      </c>
      <c r="D54" s="2">
        <v>1488</v>
      </c>
      <c r="E54" s="2" t="s">
        <v>37</v>
      </c>
      <c r="F54" s="2">
        <v>1</v>
      </c>
      <c r="G54" s="2">
        <v>5</v>
      </c>
      <c r="H54" s="2" t="s">
        <v>59</v>
      </c>
      <c r="I54" s="2">
        <v>1</v>
      </c>
      <c r="J54" s="2">
        <v>68</v>
      </c>
      <c r="K54" s="2">
        <v>2</v>
      </c>
      <c r="L54" s="2" t="s">
        <v>39</v>
      </c>
      <c r="M54" s="2">
        <v>75</v>
      </c>
      <c r="N54" s="2">
        <v>3</v>
      </c>
      <c r="O54" s="2">
        <v>2</v>
      </c>
      <c r="P54" s="2" t="s">
        <v>40</v>
      </c>
      <c r="Q54" s="2">
        <v>1</v>
      </c>
      <c r="R54" s="2" t="s">
        <v>52</v>
      </c>
      <c r="S54" s="2">
        <v>5454</v>
      </c>
      <c r="T54" s="2">
        <v>4009</v>
      </c>
      <c r="U54" s="2">
        <v>5</v>
      </c>
      <c r="V54" s="2" t="s">
        <v>42</v>
      </c>
      <c r="W54" s="2" t="s">
        <v>35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</row>
    <row r="55" spans="1:35" x14ac:dyDescent="0.25">
      <c r="A55" s="2">
        <v>35</v>
      </c>
      <c r="B55" s="2" t="s">
        <v>43</v>
      </c>
      <c r="C55" s="2" t="s">
        <v>55</v>
      </c>
      <c r="D55" s="2">
        <v>1097</v>
      </c>
      <c r="E55" s="2" t="s">
        <v>45</v>
      </c>
      <c r="F55" s="2">
        <v>11</v>
      </c>
      <c r="G55" s="2">
        <v>2</v>
      </c>
      <c r="H55" s="2" t="s">
        <v>51</v>
      </c>
      <c r="I55" s="2">
        <v>1</v>
      </c>
      <c r="J55" s="2">
        <v>70</v>
      </c>
      <c r="K55" s="2">
        <v>3</v>
      </c>
      <c r="L55" s="2" t="s">
        <v>46</v>
      </c>
      <c r="M55" s="2">
        <v>79</v>
      </c>
      <c r="N55" s="2">
        <v>2</v>
      </c>
      <c r="O55" s="2">
        <v>3</v>
      </c>
      <c r="P55" s="2" t="s">
        <v>54</v>
      </c>
      <c r="Q55" s="2">
        <v>1</v>
      </c>
      <c r="R55" s="2" t="s">
        <v>48</v>
      </c>
      <c r="S55" s="2">
        <v>9884</v>
      </c>
      <c r="T55" s="2">
        <v>8302</v>
      </c>
      <c r="U55" s="2">
        <v>2</v>
      </c>
      <c r="V55" s="2" t="s">
        <v>42</v>
      </c>
      <c r="W55" s="2" t="s">
        <v>35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</row>
    <row r="56" spans="1:35" x14ac:dyDescent="0.25">
      <c r="A56" s="2">
        <v>26</v>
      </c>
      <c r="B56" s="2" t="s">
        <v>43</v>
      </c>
      <c r="C56" s="2" t="s">
        <v>36</v>
      </c>
      <c r="D56" s="2">
        <v>1443</v>
      </c>
      <c r="E56" s="2" t="s">
        <v>37</v>
      </c>
      <c r="F56" s="2">
        <v>23</v>
      </c>
      <c r="G56" s="2">
        <v>3</v>
      </c>
      <c r="H56" s="2" t="s">
        <v>59</v>
      </c>
      <c r="I56" s="2">
        <v>1</v>
      </c>
      <c r="J56" s="2">
        <v>72</v>
      </c>
      <c r="K56" s="2">
        <v>3</v>
      </c>
      <c r="L56" s="2" t="s">
        <v>39</v>
      </c>
      <c r="M56" s="2">
        <v>47</v>
      </c>
      <c r="N56" s="2">
        <v>2</v>
      </c>
      <c r="O56" s="2">
        <v>2</v>
      </c>
      <c r="P56" s="2" t="s">
        <v>40</v>
      </c>
      <c r="Q56" s="2">
        <v>4</v>
      </c>
      <c r="R56" s="2" t="s">
        <v>48</v>
      </c>
      <c r="S56" s="2">
        <v>4157</v>
      </c>
      <c r="T56" s="2">
        <v>21436</v>
      </c>
      <c r="U56" s="2">
        <v>7</v>
      </c>
      <c r="V56" s="2" t="s">
        <v>42</v>
      </c>
      <c r="W56" s="2" t="s">
        <v>35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</row>
    <row r="57" spans="1:35" x14ac:dyDescent="0.25">
      <c r="A57" s="2">
        <v>33</v>
      </c>
      <c r="B57" s="2" t="s">
        <v>43</v>
      </c>
      <c r="C57" s="2" t="s">
        <v>44</v>
      </c>
      <c r="D57" s="2">
        <v>515</v>
      </c>
      <c r="E57" s="2" t="s">
        <v>45</v>
      </c>
      <c r="F57" s="2">
        <v>1</v>
      </c>
      <c r="G57" s="2">
        <v>2</v>
      </c>
      <c r="H57" s="2" t="s">
        <v>38</v>
      </c>
      <c r="I57" s="2">
        <v>1</v>
      </c>
      <c r="J57" s="2">
        <v>73</v>
      </c>
      <c r="K57" s="2">
        <v>1</v>
      </c>
      <c r="L57" s="2" t="s">
        <v>39</v>
      </c>
      <c r="M57" s="2">
        <v>98</v>
      </c>
      <c r="N57" s="2">
        <v>3</v>
      </c>
      <c r="O57" s="2">
        <v>3</v>
      </c>
      <c r="P57" s="2" t="s">
        <v>58</v>
      </c>
      <c r="Q57" s="2">
        <v>4</v>
      </c>
      <c r="R57" s="2" t="s">
        <v>41</v>
      </c>
      <c r="S57" s="2">
        <v>13458</v>
      </c>
      <c r="T57" s="2">
        <v>15146</v>
      </c>
      <c r="U57" s="2">
        <v>1</v>
      </c>
      <c r="V57" s="2" t="s">
        <v>42</v>
      </c>
      <c r="W57" s="2" t="s">
        <v>35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</row>
    <row r="58" spans="1:35" x14ac:dyDescent="0.25">
      <c r="A58" s="2">
        <v>35</v>
      </c>
      <c r="B58" s="2" t="s">
        <v>43</v>
      </c>
      <c r="C58" s="2" t="s">
        <v>44</v>
      </c>
      <c r="D58" s="2">
        <v>853</v>
      </c>
      <c r="E58" s="2" t="s">
        <v>37</v>
      </c>
      <c r="F58" s="2">
        <v>18</v>
      </c>
      <c r="G58" s="2">
        <v>5</v>
      </c>
      <c r="H58" s="2" t="s">
        <v>38</v>
      </c>
      <c r="I58" s="2">
        <v>1</v>
      </c>
      <c r="J58" s="2">
        <v>74</v>
      </c>
      <c r="K58" s="2">
        <v>2</v>
      </c>
      <c r="L58" s="2" t="s">
        <v>46</v>
      </c>
      <c r="M58" s="2">
        <v>71</v>
      </c>
      <c r="N58" s="2">
        <v>3</v>
      </c>
      <c r="O58" s="2">
        <v>3</v>
      </c>
      <c r="P58" s="2" t="s">
        <v>40</v>
      </c>
      <c r="Q58" s="2">
        <v>1</v>
      </c>
      <c r="R58" s="2" t="s">
        <v>48</v>
      </c>
      <c r="S58" s="2">
        <v>9069</v>
      </c>
      <c r="T58" s="2">
        <v>11031</v>
      </c>
      <c r="U58" s="2">
        <v>1</v>
      </c>
      <c r="V58" s="2" t="s">
        <v>42</v>
      </c>
      <c r="W58" s="2" t="s">
        <v>43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</row>
    <row r="59" spans="1:35" x14ac:dyDescent="0.25">
      <c r="A59" s="2">
        <v>35</v>
      </c>
      <c r="B59" s="2" t="s">
        <v>43</v>
      </c>
      <c r="C59" s="2" t="s">
        <v>36</v>
      </c>
      <c r="D59" s="2">
        <v>1142</v>
      </c>
      <c r="E59" s="2" t="s">
        <v>45</v>
      </c>
      <c r="F59" s="2">
        <v>23</v>
      </c>
      <c r="G59" s="2">
        <v>4</v>
      </c>
      <c r="H59" s="2" t="s">
        <v>51</v>
      </c>
      <c r="I59" s="2">
        <v>1</v>
      </c>
      <c r="J59" s="2">
        <v>75</v>
      </c>
      <c r="K59" s="2">
        <v>3</v>
      </c>
      <c r="L59" s="2" t="s">
        <v>39</v>
      </c>
      <c r="M59" s="2">
        <v>30</v>
      </c>
      <c r="N59" s="2">
        <v>3</v>
      </c>
      <c r="O59" s="2">
        <v>1</v>
      </c>
      <c r="P59" s="2" t="s">
        <v>50</v>
      </c>
      <c r="Q59" s="2">
        <v>1</v>
      </c>
      <c r="R59" s="2" t="s">
        <v>48</v>
      </c>
      <c r="S59" s="2">
        <v>4014</v>
      </c>
      <c r="T59" s="2">
        <v>16002</v>
      </c>
      <c r="U59" s="2">
        <v>3</v>
      </c>
      <c r="V59" s="2" t="s">
        <v>42</v>
      </c>
      <c r="W59" s="2" t="s">
        <v>35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</row>
    <row r="60" spans="1:35" x14ac:dyDescent="0.25">
      <c r="A60" s="2">
        <v>31</v>
      </c>
      <c r="B60" s="2" t="s">
        <v>43</v>
      </c>
      <c r="C60" s="2" t="s">
        <v>36</v>
      </c>
      <c r="D60" s="2">
        <v>655</v>
      </c>
      <c r="E60" s="2" t="s">
        <v>45</v>
      </c>
      <c r="F60" s="2">
        <v>7</v>
      </c>
      <c r="G60" s="2">
        <v>4</v>
      </c>
      <c r="H60" s="2" t="s">
        <v>38</v>
      </c>
      <c r="I60" s="2">
        <v>1</v>
      </c>
      <c r="J60" s="2">
        <v>76</v>
      </c>
      <c r="K60" s="2">
        <v>4</v>
      </c>
      <c r="L60" s="2" t="s">
        <v>46</v>
      </c>
      <c r="M60" s="2">
        <v>48</v>
      </c>
      <c r="N60" s="2">
        <v>3</v>
      </c>
      <c r="O60" s="2">
        <v>2</v>
      </c>
      <c r="P60" s="2" t="s">
        <v>50</v>
      </c>
      <c r="Q60" s="2">
        <v>4</v>
      </c>
      <c r="R60" s="2" t="s">
        <v>52</v>
      </c>
      <c r="S60" s="2">
        <v>5915</v>
      </c>
      <c r="T60" s="2">
        <v>9528</v>
      </c>
      <c r="U60" s="2">
        <v>3</v>
      </c>
      <c r="V60" s="2" t="s">
        <v>42</v>
      </c>
      <c r="W60" s="2" t="s">
        <v>43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</row>
    <row r="61" spans="1:35" x14ac:dyDescent="0.25">
      <c r="A61" s="2">
        <v>37</v>
      </c>
      <c r="B61" s="2" t="s">
        <v>43</v>
      </c>
      <c r="C61" s="2" t="s">
        <v>36</v>
      </c>
      <c r="D61" s="2">
        <v>1115</v>
      </c>
      <c r="E61" s="2" t="s">
        <v>45</v>
      </c>
      <c r="F61" s="2">
        <v>1</v>
      </c>
      <c r="G61" s="2">
        <v>4</v>
      </c>
      <c r="H61" s="2" t="s">
        <v>38</v>
      </c>
      <c r="I61" s="2">
        <v>1</v>
      </c>
      <c r="J61" s="2">
        <v>77</v>
      </c>
      <c r="K61" s="2">
        <v>1</v>
      </c>
      <c r="L61" s="2" t="s">
        <v>46</v>
      </c>
      <c r="M61" s="2">
        <v>51</v>
      </c>
      <c r="N61" s="2">
        <v>2</v>
      </c>
      <c r="O61" s="2">
        <v>2</v>
      </c>
      <c r="P61" s="2" t="s">
        <v>53</v>
      </c>
      <c r="Q61" s="2">
        <v>3</v>
      </c>
      <c r="R61" s="2" t="s">
        <v>52</v>
      </c>
      <c r="S61" s="2">
        <v>5993</v>
      </c>
      <c r="T61" s="2">
        <v>2689</v>
      </c>
      <c r="U61" s="2">
        <v>1</v>
      </c>
      <c r="V61" s="2" t="s">
        <v>42</v>
      </c>
      <c r="W61" s="2" t="s">
        <v>43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</row>
    <row r="62" spans="1:35" x14ac:dyDescent="0.25">
      <c r="A62" s="2">
        <v>32</v>
      </c>
      <c r="B62" s="2" t="s">
        <v>43</v>
      </c>
      <c r="C62" s="2" t="s">
        <v>36</v>
      </c>
      <c r="D62" s="2">
        <v>427</v>
      </c>
      <c r="E62" s="2" t="s">
        <v>45</v>
      </c>
      <c r="F62" s="2">
        <v>1</v>
      </c>
      <c r="G62" s="2">
        <v>3</v>
      </c>
      <c r="H62" s="2" t="s">
        <v>51</v>
      </c>
      <c r="I62" s="2">
        <v>1</v>
      </c>
      <c r="J62" s="2">
        <v>78</v>
      </c>
      <c r="K62" s="2">
        <v>1</v>
      </c>
      <c r="L62" s="2" t="s">
        <v>46</v>
      </c>
      <c r="M62" s="2">
        <v>33</v>
      </c>
      <c r="N62" s="2">
        <v>3</v>
      </c>
      <c r="O62" s="2">
        <v>2</v>
      </c>
      <c r="P62" s="2" t="s">
        <v>53</v>
      </c>
      <c r="Q62" s="2">
        <v>4</v>
      </c>
      <c r="R62" s="2" t="s">
        <v>48</v>
      </c>
      <c r="S62" s="2">
        <v>6162</v>
      </c>
      <c r="T62" s="2">
        <v>10877</v>
      </c>
      <c r="U62" s="2">
        <v>1</v>
      </c>
      <c r="V62" s="2" t="s">
        <v>42</v>
      </c>
      <c r="W62" s="2" t="s">
        <v>35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</row>
    <row r="63" spans="1:35" x14ac:dyDescent="0.25">
      <c r="A63" s="2">
        <v>38</v>
      </c>
      <c r="B63" s="2" t="s">
        <v>43</v>
      </c>
      <c r="C63" s="2" t="s">
        <v>44</v>
      </c>
      <c r="D63" s="2">
        <v>653</v>
      </c>
      <c r="E63" s="2" t="s">
        <v>45</v>
      </c>
      <c r="F63" s="2">
        <v>29</v>
      </c>
      <c r="G63" s="2">
        <v>5</v>
      </c>
      <c r="H63" s="2" t="s">
        <v>38</v>
      </c>
      <c r="I63" s="2">
        <v>1</v>
      </c>
      <c r="J63" s="2">
        <v>79</v>
      </c>
      <c r="K63" s="2">
        <v>4</v>
      </c>
      <c r="L63" s="2" t="s">
        <v>39</v>
      </c>
      <c r="M63" s="2">
        <v>50</v>
      </c>
      <c r="N63" s="2">
        <v>3</v>
      </c>
      <c r="O63" s="2">
        <v>2</v>
      </c>
      <c r="P63" s="2" t="s">
        <v>50</v>
      </c>
      <c r="Q63" s="2">
        <v>4</v>
      </c>
      <c r="R63" s="2" t="s">
        <v>41</v>
      </c>
      <c r="S63" s="2">
        <v>2406</v>
      </c>
      <c r="T63" s="2">
        <v>5456</v>
      </c>
      <c r="U63" s="2">
        <v>1</v>
      </c>
      <c r="V63" s="2" t="s">
        <v>42</v>
      </c>
      <c r="W63" s="2" t="s">
        <v>43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</row>
    <row r="64" spans="1:35" x14ac:dyDescent="0.25">
      <c r="A64" s="2">
        <v>50</v>
      </c>
      <c r="B64" s="2" t="s">
        <v>43</v>
      </c>
      <c r="C64" s="2" t="s">
        <v>36</v>
      </c>
      <c r="D64" s="2">
        <v>989</v>
      </c>
      <c r="E64" s="2" t="s">
        <v>45</v>
      </c>
      <c r="F64" s="2">
        <v>7</v>
      </c>
      <c r="G64" s="2">
        <v>2</v>
      </c>
      <c r="H64" s="2" t="s">
        <v>51</v>
      </c>
      <c r="I64" s="2">
        <v>1</v>
      </c>
      <c r="J64" s="2">
        <v>80</v>
      </c>
      <c r="K64" s="2">
        <v>2</v>
      </c>
      <c r="L64" s="2" t="s">
        <v>39</v>
      </c>
      <c r="M64" s="2">
        <v>43</v>
      </c>
      <c r="N64" s="2">
        <v>2</v>
      </c>
      <c r="O64" s="2">
        <v>5</v>
      </c>
      <c r="P64" s="2" t="s">
        <v>58</v>
      </c>
      <c r="Q64" s="2">
        <v>3</v>
      </c>
      <c r="R64" s="2" t="s">
        <v>52</v>
      </c>
      <c r="S64" s="2">
        <v>18740</v>
      </c>
      <c r="T64" s="2">
        <v>16701</v>
      </c>
      <c r="U64" s="2">
        <v>5</v>
      </c>
      <c r="V64" s="2" t="s">
        <v>42</v>
      </c>
      <c r="W64" s="2" t="s">
        <v>35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</row>
    <row r="65" spans="1:35" x14ac:dyDescent="0.25">
      <c r="A65" s="2">
        <v>59</v>
      </c>
      <c r="B65" s="2" t="s">
        <v>43</v>
      </c>
      <c r="C65" s="2" t="s">
        <v>36</v>
      </c>
      <c r="D65" s="2">
        <v>1435</v>
      </c>
      <c r="E65" s="2" t="s">
        <v>37</v>
      </c>
      <c r="F65" s="2">
        <v>25</v>
      </c>
      <c r="G65" s="2">
        <v>3</v>
      </c>
      <c r="H65" s="2" t="s">
        <v>38</v>
      </c>
      <c r="I65" s="2">
        <v>1</v>
      </c>
      <c r="J65" s="2">
        <v>81</v>
      </c>
      <c r="K65" s="2">
        <v>1</v>
      </c>
      <c r="L65" s="2" t="s">
        <v>39</v>
      </c>
      <c r="M65" s="2">
        <v>99</v>
      </c>
      <c r="N65" s="2">
        <v>3</v>
      </c>
      <c r="O65" s="2">
        <v>3</v>
      </c>
      <c r="P65" s="2" t="s">
        <v>40</v>
      </c>
      <c r="Q65" s="2">
        <v>1</v>
      </c>
      <c r="R65" s="2" t="s">
        <v>41</v>
      </c>
      <c r="S65" s="2">
        <v>7637</v>
      </c>
      <c r="T65" s="2">
        <v>2354</v>
      </c>
      <c r="U65" s="2">
        <v>7</v>
      </c>
      <c r="V65" s="2" t="s">
        <v>42</v>
      </c>
      <c r="W65" s="2" t="s">
        <v>43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</row>
    <row r="66" spans="1:35" x14ac:dyDescent="0.25">
      <c r="A66" s="2">
        <v>36</v>
      </c>
      <c r="B66" s="2" t="s">
        <v>43</v>
      </c>
      <c r="C66" s="2" t="s">
        <v>36</v>
      </c>
      <c r="D66" s="2">
        <v>1223</v>
      </c>
      <c r="E66" s="2" t="s">
        <v>45</v>
      </c>
      <c r="F66" s="2">
        <v>8</v>
      </c>
      <c r="G66" s="2">
        <v>3</v>
      </c>
      <c r="H66" s="2" t="s">
        <v>60</v>
      </c>
      <c r="I66" s="2">
        <v>1</v>
      </c>
      <c r="J66" s="2">
        <v>83</v>
      </c>
      <c r="K66" s="2">
        <v>3</v>
      </c>
      <c r="L66" s="2" t="s">
        <v>39</v>
      </c>
      <c r="M66" s="2">
        <v>59</v>
      </c>
      <c r="N66" s="2">
        <v>3</v>
      </c>
      <c r="O66" s="2">
        <v>3</v>
      </c>
      <c r="P66" s="2" t="s">
        <v>54</v>
      </c>
      <c r="Q66" s="2">
        <v>3</v>
      </c>
      <c r="R66" s="2" t="s">
        <v>52</v>
      </c>
      <c r="S66" s="2">
        <v>10096</v>
      </c>
      <c r="T66" s="2">
        <v>8202</v>
      </c>
      <c r="U66" s="2">
        <v>1</v>
      </c>
      <c r="V66" s="2" t="s">
        <v>42</v>
      </c>
      <c r="W66" s="2" t="s">
        <v>43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</row>
    <row r="67" spans="1:35" x14ac:dyDescent="0.25">
      <c r="A67" s="2">
        <v>55</v>
      </c>
      <c r="B67" s="2" t="s">
        <v>43</v>
      </c>
      <c r="C67" s="2" t="s">
        <v>36</v>
      </c>
      <c r="D67" s="2">
        <v>836</v>
      </c>
      <c r="E67" s="2" t="s">
        <v>45</v>
      </c>
      <c r="F67" s="2">
        <v>8</v>
      </c>
      <c r="G67" s="2">
        <v>3</v>
      </c>
      <c r="H67" s="2" t="s">
        <v>51</v>
      </c>
      <c r="I67" s="2">
        <v>1</v>
      </c>
      <c r="J67" s="2">
        <v>84</v>
      </c>
      <c r="K67" s="2">
        <v>4</v>
      </c>
      <c r="L67" s="2" t="s">
        <v>39</v>
      </c>
      <c r="M67" s="2">
        <v>33</v>
      </c>
      <c r="N67" s="2">
        <v>3</v>
      </c>
      <c r="O67" s="2">
        <v>4</v>
      </c>
      <c r="P67" s="2" t="s">
        <v>56</v>
      </c>
      <c r="Q67" s="2">
        <v>3</v>
      </c>
      <c r="R67" s="2" t="s">
        <v>52</v>
      </c>
      <c r="S67" s="2">
        <v>14756</v>
      </c>
      <c r="T67" s="2">
        <v>19730</v>
      </c>
      <c r="U67" s="2">
        <v>2</v>
      </c>
      <c r="V67" s="2" t="s">
        <v>42</v>
      </c>
      <c r="W67" s="2" t="s">
        <v>35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</row>
    <row r="68" spans="1:35" x14ac:dyDescent="0.25">
      <c r="A68" s="2">
        <v>36</v>
      </c>
      <c r="B68" s="2" t="s">
        <v>43</v>
      </c>
      <c r="C68" s="2" t="s">
        <v>44</v>
      </c>
      <c r="D68" s="2">
        <v>1195</v>
      </c>
      <c r="E68" s="2" t="s">
        <v>45</v>
      </c>
      <c r="F68" s="2">
        <v>11</v>
      </c>
      <c r="G68" s="2">
        <v>3</v>
      </c>
      <c r="H68" s="2" t="s">
        <v>38</v>
      </c>
      <c r="I68" s="2">
        <v>1</v>
      </c>
      <c r="J68" s="2">
        <v>85</v>
      </c>
      <c r="K68" s="2">
        <v>2</v>
      </c>
      <c r="L68" s="2" t="s">
        <v>46</v>
      </c>
      <c r="M68" s="2">
        <v>95</v>
      </c>
      <c r="N68" s="2">
        <v>2</v>
      </c>
      <c r="O68" s="2">
        <v>2</v>
      </c>
      <c r="P68" s="2" t="s">
        <v>53</v>
      </c>
      <c r="Q68" s="2">
        <v>2</v>
      </c>
      <c r="R68" s="2" t="s">
        <v>41</v>
      </c>
      <c r="S68" s="2">
        <v>6499</v>
      </c>
      <c r="T68" s="2">
        <v>22656</v>
      </c>
      <c r="U68" s="2">
        <v>1</v>
      </c>
      <c r="V68" s="2" t="s">
        <v>42</v>
      </c>
      <c r="W68" s="2" t="s">
        <v>43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</row>
    <row r="69" spans="1:35" x14ac:dyDescent="0.25">
      <c r="A69" s="2">
        <v>45</v>
      </c>
      <c r="B69" s="2" t="s">
        <v>43</v>
      </c>
      <c r="C69" s="2" t="s">
        <v>36</v>
      </c>
      <c r="D69" s="2">
        <v>1339</v>
      </c>
      <c r="E69" s="2" t="s">
        <v>45</v>
      </c>
      <c r="F69" s="2">
        <v>7</v>
      </c>
      <c r="G69" s="2">
        <v>3</v>
      </c>
      <c r="H69" s="2" t="s">
        <v>38</v>
      </c>
      <c r="I69" s="2">
        <v>1</v>
      </c>
      <c r="J69" s="2">
        <v>86</v>
      </c>
      <c r="K69" s="2">
        <v>2</v>
      </c>
      <c r="L69" s="2" t="s">
        <v>46</v>
      </c>
      <c r="M69" s="2">
        <v>59</v>
      </c>
      <c r="N69" s="2">
        <v>3</v>
      </c>
      <c r="O69" s="2">
        <v>3</v>
      </c>
      <c r="P69" s="2" t="s">
        <v>47</v>
      </c>
      <c r="Q69" s="2">
        <v>1</v>
      </c>
      <c r="R69" s="2" t="s">
        <v>52</v>
      </c>
      <c r="S69" s="2">
        <v>9724</v>
      </c>
      <c r="T69" s="2">
        <v>18787</v>
      </c>
      <c r="U69" s="2">
        <v>2</v>
      </c>
      <c r="V69" s="2" t="s">
        <v>42</v>
      </c>
      <c r="W69" s="2" t="s">
        <v>43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</row>
    <row r="70" spans="1:35" x14ac:dyDescent="0.25">
      <c r="A70" s="2">
        <v>35</v>
      </c>
      <c r="B70" s="2" t="s">
        <v>43</v>
      </c>
      <c r="C70" s="2" t="s">
        <v>44</v>
      </c>
      <c r="D70" s="2">
        <v>664</v>
      </c>
      <c r="E70" s="2" t="s">
        <v>45</v>
      </c>
      <c r="F70" s="2">
        <v>1</v>
      </c>
      <c r="G70" s="2">
        <v>3</v>
      </c>
      <c r="H70" s="2" t="s">
        <v>51</v>
      </c>
      <c r="I70" s="2">
        <v>1</v>
      </c>
      <c r="J70" s="2">
        <v>88</v>
      </c>
      <c r="K70" s="2">
        <v>2</v>
      </c>
      <c r="L70" s="2" t="s">
        <v>46</v>
      </c>
      <c r="M70" s="2">
        <v>79</v>
      </c>
      <c r="N70" s="2">
        <v>3</v>
      </c>
      <c r="O70" s="2">
        <v>1</v>
      </c>
      <c r="P70" s="2" t="s">
        <v>47</v>
      </c>
      <c r="Q70" s="2">
        <v>1</v>
      </c>
      <c r="R70" s="2" t="s">
        <v>48</v>
      </c>
      <c r="S70" s="2">
        <v>2194</v>
      </c>
      <c r="T70" s="2">
        <v>5868</v>
      </c>
      <c r="U70" s="2">
        <v>4</v>
      </c>
      <c r="V70" s="2" t="s">
        <v>42</v>
      </c>
      <c r="W70" s="2" t="s">
        <v>43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</row>
    <row r="71" spans="1:35" x14ac:dyDescent="0.25">
      <c r="A71" s="2">
        <v>36</v>
      </c>
      <c r="B71" s="2" t="s">
        <v>35</v>
      </c>
      <c r="C71" s="2" t="s">
        <v>36</v>
      </c>
      <c r="D71" s="2">
        <v>318</v>
      </c>
      <c r="E71" s="2" t="s">
        <v>45</v>
      </c>
      <c r="F71" s="2">
        <v>9</v>
      </c>
      <c r="G71" s="2">
        <v>3</v>
      </c>
      <c r="H71" s="2" t="s">
        <v>51</v>
      </c>
      <c r="I71" s="2">
        <v>1</v>
      </c>
      <c r="J71" s="2">
        <v>90</v>
      </c>
      <c r="K71" s="2">
        <v>4</v>
      </c>
      <c r="L71" s="2" t="s">
        <v>46</v>
      </c>
      <c r="M71" s="2">
        <v>79</v>
      </c>
      <c r="N71" s="2">
        <v>2</v>
      </c>
      <c r="O71" s="2">
        <v>1</v>
      </c>
      <c r="P71" s="2" t="s">
        <v>47</v>
      </c>
      <c r="Q71" s="2">
        <v>3</v>
      </c>
      <c r="R71" s="2" t="s">
        <v>48</v>
      </c>
      <c r="S71" s="2">
        <v>3388</v>
      </c>
      <c r="T71" s="2">
        <v>21777</v>
      </c>
      <c r="U71" s="2">
        <v>0</v>
      </c>
      <c r="V71" s="2" t="s">
        <v>42</v>
      </c>
      <c r="W71" s="2" t="s">
        <v>35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</row>
    <row r="72" spans="1:35" x14ac:dyDescent="0.25">
      <c r="A72" s="2">
        <v>59</v>
      </c>
      <c r="B72" s="2" t="s">
        <v>43</v>
      </c>
      <c r="C72" s="2" t="s">
        <v>44</v>
      </c>
      <c r="D72" s="2">
        <v>1225</v>
      </c>
      <c r="E72" s="2" t="s">
        <v>37</v>
      </c>
      <c r="F72" s="2">
        <v>1</v>
      </c>
      <c r="G72" s="2">
        <v>1</v>
      </c>
      <c r="H72" s="2" t="s">
        <v>38</v>
      </c>
      <c r="I72" s="2">
        <v>1</v>
      </c>
      <c r="J72" s="2">
        <v>91</v>
      </c>
      <c r="K72" s="2">
        <v>1</v>
      </c>
      <c r="L72" s="2" t="s">
        <v>39</v>
      </c>
      <c r="M72" s="2">
        <v>57</v>
      </c>
      <c r="N72" s="2">
        <v>2</v>
      </c>
      <c r="O72" s="2">
        <v>2</v>
      </c>
      <c r="P72" s="2" t="s">
        <v>40</v>
      </c>
      <c r="Q72" s="2">
        <v>3</v>
      </c>
      <c r="R72" s="2" t="s">
        <v>41</v>
      </c>
      <c r="S72" s="2">
        <v>5473</v>
      </c>
      <c r="T72" s="2">
        <v>24668</v>
      </c>
      <c r="U72" s="2">
        <v>7</v>
      </c>
      <c r="V72" s="2" t="s">
        <v>42</v>
      </c>
      <c r="W72" s="2" t="s">
        <v>43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</row>
    <row r="73" spans="1:35" x14ac:dyDescent="0.25">
      <c r="A73" s="2">
        <v>29</v>
      </c>
      <c r="B73" s="2" t="s">
        <v>43</v>
      </c>
      <c r="C73" s="2" t="s">
        <v>36</v>
      </c>
      <c r="D73" s="2">
        <v>1328</v>
      </c>
      <c r="E73" s="2" t="s">
        <v>45</v>
      </c>
      <c r="F73" s="2">
        <v>2</v>
      </c>
      <c r="G73" s="2">
        <v>3</v>
      </c>
      <c r="H73" s="2" t="s">
        <v>38</v>
      </c>
      <c r="I73" s="2">
        <v>1</v>
      </c>
      <c r="J73" s="2">
        <v>94</v>
      </c>
      <c r="K73" s="2">
        <v>3</v>
      </c>
      <c r="L73" s="2" t="s">
        <v>46</v>
      </c>
      <c r="M73" s="2">
        <v>76</v>
      </c>
      <c r="N73" s="2">
        <v>3</v>
      </c>
      <c r="O73" s="2">
        <v>1</v>
      </c>
      <c r="P73" s="2" t="s">
        <v>47</v>
      </c>
      <c r="Q73" s="2">
        <v>2</v>
      </c>
      <c r="R73" s="2" t="s">
        <v>48</v>
      </c>
      <c r="S73" s="2">
        <v>2703</v>
      </c>
      <c r="T73" s="2">
        <v>4956</v>
      </c>
      <c r="U73" s="2">
        <v>0</v>
      </c>
      <c r="V73" s="2" t="s">
        <v>42</v>
      </c>
      <c r="W73" s="2" t="s">
        <v>43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</row>
    <row r="74" spans="1:35" x14ac:dyDescent="0.25">
      <c r="A74" s="2">
        <v>31</v>
      </c>
      <c r="B74" s="2" t="s">
        <v>43</v>
      </c>
      <c r="C74" s="2" t="s">
        <v>36</v>
      </c>
      <c r="D74" s="2">
        <v>1082</v>
      </c>
      <c r="E74" s="2" t="s">
        <v>45</v>
      </c>
      <c r="F74" s="2">
        <v>1</v>
      </c>
      <c r="G74" s="2">
        <v>4</v>
      </c>
      <c r="H74" s="2" t="s">
        <v>51</v>
      </c>
      <c r="I74" s="2">
        <v>1</v>
      </c>
      <c r="J74" s="2">
        <v>95</v>
      </c>
      <c r="K74" s="2">
        <v>3</v>
      </c>
      <c r="L74" s="2" t="s">
        <v>46</v>
      </c>
      <c r="M74" s="2">
        <v>87</v>
      </c>
      <c r="N74" s="2">
        <v>3</v>
      </c>
      <c r="O74" s="2">
        <v>1</v>
      </c>
      <c r="P74" s="2" t="s">
        <v>47</v>
      </c>
      <c r="Q74" s="2">
        <v>2</v>
      </c>
      <c r="R74" s="2" t="s">
        <v>41</v>
      </c>
      <c r="S74" s="2">
        <v>2501</v>
      </c>
      <c r="T74" s="2">
        <v>18775</v>
      </c>
      <c r="U74" s="2">
        <v>1</v>
      </c>
      <c r="V74" s="2" t="s">
        <v>42</v>
      </c>
      <c r="W74" s="2" t="s">
        <v>43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</row>
    <row r="75" spans="1:35" x14ac:dyDescent="0.25">
      <c r="A75" s="2">
        <v>32</v>
      </c>
      <c r="B75" s="2" t="s">
        <v>43</v>
      </c>
      <c r="C75" s="2" t="s">
        <v>36</v>
      </c>
      <c r="D75" s="2">
        <v>548</v>
      </c>
      <c r="E75" s="2" t="s">
        <v>45</v>
      </c>
      <c r="F75" s="2">
        <v>1</v>
      </c>
      <c r="G75" s="2">
        <v>3</v>
      </c>
      <c r="H75" s="2" t="s">
        <v>38</v>
      </c>
      <c r="I75" s="2">
        <v>1</v>
      </c>
      <c r="J75" s="2">
        <v>96</v>
      </c>
      <c r="K75" s="2">
        <v>2</v>
      </c>
      <c r="L75" s="2" t="s">
        <v>46</v>
      </c>
      <c r="M75" s="2">
        <v>66</v>
      </c>
      <c r="N75" s="2">
        <v>3</v>
      </c>
      <c r="O75" s="2">
        <v>2</v>
      </c>
      <c r="P75" s="2" t="s">
        <v>47</v>
      </c>
      <c r="Q75" s="2">
        <v>2</v>
      </c>
      <c r="R75" s="2" t="s">
        <v>48</v>
      </c>
      <c r="S75" s="2">
        <v>6220</v>
      </c>
      <c r="T75" s="2">
        <v>7346</v>
      </c>
      <c r="U75" s="2">
        <v>1</v>
      </c>
      <c r="V75" s="2" t="s">
        <v>42</v>
      </c>
      <c r="W75" s="2" t="s">
        <v>43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</row>
    <row r="76" spans="1:35" x14ac:dyDescent="0.25">
      <c r="A76" s="2">
        <v>36</v>
      </c>
      <c r="B76" s="2" t="s">
        <v>43</v>
      </c>
      <c r="C76" s="2" t="s">
        <v>36</v>
      </c>
      <c r="D76" s="2">
        <v>132</v>
      </c>
      <c r="E76" s="2" t="s">
        <v>45</v>
      </c>
      <c r="F76" s="2">
        <v>6</v>
      </c>
      <c r="G76" s="2">
        <v>3</v>
      </c>
      <c r="H76" s="2" t="s">
        <v>38</v>
      </c>
      <c r="I76" s="2">
        <v>1</v>
      </c>
      <c r="J76" s="2">
        <v>97</v>
      </c>
      <c r="K76" s="2">
        <v>2</v>
      </c>
      <c r="L76" s="2" t="s">
        <v>39</v>
      </c>
      <c r="M76" s="2">
        <v>55</v>
      </c>
      <c r="N76" s="2">
        <v>4</v>
      </c>
      <c r="O76" s="2">
        <v>1</v>
      </c>
      <c r="P76" s="2" t="s">
        <v>50</v>
      </c>
      <c r="Q76" s="2">
        <v>4</v>
      </c>
      <c r="R76" s="2" t="s">
        <v>48</v>
      </c>
      <c r="S76" s="2">
        <v>3038</v>
      </c>
      <c r="T76" s="2">
        <v>22002</v>
      </c>
      <c r="U76" s="2">
        <v>3</v>
      </c>
      <c r="V76" s="2" t="s">
        <v>42</v>
      </c>
      <c r="W76" s="2" t="s">
        <v>43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</row>
    <row r="77" spans="1:35" x14ac:dyDescent="0.25">
      <c r="A77" s="2">
        <v>31</v>
      </c>
      <c r="B77" s="2" t="s">
        <v>43</v>
      </c>
      <c r="C77" s="2" t="s">
        <v>36</v>
      </c>
      <c r="D77" s="2">
        <v>746</v>
      </c>
      <c r="E77" s="2" t="s">
        <v>45</v>
      </c>
      <c r="F77" s="2">
        <v>8</v>
      </c>
      <c r="G77" s="2">
        <v>4</v>
      </c>
      <c r="H77" s="2" t="s">
        <v>38</v>
      </c>
      <c r="I77" s="2">
        <v>1</v>
      </c>
      <c r="J77" s="2">
        <v>98</v>
      </c>
      <c r="K77" s="2">
        <v>3</v>
      </c>
      <c r="L77" s="2" t="s">
        <v>39</v>
      </c>
      <c r="M77" s="2">
        <v>61</v>
      </c>
      <c r="N77" s="2">
        <v>3</v>
      </c>
      <c r="O77" s="2">
        <v>2</v>
      </c>
      <c r="P77" s="2" t="s">
        <v>53</v>
      </c>
      <c r="Q77" s="2">
        <v>4</v>
      </c>
      <c r="R77" s="2" t="s">
        <v>41</v>
      </c>
      <c r="S77" s="2">
        <v>4424</v>
      </c>
      <c r="T77" s="2">
        <v>20682</v>
      </c>
      <c r="U77" s="2">
        <v>1</v>
      </c>
      <c r="V77" s="2" t="s">
        <v>42</v>
      </c>
      <c r="W77" s="2" t="s">
        <v>43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</row>
    <row r="78" spans="1:35" x14ac:dyDescent="0.25">
      <c r="A78" s="2">
        <v>35</v>
      </c>
      <c r="B78" s="2" t="s">
        <v>43</v>
      </c>
      <c r="C78" s="2" t="s">
        <v>36</v>
      </c>
      <c r="D78" s="2">
        <v>776</v>
      </c>
      <c r="E78" s="2" t="s">
        <v>37</v>
      </c>
      <c r="F78" s="2">
        <v>1</v>
      </c>
      <c r="G78" s="2">
        <v>4</v>
      </c>
      <c r="H78" s="2" t="s">
        <v>59</v>
      </c>
      <c r="I78" s="2">
        <v>1</v>
      </c>
      <c r="J78" s="2">
        <v>100</v>
      </c>
      <c r="K78" s="2">
        <v>3</v>
      </c>
      <c r="L78" s="2" t="s">
        <v>46</v>
      </c>
      <c r="M78" s="2">
        <v>32</v>
      </c>
      <c r="N78" s="2">
        <v>2</v>
      </c>
      <c r="O78" s="2">
        <v>2</v>
      </c>
      <c r="P78" s="2" t="s">
        <v>40</v>
      </c>
      <c r="Q78" s="2">
        <v>1</v>
      </c>
      <c r="R78" s="2" t="s">
        <v>41</v>
      </c>
      <c r="S78" s="2">
        <v>4312</v>
      </c>
      <c r="T78" s="2">
        <v>23016</v>
      </c>
      <c r="U78" s="2">
        <v>0</v>
      </c>
      <c r="V78" s="2" t="s">
        <v>42</v>
      </c>
      <c r="W78" s="2" t="s">
        <v>43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</row>
    <row r="79" spans="1:35" x14ac:dyDescent="0.25">
      <c r="A79" s="2">
        <v>45</v>
      </c>
      <c r="B79" s="2" t="s">
        <v>43</v>
      </c>
      <c r="C79" s="2" t="s">
        <v>36</v>
      </c>
      <c r="D79" s="2">
        <v>193</v>
      </c>
      <c r="E79" s="2" t="s">
        <v>45</v>
      </c>
      <c r="F79" s="2">
        <v>6</v>
      </c>
      <c r="G79" s="2">
        <v>4</v>
      </c>
      <c r="H79" s="2" t="s">
        <v>49</v>
      </c>
      <c r="I79" s="2">
        <v>1</v>
      </c>
      <c r="J79" s="2">
        <v>101</v>
      </c>
      <c r="K79" s="2">
        <v>4</v>
      </c>
      <c r="L79" s="2" t="s">
        <v>46</v>
      </c>
      <c r="M79" s="2">
        <v>52</v>
      </c>
      <c r="N79" s="2">
        <v>3</v>
      </c>
      <c r="O79" s="2">
        <v>3</v>
      </c>
      <c r="P79" s="2" t="s">
        <v>58</v>
      </c>
      <c r="Q79" s="2">
        <v>1</v>
      </c>
      <c r="R79" s="2" t="s">
        <v>48</v>
      </c>
      <c r="S79" s="2">
        <v>13245</v>
      </c>
      <c r="T79" s="2">
        <v>15067</v>
      </c>
      <c r="U79" s="2">
        <v>4</v>
      </c>
      <c r="V79" s="2" t="s">
        <v>42</v>
      </c>
      <c r="W79" s="2" t="s">
        <v>35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</row>
    <row r="80" spans="1:35" x14ac:dyDescent="0.25">
      <c r="A80" s="2">
        <v>37</v>
      </c>
      <c r="B80" s="2" t="s">
        <v>43</v>
      </c>
      <c r="C80" s="2" t="s">
        <v>36</v>
      </c>
      <c r="D80" s="2">
        <v>397</v>
      </c>
      <c r="E80" s="2" t="s">
        <v>45</v>
      </c>
      <c r="F80" s="2">
        <v>7</v>
      </c>
      <c r="G80" s="2">
        <v>4</v>
      </c>
      <c r="H80" s="2" t="s">
        <v>51</v>
      </c>
      <c r="I80" s="2">
        <v>1</v>
      </c>
      <c r="J80" s="2">
        <v>102</v>
      </c>
      <c r="K80" s="2">
        <v>1</v>
      </c>
      <c r="L80" s="2" t="s">
        <v>46</v>
      </c>
      <c r="M80" s="2">
        <v>30</v>
      </c>
      <c r="N80" s="2">
        <v>3</v>
      </c>
      <c r="O80" s="2">
        <v>3</v>
      </c>
      <c r="P80" s="2" t="s">
        <v>58</v>
      </c>
      <c r="Q80" s="2">
        <v>3</v>
      </c>
      <c r="R80" s="2" t="s">
        <v>41</v>
      </c>
      <c r="S80" s="2">
        <v>13664</v>
      </c>
      <c r="T80" s="2">
        <v>25258</v>
      </c>
      <c r="U80" s="2">
        <v>4</v>
      </c>
      <c r="V80" s="2" t="s">
        <v>42</v>
      </c>
      <c r="W80" s="2" t="s">
        <v>43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</row>
    <row r="81" spans="1:35" x14ac:dyDescent="0.25">
      <c r="A81" s="2">
        <v>46</v>
      </c>
      <c r="B81" s="2" t="s">
        <v>43</v>
      </c>
      <c r="C81" s="2" t="s">
        <v>36</v>
      </c>
      <c r="D81" s="2">
        <v>945</v>
      </c>
      <c r="E81" s="2" t="s">
        <v>61</v>
      </c>
      <c r="F81" s="2">
        <v>5</v>
      </c>
      <c r="G81" s="2">
        <v>2</v>
      </c>
      <c r="H81" s="2" t="s">
        <v>51</v>
      </c>
      <c r="I81" s="2">
        <v>1</v>
      </c>
      <c r="J81" s="2">
        <v>103</v>
      </c>
      <c r="K81" s="2">
        <v>2</v>
      </c>
      <c r="L81" s="2" t="s">
        <v>46</v>
      </c>
      <c r="M81" s="2">
        <v>80</v>
      </c>
      <c r="N81" s="2">
        <v>3</v>
      </c>
      <c r="O81" s="2">
        <v>2</v>
      </c>
      <c r="P81" s="2" t="s">
        <v>61</v>
      </c>
      <c r="Q81" s="2">
        <v>2</v>
      </c>
      <c r="R81" s="2" t="s">
        <v>52</v>
      </c>
      <c r="S81" s="2">
        <v>5021</v>
      </c>
      <c r="T81" s="2">
        <v>10425</v>
      </c>
      <c r="U81" s="2">
        <v>8</v>
      </c>
      <c r="V81" s="2" t="s">
        <v>42</v>
      </c>
      <c r="W81" s="2" t="s">
        <v>35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</row>
    <row r="82" spans="1:35" x14ac:dyDescent="0.25">
      <c r="A82" s="2">
        <v>30</v>
      </c>
      <c r="B82" s="2" t="s">
        <v>43</v>
      </c>
      <c r="C82" s="2" t="s">
        <v>36</v>
      </c>
      <c r="D82" s="2">
        <v>852</v>
      </c>
      <c r="E82" s="2" t="s">
        <v>45</v>
      </c>
      <c r="F82" s="2">
        <v>1</v>
      </c>
      <c r="G82" s="2">
        <v>1</v>
      </c>
      <c r="H82" s="2" t="s">
        <v>38</v>
      </c>
      <c r="I82" s="2">
        <v>1</v>
      </c>
      <c r="J82" s="2">
        <v>104</v>
      </c>
      <c r="K82" s="2">
        <v>4</v>
      </c>
      <c r="L82" s="2" t="s">
        <v>46</v>
      </c>
      <c r="M82" s="2">
        <v>55</v>
      </c>
      <c r="N82" s="2">
        <v>2</v>
      </c>
      <c r="O82" s="2">
        <v>2</v>
      </c>
      <c r="P82" s="2" t="s">
        <v>50</v>
      </c>
      <c r="Q82" s="2">
        <v>4</v>
      </c>
      <c r="R82" s="2" t="s">
        <v>48</v>
      </c>
      <c r="S82" s="2">
        <v>5126</v>
      </c>
      <c r="T82" s="2">
        <v>15998</v>
      </c>
      <c r="U82" s="2">
        <v>1</v>
      </c>
      <c r="V82" s="2" t="s">
        <v>42</v>
      </c>
      <c r="W82" s="2" t="s">
        <v>35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</row>
    <row r="83" spans="1:35" x14ac:dyDescent="0.25">
      <c r="A83" s="2">
        <v>35</v>
      </c>
      <c r="B83" s="2" t="s">
        <v>43</v>
      </c>
      <c r="C83" s="2" t="s">
        <v>36</v>
      </c>
      <c r="D83" s="2">
        <v>1214</v>
      </c>
      <c r="E83" s="2" t="s">
        <v>45</v>
      </c>
      <c r="F83" s="2">
        <v>1</v>
      </c>
      <c r="G83" s="2">
        <v>3</v>
      </c>
      <c r="H83" s="2" t="s">
        <v>51</v>
      </c>
      <c r="I83" s="2">
        <v>1</v>
      </c>
      <c r="J83" s="2">
        <v>105</v>
      </c>
      <c r="K83" s="2">
        <v>2</v>
      </c>
      <c r="L83" s="2" t="s">
        <v>46</v>
      </c>
      <c r="M83" s="2">
        <v>30</v>
      </c>
      <c r="N83" s="2">
        <v>2</v>
      </c>
      <c r="O83" s="2">
        <v>1</v>
      </c>
      <c r="P83" s="2" t="s">
        <v>47</v>
      </c>
      <c r="Q83" s="2">
        <v>3</v>
      </c>
      <c r="R83" s="2" t="s">
        <v>41</v>
      </c>
      <c r="S83" s="2">
        <v>2859</v>
      </c>
      <c r="T83" s="2">
        <v>26278</v>
      </c>
      <c r="U83" s="2">
        <v>1</v>
      </c>
      <c r="V83" s="2" t="s">
        <v>42</v>
      </c>
      <c r="W83" s="2" t="s">
        <v>43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</row>
    <row r="84" spans="1:35" x14ac:dyDescent="0.25">
      <c r="A84" s="2">
        <v>55</v>
      </c>
      <c r="B84" s="2" t="s">
        <v>43</v>
      </c>
      <c r="C84" s="2" t="s">
        <v>36</v>
      </c>
      <c r="D84" s="2">
        <v>111</v>
      </c>
      <c r="E84" s="2" t="s">
        <v>37</v>
      </c>
      <c r="F84" s="2">
        <v>1</v>
      </c>
      <c r="G84" s="2">
        <v>2</v>
      </c>
      <c r="H84" s="2" t="s">
        <v>38</v>
      </c>
      <c r="I84" s="2">
        <v>1</v>
      </c>
      <c r="J84" s="2">
        <v>106</v>
      </c>
      <c r="K84" s="2">
        <v>1</v>
      </c>
      <c r="L84" s="2" t="s">
        <v>46</v>
      </c>
      <c r="M84" s="2">
        <v>70</v>
      </c>
      <c r="N84" s="2">
        <v>3</v>
      </c>
      <c r="O84" s="2">
        <v>3</v>
      </c>
      <c r="P84" s="2" t="s">
        <v>40</v>
      </c>
      <c r="Q84" s="2">
        <v>4</v>
      </c>
      <c r="R84" s="2" t="s">
        <v>48</v>
      </c>
      <c r="S84" s="2">
        <v>10239</v>
      </c>
      <c r="T84" s="2">
        <v>18092</v>
      </c>
      <c r="U84" s="2">
        <v>3</v>
      </c>
      <c r="V84" s="2" t="s">
        <v>42</v>
      </c>
      <c r="W84" s="2" t="s">
        <v>43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</row>
    <row r="85" spans="1:35" x14ac:dyDescent="0.25">
      <c r="A85" s="2">
        <v>38</v>
      </c>
      <c r="B85" s="2" t="s">
        <v>43</v>
      </c>
      <c r="C85" s="2" t="s">
        <v>55</v>
      </c>
      <c r="D85" s="2">
        <v>573</v>
      </c>
      <c r="E85" s="2" t="s">
        <v>45</v>
      </c>
      <c r="F85" s="2">
        <v>6</v>
      </c>
      <c r="G85" s="2">
        <v>3</v>
      </c>
      <c r="H85" s="2" t="s">
        <v>51</v>
      </c>
      <c r="I85" s="2">
        <v>1</v>
      </c>
      <c r="J85" s="2">
        <v>107</v>
      </c>
      <c r="K85" s="2">
        <v>2</v>
      </c>
      <c r="L85" s="2" t="s">
        <v>39</v>
      </c>
      <c r="M85" s="2">
        <v>79</v>
      </c>
      <c r="N85" s="2">
        <v>1</v>
      </c>
      <c r="O85" s="2">
        <v>2</v>
      </c>
      <c r="P85" s="2" t="s">
        <v>47</v>
      </c>
      <c r="Q85" s="2">
        <v>4</v>
      </c>
      <c r="R85" s="2" t="s">
        <v>52</v>
      </c>
      <c r="S85" s="2">
        <v>5329</v>
      </c>
      <c r="T85" s="2">
        <v>15717</v>
      </c>
      <c r="U85" s="2">
        <v>7</v>
      </c>
      <c r="V85" s="2" t="s">
        <v>42</v>
      </c>
      <c r="W85" s="2" t="s">
        <v>35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</row>
    <row r="86" spans="1:35" x14ac:dyDescent="0.25">
      <c r="A86" s="2">
        <v>34</v>
      </c>
      <c r="B86" s="2" t="s">
        <v>43</v>
      </c>
      <c r="C86" s="2" t="s">
        <v>36</v>
      </c>
      <c r="D86" s="2">
        <v>1153</v>
      </c>
      <c r="E86" s="2" t="s">
        <v>45</v>
      </c>
      <c r="F86" s="2">
        <v>1</v>
      </c>
      <c r="G86" s="2">
        <v>2</v>
      </c>
      <c r="H86" s="2" t="s">
        <v>51</v>
      </c>
      <c r="I86" s="2">
        <v>1</v>
      </c>
      <c r="J86" s="2">
        <v>110</v>
      </c>
      <c r="K86" s="2">
        <v>1</v>
      </c>
      <c r="L86" s="2" t="s">
        <v>46</v>
      </c>
      <c r="M86" s="2">
        <v>94</v>
      </c>
      <c r="N86" s="2">
        <v>3</v>
      </c>
      <c r="O86" s="2">
        <v>2</v>
      </c>
      <c r="P86" s="2" t="s">
        <v>53</v>
      </c>
      <c r="Q86" s="2">
        <v>2</v>
      </c>
      <c r="R86" s="2" t="s">
        <v>48</v>
      </c>
      <c r="S86" s="2">
        <v>4325</v>
      </c>
      <c r="T86" s="2">
        <v>17736</v>
      </c>
      <c r="U86" s="2">
        <v>1</v>
      </c>
      <c r="V86" s="2" t="s">
        <v>42</v>
      </c>
      <c r="W86" s="2" t="s">
        <v>43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</row>
    <row r="87" spans="1:35" x14ac:dyDescent="0.25">
      <c r="A87" s="2">
        <v>56</v>
      </c>
      <c r="B87" s="2" t="s">
        <v>43</v>
      </c>
      <c r="C87" s="2" t="s">
        <v>36</v>
      </c>
      <c r="D87" s="2">
        <v>1400</v>
      </c>
      <c r="E87" s="2" t="s">
        <v>45</v>
      </c>
      <c r="F87" s="2">
        <v>7</v>
      </c>
      <c r="G87" s="2">
        <v>3</v>
      </c>
      <c r="H87" s="2" t="s">
        <v>38</v>
      </c>
      <c r="I87" s="2">
        <v>1</v>
      </c>
      <c r="J87" s="2">
        <v>112</v>
      </c>
      <c r="K87" s="2">
        <v>4</v>
      </c>
      <c r="L87" s="2" t="s">
        <v>46</v>
      </c>
      <c r="M87" s="2">
        <v>49</v>
      </c>
      <c r="N87" s="2">
        <v>1</v>
      </c>
      <c r="O87" s="2">
        <v>3</v>
      </c>
      <c r="P87" s="2" t="s">
        <v>53</v>
      </c>
      <c r="Q87" s="2">
        <v>4</v>
      </c>
      <c r="R87" s="2" t="s">
        <v>41</v>
      </c>
      <c r="S87" s="2">
        <v>7260</v>
      </c>
      <c r="T87" s="2">
        <v>21698</v>
      </c>
      <c r="U87" s="2">
        <v>4</v>
      </c>
      <c r="V87" s="2" t="s">
        <v>42</v>
      </c>
      <c r="W87" s="2" t="s">
        <v>43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</row>
    <row r="88" spans="1:35" x14ac:dyDescent="0.25">
      <c r="A88" s="2">
        <v>23</v>
      </c>
      <c r="B88" s="2" t="s">
        <v>43</v>
      </c>
      <c r="C88" s="2" t="s">
        <v>36</v>
      </c>
      <c r="D88" s="2">
        <v>541</v>
      </c>
      <c r="E88" s="2" t="s">
        <v>37</v>
      </c>
      <c r="F88" s="2">
        <v>2</v>
      </c>
      <c r="G88" s="2">
        <v>1</v>
      </c>
      <c r="H88" s="2" t="s">
        <v>60</v>
      </c>
      <c r="I88" s="2">
        <v>1</v>
      </c>
      <c r="J88" s="2">
        <v>113</v>
      </c>
      <c r="K88" s="2">
        <v>3</v>
      </c>
      <c r="L88" s="2" t="s">
        <v>46</v>
      </c>
      <c r="M88" s="2">
        <v>62</v>
      </c>
      <c r="N88" s="2">
        <v>3</v>
      </c>
      <c r="O88" s="2">
        <v>1</v>
      </c>
      <c r="P88" s="2" t="s">
        <v>57</v>
      </c>
      <c r="Q88" s="2">
        <v>1</v>
      </c>
      <c r="R88" s="2" t="s">
        <v>52</v>
      </c>
      <c r="S88" s="2">
        <v>2322</v>
      </c>
      <c r="T88" s="2">
        <v>9518</v>
      </c>
      <c r="U88" s="2">
        <v>3</v>
      </c>
      <c r="V88" s="2" t="s">
        <v>42</v>
      </c>
      <c r="W88" s="2" t="s">
        <v>43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</row>
    <row r="89" spans="1:35" x14ac:dyDescent="0.25">
      <c r="A89" s="2">
        <v>51</v>
      </c>
      <c r="B89" s="2" t="s">
        <v>43</v>
      </c>
      <c r="C89" s="2" t="s">
        <v>36</v>
      </c>
      <c r="D89" s="2">
        <v>432</v>
      </c>
      <c r="E89" s="2" t="s">
        <v>45</v>
      </c>
      <c r="F89" s="2">
        <v>9</v>
      </c>
      <c r="G89" s="2">
        <v>4</v>
      </c>
      <c r="H89" s="2" t="s">
        <v>38</v>
      </c>
      <c r="I89" s="2">
        <v>1</v>
      </c>
      <c r="J89" s="2">
        <v>116</v>
      </c>
      <c r="K89" s="2">
        <v>4</v>
      </c>
      <c r="L89" s="2" t="s">
        <v>46</v>
      </c>
      <c r="M89" s="2">
        <v>96</v>
      </c>
      <c r="N89" s="2">
        <v>3</v>
      </c>
      <c r="O89" s="2">
        <v>1</v>
      </c>
      <c r="P89" s="2" t="s">
        <v>50</v>
      </c>
      <c r="Q89" s="2">
        <v>4</v>
      </c>
      <c r="R89" s="2" t="s">
        <v>48</v>
      </c>
      <c r="S89" s="2">
        <v>2075</v>
      </c>
      <c r="T89" s="2">
        <v>18725</v>
      </c>
      <c r="U89" s="2">
        <v>3</v>
      </c>
      <c r="V89" s="2" t="s">
        <v>42</v>
      </c>
      <c r="W89" s="2" t="s">
        <v>43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</row>
    <row r="90" spans="1:35" x14ac:dyDescent="0.25">
      <c r="A90" s="2">
        <v>30</v>
      </c>
      <c r="B90" s="2" t="s">
        <v>43</v>
      </c>
      <c r="C90" s="2" t="s">
        <v>36</v>
      </c>
      <c r="D90" s="2">
        <v>288</v>
      </c>
      <c r="E90" s="2" t="s">
        <v>45</v>
      </c>
      <c r="F90" s="2">
        <v>2</v>
      </c>
      <c r="G90" s="2">
        <v>3</v>
      </c>
      <c r="H90" s="2" t="s">
        <v>38</v>
      </c>
      <c r="I90" s="2">
        <v>1</v>
      </c>
      <c r="J90" s="2">
        <v>117</v>
      </c>
      <c r="K90" s="2">
        <v>3</v>
      </c>
      <c r="L90" s="2" t="s">
        <v>46</v>
      </c>
      <c r="M90" s="2">
        <v>99</v>
      </c>
      <c r="N90" s="2">
        <v>2</v>
      </c>
      <c r="O90" s="2">
        <v>2</v>
      </c>
      <c r="P90" s="2" t="s">
        <v>54</v>
      </c>
      <c r="Q90" s="2">
        <v>4</v>
      </c>
      <c r="R90" s="2" t="s">
        <v>48</v>
      </c>
      <c r="S90" s="2">
        <v>4152</v>
      </c>
      <c r="T90" s="2">
        <v>15830</v>
      </c>
      <c r="U90" s="2">
        <v>1</v>
      </c>
      <c r="V90" s="2" t="s">
        <v>42</v>
      </c>
      <c r="W90" s="2" t="s">
        <v>43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</row>
    <row r="91" spans="1:35" x14ac:dyDescent="0.25">
      <c r="A91" s="2">
        <v>46</v>
      </c>
      <c r="B91" s="2" t="s">
        <v>35</v>
      </c>
      <c r="C91" s="2" t="s">
        <v>36</v>
      </c>
      <c r="D91" s="2">
        <v>669</v>
      </c>
      <c r="E91" s="2" t="s">
        <v>37</v>
      </c>
      <c r="F91" s="2">
        <v>9</v>
      </c>
      <c r="G91" s="2">
        <v>2</v>
      </c>
      <c r="H91" s="2" t="s">
        <v>51</v>
      </c>
      <c r="I91" s="2">
        <v>1</v>
      </c>
      <c r="J91" s="2">
        <v>118</v>
      </c>
      <c r="K91" s="2">
        <v>3</v>
      </c>
      <c r="L91" s="2" t="s">
        <v>46</v>
      </c>
      <c r="M91" s="2">
        <v>64</v>
      </c>
      <c r="N91" s="2">
        <v>2</v>
      </c>
      <c r="O91" s="2">
        <v>3</v>
      </c>
      <c r="P91" s="2" t="s">
        <v>40</v>
      </c>
      <c r="Q91" s="2">
        <v>4</v>
      </c>
      <c r="R91" s="2" t="s">
        <v>41</v>
      </c>
      <c r="S91" s="2">
        <v>9619</v>
      </c>
      <c r="T91" s="2">
        <v>13596</v>
      </c>
      <c r="U91" s="2">
        <v>1</v>
      </c>
      <c r="V91" s="2" t="s">
        <v>42</v>
      </c>
      <c r="W91" s="2" t="s">
        <v>43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</row>
    <row r="92" spans="1:35" x14ac:dyDescent="0.25">
      <c r="A92" s="2">
        <v>40</v>
      </c>
      <c r="B92" s="2" t="s">
        <v>43</v>
      </c>
      <c r="C92" s="2" t="s">
        <v>44</v>
      </c>
      <c r="D92" s="2">
        <v>530</v>
      </c>
      <c r="E92" s="2" t="s">
        <v>45</v>
      </c>
      <c r="F92" s="2">
        <v>1</v>
      </c>
      <c r="G92" s="2">
        <v>4</v>
      </c>
      <c r="H92" s="2" t="s">
        <v>38</v>
      </c>
      <c r="I92" s="2">
        <v>1</v>
      </c>
      <c r="J92" s="2">
        <v>119</v>
      </c>
      <c r="K92" s="2">
        <v>3</v>
      </c>
      <c r="L92" s="2" t="s">
        <v>46</v>
      </c>
      <c r="M92" s="2">
        <v>78</v>
      </c>
      <c r="N92" s="2">
        <v>2</v>
      </c>
      <c r="O92" s="2">
        <v>4</v>
      </c>
      <c r="P92" s="2" t="s">
        <v>54</v>
      </c>
      <c r="Q92" s="2">
        <v>2</v>
      </c>
      <c r="R92" s="2" t="s">
        <v>48</v>
      </c>
      <c r="S92" s="2">
        <v>13503</v>
      </c>
      <c r="T92" s="2">
        <v>14115</v>
      </c>
      <c r="U92" s="2">
        <v>1</v>
      </c>
      <c r="V92" s="2" t="s">
        <v>42</v>
      </c>
      <c r="W92" s="2" t="s">
        <v>43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</row>
    <row r="93" spans="1:35" x14ac:dyDescent="0.25">
      <c r="A93" s="2">
        <v>51</v>
      </c>
      <c r="B93" s="2" t="s">
        <v>43</v>
      </c>
      <c r="C93" s="2" t="s">
        <v>36</v>
      </c>
      <c r="D93" s="2">
        <v>632</v>
      </c>
      <c r="E93" s="2" t="s">
        <v>37</v>
      </c>
      <c r="F93" s="2">
        <v>21</v>
      </c>
      <c r="G93" s="2">
        <v>4</v>
      </c>
      <c r="H93" s="2" t="s">
        <v>59</v>
      </c>
      <c r="I93" s="2">
        <v>1</v>
      </c>
      <c r="J93" s="2">
        <v>120</v>
      </c>
      <c r="K93" s="2">
        <v>3</v>
      </c>
      <c r="L93" s="2" t="s">
        <v>46</v>
      </c>
      <c r="M93" s="2">
        <v>71</v>
      </c>
      <c r="N93" s="2">
        <v>3</v>
      </c>
      <c r="O93" s="2">
        <v>2</v>
      </c>
      <c r="P93" s="2" t="s">
        <v>40</v>
      </c>
      <c r="Q93" s="2">
        <v>4</v>
      </c>
      <c r="R93" s="2" t="s">
        <v>41</v>
      </c>
      <c r="S93" s="2">
        <v>5441</v>
      </c>
      <c r="T93" s="2">
        <v>8423</v>
      </c>
      <c r="U93" s="2">
        <v>0</v>
      </c>
      <c r="V93" s="2" t="s">
        <v>42</v>
      </c>
      <c r="W93" s="2" t="s">
        <v>35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</row>
    <row r="94" spans="1:35" x14ac:dyDescent="0.25">
      <c r="A94" s="2">
        <v>30</v>
      </c>
      <c r="B94" s="2" t="s">
        <v>43</v>
      </c>
      <c r="C94" s="2" t="s">
        <v>36</v>
      </c>
      <c r="D94" s="2">
        <v>1334</v>
      </c>
      <c r="E94" s="2" t="s">
        <v>37</v>
      </c>
      <c r="F94" s="2">
        <v>4</v>
      </c>
      <c r="G94" s="2">
        <v>2</v>
      </c>
      <c r="H94" s="2" t="s">
        <v>51</v>
      </c>
      <c r="I94" s="2">
        <v>1</v>
      </c>
      <c r="J94" s="2">
        <v>121</v>
      </c>
      <c r="K94" s="2">
        <v>3</v>
      </c>
      <c r="L94" s="2" t="s">
        <v>39</v>
      </c>
      <c r="M94" s="2">
        <v>63</v>
      </c>
      <c r="N94" s="2">
        <v>2</v>
      </c>
      <c r="O94" s="2">
        <v>2</v>
      </c>
      <c r="P94" s="2" t="s">
        <v>40</v>
      </c>
      <c r="Q94" s="2">
        <v>2</v>
      </c>
      <c r="R94" s="2" t="s">
        <v>52</v>
      </c>
      <c r="S94" s="2">
        <v>5209</v>
      </c>
      <c r="T94" s="2">
        <v>19760</v>
      </c>
      <c r="U94" s="2">
        <v>1</v>
      </c>
      <c r="V94" s="2" t="s">
        <v>42</v>
      </c>
      <c r="W94" s="2" t="s">
        <v>35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</row>
    <row r="95" spans="1:35" x14ac:dyDescent="0.25">
      <c r="A95" s="2">
        <v>46</v>
      </c>
      <c r="B95" s="2" t="s">
        <v>43</v>
      </c>
      <c r="C95" s="2" t="s">
        <v>44</v>
      </c>
      <c r="D95" s="2">
        <v>638</v>
      </c>
      <c r="E95" s="2" t="s">
        <v>45</v>
      </c>
      <c r="F95" s="2">
        <v>1</v>
      </c>
      <c r="G95" s="2">
        <v>3</v>
      </c>
      <c r="H95" s="2" t="s">
        <v>51</v>
      </c>
      <c r="I95" s="2">
        <v>1</v>
      </c>
      <c r="J95" s="2">
        <v>124</v>
      </c>
      <c r="K95" s="2">
        <v>3</v>
      </c>
      <c r="L95" s="2" t="s">
        <v>46</v>
      </c>
      <c r="M95" s="2">
        <v>40</v>
      </c>
      <c r="N95" s="2">
        <v>2</v>
      </c>
      <c r="O95" s="2">
        <v>3</v>
      </c>
      <c r="P95" s="2" t="s">
        <v>54</v>
      </c>
      <c r="Q95" s="2">
        <v>1</v>
      </c>
      <c r="R95" s="2" t="s">
        <v>48</v>
      </c>
      <c r="S95" s="2">
        <v>10673</v>
      </c>
      <c r="T95" s="2">
        <v>3142</v>
      </c>
      <c r="U95" s="2">
        <v>2</v>
      </c>
      <c r="V95" s="2" t="s">
        <v>42</v>
      </c>
      <c r="W95" s="2" t="s">
        <v>35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</row>
    <row r="96" spans="1:35" x14ac:dyDescent="0.25">
      <c r="A96" s="2">
        <v>32</v>
      </c>
      <c r="B96" s="2" t="s">
        <v>43</v>
      </c>
      <c r="C96" s="2" t="s">
        <v>36</v>
      </c>
      <c r="D96" s="2">
        <v>1093</v>
      </c>
      <c r="E96" s="2" t="s">
        <v>37</v>
      </c>
      <c r="F96" s="2">
        <v>6</v>
      </c>
      <c r="G96" s="2">
        <v>4</v>
      </c>
      <c r="H96" s="2" t="s">
        <v>51</v>
      </c>
      <c r="I96" s="2">
        <v>1</v>
      </c>
      <c r="J96" s="2">
        <v>125</v>
      </c>
      <c r="K96" s="2">
        <v>2</v>
      </c>
      <c r="L96" s="2" t="s">
        <v>46</v>
      </c>
      <c r="M96" s="2">
        <v>87</v>
      </c>
      <c r="N96" s="2">
        <v>3</v>
      </c>
      <c r="O96" s="2">
        <v>2</v>
      </c>
      <c r="P96" s="2" t="s">
        <v>40</v>
      </c>
      <c r="Q96" s="2">
        <v>3</v>
      </c>
      <c r="R96" s="2" t="s">
        <v>41</v>
      </c>
      <c r="S96" s="2">
        <v>5010</v>
      </c>
      <c r="T96" s="2">
        <v>24301</v>
      </c>
      <c r="U96" s="2">
        <v>1</v>
      </c>
      <c r="V96" s="2" t="s">
        <v>42</v>
      </c>
      <c r="W96" s="2" t="s">
        <v>43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</row>
    <row r="97" spans="1:35" x14ac:dyDescent="0.25">
      <c r="A97" s="2">
        <v>54</v>
      </c>
      <c r="B97" s="2" t="s">
        <v>43</v>
      </c>
      <c r="C97" s="2" t="s">
        <v>36</v>
      </c>
      <c r="D97" s="2">
        <v>1217</v>
      </c>
      <c r="E97" s="2" t="s">
        <v>45</v>
      </c>
      <c r="F97" s="2">
        <v>2</v>
      </c>
      <c r="G97" s="2">
        <v>4</v>
      </c>
      <c r="H97" s="2" t="s">
        <v>60</v>
      </c>
      <c r="I97" s="2">
        <v>1</v>
      </c>
      <c r="J97" s="2">
        <v>126</v>
      </c>
      <c r="K97" s="2">
        <v>1</v>
      </c>
      <c r="L97" s="2" t="s">
        <v>39</v>
      </c>
      <c r="M97" s="2">
        <v>60</v>
      </c>
      <c r="N97" s="2">
        <v>3</v>
      </c>
      <c r="O97" s="2">
        <v>3</v>
      </c>
      <c r="P97" s="2" t="s">
        <v>58</v>
      </c>
      <c r="Q97" s="2">
        <v>3</v>
      </c>
      <c r="R97" s="2" t="s">
        <v>48</v>
      </c>
      <c r="S97" s="2">
        <v>13549</v>
      </c>
      <c r="T97" s="2">
        <v>24001</v>
      </c>
      <c r="U97" s="2">
        <v>9</v>
      </c>
      <c r="V97" s="2" t="s">
        <v>42</v>
      </c>
      <c r="W97" s="2" t="s">
        <v>43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</row>
    <row r="98" spans="1:35" x14ac:dyDescent="0.25">
      <c r="A98" s="2">
        <v>24</v>
      </c>
      <c r="B98" s="2" t="s">
        <v>43</v>
      </c>
      <c r="C98" s="2" t="s">
        <v>36</v>
      </c>
      <c r="D98" s="2">
        <v>1353</v>
      </c>
      <c r="E98" s="2" t="s">
        <v>37</v>
      </c>
      <c r="F98" s="2">
        <v>3</v>
      </c>
      <c r="G98" s="2">
        <v>2</v>
      </c>
      <c r="H98" s="2" t="s">
        <v>49</v>
      </c>
      <c r="I98" s="2">
        <v>1</v>
      </c>
      <c r="J98" s="2">
        <v>128</v>
      </c>
      <c r="K98" s="2">
        <v>1</v>
      </c>
      <c r="L98" s="2" t="s">
        <v>39</v>
      </c>
      <c r="M98" s="2">
        <v>33</v>
      </c>
      <c r="N98" s="2">
        <v>3</v>
      </c>
      <c r="O98" s="2">
        <v>2</v>
      </c>
      <c r="P98" s="2" t="s">
        <v>40</v>
      </c>
      <c r="Q98" s="2">
        <v>3</v>
      </c>
      <c r="R98" s="2" t="s">
        <v>48</v>
      </c>
      <c r="S98" s="2">
        <v>4999</v>
      </c>
      <c r="T98" s="2">
        <v>17519</v>
      </c>
      <c r="U98" s="2">
        <v>0</v>
      </c>
      <c r="V98" s="2" t="s">
        <v>42</v>
      </c>
      <c r="W98" s="2" t="s">
        <v>43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</row>
    <row r="99" spans="1:35" x14ac:dyDescent="0.25">
      <c r="A99" s="2">
        <v>28</v>
      </c>
      <c r="B99" s="2" t="s">
        <v>43</v>
      </c>
      <c r="C99" s="2" t="s">
        <v>55</v>
      </c>
      <c r="D99" s="2">
        <v>120</v>
      </c>
      <c r="E99" s="2" t="s">
        <v>37</v>
      </c>
      <c r="F99" s="2">
        <v>4</v>
      </c>
      <c r="G99" s="2">
        <v>3</v>
      </c>
      <c r="H99" s="2" t="s">
        <v>51</v>
      </c>
      <c r="I99" s="2">
        <v>1</v>
      </c>
      <c r="J99" s="2">
        <v>129</v>
      </c>
      <c r="K99" s="2">
        <v>2</v>
      </c>
      <c r="L99" s="2" t="s">
        <v>46</v>
      </c>
      <c r="M99" s="2">
        <v>43</v>
      </c>
      <c r="N99" s="2">
        <v>3</v>
      </c>
      <c r="O99" s="2">
        <v>2</v>
      </c>
      <c r="P99" s="2" t="s">
        <v>40</v>
      </c>
      <c r="Q99" s="2">
        <v>3</v>
      </c>
      <c r="R99" s="2" t="s">
        <v>48</v>
      </c>
      <c r="S99" s="2">
        <v>4221</v>
      </c>
      <c r="T99" s="2">
        <v>8863</v>
      </c>
      <c r="U99" s="2">
        <v>1</v>
      </c>
      <c r="V99" s="2" t="s">
        <v>42</v>
      </c>
      <c r="W99" s="2" t="s">
        <v>43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</row>
    <row r="100" spans="1:35" x14ac:dyDescent="0.25">
      <c r="A100" s="2">
        <v>58</v>
      </c>
      <c r="B100" s="2" t="s">
        <v>43</v>
      </c>
      <c r="C100" s="2" t="s">
        <v>36</v>
      </c>
      <c r="D100" s="2">
        <v>682</v>
      </c>
      <c r="E100" s="2" t="s">
        <v>37</v>
      </c>
      <c r="F100" s="2">
        <v>10</v>
      </c>
      <c r="G100" s="2">
        <v>4</v>
      </c>
      <c r="H100" s="2" t="s">
        <v>51</v>
      </c>
      <c r="I100" s="2">
        <v>1</v>
      </c>
      <c r="J100" s="2">
        <v>131</v>
      </c>
      <c r="K100" s="2">
        <v>4</v>
      </c>
      <c r="L100" s="2" t="s">
        <v>46</v>
      </c>
      <c r="M100" s="2">
        <v>37</v>
      </c>
      <c r="N100" s="2">
        <v>3</v>
      </c>
      <c r="O100" s="2">
        <v>4</v>
      </c>
      <c r="P100" s="2" t="s">
        <v>40</v>
      </c>
      <c r="Q100" s="2">
        <v>3</v>
      </c>
      <c r="R100" s="2" t="s">
        <v>41</v>
      </c>
      <c r="S100" s="2">
        <v>13872</v>
      </c>
      <c r="T100" s="2">
        <v>24409</v>
      </c>
      <c r="U100" s="2">
        <v>0</v>
      </c>
      <c r="V100" s="2" t="s">
        <v>42</v>
      </c>
      <c r="W100" s="2" t="s">
        <v>43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</row>
    <row r="101" spans="1:35" x14ac:dyDescent="0.25">
      <c r="A101" s="2">
        <v>44</v>
      </c>
      <c r="B101" s="2" t="s">
        <v>43</v>
      </c>
      <c r="C101" s="2" t="s">
        <v>55</v>
      </c>
      <c r="D101" s="2">
        <v>489</v>
      </c>
      <c r="E101" s="2" t="s">
        <v>45</v>
      </c>
      <c r="F101" s="2">
        <v>23</v>
      </c>
      <c r="G101" s="2">
        <v>3</v>
      </c>
      <c r="H101" s="2" t="s">
        <v>51</v>
      </c>
      <c r="I101" s="2">
        <v>1</v>
      </c>
      <c r="J101" s="2">
        <v>132</v>
      </c>
      <c r="K101" s="2">
        <v>2</v>
      </c>
      <c r="L101" s="2" t="s">
        <v>46</v>
      </c>
      <c r="M101" s="2">
        <v>67</v>
      </c>
      <c r="N101" s="2">
        <v>3</v>
      </c>
      <c r="O101" s="2">
        <v>2</v>
      </c>
      <c r="P101" s="2" t="s">
        <v>50</v>
      </c>
      <c r="Q101" s="2">
        <v>2</v>
      </c>
      <c r="R101" s="2" t="s">
        <v>48</v>
      </c>
      <c r="S101" s="2">
        <v>2042</v>
      </c>
      <c r="T101" s="2">
        <v>25043</v>
      </c>
      <c r="U101" s="2">
        <v>4</v>
      </c>
      <c r="V101" s="2" t="s">
        <v>42</v>
      </c>
      <c r="W101" s="2" t="s">
        <v>43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</row>
    <row r="102" spans="1:35" x14ac:dyDescent="0.25">
      <c r="A102" s="2">
        <v>37</v>
      </c>
      <c r="B102" s="2" t="s">
        <v>35</v>
      </c>
      <c r="C102" s="2" t="s">
        <v>36</v>
      </c>
      <c r="D102" s="2">
        <v>807</v>
      </c>
      <c r="E102" s="2" t="s">
        <v>61</v>
      </c>
      <c r="F102" s="2">
        <v>6</v>
      </c>
      <c r="G102" s="2">
        <v>4</v>
      </c>
      <c r="H102" s="2" t="s">
        <v>61</v>
      </c>
      <c r="I102" s="2">
        <v>1</v>
      </c>
      <c r="J102" s="2">
        <v>133</v>
      </c>
      <c r="K102" s="2">
        <v>3</v>
      </c>
      <c r="L102" s="2" t="s">
        <v>46</v>
      </c>
      <c r="M102" s="2">
        <v>63</v>
      </c>
      <c r="N102" s="2">
        <v>3</v>
      </c>
      <c r="O102" s="2">
        <v>1</v>
      </c>
      <c r="P102" s="2" t="s">
        <v>61</v>
      </c>
      <c r="Q102" s="2">
        <v>1</v>
      </c>
      <c r="R102" s="2" t="s">
        <v>52</v>
      </c>
      <c r="S102" s="2">
        <v>2073</v>
      </c>
      <c r="T102" s="2">
        <v>23648</v>
      </c>
      <c r="U102" s="2">
        <v>4</v>
      </c>
      <c r="V102" s="2" t="s">
        <v>42</v>
      </c>
      <c r="W102" s="2" t="s">
        <v>35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2">
        <v>2</v>
      </c>
    </row>
    <row r="103" spans="1:35" x14ac:dyDescent="0.25">
      <c r="A103" s="2">
        <v>32</v>
      </c>
      <c r="B103" s="2" t="s">
        <v>43</v>
      </c>
      <c r="C103" s="2" t="s">
        <v>36</v>
      </c>
      <c r="D103" s="2">
        <v>827</v>
      </c>
      <c r="E103" s="2" t="s">
        <v>45</v>
      </c>
      <c r="F103" s="2">
        <v>1</v>
      </c>
      <c r="G103" s="2">
        <v>1</v>
      </c>
      <c r="H103" s="2" t="s">
        <v>38</v>
      </c>
      <c r="I103" s="2">
        <v>1</v>
      </c>
      <c r="J103" s="2">
        <v>134</v>
      </c>
      <c r="K103" s="2">
        <v>4</v>
      </c>
      <c r="L103" s="2" t="s">
        <v>46</v>
      </c>
      <c r="M103" s="2">
        <v>71</v>
      </c>
      <c r="N103" s="2">
        <v>3</v>
      </c>
      <c r="O103" s="2">
        <v>1</v>
      </c>
      <c r="P103" s="2" t="s">
        <v>47</v>
      </c>
      <c r="Q103" s="2">
        <v>1</v>
      </c>
      <c r="R103" s="2" t="s">
        <v>41</v>
      </c>
      <c r="S103" s="2">
        <v>2956</v>
      </c>
      <c r="T103" s="2">
        <v>15178</v>
      </c>
      <c r="U103" s="2">
        <v>1</v>
      </c>
      <c r="V103" s="2" t="s">
        <v>42</v>
      </c>
      <c r="W103" s="2" t="s">
        <v>43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</row>
    <row r="104" spans="1:35" x14ac:dyDescent="0.25">
      <c r="A104" s="2">
        <v>20</v>
      </c>
      <c r="B104" s="2" t="s">
        <v>35</v>
      </c>
      <c r="C104" s="2" t="s">
        <v>44</v>
      </c>
      <c r="D104" s="2">
        <v>871</v>
      </c>
      <c r="E104" s="2" t="s">
        <v>45</v>
      </c>
      <c r="F104" s="2">
        <v>6</v>
      </c>
      <c r="G104" s="2">
        <v>3</v>
      </c>
      <c r="H104" s="2" t="s">
        <v>38</v>
      </c>
      <c r="I104" s="2">
        <v>1</v>
      </c>
      <c r="J104" s="2">
        <v>137</v>
      </c>
      <c r="K104" s="2">
        <v>4</v>
      </c>
      <c r="L104" s="2" t="s">
        <v>39</v>
      </c>
      <c r="M104" s="2">
        <v>66</v>
      </c>
      <c r="N104" s="2">
        <v>2</v>
      </c>
      <c r="O104" s="2">
        <v>1</v>
      </c>
      <c r="P104" s="2" t="s">
        <v>50</v>
      </c>
      <c r="Q104" s="2">
        <v>4</v>
      </c>
      <c r="R104" s="2" t="s">
        <v>41</v>
      </c>
      <c r="S104" s="2">
        <v>2926</v>
      </c>
      <c r="T104" s="2">
        <v>19783</v>
      </c>
      <c r="U104" s="2">
        <v>1</v>
      </c>
      <c r="V104" s="2" t="s">
        <v>42</v>
      </c>
      <c r="W104" s="2" t="s">
        <v>35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</row>
    <row r="105" spans="1:35" x14ac:dyDescent="0.25">
      <c r="A105" s="2">
        <v>34</v>
      </c>
      <c r="B105" s="2" t="s">
        <v>43</v>
      </c>
      <c r="C105" s="2" t="s">
        <v>36</v>
      </c>
      <c r="D105" s="2">
        <v>665</v>
      </c>
      <c r="E105" s="2" t="s">
        <v>45</v>
      </c>
      <c r="F105" s="2">
        <v>6</v>
      </c>
      <c r="G105" s="2">
        <v>4</v>
      </c>
      <c r="H105" s="2" t="s">
        <v>49</v>
      </c>
      <c r="I105" s="2">
        <v>1</v>
      </c>
      <c r="J105" s="2">
        <v>138</v>
      </c>
      <c r="K105" s="2">
        <v>1</v>
      </c>
      <c r="L105" s="2" t="s">
        <v>39</v>
      </c>
      <c r="M105" s="2">
        <v>41</v>
      </c>
      <c r="N105" s="2">
        <v>3</v>
      </c>
      <c r="O105" s="2">
        <v>2</v>
      </c>
      <c r="P105" s="2" t="s">
        <v>47</v>
      </c>
      <c r="Q105" s="2">
        <v>3</v>
      </c>
      <c r="R105" s="2" t="s">
        <v>41</v>
      </c>
      <c r="S105" s="2">
        <v>4809</v>
      </c>
      <c r="T105" s="2">
        <v>12482</v>
      </c>
      <c r="U105" s="2">
        <v>1</v>
      </c>
      <c r="V105" s="2" t="s">
        <v>42</v>
      </c>
      <c r="W105" s="2" t="s">
        <v>43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</row>
    <row r="106" spans="1:35" x14ac:dyDescent="0.25">
      <c r="A106" s="2">
        <v>37</v>
      </c>
      <c r="B106" s="2" t="s">
        <v>43</v>
      </c>
      <c r="C106" s="2" t="s">
        <v>55</v>
      </c>
      <c r="D106" s="2">
        <v>1040</v>
      </c>
      <c r="E106" s="2" t="s">
        <v>45</v>
      </c>
      <c r="F106" s="2">
        <v>2</v>
      </c>
      <c r="G106" s="2">
        <v>2</v>
      </c>
      <c r="H106" s="2" t="s">
        <v>38</v>
      </c>
      <c r="I106" s="2">
        <v>1</v>
      </c>
      <c r="J106" s="2">
        <v>139</v>
      </c>
      <c r="K106" s="2">
        <v>3</v>
      </c>
      <c r="L106" s="2" t="s">
        <v>46</v>
      </c>
      <c r="M106" s="2">
        <v>100</v>
      </c>
      <c r="N106" s="2">
        <v>2</v>
      </c>
      <c r="O106" s="2">
        <v>2</v>
      </c>
      <c r="P106" s="2" t="s">
        <v>54</v>
      </c>
      <c r="Q106" s="2">
        <v>4</v>
      </c>
      <c r="R106" s="2" t="s">
        <v>52</v>
      </c>
      <c r="S106" s="2">
        <v>5163</v>
      </c>
      <c r="T106" s="2">
        <v>15850</v>
      </c>
      <c r="U106" s="2">
        <v>5</v>
      </c>
      <c r="V106" s="2" t="s">
        <v>42</v>
      </c>
      <c r="W106" s="2" t="s">
        <v>43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</row>
    <row r="107" spans="1:35" x14ac:dyDescent="0.25">
      <c r="A107" s="2">
        <v>59</v>
      </c>
      <c r="B107" s="2" t="s">
        <v>43</v>
      </c>
      <c r="C107" s="2" t="s">
        <v>55</v>
      </c>
      <c r="D107" s="2">
        <v>1420</v>
      </c>
      <c r="E107" s="2" t="s">
        <v>61</v>
      </c>
      <c r="F107" s="2">
        <v>2</v>
      </c>
      <c r="G107" s="2">
        <v>4</v>
      </c>
      <c r="H107" s="2" t="s">
        <v>61</v>
      </c>
      <c r="I107" s="2">
        <v>1</v>
      </c>
      <c r="J107" s="2">
        <v>140</v>
      </c>
      <c r="K107" s="2">
        <v>3</v>
      </c>
      <c r="L107" s="2" t="s">
        <v>39</v>
      </c>
      <c r="M107" s="2">
        <v>32</v>
      </c>
      <c r="N107" s="2">
        <v>2</v>
      </c>
      <c r="O107" s="2">
        <v>5</v>
      </c>
      <c r="P107" s="2" t="s">
        <v>56</v>
      </c>
      <c r="Q107" s="2">
        <v>4</v>
      </c>
      <c r="R107" s="2" t="s">
        <v>48</v>
      </c>
      <c r="S107" s="2">
        <v>18844</v>
      </c>
      <c r="T107" s="2">
        <v>21922</v>
      </c>
      <c r="U107" s="2">
        <v>9</v>
      </c>
      <c r="V107" s="2" t="s">
        <v>42</v>
      </c>
      <c r="W107" s="2" t="s">
        <v>43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</row>
    <row r="108" spans="1:35" x14ac:dyDescent="0.25">
      <c r="A108" s="2">
        <v>50</v>
      </c>
      <c r="B108" s="2" t="s">
        <v>43</v>
      </c>
      <c r="C108" s="2" t="s">
        <v>44</v>
      </c>
      <c r="D108" s="2">
        <v>1115</v>
      </c>
      <c r="E108" s="2" t="s">
        <v>45</v>
      </c>
      <c r="F108" s="2">
        <v>1</v>
      </c>
      <c r="G108" s="2">
        <v>3</v>
      </c>
      <c r="H108" s="2" t="s">
        <v>38</v>
      </c>
      <c r="I108" s="2">
        <v>1</v>
      </c>
      <c r="J108" s="2">
        <v>141</v>
      </c>
      <c r="K108" s="2">
        <v>1</v>
      </c>
      <c r="L108" s="2" t="s">
        <v>39</v>
      </c>
      <c r="M108" s="2">
        <v>73</v>
      </c>
      <c r="N108" s="2">
        <v>3</v>
      </c>
      <c r="O108" s="2">
        <v>5</v>
      </c>
      <c r="P108" s="2" t="s">
        <v>58</v>
      </c>
      <c r="Q108" s="2">
        <v>2</v>
      </c>
      <c r="R108" s="2" t="s">
        <v>48</v>
      </c>
      <c r="S108" s="2">
        <v>18172</v>
      </c>
      <c r="T108" s="2">
        <v>9755</v>
      </c>
      <c r="U108" s="2">
        <v>3</v>
      </c>
      <c r="V108" s="2" t="s">
        <v>42</v>
      </c>
      <c r="W108" s="2" t="s">
        <v>35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</row>
    <row r="109" spans="1:35" x14ac:dyDescent="0.25">
      <c r="A109" s="2">
        <v>25</v>
      </c>
      <c r="B109" s="2" t="s">
        <v>35</v>
      </c>
      <c r="C109" s="2" t="s">
        <v>36</v>
      </c>
      <c r="D109" s="2">
        <v>240</v>
      </c>
      <c r="E109" s="2" t="s">
        <v>37</v>
      </c>
      <c r="F109" s="2">
        <v>5</v>
      </c>
      <c r="G109" s="2">
        <v>3</v>
      </c>
      <c r="H109" s="2" t="s">
        <v>59</v>
      </c>
      <c r="I109" s="2">
        <v>1</v>
      </c>
      <c r="J109" s="2">
        <v>142</v>
      </c>
      <c r="K109" s="2">
        <v>3</v>
      </c>
      <c r="L109" s="2" t="s">
        <v>46</v>
      </c>
      <c r="M109" s="2">
        <v>46</v>
      </c>
      <c r="N109" s="2">
        <v>2</v>
      </c>
      <c r="O109" s="2">
        <v>2</v>
      </c>
      <c r="P109" s="2" t="s">
        <v>40</v>
      </c>
      <c r="Q109" s="2">
        <v>3</v>
      </c>
      <c r="R109" s="2" t="s">
        <v>41</v>
      </c>
      <c r="S109" s="2">
        <v>5744</v>
      </c>
      <c r="T109" s="2">
        <v>26959</v>
      </c>
      <c r="U109" s="2">
        <v>1</v>
      </c>
      <c r="V109" s="2" t="s">
        <v>42</v>
      </c>
      <c r="W109" s="2" t="s">
        <v>35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</row>
    <row r="110" spans="1:35" x14ac:dyDescent="0.25">
      <c r="A110" s="2">
        <v>25</v>
      </c>
      <c r="B110" s="2" t="s">
        <v>43</v>
      </c>
      <c r="C110" s="2" t="s">
        <v>36</v>
      </c>
      <c r="D110" s="2">
        <v>1280</v>
      </c>
      <c r="E110" s="2" t="s">
        <v>45</v>
      </c>
      <c r="F110" s="2">
        <v>7</v>
      </c>
      <c r="G110" s="2">
        <v>1</v>
      </c>
      <c r="H110" s="2" t="s">
        <v>51</v>
      </c>
      <c r="I110" s="2">
        <v>1</v>
      </c>
      <c r="J110" s="2">
        <v>143</v>
      </c>
      <c r="K110" s="2">
        <v>4</v>
      </c>
      <c r="L110" s="2" t="s">
        <v>46</v>
      </c>
      <c r="M110" s="2">
        <v>64</v>
      </c>
      <c r="N110" s="2">
        <v>2</v>
      </c>
      <c r="O110" s="2">
        <v>1</v>
      </c>
      <c r="P110" s="2" t="s">
        <v>47</v>
      </c>
      <c r="Q110" s="2">
        <v>4</v>
      </c>
      <c r="R110" s="2" t="s">
        <v>48</v>
      </c>
      <c r="S110" s="2">
        <v>2889</v>
      </c>
      <c r="T110" s="2">
        <v>26897</v>
      </c>
      <c r="U110" s="2">
        <v>1</v>
      </c>
      <c r="V110" s="2" t="s">
        <v>42</v>
      </c>
      <c r="W110" s="2" t="s">
        <v>43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</row>
    <row r="111" spans="1:35" x14ac:dyDescent="0.25">
      <c r="A111" s="2">
        <v>22</v>
      </c>
      <c r="B111" s="2" t="s">
        <v>43</v>
      </c>
      <c r="C111" s="2" t="s">
        <v>36</v>
      </c>
      <c r="D111" s="2">
        <v>534</v>
      </c>
      <c r="E111" s="2" t="s">
        <v>45</v>
      </c>
      <c r="F111" s="2">
        <v>15</v>
      </c>
      <c r="G111" s="2">
        <v>3</v>
      </c>
      <c r="H111" s="2" t="s">
        <v>51</v>
      </c>
      <c r="I111" s="2">
        <v>1</v>
      </c>
      <c r="J111" s="2">
        <v>144</v>
      </c>
      <c r="K111" s="2">
        <v>2</v>
      </c>
      <c r="L111" s="2" t="s">
        <v>39</v>
      </c>
      <c r="M111" s="2">
        <v>59</v>
      </c>
      <c r="N111" s="2">
        <v>3</v>
      </c>
      <c r="O111" s="2">
        <v>1</v>
      </c>
      <c r="P111" s="2" t="s">
        <v>50</v>
      </c>
      <c r="Q111" s="2">
        <v>4</v>
      </c>
      <c r="R111" s="2" t="s">
        <v>41</v>
      </c>
      <c r="S111" s="2">
        <v>2871</v>
      </c>
      <c r="T111" s="2">
        <v>23785</v>
      </c>
      <c r="U111" s="2">
        <v>1</v>
      </c>
      <c r="V111" s="2" t="s">
        <v>42</v>
      </c>
      <c r="W111" s="2" t="s">
        <v>43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</row>
    <row r="112" spans="1:35" x14ac:dyDescent="0.25">
      <c r="A112" s="2">
        <v>51</v>
      </c>
      <c r="B112" s="2" t="s">
        <v>43</v>
      </c>
      <c r="C112" s="2" t="s">
        <v>44</v>
      </c>
      <c r="D112" s="2">
        <v>1456</v>
      </c>
      <c r="E112" s="2" t="s">
        <v>45</v>
      </c>
      <c r="F112" s="2">
        <v>1</v>
      </c>
      <c r="G112" s="2">
        <v>4</v>
      </c>
      <c r="H112" s="2" t="s">
        <v>51</v>
      </c>
      <c r="I112" s="2">
        <v>1</v>
      </c>
      <c r="J112" s="2">
        <v>145</v>
      </c>
      <c r="K112" s="2">
        <v>1</v>
      </c>
      <c r="L112" s="2" t="s">
        <v>39</v>
      </c>
      <c r="M112" s="2">
        <v>30</v>
      </c>
      <c r="N112" s="2">
        <v>2</v>
      </c>
      <c r="O112" s="2">
        <v>3</v>
      </c>
      <c r="P112" s="2" t="s">
        <v>54</v>
      </c>
      <c r="Q112" s="2">
        <v>1</v>
      </c>
      <c r="R112" s="2" t="s">
        <v>41</v>
      </c>
      <c r="S112" s="2">
        <v>7484</v>
      </c>
      <c r="T112" s="2">
        <v>25796</v>
      </c>
      <c r="U112" s="2">
        <v>3</v>
      </c>
      <c r="V112" s="2" t="s">
        <v>42</v>
      </c>
      <c r="W112" s="2" t="s">
        <v>43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</row>
    <row r="113" spans="1:35" x14ac:dyDescent="0.25">
      <c r="A113" s="2">
        <v>34</v>
      </c>
      <c r="B113" s="2" t="s">
        <v>35</v>
      </c>
      <c r="C113" s="2" t="s">
        <v>44</v>
      </c>
      <c r="D113" s="2">
        <v>658</v>
      </c>
      <c r="E113" s="2" t="s">
        <v>45</v>
      </c>
      <c r="F113" s="2">
        <v>7</v>
      </c>
      <c r="G113" s="2">
        <v>3</v>
      </c>
      <c r="H113" s="2" t="s">
        <v>38</v>
      </c>
      <c r="I113" s="2">
        <v>1</v>
      </c>
      <c r="J113" s="2">
        <v>147</v>
      </c>
      <c r="K113" s="2">
        <v>1</v>
      </c>
      <c r="L113" s="2" t="s">
        <v>46</v>
      </c>
      <c r="M113" s="2">
        <v>66</v>
      </c>
      <c r="N113" s="2">
        <v>1</v>
      </c>
      <c r="O113" s="2">
        <v>2</v>
      </c>
      <c r="P113" s="2" t="s">
        <v>50</v>
      </c>
      <c r="Q113" s="2">
        <v>3</v>
      </c>
      <c r="R113" s="2" t="s">
        <v>41</v>
      </c>
      <c r="S113" s="2">
        <v>6074</v>
      </c>
      <c r="T113" s="2">
        <v>22887</v>
      </c>
      <c r="U113" s="2">
        <v>1</v>
      </c>
      <c r="V113" s="2" t="s">
        <v>42</v>
      </c>
      <c r="W113" s="2" t="s">
        <v>35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</row>
    <row r="114" spans="1:35" x14ac:dyDescent="0.25">
      <c r="A114" s="2">
        <v>54</v>
      </c>
      <c r="B114" s="2" t="s">
        <v>43</v>
      </c>
      <c r="C114" s="2" t="s">
        <v>55</v>
      </c>
      <c r="D114" s="2">
        <v>142</v>
      </c>
      <c r="E114" s="2" t="s">
        <v>61</v>
      </c>
      <c r="F114" s="2">
        <v>26</v>
      </c>
      <c r="G114" s="2">
        <v>3</v>
      </c>
      <c r="H114" s="2" t="s">
        <v>61</v>
      </c>
      <c r="I114" s="2">
        <v>1</v>
      </c>
      <c r="J114" s="2">
        <v>148</v>
      </c>
      <c r="K114" s="2">
        <v>4</v>
      </c>
      <c r="L114" s="2" t="s">
        <v>39</v>
      </c>
      <c r="M114" s="2">
        <v>30</v>
      </c>
      <c r="N114" s="2">
        <v>4</v>
      </c>
      <c r="O114" s="2">
        <v>4</v>
      </c>
      <c r="P114" s="2" t="s">
        <v>56</v>
      </c>
      <c r="Q114" s="2">
        <v>4</v>
      </c>
      <c r="R114" s="2" t="s">
        <v>41</v>
      </c>
      <c r="S114" s="2">
        <v>17328</v>
      </c>
      <c r="T114" s="2">
        <v>13871</v>
      </c>
      <c r="U114" s="2">
        <v>2</v>
      </c>
      <c r="V114" s="2" t="s">
        <v>42</v>
      </c>
      <c r="W114" s="2" t="s">
        <v>35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</row>
    <row r="115" spans="1:35" x14ac:dyDescent="0.25">
      <c r="A115" s="2">
        <v>24</v>
      </c>
      <c r="B115" s="2" t="s">
        <v>43</v>
      </c>
      <c r="C115" s="2" t="s">
        <v>36</v>
      </c>
      <c r="D115" s="2">
        <v>1127</v>
      </c>
      <c r="E115" s="2" t="s">
        <v>45</v>
      </c>
      <c r="F115" s="2">
        <v>18</v>
      </c>
      <c r="G115" s="2">
        <v>1</v>
      </c>
      <c r="H115" s="2" t="s">
        <v>38</v>
      </c>
      <c r="I115" s="2">
        <v>1</v>
      </c>
      <c r="J115" s="2">
        <v>150</v>
      </c>
      <c r="K115" s="2">
        <v>2</v>
      </c>
      <c r="L115" s="2" t="s">
        <v>46</v>
      </c>
      <c r="M115" s="2">
        <v>52</v>
      </c>
      <c r="N115" s="2">
        <v>3</v>
      </c>
      <c r="O115" s="2">
        <v>1</v>
      </c>
      <c r="P115" s="2" t="s">
        <v>50</v>
      </c>
      <c r="Q115" s="2">
        <v>3</v>
      </c>
      <c r="R115" s="2" t="s">
        <v>48</v>
      </c>
      <c r="S115" s="2">
        <v>2774</v>
      </c>
      <c r="T115" s="2">
        <v>13257</v>
      </c>
      <c r="U115" s="2">
        <v>0</v>
      </c>
      <c r="V115" s="2" t="s">
        <v>42</v>
      </c>
      <c r="W115" s="2" t="s">
        <v>43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</row>
    <row r="116" spans="1:35" x14ac:dyDescent="0.25">
      <c r="A116" s="2">
        <v>34</v>
      </c>
      <c r="B116" s="2" t="s">
        <v>43</v>
      </c>
      <c r="C116" s="2" t="s">
        <v>36</v>
      </c>
      <c r="D116" s="2">
        <v>1031</v>
      </c>
      <c r="E116" s="2" t="s">
        <v>45</v>
      </c>
      <c r="F116" s="2">
        <v>6</v>
      </c>
      <c r="G116" s="2">
        <v>4</v>
      </c>
      <c r="H116" s="2" t="s">
        <v>38</v>
      </c>
      <c r="I116" s="2">
        <v>1</v>
      </c>
      <c r="J116" s="2">
        <v>151</v>
      </c>
      <c r="K116" s="2">
        <v>3</v>
      </c>
      <c r="L116" s="2" t="s">
        <v>39</v>
      </c>
      <c r="M116" s="2">
        <v>45</v>
      </c>
      <c r="N116" s="2">
        <v>2</v>
      </c>
      <c r="O116" s="2">
        <v>2</v>
      </c>
      <c r="P116" s="2" t="s">
        <v>47</v>
      </c>
      <c r="Q116" s="2">
        <v>2</v>
      </c>
      <c r="R116" s="2" t="s">
        <v>52</v>
      </c>
      <c r="S116" s="2">
        <v>4505</v>
      </c>
      <c r="T116" s="2">
        <v>15000</v>
      </c>
      <c r="U116" s="2">
        <v>6</v>
      </c>
      <c r="V116" s="2" t="s">
        <v>42</v>
      </c>
      <c r="W116" s="2" t="s">
        <v>43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</row>
    <row r="117" spans="1:35" x14ac:dyDescent="0.25">
      <c r="A117" s="2">
        <v>37</v>
      </c>
      <c r="B117" s="2" t="s">
        <v>43</v>
      </c>
      <c r="C117" s="2" t="s">
        <v>36</v>
      </c>
      <c r="D117" s="2">
        <v>1189</v>
      </c>
      <c r="E117" s="2" t="s">
        <v>37</v>
      </c>
      <c r="F117" s="2">
        <v>3</v>
      </c>
      <c r="G117" s="2">
        <v>3</v>
      </c>
      <c r="H117" s="2" t="s">
        <v>38</v>
      </c>
      <c r="I117" s="2">
        <v>1</v>
      </c>
      <c r="J117" s="2">
        <v>152</v>
      </c>
      <c r="K117" s="2">
        <v>3</v>
      </c>
      <c r="L117" s="2" t="s">
        <v>46</v>
      </c>
      <c r="M117" s="2">
        <v>87</v>
      </c>
      <c r="N117" s="2">
        <v>3</v>
      </c>
      <c r="O117" s="2">
        <v>3</v>
      </c>
      <c r="P117" s="2" t="s">
        <v>40</v>
      </c>
      <c r="Q117" s="2">
        <v>4</v>
      </c>
      <c r="R117" s="2" t="s">
        <v>41</v>
      </c>
      <c r="S117" s="2">
        <v>7428</v>
      </c>
      <c r="T117" s="2">
        <v>14506</v>
      </c>
      <c r="U117" s="2">
        <v>2</v>
      </c>
      <c r="V117" s="2" t="s">
        <v>42</v>
      </c>
      <c r="W117" s="2" t="s">
        <v>43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</row>
    <row r="118" spans="1:35" x14ac:dyDescent="0.25">
      <c r="A118" s="2">
        <v>34</v>
      </c>
      <c r="B118" s="2" t="s">
        <v>43</v>
      </c>
      <c r="C118" s="2" t="s">
        <v>36</v>
      </c>
      <c r="D118" s="2">
        <v>1354</v>
      </c>
      <c r="E118" s="2" t="s">
        <v>45</v>
      </c>
      <c r="F118" s="2">
        <v>5</v>
      </c>
      <c r="G118" s="2">
        <v>3</v>
      </c>
      <c r="H118" s="2" t="s">
        <v>51</v>
      </c>
      <c r="I118" s="2">
        <v>1</v>
      </c>
      <c r="J118" s="2">
        <v>153</v>
      </c>
      <c r="K118" s="2">
        <v>3</v>
      </c>
      <c r="L118" s="2" t="s">
        <v>39</v>
      </c>
      <c r="M118" s="2">
        <v>45</v>
      </c>
      <c r="N118" s="2">
        <v>2</v>
      </c>
      <c r="O118" s="2">
        <v>3</v>
      </c>
      <c r="P118" s="2" t="s">
        <v>56</v>
      </c>
      <c r="Q118" s="2">
        <v>1</v>
      </c>
      <c r="R118" s="2" t="s">
        <v>41</v>
      </c>
      <c r="S118" s="2">
        <v>11631</v>
      </c>
      <c r="T118" s="2">
        <v>5615</v>
      </c>
      <c r="U118" s="2">
        <v>2</v>
      </c>
      <c r="V118" s="2" t="s">
        <v>42</v>
      </c>
      <c r="W118" s="2" t="s">
        <v>43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</row>
    <row r="119" spans="1:35" x14ac:dyDescent="0.25">
      <c r="A119" s="2">
        <v>36</v>
      </c>
      <c r="B119" s="2" t="s">
        <v>43</v>
      </c>
      <c r="C119" s="2" t="s">
        <v>44</v>
      </c>
      <c r="D119" s="2">
        <v>1467</v>
      </c>
      <c r="E119" s="2" t="s">
        <v>37</v>
      </c>
      <c r="F119" s="2">
        <v>11</v>
      </c>
      <c r="G119" s="2">
        <v>2</v>
      </c>
      <c r="H119" s="2" t="s">
        <v>60</v>
      </c>
      <c r="I119" s="2">
        <v>1</v>
      </c>
      <c r="J119" s="2">
        <v>154</v>
      </c>
      <c r="K119" s="2">
        <v>2</v>
      </c>
      <c r="L119" s="2" t="s">
        <v>39</v>
      </c>
      <c r="M119" s="2">
        <v>92</v>
      </c>
      <c r="N119" s="2">
        <v>3</v>
      </c>
      <c r="O119" s="2">
        <v>3</v>
      </c>
      <c r="P119" s="2" t="s">
        <v>40</v>
      </c>
      <c r="Q119" s="2">
        <v>4</v>
      </c>
      <c r="R119" s="2" t="s">
        <v>48</v>
      </c>
      <c r="S119" s="2">
        <v>9738</v>
      </c>
      <c r="T119" s="2">
        <v>22952</v>
      </c>
      <c r="U119" s="2">
        <v>0</v>
      </c>
      <c r="V119" s="2" t="s">
        <v>42</v>
      </c>
      <c r="W119" s="2" t="s">
        <v>43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</row>
    <row r="120" spans="1:35" x14ac:dyDescent="0.25">
      <c r="A120" s="2">
        <v>36</v>
      </c>
      <c r="B120" s="2" t="s">
        <v>43</v>
      </c>
      <c r="C120" s="2" t="s">
        <v>36</v>
      </c>
      <c r="D120" s="2">
        <v>922</v>
      </c>
      <c r="E120" s="2" t="s">
        <v>45</v>
      </c>
      <c r="F120" s="2">
        <v>3</v>
      </c>
      <c r="G120" s="2">
        <v>2</v>
      </c>
      <c r="H120" s="2" t="s">
        <v>38</v>
      </c>
      <c r="I120" s="2">
        <v>1</v>
      </c>
      <c r="J120" s="2">
        <v>155</v>
      </c>
      <c r="K120" s="2">
        <v>1</v>
      </c>
      <c r="L120" s="2" t="s">
        <v>39</v>
      </c>
      <c r="M120" s="2">
        <v>39</v>
      </c>
      <c r="N120" s="2">
        <v>3</v>
      </c>
      <c r="O120" s="2">
        <v>1</v>
      </c>
      <c r="P120" s="2" t="s">
        <v>50</v>
      </c>
      <c r="Q120" s="2">
        <v>4</v>
      </c>
      <c r="R120" s="2" t="s">
        <v>52</v>
      </c>
      <c r="S120" s="2">
        <v>2835</v>
      </c>
      <c r="T120" s="2">
        <v>2561</v>
      </c>
      <c r="U120" s="2">
        <v>5</v>
      </c>
      <c r="V120" s="2" t="s">
        <v>42</v>
      </c>
      <c r="W120" s="2" t="s">
        <v>43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</row>
    <row r="121" spans="1:35" x14ac:dyDescent="0.25">
      <c r="A121" s="2">
        <v>43</v>
      </c>
      <c r="B121" s="2" t="s">
        <v>43</v>
      </c>
      <c r="C121" s="2" t="s">
        <v>44</v>
      </c>
      <c r="D121" s="2">
        <v>394</v>
      </c>
      <c r="E121" s="2" t="s">
        <v>37</v>
      </c>
      <c r="F121" s="2">
        <v>26</v>
      </c>
      <c r="G121" s="2">
        <v>2</v>
      </c>
      <c r="H121" s="2" t="s">
        <v>38</v>
      </c>
      <c r="I121" s="2">
        <v>1</v>
      </c>
      <c r="J121" s="2">
        <v>158</v>
      </c>
      <c r="K121" s="2">
        <v>3</v>
      </c>
      <c r="L121" s="2" t="s">
        <v>46</v>
      </c>
      <c r="M121" s="2">
        <v>92</v>
      </c>
      <c r="N121" s="2">
        <v>3</v>
      </c>
      <c r="O121" s="2">
        <v>4</v>
      </c>
      <c r="P121" s="2" t="s">
        <v>56</v>
      </c>
      <c r="Q121" s="2">
        <v>4</v>
      </c>
      <c r="R121" s="2" t="s">
        <v>48</v>
      </c>
      <c r="S121" s="2">
        <v>16959</v>
      </c>
      <c r="T121" s="2">
        <v>19494</v>
      </c>
      <c r="U121" s="2">
        <v>1</v>
      </c>
      <c r="V121" s="2" t="s">
        <v>42</v>
      </c>
      <c r="W121" s="2" t="s">
        <v>35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</row>
    <row r="122" spans="1:35" x14ac:dyDescent="0.25">
      <c r="A122" s="2">
        <v>30</v>
      </c>
      <c r="B122" s="2" t="s">
        <v>43</v>
      </c>
      <c r="C122" s="2" t="s">
        <v>44</v>
      </c>
      <c r="D122" s="2">
        <v>1312</v>
      </c>
      <c r="E122" s="2" t="s">
        <v>45</v>
      </c>
      <c r="F122" s="2">
        <v>23</v>
      </c>
      <c r="G122" s="2">
        <v>3</v>
      </c>
      <c r="H122" s="2" t="s">
        <v>38</v>
      </c>
      <c r="I122" s="2">
        <v>1</v>
      </c>
      <c r="J122" s="2">
        <v>159</v>
      </c>
      <c r="K122" s="2">
        <v>1</v>
      </c>
      <c r="L122" s="2" t="s">
        <v>46</v>
      </c>
      <c r="M122" s="2">
        <v>96</v>
      </c>
      <c r="N122" s="2">
        <v>1</v>
      </c>
      <c r="O122" s="2">
        <v>1</v>
      </c>
      <c r="P122" s="2" t="s">
        <v>47</v>
      </c>
      <c r="Q122" s="2">
        <v>3</v>
      </c>
      <c r="R122" s="2" t="s">
        <v>52</v>
      </c>
      <c r="S122" s="2">
        <v>2613</v>
      </c>
      <c r="T122" s="2">
        <v>22310</v>
      </c>
      <c r="U122" s="2">
        <v>1</v>
      </c>
      <c r="V122" s="2" t="s">
        <v>42</v>
      </c>
      <c r="W122" s="2" t="s">
        <v>43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</row>
    <row r="123" spans="1:35" x14ac:dyDescent="0.25">
      <c r="A123" s="2">
        <v>33</v>
      </c>
      <c r="B123" s="2" t="s">
        <v>43</v>
      </c>
      <c r="C123" s="2" t="s">
        <v>55</v>
      </c>
      <c r="D123" s="2">
        <v>750</v>
      </c>
      <c r="E123" s="2" t="s">
        <v>37</v>
      </c>
      <c r="F123" s="2">
        <v>22</v>
      </c>
      <c r="G123" s="2">
        <v>2</v>
      </c>
      <c r="H123" s="2" t="s">
        <v>59</v>
      </c>
      <c r="I123" s="2">
        <v>1</v>
      </c>
      <c r="J123" s="2">
        <v>160</v>
      </c>
      <c r="K123" s="2">
        <v>3</v>
      </c>
      <c r="L123" s="2" t="s">
        <v>46</v>
      </c>
      <c r="M123" s="2">
        <v>95</v>
      </c>
      <c r="N123" s="2">
        <v>3</v>
      </c>
      <c r="O123" s="2">
        <v>2</v>
      </c>
      <c r="P123" s="2" t="s">
        <v>40</v>
      </c>
      <c r="Q123" s="2">
        <v>2</v>
      </c>
      <c r="R123" s="2" t="s">
        <v>48</v>
      </c>
      <c r="S123" s="2">
        <v>6146</v>
      </c>
      <c r="T123" s="2">
        <v>15480</v>
      </c>
      <c r="U123" s="2">
        <v>0</v>
      </c>
      <c r="V123" s="2" t="s">
        <v>42</v>
      </c>
      <c r="W123" s="2" t="s">
        <v>43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</row>
    <row r="124" spans="1:35" x14ac:dyDescent="0.25">
      <c r="A124" s="2">
        <v>56</v>
      </c>
      <c r="B124" s="2" t="s">
        <v>35</v>
      </c>
      <c r="C124" s="2" t="s">
        <v>36</v>
      </c>
      <c r="D124" s="2">
        <v>441</v>
      </c>
      <c r="E124" s="2" t="s">
        <v>45</v>
      </c>
      <c r="F124" s="2">
        <v>14</v>
      </c>
      <c r="G124" s="2">
        <v>4</v>
      </c>
      <c r="H124" s="2" t="s">
        <v>38</v>
      </c>
      <c r="I124" s="2">
        <v>1</v>
      </c>
      <c r="J124" s="2">
        <v>161</v>
      </c>
      <c r="K124" s="2">
        <v>2</v>
      </c>
      <c r="L124" s="2" t="s">
        <v>39</v>
      </c>
      <c r="M124" s="2">
        <v>72</v>
      </c>
      <c r="N124" s="2">
        <v>3</v>
      </c>
      <c r="O124" s="2">
        <v>1</v>
      </c>
      <c r="P124" s="2" t="s">
        <v>47</v>
      </c>
      <c r="Q124" s="2">
        <v>2</v>
      </c>
      <c r="R124" s="2" t="s">
        <v>48</v>
      </c>
      <c r="S124" s="2">
        <v>4963</v>
      </c>
      <c r="T124" s="2">
        <v>4510</v>
      </c>
      <c r="U124" s="2">
        <v>9</v>
      </c>
      <c r="V124" s="2" t="s">
        <v>42</v>
      </c>
      <c r="W124" s="2" t="s">
        <v>35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</row>
    <row r="125" spans="1:35" x14ac:dyDescent="0.25">
      <c r="A125" s="2">
        <v>51</v>
      </c>
      <c r="B125" s="2" t="s">
        <v>43</v>
      </c>
      <c r="C125" s="2" t="s">
        <v>36</v>
      </c>
      <c r="D125" s="2">
        <v>684</v>
      </c>
      <c r="E125" s="2" t="s">
        <v>45</v>
      </c>
      <c r="F125" s="2">
        <v>6</v>
      </c>
      <c r="G125" s="2">
        <v>3</v>
      </c>
      <c r="H125" s="2" t="s">
        <v>38</v>
      </c>
      <c r="I125" s="2">
        <v>1</v>
      </c>
      <c r="J125" s="2">
        <v>162</v>
      </c>
      <c r="K125" s="2">
        <v>1</v>
      </c>
      <c r="L125" s="2" t="s">
        <v>46</v>
      </c>
      <c r="M125" s="2">
        <v>51</v>
      </c>
      <c r="N125" s="2">
        <v>3</v>
      </c>
      <c r="O125" s="2">
        <v>5</v>
      </c>
      <c r="P125" s="2" t="s">
        <v>58</v>
      </c>
      <c r="Q125" s="2">
        <v>3</v>
      </c>
      <c r="R125" s="2" t="s">
        <v>41</v>
      </c>
      <c r="S125" s="2">
        <v>19537</v>
      </c>
      <c r="T125" s="2">
        <v>6462</v>
      </c>
      <c r="U125" s="2">
        <v>7</v>
      </c>
      <c r="V125" s="2" t="s">
        <v>42</v>
      </c>
      <c r="W125" s="2" t="s">
        <v>43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</row>
    <row r="126" spans="1:35" x14ac:dyDescent="0.25">
      <c r="A126" s="2">
        <v>31</v>
      </c>
      <c r="B126" s="2" t="s">
        <v>35</v>
      </c>
      <c r="C126" s="2" t="s">
        <v>36</v>
      </c>
      <c r="D126" s="2">
        <v>249</v>
      </c>
      <c r="E126" s="2" t="s">
        <v>37</v>
      </c>
      <c r="F126" s="2">
        <v>6</v>
      </c>
      <c r="G126" s="2">
        <v>4</v>
      </c>
      <c r="H126" s="2" t="s">
        <v>38</v>
      </c>
      <c r="I126" s="2">
        <v>1</v>
      </c>
      <c r="J126" s="2">
        <v>163</v>
      </c>
      <c r="K126" s="2">
        <v>2</v>
      </c>
      <c r="L126" s="2" t="s">
        <v>46</v>
      </c>
      <c r="M126" s="2">
        <v>76</v>
      </c>
      <c r="N126" s="2">
        <v>1</v>
      </c>
      <c r="O126" s="2">
        <v>2</v>
      </c>
      <c r="P126" s="2" t="s">
        <v>40</v>
      </c>
      <c r="Q126" s="2">
        <v>3</v>
      </c>
      <c r="R126" s="2" t="s">
        <v>48</v>
      </c>
      <c r="S126" s="2">
        <v>6172</v>
      </c>
      <c r="T126" s="2">
        <v>20739</v>
      </c>
      <c r="U126" s="2">
        <v>4</v>
      </c>
      <c r="V126" s="2" t="s">
        <v>42</v>
      </c>
      <c r="W126" s="2" t="s">
        <v>35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</row>
    <row r="127" spans="1:35" x14ac:dyDescent="0.25">
      <c r="A127" s="2">
        <v>26</v>
      </c>
      <c r="B127" s="2" t="s">
        <v>43</v>
      </c>
      <c r="C127" s="2" t="s">
        <v>36</v>
      </c>
      <c r="D127" s="2">
        <v>841</v>
      </c>
      <c r="E127" s="2" t="s">
        <v>45</v>
      </c>
      <c r="F127" s="2">
        <v>6</v>
      </c>
      <c r="G127" s="2">
        <v>3</v>
      </c>
      <c r="H127" s="2" t="s">
        <v>49</v>
      </c>
      <c r="I127" s="2">
        <v>1</v>
      </c>
      <c r="J127" s="2">
        <v>164</v>
      </c>
      <c r="K127" s="2">
        <v>3</v>
      </c>
      <c r="L127" s="2" t="s">
        <v>39</v>
      </c>
      <c r="M127" s="2">
        <v>46</v>
      </c>
      <c r="N127" s="2">
        <v>2</v>
      </c>
      <c r="O127" s="2">
        <v>1</v>
      </c>
      <c r="P127" s="2" t="s">
        <v>47</v>
      </c>
      <c r="Q127" s="2">
        <v>2</v>
      </c>
      <c r="R127" s="2" t="s">
        <v>48</v>
      </c>
      <c r="S127" s="2">
        <v>2368</v>
      </c>
      <c r="T127" s="2">
        <v>23300</v>
      </c>
      <c r="U127" s="2">
        <v>1</v>
      </c>
      <c r="V127" s="2" t="s">
        <v>42</v>
      </c>
      <c r="W127" s="2" t="s">
        <v>43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</row>
    <row r="128" spans="1:35" x14ac:dyDescent="0.25">
      <c r="A128" s="2">
        <v>58</v>
      </c>
      <c r="B128" s="2" t="s">
        <v>35</v>
      </c>
      <c r="C128" s="2" t="s">
        <v>36</v>
      </c>
      <c r="D128" s="2">
        <v>147</v>
      </c>
      <c r="E128" s="2" t="s">
        <v>45</v>
      </c>
      <c r="F128" s="2">
        <v>23</v>
      </c>
      <c r="G128" s="2">
        <v>4</v>
      </c>
      <c r="H128" s="2" t="s">
        <v>51</v>
      </c>
      <c r="I128" s="2">
        <v>1</v>
      </c>
      <c r="J128" s="2">
        <v>165</v>
      </c>
      <c r="K128" s="2">
        <v>4</v>
      </c>
      <c r="L128" s="2" t="s">
        <v>39</v>
      </c>
      <c r="M128" s="2">
        <v>94</v>
      </c>
      <c r="N128" s="2">
        <v>3</v>
      </c>
      <c r="O128" s="2">
        <v>3</v>
      </c>
      <c r="P128" s="2" t="s">
        <v>54</v>
      </c>
      <c r="Q128" s="2">
        <v>4</v>
      </c>
      <c r="R128" s="2" t="s">
        <v>48</v>
      </c>
      <c r="S128" s="2">
        <v>10312</v>
      </c>
      <c r="T128" s="2">
        <v>3465</v>
      </c>
      <c r="U128" s="2">
        <v>1</v>
      </c>
      <c r="V128" s="2" t="s">
        <v>42</v>
      </c>
      <c r="W128" s="2" t="s">
        <v>43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</row>
    <row r="129" spans="1:35" x14ac:dyDescent="0.25">
      <c r="A129" s="2">
        <v>19</v>
      </c>
      <c r="B129" s="2" t="s">
        <v>35</v>
      </c>
      <c r="C129" s="2" t="s">
        <v>36</v>
      </c>
      <c r="D129" s="2">
        <v>528</v>
      </c>
      <c r="E129" s="2" t="s">
        <v>37</v>
      </c>
      <c r="F129" s="2">
        <v>22</v>
      </c>
      <c r="G129" s="2">
        <v>1</v>
      </c>
      <c r="H129" s="2" t="s">
        <v>59</v>
      </c>
      <c r="I129" s="2">
        <v>1</v>
      </c>
      <c r="J129" s="2">
        <v>167</v>
      </c>
      <c r="K129" s="2">
        <v>4</v>
      </c>
      <c r="L129" s="2" t="s">
        <v>46</v>
      </c>
      <c r="M129" s="2">
        <v>50</v>
      </c>
      <c r="N129" s="2">
        <v>3</v>
      </c>
      <c r="O129" s="2">
        <v>1</v>
      </c>
      <c r="P129" s="2" t="s">
        <v>57</v>
      </c>
      <c r="Q129" s="2">
        <v>3</v>
      </c>
      <c r="R129" s="2" t="s">
        <v>41</v>
      </c>
      <c r="S129" s="2">
        <v>1675</v>
      </c>
      <c r="T129" s="2">
        <v>26820</v>
      </c>
      <c r="U129" s="2">
        <v>1</v>
      </c>
      <c r="V129" s="2" t="s">
        <v>42</v>
      </c>
      <c r="W129" s="2" t="s">
        <v>35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</row>
    <row r="130" spans="1:35" x14ac:dyDescent="0.25">
      <c r="A130" s="2">
        <v>22</v>
      </c>
      <c r="B130" s="2" t="s">
        <v>43</v>
      </c>
      <c r="C130" s="2" t="s">
        <v>36</v>
      </c>
      <c r="D130" s="2">
        <v>594</v>
      </c>
      <c r="E130" s="2" t="s">
        <v>45</v>
      </c>
      <c r="F130" s="2">
        <v>2</v>
      </c>
      <c r="G130" s="2">
        <v>1</v>
      </c>
      <c r="H130" s="2" t="s">
        <v>60</v>
      </c>
      <c r="I130" s="2">
        <v>1</v>
      </c>
      <c r="J130" s="2">
        <v>169</v>
      </c>
      <c r="K130" s="2">
        <v>3</v>
      </c>
      <c r="L130" s="2" t="s">
        <v>46</v>
      </c>
      <c r="M130" s="2">
        <v>100</v>
      </c>
      <c r="N130" s="2">
        <v>3</v>
      </c>
      <c r="O130" s="2">
        <v>1</v>
      </c>
      <c r="P130" s="2" t="s">
        <v>50</v>
      </c>
      <c r="Q130" s="2">
        <v>4</v>
      </c>
      <c r="R130" s="2" t="s">
        <v>48</v>
      </c>
      <c r="S130" s="2">
        <v>2523</v>
      </c>
      <c r="T130" s="2">
        <v>19299</v>
      </c>
      <c r="U130" s="2">
        <v>0</v>
      </c>
      <c r="V130" s="2" t="s">
        <v>42</v>
      </c>
      <c r="W130" s="2" t="s">
        <v>43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</row>
    <row r="131" spans="1:35" x14ac:dyDescent="0.25">
      <c r="A131" s="2">
        <v>49</v>
      </c>
      <c r="B131" s="2" t="s">
        <v>43</v>
      </c>
      <c r="C131" s="2" t="s">
        <v>36</v>
      </c>
      <c r="D131" s="2">
        <v>470</v>
      </c>
      <c r="E131" s="2" t="s">
        <v>45</v>
      </c>
      <c r="F131" s="2">
        <v>20</v>
      </c>
      <c r="G131" s="2">
        <v>4</v>
      </c>
      <c r="H131" s="2" t="s">
        <v>51</v>
      </c>
      <c r="I131" s="2">
        <v>1</v>
      </c>
      <c r="J131" s="2">
        <v>170</v>
      </c>
      <c r="K131" s="2">
        <v>3</v>
      </c>
      <c r="L131" s="2" t="s">
        <v>39</v>
      </c>
      <c r="M131" s="2">
        <v>96</v>
      </c>
      <c r="N131" s="2">
        <v>3</v>
      </c>
      <c r="O131" s="2">
        <v>2</v>
      </c>
      <c r="P131" s="2" t="s">
        <v>53</v>
      </c>
      <c r="Q131" s="2">
        <v>1</v>
      </c>
      <c r="R131" s="2" t="s">
        <v>48</v>
      </c>
      <c r="S131" s="2">
        <v>6567</v>
      </c>
      <c r="T131" s="2">
        <v>5549</v>
      </c>
      <c r="U131" s="2">
        <v>1</v>
      </c>
      <c r="V131" s="2" t="s">
        <v>42</v>
      </c>
      <c r="W131" s="2" t="s">
        <v>43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</row>
    <row r="132" spans="1:35" x14ac:dyDescent="0.25">
      <c r="A132" s="2">
        <v>43</v>
      </c>
      <c r="B132" s="2" t="s">
        <v>43</v>
      </c>
      <c r="C132" s="2" t="s">
        <v>44</v>
      </c>
      <c r="D132" s="2">
        <v>957</v>
      </c>
      <c r="E132" s="2" t="s">
        <v>45</v>
      </c>
      <c r="F132" s="2">
        <v>28</v>
      </c>
      <c r="G132" s="2">
        <v>3</v>
      </c>
      <c r="H132" s="2" t="s">
        <v>51</v>
      </c>
      <c r="I132" s="2">
        <v>1</v>
      </c>
      <c r="J132" s="2">
        <v>171</v>
      </c>
      <c r="K132" s="2">
        <v>2</v>
      </c>
      <c r="L132" s="2" t="s">
        <v>39</v>
      </c>
      <c r="M132" s="2">
        <v>72</v>
      </c>
      <c r="N132" s="2">
        <v>4</v>
      </c>
      <c r="O132" s="2">
        <v>1</v>
      </c>
      <c r="P132" s="2" t="s">
        <v>47</v>
      </c>
      <c r="Q132" s="2">
        <v>3</v>
      </c>
      <c r="R132" s="2" t="s">
        <v>41</v>
      </c>
      <c r="S132" s="2">
        <v>4739</v>
      </c>
      <c r="T132" s="2">
        <v>16090</v>
      </c>
      <c r="U132" s="2">
        <v>4</v>
      </c>
      <c r="V132" s="2" t="s">
        <v>42</v>
      </c>
      <c r="W132" s="2" t="s">
        <v>43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</row>
    <row r="133" spans="1:35" x14ac:dyDescent="0.25">
      <c r="A133" s="2">
        <v>50</v>
      </c>
      <c r="B133" s="2" t="s">
        <v>43</v>
      </c>
      <c r="C133" s="2" t="s">
        <v>44</v>
      </c>
      <c r="D133" s="2">
        <v>809</v>
      </c>
      <c r="E133" s="2" t="s">
        <v>37</v>
      </c>
      <c r="F133" s="2">
        <v>12</v>
      </c>
      <c r="G133" s="2">
        <v>3</v>
      </c>
      <c r="H133" s="2" t="s">
        <v>59</v>
      </c>
      <c r="I133" s="2">
        <v>1</v>
      </c>
      <c r="J133" s="2">
        <v>174</v>
      </c>
      <c r="K133" s="2">
        <v>3</v>
      </c>
      <c r="L133" s="2" t="s">
        <v>39</v>
      </c>
      <c r="M133" s="2">
        <v>77</v>
      </c>
      <c r="N133" s="2">
        <v>3</v>
      </c>
      <c r="O133" s="2">
        <v>3</v>
      </c>
      <c r="P133" s="2" t="s">
        <v>40</v>
      </c>
      <c r="Q133" s="2">
        <v>4</v>
      </c>
      <c r="R133" s="2" t="s">
        <v>41</v>
      </c>
      <c r="S133" s="2">
        <v>9208</v>
      </c>
      <c r="T133" s="2">
        <v>6645</v>
      </c>
      <c r="U133" s="2">
        <v>4</v>
      </c>
      <c r="V133" s="2" t="s">
        <v>42</v>
      </c>
      <c r="W133" s="2" t="s">
        <v>43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</row>
    <row r="134" spans="1:35" x14ac:dyDescent="0.25">
      <c r="A134" s="2">
        <v>31</v>
      </c>
      <c r="B134" s="2" t="s">
        <v>35</v>
      </c>
      <c r="C134" s="2" t="s">
        <v>36</v>
      </c>
      <c r="D134" s="2">
        <v>542</v>
      </c>
      <c r="E134" s="2" t="s">
        <v>37</v>
      </c>
      <c r="F134" s="2">
        <v>20</v>
      </c>
      <c r="G134" s="2">
        <v>3</v>
      </c>
      <c r="H134" s="2" t="s">
        <v>38</v>
      </c>
      <c r="I134" s="2">
        <v>1</v>
      </c>
      <c r="J134" s="2">
        <v>175</v>
      </c>
      <c r="K134" s="2">
        <v>2</v>
      </c>
      <c r="L134" s="2" t="s">
        <v>39</v>
      </c>
      <c r="M134" s="2">
        <v>71</v>
      </c>
      <c r="N134" s="2">
        <v>1</v>
      </c>
      <c r="O134" s="2">
        <v>2</v>
      </c>
      <c r="P134" s="2" t="s">
        <v>40</v>
      </c>
      <c r="Q134" s="2">
        <v>3</v>
      </c>
      <c r="R134" s="2" t="s">
        <v>48</v>
      </c>
      <c r="S134" s="2">
        <v>4559</v>
      </c>
      <c r="T134" s="2">
        <v>24788</v>
      </c>
      <c r="U134" s="2">
        <v>3</v>
      </c>
      <c r="V134" s="2" t="s">
        <v>42</v>
      </c>
      <c r="W134" s="2" t="s">
        <v>35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</row>
    <row r="135" spans="1:35" x14ac:dyDescent="0.25">
      <c r="A135" s="2">
        <v>41</v>
      </c>
      <c r="B135" s="2" t="s">
        <v>43</v>
      </c>
      <c r="C135" s="2" t="s">
        <v>36</v>
      </c>
      <c r="D135" s="2">
        <v>802</v>
      </c>
      <c r="E135" s="2" t="s">
        <v>37</v>
      </c>
      <c r="F135" s="2">
        <v>9</v>
      </c>
      <c r="G135" s="2">
        <v>1</v>
      </c>
      <c r="H135" s="2" t="s">
        <v>38</v>
      </c>
      <c r="I135" s="2">
        <v>1</v>
      </c>
      <c r="J135" s="2">
        <v>176</v>
      </c>
      <c r="K135" s="2">
        <v>3</v>
      </c>
      <c r="L135" s="2" t="s">
        <v>46</v>
      </c>
      <c r="M135" s="2">
        <v>96</v>
      </c>
      <c r="N135" s="2">
        <v>3</v>
      </c>
      <c r="O135" s="2">
        <v>3</v>
      </c>
      <c r="P135" s="2" t="s">
        <v>40</v>
      </c>
      <c r="Q135" s="2">
        <v>3</v>
      </c>
      <c r="R135" s="2" t="s">
        <v>52</v>
      </c>
      <c r="S135" s="2">
        <v>8189</v>
      </c>
      <c r="T135" s="2">
        <v>21196</v>
      </c>
      <c r="U135" s="2">
        <v>3</v>
      </c>
      <c r="V135" s="2" t="s">
        <v>42</v>
      </c>
      <c r="W135" s="2" t="s">
        <v>35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</row>
    <row r="136" spans="1:35" x14ac:dyDescent="0.25">
      <c r="A136" s="2">
        <v>26</v>
      </c>
      <c r="B136" s="2" t="s">
        <v>43</v>
      </c>
      <c r="C136" s="2" t="s">
        <v>36</v>
      </c>
      <c r="D136" s="2">
        <v>1355</v>
      </c>
      <c r="E136" s="2" t="s">
        <v>61</v>
      </c>
      <c r="F136" s="2">
        <v>25</v>
      </c>
      <c r="G136" s="2">
        <v>1</v>
      </c>
      <c r="H136" s="2" t="s">
        <v>38</v>
      </c>
      <c r="I136" s="2">
        <v>1</v>
      </c>
      <c r="J136" s="2">
        <v>177</v>
      </c>
      <c r="K136" s="2">
        <v>3</v>
      </c>
      <c r="L136" s="2" t="s">
        <v>39</v>
      </c>
      <c r="M136" s="2">
        <v>61</v>
      </c>
      <c r="N136" s="2">
        <v>3</v>
      </c>
      <c r="O136" s="2">
        <v>1</v>
      </c>
      <c r="P136" s="2" t="s">
        <v>61</v>
      </c>
      <c r="Q136" s="2">
        <v>3</v>
      </c>
      <c r="R136" s="2" t="s">
        <v>48</v>
      </c>
      <c r="S136" s="2">
        <v>2942</v>
      </c>
      <c r="T136" s="2">
        <v>8916</v>
      </c>
      <c r="U136" s="2">
        <v>1</v>
      </c>
      <c r="V136" s="2" t="s">
        <v>42</v>
      </c>
      <c r="W136" s="2" t="s">
        <v>43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</row>
    <row r="137" spans="1:35" x14ac:dyDescent="0.25">
      <c r="A137" s="2">
        <v>36</v>
      </c>
      <c r="B137" s="2" t="s">
        <v>43</v>
      </c>
      <c r="C137" s="2" t="s">
        <v>36</v>
      </c>
      <c r="D137" s="2">
        <v>216</v>
      </c>
      <c r="E137" s="2" t="s">
        <v>45</v>
      </c>
      <c r="F137" s="2">
        <v>6</v>
      </c>
      <c r="G137" s="2">
        <v>2</v>
      </c>
      <c r="H137" s="2" t="s">
        <v>51</v>
      </c>
      <c r="I137" s="2">
        <v>1</v>
      </c>
      <c r="J137" s="2">
        <v>178</v>
      </c>
      <c r="K137" s="2">
        <v>2</v>
      </c>
      <c r="L137" s="2" t="s">
        <v>46</v>
      </c>
      <c r="M137" s="2">
        <v>84</v>
      </c>
      <c r="N137" s="2">
        <v>3</v>
      </c>
      <c r="O137" s="2">
        <v>2</v>
      </c>
      <c r="P137" s="2" t="s">
        <v>53</v>
      </c>
      <c r="Q137" s="2">
        <v>2</v>
      </c>
      <c r="R137" s="2" t="s">
        <v>52</v>
      </c>
      <c r="S137" s="2">
        <v>4941</v>
      </c>
      <c r="T137" s="2">
        <v>2819</v>
      </c>
      <c r="U137" s="2">
        <v>6</v>
      </c>
      <c r="V137" s="2" t="s">
        <v>42</v>
      </c>
      <c r="W137" s="2" t="s">
        <v>43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</row>
    <row r="138" spans="1:35" x14ac:dyDescent="0.25">
      <c r="A138" s="2">
        <v>51</v>
      </c>
      <c r="B138" s="2" t="s">
        <v>35</v>
      </c>
      <c r="C138" s="2" t="s">
        <v>44</v>
      </c>
      <c r="D138" s="2">
        <v>1150</v>
      </c>
      <c r="E138" s="2" t="s">
        <v>45</v>
      </c>
      <c r="F138" s="2">
        <v>8</v>
      </c>
      <c r="G138" s="2">
        <v>4</v>
      </c>
      <c r="H138" s="2" t="s">
        <v>38</v>
      </c>
      <c r="I138" s="2">
        <v>1</v>
      </c>
      <c r="J138" s="2">
        <v>179</v>
      </c>
      <c r="K138" s="2">
        <v>1</v>
      </c>
      <c r="L138" s="2" t="s">
        <v>46</v>
      </c>
      <c r="M138" s="2">
        <v>53</v>
      </c>
      <c r="N138" s="2">
        <v>1</v>
      </c>
      <c r="O138" s="2">
        <v>3</v>
      </c>
      <c r="P138" s="2" t="s">
        <v>53</v>
      </c>
      <c r="Q138" s="2">
        <v>4</v>
      </c>
      <c r="R138" s="2" t="s">
        <v>41</v>
      </c>
      <c r="S138" s="2">
        <v>10650</v>
      </c>
      <c r="T138" s="2">
        <v>25150</v>
      </c>
      <c r="U138" s="2">
        <v>2</v>
      </c>
      <c r="V138" s="2" t="s">
        <v>42</v>
      </c>
      <c r="W138" s="2" t="s">
        <v>43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</row>
    <row r="139" spans="1:35" x14ac:dyDescent="0.25">
      <c r="A139" s="2">
        <v>39</v>
      </c>
      <c r="B139" s="2" t="s">
        <v>43</v>
      </c>
      <c r="C139" s="2" t="s">
        <v>36</v>
      </c>
      <c r="D139" s="2">
        <v>1329</v>
      </c>
      <c r="E139" s="2" t="s">
        <v>37</v>
      </c>
      <c r="F139" s="2">
        <v>4</v>
      </c>
      <c r="G139" s="2">
        <v>4</v>
      </c>
      <c r="H139" s="2" t="s">
        <v>38</v>
      </c>
      <c r="I139" s="2">
        <v>1</v>
      </c>
      <c r="J139" s="2">
        <v>182</v>
      </c>
      <c r="K139" s="2">
        <v>4</v>
      </c>
      <c r="L139" s="2" t="s">
        <v>39</v>
      </c>
      <c r="M139" s="2">
        <v>47</v>
      </c>
      <c r="N139" s="2">
        <v>2</v>
      </c>
      <c r="O139" s="2">
        <v>2</v>
      </c>
      <c r="P139" s="2" t="s">
        <v>40</v>
      </c>
      <c r="Q139" s="2">
        <v>3</v>
      </c>
      <c r="R139" s="2" t="s">
        <v>48</v>
      </c>
      <c r="S139" s="2">
        <v>5902</v>
      </c>
      <c r="T139" s="2">
        <v>14590</v>
      </c>
      <c r="U139" s="2">
        <v>4</v>
      </c>
      <c r="V139" s="2" t="s">
        <v>42</v>
      </c>
      <c r="W139" s="2" t="s">
        <v>43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</row>
    <row r="140" spans="1:35" x14ac:dyDescent="0.25">
      <c r="A140" s="2">
        <v>25</v>
      </c>
      <c r="B140" s="2" t="s">
        <v>43</v>
      </c>
      <c r="C140" s="2" t="s">
        <v>36</v>
      </c>
      <c r="D140" s="2">
        <v>959</v>
      </c>
      <c r="E140" s="2" t="s">
        <v>37</v>
      </c>
      <c r="F140" s="2">
        <v>28</v>
      </c>
      <c r="G140" s="2">
        <v>3</v>
      </c>
      <c r="H140" s="2" t="s">
        <v>38</v>
      </c>
      <c r="I140" s="2">
        <v>1</v>
      </c>
      <c r="J140" s="2">
        <v>183</v>
      </c>
      <c r="K140" s="2">
        <v>1</v>
      </c>
      <c r="L140" s="2" t="s">
        <v>46</v>
      </c>
      <c r="M140" s="2">
        <v>41</v>
      </c>
      <c r="N140" s="2">
        <v>2</v>
      </c>
      <c r="O140" s="2">
        <v>2</v>
      </c>
      <c r="P140" s="2" t="s">
        <v>40</v>
      </c>
      <c r="Q140" s="2">
        <v>3</v>
      </c>
      <c r="R140" s="2" t="s">
        <v>48</v>
      </c>
      <c r="S140" s="2">
        <v>8639</v>
      </c>
      <c r="T140" s="2">
        <v>24835</v>
      </c>
      <c r="U140" s="2">
        <v>2</v>
      </c>
      <c r="V140" s="2" t="s">
        <v>42</v>
      </c>
      <c r="W140" s="2" t="s">
        <v>43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</row>
    <row r="141" spans="1:35" x14ac:dyDescent="0.25">
      <c r="A141" s="2">
        <v>30</v>
      </c>
      <c r="B141" s="2" t="s">
        <v>43</v>
      </c>
      <c r="C141" s="2" t="s">
        <v>36</v>
      </c>
      <c r="D141" s="2">
        <v>1240</v>
      </c>
      <c r="E141" s="2" t="s">
        <v>61</v>
      </c>
      <c r="F141" s="2">
        <v>9</v>
      </c>
      <c r="G141" s="2">
        <v>3</v>
      </c>
      <c r="H141" s="2" t="s">
        <v>61</v>
      </c>
      <c r="I141" s="2">
        <v>1</v>
      </c>
      <c r="J141" s="2">
        <v>184</v>
      </c>
      <c r="K141" s="2">
        <v>3</v>
      </c>
      <c r="L141" s="2" t="s">
        <v>46</v>
      </c>
      <c r="M141" s="2">
        <v>48</v>
      </c>
      <c r="N141" s="2">
        <v>3</v>
      </c>
      <c r="O141" s="2">
        <v>2</v>
      </c>
      <c r="P141" s="2" t="s">
        <v>61</v>
      </c>
      <c r="Q141" s="2">
        <v>4</v>
      </c>
      <c r="R141" s="2" t="s">
        <v>48</v>
      </c>
      <c r="S141" s="2">
        <v>6347</v>
      </c>
      <c r="T141" s="2">
        <v>13982</v>
      </c>
      <c r="U141" s="2">
        <v>0</v>
      </c>
      <c r="V141" s="2" t="s">
        <v>42</v>
      </c>
      <c r="W141" s="2" t="s">
        <v>35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</row>
    <row r="142" spans="1:35" x14ac:dyDescent="0.25">
      <c r="A142" s="2">
        <v>32</v>
      </c>
      <c r="B142" s="2" t="s">
        <v>35</v>
      </c>
      <c r="C142" s="2" t="s">
        <v>36</v>
      </c>
      <c r="D142" s="2">
        <v>1033</v>
      </c>
      <c r="E142" s="2" t="s">
        <v>45</v>
      </c>
      <c r="F142" s="2">
        <v>9</v>
      </c>
      <c r="G142" s="2">
        <v>3</v>
      </c>
      <c r="H142" s="2" t="s">
        <v>51</v>
      </c>
      <c r="I142" s="2">
        <v>1</v>
      </c>
      <c r="J142" s="2">
        <v>190</v>
      </c>
      <c r="K142" s="2">
        <v>1</v>
      </c>
      <c r="L142" s="2" t="s">
        <v>39</v>
      </c>
      <c r="M142" s="2">
        <v>41</v>
      </c>
      <c r="N142" s="2">
        <v>3</v>
      </c>
      <c r="O142" s="2">
        <v>1</v>
      </c>
      <c r="P142" s="2" t="s">
        <v>50</v>
      </c>
      <c r="Q142" s="2">
        <v>1</v>
      </c>
      <c r="R142" s="2" t="s">
        <v>41</v>
      </c>
      <c r="S142" s="2">
        <v>4200</v>
      </c>
      <c r="T142" s="2">
        <v>10224</v>
      </c>
      <c r="U142" s="2">
        <v>7</v>
      </c>
      <c r="V142" s="2" t="s">
        <v>42</v>
      </c>
      <c r="W142" s="2" t="s">
        <v>43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</row>
    <row r="143" spans="1:35" x14ac:dyDescent="0.25">
      <c r="A143" s="2">
        <v>45</v>
      </c>
      <c r="B143" s="2" t="s">
        <v>43</v>
      </c>
      <c r="C143" s="2" t="s">
        <v>36</v>
      </c>
      <c r="D143" s="2">
        <v>1316</v>
      </c>
      <c r="E143" s="2" t="s">
        <v>45</v>
      </c>
      <c r="F143" s="2">
        <v>29</v>
      </c>
      <c r="G143" s="2">
        <v>3</v>
      </c>
      <c r="H143" s="2" t="s">
        <v>51</v>
      </c>
      <c r="I143" s="2">
        <v>1</v>
      </c>
      <c r="J143" s="2">
        <v>192</v>
      </c>
      <c r="K143" s="2">
        <v>3</v>
      </c>
      <c r="L143" s="2" t="s">
        <v>46</v>
      </c>
      <c r="M143" s="2">
        <v>83</v>
      </c>
      <c r="N143" s="2">
        <v>3</v>
      </c>
      <c r="O143" s="2">
        <v>1</v>
      </c>
      <c r="P143" s="2" t="s">
        <v>47</v>
      </c>
      <c r="Q143" s="2">
        <v>4</v>
      </c>
      <c r="R143" s="2" t="s">
        <v>41</v>
      </c>
      <c r="S143" s="2">
        <v>3452</v>
      </c>
      <c r="T143" s="2">
        <v>9752</v>
      </c>
      <c r="U143" s="2">
        <v>5</v>
      </c>
      <c r="V143" s="2" t="s">
        <v>42</v>
      </c>
      <c r="W143" s="2" t="s">
        <v>43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</row>
    <row r="144" spans="1:35" x14ac:dyDescent="0.25">
      <c r="A144" s="2">
        <v>38</v>
      </c>
      <c r="B144" s="2" t="s">
        <v>43</v>
      </c>
      <c r="C144" s="2" t="s">
        <v>36</v>
      </c>
      <c r="D144" s="2">
        <v>364</v>
      </c>
      <c r="E144" s="2" t="s">
        <v>45</v>
      </c>
      <c r="F144" s="2">
        <v>3</v>
      </c>
      <c r="G144" s="2">
        <v>5</v>
      </c>
      <c r="H144" s="2" t="s">
        <v>60</v>
      </c>
      <c r="I144" s="2">
        <v>1</v>
      </c>
      <c r="J144" s="2">
        <v>193</v>
      </c>
      <c r="K144" s="2">
        <v>4</v>
      </c>
      <c r="L144" s="2" t="s">
        <v>39</v>
      </c>
      <c r="M144" s="2">
        <v>32</v>
      </c>
      <c r="N144" s="2">
        <v>3</v>
      </c>
      <c r="O144" s="2">
        <v>2</v>
      </c>
      <c r="P144" s="2" t="s">
        <v>47</v>
      </c>
      <c r="Q144" s="2">
        <v>3</v>
      </c>
      <c r="R144" s="2" t="s">
        <v>41</v>
      </c>
      <c r="S144" s="2">
        <v>4317</v>
      </c>
      <c r="T144" s="2">
        <v>2302</v>
      </c>
      <c r="U144" s="2">
        <v>3</v>
      </c>
      <c r="V144" s="2" t="s">
        <v>42</v>
      </c>
      <c r="W144" s="2" t="s">
        <v>35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</row>
    <row r="145" spans="1:35" x14ac:dyDescent="0.25">
      <c r="A145" s="2">
        <v>30</v>
      </c>
      <c r="B145" s="2" t="s">
        <v>43</v>
      </c>
      <c r="C145" s="2" t="s">
        <v>36</v>
      </c>
      <c r="D145" s="2">
        <v>438</v>
      </c>
      <c r="E145" s="2" t="s">
        <v>45</v>
      </c>
      <c r="F145" s="2">
        <v>18</v>
      </c>
      <c r="G145" s="2">
        <v>3</v>
      </c>
      <c r="H145" s="2" t="s">
        <v>38</v>
      </c>
      <c r="I145" s="2">
        <v>1</v>
      </c>
      <c r="J145" s="2">
        <v>194</v>
      </c>
      <c r="K145" s="2">
        <v>1</v>
      </c>
      <c r="L145" s="2" t="s">
        <v>39</v>
      </c>
      <c r="M145" s="2">
        <v>75</v>
      </c>
      <c r="N145" s="2">
        <v>3</v>
      </c>
      <c r="O145" s="2">
        <v>1</v>
      </c>
      <c r="P145" s="2" t="s">
        <v>47</v>
      </c>
      <c r="Q145" s="2">
        <v>3</v>
      </c>
      <c r="R145" s="2" t="s">
        <v>41</v>
      </c>
      <c r="S145" s="2">
        <v>2632</v>
      </c>
      <c r="T145" s="2">
        <v>23910</v>
      </c>
      <c r="U145" s="2">
        <v>1</v>
      </c>
      <c r="V145" s="2" t="s">
        <v>42</v>
      </c>
      <c r="W145" s="2" t="s">
        <v>43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</row>
    <row r="146" spans="1:35" x14ac:dyDescent="0.25">
      <c r="A146" s="2">
        <v>32</v>
      </c>
      <c r="B146" s="2" t="s">
        <v>43</v>
      </c>
      <c r="C146" s="2" t="s">
        <v>44</v>
      </c>
      <c r="D146" s="2">
        <v>689</v>
      </c>
      <c r="E146" s="2" t="s">
        <v>37</v>
      </c>
      <c r="F146" s="2">
        <v>9</v>
      </c>
      <c r="G146" s="2">
        <v>2</v>
      </c>
      <c r="H146" s="2" t="s">
        <v>51</v>
      </c>
      <c r="I146" s="2">
        <v>1</v>
      </c>
      <c r="J146" s="2">
        <v>195</v>
      </c>
      <c r="K146" s="2">
        <v>4</v>
      </c>
      <c r="L146" s="2" t="s">
        <v>46</v>
      </c>
      <c r="M146" s="2">
        <v>35</v>
      </c>
      <c r="N146" s="2">
        <v>1</v>
      </c>
      <c r="O146" s="2">
        <v>2</v>
      </c>
      <c r="P146" s="2" t="s">
        <v>40</v>
      </c>
      <c r="Q146" s="2">
        <v>4</v>
      </c>
      <c r="R146" s="2" t="s">
        <v>52</v>
      </c>
      <c r="S146" s="2">
        <v>4668</v>
      </c>
      <c r="T146" s="2">
        <v>22812</v>
      </c>
      <c r="U146" s="2">
        <v>0</v>
      </c>
      <c r="V146" s="2" t="s">
        <v>42</v>
      </c>
      <c r="W146" s="2" t="s">
        <v>43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</row>
    <row r="147" spans="1:35" x14ac:dyDescent="0.25">
      <c r="A147" s="2">
        <v>30</v>
      </c>
      <c r="B147" s="2" t="s">
        <v>43</v>
      </c>
      <c r="C147" s="2" t="s">
        <v>36</v>
      </c>
      <c r="D147" s="2">
        <v>201</v>
      </c>
      <c r="E147" s="2" t="s">
        <v>45</v>
      </c>
      <c r="F147" s="2">
        <v>5</v>
      </c>
      <c r="G147" s="2">
        <v>3</v>
      </c>
      <c r="H147" s="2" t="s">
        <v>60</v>
      </c>
      <c r="I147" s="2">
        <v>1</v>
      </c>
      <c r="J147" s="2">
        <v>197</v>
      </c>
      <c r="K147" s="2">
        <v>4</v>
      </c>
      <c r="L147" s="2" t="s">
        <v>39</v>
      </c>
      <c r="M147" s="2">
        <v>84</v>
      </c>
      <c r="N147" s="2">
        <v>3</v>
      </c>
      <c r="O147" s="2">
        <v>1</v>
      </c>
      <c r="P147" s="2" t="s">
        <v>47</v>
      </c>
      <c r="Q147" s="2">
        <v>1</v>
      </c>
      <c r="R147" s="2" t="s">
        <v>52</v>
      </c>
      <c r="S147" s="2">
        <v>3204</v>
      </c>
      <c r="T147" s="2">
        <v>10415</v>
      </c>
      <c r="U147" s="2">
        <v>5</v>
      </c>
      <c r="V147" s="2" t="s">
        <v>42</v>
      </c>
      <c r="W147" s="2" t="s">
        <v>43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</row>
    <row r="148" spans="1:35" x14ac:dyDescent="0.25">
      <c r="A148" s="2">
        <v>30</v>
      </c>
      <c r="B148" s="2" t="s">
        <v>43</v>
      </c>
      <c r="C148" s="2" t="s">
        <v>36</v>
      </c>
      <c r="D148" s="2">
        <v>1427</v>
      </c>
      <c r="E148" s="2" t="s">
        <v>45</v>
      </c>
      <c r="F148" s="2">
        <v>2</v>
      </c>
      <c r="G148" s="2">
        <v>1</v>
      </c>
      <c r="H148" s="2" t="s">
        <v>51</v>
      </c>
      <c r="I148" s="2">
        <v>1</v>
      </c>
      <c r="J148" s="2">
        <v>198</v>
      </c>
      <c r="K148" s="2">
        <v>2</v>
      </c>
      <c r="L148" s="2" t="s">
        <v>46</v>
      </c>
      <c r="M148" s="2">
        <v>35</v>
      </c>
      <c r="N148" s="2">
        <v>2</v>
      </c>
      <c r="O148" s="2">
        <v>1</v>
      </c>
      <c r="P148" s="2" t="s">
        <v>50</v>
      </c>
      <c r="Q148" s="2">
        <v>4</v>
      </c>
      <c r="R148" s="2" t="s">
        <v>41</v>
      </c>
      <c r="S148" s="2">
        <v>2720</v>
      </c>
      <c r="T148" s="2">
        <v>11162</v>
      </c>
      <c r="U148" s="2">
        <v>0</v>
      </c>
      <c r="V148" s="2" t="s">
        <v>42</v>
      </c>
      <c r="W148" s="2" t="s">
        <v>43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</row>
    <row r="149" spans="1:35" x14ac:dyDescent="0.25">
      <c r="A149" s="2">
        <v>41</v>
      </c>
      <c r="B149" s="2" t="s">
        <v>43</v>
      </c>
      <c r="C149" s="2" t="s">
        <v>44</v>
      </c>
      <c r="D149" s="2">
        <v>857</v>
      </c>
      <c r="E149" s="2" t="s">
        <v>45</v>
      </c>
      <c r="F149" s="2">
        <v>10</v>
      </c>
      <c r="G149" s="2">
        <v>3</v>
      </c>
      <c r="H149" s="2" t="s">
        <v>38</v>
      </c>
      <c r="I149" s="2">
        <v>1</v>
      </c>
      <c r="J149" s="2">
        <v>199</v>
      </c>
      <c r="K149" s="2">
        <v>4</v>
      </c>
      <c r="L149" s="2" t="s">
        <v>46</v>
      </c>
      <c r="M149" s="2">
        <v>91</v>
      </c>
      <c r="N149" s="2">
        <v>2</v>
      </c>
      <c r="O149" s="2">
        <v>4</v>
      </c>
      <c r="P149" s="2" t="s">
        <v>56</v>
      </c>
      <c r="Q149" s="2">
        <v>1</v>
      </c>
      <c r="R149" s="2" t="s">
        <v>52</v>
      </c>
      <c r="S149" s="2">
        <v>17181</v>
      </c>
      <c r="T149" s="2">
        <v>12888</v>
      </c>
      <c r="U149" s="2">
        <v>4</v>
      </c>
      <c r="V149" s="2" t="s">
        <v>42</v>
      </c>
      <c r="W149" s="2" t="s">
        <v>43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</row>
    <row r="150" spans="1:35" x14ac:dyDescent="0.25">
      <c r="A150" s="2">
        <v>41</v>
      </c>
      <c r="B150" s="2" t="s">
        <v>43</v>
      </c>
      <c r="C150" s="2" t="s">
        <v>36</v>
      </c>
      <c r="D150" s="2">
        <v>933</v>
      </c>
      <c r="E150" s="2" t="s">
        <v>45</v>
      </c>
      <c r="F150" s="2">
        <v>9</v>
      </c>
      <c r="G150" s="2">
        <v>4</v>
      </c>
      <c r="H150" s="2" t="s">
        <v>38</v>
      </c>
      <c r="I150" s="2">
        <v>1</v>
      </c>
      <c r="J150" s="2">
        <v>200</v>
      </c>
      <c r="K150" s="2">
        <v>3</v>
      </c>
      <c r="L150" s="2" t="s">
        <v>46</v>
      </c>
      <c r="M150" s="2">
        <v>94</v>
      </c>
      <c r="N150" s="2">
        <v>3</v>
      </c>
      <c r="O150" s="2">
        <v>1</v>
      </c>
      <c r="P150" s="2" t="s">
        <v>50</v>
      </c>
      <c r="Q150" s="2">
        <v>1</v>
      </c>
      <c r="R150" s="2" t="s">
        <v>48</v>
      </c>
      <c r="S150" s="2">
        <v>2238</v>
      </c>
      <c r="T150" s="2">
        <v>6961</v>
      </c>
      <c r="U150" s="2">
        <v>2</v>
      </c>
      <c r="V150" s="2" t="s">
        <v>42</v>
      </c>
      <c r="W150" s="2" t="s">
        <v>43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</row>
    <row r="151" spans="1:35" x14ac:dyDescent="0.25">
      <c r="A151" s="2">
        <v>19</v>
      </c>
      <c r="B151" s="2" t="s">
        <v>43</v>
      </c>
      <c r="C151" s="2" t="s">
        <v>36</v>
      </c>
      <c r="D151" s="2">
        <v>1181</v>
      </c>
      <c r="E151" s="2" t="s">
        <v>45</v>
      </c>
      <c r="F151" s="2">
        <v>3</v>
      </c>
      <c r="G151" s="2">
        <v>1</v>
      </c>
      <c r="H151" s="2" t="s">
        <v>51</v>
      </c>
      <c r="I151" s="2">
        <v>1</v>
      </c>
      <c r="J151" s="2">
        <v>201</v>
      </c>
      <c r="K151" s="2">
        <v>2</v>
      </c>
      <c r="L151" s="2" t="s">
        <v>39</v>
      </c>
      <c r="M151" s="2">
        <v>79</v>
      </c>
      <c r="N151" s="2">
        <v>3</v>
      </c>
      <c r="O151" s="2">
        <v>1</v>
      </c>
      <c r="P151" s="2" t="s">
        <v>50</v>
      </c>
      <c r="Q151" s="2">
        <v>2</v>
      </c>
      <c r="R151" s="2" t="s">
        <v>41</v>
      </c>
      <c r="S151" s="2">
        <v>1483</v>
      </c>
      <c r="T151" s="2">
        <v>16102</v>
      </c>
      <c r="U151" s="2">
        <v>1</v>
      </c>
      <c r="V151" s="2" t="s">
        <v>42</v>
      </c>
      <c r="W151" s="2" t="s">
        <v>43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</row>
    <row r="152" spans="1:35" x14ac:dyDescent="0.25">
      <c r="A152" s="2">
        <v>40</v>
      </c>
      <c r="B152" s="2" t="s">
        <v>43</v>
      </c>
      <c r="C152" s="2" t="s">
        <v>44</v>
      </c>
      <c r="D152" s="2">
        <v>1395</v>
      </c>
      <c r="E152" s="2" t="s">
        <v>45</v>
      </c>
      <c r="F152" s="2">
        <v>26</v>
      </c>
      <c r="G152" s="2">
        <v>3</v>
      </c>
      <c r="H152" s="2" t="s">
        <v>51</v>
      </c>
      <c r="I152" s="2">
        <v>1</v>
      </c>
      <c r="J152" s="2">
        <v>202</v>
      </c>
      <c r="K152" s="2">
        <v>2</v>
      </c>
      <c r="L152" s="2" t="s">
        <v>39</v>
      </c>
      <c r="M152" s="2">
        <v>54</v>
      </c>
      <c r="N152" s="2">
        <v>3</v>
      </c>
      <c r="O152" s="2">
        <v>2</v>
      </c>
      <c r="P152" s="2" t="s">
        <v>47</v>
      </c>
      <c r="Q152" s="2">
        <v>2</v>
      </c>
      <c r="R152" s="2" t="s">
        <v>52</v>
      </c>
      <c r="S152" s="2">
        <v>5605</v>
      </c>
      <c r="T152" s="2">
        <v>8504</v>
      </c>
      <c r="U152" s="2">
        <v>1</v>
      </c>
      <c r="V152" s="2" t="s">
        <v>42</v>
      </c>
      <c r="W152" s="2" t="s">
        <v>43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</row>
    <row r="153" spans="1:35" x14ac:dyDescent="0.25">
      <c r="A153" s="2">
        <v>35</v>
      </c>
      <c r="B153" s="2" t="s">
        <v>43</v>
      </c>
      <c r="C153" s="2" t="s">
        <v>36</v>
      </c>
      <c r="D153" s="2">
        <v>662</v>
      </c>
      <c r="E153" s="2" t="s">
        <v>37</v>
      </c>
      <c r="F153" s="2">
        <v>1</v>
      </c>
      <c r="G153" s="2">
        <v>5</v>
      </c>
      <c r="H153" s="2" t="s">
        <v>59</v>
      </c>
      <c r="I153" s="2">
        <v>1</v>
      </c>
      <c r="J153" s="2">
        <v>204</v>
      </c>
      <c r="K153" s="2">
        <v>3</v>
      </c>
      <c r="L153" s="2" t="s">
        <v>46</v>
      </c>
      <c r="M153" s="2">
        <v>94</v>
      </c>
      <c r="N153" s="2">
        <v>3</v>
      </c>
      <c r="O153" s="2">
        <v>3</v>
      </c>
      <c r="P153" s="2" t="s">
        <v>40</v>
      </c>
      <c r="Q153" s="2">
        <v>2</v>
      </c>
      <c r="R153" s="2" t="s">
        <v>48</v>
      </c>
      <c r="S153" s="2">
        <v>7295</v>
      </c>
      <c r="T153" s="2">
        <v>11439</v>
      </c>
      <c r="U153" s="2">
        <v>1</v>
      </c>
      <c r="V153" s="2" t="s">
        <v>42</v>
      </c>
      <c r="W153" s="2" t="s">
        <v>43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</row>
    <row r="154" spans="1:35" x14ac:dyDescent="0.25">
      <c r="A154" s="2">
        <v>53</v>
      </c>
      <c r="B154" s="2" t="s">
        <v>43</v>
      </c>
      <c r="C154" s="2" t="s">
        <v>36</v>
      </c>
      <c r="D154" s="2">
        <v>1436</v>
      </c>
      <c r="E154" s="2" t="s">
        <v>37</v>
      </c>
      <c r="F154" s="2">
        <v>6</v>
      </c>
      <c r="G154" s="2">
        <v>2</v>
      </c>
      <c r="H154" s="2" t="s">
        <v>59</v>
      </c>
      <c r="I154" s="2">
        <v>1</v>
      </c>
      <c r="J154" s="2">
        <v>205</v>
      </c>
      <c r="K154" s="2">
        <v>2</v>
      </c>
      <c r="L154" s="2" t="s">
        <v>46</v>
      </c>
      <c r="M154" s="2">
        <v>34</v>
      </c>
      <c r="N154" s="2">
        <v>3</v>
      </c>
      <c r="O154" s="2">
        <v>2</v>
      </c>
      <c r="P154" s="2" t="s">
        <v>57</v>
      </c>
      <c r="Q154" s="2">
        <v>3</v>
      </c>
      <c r="R154" s="2" t="s">
        <v>48</v>
      </c>
      <c r="S154" s="2">
        <v>2306</v>
      </c>
      <c r="T154" s="2">
        <v>16047</v>
      </c>
      <c r="U154" s="2">
        <v>2</v>
      </c>
      <c r="V154" s="2" t="s">
        <v>42</v>
      </c>
      <c r="W154" s="2" t="s">
        <v>35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</row>
    <row r="155" spans="1:35" x14ac:dyDescent="0.25">
      <c r="A155" s="2">
        <v>45</v>
      </c>
      <c r="B155" s="2" t="s">
        <v>43</v>
      </c>
      <c r="C155" s="2" t="s">
        <v>36</v>
      </c>
      <c r="D155" s="2">
        <v>194</v>
      </c>
      <c r="E155" s="2" t="s">
        <v>45</v>
      </c>
      <c r="F155" s="2">
        <v>9</v>
      </c>
      <c r="G155" s="2">
        <v>3</v>
      </c>
      <c r="H155" s="2" t="s">
        <v>38</v>
      </c>
      <c r="I155" s="2">
        <v>1</v>
      </c>
      <c r="J155" s="2">
        <v>206</v>
      </c>
      <c r="K155" s="2">
        <v>2</v>
      </c>
      <c r="L155" s="2" t="s">
        <v>46</v>
      </c>
      <c r="M155" s="2">
        <v>60</v>
      </c>
      <c r="N155" s="2">
        <v>3</v>
      </c>
      <c r="O155" s="2">
        <v>2</v>
      </c>
      <c r="P155" s="2" t="s">
        <v>50</v>
      </c>
      <c r="Q155" s="2">
        <v>2</v>
      </c>
      <c r="R155" s="2" t="s">
        <v>52</v>
      </c>
      <c r="S155" s="2">
        <v>2348</v>
      </c>
      <c r="T155" s="2">
        <v>10901</v>
      </c>
      <c r="U155" s="2">
        <v>8</v>
      </c>
      <c r="V155" s="2" t="s">
        <v>42</v>
      </c>
      <c r="W155" s="2" t="s">
        <v>43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</row>
    <row r="156" spans="1:35" x14ac:dyDescent="0.25">
      <c r="A156" s="2">
        <v>32</v>
      </c>
      <c r="B156" s="2" t="s">
        <v>43</v>
      </c>
      <c r="C156" s="2" t="s">
        <v>44</v>
      </c>
      <c r="D156" s="2">
        <v>967</v>
      </c>
      <c r="E156" s="2" t="s">
        <v>37</v>
      </c>
      <c r="F156" s="2">
        <v>8</v>
      </c>
      <c r="G156" s="2">
        <v>3</v>
      </c>
      <c r="H156" s="2" t="s">
        <v>59</v>
      </c>
      <c r="I156" s="2">
        <v>1</v>
      </c>
      <c r="J156" s="2">
        <v>207</v>
      </c>
      <c r="K156" s="2">
        <v>2</v>
      </c>
      <c r="L156" s="2" t="s">
        <v>39</v>
      </c>
      <c r="M156" s="2">
        <v>43</v>
      </c>
      <c r="N156" s="2">
        <v>3</v>
      </c>
      <c r="O156" s="2">
        <v>3</v>
      </c>
      <c r="P156" s="2" t="s">
        <v>40</v>
      </c>
      <c r="Q156" s="2">
        <v>4</v>
      </c>
      <c r="R156" s="2" t="s">
        <v>41</v>
      </c>
      <c r="S156" s="2">
        <v>8998</v>
      </c>
      <c r="T156" s="2">
        <v>15589</v>
      </c>
      <c r="U156" s="2">
        <v>1</v>
      </c>
      <c r="V156" s="2" t="s">
        <v>42</v>
      </c>
      <c r="W156" s="2" t="s">
        <v>43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</row>
    <row r="157" spans="1:35" x14ac:dyDescent="0.25">
      <c r="A157" s="2">
        <v>29</v>
      </c>
      <c r="B157" s="2" t="s">
        <v>43</v>
      </c>
      <c r="C157" s="2" t="s">
        <v>55</v>
      </c>
      <c r="D157" s="2">
        <v>1496</v>
      </c>
      <c r="E157" s="2" t="s">
        <v>45</v>
      </c>
      <c r="F157" s="2">
        <v>1</v>
      </c>
      <c r="G157" s="2">
        <v>1</v>
      </c>
      <c r="H157" s="2" t="s">
        <v>60</v>
      </c>
      <c r="I157" s="2">
        <v>1</v>
      </c>
      <c r="J157" s="2">
        <v>208</v>
      </c>
      <c r="K157" s="2">
        <v>4</v>
      </c>
      <c r="L157" s="2" t="s">
        <v>46</v>
      </c>
      <c r="M157" s="2">
        <v>41</v>
      </c>
      <c r="N157" s="2">
        <v>3</v>
      </c>
      <c r="O157" s="2">
        <v>2</v>
      </c>
      <c r="P157" s="2" t="s">
        <v>53</v>
      </c>
      <c r="Q157" s="2">
        <v>3</v>
      </c>
      <c r="R157" s="2" t="s">
        <v>48</v>
      </c>
      <c r="S157" s="2">
        <v>4319</v>
      </c>
      <c r="T157" s="2">
        <v>26283</v>
      </c>
      <c r="U157" s="2">
        <v>1</v>
      </c>
      <c r="V157" s="2" t="s">
        <v>42</v>
      </c>
      <c r="W157" s="2" t="s">
        <v>43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</row>
    <row r="158" spans="1:35" x14ac:dyDescent="0.25">
      <c r="A158" s="2">
        <v>51</v>
      </c>
      <c r="B158" s="2" t="s">
        <v>43</v>
      </c>
      <c r="C158" s="2" t="s">
        <v>36</v>
      </c>
      <c r="D158" s="2">
        <v>1169</v>
      </c>
      <c r="E158" s="2" t="s">
        <v>45</v>
      </c>
      <c r="F158" s="2">
        <v>7</v>
      </c>
      <c r="G158" s="2">
        <v>4</v>
      </c>
      <c r="H158" s="2" t="s">
        <v>51</v>
      </c>
      <c r="I158" s="2">
        <v>1</v>
      </c>
      <c r="J158" s="2">
        <v>211</v>
      </c>
      <c r="K158" s="2">
        <v>2</v>
      </c>
      <c r="L158" s="2" t="s">
        <v>46</v>
      </c>
      <c r="M158" s="2">
        <v>34</v>
      </c>
      <c r="N158" s="2">
        <v>2</v>
      </c>
      <c r="O158" s="2">
        <v>2</v>
      </c>
      <c r="P158" s="2" t="s">
        <v>53</v>
      </c>
      <c r="Q158" s="2">
        <v>3</v>
      </c>
      <c r="R158" s="2" t="s">
        <v>48</v>
      </c>
      <c r="S158" s="2">
        <v>6132</v>
      </c>
      <c r="T158" s="2">
        <v>13983</v>
      </c>
      <c r="U158" s="2">
        <v>2</v>
      </c>
      <c r="V158" s="2" t="s">
        <v>42</v>
      </c>
      <c r="W158" s="2" t="s">
        <v>43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</row>
    <row r="159" spans="1:35" x14ac:dyDescent="0.25">
      <c r="A159" s="2">
        <v>58</v>
      </c>
      <c r="B159" s="2" t="s">
        <v>43</v>
      </c>
      <c r="C159" s="2" t="s">
        <v>36</v>
      </c>
      <c r="D159" s="2">
        <v>1145</v>
      </c>
      <c r="E159" s="2" t="s">
        <v>45</v>
      </c>
      <c r="F159" s="2">
        <v>9</v>
      </c>
      <c r="G159" s="2">
        <v>3</v>
      </c>
      <c r="H159" s="2" t="s">
        <v>51</v>
      </c>
      <c r="I159" s="2">
        <v>1</v>
      </c>
      <c r="J159" s="2">
        <v>214</v>
      </c>
      <c r="K159" s="2">
        <v>2</v>
      </c>
      <c r="L159" s="2" t="s">
        <v>39</v>
      </c>
      <c r="M159" s="2">
        <v>75</v>
      </c>
      <c r="N159" s="2">
        <v>2</v>
      </c>
      <c r="O159" s="2">
        <v>1</v>
      </c>
      <c r="P159" s="2" t="s">
        <v>47</v>
      </c>
      <c r="Q159" s="2">
        <v>2</v>
      </c>
      <c r="R159" s="2" t="s">
        <v>48</v>
      </c>
      <c r="S159" s="2">
        <v>3346</v>
      </c>
      <c r="T159" s="2">
        <v>11873</v>
      </c>
      <c r="U159" s="2">
        <v>4</v>
      </c>
      <c r="V159" s="2" t="s">
        <v>42</v>
      </c>
      <c r="W159" s="2" t="s">
        <v>35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</row>
    <row r="160" spans="1:35" x14ac:dyDescent="0.25">
      <c r="A160" s="2">
        <v>40</v>
      </c>
      <c r="B160" s="2" t="s">
        <v>43</v>
      </c>
      <c r="C160" s="2" t="s">
        <v>36</v>
      </c>
      <c r="D160" s="2">
        <v>630</v>
      </c>
      <c r="E160" s="2" t="s">
        <v>37</v>
      </c>
      <c r="F160" s="2">
        <v>4</v>
      </c>
      <c r="G160" s="2">
        <v>4</v>
      </c>
      <c r="H160" s="2" t="s">
        <v>59</v>
      </c>
      <c r="I160" s="2">
        <v>1</v>
      </c>
      <c r="J160" s="2">
        <v>215</v>
      </c>
      <c r="K160" s="2">
        <v>3</v>
      </c>
      <c r="L160" s="2" t="s">
        <v>46</v>
      </c>
      <c r="M160" s="2">
        <v>67</v>
      </c>
      <c r="N160" s="2">
        <v>2</v>
      </c>
      <c r="O160" s="2">
        <v>3</v>
      </c>
      <c r="P160" s="2" t="s">
        <v>40</v>
      </c>
      <c r="Q160" s="2">
        <v>4</v>
      </c>
      <c r="R160" s="2" t="s">
        <v>48</v>
      </c>
      <c r="S160" s="2">
        <v>10855</v>
      </c>
      <c r="T160" s="2">
        <v>8552</v>
      </c>
      <c r="U160" s="2">
        <v>7</v>
      </c>
      <c r="V160" s="2" t="s">
        <v>42</v>
      </c>
      <c r="W160" s="2" t="s">
        <v>43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</row>
    <row r="161" spans="1:35" x14ac:dyDescent="0.25">
      <c r="A161" s="2">
        <v>34</v>
      </c>
      <c r="B161" s="2" t="s">
        <v>43</v>
      </c>
      <c r="C161" s="2" t="s">
        <v>44</v>
      </c>
      <c r="D161" s="2">
        <v>303</v>
      </c>
      <c r="E161" s="2" t="s">
        <v>37</v>
      </c>
      <c r="F161" s="2">
        <v>2</v>
      </c>
      <c r="G161" s="2">
        <v>4</v>
      </c>
      <c r="H161" s="2" t="s">
        <v>59</v>
      </c>
      <c r="I161" s="2">
        <v>1</v>
      </c>
      <c r="J161" s="2">
        <v>216</v>
      </c>
      <c r="K161" s="2">
        <v>3</v>
      </c>
      <c r="L161" s="2" t="s">
        <v>39</v>
      </c>
      <c r="M161" s="2">
        <v>75</v>
      </c>
      <c r="N161" s="2">
        <v>3</v>
      </c>
      <c r="O161" s="2">
        <v>1</v>
      </c>
      <c r="P161" s="2" t="s">
        <v>57</v>
      </c>
      <c r="Q161" s="2">
        <v>3</v>
      </c>
      <c r="R161" s="2" t="s">
        <v>48</v>
      </c>
      <c r="S161" s="2">
        <v>2231</v>
      </c>
      <c r="T161" s="2">
        <v>11314</v>
      </c>
      <c r="U161" s="2">
        <v>6</v>
      </c>
      <c r="V161" s="2" t="s">
        <v>42</v>
      </c>
      <c r="W161" s="2" t="s">
        <v>43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</row>
    <row r="162" spans="1:35" x14ac:dyDescent="0.25">
      <c r="A162" s="2">
        <v>22</v>
      </c>
      <c r="B162" s="2" t="s">
        <v>43</v>
      </c>
      <c r="C162" s="2" t="s">
        <v>36</v>
      </c>
      <c r="D162" s="2">
        <v>1256</v>
      </c>
      <c r="E162" s="2" t="s">
        <v>45</v>
      </c>
      <c r="F162" s="2">
        <v>19</v>
      </c>
      <c r="G162" s="2">
        <v>1</v>
      </c>
      <c r="H162" s="2" t="s">
        <v>51</v>
      </c>
      <c r="I162" s="2">
        <v>1</v>
      </c>
      <c r="J162" s="2">
        <v>217</v>
      </c>
      <c r="K162" s="2">
        <v>3</v>
      </c>
      <c r="L162" s="2" t="s">
        <v>46</v>
      </c>
      <c r="M162" s="2">
        <v>80</v>
      </c>
      <c r="N162" s="2">
        <v>3</v>
      </c>
      <c r="O162" s="2">
        <v>1</v>
      </c>
      <c r="P162" s="2" t="s">
        <v>47</v>
      </c>
      <c r="Q162" s="2">
        <v>4</v>
      </c>
      <c r="R162" s="2" t="s">
        <v>48</v>
      </c>
      <c r="S162" s="2">
        <v>2323</v>
      </c>
      <c r="T162" s="2">
        <v>11992</v>
      </c>
      <c r="U162" s="2">
        <v>1</v>
      </c>
      <c r="V162" s="2" t="s">
        <v>42</v>
      </c>
      <c r="W162" s="2" t="s">
        <v>43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</row>
    <row r="163" spans="1:35" x14ac:dyDescent="0.25">
      <c r="A163" s="2">
        <v>27</v>
      </c>
      <c r="B163" s="2" t="s">
        <v>43</v>
      </c>
      <c r="C163" s="2" t="s">
        <v>55</v>
      </c>
      <c r="D163" s="2">
        <v>691</v>
      </c>
      <c r="E163" s="2" t="s">
        <v>45</v>
      </c>
      <c r="F163" s="2">
        <v>9</v>
      </c>
      <c r="G163" s="2">
        <v>3</v>
      </c>
      <c r="H163" s="2" t="s">
        <v>51</v>
      </c>
      <c r="I163" s="2">
        <v>1</v>
      </c>
      <c r="J163" s="2">
        <v>218</v>
      </c>
      <c r="K163" s="2">
        <v>4</v>
      </c>
      <c r="L163" s="2" t="s">
        <v>46</v>
      </c>
      <c r="M163" s="2">
        <v>57</v>
      </c>
      <c r="N163" s="2">
        <v>3</v>
      </c>
      <c r="O163" s="2">
        <v>1</v>
      </c>
      <c r="P163" s="2" t="s">
        <v>47</v>
      </c>
      <c r="Q163" s="2">
        <v>2</v>
      </c>
      <c r="R163" s="2" t="s">
        <v>52</v>
      </c>
      <c r="S163" s="2">
        <v>2024</v>
      </c>
      <c r="T163" s="2">
        <v>5970</v>
      </c>
      <c r="U163" s="2">
        <v>6</v>
      </c>
      <c r="V163" s="2" t="s">
        <v>42</v>
      </c>
      <c r="W163" s="2" t="s">
        <v>43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</row>
    <row r="164" spans="1:35" x14ac:dyDescent="0.25">
      <c r="A164" s="2">
        <v>28</v>
      </c>
      <c r="B164" s="2" t="s">
        <v>43</v>
      </c>
      <c r="C164" s="2" t="s">
        <v>36</v>
      </c>
      <c r="D164" s="2">
        <v>440</v>
      </c>
      <c r="E164" s="2" t="s">
        <v>45</v>
      </c>
      <c r="F164" s="2">
        <v>21</v>
      </c>
      <c r="G164" s="2">
        <v>3</v>
      </c>
      <c r="H164" s="2" t="s">
        <v>51</v>
      </c>
      <c r="I164" s="2">
        <v>1</v>
      </c>
      <c r="J164" s="2">
        <v>221</v>
      </c>
      <c r="K164" s="2">
        <v>3</v>
      </c>
      <c r="L164" s="2" t="s">
        <v>46</v>
      </c>
      <c r="M164" s="2">
        <v>42</v>
      </c>
      <c r="N164" s="2">
        <v>3</v>
      </c>
      <c r="O164" s="2">
        <v>1</v>
      </c>
      <c r="P164" s="2" t="s">
        <v>47</v>
      </c>
      <c r="Q164" s="2">
        <v>4</v>
      </c>
      <c r="R164" s="2" t="s">
        <v>48</v>
      </c>
      <c r="S164" s="2">
        <v>2713</v>
      </c>
      <c r="T164" s="2">
        <v>6672</v>
      </c>
      <c r="U164" s="2">
        <v>1</v>
      </c>
      <c r="V164" s="2" t="s">
        <v>42</v>
      </c>
      <c r="W164" s="2" t="s">
        <v>43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</row>
    <row r="165" spans="1:35" x14ac:dyDescent="0.25">
      <c r="A165" s="2">
        <v>57</v>
      </c>
      <c r="B165" s="2" t="s">
        <v>43</v>
      </c>
      <c r="C165" s="2" t="s">
        <v>36</v>
      </c>
      <c r="D165" s="2">
        <v>334</v>
      </c>
      <c r="E165" s="2" t="s">
        <v>45</v>
      </c>
      <c r="F165" s="2">
        <v>24</v>
      </c>
      <c r="G165" s="2">
        <v>2</v>
      </c>
      <c r="H165" s="2" t="s">
        <v>38</v>
      </c>
      <c r="I165" s="2">
        <v>1</v>
      </c>
      <c r="J165" s="2">
        <v>223</v>
      </c>
      <c r="K165" s="2">
        <v>3</v>
      </c>
      <c r="L165" s="2" t="s">
        <v>46</v>
      </c>
      <c r="M165" s="2">
        <v>83</v>
      </c>
      <c r="N165" s="2">
        <v>4</v>
      </c>
      <c r="O165" s="2">
        <v>3</v>
      </c>
      <c r="P165" s="2" t="s">
        <v>54</v>
      </c>
      <c r="Q165" s="2">
        <v>4</v>
      </c>
      <c r="R165" s="2" t="s">
        <v>52</v>
      </c>
      <c r="S165" s="2">
        <v>9439</v>
      </c>
      <c r="T165" s="2">
        <v>23402</v>
      </c>
      <c r="U165" s="2">
        <v>3</v>
      </c>
      <c r="V165" s="2" t="s">
        <v>42</v>
      </c>
      <c r="W165" s="2" t="s">
        <v>35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</row>
    <row r="166" spans="1:35" x14ac:dyDescent="0.25">
      <c r="A166" s="2">
        <v>27</v>
      </c>
      <c r="B166" s="2" t="s">
        <v>43</v>
      </c>
      <c r="C166" s="2" t="s">
        <v>55</v>
      </c>
      <c r="D166" s="2">
        <v>1450</v>
      </c>
      <c r="E166" s="2" t="s">
        <v>45</v>
      </c>
      <c r="F166" s="2">
        <v>3</v>
      </c>
      <c r="G166" s="2">
        <v>3</v>
      </c>
      <c r="H166" s="2" t="s">
        <v>51</v>
      </c>
      <c r="I166" s="2">
        <v>1</v>
      </c>
      <c r="J166" s="2">
        <v>224</v>
      </c>
      <c r="K166" s="2">
        <v>3</v>
      </c>
      <c r="L166" s="2" t="s">
        <v>46</v>
      </c>
      <c r="M166" s="2">
        <v>79</v>
      </c>
      <c r="N166" s="2">
        <v>2</v>
      </c>
      <c r="O166" s="2">
        <v>1</v>
      </c>
      <c r="P166" s="2" t="s">
        <v>47</v>
      </c>
      <c r="Q166" s="2">
        <v>3</v>
      </c>
      <c r="R166" s="2" t="s">
        <v>52</v>
      </c>
      <c r="S166" s="2">
        <v>2566</v>
      </c>
      <c r="T166" s="2">
        <v>25326</v>
      </c>
      <c r="U166" s="2">
        <v>1</v>
      </c>
      <c r="V166" s="2" t="s">
        <v>42</v>
      </c>
      <c r="W166" s="2" t="s">
        <v>35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</row>
    <row r="167" spans="1:35" x14ac:dyDescent="0.25">
      <c r="A167" s="2">
        <v>50</v>
      </c>
      <c r="B167" s="2" t="s">
        <v>43</v>
      </c>
      <c r="C167" s="2" t="s">
        <v>36</v>
      </c>
      <c r="D167" s="2">
        <v>1452</v>
      </c>
      <c r="E167" s="2" t="s">
        <v>45</v>
      </c>
      <c r="F167" s="2">
        <v>11</v>
      </c>
      <c r="G167" s="2">
        <v>3</v>
      </c>
      <c r="H167" s="2" t="s">
        <v>38</v>
      </c>
      <c r="I167" s="2">
        <v>1</v>
      </c>
      <c r="J167" s="2">
        <v>226</v>
      </c>
      <c r="K167" s="2">
        <v>3</v>
      </c>
      <c r="L167" s="2" t="s">
        <v>39</v>
      </c>
      <c r="M167" s="2">
        <v>53</v>
      </c>
      <c r="N167" s="2">
        <v>3</v>
      </c>
      <c r="O167" s="2">
        <v>5</v>
      </c>
      <c r="P167" s="2" t="s">
        <v>56</v>
      </c>
      <c r="Q167" s="2">
        <v>2</v>
      </c>
      <c r="R167" s="2" t="s">
        <v>41</v>
      </c>
      <c r="S167" s="2">
        <v>19926</v>
      </c>
      <c r="T167" s="2">
        <v>17053</v>
      </c>
      <c r="U167" s="2">
        <v>3</v>
      </c>
      <c r="V167" s="2" t="s">
        <v>42</v>
      </c>
      <c r="W167" s="2" t="s">
        <v>43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</row>
    <row r="168" spans="1:35" x14ac:dyDescent="0.25">
      <c r="A168" s="2">
        <v>41</v>
      </c>
      <c r="B168" s="2" t="s">
        <v>43</v>
      </c>
      <c r="C168" s="2" t="s">
        <v>36</v>
      </c>
      <c r="D168" s="2">
        <v>465</v>
      </c>
      <c r="E168" s="2" t="s">
        <v>45</v>
      </c>
      <c r="F168" s="2">
        <v>14</v>
      </c>
      <c r="G168" s="2">
        <v>3</v>
      </c>
      <c r="H168" s="2" t="s">
        <v>38</v>
      </c>
      <c r="I168" s="2">
        <v>1</v>
      </c>
      <c r="J168" s="2">
        <v>227</v>
      </c>
      <c r="K168" s="2">
        <v>1</v>
      </c>
      <c r="L168" s="2" t="s">
        <v>46</v>
      </c>
      <c r="M168" s="2">
        <v>56</v>
      </c>
      <c r="N168" s="2">
        <v>3</v>
      </c>
      <c r="O168" s="2">
        <v>1</v>
      </c>
      <c r="P168" s="2" t="s">
        <v>47</v>
      </c>
      <c r="Q168" s="2">
        <v>3</v>
      </c>
      <c r="R168" s="2" t="s">
        <v>52</v>
      </c>
      <c r="S168" s="2">
        <v>2451</v>
      </c>
      <c r="T168" s="2">
        <v>4609</v>
      </c>
      <c r="U168" s="2">
        <v>4</v>
      </c>
      <c r="V168" s="2" t="s">
        <v>42</v>
      </c>
      <c r="W168" s="2" t="s">
        <v>43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</row>
    <row r="169" spans="1:35" x14ac:dyDescent="0.25">
      <c r="A169" s="2">
        <v>30</v>
      </c>
      <c r="B169" s="2" t="s">
        <v>43</v>
      </c>
      <c r="C169" s="2" t="s">
        <v>36</v>
      </c>
      <c r="D169" s="2">
        <v>1339</v>
      </c>
      <c r="E169" s="2" t="s">
        <v>37</v>
      </c>
      <c r="F169" s="2">
        <v>5</v>
      </c>
      <c r="G169" s="2">
        <v>3</v>
      </c>
      <c r="H169" s="2" t="s">
        <v>38</v>
      </c>
      <c r="I169" s="2">
        <v>1</v>
      </c>
      <c r="J169" s="2">
        <v>228</v>
      </c>
      <c r="K169" s="2">
        <v>2</v>
      </c>
      <c r="L169" s="2" t="s">
        <v>39</v>
      </c>
      <c r="M169" s="2">
        <v>41</v>
      </c>
      <c r="N169" s="2">
        <v>3</v>
      </c>
      <c r="O169" s="2">
        <v>3</v>
      </c>
      <c r="P169" s="2" t="s">
        <v>40</v>
      </c>
      <c r="Q169" s="2">
        <v>4</v>
      </c>
      <c r="R169" s="2" t="s">
        <v>48</v>
      </c>
      <c r="S169" s="2">
        <v>9419</v>
      </c>
      <c r="T169" s="2">
        <v>8053</v>
      </c>
      <c r="U169" s="2">
        <v>2</v>
      </c>
      <c r="V169" s="2" t="s">
        <v>42</v>
      </c>
      <c r="W169" s="2" t="s">
        <v>43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</row>
    <row r="170" spans="1:35" x14ac:dyDescent="0.25">
      <c r="A170" s="2">
        <v>38</v>
      </c>
      <c r="B170" s="2" t="s">
        <v>43</v>
      </c>
      <c r="C170" s="2" t="s">
        <v>36</v>
      </c>
      <c r="D170" s="2">
        <v>702</v>
      </c>
      <c r="E170" s="2" t="s">
        <v>37</v>
      </c>
      <c r="F170" s="2">
        <v>1</v>
      </c>
      <c r="G170" s="2">
        <v>4</v>
      </c>
      <c r="H170" s="2" t="s">
        <v>38</v>
      </c>
      <c r="I170" s="2">
        <v>1</v>
      </c>
      <c r="J170" s="2">
        <v>230</v>
      </c>
      <c r="K170" s="2">
        <v>1</v>
      </c>
      <c r="L170" s="2" t="s">
        <v>39</v>
      </c>
      <c r="M170" s="2">
        <v>59</v>
      </c>
      <c r="N170" s="2">
        <v>2</v>
      </c>
      <c r="O170" s="2">
        <v>2</v>
      </c>
      <c r="P170" s="2" t="s">
        <v>40</v>
      </c>
      <c r="Q170" s="2">
        <v>4</v>
      </c>
      <c r="R170" s="2" t="s">
        <v>41</v>
      </c>
      <c r="S170" s="2">
        <v>8686</v>
      </c>
      <c r="T170" s="2">
        <v>12930</v>
      </c>
      <c r="U170" s="2">
        <v>4</v>
      </c>
      <c r="V170" s="2" t="s">
        <v>42</v>
      </c>
      <c r="W170" s="2" t="s">
        <v>43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</row>
    <row r="171" spans="1:35" x14ac:dyDescent="0.25">
      <c r="A171" s="2">
        <v>32</v>
      </c>
      <c r="B171" s="2" t="s">
        <v>43</v>
      </c>
      <c r="C171" s="2" t="s">
        <v>36</v>
      </c>
      <c r="D171" s="2">
        <v>120</v>
      </c>
      <c r="E171" s="2" t="s">
        <v>45</v>
      </c>
      <c r="F171" s="2">
        <v>6</v>
      </c>
      <c r="G171" s="2">
        <v>5</v>
      </c>
      <c r="H171" s="2" t="s">
        <v>38</v>
      </c>
      <c r="I171" s="2">
        <v>1</v>
      </c>
      <c r="J171" s="2">
        <v>231</v>
      </c>
      <c r="K171" s="2">
        <v>3</v>
      </c>
      <c r="L171" s="2" t="s">
        <v>46</v>
      </c>
      <c r="M171" s="2">
        <v>43</v>
      </c>
      <c r="N171" s="2">
        <v>3</v>
      </c>
      <c r="O171" s="2">
        <v>1</v>
      </c>
      <c r="P171" s="2" t="s">
        <v>47</v>
      </c>
      <c r="Q171" s="2">
        <v>3</v>
      </c>
      <c r="R171" s="2" t="s">
        <v>41</v>
      </c>
      <c r="S171" s="2">
        <v>3038</v>
      </c>
      <c r="T171" s="2">
        <v>12430</v>
      </c>
      <c r="U171" s="2">
        <v>3</v>
      </c>
      <c r="V171" s="2" t="s">
        <v>42</v>
      </c>
      <c r="W171" s="2" t="s">
        <v>43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</row>
    <row r="172" spans="1:35" x14ac:dyDescent="0.25">
      <c r="A172" s="2">
        <v>27</v>
      </c>
      <c r="B172" s="2" t="s">
        <v>43</v>
      </c>
      <c r="C172" s="2" t="s">
        <v>36</v>
      </c>
      <c r="D172" s="2">
        <v>1157</v>
      </c>
      <c r="E172" s="2" t="s">
        <v>45</v>
      </c>
      <c r="F172" s="2">
        <v>17</v>
      </c>
      <c r="G172" s="2">
        <v>3</v>
      </c>
      <c r="H172" s="2" t="s">
        <v>60</v>
      </c>
      <c r="I172" s="2">
        <v>1</v>
      </c>
      <c r="J172" s="2">
        <v>233</v>
      </c>
      <c r="K172" s="2">
        <v>3</v>
      </c>
      <c r="L172" s="2" t="s">
        <v>46</v>
      </c>
      <c r="M172" s="2">
        <v>51</v>
      </c>
      <c r="N172" s="2">
        <v>3</v>
      </c>
      <c r="O172" s="2">
        <v>1</v>
      </c>
      <c r="P172" s="2" t="s">
        <v>47</v>
      </c>
      <c r="Q172" s="2">
        <v>2</v>
      </c>
      <c r="R172" s="2" t="s">
        <v>48</v>
      </c>
      <c r="S172" s="2">
        <v>3058</v>
      </c>
      <c r="T172" s="2">
        <v>13364</v>
      </c>
      <c r="U172" s="2">
        <v>0</v>
      </c>
      <c r="V172" s="2" t="s">
        <v>42</v>
      </c>
      <c r="W172" s="2" t="s">
        <v>35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</row>
    <row r="173" spans="1:35" x14ac:dyDescent="0.25">
      <c r="A173" s="2">
        <v>19</v>
      </c>
      <c r="B173" s="2" t="s">
        <v>35</v>
      </c>
      <c r="C173" s="2" t="s">
        <v>44</v>
      </c>
      <c r="D173" s="2">
        <v>602</v>
      </c>
      <c r="E173" s="2" t="s">
        <v>37</v>
      </c>
      <c r="F173" s="2">
        <v>1</v>
      </c>
      <c r="G173" s="2">
        <v>1</v>
      </c>
      <c r="H173" s="2" t="s">
        <v>60</v>
      </c>
      <c r="I173" s="2">
        <v>1</v>
      </c>
      <c r="J173" s="2">
        <v>235</v>
      </c>
      <c r="K173" s="2">
        <v>3</v>
      </c>
      <c r="L173" s="2" t="s">
        <v>39</v>
      </c>
      <c r="M173" s="2">
        <v>100</v>
      </c>
      <c r="N173" s="2">
        <v>1</v>
      </c>
      <c r="O173" s="2">
        <v>1</v>
      </c>
      <c r="P173" s="2" t="s">
        <v>57</v>
      </c>
      <c r="Q173" s="2">
        <v>1</v>
      </c>
      <c r="R173" s="2" t="s">
        <v>41</v>
      </c>
      <c r="S173" s="2">
        <v>2325</v>
      </c>
      <c r="T173" s="2">
        <v>20989</v>
      </c>
      <c r="U173" s="2">
        <v>0</v>
      </c>
      <c r="V173" s="2" t="s">
        <v>42</v>
      </c>
      <c r="W173" s="2" t="s">
        <v>43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</row>
    <row r="174" spans="1:35" x14ac:dyDescent="0.25">
      <c r="A174" s="2">
        <v>36</v>
      </c>
      <c r="B174" s="2" t="s">
        <v>43</v>
      </c>
      <c r="C174" s="2" t="s">
        <v>44</v>
      </c>
      <c r="D174" s="2">
        <v>1480</v>
      </c>
      <c r="E174" s="2" t="s">
        <v>45</v>
      </c>
      <c r="F174" s="2">
        <v>3</v>
      </c>
      <c r="G174" s="2">
        <v>2</v>
      </c>
      <c r="H174" s="2" t="s">
        <v>51</v>
      </c>
      <c r="I174" s="2">
        <v>1</v>
      </c>
      <c r="J174" s="2">
        <v>238</v>
      </c>
      <c r="K174" s="2">
        <v>4</v>
      </c>
      <c r="L174" s="2" t="s">
        <v>46</v>
      </c>
      <c r="M174" s="2">
        <v>30</v>
      </c>
      <c r="N174" s="2">
        <v>3</v>
      </c>
      <c r="O174" s="2">
        <v>1</v>
      </c>
      <c r="P174" s="2" t="s">
        <v>50</v>
      </c>
      <c r="Q174" s="2">
        <v>2</v>
      </c>
      <c r="R174" s="2" t="s">
        <v>41</v>
      </c>
      <c r="S174" s="2">
        <v>2088</v>
      </c>
      <c r="T174" s="2">
        <v>15062</v>
      </c>
      <c r="U174" s="2">
        <v>4</v>
      </c>
      <c r="V174" s="2" t="s">
        <v>42</v>
      </c>
      <c r="W174" s="2" t="s">
        <v>43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</row>
    <row r="175" spans="1:35" x14ac:dyDescent="0.25">
      <c r="A175" s="2">
        <v>30</v>
      </c>
      <c r="B175" s="2" t="s">
        <v>43</v>
      </c>
      <c r="C175" s="2" t="s">
        <v>55</v>
      </c>
      <c r="D175" s="2">
        <v>111</v>
      </c>
      <c r="E175" s="2" t="s">
        <v>45</v>
      </c>
      <c r="F175" s="2">
        <v>9</v>
      </c>
      <c r="G175" s="2">
        <v>3</v>
      </c>
      <c r="H175" s="2" t="s">
        <v>51</v>
      </c>
      <c r="I175" s="2">
        <v>1</v>
      </c>
      <c r="J175" s="2">
        <v>239</v>
      </c>
      <c r="K175" s="2">
        <v>3</v>
      </c>
      <c r="L175" s="2" t="s">
        <v>46</v>
      </c>
      <c r="M175" s="2">
        <v>66</v>
      </c>
      <c r="N175" s="2">
        <v>3</v>
      </c>
      <c r="O175" s="2">
        <v>2</v>
      </c>
      <c r="P175" s="2" t="s">
        <v>50</v>
      </c>
      <c r="Q175" s="2">
        <v>1</v>
      </c>
      <c r="R175" s="2" t="s">
        <v>52</v>
      </c>
      <c r="S175" s="2">
        <v>3072</v>
      </c>
      <c r="T175" s="2">
        <v>11012</v>
      </c>
      <c r="U175" s="2">
        <v>1</v>
      </c>
      <c r="V175" s="2" t="s">
        <v>42</v>
      </c>
      <c r="W175" s="2" t="s">
        <v>43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</row>
    <row r="176" spans="1:35" x14ac:dyDescent="0.25">
      <c r="A176" s="2">
        <v>45</v>
      </c>
      <c r="B176" s="2" t="s">
        <v>43</v>
      </c>
      <c r="C176" s="2" t="s">
        <v>36</v>
      </c>
      <c r="D176" s="2">
        <v>1268</v>
      </c>
      <c r="E176" s="2" t="s">
        <v>37</v>
      </c>
      <c r="F176" s="2">
        <v>4</v>
      </c>
      <c r="G176" s="2">
        <v>2</v>
      </c>
      <c r="H176" s="2" t="s">
        <v>38</v>
      </c>
      <c r="I176" s="2">
        <v>1</v>
      </c>
      <c r="J176" s="2">
        <v>240</v>
      </c>
      <c r="K176" s="2">
        <v>3</v>
      </c>
      <c r="L176" s="2" t="s">
        <v>39</v>
      </c>
      <c r="M176" s="2">
        <v>30</v>
      </c>
      <c r="N176" s="2">
        <v>3</v>
      </c>
      <c r="O176" s="2">
        <v>2</v>
      </c>
      <c r="P176" s="2" t="s">
        <v>40</v>
      </c>
      <c r="Q176" s="2">
        <v>1</v>
      </c>
      <c r="R176" s="2" t="s">
        <v>52</v>
      </c>
      <c r="S176" s="2">
        <v>5006</v>
      </c>
      <c r="T176" s="2">
        <v>6319</v>
      </c>
      <c r="U176" s="2">
        <v>4</v>
      </c>
      <c r="V176" s="2" t="s">
        <v>42</v>
      </c>
      <c r="W176" s="2" t="s">
        <v>35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</row>
    <row r="177" spans="1:35" x14ac:dyDescent="0.25">
      <c r="A177" s="2">
        <v>56</v>
      </c>
      <c r="B177" s="2" t="s">
        <v>43</v>
      </c>
      <c r="C177" s="2" t="s">
        <v>36</v>
      </c>
      <c r="D177" s="2">
        <v>713</v>
      </c>
      <c r="E177" s="2" t="s">
        <v>45</v>
      </c>
      <c r="F177" s="2">
        <v>8</v>
      </c>
      <c r="G177" s="2">
        <v>3</v>
      </c>
      <c r="H177" s="2" t="s">
        <v>38</v>
      </c>
      <c r="I177" s="2">
        <v>1</v>
      </c>
      <c r="J177" s="2">
        <v>241</v>
      </c>
      <c r="K177" s="2">
        <v>3</v>
      </c>
      <c r="L177" s="2" t="s">
        <v>39</v>
      </c>
      <c r="M177" s="2">
        <v>67</v>
      </c>
      <c r="N177" s="2">
        <v>3</v>
      </c>
      <c r="O177" s="2">
        <v>1</v>
      </c>
      <c r="P177" s="2" t="s">
        <v>47</v>
      </c>
      <c r="Q177" s="2">
        <v>1</v>
      </c>
      <c r="R177" s="2" t="s">
        <v>52</v>
      </c>
      <c r="S177" s="2">
        <v>4257</v>
      </c>
      <c r="T177" s="2">
        <v>13939</v>
      </c>
      <c r="U177" s="2">
        <v>4</v>
      </c>
      <c r="V177" s="2" t="s">
        <v>42</v>
      </c>
      <c r="W177" s="2" t="s">
        <v>35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</row>
    <row r="178" spans="1:35" x14ac:dyDescent="0.25">
      <c r="A178" s="2">
        <v>33</v>
      </c>
      <c r="B178" s="2" t="s">
        <v>43</v>
      </c>
      <c r="C178" s="2" t="s">
        <v>36</v>
      </c>
      <c r="D178" s="2">
        <v>134</v>
      </c>
      <c r="E178" s="2" t="s">
        <v>45</v>
      </c>
      <c r="F178" s="2">
        <v>2</v>
      </c>
      <c r="G178" s="2">
        <v>3</v>
      </c>
      <c r="H178" s="2" t="s">
        <v>38</v>
      </c>
      <c r="I178" s="2">
        <v>1</v>
      </c>
      <c r="J178" s="2">
        <v>242</v>
      </c>
      <c r="K178" s="2">
        <v>3</v>
      </c>
      <c r="L178" s="2" t="s">
        <v>46</v>
      </c>
      <c r="M178" s="2">
        <v>90</v>
      </c>
      <c r="N178" s="2">
        <v>3</v>
      </c>
      <c r="O178" s="2">
        <v>1</v>
      </c>
      <c r="P178" s="2" t="s">
        <v>47</v>
      </c>
      <c r="Q178" s="2">
        <v>4</v>
      </c>
      <c r="R178" s="2" t="s">
        <v>41</v>
      </c>
      <c r="S178" s="2">
        <v>2500</v>
      </c>
      <c r="T178" s="2">
        <v>10515</v>
      </c>
      <c r="U178" s="2">
        <v>0</v>
      </c>
      <c r="V178" s="2" t="s">
        <v>42</v>
      </c>
      <c r="W178" s="2" t="s">
        <v>43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</row>
    <row r="179" spans="1:35" x14ac:dyDescent="0.25">
      <c r="A179" s="2">
        <v>19</v>
      </c>
      <c r="B179" s="2" t="s">
        <v>35</v>
      </c>
      <c r="C179" s="2" t="s">
        <v>36</v>
      </c>
      <c r="D179" s="2">
        <v>303</v>
      </c>
      <c r="E179" s="2" t="s">
        <v>45</v>
      </c>
      <c r="F179" s="2">
        <v>2</v>
      </c>
      <c r="G179" s="2">
        <v>3</v>
      </c>
      <c r="H179" s="2" t="s">
        <v>38</v>
      </c>
      <c r="I179" s="2">
        <v>1</v>
      </c>
      <c r="J179" s="2">
        <v>243</v>
      </c>
      <c r="K179" s="2">
        <v>2</v>
      </c>
      <c r="L179" s="2" t="s">
        <v>46</v>
      </c>
      <c r="M179" s="2">
        <v>47</v>
      </c>
      <c r="N179" s="2">
        <v>2</v>
      </c>
      <c r="O179" s="2">
        <v>1</v>
      </c>
      <c r="P179" s="2" t="s">
        <v>50</v>
      </c>
      <c r="Q179" s="2">
        <v>4</v>
      </c>
      <c r="R179" s="2" t="s">
        <v>41</v>
      </c>
      <c r="S179" s="2">
        <v>1102</v>
      </c>
      <c r="T179" s="2">
        <v>9241</v>
      </c>
      <c r="U179" s="2">
        <v>1</v>
      </c>
      <c r="V179" s="2" t="s">
        <v>42</v>
      </c>
      <c r="W179" s="2" t="s">
        <v>43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</row>
    <row r="180" spans="1:35" x14ac:dyDescent="0.25">
      <c r="A180" s="2">
        <v>46</v>
      </c>
      <c r="B180" s="2" t="s">
        <v>43</v>
      </c>
      <c r="C180" s="2" t="s">
        <v>36</v>
      </c>
      <c r="D180" s="2">
        <v>526</v>
      </c>
      <c r="E180" s="2" t="s">
        <v>37</v>
      </c>
      <c r="F180" s="2">
        <v>1</v>
      </c>
      <c r="G180" s="2">
        <v>2</v>
      </c>
      <c r="H180" s="2" t="s">
        <v>59</v>
      </c>
      <c r="I180" s="2">
        <v>1</v>
      </c>
      <c r="J180" s="2">
        <v>244</v>
      </c>
      <c r="K180" s="2">
        <v>2</v>
      </c>
      <c r="L180" s="2" t="s">
        <v>39</v>
      </c>
      <c r="M180" s="2">
        <v>92</v>
      </c>
      <c r="N180" s="2">
        <v>3</v>
      </c>
      <c r="O180" s="2">
        <v>3</v>
      </c>
      <c r="P180" s="2" t="s">
        <v>40</v>
      </c>
      <c r="Q180" s="2">
        <v>1</v>
      </c>
      <c r="R180" s="2" t="s">
        <v>52</v>
      </c>
      <c r="S180" s="2">
        <v>10453</v>
      </c>
      <c r="T180" s="2">
        <v>2137</v>
      </c>
      <c r="U180" s="2">
        <v>1</v>
      </c>
      <c r="V180" s="2" t="s">
        <v>42</v>
      </c>
      <c r="W180" s="2" t="s">
        <v>43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</row>
    <row r="181" spans="1:35" x14ac:dyDescent="0.25">
      <c r="A181" s="2">
        <v>38</v>
      </c>
      <c r="B181" s="2" t="s">
        <v>43</v>
      </c>
      <c r="C181" s="2" t="s">
        <v>36</v>
      </c>
      <c r="D181" s="2">
        <v>1380</v>
      </c>
      <c r="E181" s="2" t="s">
        <v>45</v>
      </c>
      <c r="F181" s="2">
        <v>9</v>
      </c>
      <c r="G181" s="2">
        <v>2</v>
      </c>
      <c r="H181" s="2" t="s">
        <v>38</v>
      </c>
      <c r="I181" s="2">
        <v>1</v>
      </c>
      <c r="J181" s="2">
        <v>245</v>
      </c>
      <c r="K181" s="2">
        <v>3</v>
      </c>
      <c r="L181" s="2" t="s">
        <v>39</v>
      </c>
      <c r="M181" s="2">
        <v>75</v>
      </c>
      <c r="N181" s="2">
        <v>3</v>
      </c>
      <c r="O181" s="2">
        <v>1</v>
      </c>
      <c r="P181" s="2" t="s">
        <v>50</v>
      </c>
      <c r="Q181" s="2">
        <v>4</v>
      </c>
      <c r="R181" s="2" t="s">
        <v>41</v>
      </c>
      <c r="S181" s="2">
        <v>2288</v>
      </c>
      <c r="T181" s="2">
        <v>6319</v>
      </c>
      <c r="U181" s="2">
        <v>1</v>
      </c>
      <c r="V181" s="2" t="s">
        <v>42</v>
      </c>
      <c r="W181" s="2" t="s">
        <v>43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</row>
    <row r="182" spans="1:35" x14ac:dyDescent="0.25">
      <c r="A182" s="2">
        <v>31</v>
      </c>
      <c r="B182" s="2" t="s">
        <v>43</v>
      </c>
      <c r="C182" s="2" t="s">
        <v>36</v>
      </c>
      <c r="D182" s="2">
        <v>140</v>
      </c>
      <c r="E182" s="2" t="s">
        <v>45</v>
      </c>
      <c r="F182" s="2">
        <v>12</v>
      </c>
      <c r="G182" s="2">
        <v>1</v>
      </c>
      <c r="H182" s="2" t="s">
        <v>51</v>
      </c>
      <c r="I182" s="2">
        <v>1</v>
      </c>
      <c r="J182" s="2">
        <v>246</v>
      </c>
      <c r="K182" s="2">
        <v>3</v>
      </c>
      <c r="L182" s="2" t="s">
        <v>39</v>
      </c>
      <c r="M182" s="2">
        <v>95</v>
      </c>
      <c r="N182" s="2">
        <v>3</v>
      </c>
      <c r="O182" s="2">
        <v>1</v>
      </c>
      <c r="P182" s="2" t="s">
        <v>47</v>
      </c>
      <c r="Q182" s="2">
        <v>4</v>
      </c>
      <c r="R182" s="2" t="s">
        <v>48</v>
      </c>
      <c r="S182" s="2">
        <v>3929</v>
      </c>
      <c r="T182" s="2">
        <v>6984</v>
      </c>
      <c r="U182" s="2">
        <v>8</v>
      </c>
      <c r="V182" s="2" t="s">
        <v>42</v>
      </c>
      <c r="W182" s="2" t="s">
        <v>35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</row>
    <row r="183" spans="1:35" x14ac:dyDescent="0.25">
      <c r="A183" s="2">
        <v>34</v>
      </c>
      <c r="B183" s="2" t="s">
        <v>43</v>
      </c>
      <c r="C183" s="2" t="s">
        <v>36</v>
      </c>
      <c r="D183" s="2">
        <v>629</v>
      </c>
      <c r="E183" s="2" t="s">
        <v>45</v>
      </c>
      <c r="F183" s="2">
        <v>27</v>
      </c>
      <c r="G183" s="2">
        <v>2</v>
      </c>
      <c r="H183" s="2" t="s">
        <v>51</v>
      </c>
      <c r="I183" s="2">
        <v>1</v>
      </c>
      <c r="J183" s="2">
        <v>247</v>
      </c>
      <c r="K183" s="2">
        <v>4</v>
      </c>
      <c r="L183" s="2" t="s">
        <v>39</v>
      </c>
      <c r="M183" s="2">
        <v>95</v>
      </c>
      <c r="N183" s="2">
        <v>3</v>
      </c>
      <c r="O183" s="2">
        <v>1</v>
      </c>
      <c r="P183" s="2" t="s">
        <v>47</v>
      </c>
      <c r="Q183" s="2">
        <v>2</v>
      </c>
      <c r="R183" s="2" t="s">
        <v>41</v>
      </c>
      <c r="S183" s="2">
        <v>2311</v>
      </c>
      <c r="T183" s="2">
        <v>5711</v>
      </c>
      <c r="U183" s="2">
        <v>2</v>
      </c>
      <c r="V183" s="2" t="s">
        <v>42</v>
      </c>
      <c r="W183" s="2" t="s">
        <v>43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</row>
    <row r="184" spans="1:35" x14ac:dyDescent="0.25">
      <c r="A184" s="2">
        <v>41</v>
      </c>
      <c r="B184" s="2" t="s">
        <v>35</v>
      </c>
      <c r="C184" s="2" t="s">
        <v>36</v>
      </c>
      <c r="D184" s="2">
        <v>1356</v>
      </c>
      <c r="E184" s="2" t="s">
        <v>37</v>
      </c>
      <c r="F184" s="2">
        <v>20</v>
      </c>
      <c r="G184" s="2">
        <v>2</v>
      </c>
      <c r="H184" s="2" t="s">
        <v>59</v>
      </c>
      <c r="I184" s="2">
        <v>1</v>
      </c>
      <c r="J184" s="2">
        <v>248</v>
      </c>
      <c r="K184" s="2">
        <v>2</v>
      </c>
      <c r="L184" s="2" t="s">
        <v>39</v>
      </c>
      <c r="M184" s="2">
        <v>70</v>
      </c>
      <c r="N184" s="2">
        <v>3</v>
      </c>
      <c r="O184" s="2">
        <v>1</v>
      </c>
      <c r="P184" s="2" t="s">
        <v>57</v>
      </c>
      <c r="Q184" s="2">
        <v>2</v>
      </c>
      <c r="R184" s="2" t="s">
        <v>41</v>
      </c>
      <c r="S184" s="2">
        <v>3140</v>
      </c>
      <c r="T184" s="2">
        <v>21728</v>
      </c>
      <c r="U184" s="2">
        <v>1</v>
      </c>
      <c r="V184" s="2" t="s">
        <v>42</v>
      </c>
      <c r="W184" s="2" t="s">
        <v>35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</row>
    <row r="185" spans="1:35" x14ac:dyDescent="0.25">
      <c r="A185" s="2">
        <v>50</v>
      </c>
      <c r="B185" s="2" t="s">
        <v>43</v>
      </c>
      <c r="C185" s="2" t="s">
        <v>36</v>
      </c>
      <c r="D185" s="2">
        <v>328</v>
      </c>
      <c r="E185" s="2" t="s">
        <v>45</v>
      </c>
      <c r="F185" s="2">
        <v>1</v>
      </c>
      <c r="G185" s="2">
        <v>3</v>
      </c>
      <c r="H185" s="2" t="s">
        <v>51</v>
      </c>
      <c r="I185" s="2">
        <v>1</v>
      </c>
      <c r="J185" s="2">
        <v>249</v>
      </c>
      <c r="K185" s="2">
        <v>3</v>
      </c>
      <c r="L185" s="2" t="s">
        <v>46</v>
      </c>
      <c r="M185" s="2">
        <v>86</v>
      </c>
      <c r="N185" s="2">
        <v>2</v>
      </c>
      <c r="O185" s="2">
        <v>1</v>
      </c>
      <c r="P185" s="2" t="s">
        <v>50</v>
      </c>
      <c r="Q185" s="2">
        <v>3</v>
      </c>
      <c r="R185" s="2" t="s">
        <v>48</v>
      </c>
      <c r="S185" s="2">
        <v>3690</v>
      </c>
      <c r="T185" s="2">
        <v>3425</v>
      </c>
      <c r="U185" s="2">
        <v>2</v>
      </c>
      <c r="V185" s="2" t="s">
        <v>42</v>
      </c>
      <c r="W185" s="2" t="s">
        <v>43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</row>
    <row r="186" spans="1:35" x14ac:dyDescent="0.25">
      <c r="A186" s="2">
        <v>53</v>
      </c>
      <c r="B186" s="2" t="s">
        <v>43</v>
      </c>
      <c r="C186" s="2" t="s">
        <v>36</v>
      </c>
      <c r="D186" s="2">
        <v>1084</v>
      </c>
      <c r="E186" s="2" t="s">
        <v>45</v>
      </c>
      <c r="F186" s="2">
        <v>13</v>
      </c>
      <c r="G186" s="2">
        <v>2</v>
      </c>
      <c r="H186" s="2" t="s">
        <v>51</v>
      </c>
      <c r="I186" s="2">
        <v>1</v>
      </c>
      <c r="J186" s="2">
        <v>250</v>
      </c>
      <c r="K186" s="2">
        <v>4</v>
      </c>
      <c r="L186" s="2" t="s">
        <v>39</v>
      </c>
      <c r="M186" s="2">
        <v>57</v>
      </c>
      <c r="N186" s="2">
        <v>4</v>
      </c>
      <c r="O186" s="2">
        <v>2</v>
      </c>
      <c r="P186" s="2" t="s">
        <v>53</v>
      </c>
      <c r="Q186" s="2">
        <v>1</v>
      </c>
      <c r="R186" s="2" t="s">
        <v>52</v>
      </c>
      <c r="S186" s="2">
        <v>4450</v>
      </c>
      <c r="T186" s="2">
        <v>26250</v>
      </c>
      <c r="U186" s="2">
        <v>1</v>
      </c>
      <c r="V186" s="2" t="s">
        <v>42</v>
      </c>
      <c r="W186" s="2" t="s">
        <v>43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</row>
    <row r="187" spans="1:35" x14ac:dyDescent="0.25">
      <c r="A187" s="2">
        <v>33</v>
      </c>
      <c r="B187" s="2" t="s">
        <v>43</v>
      </c>
      <c r="C187" s="2" t="s">
        <v>36</v>
      </c>
      <c r="D187" s="2">
        <v>931</v>
      </c>
      <c r="E187" s="2" t="s">
        <v>45</v>
      </c>
      <c r="F187" s="2">
        <v>14</v>
      </c>
      <c r="G187" s="2">
        <v>3</v>
      </c>
      <c r="H187" s="2" t="s">
        <v>51</v>
      </c>
      <c r="I187" s="2">
        <v>1</v>
      </c>
      <c r="J187" s="2">
        <v>252</v>
      </c>
      <c r="K187" s="2">
        <v>4</v>
      </c>
      <c r="L187" s="2" t="s">
        <v>39</v>
      </c>
      <c r="M187" s="2">
        <v>72</v>
      </c>
      <c r="N187" s="2">
        <v>3</v>
      </c>
      <c r="O187" s="2">
        <v>1</v>
      </c>
      <c r="P187" s="2" t="s">
        <v>47</v>
      </c>
      <c r="Q187" s="2">
        <v>2</v>
      </c>
      <c r="R187" s="2" t="s">
        <v>48</v>
      </c>
      <c r="S187" s="2">
        <v>2756</v>
      </c>
      <c r="T187" s="2">
        <v>4673</v>
      </c>
      <c r="U187" s="2">
        <v>1</v>
      </c>
      <c r="V187" s="2" t="s">
        <v>42</v>
      </c>
      <c r="W187" s="2" t="s">
        <v>43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</row>
    <row r="188" spans="1:35" x14ac:dyDescent="0.25">
      <c r="A188" s="2">
        <v>40</v>
      </c>
      <c r="B188" s="2" t="s">
        <v>43</v>
      </c>
      <c r="C188" s="2" t="s">
        <v>36</v>
      </c>
      <c r="D188" s="2">
        <v>989</v>
      </c>
      <c r="E188" s="2" t="s">
        <v>45</v>
      </c>
      <c r="F188" s="2">
        <v>4</v>
      </c>
      <c r="G188" s="2">
        <v>1</v>
      </c>
      <c r="H188" s="2" t="s">
        <v>51</v>
      </c>
      <c r="I188" s="2">
        <v>1</v>
      </c>
      <c r="J188" s="2">
        <v>253</v>
      </c>
      <c r="K188" s="2">
        <v>4</v>
      </c>
      <c r="L188" s="2" t="s">
        <v>39</v>
      </c>
      <c r="M188" s="2">
        <v>46</v>
      </c>
      <c r="N188" s="2">
        <v>3</v>
      </c>
      <c r="O188" s="2">
        <v>5</v>
      </c>
      <c r="P188" s="2" t="s">
        <v>56</v>
      </c>
      <c r="Q188" s="2">
        <v>3</v>
      </c>
      <c r="R188" s="2" t="s">
        <v>48</v>
      </c>
      <c r="S188" s="2">
        <v>19033</v>
      </c>
      <c r="T188" s="2">
        <v>6499</v>
      </c>
      <c r="U188" s="2">
        <v>1</v>
      </c>
      <c r="V188" s="2" t="s">
        <v>42</v>
      </c>
      <c r="W188" s="2" t="s">
        <v>43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</row>
    <row r="189" spans="1:35" x14ac:dyDescent="0.25">
      <c r="A189" s="2">
        <v>55</v>
      </c>
      <c r="B189" s="2" t="s">
        <v>43</v>
      </c>
      <c r="C189" s="2" t="s">
        <v>36</v>
      </c>
      <c r="D189" s="2">
        <v>692</v>
      </c>
      <c r="E189" s="2" t="s">
        <v>45</v>
      </c>
      <c r="F189" s="2">
        <v>14</v>
      </c>
      <c r="G189" s="2">
        <v>4</v>
      </c>
      <c r="H189" s="2" t="s">
        <v>51</v>
      </c>
      <c r="I189" s="2">
        <v>1</v>
      </c>
      <c r="J189" s="2">
        <v>254</v>
      </c>
      <c r="K189" s="2">
        <v>3</v>
      </c>
      <c r="L189" s="2" t="s">
        <v>46</v>
      </c>
      <c r="M189" s="2">
        <v>61</v>
      </c>
      <c r="N189" s="2">
        <v>4</v>
      </c>
      <c r="O189" s="2">
        <v>5</v>
      </c>
      <c r="P189" s="2" t="s">
        <v>58</v>
      </c>
      <c r="Q189" s="2">
        <v>2</v>
      </c>
      <c r="R189" s="2" t="s">
        <v>41</v>
      </c>
      <c r="S189" s="2">
        <v>18722</v>
      </c>
      <c r="T189" s="2">
        <v>13339</v>
      </c>
      <c r="U189" s="2">
        <v>8</v>
      </c>
      <c r="V189" s="2" t="s">
        <v>42</v>
      </c>
      <c r="W189" s="2" t="s">
        <v>43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</row>
    <row r="190" spans="1:35" x14ac:dyDescent="0.25">
      <c r="A190" s="2">
        <v>34</v>
      </c>
      <c r="B190" s="2" t="s">
        <v>43</v>
      </c>
      <c r="C190" s="2" t="s">
        <v>44</v>
      </c>
      <c r="D190" s="2">
        <v>1069</v>
      </c>
      <c r="E190" s="2" t="s">
        <v>45</v>
      </c>
      <c r="F190" s="2">
        <v>2</v>
      </c>
      <c r="G190" s="2">
        <v>1</v>
      </c>
      <c r="H190" s="2" t="s">
        <v>38</v>
      </c>
      <c r="I190" s="2">
        <v>1</v>
      </c>
      <c r="J190" s="2">
        <v>256</v>
      </c>
      <c r="K190" s="2">
        <v>4</v>
      </c>
      <c r="L190" s="2" t="s">
        <v>46</v>
      </c>
      <c r="M190" s="2">
        <v>45</v>
      </c>
      <c r="N190" s="2">
        <v>2</v>
      </c>
      <c r="O190" s="2">
        <v>2</v>
      </c>
      <c r="P190" s="2" t="s">
        <v>53</v>
      </c>
      <c r="Q190" s="2">
        <v>3</v>
      </c>
      <c r="R190" s="2" t="s">
        <v>48</v>
      </c>
      <c r="S190" s="2">
        <v>9547</v>
      </c>
      <c r="T190" s="2">
        <v>14074</v>
      </c>
      <c r="U190" s="2">
        <v>1</v>
      </c>
      <c r="V190" s="2" t="s">
        <v>42</v>
      </c>
      <c r="W190" s="2" t="s">
        <v>43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</row>
    <row r="191" spans="1:35" x14ac:dyDescent="0.25">
      <c r="A191" s="2">
        <v>51</v>
      </c>
      <c r="B191" s="2" t="s">
        <v>43</v>
      </c>
      <c r="C191" s="2" t="s">
        <v>36</v>
      </c>
      <c r="D191" s="2">
        <v>313</v>
      </c>
      <c r="E191" s="2" t="s">
        <v>45</v>
      </c>
      <c r="F191" s="2">
        <v>3</v>
      </c>
      <c r="G191" s="2">
        <v>3</v>
      </c>
      <c r="H191" s="2" t="s">
        <v>51</v>
      </c>
      <c r="I191" s="2">
        <v>1</v>
      </c>
      <c r="J191" s="2">
        <v>258</v>
      </c>
      <c r="K191" s="2">
        <v>4</v>
      </c>
      <c r="L191" s="2" t="s">
        <v>39</v>
      </c>
      <c r="M191" s="2">
        <v>98</v>
      </c>
      <c r="N191" s="2">
        <v>3</v>
      </c>
      <c r="O191" s="2">
        <v>4</v>
      </c>
      <c r="P191" s="2" t="s">
        <v>54</v>
      </c>
      <c r="Q191" s="2">
        <v>2</v>
      </c>
      <c r="R191" s="2" t="s">
        <v>41</v>
      </c>
      <c r="S191" s="2">
        <v>13734</v>
      </c>
      <c r="T191" s="2">
        <v>7192</v>
      </c>
      <c r="U191" s="2">
        <v>3</v>
      </c>
      <c r="V191" s="2" t="s">
        <v>42</v>
      </c>
      <c r="W191" s="2" t="s">
        <v>43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</row>
    <row r="192" spans="1:35" x14ac:dyDescent="0.25">
      <c r="A192" s="2">
        <v>52</v>
      </c>
      <c r="B192" s="2" t="s">
        <v>43</v>
      </c>
      <c r="C192" s="2" t="s">
        <v>36</v>
      </c>
      <c r="D192" s="2">
        <v>699</v>
      </c>
      <c r="E192" s="2" t="s">
        <v>45</v>
      </c>
      <c r="F192" s="2">
        <v>1</v>
      </c>
      <c r="G192" s="2">
        <v>4</v>
      </c>
      <c r="H192" s="2" t="s">
        <v>38</v>
      </c>
      <c r="I192" s="2">
        <v>1</v>
      </c>
      <c r="J192" s="2">
        <v>259</v>
      </c>
      <c r="K192" s="2">
        <v>3</v>
      </c>
      <c r="L192" s="2" t="s">
        <v>46</v>
      </c>
      <c r="M192" s="2">
        <v>65</v>
      </c>
      <c r="N192" s="2">
        <v>2</v>
      </c>
      <c r="O192" s="2">
        <v>5</v>
      </c>
      <c r="P192" s="2" t="s">
        <v>56</v>
      </c>
      <c r="Q192" s="2">
        <v>3</v>
      </c>
      <c r="R192" s="2" t="s">
        <v>48</v>
      </c>
      <c r="S192" s="2">
        <v>19999</v>
      </c>
      <c r="T192" s="2">
        <v>5678</v>
      </c>
      <c r="U192" s="2">
        <v>0</v>
      </c>
      <c r="V192" s="2" t="s">
        <v>42</v>
      </c>
      <c r="W192" s="2" t="s">
        <v>43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</row>
    <row r="193" spans="1:35" x14ac:dyDescent="0.25">
      <c r="A193" s="2">
        <v>27</v>
      </c>
      <c r="B193" s="2" t="s">
        <v>43</v>
      </c>
      <c r="C193" s="2" t="s">
        <v>36</v>
      </c>
      <c r="D193" s="2">
        <v>894</v>
      </c>
      <c r="E193" s="2" t="s">
        <v>45</v>
      </c>
      <c r="F193" s="2">
        <v>9</v>
      </c>
      <c r="G193" s="2">
        <v>3</v>
      </c>
      <c r="H193" s="2" t="s">
        <v>51</v>
      </c>
      <c r="I193" s="2">
        <v>1</v>
      </c>
      <c r="J193" s="2">
        <v>260</v>
      </c>
      <c r="K193" s="2">
        <v>4</v>
      </c>
      <c r="L193" s="2" t="s">
        <v>39</v>
      </c>
      <c r="M193" s="2">
        <v>99</v>
      </c>
      <c r="N193" s="2">
        <v>3</v>
      </c>
      <c r="O193" s="2">
        <v>1</v>
      </c>
      <c r="P193" s="2" t="s">
        <v>47</v>
      </c>
      <c r="Q193" s="2">
        <v>2</v>
      </c>
      <c r="R193" s="2" t="s">
        <v>41</v>
      </c>
      <c r="S193" s="2">
        <v>2279</v>
      </c>
      <c r="T193" s="2">
        <v>11781</v>
      </c>
      <c r="U193" s="2">
        <v>1</v>
      </c>
      <c r="V193" s="2" t="s">
        <v>42</v>
      </c>
      <c r="W193" s="2" t="s">
        <v>43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</row>
    <row r="194" spans="1:35" x14ac:dyDescent="0.25">
      <c r="A194" s="2">
        <v>35</v>
      </c>
      <c r="B194" s="2" t="s">
        <v>35</v>
      </c>
      <c r="C194" s="2" t="s">
        <v>36</v>
      </c>
      <c r="D194" s="2">
        <v>556</v>
      </c>
      <c r="E194" s="2" t="s">
        <v>45</v>
      </c>
      <c r="F194" s="2">
        <v>23</v>
      </c>
      <c r="G194" s="2">
        <v>2</v>
      </c>
      <c r="H194" s="2" t="s">
        <v>38</v>
      </c>
      <c r="I194" s="2">
        <v>1</v>
      </c>
      <c r="J194" s="2">
        <v>261</v>
      </c>
      <c r="K194" s="2">
        <v>2</v>
      </c>
      <c r="L194" s="2" t="s">
        <v>46</v>
      </c>
      <c r="M194" s="2">
        <v>50</v>
      </c>
      <c r="N194" s="2">
        <v>2</v>
      </c>
      <c r="O194" s="2">
        <v>2</v>
      </c>
      <c r="P194" s="2" t="s">
        <v>53</v>
      </c>
      <c r="Q194" s="2">
        <v>3</v>
      </c>
      <c r="R194" s="2" t="s">
        <v>48</v>
      </c>
      <c r="S194" s="2">
        <v>5916</v>
      </c>
      <c r="T194" s="2">
        <v>15497</v>
      </c>
      <c r="U194" s="2">
        <v>3</v>
      </c>
      <c r="V194" s="2" t="s">
        <v>42</v>
      </c>
      <c r="W194" s="2" t="s">
        <v>35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</row>
    <row r="195" spans="1:35" x14ac:dyDescent="0.25">
      <c r="A195" s="2">
        <v>43</v>
      </c>
      <c r="B195" s="2" t="s">
        <v>43</v>
      </c>
      <c r="C195" s="2" t="s">
        <v>55</v>
      </c>
      <c r="D195" s="2">
        <v>1344</v>
      </c>
      <c r="E195" s="2" t="s">
        <v>45</v>
      </c>
      <c r="F195" s="2">
        <v>7</v>
      </c>
      <c r="G195" s="2">
        <v>3</v>
      </c>
      <c r="H195" s="2" t="s">
        <v>51</v>
      </c>
      <c r="I195" s="2">
        <v>1</v>
      </c>
      <c r="J195" s="2">
        <v>262</v>
      </c>
      <c r="K195" s="2">
        <v>4</v>
      </c>
      <c r="L195" s="2" t="s">
        <v>46</v>
      </c>
      <c r="M195" s="2">
        <v>37</v>
      </c>
      <c r="N195" s="2">
        <v>4</v>
      </c>
      <c r="O195" s="2">
        <v>1</v>
      </c>
      <c r="P195" s="2" t="s">
        <v>47</v>
      </c>
      <c r="Q195" s="2">
        <v>4</v>
      </c>
      <c r="R195" s="2" t="s">
        <v>52</v>
      </c>
      <c r="S195" s="2">
        <v>2089</v>
      </c>
      <c r="T195" s="2">
        <v>5228</v>
      </c>
      <c r="U195" s="2">
        <v>4</v>
      </c>
      <c r="V195" s="2" t="s">
        <v>42</v>
      </c>
      <c r="W195" s="2" t="s">
        <v>43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</row>
    <row r="196" spans="1:35" x14ac:dyDescent="0.25">
      <c r="A196" s="2">
        <v>45</v>
      </c>
      <c r="B196" s="2" t="s">
        <v>43</v>
      </c>
      <c r="C196" s="2" t="s">
        <v>55</v>
      </c>
      <c r="D196" s="2">
        <v>1195</v>
      </c>
      <c r="E196" s="2" t="s">
        <v>45</v>
      </c>
      <c r="F196" s="2">
        <v>2</v>
      </c>
      <c r="G196" s="2">
        <v>2</v>
      </c>
      <c r="H196" s="2" t="s">
        <v>51</v>
      </c>
      <c r="I196" s="2">
        <v>1</v>
      </c>
      <c r="J196" s="2">
        <v>264</v>
      </c>
      <c r="K196" s="2">
        <v>1</v>
      </c>
      <c r="L196" s="2" t="s">
        <v>46</v>
      </c>
      <c r="M196" s="2">
        <v>65</v>
      </c>
      <c r="N196" s="2">
        <v>2</v>
      </c>
      <c r="O196" s="2">
        <v>4</v>
      </c>
      <c r="P196" s="2" t="s">
        <v>56</v>
      </c>
      <c r="Q196" s="2">
        <v>4</v>
      </c>
      <c r="R196" s="2" t="s">
        <v>48</v>
      </c>
      <c r="S196" s="2">
        <v>16792</v>
      </c>
      <c r="T196" s="2">
        <v>20462</v>
      </c>
      <c r="U196" s="2">
        <v>9</v>
      </c>
      <c r="V196" s="2" t="s">
        <v>42</v>
      </c>
      <c r="W196" s="2" t="s">
        <v>43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</row>
    <row r="197" spans="1:35" x14ac:dyDescent="0.25">
      <c r="A197" s="2">
        <v>37</v>
      </c>
      <c r="B197" s="2" t="s">
        <v>43</v>
      </c>
      <c r="C197" s="2" t="s">
        <v>36</v>
      </c>
      <c r="D197" s="2">
        <v>290</v>
      </c>
      <c r="E197" s="2" t="s">
        <v>45</v>
      </c>
      <c r="F197" s="2">
        <v>21</v>
      </c>
      <c r="G197" s="2">
        <v>3</v>
      </c>
      <c r="H197" s="2" t="s">
        <v>38</v>
      </c>
      <c r="I197" s="2">
        <v>1</v>
      </c>
      <c r="J197" s="2">
        <v>267</v>
      </c>
      <c r="K197" s="2">
        <v>2</v>
      </c>
      <c r="L197" s="2" t="s">
        <v>46</v>
      </c>
      <c r="M197" s="2">
        <v>65</v>
      </c>
      <c r="N197" s="2">
        <v>4</v>
      </c>
      <c r="O197" s="2">
        <v>1</v>
      </c>
      <c r="P197" s="2" t="s">
        <v>47</v>
      </c>
      <c r="Q197" s="2">
        <v>1</v>
      </c>
      <c r="R197" s="2" t="s">
        <v>48</v>
      </c>
      <c r="S197" s="2">
        <v>3564</v>
      </c>
      <c r="T197" s="2">
        <v>22977</v>
      </c>
      <c r="U197" s="2">
        <v>1</v>
      </c>
      <c r="V197" s="2" t="s">
        <v>42</v>
      </c>
      <c r="W197" s="2" t="s">
        <v>35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</row>
    <row r="198" spans="1:35" x14ac:dyDescent="0.25">
      <c r="A198" s="2">
        <v>35</v>
      </c>
      <c r="B198" s="2" t="s">
        <v>43</v>
      </c>
      <c r="C198" s="2" t="s">
        <v>44</v>
      </c>
      <c r="D198" s="2">
        <v>138</v>
      </c>
      <c r="E198" s="2" t="s">
        <v>45</v>
      </c>
      <c r="F198" s="2">
        <v>2</v>
      </c>
      <c r="G198" s="2">
        <v>3</v>
      </c>
      <c r="H198" s="2" t="s">
        <v>51</v>
      </c>
      <c r="I198" s="2">
        <v>1</v>
      </c>
      <c r="J198" s="2">
        <v>269</v>
      </c>
      <c r="K198" s="2">
        <v>2</v>
      </c>
      <c r="L198" s="2" t="s">
        <v>39</v>
      </c>
      <c r="M198" s="2">
        <v>37</v>
      </c>
      <c r="N198" s="2">
        <v>3</v>
      </c>
      <c r="O198" s="2">
        <v>2</v>
      </c>
      <c r="P198" s="2" t="s">
        <v>50</v>
      </c>
      <c r="Q198" s="2">
        <v>2</v>
      </c>
      <c r="R198" s="2" t="s">
        <v>41</v>
      </c>
      <c r="S198" s="2">
        <v>4425</v>
      </c>
      <c r="T198" s="2">
        <v>15986</v>
      </c>
      <c r="U198" s="2">
        <v>5</v>
      </c>
      <c r="V198" s="2" t="s">
        <v>42</v>
      </c>
      <c r="W198" s="2" t="s">
        <v>43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</row>
    <row r="199" spans="1:35" x14ac:dyDescent="0.25">
      <c r="A199" s="2">
        <v>42</v>
      </c>
      <c r="B199" s="2" t="s">
        <v>43</v>
      </c>
      <c r="C199" s="2" t="s">
        <v>55</v>
      </c>
      <c r="D199" s="2">
        <v>926</v>
      </c>
      <c r="E199" s="2" t="s">
        <v>45</v>
      </c>
      <c r="F199" s="2">
        <v>21</v>
      </c>
      <c r="G199" s="2">
        <v>2</v>
      </c>
      <c r="H199" s="2" t="s">
        <v>51</v>
      </c>
      <c r="I199" s="2">
        <v>1</v>
      </c>
      <c r="J199" s="2">
        <v>270</v>
      </c>
      <c r="K199" s="2">
        <v>3</v>
      </c>
      <c r="L199" s="2" t="s">
        <v>39</v>
      </c>
      <c r="M199" s="2">
        <v>36</v>
      </c>
      <c r="N199" s="2">
        <v>3</v>
      </c>
      <c r="O199" s="2">
        <v>2</v>
      </c>
      <c r="P199" s="2" t="s">
        <v>53</v>
      </c>
      <c r="Q199" s="2">
        <v>3</v>
      </c>
      <c r="R199" s="2" t="s">
        <v>52</v>
      </c>
      <c r="S199" s="2">
        <v>5265</v>
      </c>
      <c r="T199" s="2">
        <v>16439</v>
      </c>
      <c r="U199" s="2">
        <v>2</v>
      </c>
      <c r="V199" s="2" t="s">
        <v>42</v>
      </c>
      <c r="W199" s="2" t="s">
        <v>43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</row>
    <row r="200" spans="1:35" x14ac:dyDescent="0.25">
      <c r="A200" s="2">
        <v>38</v>
      </c>
      <c r="B200" s="2" t="s">
        <v>43</v>
      </c>
      <c r="C200" s="2" t="s">
        <v>36</v>
      </c>
      <c r="D200" s="2">
        <v>1261</v>
      </c>
      <c r="E200" s="2" t="s">
        <v>45</v>
      </c>
      <c r="F200" s="2">
        <v>2</v>
      </c>
      <c r="G200" s="2">
        <v>4</v>
      </c>
      <c r="H200" s="2" t="s">
        <v>38</v>
      </c>
      <c r="I200" s="2">
        <v>1</v>
      </c>
      <c r="J200" s="2">
        <v>271</v>
      </c>
      <c r="K200" s="2">
        <v>4</v>
      </c>
      <c r="L200" s="2" t="s">
        <v>46</v>
      </c>
      <c r="M200" s="2">
        <v>88</v>
      </c>
      <c r="N200" s="2">
        <v>3</v>
      </c>
      <c r="O200" s="2">
        <v>2</v>
      </c>
      <c r="P200" s="2" t="s">
        <v>53</v>
      </c>
      <c r="Q200" s="2">
        <v>3</v>
      </c>
      <c r="R200" s="2" t="s">
        <v>48</v>
      </c>
      <c r="S200" s="2">
        <v>6553</v>
      </c>
      <c r="T200" s="2">
        <v>7259</v>
      </c>
      <c r="U200" s="2">
        <v>9</v>
      </c>
      <c r="V200" s="2" t="s">
        <v>42</v>
      </c>
      <c r="W200" s="2" t="s">
        <v>43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</row>
    <row r="201" spans="1:35" x14ac:dyDescent="0.25">
      <c r="A201" s="2">
        <v>38</v>
      </c>
      <c r="B201" s="2" t="s">
        <v>43</v>
      </c>
      <c r="C201" s="2" t="s">
        <v>36</v>
      </c>
      <c r="D201" s="2">
        <v>1084</v>
      </c>
      <c r="E201" s="2" t="s">
        <v>45</v>
      </c>
      <c r="F201" s="2">
        <v>29</v>
      </c>
      <c r="G201" s="2">
        <v>3</v>
      </c>
      <c r="H201" s="2" t="s">
        <v>60</v>
      </c>
      <c r="I201" s="2">
        <v>1</v>
      </c>
      <c r="J201" s="2">
        <v>273</v>
      </c>
      <c r="K201" s="2">
        <v>4</v>
      </c>
      <c r="L201" s="2" t="s">
        <v>46</v>
      </c>
      <c r="M201" s="2">
        <v>54</v>
      </c>
      <c r="N201" s="2">
        <v>3</v>
      </c>
      <c r="O201" s="2">
        <v>2</v>
      </c>
      <c r="P201" s="2" t="s">
        <v>53</v>
      </c>
      <c r="Q201" s="2">
        <v>4</v>
      </c>
      <c r="R201" s="2" t="s">
        <v>48</v>
      </c>
      <c r="S201" s="2">
        <v>6261</v>
      </c>
      <c r="T201" s="2">
        <v>4185</v>
      </c>
      <c r="U201" s="2">
        <v>3</v>
      </c>
      <c r="V201" s="2" t="s">
        <v>42</v>
      </c>
      <c r="W201" s="2" t="s">
        <v>43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</row>
    <row r="202" spans="1:35" x14ac:dyDescent="0.25">
      <c r="A202" s="2">
        <v>27</v>
      </c>
      <c r="B202" s="2" t="s">
        <v>43</v>
      </c>
      <c r="C202" s="2" t="s">
        <v>44</v>
      </c>
      <c r="D202" s="2">
        <v>472</v>
      </c>
      <c r="E202" s="2" t="s">
        <v>45</v>
      </c>
      <c r="F202" s="2">
        <v>1</v>
      </c>
      <c r="G202" s="2">
        <v>1</v>
      </c>
      <c r="H202" s="2" t="s">
        <v>60</v>
      </c>
      <c r="I202" s="2">
        <v>1</v>
      </c>
      <c r="J202" s="2">
        <v>274</v>
      </c>
      <c r="K202" s="2">
        <v>3</v>
      </c>
      <c r="L202" s="2" t="s">
        <v>46</v>
      </c>
      <c r="M202" s="2">
        <v>60</v>
      </c>
      <c r="N202" s="2">
        <v>2</v>
      </c>
      <c r="O202" s="2">
        <v>2</v>
      </c>
      <c r="P202" s="2" t="s">
        <v>53</v>
      </c>
      <c r="Q202" s="2">
        <v>1</v>
      </c>
      <c r="R202" s="2" t="s">
        <v>48</v>
      </c>
      <c r="S202" s="2">
        <v>4298</v>
      </c>
      <c r="T202" s="2">
        <v>9679</v>
      </c>
      <c r="U202" s="2">
        <v>5</v>
      </c>
      <c r="V202" s="2" t="s">
        <v>42</v>
      </c>
      <c r="W202" s="2" t="s">
        <v>43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</row>
    <row r="203" spans="1:35" x14ac:dyDescent="0.25">
      <c r="A203" s="2">
        <v>49</v>
      </c>
      <c r="B203" s="2" t="s">
        <v>43</v>
      </c>
      <c r="C203" s="2" t="s">
        <v>55</v>
      </c>
      <c r="D203" s="2">
        <v>1002</v>
      </c>
      <c r="E203" s="2" t="s">
        <v>45</v>
      </c>
      <c r="F203" s="2">
        <v>18</v>
      </c>
      <c r="G203" s="2">
        <v>4</v>
      </c>
      <c r="H203" s="2" t="s">
        <v>38</v>
      </c>
      <c r="I203" s="2">
        <v>1</v>
      </c>
      <c r="J203" s="2">
        <v>275</v>
      </c>
      <c r="K203" s="2">
        <v>4</v>
      </c>
      <c r="L203" s="2" t="s">
        <v>46</v>
      </c>
      <c r="M203" s="2">
        <v>92</v>
      </c>
      <c r="N203" s="2">
        <v>3</v>
      </c>
      <c r="O203" s="2">
        <v>2</v>
      </c>
      <c r="P203" s="2" t="s">
        <v>53</v>
      </c>
      <c r="Q203" s="2">
        <v>4</v>
      </c>
      <c r="R203" s="2" t="s">
        <v>52</v>
      </c>
      <c r="S203" s="2">
        <v>6804</v>
      </c>
      <c r="T203" s="2">
        <v>23793</v>
      </c>
      <c r="U203" s="2">
        <v>1</v>
      </c>
      <c r="V203" s="2" t="s">
        <v>42</v>
      </c>
      <c r="W203" s="2" t="s">
        <v>35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</row>
    <row r="204" spans="1:35" x14ac:dyDescent="0.25">
      <c r="A204" s="2">
        <v>34</v>
      </c>
      <c r="B204" s="2" t="s">
        <v>43</v>
      </c>
      <c r="C204" s="2" t="s">
        <v>44</v>
      </c>
      <c r="D204" s="2">
        <v>878</v>
      </c>
      <c r="E204" s="2" t="s">
        <v>45</v>
      </c>
      <c r="F204" s="2">
        <v>10</v>
      </c>
      <c r="G204" s="2">
        <v>4</v>
      </c>
      <c r="H204" s="2" t="s">
        <v>51</v>
      </c>
      <c r="I204" s="2">
        <v>1</v>
      </c>
      <c r="J204" s="2">
        <v>277</v>
      </c>
      <c r="K204" s="2">
        <v>4</v>
      </c>
      <c r="L204" s="2" t="s">
        <v>46</v>
      </c>
      <c r="M204" s="2">
        <v>43</v>
      </c>
      <c r="N204" s="2">
        <v>3</v>
      </c>
      <c r="O204" s="2">
        <v>1</v>
      </c>
      <c r="P204" s="2" t="s">
        <v>47</v>
      </c>
      <c r="Q204" s="2">
        <v>3</v>
      </c>
      <c r="R204" s="2" t="s">
        <v>52</v>
      </c>
      <c r="S204" s="2">
        <v>3815</v>
      </c>
      <c r="T204" s="2">
        <v>5972</v>
      </c>
      <c r="U204" s="2">
        <v>1</v>
      </c>
      <c r="V204" s="2" t="s">
        <v>42</v>
      </c>
      <c r="W204" s="2" t="s">
        <v>35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</row>
    <row r="205" spans="1:35" x14ac:dyDescent="0.25">
      <c r="A205" s="2">
        <v>40</v>
      </c>
      <c r="B205" s="2" t="s">
        <v>43</v>
      </c>
      <c r="C205" s="2" t="s">
        <v>36</v>
      </c>
      <c r="D205" s="2">
        <v>905</v>
      </c>
      <c r="E205" s="2" t="s">
        <v>45</v>
      </c>
      <c r="F205" s="2">
        <v>19</v>
      </c>
      <c r="G205" s="2">
        <v>2</v>
      </c>
      <c r="H205" s="2" t="s">
        <v>51</v>
      </c>
      <c r="I205" s="2">
        <v>1</v>
      </c>
      <c r="J205" s="2">
        <v>281</v>
      </c>
      <c r="K205" s="2">
        <v>3</v>
      </c>
      <c r="L205" s="2" t="s">
        <v>46</v>
      </c>
      <c r="M205" s="2">
        <v>99</v>
      </c>
      <c r="N205" s="2">
        <v>3</v>
      </c>
      <c r="O205" s="2">
        <v>2</v>
      </c>
      <c r="P205" s="2" t="s">
        <v>50</v>
      </c>
      <c r="Q205" s="2">
        <v>4</v>
      </c>
      <c r="R205" s="2" t="s">
        <v>48</v>
      </c>
      <c r="S205" s="2">
        <v>2741</v>
      </c>
      <c r="T205" s="2">
        <v>16523</v>
      </c>
      <c r="U205" s="2">
        <v>8</v>
      </c>
      <c r="V205" s="2" t="s">
        <v>42</v>
      </c>
      <c r="W205" s="2" t="s">
        <v>35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</row>
    <row r="206" spans="1:35" x14ac:dyDescent="0.25">
      <c r="A206" s="2">
        <v>38</v>
      </c>
      <c r="B206" s="2" t="s">
        <v>35</v>
      </c>
      <c r="C206" s="2" t="s">
        <v>36</v>
      </c>
      <c r="D206" s="2">
        <v>1180</v>
      </c>
      <c r="E206" s="2" t="s">
        <v>45</v>
      </c>
      <c r="F206" s="2">
        <v>29</v>
      </c>
      <c r="G206" s="2">
        <v>1</v>
      </c>
      <c r="H206" s="2" t="s">
        <v>51</v>
      </c>
      <c r="I206" s="2">
        <v>1</v>
      </c>
      <c r="J206" s="2">
        <v>282</v>
      </c>
      <c r="K206" s="2">
        <v>2</v>
      </c>
      <c r="L206" s="2" t="s">
        <v>46</v>
      </c>
      <c r="M206" s="2">
        <v>70</v>
      </c>
      <c r="N206" s="2">
        <v>3</v>
      </c>
      <c r="O206" s="2">
        <v>2</v>
      </c>
      <c r="P206" s="2" t="s">
        <v>54</v>
      </c>
      <c r="Q206" s="2">
        <v>1</v>
      </c>
      <c r="R206" s="2" t="s">
        <v>48</v>
      </c>
      <c r="S206" s="2">
        <v>6673</v>
      </c>
      <c r="T206" s="2">
        <v>11354</v>
      </c>
      <c r="U206" s="2">
        <v>7</v>
      </c>
      <c r="V206" s="2" t="s">
        <v>42</v>
      </c>
      <c r="W206" s="2" t="s">
        <v>35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</row>
    <row r="207" spans="1:35" x14ac:dyDescent="0.25">
      <c r="A207" s="2">
        <v>29</v>
      </c>
      <c r="B207" s="2" t="s">
        <v>35</v>
      </c>
      <c r="C207" s="2" t="s">
        <v>36</v>
      </c>
      <c r="D207" s="2">
        <v>121</v>
      </c>
      <c r="E207" s="2" t="s">
        <v>37</v>
      </c>
      <c r="F207" s="2">
        <v>27</v>
      </c>
      <c r="G207" s="2">
        <v>3</v>
      </c>
      <c r="H207" s="2" t="s">
        <v>59</v>
      </c>
      <c r="I207" s="2">
        <v>1</v>
      </c>
      <c r="J207" s="2">
        <v>283</v>
      </c>
      <c r="K207" s="2">
        <v>2</v>
      </c>
      <c r="L207" s="2" t="s">
        <v>39</v>
      </c>
      <c r="M207" s="2">
        <v>35</v>
      </c>
      <c r="N207" s="2">
        <v>3</v>
      </c>
      <c r="O207" s="2">
        <v>3</v>
      </c>
      <c r="P207" s="2" t="s">
        <v>40</v>
      </c>
      <c r="Q207" s="2">
        <v>4</v>
      </c>
      <c r="R207" s="2" t="s">
        <v>48</v>
      </c>
      <c r="S207" s="2">
        <v>7639</v>
      </c>
      <c r="T207" s="2">
        <v>24525</v>
      </c>
      <c r="U207" s="2">
        <v>1</v>
      </c>
      <c r="V207" s="2" t="s">
        <v>42</v>
      </c>
      <c r="W207" s="2" t="s">
        <v>43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</row>
    <row r="208" spans="1:35" x14ac:dyDescent="0.25">
      <c r="A208" s="2">
        <v>22</v>
      </c>
      <c r="B208" s="2" t="s">
        <v>43</v>
      </c>
      <c r="C208" s="2" t="s">
        <v>36</v>
      </c>
      <c r="D208" s="2">
        <v>1136</v>
      </c>
      <c r="E208" s="2" t="s">
        <v>45</v>
      </c>
      <c r="F208" s="2">
        <v>5</v>
      </c>
      <c r="G208" s="2">
        <v>3</v>
      </c>
      <c r="H208" s="2" t="s">
        <v>38</v>
      </c>
      <c r="I208" s="2">
        <v>1</v>
      </c>
      <c r="J208" s="2">
        <v>284</v>
      </c>
      <c r="K208" s="2">
        <v>4</v>
      </c>
      <c r="L208" s="2" t="s">
        <v>46</v>
      </c>
      <c r="M208" s="2">
        <v>60</v>
      </c>
      <c r="N208" s="2">
        <v>4</v>
      </c>
      <c r="O208" s="2">
        <v>1</v>
      </c>
      <c r="P208" s="2" t="s">
        <v>47</v>
      </c>
      <c r="Q208" s="2">
        <v>2</v>
      </c>
      <c r="R208" s="2" t="s">
        <v>52</v>
      </c>
      <c r="S208" s="2">
        <v>2328</v>
      </c>
      <c r="T208" s="2">
        <v>12392</v>
      </c>
      <c r="U208" s="2">
        <v>1</v>
      </c>
      <c r="V208" s="2" t="s">
        <v>42</v>
      </c>
      <c r="W208" s="2" t="s">
        <v>35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</row>
    <row r="209" spans="1:35" x14ac:dyDescent="0.25">
      <c r="A209" s="2">
        <v>36</v>
      </c>
      <c r="B209" s="2" t="s">
        <v>43</v>
      </c>
      <c r="C209" s="2" t="s">
        <v>44</v>
      </c>
      <c r="D209" s="2">
        <v>635</v>
      </c>
      <c r="E209" s="2" t="s">
        <v>45</v>
      </c>
      <c r="F209" s="2">
        <v>18</v>
      </c>
      <c r="G209" s="2">
        <v>1</v>
      </c>
      <c r="H209" s="2" t="s">
        <v>51</v>
      </c>
      <c r="I209" s="2">
        <v>1</v>
      </c>
      <c r="J209" s="2">
        <v>286</v>
      </c>
      <c r="K209" s="2">
        <v>2</v>
      </c>
      <c r="L209" s="2" t="s">
        <v>39</v>
      </c>
      <c r="M209" s="2">
        <v>73</v>
      </c>
      <c r="N209" s="2">
        <v>3</v>
      </c>
      <c r="O209" s="2">
        <v>1</v>
      </c>
      <c r="P209" s="2" t="s">
        <v>50</v>
      </c>
      <c r="Q209" s="2">
        <v>4</v>
      </c>
      <c r="R209" s="2" t="s">
        <v>41</v>
      </c>
      <c r="S209" s="2">
        <v>2153</v>
      </c>
      <c r="T209" s="2">
        <v>7703</v>
      </c>
      <c r="U209" s="2">
        <v>1</v>
      </c>
      <c r="V209" s="2" t="s">
        <v>42</v>
      </c>
      <c r="W209" s="2" t="s">
        <v>43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</row>
    <row r="210" spans="1:35" x14ac:dyDescent="0.25">
      <c r="A210" s="2">
        <v>40</v>
      </c>
      <c r="B210" s="2" t="s">
        <v>43</v>
      </c>
      <c r="C210" s="2" t="s">
        <v>55</v>
      </c>
      <c r="D210" s="2">
        <v>1151</v>
      </c>
      <c r="E210" s="2" t="s">
        <v>45</v>
      </c>
      <c r="F210" s="2">
        <v>9</v>
      </c>
      <c r="G210" s="2">
        <v>5</v>
      </c>
      <c r="H210" s="2" t="s">
        <v>38</v>
      </c>
      <c r="I210" s="2">
        <v>1</v>
      </c>
      <c r="J210" s="2">
        <v>287</v>
      </c>
      <c r="K210" s="2">
        <v>4</v>
      </c>
      <c r="L210" s="2" t="s">
        <v>46</v>
      </c>
      <c r="M210" s="2">
        <v>63</v>
      </c>
      <c r="N210" s="2">
        <v>2</v>
      </c>
      <c r="O210" s="2">
        <v>2</v>
      </c>
      <c r="P210" s="2" t="s">
        <v>54</v>
      </c>
      <c r="Q210" s="2">
        <v>4</v>
      </c>
      <c r="R210" s="2" t="s">
        <v>48</v>
      </c>
      <c r="S210" s="2">
        <v>4876</v>
      </c>
      <c r="T210" s="2">
        <v>14242</v>
      </c>
      <c r="U210" s="2">
        <v>9</v>
      </c>
      <c r="V210" s="2" t="s">
        <v>42</v>
      </c>
      <c r="W210" s="2" t="s">
        <v>43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</row>
    <row r="211" spans="1:35" x14ac:dyDescent="0.25">
      <c r="A211" s="2">
        <v>46</v>
      </c>
      <c r="B211" s="2" t="s">
        <v>43</v>
      </c>
      <c r="C211" s="2" t="s">
        <v>36</v>
      </c>
      <c r="D211" s="2">
        <v>644</v>
      </c>
      <c r="E211" s="2" t="s">
        <v>45</v>
      </c>
      <c r="F211" s="2">
        <v>1</v>
      </c>
      <c r="G211" s="2">
        <v>4</v>
      </c>
      <c r="H211" s="2" t="s">
        <v>51</v>
      </c>
      <c r="I211" s="2">
        <v>1</v>
      </c>
      <c r="J211" s="2">
        <v>288</v>
      </c>
      <c r="K211" s="2">
        <v>4</v>
      </c>
      <c r="L211" s="2" t="s">
        <v>46</v>
      </c>
      <c r="M211" s="2">
        <v>97</v>
      </c>
      <c r="N211" s="2">
        <v>3</v>
      </c>
      <c r="O211" s="2">
        <v>3</v>
      </c>
      <c r="P211" s="2" t="s">
        <v>54</v>
      </c>
      <c r="Q211" s="2">
        <v>1</v>
      </c>
      <c r="R211" s="2" t="s">
        <v>52</v>
      </c>
      <c r="S211" s="2">
        <v>9396</v>
      </c>
      <c r="T211" s="2">
        <v>12368</v>
      </c>
      <c r="U211" s="2">
        <v>7</v>
      </c>
      <c r="V211" s="2" t="s">
        <v>42</v>
      </c>
      <c r="W211" s="2" t="s">
        <v>43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</row>
    <row r="212" spans="1:35" x14ac:dyDescent="0.25">
      <c r="A212" s="2">
        <v>32</v>
      </c>
      <c r="B212" s="2" t="s">
        <v>35</v>
      </c>
      <c r="C212" s="2" t="s">
        <v>36</v>
      </c>
      <c r="D212" s="2">
        <v>1045</v>
      </c>
      <c r="E212" s="2" t="s">
        <v>37</v>
      </c>
      <c r="F212" s="2">
        <v>4</v>
      </c>
      <c r="G212" s="2">
        <v>4</v>
      </c>
      <c r="H212" s="2" t="s">
        <v>51</v>
      </c>
      <c r="I212" s="2">
        <v>1</v>
      </c>
      <c r="J212" s="2">
        <v>291</v>
      </c>
      <c r="K212" s="2">
        <v>4</v>
      </c>
      <c r="L212" s="2" t="s">
        <v>46</v>
      </c>
      <c r="M212" s="2">
        <v>32</v>
      </c>
      <c r="N212" s="2">
        <v>1</v>
      </c>
      <c r="O212" s="2">
        <v>3</v>
      </c>
      <c r="P212" s="2" t="s">
        <v>40</v>
      </c>
      <c r="Q212" s="2">
        <v>4</v>
      </c>
      <c r="R212" s="2" t="s">
        <v>48</v>
      </c>
      <c r="S212" s="2">
        <v>10400</v>
      </c>
      <c r="T212" s="2">
        <v>25812</v>
      </c>
      <c r="U212" s="2">
        <v>1</v>
      </c>
      <c r="V212" s="2" t="s">
        <v>42</v>
      </c>
      <c r="W212" s="2" t="s">
        <v>43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</row>
    <row r="213" spans="1:35" x14ac:dyDescent="0.25">
      <c r="A213" s="2">
        <v>30</v>
      </c>
      <c r="B213" s="2" t="s">
        <v>43</v>
      </c>
      <c r="C213" s="2" t="s">
        <v>55</v>
      </c>
      <c r="D213" s="2">
        <v>829</v>
      </c>
      <c r="E213" s="2" t="s">
        <v>45</v>
      </c>
      <c r="F213" s="2">
        <v>1</v>
      </c>
      <c r="G213" s="2">
        <v>1</v>
      </c>
      <c r="H213" s="2" t="s">
        <v>38</v>
      </c>
      <c r="I213" s="2">
        <v>1</v>
      </c>
      <c r="J213" s="2">
        <v>292</v>
      </c>
      <c r="K213" s="2">
        <v>3</v>
      </c>
      <c r="L213" s="2" t="s">
        <v>46</v>
      </c>
      <c r="M213" s="2">
        <v>88</v>
      </c>
      <c r="N213" s="2">
        <v>2</v>
      </c>
      <c r="O213" s="2">
        <v>3</v>
      </c>
      <c r="P213" s="2" t="s">
        <v>53</v>
      </c>
      <c r="Q213" s="2">
        <v>3</v>
      </c>
      <c r="R213" s="2" t="s">
        <v>41</v>
      </c>
      <c r="S213" s="2">
        <v>8474</v>
      </c>
      <c r="T213" s="2">
        <v>20925</v>
      </c>
      <c r="U213" s="2">
        <v>1</v>
      </c>
      <c r="V213" s="2" t="s">
        <v>42</v>
      </c>
      <c r="W213" s="2" t="s">
        <v>43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</row>
    <row r="214" spans="1:35" x14ac:dyDescent="0.25">
      <c r="A214" s="2">
        <v>27</v>
      </c>
      <c r="B214" s="2" t="s">
        <v>43</v>
      </c>
      <c r="C214" s="2" t="s">
        <v>44</v>
      </c>
      <c r="D214" s="2">
        <v>1242</v>
      </c>
      <c r="E214" s="2" t="s">
        <v>37</v>
      </c>
      <c r="F214" s="2">
        <v>20</v>
      </c>
      <c r="G214" s="2">
        <v>3</v>
      </c>
      <c r="H214" s="2" t="s">
        <v>38</v>
      </c>
      <c r="I214" s="2">
        <v>1</v>
      </c>
      <c r="J214" s="2">
        <v>293</v>
      </c>
      <c r="K214" s="2">
        <v>4</v>
      </c>
      <c r="L214" s="2" t="s">
        <v>39</v>
      </c>
      <c r="M214" s="2">
        <v>90</v>
      </c>
      <c r="N214" s="2">
        <v>3</v>
      </c>
      <c r="O214" s="2">
        <v>2</v>
      </c>
      <c r="P214" s="2" t="s">
        <v>40</v>
      </c>
      <c r="Q214" s="2">
        <v>3</v>
      </c>
      <c r="R214" s="2" t="s">
        <v>41</v>
      </c>
      <c r="S214" s="2">
        <v>9981</v>
      </c>
      <c r="T214" s="2">
        <v>12916</v>
      </c>
      <c r="U214" s="2">
        <v>1</v>
      </c>
      <c r="V214" s="2" t="s">
        <v>42</v>
      </c>
      <c r="W214" s="2" t="s">
        <v>43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</row>
    <row r="215" spans="1:35" x14ac:dyDescent="0.25">
      <c r="A215" s="2">
        <v>51</v>
      </c>
      <c r="B215" s="2" t="s">
        <v>43</v>
      </c>
      <c r="C215" s="2" t="s">
        <v>36</v>
      </c>
      <c r="D215" s="2">
        <v>1469</v>
      </c>
      <c r="E215" s="2" t="s">
        <v>45</v>
      </c>
      <c r="F215" s="2">
        <v>8</v>
      </c>
      <c r="G215" s="2">
        <v>4</v>
      </c>
      <c r="H215" s="2" t="s">
        <v>38</v>
      </c>
      <c r="I215" s="2">
        <v>1</v>
      </c>
      <c r="J215" s="2">
        <v>296</v>
      </c>
      <c r="K215" s="2">
        <v>2</v>
      </c>
      <c r="L215" s="2" t="s">
        <v>46</v>
      </c>
      <c r="M215" s="2">
        <v>81</v>
      </c>
      <c r="N215" s="2">
        <v>2</v>
      </c>
      <c r="O215" s="2">
        <v>3</v>
      </c>
      <c r="P215" s="2" t="s">
        <v>58</v>
      </c>
      <c r="Q215" s="2">
        <v>2</v>
      </c>
      <c r="R215" s="2" t="s">
        <v>48</v>
      </c>
      <c r="S215" s="2">
        <v>12490</v>
      </c>
      <c r="T215" s="2">
        <v>15736</v>
      </c>
      <c r="U215" s="2">
        <v>5</v>
      </c>
      <c r="V215" s="2" t="s">
        <v>42</v>
      </c>
      <c r="W215" s="2" t="s">
        <v>43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</row>
    <row r="216" spans="1:35" x14ac:dyDescent="0.25">
      <c r="A216" s="2">
        <v>30</v>
      </c>
      <c r="B216" s="2" t="s">
        <v>35</v>
      </c>
      <c r="C216" s="2" t="s">
        <v>36</v>
      </c>
      <c r="D216" s="2">
        <v>1005</v>
      </c>
      <c r="E216" s="2" t="s">
        <v>45</v>
      </c>
      <c r="F216" s="2">
        <v>3</v>
      </c>
      <c r="G216" s="2">
        <v>3</v>
      </c>
      <c r="H216" s="2" t="s">
        <v>60</v>
      </c>
      <c r="I216" s="2">
        <v>1</v>
      </c>
      <c r="J216" s="2">
        <v>297</v>
      </c>
      <c r="K216" s="2">
        <v>4</v>
      </c>
      <c r="L216" s="2" t="s">
        <v>39</v>
      </c>
      <c r="M216" s="2">
        <v>88</v>
      </c>
      <c r="N216" s="2">
        <v>3</v>
      </c>
      <c r="O216" s="2">
        <v>1</v>
      </c>
      <c r="P216" s="2" t="s">
        <v>47</v>
      </c>
      <c r="Q216" s="2">
        <v>1</v>
      </c>
      <c r="R216" s="2" t="s">
        <v>41</v>
      </c>
      <c r="S216" s="2">
        <v>2657</v>
      </c>
      <c r="T216" s="2">
        <v>8556</v>
      </c>
      <c r="U216" s="2">
        <v>5</v>
      </c>
      <c r="V216" s="2" t="s">
        <v>42</v>
      </c>
      <c r="W216" s="2" t="s">
        <v>35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</row>
    <row r="217" spans="1:35" x14ac:dyDescent="0.25">
      <c r="A217" s="2">
        <v>41</v>
      </c>
      <c r="B217" s="2" t="s">
        <v>43</v>
      </c>
      <c r="C217" s="2" t="s">
        <v>36</v>
      </c>
      <c r="D217" s="2">
        <v>896</v>
      </c>
      <c r="E217" s="2" t="s">
        <v>37</v>
      </c>
      <c r="F217" s="2">
        <v>6</v>
      </c>
      <c r="G217" s="2">
        <v>3</v>
      </c>
      <c r="H217" s="2" t="s">
        <v>38</v>
      </c>
      <c r="I217" s="2">
        <v>1</v>
      </c>
      <c r="J217" s="2">
        <v>298</v>
      </c>
      <c r="K217" s="2">
        <v>4</v>
      </c>
      <c r="L217" s="2" t="s">
        <v>39</v>
      </c>
      <c r="M217" s="2">
        <v>75</v>
      </c>
      <c r="N217" s="2">
        <v>3</v>
      </c>
      <c r="O217" s="2">
        <v>3</v>
      </c>
      <c r="P217" s="2" t="s">
        <v>56</v>
      </c>
      <c r="Q217" s="2">
        <v>4</v>
      </c>
      <c r="R217" s="2" t="s">
        <v>41</v>
      </c>
      <c r="S217" s="2">
        <v>13591</v>
      </c>
      <c r="T217" s="2">
        <v>14674</v>
      </c>
      <c r="U217" s="2">
        <v>3</v>
      </c>
      <c r="V217" s="2" t="s">
        <v>42</v>
      </c>
      <c r="W217" s="2" t="s">
        <v>35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</row>
    <row r="218" spans="1:35" x14ac:dyDescent="0.25">
      <c r="A218" s="2">
        <v>30</v>
      </c>
      <c r="B218" s="2" t="s">
        <v>35</v>
      </c>
      <c r="C218" s="2" t="s">
        <v>44</v>
      </c>
      <c r="D218" s="2">
        <v>334</v>
      </c>
      <c r="E218" s="2" t="s">
        <v>37</v>
      </c>
      <c r="F218" s="2">
        <v>26</v>
      </c>
      <c r="G218" s="2">
        <v>4</v>
      </c>
      <c r="H218" s="2" t="s">
        <v>59</v>
      </c>
      <c r="I218" s="2">
        <v>1</v>
      </c>
      <c r="J218" s="2">
        <v>299</v>
      </c>
      <c r="K218" s="2">
        <v>3</v>
      </c>
      <c r="L218" s="2" t="s">
        <v>39</v>
      </c>
      <c r="M218" s="2">
        <v>52</v>
      </c>
      <c r="N218" s="2">
        <v>2</v>
      </c>
      <c r="O218" s="2">
        <v>2</v>
      </c>
      <c r="P218" s="2" t="s">
        <v>40</v>
      </c>
      <c r="Q218" s="2">
        <v>1</v>
      </c>
      <c r="R218" s="2" t="s">
        <v>41</v>
      </c>
      <c r="S218" s="2">
        <v>6696</v>
      </c>
      <c r="T218" s="2">
        <v>22967</v>
      </c>
      <c r="U218" s="2">
        <v>5</v>
      </c>
      <c r="V218" s="2" t="s">
        <v>42</v>
      </c>
      <c r="W218" s="2" t="s">
        <v>43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</row>
    <row r="219" spans="1:35" x14ac:dyDescent="0.25">
      <c r="A219" s="2">
        <v>29</v>
      </c>
      <c r="B219" s="2" t="s">
        <v>35</v>
      </c>
      <c r="C219" s="2" t="s">
        <v>36</v>
      </c>
      <c r="D219" s="2">
        <v>992</v>
      </c>
      <c r="E219" s="2" t="s">
        <v>45</v>
      </c>
      <c r="F219" s="2">
        <v>1</v>
      </c>
      <c r="G219" s="2">
        <v>3</v>
      </c>
      <c r="H219" s="2" t="s">
        <v>60</v>
      </c>
      <c r="I219" s="2">
        <v>1</v>
      </c>
      <c r="J219" s="2">
        <v>300</v>
      </c>
      <c r="K219" s="2">
        <v>3</v>
      </c>
      <c r="L219" s="2" t="s">
        <v>46</v>
      </c>
      <c r="M219" s="2">
        <v>85</v>
      </c>
      <c r="N219" s="2">
        <v>3</v>
      </c>
      <c r="O219" s="2">
        <v>1</v>
      </c>
      <c r="P219" s="2" t="s">
        <v>47</v>
      </c>
      <c r="Q219" s="2">
        <v>3</v>
      </c>
      <c r="R219" s="2" t="s">
        <v>41</v>
      </c>
      <c r="S219" s="2">
        <v>2058</v>
      </c>
      <c r="T219" s="2">
        <v>19757</v>
      </c>
      <c r="U219" s="2">
        <v>0</v>
      </c>
      <c r="V219" s="2" t="s">
        <v>42</v>
      </c>
      <c r="W219" s="2" t="s">
        <v>43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</row>
    <row r="220" spans="1:35" x14ac:dyDescent="0.25">
      <c r="A220" s="2">
        <v>45</v>
      </c>
      <c r="B220" s="2" t="s">
        <v>43</v>
      </c>
      <c r="C220" s="2" t="s">
        <v>55</v>
      </c>
      <c r="D220" s="2">
        <v>1052</v>
      </c>
      <c r="E220" s="2" t="s">
        <v>37</v>
      </c>
      <c r="F220" s="2">
        <v>6</v>
      </c>
      <c r="G220" s="2">
        <v>3</v>
      </c>
      <c r="H220" s="2" t="s">
        <v>51</v>
      </c>
      <c r="I220" s="2">
        <v>1</v>
      </c>
      <c r="J220" s="2">
        <v>302</v>
      </c>
      <c r="K220" s="2">
        <v>4</v>
      </c>
      <c r="L220" s="2" t="s">
        <v>39</v>
      </c>
      <c r="M220" s="2">
        <v>57</v>
      </c>
      <c r="N220" s="2">
        <v>2</v>
      </c>
      <c r="O220" s="2">
        <v>3</v>
      </c>
      <c r="P220" s="2" t="s">
        <v>40</v>
      </c>
      <c r="Q220" s="2">
        <v>4</v>
      </c>
      <c r="R220" s="2" t="s">
        <v>41</v>
      </c>
      <c r="S220" s="2">
        <v>8865</v>
      </c>
      <c r="T220" s="2">
        <v>16840</v>
      </c>
      <c r="U220" s="2">
        <v>6</v>
      </c>
      <c r="V220" s="2" t="s">
        <v>42</v>
      </c>
      <c r="W220" s="2" t="s">
        <v>43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</row>
    <row r="221" spans="1:35" x14ac:dyDescent="0.25">
      <c r="A221" s="2">
        <v>54</v>
      </c>
      <c r="B221" s="2" t="s">
        <v>43</v>
      </c>
      <c r="C221" s="2" t="s">
        <v>36</v>
      </c>
      <c r="D221" s="2">
        <v>1147</v>
      </c>
      <c r="E221" s="2" t="s">
        <v>37</v>
      </c>
      <c r="F221" s="2">
        <v>3</v>
      </c>
      <c r="G221" s="2">
        <v>3</v>
      </c>
      <c r="H221" s="2" t="s">
        <v>59</v>
      </c>
      <c r="I221" s="2">
        <v>1</v>
      </c>
      <c r="J221" s="2">
        <v>303</v>
      </c>
      <c r="K221" s="2">
        <v>4</v>
      </c>
      <c r="L221" s="2" t="s">
        <v>39</v>
      </c>
      <c r="M221" s="2">
        <v>52</v>
      </c>
      <c r="N221" s="2">
        <v>3</v>
      </c>
      <c r="O221" s="2">
        <v>2</v>
      </c>
      <c r="P221" s="2" t="s">
        <v>40</v>
      </c>
      <c r="Q221" s="2">
        <v>1</v>
      </c>
      <c r="R221" s="2" t="s">
        <v>48</v>
      </c>
      <c r="S221" s="2">
        <v>5940</v>
      </c>
      <c r="T221" s="2">
        <v>17011</v>
      </c>
      <c r="U221" s="2">
        <v>2</v>
      </c>
      <c r="V221" s="2" t="s">
        <v>42</v>
      </c>
      <c r="W221" s="2" t="s">
        <v>43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</row>
    <row r="222" spans="1:35" x14ac:dyDescent="0.25">
      <c r="A222" s="2">
        <v>36</v>
      </c>
      <c r="B222" s="2" t="s">
        <v>43</v>
      </c>
      <c r="C222" s="2" t="s">
        <v>36</v>
      </c>
      <c r="D222" s="2">
        <v>1396</v>
      </c>
      <c r="E222" s="2" t="s">
        <v>45</v>
      </c>
      <c r="F222" s="2">
        <v>5</v>
      </c>
      <c r="G222" s="2">
        <v>2</v>
      </c>
      <c r="H222" s="2" t="s">
        <v>38</v>
      </c>
      <c r="I222" s="2">
        <v>1</v>
      </c>
      <c r="J222" s="2">
        <v>304</v>
      </c>
      <c r="K222" s="2">
        <v>4</v>
      </c>
      <c r="L222" s="2" t="s">
        <v>46</v>
      </c>
      <c r="M222" s="2">
        <v>62</v>
      </c>
      <c r="N222" s="2">
        <v>3</v>
      </c>
      <c r="O222" s="2">
        <v>2</v>
      </c>
      <c r="P222" s="2" t="s">
        <v>50</v>
      </c>
      <c r="Q222" s="2">
        <v>2</v>
      </c>
      <c r="R222" s="2" t="s">
        <v>41</v>
      </c>
      <c r="S222" s="2">
        <v>5914</v>
      </c>
      <c r="T222" s="2">
        <v>9945</v>
      </c>
      <c r="U222" s="2">
        <v>8</v>
      </c>
      <c r="V222" s="2" t="s">
        <v>42</v>
      </c>
      <c r="W222" s="2" t="s">
        <v>43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</row>
    <row r="223" spans="1:35" x14ac:dyDescent="0.25">
      <c r="A223" s="2">
        <v>33</v>
      </c>
      <c r="B223" s="2" t="s">
        <v>43</v>
      </c>
      <c r="C223" s="2" t="s">
        <v>36</v>
      </c>
      <c r="D223" s="2">
        <v>147</v>
      </c>
      <c r="E223" s="2" t="s">
        <v>45</v>
      </c>
      <c r="F223" s="2">
        <v>4</v>
      </c>
      <c r="G223" s="2">
        <v>4</v>
      </c>
      <c r="H223" s="2" t="s">
        <v>51</v>
      </c>
      <c r="I223" s="2">
        <v>1</v>
      </c>
      <c r="J223" s="2">
        <v>305</v>
      </c>
      <c r="K223" s="2">
        <v>3</v>
      </c>
      <c r="L223" s="2" t="s">
        <v>39</v>
      </c>
      <c r="M223" s="2">
        <v>47</v>
      </c>
      <c r="N223" s="2">
        <v>2</v>
      </c>
      <c r="O223" s="2">
        <v>1</v>
      </c>
      <c r="P223" s="2" t="s">
        <v>47</v>
      </c>
      <c r="Q223" s="2">
        <v>2</v>
      </c>
      <c r="R223" s="2" t="s">
        <v>48</v>
      </c>
      <c r="S223" s="2">
        <v>2622</v>
      </c>
      <c r="T223" s="2">
        <v>13248</v>
      </c>
      <c r="U223" s="2">
        <v>6</v>
      </c>
      <c r="V223" s="2" t="s">
        <v>42</v>
      </c>
      <c r="W223" s="2" t="s">
        <v>43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</row>
    <row r="224" spans="1:35" x14ac:dyDescent="0.25">
      <c r="A224" s="2">
        <v>37</v>
      </c>
      <c r="B224" s="2" t="s">
        <v>43</v>
      </c>
      <c r="C224" s="2" t="s">
        <v>44</v>
      </c>
      <c r="D224" s="2">
        <v>663</v>
      </c>
      <c r="E224" s="2" t="s">
        <v>45</v>
      </c>
      <c r="F224" s="2">
        <v>11</v>
      </c>
      <c r="G224" s="2">
        <v>3</v>
      </c>
      <c r="H224" s="2" t="s">
        <v>49</v>
      </c>
      <c r="I224" s="2">
        <v>1</v>
      </c>
      <c r="J224" s="2">
        <v>306</v>
      </c>
      <c r="K224" s="2">
        <v>2</v>
      </c>
      <c r="L224" s="2" t="s">
        <v>46</v>
      </c>
      <c r="M224" s="2">
        <v>47</v>
      </c>
      <c r="N224" s="2">
        <v>3</v>
      </c>
      <c r="O224" s="2">
        <v>3</v>
      </c>
      <c r="P224" s="2" t="s">
        <v>58</v>
      </c>
      <c r="Q224" s="2">
        <v>4</v>
      </c>
      <c r="R224" s="2" t="s">
        <v>52</v>
      </c>
      <c r="S224" s="2">
        <v>12185</v>
      </c>
      <c r="T224" s="2">
        <v>10056</v>
      </c>
      <c r="U224" s="2">
        <v>1</v>
      </c>
      <c r="V224" s="2" t="s">
        <v>42</v>
      </c>
      <c r="W224" s="2" t="s">
        <v>35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</row>
    <row r="225" spans="1:35" x14ac:dyDescent="0.25">
      <c r="A225" s="2">
        <v>38</v>
      </c>
      <c r="B225" s="2" t="s">
        <v>43</v>
      </c>
      <c r="C225" s="2" t="s">
        <v>36</v>
      </c>
      <c r="D225" s="2">
        <v>119</v>
      </c>
      <c r="E225" s="2" t="s">
        <v>37</v>
      </c>
      <c r="F225" s="2">
        <v>3</v>
      </c>
      <c r="G225" s="2">
        <v>3</v>
      </c>
      <c r="H225" s="2" t="s">
        <v>38</v>
      </c>
      <c r="I225" s="2">
        <v>1</v>
      </c>
      <c r="J225" s="2">
        <v>307</v>
      </c>
      <c r="K225" s="2">
        <v>1</v>
      </c>
      <c r="L225" s="2" t="s">
        <v>46</v>
      </c>
      <c r="M225" s="2">
        <v>76</v>
      </c>
      <c r="N225" s="2">
        <v>3</v>
      </c>
      <c r="O225" s="2">
        <v>3</v>
      </c>
      <c r="P225" s="2" t="s">
        <v>40</v>
      </c>
      <c r="Q225" s="2">
        <v>3</v>
      </c>
      <c r="R225" s="2" t="s">
        <v>52</v>
      </c>
      <c r="S225" s="2">
        <v>10609</v>
      </c>
      <c r="T225" s="2">
        <v>9647</v>
      </c>
      <c r="U225" s="2">
        <v>0</v>
      </c>
      <c r="V225" s="2" t="s">
        <v>42</v>
      </c>
      <c r="W225" s="2" t="s">
        <v>43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</row>
    <row r="226" spans="1:35" x14ac:dyDescent="0.25">
      <c r="A226" s="2">
        <v>31</v>
      </c>
      <c r="B226" s="2" t="s">
        <v>43</v>
      </c>
      <c r="C226" s="2" t="s">
        <v>55</v>
      </c>
      <c r="D226" s="2">
        <v>979</v>
      </c>
      <c r="E226" s="2" t="s">
        <v>45</v>
      </c>
      <c r="F226" s="2">
        <v>1</v>
      </c>
      <c r="G226" s="2">
        <v>4</v>
      </c>
      <c r="H226" s="2" t="s">
        <v>51</v>
      </c>
      <c r="I226" s="2">
        <v>1</v>
      </c>
      <c r="J226" s="2">
        <v>308</v>
      </c>
      <c r="K226" s="2">
        <v>3</v>
      </c>
      <c r="L226" s="2" t="s">
        <v>46</v>
      </c>
      <c r="M226" s="2">
        <v>90</v>
      </c>
      <c r="N226" s="2">
        <v>1</v>
      </c>
      <c r="O226" s="2">
        <v>2</v>
      </c>
      <c r="P226" s="2" t="s">
        <v>53</v>
      </c>
      <c r="Q226" s="2">
        <v>3</v>
      </c>
      <c r="R226" s="2" t="s">
        <v>48</v>
      </c>
      <c r="S226" s="2">
        <v>4345</v>
      </c>
      <c r="T226" s="2">
        <v>4381</v>
      </c>
      <c r="U226" s="2">
        <v>0</v>
      </c>
      <c r="V226" s="2" t="s">
        <v>42</v>
      </c>
      <c r="W226" s="2" t="s">
        <v>43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</row>
    <row r="227" spans="1:35" x14ac:dyDescent="0.25">
      <c r="A227" s="2">
        <v>59</v>
      </c>
      <c r="B227" s="2" t="s">
        <v>43</v>
      </c>
      <c r="C227" s="2" t="s">
        <v>36</v>
      </c>
      <c r="D227" s="2">
        <v>142</v>
      </c>
      <c r="E227" s="2" t="s">
        <v>45</v>
      </c>
      <c r="F227" s="2">
        <v>3</v>
      </c>
      <c r="G227" s="2">
        <v>3</v>
      </c>
      <c r="H227" s="2" t="s">
        <v>38</v>
      </c>
      <c r="I227" s="2">
        <v>1</v>
      </c>
      <c r="J227" s="2">
        <v>309</v>
      </c>
      <c r="K227" s="2">
        <v>3</v>
      </c>
      <c r="L227" s="2" t="s">
        <v>46</v>
      </c>
      <c r="M227" s="2">
        <v>70</v>
      </c>
      <c r="N227" s="2">
        <v>2</v>
      </c>
      <c r="O227" s="2">
        <v>1</v>
      </c>
      <c r="P227" s="2" t="s">
        <v>47</v>
      </c>
      <c r="Q227" s="2">
        <v>4</v>
      </c>
      <c r="R227" s="2" t="s">
        <v>48</v>
      </c>
      <c r="S227" s="2">
        <v>2177</v>
      </c>
      <c r="T227" s="2">
        <v>8456</v>
      </c>
      <c r="U227" s="2">
        <v>3</v>
      </c>
      <c r="V227" s="2" t="s">
        <v>42</v>
      </c>
      <c r="W227" s="2" t="s">
        <v>43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</row>
    <row r="228" spans="1:35" x14ac:dyDescent="0.25">
      <c r="A228" s="2">
        <v>37</v>
      </c>
      <c r="B228" s="2" t="s">
        <v>43</v>
      </c>
      <c r="C228" s="2" t="s">
        <v>44</v>
      </c>
      <c r="D228" s="2">
        <v>319</v>
      </c>
      <c r="E228" s="2" t="s">
        <v>37</v>
      </c>
      <c r="F228" s="2">
        <v>4</v>
      </c>
      <c r="G228" s="2">
        <v>4</v>
      </c>
      <c r="H228" s="2" t="s">
        <v>59</v>
      </c>
      <c r="I228" s="2">
        <v>1</v>
      </c>
      <c r="J228" s="2">
        <v>311</v>
      </c>
      <c r="K228" s="2">
        <v>1</v>
      </c>
      <c r="L228" s="2" t="s">
        <v>46</v>
      </c>
      <c r="M228" s="2">
        <v>41</v>
      </c>
      <c r="N228" s="2">
        <v>3</v>
      </c>
      <c r="O228" s="2">
        <v>1</v>
      </c>
      <c r="P228" s="2" t="s">
        <v>57</v>
      </c>
      <c r="Q228" s="2">
        <v>4</v>
      </c>
      <c r="R228" s="2" t="s">
        <v>52</v>
      </c>
      <c r="S228" s="2">
        <v>2793</v>
      </c>
      <c r="T228" s="2">
        <v>2539</v>
      </c>
      <c r="U228" s="2">
        <v>4</v>
      </c>
      <c r="V228" s="2" t="s">
        <v>42</v>
      </c>
      <c r="W228" s="2" t="s">
        <v>43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</row>
    <row r="229" spans="1:35" x14ac:dyDescent="0.25">
      <c r="A229" s="2">
        <v>29</v>
      </c>
      <c r="B229" s="2" t="s">
        <v>43</v>
      </c>
      <c r="C229" s="2" t="s">
        <v>44</v>
      </c>
      <c r="D229" s="2">
        <v>1413</v>
      </c>
      <c r="E229" s="2" t="s">
        <v>37</v>
      </c>
      <c r="F229" s="2">
        <v>1</v>
      </c>
      <c r="G229" s="2">
        <v>1</v>
      </c>
      <c r="H229" s="2" t="s">
        <v>51</v>
      </c>
      <c r="I229" s="2">
        <v>1</v>
      </c>
      <c r="J229" s="2">
        <v>312</v>
      </c>
      <c r="K229" s="2">
        <v>2</v>
      </c>
      <c r="L229" s="2" t="s">
        <v>39</v>
      </c>
      <c r="M229" s="2">
        <v>42</v>
      </c>
      <c r="N229" s="2">
        <v>3</v>
      </c>
      <c r="O229" s="2">
        <v>3</v>
      </c>
      <c r="P229" s="2" t="s">
        <v>40</v>
      </c>
      <c r="Q229" s="2">
        <v>4</v>
      </c>
      <c r="R229" s="2" t="s">
        <v>48</v>
      </c>
      <c r="S229" s="2">
        <v>7918</v>
      </c>
      <c r="T229" s="2">
        <v>6599</v>
      </c>
      <c r="U229" s="2">
        <v>1</v>
      </c>
      <c r="V229" s="2" t="s">
        <v>42</v>
      </c>
      <c r="W229" s="2" t="s">
        <v>43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</row>
    <row r="230" spans="1:35" x14ac:dyDescent="0.25">
      <c r="A230" s="2">
        <v>35</v>
      </c>
      <c r="B230" s="2" t="s">
        <v>43</v>
      </c>
      <c r="C230" s="2" t="s">
        <v>44</v>
      </c>
      <c r="D230" s="2">
        <v>944</v>
      </c>
      <c r="E230" s="2" t="s">
        <v>37</v>
      </c>
      <c r="F230" s="2">
        <v>1</v>
      </c>
      <c r="G230" s="2">
        <v>3</v>
      </c>
      <c r="H230" s="2" t="s">
        <v>59</v>
      </c>
      <c r="I230" s="2">
        <v>1</v>
      </c>
      <c r="J230" s="2">
        <v>314</v>
      </c>
      <c r="K230" s="2">
        <v>3</v>
      </c>
      <c r="L230" s="2" t="s">
        <v>39</v>
      </c>
      <c r="M230" s="2">
        <v>92</v>
      </c>
      <c r="N230" s="2">
        <v>3</v>
      </c>
      <c r="O230" s="2">
        <v>3</v>
      </c>
      <c r="P230" s="2" t="s">
        <v>40</v>
      </c>
      <c r="Q230" s="2">
        <v>3</v>
      </c>
      <c r="R230" s="2" t="s">
        <v>41</v>
      </c>
      <c r="S230" s="2">
        <v>8789</v>
      </c>
      <c r="T230" s="2">
        <v>9096</v>
      </c>
      <c r="U230" s="2">
        <v>1</v>
      </c>
      <c r="V230" s="2" t="s">
        <v>42</v>
      </c>
      <c r="W230" s="2" t="s">
        <v>43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</row>
    <row r="231" spans="1:35" x14ac:dyDescent="0.25">
      <c r="A231" s="2">
        <v>29</v>
      </c>
      <c r="B231" s="2" t="s">
        <v>35</v>
      </c>
      <c r="C231" s="2" t="s">
        <v>36</v>
      </c>
      <c r="D231" s="2">
        <v>896</v>
      </c>
      <c r="E231" s="2" t="s">
        <v>45</v>
      </c>
      <c r="F231" s="2">
        <v>18</v>
      </c>
      <c r="G231" s="2">
        <v>1</v>
      </c>
      <c r="H231" s="2" t="s">
        <v>51</v>
      </c>
      <c r="I231" s="2">
        <v>1</v>
      </c>
      <c r="J231" s="2">
        <v>315</v>
      </c>
      <c r="K231" s="2">
        <v>3</v>
      </c>
      <c r="L231" s="2" t="s">
        <v>46</v>
      </c>
      <c r="M231" s="2">
        <v>86</v>
      </c>
      <c r="N231" s="2">
        <v>2</v>
      </c>
      <c r="O231" s="2">
        <v>1</v>
      </c>
      <c r="P231" s="2" t="s">
        <v>47</v>
      </c>
      <c r="Q231" s="2">
        <v>4</v>
      </c>
      <c r="R231" s="2" t="s">
        <v>41</v>
      </c>
      <c r="S231" s="2">
        <v>2389</v>
      </c>
      <c r="T231" s="2">
        <v>14961</v>
      </c>
      <c r="U231" s="2">
        <v>1</v>
      </c>
      <c r="V231" s="2" t="s">
        <v>42</v>
      </c>
      <c r="W231" s="2" t="s">
        <v>35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</row>
    <row r="232" spans="1:35" x14ac:dyDescent="0.25">
      <c r="A232" s="2">
        <v>52</v>
      </c>
      <c r="B232" s="2" t="s">
        <v>43</v>
      </c>
      <c r="C232" s="2" t="s">
        <v>36</v>
      </c>
      <c r="D232" s="2">
        <v>1323</v>
      </c>
      <c r="E232" s="2" t="s">
        <v>45</v>
      </c>
      <c r="F232" s="2">
        <v>2</v>
      </c>
      <c r="G232" s="2">
        <v>3</v>
      </c>
      <c r="H232" s="2" t="s">
        <v>38</v>
      </c>
      <c r="I232" s="2">
        <v>1</v>
      </c>
      <c r="J232" s="2">
        <v>316</v>
      </c>
      <c r="K232" s="2">
        <v>3</v>
      </c>
      <c r="L232" s="2" t="s">
        <v>39</v>
      </c>
      <c r="M232" s="2">
        <v>89</v>
      </c>
      <c r="N232" s="2">
        <v>2</v>
      </c>
      <c r="O232" s="2">
        <v>1</v>
      </c>
      <c r="P232" s="2" t="s">
        <v>50</v>
      </c>
      <c r="Q232" s="2">
        <v>4</v>
      </c>
      <c r="R232" s="2" t="s">
        <v>41</v>
      </c>
      <c r="S232" s="2">
        <v>3212</v>
      </c>
      <c r="T232" s="2">
        <v>3300</v>
      </c>
      <c r="U232" s="2">
        <v>7</v>
      </c>
      <c r="V232" s="2" t="s">
        <v>42</v>
      </c>
      <c r="W232" s="2" t="s">
        <v>43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</row>
    <row r="233" spans="1:35" x14ac:dyDescent="0.25">
      <c r="A233" s="2">
        <v>42</v>
      </c>
      <c r="B233" s="2" t="s">
        <v>43</v>
      </c>
      <c r="C233" s="2" t="s">
        <v>36</v>
      </c>
      <c r="D233" s="2">
        <v>532</v>
      </c>
      <c r="E233" s="2" t="s">
        <v>45</v>
      </c>
      <c r="F233" s="2">
        <v>4</v>
      </c>
      <c r="G233" s="2">
        <v>2</v>
      </c>
      <c r="H233" s="2" t="s">
        <v>60</v>
      </c>
      <c r="I233" s="2">
        <v>1</v>
      </c>
      <c r="J233" s="2">
        <v>319</v>
      </c>
      <c r="K233" s="2">
        <v>3</v>
      </c>
      <c r="L233" s="2" t="s">
        <v>46</v>
      </c>
      <c r="M233" s="2">
        <v>58</v>
      </c>
      <c r="N233" s="2">
        <v>3</v>
      </c>
      <c r="O233" s="2">
        <v>5</v>
      </c>
      <c r="P233" s="2" t="s">
        <v>56</v>
      </c>
      <c r="Q233" s="2">
        <v>4</v>
      </c>
      <c r="R233" s="2" t="s">
        <v>48</v>
      </c>
      <c r="S233" s="2">
        <v>19232</v>
      </c>
      <c r="T233" s="2">
        <v>4933</v>
      </c>
      <c r="U233" s="2">
        <v>1</v>
      </c>
      <c r="V233" s="2" t="s">
        <v>42</v>
      </c>
      <c r="W233" s="2" t="s">
        <v>43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</row>
    <row r="234" spans="1:35" x14ac:dyDescent="0.25">
      <c r="A234" s="2">
        <v>59</v>
      </c>
      <c r="B234" s="2" t="s">
        <v>43</v>
      </c>
      <c r="C234" s="2" t="s">
        <v>36</v>
      </c>
      <c r="D234" s="2">
        <v>818</v>
      </c>
      <c r="E234" s="2" t="s">
        <v>61</v>
      </c>
      <c r="F234" s="2">
        <v>6</v>
      </c>
      <c r="G234" s="2">
        <v>2</v>
      </c>
      <c r="H234" s="2" t="s">
        <v>51</v>
      </c>
      <c r="I234" s="2">
        <v>1</v>
      </c>
      <c r="J234" s="2">
        <v>321</v>
      </c>
      <c r="K234" s="2">
        <v>2</v>
      </c>
      <c r="L234" s="2" t="s">
        <v>46</v>
      </c>
      <c r="M234" s="2">
        <v>52</v>
      </c>
      <c r="N234" s="2">
        <v>3</v>
      </c>
      <c r="O234" s="2">
        <v>1</v>
      </c>
      <c r="P234" s="2" t="s">
        <v>61</v>
      </c>
      <c r="Q234" s="2">
        <v>3</v>
      </c>
      <c r="R234" s="2" t="s">
        <v>48</v>
      </c>
      <c r="S234" s="2">
        <v>2267</v>
      </c>
      <c r="T234" s="2">
        <v>25657</v>
      </c>
      <c r="U234" s="2">
        <v>8</v>
      </c>
      <c r="V234" s="2" t="s">
        <v>42</v>
      </c>
      <c r="W234" s="2" t="s">
        <v>43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</row>
    <row r="235" spans="1:35" x14ac:dyDescent="0.25">
      <c r="A235" s="2">
        <v>50</v>
      </c>
      <c r="B235" s="2" t="s">
        <v>43</v>
      </c>
      <c r="C235" s="2" t="s">
        <v>36</v>
      </c>
      <c r="D235" s="2">
        <v>854</v>
      </c>
      <c r="E235" s="2" t="s">
        <v>37</v>
      </c>
      <c r="F235" s="2">
        <v>1</v>
      </c>
      <c r="G235" s="2">
        <v>4</v>
      </c>
      <c r="H235" s="2" t="s">
        <v>51</v>
      </c>
      <c r="I235" s="2">
        <v>1</v>
      </c>
      <c r="J235" s="2">
        <v>323</v>
      </c>
      <c r="K235" s="2">
        <v>4</v>
      </c>
      <c r="L235" s="2" t="s">
        <v>39</v>
      </c>
      <c r="M235" s="2">
        <v>68</v>
      </c>
      <c r="N235" s="2">
        <v>3</v>
      </c>
      <c r="O235" s="2">
        <v>5</v>
      </c>
      <c r="P235" s="2" t="s">
        <v>56</v>
      </c>
      <c r="Q235" s="2">
        <v>4</v>
      </c>
      <c r="R235" s="2" t="s">
        <v>52</v>
      </c>
      <c r="S235" s="2">
        <v>19517</v>
      </c>
      <c r="T235" s="2">
        <v>24118</v>
      </c>
      <c r="U235" s="2">
        <v>3</v>
      </c>
      <c r="V235" s="2" t="s">
        <v>42</v>
      </c>
      <c r="W235" s="2" t="s">
        <v>43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</row>
    <row r="236" spans="1:35" x14ac:dyDescent="0.25">
      <c r="A236" s="2">
        <v>33</v>
      </c>
      <c r="B236" s="2" t="s">
        <v>35</v>
      </c>
      <c r="C236" s="2" t="s">
        <v>36</v>
      </c>
      <c r="D236" s="2">
        <v>813</v>
      </c>
      <c r="E236" s="2" t="s">
        <v>45</v>
      </c>
      <c r="F236" s="2">
        <v>14</v>
      </c>
      <c r="G236" s="2">
        <v>3</v>
      </c>
      <c r="H236" s="2" t="s">
        <v>51</v>
      </c>
      <c r="I236" s="2">
        <v>1</v>
      </c>
      <c r="J236" s="2">
        <v>325</v>
      </c>
      <c r="K236" s="2">
        <v>3</v>
      </c>
      <c r="L236" s="2" t="s">
        <v>46</v>
      </c>
      <c r="M236" s="2">
        <v>58</v>
      </c>
      <c r="N236" s="2">
        <v>3</v>
      </c>
      <c r="O236" s="2">
        <v>1</v>
      </c>
      <c r="P236" s="2" t="s">
        <v>50</v>
      </c>
      <c r="Q236" s="2">
        <v>4</v>
      </c>
      <c r="R236" s="2" t="s">
        <v>48</v>
      </c>
      <c r="S236" s="2">
        <v>2436</v>
      </c>
      <c r="T236" s="2">
        <v>22149</v>
      </c>
      <c r="U236" s="2">
        <v>5</v>
      </c>
      <c r="V236" s="2" t="s">
        <v>42</v>
      </c>
      <c r="W236" s="2" t="s">
        <v>35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</row>
    <row r="237" spans="1:35" x14ac:dyDescent="0.25">
      <c r="A237" s="2">
        <v>43</v>
      </c>
      <c r="B237" s="2" t="s">
        <v>43</v>
      </c>
      <c r="C237" s="2" t="s">
        <v>36</v>
      </c>
      <c r="D237" s="2">
        <v>1034</v>
      </c>
      <c r="E237" s="2" t="s">
        <v>37</v>
      </c>
      <c r="F237" s="2">
        <v>16</v>
      </c>
      <c r="G237" s="2">
        <v>3</v>
      </c>
      <c r="H237" s="2" t="s">
        <v>59</v>
      </c>
      <c r="I237" s="2">
        <v>1</v>
      </c>
      <c r="J237" s="2">
        <v>327</v>
      </c>
      <c r="K237" s="2">
        <v>4</v>
      </c>
      <c r="L237" s="2" t="s">
        <v>39</v>
      </c>
      <c r="M237" s="2">
        <v>80</v>
      </c>
      <c r="N237" s="2">
        <v>3</v>
      </c>
      <c r="O237" s="2">
        <v>4</v>
      </c>
      <c r="P237" s="2" t="s">
        <v>56</v>
      </c>
      <c r="Q237" s="2">
        <v>4</v>
      </c>
      <c r="R237" s="2" t="s">
        <v>48</v>
      </c>
      <c r="S237" s="2">
        <v>16064</v>
      </c>
      <c r="T237" s="2">
        <v>7744</v>
      </c>
      <c r="U237" s="2">
        <v>5</v>
      </c>
      <c r="V237" s="2" t="s">
        <v>42</v>
      </c>
      <c r="W237" s="2" t="s">
        <v>35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</row>
    <row r="238" spans="1:35" x14ac:dyDescent="0.25">
      <c r="A238" s="2">
        <v>33</v>
      </c>
      <c r="B238" s="2" t="s">
        <v>35</v>
      </c>
      <c r="C238" s="2" t="s">
        <v>36</v>
      </c>
      <c r="D238" s="2">
        <v>465</v>
      </c>
      <c r="E238" s="2" t="s">
        <v>45</v>
      </c>
      <c r="F238" s="2">
        <v>2</v>
      </c>
      <c r="G238" s="2">
        <v>2</v>
      </c>
      <c r="H238" s="2" t="s">
        <v>38</v>
      </c>
      <c r="I238" s="2">
        <v>1</v>
      </c>
      <c r="J238" s="2">
        <v>328</v>
      </c>
      <c r="K238" s="2">
        <v>1</v>
      </c>
      <c r="L238" s="2" t="s">
        <v>39</v>
      </c>
      <c r="M238" s="2">
        <v>39</v>
      </c>
      <c r="N238" s="2">
        <v>3</v>
      </c>
      <c r="O238" s="2">
        <v>1</v>
      </c>
      <c r="P238" s="2" t="s">
        <v>50</v>
      </c>
      <c r="Q238" s="2">
        <v>1</v>
      </c>
      <c r="R238" s="2" t="s">
        <v>48</v>
      </c>
      <c r="S238" s="2">
        <v>2707</v>
      </c>
      <c r="T238" s="2">
        <v>21509</v>
      </c>
      <c r="U238" s="2">
        <v>7</v>
      </c>
      <c r="V238" s="2" t="s">
        <v>42</v>
      </c>
      <c r="W238" s="2" t="s">
        <v>43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</row>
    <row r="239" spans="1:35" x14ac:dyDescent="0.25">
      <c r="A239" s="2">
        <v>52</v>
      </c>
      <c r="B239" s="2" t="s">
        <v>43</v>
      </c>
      <c r="C239" s="2" t="s">
        <v>55</v>
      </c>
      <c r="D239" s="2">
        <v>771</v>
      </c>
      <c r="E239" s="2" t="s">
        <v>37</v>
      </c>
      <c r="F239" s="2">
        <v>2</v>
      </c>
      <c r="G239" s="2">
        <v>4</v>
      </c>
      <c r="H239" s="2" t="s">
        <v>38</v>
      </c>
      <c r="I239" s="2">
        <v>1</v>
      </c>
      <c r="J239" s="2">
        <v>329</v>
      </c>
      <c r="K239" s="2">
        <v>1</v>
      </c>
      <c r="L239" s="2" t="s">
        <v>46</v>
      </c>
      <c r="M239" s="2">
        <v>79</v>
      </c>
      <c r="N239" s="2">
        <v>2</v>
      </c>
      <c r="O239" s="2">
        <v>5</v>
      </c>
      <c r="P239" s="2" t="s">
        <v>56</v>
      </c>
      <c r="Q239" s="2">
        <v>3</v>
      </c>
      <c r="R239" s="2" t="s">
        <v>41</v>
      </c>
      <c r="S239" s="2">
        <v>19068</v>
      </c>
      <c r="T239" s="2">
        <v>21030</v>
      </c>
      <c r="U239" s="2">
        <v>1</v>
      </c>
      <c r="V239" s="2" t="s">
        <v>42</v>
      </c>
      <c r="W239" s="2" t="s">
        <v>35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</row>
    <row r="240" spans="1:35" x14ac:dyDescent="0.25">
      <c r="A240" s="2">
        <v>32</v>
      </c>
      <c r="B240" s="2" t="s">
        <v>43</v>
      </c>
      <c r="C240" s="2" t="s">
        <v>36</v>
      </c>
      <c r="D240" s="2">
        <v>1401</v>
      </c>
      <c r="E240" s="2" t="s">
        <v>37</v>
      </c>
      <c r="F240" s="2">
        <v>4</v>
      </c>
      <c r="G240" s="2">
        <v>2</v>
      </c>
      <c r="H240" s="2" t="s">
        <v>38</v>
      </c>
      <c r="I240" s="2">
        <v>1</v>
      </c>
      <c r="J240" s="2">
        <v>330</v>
      </c>
      <c r="K240" s="2">
        <v>3</v>
      </c>
      <c r="L240" s="2" t="s">
        <v>39</v>
      </c>
      <c r="M240" s="2">
        <v>56</v>
      </c>
      <c r="N240" s="2">
        <v>3</v>
      </c>
      <c r="O240" s="2">
        <v>1</v>
      </c>
      <c r="P240" s="2" t="s">
        <v>57</v>
      </c>
      <c r="Q240" s="2">
        <v>2</v>
      </c>
      <c r="R240" s="2" t="s">
        <v>48</v>
      </c>
      <c r="S240" s="2">
        <v>3931</v>
      </c>
      <c r="T240" s="2">
        <v>20990</v>
      </c>
      <c r="U240" s="2">
        <v>2</v>
      </c>
      <c r="V240" s="2" t="s">
        <v>42</v>
      </c>
      <c r="W240" s="2" t="s">
        <v>43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</row>
    <row r="241" spans="1:35" x14ac:dyDescent="0.25">
      <c r="A241" s="2">
        <v>32</v>
      </c>
      <c r="B241" s="2" t="s">
        <v>35</v>
      </c>
      <c r="C241" s="2" t="s">
        <v>36</v>
      </c>
      <c r="D241" s="2">
        <v>515</v>
      </c>
      <c r="E241" s="2" t="s">
        <v>45</v>
      </c>
      <c r="F241" s="2">
        <v>1</v>
      </c>
      <c r="G241" s="2">
        <v>3</v>
      </c>
      <c r="H241" s="2" t="s">
        <v>38</v>
      </c>
      <c r="I241" s="2">
        <v>1</v>
      </c>
      <c r="J241" s="2">
        <v>331</v>
      </c>
      <c r="K241" s="2">
        <v>4</v>
      </c>
      <c r="L241" s="2" t="s">
        <v>46</v>
      </c>
      <c r="M241" s="2">
        <v>62</v>
      </c>
      <c r="N241" s="2">
        <v>2</v>
      </c>
      <c r="O241" s="2">
        <v>1</v>
      </c>
      <c r="P241" s="2" t="s">
        <v>50</v>
      </c>
      <c r="Q241" s="2">
        <v>3</v>
      </c>
      <c r="R241" s="2" t="s">
        <v>41</v>
      </c>
      <c r="S241" s="2">
        <v>3730</v>
      </c>
      <c r="T241" s="2">
        <v>9571</v>
      </c>
      <c r="U241" s="2">
        <v>0</v>
      </c>
      <c r="V241" s="2" t="s">
        <v>42</v>
      </c>
      <c r="W241" s="2" t="s">
        <v>35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</row>
    <row r="242" spans="1:35" x14ac:dyDescent="0.25">
      <c r="A242" s="2">
        <v>39</v>
      </c>
      <c r="B242" s="2" t="s">
        <v>43</v>
      </c>
      <c r="C242" s="2" t="s">
        <v>36</v>
      </c>
      <c r="D242" s="2">
        <v>1431</v>
      </c>
      <c r="E242" s="2" t="s">
        <v>45</v>
      </c>
      <c r="F242" s="2">
        <v>1</v>
      </c>
      <c r="G242" s="2">
        <v>4</v>
      </c>
      <c r="H242" s="2" t="s">
        <v>51</v>
      </c>
      <c r="I242" s="2">
        <v>1</v>
      </c>
      <c r="J242" s="2">
        <v>332</v>
      </c>
      <c r="K242" s="2">
        <v>3</v>
      </c>
      <c r="L242" s="2" t="s">
        <v>39</v>
      </c>
      <c r="M242" s="2">
        <v>96</v>
      </c>
      <c r="N242" s="2">
        <v>3</v>
      </c>
      <c r="O242" s="2">
        <v>1</v>
      </c>
      <c r="P242" s="2" t="s">
        <v>50</v>
      </c>
      <c r="Q242" s="2">
        <v>3</v>
      </c>
      <c r="R242" s="2" t="s">
        <v>52</v>
      </c>
      <c r="S242" s="2">
        <v>2232</v>
      </c>
      <c r="T242" s="2">
        <v>15417</v>
      </c>
      <c r="U242" s="2">
        <v>7</v>
      </c>
      <c r="V242" s="2" t="s">
        <v>42</v>
      </c>
      <c r="W242" s="2" t="s">
        <v>43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</row>
    <row r="243" spans="1:35" x14ac:dyDescent="0.25">
      <c r="A243" s="2">
        <v>32</v>
      </c>
      <c r="B243" s="2" t="s">
        <v>43</v>
      </c>
      <c r="C243" s="2" t="s">
        <v>55</v>
      </c>
      <c r="D243" s="2">
        <v>976</v>
      </c>
      <c r="E243" s="2" t="s">
        <v>37</v>
      </c>
      <c r="F243" s="2">
        <v>26</v>
      </c>
      <c r="G243" s="2">
        <v>4</v>
      </c>
      <c r="H243" s="2" t="s">
        <v>59</v>
      </c>
      <c r="I243" s="2">
        <v>1</v>
      </c>
      <c r="J243" s="2">
        <v>333</v>
      </c>
      <c r="K243" s="2">
        <v>3</v>
      </c>
      <c r="L243" s="2" t="s">
        <v>46</v>
      </c>
      <c r="M243" s="2">
        <v>100</v>
      </c>
      <c r="N243" s="2">
        <v>3</v>
      </c>
      <c r="O243" s="2">
        <v>2</v>
      </c>
      <c r="P243" s="2" t="s">
        <v>40</v>
      </c>
      <c r="Q243" s="2">
        <v>4</v>
      </c>
      <c r="R243" s="2" t="s">
        <v>48</v>
      </c>
      <c r="S243" s="2">
        <v>4465</v>
      </c>
      <c r="T243" s="2">
        <v>12069</v>
      </c>
      <c r="U243" s="2">
        <v>0</v>
      </c>
      <c r="V243" s="2" t="s">
        <v>42</v>
      </c>
      <c r="W243" s="2" t="s">
        <v>43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</row>
    <row r="244" spans="1:35" x14ac:dyDescent="0.25">
      <c r="A244" s="2">
        <v>41</v>
      </c>
      <c r="B244" s="2" t="s">
        <v>43</v>
      </c>
      <c r="C244" s="2" t="s">
        <v>36</v>
      </c>
      <c r="D244" s="2">
        <v>1411</v>
      </c>
      <c r="E244" s="2" t="s">
        <v>45</v>
      </c>
      <c r="F244" s="2">
        <v>19</v>
      </c>
      <c r="G244" s="2">
        <v>2</v>
      </c>
      <c r="H244" s="2" t="s">
        <v>38</v>
      </c>
      <c r="I244" s="2">
        <v>1</v>
      </c>
      <c r="J244" s="2">
        <v>334</v>
      </c>
      <c r="K244" s="2">
        <v>3</v>
      </c>
      <c r="L244" s="2" t="s">
        <v>46</v>
      </c>
      <c r="M244" s="2">
        <v>36</v>
      </c>
      <c r="N244" s="2">
        <v>3</v>
      </c>
      <c r="O244" s="2">
        <v>2</v>
      </c>
      <c r="P244" s="2" t="s">
        <v>47</v>
      </c>
      <c r="Q244" s="2">
        <v>1</v>
      </c>
      <c r="R244" s="2" t="s">
        <v>52</v>
      </c>
      <c r="S244" s="2">
        <v>3072</v>
      </c>
      <c r="T244" s="2">
        <v>19877</v>
      </c>
      <c r="U244" s="2">
        <v>2</v>
      </c>
      <c r="V244" s="2" t="s">
        <v>42</v>
      </c>
      <c r="W244" s="2" t="s">
        <v>43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</row>
    <row r="245" spans="1:35" x14ac:dyDescent="0.25">
      <c r="A245" s="2">
        <v>40</v>
      </c>
      <c r="B245" s="2" t="s">
        <v>43</v>
      </c>
      <c r="C245" s="2" t="s">
        <v>36</v>
      </c>
      <c r="D245" s="2">
        <v>1300</v>
      </c>
      <c r="E245" s="2" t="s">
        <v>45</v>
      </c>
      <c r="F245" s="2">
        <v>24</v>
      </c>
      <c r="G245" s="2">
        <v>2</v>
      </c>
      <c r="H245" s="2" t="s">
        <v>60</v>
      </c>
      <c r="I245" s="2">
        <v>1</v>
      </c>
      <c r="J245" s="2">
        <v>335</v>
      </c>
      <c r="K245" s="2">
        <v>1</v>
      </c>
      <c r="L245" s="2" t="s">
        <v>46</v>
      </c>
      <c r="M245" s="2">
        <v>62</v>
      </c>
      <c r="N245" s="2">
        <v>3</v>
      </c>
      <c r="O245" s="2">
        <v>2</v>
      </c>
      <c r="P245" s="2" t="s">
        <v>47</v>
      </c>
      <c r="Q245" s="2">
        <v>4</v>
      </c>
      <c r="R245" s="2" t="s">
        <v>52</v>
      </c>
      <c r="S245" s="2">
        <v>3319</v>
      </c>
      <c r="T245" s="2">
        <v>24447</v>
      </c>
      <c r="U245" s="2">
        <v>1</v>
      </c>
      <c r="V245" s="2" t="s">
        <v>42</v>
      </c>
      <c r="W245" s="2" t="s">
        <v>43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</row>
    <row r="246" spans="1:35" x14ac:dyDescent="0.25">
      <c r="A246" s="2">
        <v>45</v>
      </c>
      <c r="B246" s="2" t="s">
        <v>43</v>
      </c>
      <c r="C246" s="2" t="s">
        <v>36</v>
      </c>
      <c r="D246" s="2">
        <v>252</v>
      </c>
      <c r="E246" s="2" t="s">
        <v>45</v>
      </c>
      <c r="F246" s="2">
        <v>1</v>
      </c>
      <c r="G246" s="2">
        <v>3</v>
      </c>
      <c r="H246" s="2" t="s">
        <v>49</v>
      </c>
      <c r="I246" s="2">
        <v>1</v>
      </c>
      <c r="J246" s="2">
        <v>336</v>
      </c>
      <c r="K246" s="2">
        <v>3</v>
      </c>
      <c r="L246" s="2" t="s">
        <v>46</v>
      </c>
      <c r="M246" s="2">
        <v>70</v>
      </c>
      <c r="N246" s="2">
        <v>4</v>
      </c>
      <c r="O246" s="2">
        <v>5</v>
      </c>
      <c r="P246" s="2" t="s">
        <v>56</v>
      </c>
      <c r="Q246" s="2">
        <v>4</v>
      </c>
      <c r="R246" s="2" t="s">
        <v>48</v>
      </c>
      <c r="S246" s="2">
        <v>19202</v>
      </c>
      <c r="T246" s="2">
        <v>15970</v>
      </c>
      <c r="U246" s="2">
        <v>0</v>
      </c>
      <c r="V246" s="2" t="s">
        <v>42</v>
      </c>
      <c r="W246" s="2" t="s">
        <v>43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</row>
    <row r="247" spans="1:35" x14ac:dyDescent="0.25">
      <c r="A247" s="2">
        <v>31</v>
      </c>
      <c r="B247" s="2" t="s">
        <v>43</v>
      </c>
      <c r="C247" s="2" t="s">
        <v>44</v>
      </c>
      <c r="D247" s="2">
        <v>1327</v>
      </c>
      <c r="E247" s="2" t="s">
        <v>45</v>
      </c>
      <c r="F247" s="2">
        <v>3</v>
      </c>
      <c r="G247" s="2">
        <v>4</v>
      </c>
      <c r="H247" s="2" t="s">
        <v>51</v>
      </c>
      <c r="I247" s="2">
        <v>1</v>
      </c>
      <c r="J247" s="2">
        <v>337</v>
      </c>
      <c r="K247" s="2">
        <v>2</v>
      </c>
      <c r="L247" s="2" t="s">
        <v>46</v>
      </c>
      <c r="M247" s="2">
        <v>73</v>
      </c>
      <c r="N247" s="2">
        <v>3</v>
      </c>
      <c r="O247" s="2">
        <v>3</v>
      </c>
      <c r="P247" s="2" t="s">
        <v>58</v>
      </c>
      <c r="Q247" s="2">
        <v>3</v>
      </c>
      <c r="R247" s="2" t="s">
        <v>52</v>
      </c>
      <c r="S247" s="2">
        <v>13675</v>
      </c>
      <c r="T247" s="2">
        <v>13523</v>
      </c>
      <c r="U247" s="2">
        <v>9</v>
      </c>
      <c r="V247" s="2" t="s">
        <v>42</v>
      </c>
      <c r="W247" s="2" t="s">
        <v>43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</row>
    <row r="248" spans="1:35" x14ac:dyDescent="0.25">
      <c r="A248" s="2">
        <v>33</v>
      </c>
      <c r="B248" s="2" t="s">
        <v>43</v>
      </c>
      <c r="C248" s="2" t="s">
        <v>36</v>
      </c>
      <c r="D248" s="2">
        <v>832</v>
      </c>
      <c r="E248" s="2" t="s">
        <v>45</v>
      </c>
      <c r="F248" s="2">
        <v>5</v>
      </c>
      <c r="G248" s="2">
        <v>4</v>
      </c>
      <c r="H248" s="2" t="s">
        <v>38</v>
      </c>
      <c r="I248" s="2">
        <v>1</v>
      </c>
      <c r="J248" s="2">
        <v>338</v>
      </c>
      <c r="K248" s="2">
        <v>3</v>
      </c>
      <c r="L248" s="2" t="s">
        <v>39</v>
      </c>
      <c r="M248" s="2">
        <v>63</v>
      </c>
      <c r="N248" s="2">
        <v>2</v>
      </c>
      <c r="O248" s="2">
        <v>1</v>
      </c>
      <c r="P248" s="2" t="s">
        <v>47</v>
      </c>
      <c r="Q248" s="2">
        <v>4</v>
      </c>
      <c r="R248" s="2" t="s">
        <v>48</v>
      </c>
      <c r="S248" s="2">
        <v>2911</v>
      </c>
      <c r="T248" s="2">
        <v>14776</v>
      </c>
      <c r="U248" s="2">
        <v>1</v>
      </c>
      <c r="V248" s="2" t="s">
        <v>42</v>
      </c>
      <c r="W248" s="2" t="s">
        <v>43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</row>
    <row r="249" spans="1:35" x14ac:dyDescent="0.25">
      <c r="A249" s="2">
        <v>34</v>
      </c>
      <c r="B249" s="2" t="s">
        <v>43</v>
      </c>
      <c r="C249" s="2" t="s">
        <v>36</v>
      </c>
      <c r="D249" s="2">
        <v>470</v>
      </c>
      <c r="E249" s="2" t="s">
        <v>45</v>
      </c>
      <c r="F249" s="2">
        <v>2</v>
      </c>
      <c r="G249" s="2">
        <v>4</v>
      </c>
      <c r="H249" s="2" t="s">
        <v>38</v>
      </c>
      <c r="I249" s="2">
        <v>1</v>
      </c>
      <c r="J249" s="2">
        <v>339</v>
      </c>
      <c r="K249" s="2">
        <v>4</v>
      </c>
      <c r="L249" s="2" t="s">
        <v>46</v>
      </c>
      <c r="M249" s="2">
        <v>84</v>
      </c>
      <c r="N249" s="2">
        <v>2</v>
      </c>
      <c r="O249" s="2">
        <v>2</v>
      </c>
      <c r="P249" s="2" t="s">
        <v>53</v>
      </c>
      <c r="Q249" s="2">
        <v>1</v>
      </c>
      <c r="R249" s="2" t="s">
        <v>48</v>
      </c>
      <c r="S249" s="2">
        <v>5957</v>
      </c>
      <c r="T249" s="2">
        <v>23687</v>
      </c>
      <c r="U249" s="2">
        <v>6</v>
      </c>
      <c r="V249" s="2" t="s">
        <v>42</v>
      </c>
      <c r="W249" s="2" t="s">
        <v>43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</row>
    <row r="250" spans="1:35" x14ac:dyDescent="0.25">
      <c r="A250" s="2">
        <v>37</v>
      </c>
      <c r="B250" s="2" t="s">
        <v>43</v>
      </c>
      <c r="C250" s="2" t="s">
        <v>36</v>
      </c>
      <c r="D250" s="2">
        <v>1017</v>
      </c>
      <c r="E250" s="2" t="s">
        <v>45</v>
      </c>
      <c r="F250" s="2">
        <v>1</v>
      </c>
      <c r="G250" s="2">
        <v>2</v>
      </c>
      <c r="H250" s="2" t="s">
        <v>51</v>
      </c>
      <c r="I250" s="2">
        <v>1</v>
      </c>
      <c r="J250" s="2">
        <v>340</v>
      </c>
      <c r="K250" s="2">
        <v>3</v>
      </c>
      <c r="L250" s="2" t="s">
        <v>39</v>
      </c>
      <c r="M250" s="2">
        <v>83</v>
      </c>
      <c r="N250" s="2">
        <v>2</v>
      </c>
      <c r="O250" s="2">
        <v>1</v>
      </c>
      <c r="P250" s="2" t="s">
        <v>47</v>
      </c>
      <c r="Q250" s="2">
        <v>1</v>
      </c>
      <c r="R250" s="2" t="s">
        <v>48</v>
      </c>
      <c r="S250" s="2">
        <v>3920</v>
      </c>
      <c r="T250" s="2">
        <v>18697</v>
      </c>
      <c r="U250" s="2">
        <v>2</v>
      </c>
      <c r="V250" s="2" t="s">
        <v>42</v>
      </c>
      <c r="W250" s="2" t="s">
        <v>43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</row>
    <row r="251" spans="1:35" x14ac:dyDescent="0.25">
      <c r="A251" s="2">
        <v>45</v>
      </c>
      <c r="B251" s="2" t="s">
        <v>43</v>
      </c>
      <c r="C251" s="2" t="s">
        <v>44</v>
      </c>
      <c r="D251" s="2">
        <v>1199</v>
      </c>
      <c r="E251" s="2" t="s">
        <v>45</v>
      </c>
      <c r="F251" s="2">
        <v>7</v>
      </c>
      <c r="G251" s="2">
        <v>4</v>
      </c>
      <c r="H251" s="2" t="s">
        <v>38</v>
      </c>
      <c r="I251" s="2">
        <v>1</v>
      </c>
      <c r="J251" s="2">
        <v>341</v>
      </c>
      <c r="K251" s="2">
        <v>1</v>
      </c>
      <c r="L251" s="2" t="s">
        <v>46</v>
      </c>
      <c r="M251" s="2">
        <v>77</v>
      </c>
      <c r="N251" s="2">
        <v>4</v>
      </c>
      <c r="O251" s="2">
        <v>2</v>
      </c>
      <c r="P251" s="2" t="s">
        <v>53</v>
      </c>
      <c r="Q251" s="2">
        <v>3</v>
      </c>
      <c r="R251" s="2" t="s">
        <v>48</v>
      </c>
      <c r="S251" s="2">
        <v>6434</v>
      </c>
      <c r="T251" s="2">
        <v>5118</v>
      </c>
      <c r="U251" s="2">
        <v>4</v>
      </c>
      <c r="V251" s="2" t="s">
        <v>42</v>
      </c>
      <c r="W251" s="2" t="s">
        <v>43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</row>
    <row r="252" spans="1:35" x14ac:dyDescent="0.25">
      <c r="A252" s="2">
        <v>37</v>
      </c>
      <c r="B252" s="2" t="s">
        <v>35</v>
      </c>
      <c r="C252" s="2" t="s">
        <v>44</v>
      </c>
      <c r="D252" s="2">
        <v>504</v>
      </c>
      <c r="E252" s="2" t="s">
        <v>45</v>
      </c>
      <c r="F252" s="2">
        <v>10</v>
      </c>
      <c r="G252" s="2">
        <v>3</v>
      </c>
      <c r="H252" s="2" t="s">
        <v>51</v>
      </c>
      <c r="I252" s="2">
        <v>1</v>
      </c>
      <c r="J252" s="2">
        <v>342</v>
      </c>
      <c r="K252" s="2">
        <v>1</v>
      </c>
      <c r="L252" s="2" t="s">
        <v>46</v>
      </c>
      <c r="M252" s="2">
        <v>61</v>
      </c>
      <c r="N252" s="2">
        <v>3</v>
      </c>
      <c r="O252" s="2">
        <v>3</v>
      </c>
      <c r="P252" s="2" t="s">
        <v>53</v>
      </c>
      <c r="Q252" s="2">
        <v>3</v>
      </c>
      <c r="R252" s="2" t="s">
        <v>52</v>
      </c>
      <c r="S252" s="2">
        <v>10048</v>
      </c>
      <c r="T252" s="2">
        <v>22573</v>
      </c>
      <c r="U252" s="2">
        <v>6</v>
      </c>
      <c r="V252" s="2" t="s">
        <v>42</v>
      </c>
      <c r="W252" s="2" t="s">
        <v>43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</row>
    <row r="253" spans="1:35" x14ac:dyDescent="0.25">
      <c r="A253" s="2">
        <v>39</v>
      </c>
      <c r="B253" s="2" t="s">
        <v>43</v>
      </c>
      <c r="C253" s="2" t="s">
        <v>44</v>
      </c>
      <c r="D253" s="2">
        <v>505</v>
      </c>
      <c r="E253" s="2" t="s">
        <v>45</v>
      </c>
      <c r="F253" s="2">
        <v>2</v>
      </c>
      <c r="G253" s="2">
        <v>4</v>
      </c>
      <c r="H253" s="2" t="s">
        <v>60</v>
      </c>
      <c r="I253" s="2">
        <v>1</v>
      </c>
      <c r="J253" s="2">
        <v>343</v>
      </c>
      <c r="K253" s="2">
        <v>3</v>
      </c>
      <c r="L253" s="2" t="s">
        <v>39</v>
      </c>
      <c r="M253" s="2">
        <v>64</v>
      </c>
      <c r="N253" s="2">
        <v>3</v>
      </c>
      <c r="O253" s="2">
        <v>3</v>
      </c>
      <c r="P253" s="2" t="s">
        <v>54</v>
      </c>
      <c r="Q253" s="2">
        <v>3</v>
      </c>
      <c r="R253" s="2" t="s">
        <v>41</v>
      </c>
      <c r="S253" s="2">
        <v>10938</v>
      </c>
      <c r="T253" s="2">
        <v>6420</v>
      </c>
      <c r="U253" s="2">
        <v>0</v>
      </c>
      <c r="V253" s="2" t="s">
        <v>42</v>
      </c>
      <c r="W253" s="2" t="s">
        <v>43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</row>
    <row r="254" spans="1:35" x14ac:dyDescent="0.25">
      <c r="A254" s="2">
        <v>29</v>
      </c>
      <c r="B254" s="2" t="s">
        <v>43</v>
      </c>
      <c r="C254" s="2" t="s">
        <v>36</v>
      </c>
      <c r="D254" s="2">
        <v>665</v>
      </c>
      <c r="E254" s="2" t="s">
        <v>45</v>
      </c>
      <c r="F254" s="2">
        <v>15</v>
      </c>
      <c r="G254" s="2">
        <v>3</v>
      </c>
      <c r="H254" s="2" t="s">
        <v>38</v>
      </c>
      <c r="I254" s="2">
        <v>1</v>
      </c>
      <c r="J254" s="2">
        <v>346</v>
      </c>
      <c r="K254" s="2">
        <v>3</v>
      </c>
      <c r="L254" s="2" t="s">
        <v>46</v>
      </c>
      <c r="M254" s="2">
        <v>60</v>
      </c>
      <c r="N254" s="2">
        <v>3</v>
      </c>
      <c r="O254" s="2">
        <v>1</v>
      </c>
      <c r="P254" s="2" t="s">
        <v>47</v>
      </c>
      <c r="Q254" s="2">
        <v>4</v>
      </c>
      <c r="R254" s="2" t="s">
        <v>41</v>
      </c>
      <c r="S254" s="2">
        <v>2340</v>
      </c>
      <c r="T254" s="2">
        <v>22673</v>
      </c>
      <c r="U254" s="2">
        <v>1</v>
      </c>
      <c r="V254" s="2" t="s">
        <v>42</v>
      </c>
      <c r="W254" s="2" t="s">
        <v>43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</row>
    <row r="255" spans="1:35" x14ac:dyDescent="0.25">
      <c r="A255" s="2">
        <v>42</v>
      </c>
      <c r="B255" s="2" t="s">
        <v>43</v>
      </c>
      <c r="C255" s="2" t="s">
        <v>36</v>
      </c>
      <c r="D255" s="2">
        <v>916</v>
      </c>
      <c r="E255" s="2" t="s">
        <v>45</v>
      </c>
      <c r="F255" s="2">
        <v>17</v>
      </c>
      <c r="G255" s="2">
        <v>2</v>
      </c>
      <c r="H255" s="2" t="s">
        <v>38</v>
      </c>
      <c r="I255" s="2">
        <v>1</v>
      </c>
      <c r="J255" s="2">
        <v>347</v>
      </c>
      <c r="K255" s="2">
        <v>4</v>
      </c>
      <c r="L255" s="2" t="s">
        <v>39</v>
      </c>
      <c r="M255" s="2">
        <v>82</v>
      </c>
      <c r="N255" s="2">
        <v>4</v>
      </c>
      <c r="O255" s="2">
        <v>2</v>
      </c>
      <c r="P255" s="2" t="s">
        <v>47</v>
      </c>
      <c r="Q255" s="2">
        <v>1</v>
      </c>
      <c r="R255" s="2" t="s">
        <v>41</v>
      </c>
      <c r="S255" s="2">
        <v>6545</v>
      </c>
      <c r="T255" s="2">
        <v>23016</v>
      </c>
      <c r="U255" s="2">
        <v>3</v>
      </c>
      <c r="V255" s="2" t="s">
        <v>42</v>
      </c>
      <c r="W255" s="2" t="s">
        <v>35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</row>
    <row r="256" spans="1:35" x14ac:dyDescent="0.25">
      <c r="A256" s="2">
        <v>29</v>
      </c>
      <c r="B256" s="2" t="s">
        <v>43</v>
      </c>
      <c r="C256" s="2" t="s">
        <v>36</v>
      </c>
      <c r="D256" s="2">
        <v>1247</v>
      </c>
      <c r="E256" s="2" t="s">
        <v>37</v>
      </c>
      <c r="F256" s="2">
        <v>20</v>
      </c>
      <c r="G256" s="2">
        <v>2</v>
      </c>
      <c r="H256" s="2" t="s">
        <v>59</v>
      </c>
      <c r="I256" s="2">
        <v>1</v>
      </c>
      <c r="J256" s="2">
        <v>349</v>
      </c>
      <c r="K256" s="2">
        <v>4</v>
      </c>
      <c r="L256" s="2" t="s">
        <v>46</v>
      </c>
      <c r="M256" s="2">
        <v>45</v>
      </c>
      <c r="N256" s="2">
        <v>3</v>
      </c>
      <c r="O256" s="2">
        <v>2</v>
      </c>
      <c r="P256" s="2" t="s">
        <v>40</v>
      </c>
      <c r="Q256" s="2">
        <v>4</v>
      </c>
      <c r="R256" s="2" t="s">
        <v>52</v>
      </c>
      <c r="S256" s="2">
        <v>6931</v>
      </c>
      <c r="T256" s="2">
        <v>10732</v>
      </c>
      <c r="U256" s="2">
        <v>2</v>
      </c>
      <c r="V256" s="2" t="s">
        <v>42</v>
      </c>
      <c r="W256" s="2" t="s">
        <v>43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</row>
    <row r="257" spans="1:35" x14ac:dyDescent="0.25">
      <c r="A257" s="2">
        <v>25</v>
      </c>
      <c r="B257" s="2" t="s">
        <v>43</v>
      </c>
      <c r="C257" s="2" t="s">
        <v>36</v>
      </c>
      <c r="D257" s="2">
        <v>685</v>
      </c>
      <c r="E257" s="2" t="s">
        <v>45</v>
      </c>
      <c r="F257" s="2">
        <v>1</v>
      </c>
      <c r="G257" s="2">
        <v>3</v>
      </c>
      <c r="H257" s="2" t="s">
        <v>38</v>
      </c>
      <c r="I257" s="2">
        <v>1</v>
      </c>
      <c r="J257" s="2">
        <v>350</v>
      </c>
      <c r="K257" s="2">
        <v>1</v>
      </c>
      <c r="L257" s="2" t="s">
        <v>39</v>
      </c>
      <c r="M257" s="2">
        <v>62</v>
      </c>
      <c r="N257" s="2">
        <v>3</v>
      </c>
      <c r="O257" s="2">
        <v>2</v>
      </c>
      <c r="P257" s="2" t="s">
        <v>53</v>
      </c>
      <c r="Q257" s="2">
        <v>3</v>
      </c>
      <c r="R257" s="2" t="s">
        <v>48</v>
      </c>
      <c r="S257" s="2">
        <v>4898</v>
      </c>
      <c r="T257" s="2">
        <v>7505</v>
      </c>
      <c r="U257" s="2">
        <v>0</v>
      </c>
      <c r="V257" s="2" t="s">
        <v>42</v>
      </c>
      <c r="W257" s="2" t="s">
        <v>43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</row>
    <row r="258" spans="1:35" x14ac:dyDescent="0.25">
      <c r="A258" s="2">
        <v>42</v>
      </c>
      <c r="B258" s="2" t="s">
        <v>43</v>
      </c>
      <c r="C258" s="2" t="s">
        <v>36</v>
      </c>
      <c r="D258" s="2">
        <v>269</v>
      </c>
      <c r="E258" s="2" t="s">
        <v>45</v>
      </c>
      <c r="F258" s="2">
        <v>2</v>
      </c>
      <c r="G258" s="2">
        <v>3</v>
      </c>
      <c r="H258" s="2" t="s">
        <v>51</v>
      </c>
      <c r="I258" s="2">
        <v>1</v>
      </c>
      <c r="J258" s="2">
        <v>351</v>
      </c>
      <c r="K258" s="2">
        <v>4</v>
      </c>
      <c r="L258" s="2" t="s">
        <v>39</v>
      </c>
      <c r="M258" s="2">
        <v>56</v>
      </c>
      <c r="N258" s="2">
        <v>2</v>
      </c>
      <c r="O258" s="2">
        <v>1</v>
      </c>
      <c r="P258" s="2" t="s">
        <v>50</v>
      </c>
      <c r="Q258" s="2">
        <v>1</v>
      </c>
      <c r="R258" s="2" t="s">
        <v>52</v>
      </c>
      <c r="S258" s="2">
        <v>2593</v>
      </c>
      <c r="T258" s="2">
        <v>8007</v>
      </c>
      <c r="U258" s="2">
        <v>0</v>
      </c>
      <c r="V258" s="2" t="s">
        <v>42</v>
      </c>
      <c r="W258" s="2" t="s">
        <v>35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</row>
    <row r="259" spans="1:35" x14ac:dyDescent="0.25">
      <c r="A259" s="2">
        <v>40</v>
      </c>
      <c r="B259" s="2" t="s">
        <v>43</v>
      </c>
      <c r="C259" s="2" t="s">
        <v>36</v>
      </c>
      <c r="D259" s="2">
        <v>1416</v>
      </c>
      <c r="E259" s="2" t="s">
        <v>45</v>
      </c>
      <c r="F259" s="2">
        <v>2</v>
      </c>
      <c r="G259" s="2">
        <v>2</v>
      </c>
      <c r="H259" s="2" t="s">
        <v>51</v>
      </c>
      <c r="I259" s="2">
        <v>1</v>
      </c>
      <c r="J259" s="2">
        <v>352</v>
      </c>
      <c r="K259" s="2">
        <v>1</v>
      </c>
      <c r="L259" s="2" t="s">
        <v>46</v>
      </c>
      <c r="M259" s="2">
        <v>49</v>
      </c>
      <c r="N259" s="2">
        <v>3</v>
      </c>
      <c r="O259" s="2">
        <v>5</v>
      </c>
      <c r="P259" s="2" t="s">
        <v>58</v>
      </c>
      <c r="Q259" s="2">
        <v>3</v>
      </c>
      <c r="R259" s="2" t="s">
        <v>52</v>
      </c>
      <c r="S259" s="2">
        <v>19436</v>
      </c>
      <c r="T259" s="2">
        <v>5949</v>
      </c>
      <c r="U259" s="2">
        <v>0</v>
      </c>
      <c r="V259" s="2" t="s">
        <v>42</v>
      </c>
      <c r="W259" s="2" t="s">
        <v>43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</row>
    <row r="260" spans="1:35" x14ac:dyDescent="0.25">
      <c r="A260" s="2">
        <v>51</v>
      </c>
      <c r="B260" s="2" t="s">
        <v>43</v>
      </c>
      <c r="C260" s="2" t="s">
        <v>36</v>
      </c>
      <c r="D260" s="2">
        <v>833</v>
      </c>
      <c r="E260" s="2" t="s">
        <v>45</v>
      </c>
      <c r="F260" s="2">
        <v>1</v>
      </c>
      <c r="G260" s="2">
        <v>3</v>
      </c>
      <c r="H260" s="2" t="s">
        <v>38</v>
      </c>
      <c r="I260" s="2">
        <v>1</v>
      </c>
      <c r="J260" s="2">
        <v>353</v>
      </c>
      <c r="K260" s="2">
        <v>3</v>
      </c>
      <c r="L260" s="2" t="s">
        <v>46</v>
      </c>
      <c r="M260" s="2">
        <v>96</v>
      </c>
      <c r="N260" s="2">
        <v>3</v>
      </c>
      <c r="O260" s="2">
        <v>1</v>
      </c>
      <c r="P260" s="2" t="s">
        <v>47</v>
      </c>
      <c r="Q260" s="2">
        <v>4</v>
      </c>
      <c r="R260" s="2" t="s">
        <v>48</v>
      </c>
      <c r="S260" s="2">
        <v>2723</v>
      </c>
      <c r="T260" s="2">
        <v>23231</v>
      </c>
      <c r="U260" s="2">
        <v>1</v>
      </c>
      <c r="V260" s="2" t="s">
        <v>42</v>
      </c>
      <c r="W260" s="2" t="s">
        <v>43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</row>
    <row r="261" spans="1:35" x14ac:dyDescent="0.25">
      <c r="A261" s="2">
        <v>31</v>
      </c>
      <c r="B261" s="2" t="s">
        <v>35</v>
      </c>
      <c r="C261" s="2" t="s">
        <v>44</v>
      </c>
      <c r="D261" s="2">
        <v>307</v>
      </c>
      <c r="E261" s="2" t="s">
        <v>45</v>
      </c>
      <c r="F261" s="2">
        <v>29</v>
      </c>
      <c r="G261" s="2">
        <v>2</v>
      </c>
      <c r="H261" s="2" t="s">
        <v>51</v>
      </c>
      <c r="I261" s="2">
        <v>1</v>
      </c>
      <c r="J261" s="2">
        <v>355</v>
      </c>
      <c r="K261" s="2">
        <v>3</v>
      </c>
      <c r="L261" s="2" t="s">
        <v>46</v>
      </c>
      <c r="M261" s="2">
        <v>71</v>
      </c>
      <c r="N261" s="2">
        <v>2</v>
      </c>
      <c r="O261" s="2">
        <v>1</v>
      </c>
      <c r="P261" s="2" t="s">
        <v>50</v>
      </c>
      <c r="Q261" s="2">
        <v>2</v>
      </c>
      <c r="R261" s="2" t="s">
        <v>41</v>
      </c>
      <c r="S261" s="2">
        <v>3479</v>
      </c>
      <c r="T261" s="2">
        <v>11652</v>
      </c>
      <c r="U261" s="2">
        <v>0</v>
      </c>
      <c r="V261" s="2" t="s">
        <v>42</v>
      </c>
      <c r="W261" s="2" t="s">
        <v>43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</row>
    <row r="262" spans="1:35" x14ac:dyDescent="0.25">
      <c r="A262" s="2">
        <v>32</v>
      </c>
      <c r="B262" s="2" t="s">
        <v>43</v>
      </c>
      <c r="C262" s="2" t="s">
        <v>44</v>
      </c>
      <c r="D262" s="2">
        <v>1311</v>
      </c>
      <c r="E262" s="2" t="s">
        <v>45</v>
      </c>
      <c r="F262" s="2">
        <v>7</v>
      </c>
      <c r="G262" s="2">
        <v>3</v>
      </c>
      <c r="H262" s="2" t="s">
        <v>38</v>
      </c>
      <c r="I262" s="2">
        <v>1</v>
      </c>
      <c r="J262" s="2">
        <v>359</v>
      </c>
      <c r="K262" s="2">
        <v>2</v>
      </c>
      <c r="L262" s="2" t="s">
        <v>46</v>
      </c>
      <c r="M262" s="2">
        <v>100</v>
      </c>
      <c r="N262" s="2">
        <v>4</v>
      </c>
      <c r="O262" s="2">
        <v>1</v>
      </c>
      <c r="P262" s="2" t="s">
        <v>50</v>
      </c>
      <c r="Q262" s="2">
        <v>2</v>
      </c>
      <c r="R262" s="2" t="s">
        <v>48</v>
      </c>
      <c r="S262" s="2">
        <v>2794</v>
      </c>
      <c r="T262" s="2">
        <v>26062</v>
      </c>
      <c r="U262" s="2">
        <v>1</v>
      </c>
      <c r="V262" s="2" t="s">
        <v>42</v>
      </c>
      <c r="W262" s="2" t="s">
        <v>43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</row>
    <row r="263" spans="1:35" x14ac:dyDescent="0.25">
      <c r="A263" s="2">
        <v>38</v>
      </c>
      <c r="B263" s="2" t="s">
        <v>43</v>
      </c>
      <c r="C263" s="2" t="s">
        <v>55</v>
      </c>
      <c r="D263" s="2">
        <v>1327</v>
      </c>
      <c r="E263" s="2" t="s">
        <v>37</v>
      </c>
      <c r="F263" s="2">
        <v>2</v>
      </c>
      <c r="G263" s="2">
        <v>2</v>
      </c>
      <c r="H263" s="2" t="s">
        <v>38</v>
      </c>
      <c r="I263" s="2">
        <v>1</v>
      </c>
      <c r="J263" s="2">
        <v>361</v>
      </c>
      <c r="K263" s="2">
        <v>4</v>
      </c>
      <c r="L263" s="2" t="s">
        <v>46</v>
      </c>
      <c r="M263" s="2">
        <v>39</v>
      </c>
      <c r="N263" s="2">
        <v>2</v>
      </c>
      <c r="O263" s="2">
        <v>2</v>
      </c>
      <c r="P263" s="2" t="s">
        <v>40</v>
      </c>
      <c r="Q263" s="2">
        <v>4</v>
      </c>
      <c r="R263" s="2" t="s">
        <v>48</v>
      </c>
      <c r="S263" s="2">
        <v>5249</v>
      </c>
      <c r="T263" s="2">
        <v>19682</v>
      </c>
      <c r="U263" s="2">
        <v>3</v>
      </c>
      <c r="V263" s="2" t="s">
        <v>42</v>
      </c>
      <c r="W263" s="2" t="s">
        <v>43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</row>
    <row r="264" spans="1:35" x14ac:dyDescent="0.25">
      <c r="A264" s="2">
        <v>32</v>
      </c>
      <c r="B264" s="2" t="s">
        <v>43</v>
      </c>
      <c r="C264" s="2" t="s">
        <v>36</v>
      </c>
      <c r="D264" s="2">
        <v>128</v>
      </c>
      <c r="E264" s="2" t="s">
        <v>45</v>
      </c>
      <c r="F264" s="2">
        <v>2</v>
      </c>
      <c r="G264" s="2">
        <v>1</v>
      </c>
      <c r="H264" s="2" t="s">
        <v>60</v>
      </c>
      <c r="I264" s="2">
        <v>1</v>
      </c>
      <c r="J264" s="2">
        <v>362</v>
      </c>
      <c r="K264" s="2">
        <v>4</v>
      </c>
      <c r="L264" s="2" t="s">
        <v>46</v>
      </c>
      <c r="M264" s="2">
        <v>84</v>
      </c>
      <c r="N264" s="2">
        <v>2</v>
      </c>
      <c r="O264" s="2">
        <v>2</v>
      </c>
      <c r="P264" s="2" t="s">
        <v>50</v>
      </c>
      <c r="Q264" s="2">
        <v>1</v>
      </c>
      <c r="R264" s="2" t="s">
        <v>41</v>
      </c>
      <c r="S264" s="2">
        <v>2176</v>
      </c>
      <c r="T264" s="2">
        <v>19737</v>
      </c>
      <c r="U264" s="2">
        <v>4</v>
      </c>
      <c r="V264" s="2" t="s">
        <v>42</v>
      </c>
      <c r="W264" s="2" t="s">
        <v>43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</row>
    <row r="265" spans="1:35" x14ac:dyDescent="0.25">
      <c r="A265" s="2">
        <v>46</v>
      </c>
      <c r="B265" s="2" t="s">
        <v>43</v>
      </c>
      <c r="C265" s="2" t="s">
        <v>36</v>
      </c>
      <c r="D265" s="2">
        <v>488</v>
      </c>
      <c r="E265" s="2" t="s">
        <v>37</v>
      </c>
      <c r="F265" s="2">
        <v>2</v>
      </c>
      <c r="G265" s="2">
        <v>3</v>
      </c>
      <c r="H265" s="2" t="s">
        <v>60</v>
      </c>
      <c r="I265" s="2">
        <v>1</v>
      </c>
      <c r="J265" s="2">
        <v>363</v>
      </c>
      <c r="K265" s="2">
        <v>3</v>
      </c>
      <c r="L265" s="2" t="s">
        <v>39</v>
      </c>
      <c r="M265" s="2">
        <v>75</v>
      </c>
      <c r="N265" s="2">
        <v>1</v>
      </c>
      <c r="O265" s="2">
        <v>4</v>
      </c>
      <c r="P265" s="2" t="s">
        <v>56</v>
      </c>
      <c r="Q265" s="2">
        <v>2</v>
      </c>
      <c r="R265" s="2" t="s">
        <v>48</v>
      </c>
      <c r="S265" s="2">
        <v>16872</v>
      </c>
      <c r="T265" s="2">
        <v>14977</v>
      </c>
      <c r="U265" s="2">
        <v>3</v>
      </c>
      <c r="V265" s="2" t="s">
        <v>42</v>
      </c>
      <c r="W265" s="2" t="s">
        <v>35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</row>
    <row r="266" spans="1:35" x14ac:dyDescent="0.25">
      <c r="A266" s="2">
        <v>28</v>
      </c>
      <c r="B266" s="2" t="s">
        <v>35</v>
      </c>
      <c r="C266" s="2" t="s">
        <v>36</v>
      </c>
      <c r="D266" s="2">
        <v>529</v>
      </c>
      <c r="E266" s="2" t="s">
        <v>45</v>
      </c>
      <c r="F266" s="2">
        <v>2</v>
      </c>
      <c r="G266" s="2">
        <v>4</v>
      </c>
      <c r="H266" s="2" t="s">
        <v>38</v>
      </c>
      <c r="I266" s="2">
        <v>1</v>
      </c>
      <c r="J266" s="2">
        <v>364</v>
      </c>
      <c r="K266" s="2">
        <v>1</v>
      </c>
      <c r="L266" s="2" t="s">
        <v>46</v>
      </c>
      <c r="M266" s="2">
        <v>79</v>
      </c>
      <c r="N266" s="2">
        <v>3</v>
      </c>
      <c r="O266" s="2">
        <v>1</v>
      </c>
      <c r="P266" s="2" t="s">
        <v>50</v>
      </c>
      <c r="Q266" s="2">
        <v>3</v>
      </c>
      <c r="R266" s="2" t="s">
        <v>41</v>
      </c>
      <c r="S266" s="2">
        <v>3485</v>
      </c>
      <c r="T266" s="2">
        <v>14935</v>
      </c>
      <c r="U266" s="2">
        <v>2</v>
      </c>
      <c r="V266" s="2" t="s">
        <v>42</v>
      </c>
      <c r="W266" s="2" t="s">
        <v>43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</row>
    <row r="267" spans="1:35" x14ac:dyDescent="0.25">
      <c r="A267" s="2">
        <v>29</v>
      </c>
      <c r="B267" s="2" t="s">
        <v>43</v>
      </c>
      <c r="C267" s="2" t="s">
        <v>36</v>
      </c>
      <c r="D267" s="2">
        <v>1210</v>
      </c>
      <c r="E267" s="2" t="s">
        <v>37</v>
      </c>
      <c r="F267" s="2">
        <v>2</v>
      </c>
      <c r="G267" s="2">
        <v>3</v>
      </c>
      <c r="H267" s="2" t="s">
        <v>51</v>
      </c>
      <c r="I267" s="2">
        <v>1</v>
      </c>
      <c r="J267" s="2">
        <v>366</v>
      </c>
      <c r="K267" s="2">
        <v>1</v>
      </c>
      <c r="L267" s="2" t="s">
        <v>46</v>
      </c>
      <c r="M267" s="2">
        <v>78</v>
      </c>
      <c r="N267" s="2">
        <v>2</v>
      </c>
      <c r="O267" s="2">
        <v>2</v>
      </c>
      <c r="P267" s="2" t="s">
        <v>40</v>
      </c>
      <c r="Q267" s="2">
        <v>2</v>
      </c>
      <c r="R267" s="2" t="s">
        <v>48</v>
      </c>
      <c r="S267" s="2">
        <v>6644</v>
      </c>
      <c r="T267" s="2">
        <v>3687</v>
      </c>
      <c r="U267" s="2">
        <v>2</v>
      </c>
      <c r="V267" s="2" t="s">
        <v>42</v>
      </c>
      <c r="W267" s="2" t="s">
        <v>43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</row>
    <row r="268" spans="1:35" x14ac:dyDescent="0.25">
      <c r="A268" s="2">
        <v>31</v>
      </c>
      <c r="B268" s="2" t="s">
        <v>43</v>
      </c>
      <c r="C268" s="2" t="s">
        <v>36</v>
      </c>
      <c r="D268" s="2">
        <v>1463</v>
      </c>
      <c r="E268" s="2" t="s">
        <v>45</v>
      </c>
      <c r="F268" s="2">
        <v>23</v>
      </c>
      <c r="G268" s="2">
        <v>3</v>
      </c>
      <c r="H268" s="2" t="s">
        <v>51</v>
      </c>
      <c r="I268" s="2">
        <v>1</v>
      </c>
      <c r="J268" s="2">
        <v>367</v>
      </c>
      <c r="K268" s="2">
        <v>2</v>
      </c>
      <c r="L268" s="2" t="s">
        <v>46</v>
      </c>
      <c r="M268" s="2">
        <v>64</v>
      </c>
      <c r="N268" s="2">
        <v>2</v>
      </c>
      <c r="O268" s="2">
        <v>2</v>
      </c>
      <c r="P268" s="2" t="s">
        <v>54</v>
      </c>
      <c r="Q268" s="2">
        <v>4</v>
      </c>
      <c r="R268" s="2" t="s">
        <v>48</v>
      </c>
      <c r="S268" s="2">
        <v>5582</v>
      </c>
      <c r="T268" s="2">
        <v>14408</v>
      </c>
      <c r="U268" s="2">
        <v>0</v>
      </c>
      <c r="V268" s="2" t="s">
        <v>42</v>
      </c>
      <c r="W268" s="2" t="s">
        <v>43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</row>
    <row r="269" spans="1:35" x14ac:dyDescent="0.25">
      <c r="A269" s="2">
        <v>25</v>
      </c>
      <c r="B269" s="2" t="s">
        <v>43</v>
      </c>
      <c r="C269" s="2" t="s">
        <v>55</v>
      </c>
      <c r="D269" s="2">
        <v>675</v>
      </c>
      <c r="E269" s="2" t="s">
        <v>45</v>
      </c>
      <c r="F269" s="2">
        <v>5</v>
      </c>
      <c r="G269" s="2">
        <v>2</v>
      </c>
      <c r="H269" s="2" t="s">
        <v>38</v>
      </c>
      <c r="I269" s="2">
        <v>1</v>
      </c>
      <c r="J269" s="2">
        <v>369</v>
      </c>
      <c r="K269" s="2">
        <v>2</v>
      </c>
      <c r="L269" s="2" t="s">
        <v>46</v>
      </c>
      <c r="M269" s="2">
        <v>85</v>
      </c>
      <c r="N269" s="2">
        <v>4</v>
      </c>
      <c r="O269" s="2">
        <v>2</v>
      </c>
      <c r="P269" s="2" t="s">
        <v>54</v>
      </c>
      <c r="Q269" s="2">
        <v>1</v>
      </c>
      <c r="R269" s="2" t="s">
        <v>52</v>
      </c>
      <c r="S269" s="2">
        <v>4000</v>
      </c>
      <c r="T269" s="2">
        <v>18384</v>
      </c>
      <c r="U269" s="2">
        <v>1</v>
      </c>
      <c r="V269" s="2" t="s">
        <v>42</v>
      </c>
      <c r="W269" s="2" t="s">
        <v>43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</row>
    <row r="270" spans="1:35" x14ac:dyDescent="0.25">
      <c r="A270" s="2">
        <v>45</v>
      </c>
      <c r="B270" s="2" t="s">
        <v>43</v>
      </c>
      <c r="C270" s="2" t="s">
        <v>36</v>
      </c>
      <c r="D270" s="2">
        <v>1385</v>
      </c>
      <c r="E270" s="2" t="s">
        <v>45</v>
      </c>
      <c r="F270" s="2">
        <v>20</v>
      </c>
      <c r="G270" s="2">
        <v>2</v>
      </c>
      <c r="H270" s="2" t="s">
        <v>51</v>
      </c>
      <c r="I270" s="2">
        <v>1</v>
      </c>
      <c r="J270" s="2">
        <v>372</v>
      </c>
      <c r="K270" s="2">
        <v>3</v>
      </c>
      <c r="L270" s="2" t="s">
        <v>46</v>
      </c>
      <c r="M270" s="2">
        <v>79</v>
      </c>
      <c r="N270" s="2">
        <v>3</v>
      </c>
      <c r="O270" s="2">
        <v>4</v>
      </c>
      <c r="P270" s="2" t="s">
        <v>54</v>
      </c>
      <c r="Q270" s="2">
        <v>4</v>
      </c>
      <c r="R270" s="2" t="s">
        <v>48</v>
      </c>
      <c r="S270" s="2">
        <v>13496</v>
      </c>
      <c r="T270" s="2">
        <v>7501</v>
      </c>
      <c r="U270" s="2">
        <v>0</v>
      </c>
      <c r="V270" s="2" t="s">
        <v>42</v>
      </c>
      <c r="W270" s="2" t="s">
        <v>35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</row>
    <row r="271" spans="1:35" x14ac:dyDescent="0.25">
      <c r="A271" s="2">
        <v>36</v>
      </c>
      <c r="B271" s="2" t="s">
        <v>43</v>
      </c>
      <c r="C271" s="2" t="s">
        <v>36</v>
      </c>
      <c r="D271" s="2">
        <v>1403</v>
      </c>
      <c r="E271" s="2" t="s">
        <v>45</v>
      </c>
      <c r="F271" s="2">
        <v>6</v>
      </c>
      <c r="G271" s="2">
        <v>3</v>
      </c>
      <c r="H271" s="2" t="s">
        <v>38</v>
      </c>
      <c r="I271" s="2">
        <v>1</v>
      </c>
      <c r="J271" s="2">
        <v>373</v>
      </c>
      <c r="K271" s="2">
        <v>4</v>
      </c>
      <c r="L271" s="2" t="s">
        <v>46</v>
      </c>
      <c r="M271" s="2">
        <v>47</v>
      </c>
      <c r="N271" s="2">
        <v>3</v>
      </c>
      <c r="O271" s="2">
        <v>1</v>
      </c>
      <c r="P271" s="2" t="s">
        <v>50</v>
      </c>
      <c r="Q271" s="2">
        <v>4</v>
      </c>
      <c r="R271" s="2" t="s">
        <v>48</v>
      </c>
      <c r="S271" s="2">
        <v>3210</v>
      </c>
      <c r="T271" s="2">
        <v>20251</v>
      </c>
      <c r="U271" s="2">
        <v>0</v>
      </c>
      <c r="V271" s="2" t="s">
        <v>42</v>
      </c>
      <c r="W271" s="2" t="s">
        <v>43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</row>
    <row r="272" spans="1:35" x14ac:dyDescent="0.25">
      <c r="A272" s="2">
        <v>55</v>
      </c>
      <c r="B272" s="2" t="s">
        <v>43</v>
      </c>
      <c r="C272" s="2" t="s">
        <v>36</v>
      </c>
      <c r="D272" s="2">
        <v>452</v>
      </c>
      <c r="E272" s="2" t="s">
        <v>45</v>
      </c>
      <c r="F272" s="2">
        <v>1</v>
      </c>
      <c r="G272" s="2">
        <v>3</v>
      </c>
      <c r="H272" s="2" t="s">
        <v>51</v>
      </c>
      <c r="I272" s="2">
        <v>1</v>
      </c>
      <c r="J272" s="2">
        <v>374</v>
      </c>
      <c r="K272" s="2">
        <v>4</v>
      </c>
      <c r="L272" s="2" t="s">
        <v>46</v>
      </c>
      <c r="M272" s="2">
        <v>81</v>
      </c>
      <c r="N272" s="2">
        <v>3</v>
      </c>
      <c r="O272" s="2">
        <v>5</v>
      </c>
      <c r="P272" s="2" t="s">
        <v>56</v>
      </c>
      <c r="Q272" s="2">
        <v>1</v>
      </c>
      <c r="R272" s="2" t="s">
        <v>41</v>
      </c>
      <c r="S272" s="2">
        <v>19045</v>
      </c>
      <c r="T272" s="2">
        <v>18938</v>
      </c>
      <c r="U272" s="2">
        <v>0</v>
      </c>
      <c r="V272" s="2" t="s">
        <v>42</v>
      </c>
      <c r="W272" s="2" t="s">
        <v>35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</row>
    <row r="273" spans="1:35" x14ac:dyDescent="0.25">
      <c r="A273" s="2">
        <v>47</v>
      </c>
      <c r="B273" s="2" t="s">
        <v>35</v>
      </c>
      <c r="C273" s="2" t="s">
        <v>55</v>
      </c>
      <c r="D273" s="2">
        <v>666</v>
      </c>
      <c r="E273" s="2" t="s">
        <v>45</v>
      </c>
      <c r="F273" s="2">
        <v>29</v>
      </c>
      <c r="G273" s="2">
        <v>4</v>
      </c>
      <c r="H273" s="2" t="s">
        <v>38</v>
      </c>
      <c r="I273" s="2">
        <v>1</v>
      </c>
      <c r="J273" s="2">
        <v>376</v>
      </c>
      <c r="K273" s="2">
        <v>1</v>
      </c>
      <c r="L273" s="2" t="s">
        <v>46</v>
      </c>
      <c r="M273" s="2">
        <v>88</v>
      </c>
      <c r="N273" s="2">
        <v>3</v>
      </c>
      <c r="O273" s="2">
        <v>3</v>
      </c>
      <c r="P273" s="2" t="s">
        <v>56</v>
      </c>
      <c r="Q273" s="2">
        <v>2</v>
      </c>
      <c r="R273" s="2" t="s">
        <v>48</v>
      </c>
      <c r="S273" s="2">
        <v>11849</v>
      </c>
      <c r="T273" s="2">
        <v>10268</v>
      </c>
      <c r="U273" s="2">
        <v>1</v>
      </c>
      <c r="V273" s="2" t="s">
        <v>42</v>
      </c>
      <c r="W273" s="2" t="s">
        <v>35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</row>
    <row r="274" spans="1:35" x14ac:dyDescent="0.25">
      <c r="A274" s="2">
        <v>28</v>
      </c>
      <c r="B274" s="2" t="s">
        <v>43</v>
      </c>
      <c r="C274" s="2" t="s">
        <v>36</v>
      </c>
      <c r="D274" s="2">
        <v>1158</v>
      </c>
      <c r="E274" s="2" t="s">
        <v>45</v>
      </c>
      <c r="F274" s="2">
        <v>9</v>
      </c>
      <c r="G274" s="2">
        <v>3</v>
      </c>
      <c r="H274" s="2" t="s">
        <v>51</v>
      </c>
      <c r="I274" s="2">
        <v>1</v>
      </c>
      <c r="J274" s="2">
        <v>377</v>
      </c>
      <c r="K274" s="2">
        <v>4</v>
      </c>
      <c r="L274" s="2" t="s">
        <v>46</v>
      </c>
      <c r="M274" s="2">
        <v>94</v>
      </c>
      <c r="N274" s="2">
        <v>3</v>
      </c>
      <c r="O274" s="2">
        <v>1</v>
      </c>
      <c r="P274" s="2" t="s">
        <v>47</v>
      </c>
      <c r="Q274" s="2">
        <v>4</v>
      </c>
      <c r="R274" s="2" t="s">
        <v>48</v>
      </c>
      <c r="S274" s="2">
        <v>2070</v>
      </c>
      <c r="T274" s="2">
        <v>2613</v>
      </c>
      <c r="U274" s="2">
        <v>1</v>
      </c>
      <c r="V274" s="2" t="s">
        <v>42</v>
      </c>
      <c r="W274" s="2" t="s">
        <v>43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</row>
    <row r="275" spans="1:35" x14ac:dyDescent="0.25">
      <c r="A275" s="2">
        <v>37</v>
      </c>
      <c r="B275" s="2" t="s">
        <v>43</v>
      </c>
      <c r="C275" s="2" t="s">
        <v>36</v>
      </c>
      <c r="D275" s="2">
        <v>228</v>
      </c>
      <c r="E275" s="2" t="s">
        <v>37</v>
      </c>
      <c r="F275" s="2">
        <v>6</v>
      </c>
      <c r="G275" s="2">
        <v>4</v>
      </c>
      <c r="H275" s="2" t="s">
        <v>51</v>
      </c>
      <c r="I275" s="2">
        <v>1</v>
      </c>
      <c r="J275" s="2">
        <v>378</v>
      </c>
      <c r="K275" s="2">
        <v>3</v>
      </c>
      <c r="L275" s="2" t="s">
        <v>46</v>
      </c>
      <c r="M275" s="2">
        <v>98</v>
      </c>
      <c r="N275" s="2">
        <v>3</v>
      </c>
      <c r="O275" s="2">
        <v>2</v>
      </c>
      <c r="P275" s="2" t="s">
        <v>40</v>
      </c>
      <c r="Q275" s="2">
        <v>4</v>
      </c>
      <c r="R275" s="2" t="s">
        <v>48</v>
      </c>
      <c r="S275" s="2">
        <v>6502</v>
      </c>
      <c r="T275" s="2">
        <v>22825</v>
      </c>
      <c r="U275" s="2">
        <v>4</v>
      </c>
      <c r="V275" s="2" t="s">
        <v>42</v>
      </c>
      <c r="W275" s="2" t="s">
        <v>43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</row>
    <row r="276" spans="1:35" x14ac:dyDescent="0.25">
      <c r="A276" s="2">
        <v>21</v>
      </c>
      <c r="B276" s="2" t="s">
        <v>43</v>
      </c>
      <c r="C276" s="2" t="s">
        <v>36</v>
      </c>
      <c r="D276" s="2">
        <v>996</v>
      </c>
      <c r="E276" s="2" t="s">
        <v>45</v>
      </c>
      <c r="F276" s="2">
        <v>3</v>
      </c>
      <c r="G276" s="2">
        <v>2</v>
      </c>
      <c r="H276" s="2" t="s">
        <v>51</v>
      </c>
      <c r="I276" s="2">
        <v>1</v>
      </c>
      <c r="J276" s="2">
        <v>379</v>
      </c>
      <c r="K276" s="2">
        <v>4</v>
      </c>
      <c r="L276" s="2" t="s">
        <v>46</v>
      </c>
      <c r="M276" s="2">
        <v>100</v>
      </c>
      <c r="N276" s="2">
        <v>2</v>
      </c>
      <c r="O276" s="2">
        <v>1</v>
      </c>
      <c r="P276" s="2" t="s">
        <v>47</v>
      </c>
      <c r="Q276" s="2">
        <v>3</v>
      </c>
      <c r="R276" s="2" t="s">
        <v>41</v>
      </c>
      <c r="S276" s="2">
        <v>3230</v>
      </c>
      <c r="T276" s="2">
        <v>10531</v>
      </c>
      <c r="U276" s="2">
        <v>1</v>
      </c>
      <c r="V276" s="2" t="s">
        <v>42</v>
      </c>
      <c r="W276" s="2" t="s">
        <v>43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</row>
    <row r="277" spans="1:35" x14ac:dyDescent="0.25">
      <c r="A277" s="2">
        <v>37</v>
      </c>
      <c r="B277" s="2" t="s">
        <v>43</v>
      </c>
      <c r="C277" s="2" t="s">
        <v>55</v>
      </c>
      <c r="D277" s="2">
        <v>728</v>
      </c>
      <c r="E277" s="2" t="s">
        <v>45</v>
      </c>
      <c r="F277" s="2">
        <v>1</v>
      </c>
      <c r="G277" s="2">
        <v>4</v>
      </c>
      <c r="H277" s="2" t="s">
        <v>51</v>
      </c>
      <c r="I277" s="2">
        <v>1</v>
      </c>
      <c r="J277" s="2">
        <v>380</v>
      </c>
      <c r="K277" s="2">
        <v>1</v>
      </c>
      <c r="L277" s="2" t="s">
        <v>39</v>
      </c>
      <c r="M277" s="2">
        <v>80</v>
      </c>
      <c r="N277" s="2">
        <v>3</v>
      </c>
      <c r="O277" s="2">
        <v>3</v>
      </c>
      <c r="P277" s="2" t="s">
        <v>58</v>
      </c>
      <c r="Q277" s="2">
        <v>4</v>
      </c>
      <c r="R277" s="2" t="s">
        <v>52</v>
      </c>
      <c r="S277" s="2">
        <v>13603</v>
      </c>
      <c r="T277" s="2">
        <v>11677</v>
      </c>
      <c r="U277" s="2">
        <v>2</v>
      </c>
      <c r="V277" s="2" t="s">
        <v>42</v>
      </c>
      <c r="W277" s="2" t="s">
        <v>35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</row>
    <row r="278" spans="1:35" x14ac:dyDescent="0.25">
      <c r="A278" s="2">
        <v>35</v>
      </c>
      <c r="B278" s="2" t="s">
        <v>43</v>
      </c>
      <c r="C278" s="2" t="s">
        <v>36</v>
      </c>
      <c r="D278" s="2">
        <v>1315</v>
      </c>
      <c r="E278" s="2" t="s">
        <v>45</v>
      </c>
      <c r="F278" s="2">
        <v>22</v>
      </c>
      <c r="G278" s="2">
        <v>3</v>
      </c>
      <c r="H278" s="2" t="s">
        <v>38</v>
      </c>
      <c r="I278" s="2">
        <v>1</v>
      </c>
      <c r="J278" s="2">
        <v>381</v>
      </c>
      <c r="K278" s="2">
        <v>2</v>
      </c>
      <c r="L278" s="2" t="s">
        <v>39</v>
      </c>
      <c r="M278" s="2">
        <v>71</v>
      </c>
      <c r="N278" s="2">
        <v>4</v>
      </c>
      <c r="O278" s="2">
        <v>3</v>
      </c>
      <c r="P278" s="2" t="s">
        <v>56</v>
      </c>
      <c r="Q278" s="2">
        <v>2</v>
      </c>
      <c r="R278" s="2" t="s">
        <v>52</v>
      </c>
      <c r="S278" s="2">
        <v>11996</v>
      </c>
      <c r="T278" s="2">
        <v>19100</v>
      </c>
      <c r="U278" s="2">
        <v>7</v>
      </c>
      <c r="V278" s="2" t="s">
        <v>42</v>
      </c>
      <c r="W278" s="2" t="s">
        <v>43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</row>
    <row r="279" spans="1:35" x14ac:dyDescent="0.25">
      <c r="A279" s="2">
        <v>38</v>
      </c>
      <c r="B279" s="2" t="s">
        <v>43</v>
      </c>
      <c r="C279" s="2" t="s">
        <v>36</v>
      </c>
      <c r="D279" s="2">
        <v>322</v>
      </c>
      <c r="E279" s="2" t="s">
        <v>37</v>
      </c>
      <c r="F279" s="2">
        <v>7</v>
      </c>
      <c r="G279" s="2">
        <v>2</v>
      </c>
      <c r="H279" s="2" t="s">
        <v>51</v>
      </c>
      <c r="I279" s="2">
        <v>1</v>
      </c>
      <c r="J279" s="2">
        <v>382</v>
      </c>
      <c r="K279" s="2">
        <v>1</v>
      </c>
      <c r="L279" s="2" t="s">
        <v>39</v>
      </c>
      <c r="M279" s="2">
        <v>44</v>
      </c>
      <c r="N279" s="2">
        <v>4</v>
      </c>
      <c r="O279" s="2">
        <v>2</v>
      </c>
      <c r="P279" s="2" t="s">
        <v>40</v>
      </c>
      <c r="Q279" s="2">
        <v>1</v>
      </c>
      <c r="R279" s="2" t="s">
        <v>52</v>
      </c>
      <c r="S279" s="2">
        <v>5605</v>
      </c>
      <c r="T279" s="2">
        <v>19191</v>
      </c>
      <c r="U279" s="2">
        <v>1</v>
      </c>
      <c r="V279" s="2" t="s">
        <v>42</v>
      </c>
      <c r="W279" s="2" t="s">
        <v>35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</row>
    <row r="280" spans="1:35" x14ac:dyDescent="0.25">
      <c r="A280" s="2">
        <v>26</v>
      </c>
      <c r="B280" s="2" t="s">
        <v>43</v>
      </c>
      <c r="C280" s="2" t="s">
        <v>44</v>
      </c>
      <c r="D280" s="2">
        <v>1479</v>
      </c>
      <c r="E280" s="2" t="s">
        <v>45</v>
      </c>
      <c r="F280" s="2">
        <v>1</v>
      </c>
      <c r="G280" s="2">
        <v>3</v>
      </c>
      <c r="H280" s="2" t="s">
        <v>38</v>
      </c>
      <c r="I280" s="2">
        <v>1</v>
      </c>
      <c r="J280" s="2">
        <v>384</v>
      </c>
      <c r="K280" s="2">
        <v>3</v>
      </c>
      <c r="L280" s="2" t="s">
        <v>39</v>
      </c>
      <c r="M280" s="2">
        <v>84</v>
      </c>
      <c r="N280" s="2">
        <v>3</v>
      </c>
      <c r="O280" s="2">
        <v>2</v>
      </c>
      <c r="P280" s="2" t="s">
        <v>53</v>
      </c>
      <c r="Q280" s="2">
        <v>2</v>
      </c>
      <c r="R280" s="2" t="s">
        <v>52</v>
      </c>
      <c r="S280" s="2">
        <v>6397</v>
      </c>
      <c r="T280" s="2">
        <v>26767</v>
      </c>
      <c r="U280" s="2">
        <v>1</v>
      </c>
      <c r="V280" s="2" t="s">
        <v>42</v>
      </c>
      <c r="W280" s="2" t="s">
        <v>43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</row>
    <row r="281" spans="1:35" x14ac:dyDescent="0.25">
      <c r="A281" s="2">
        <v>50</v>
      </c>
      <c r="B281" s="2" t="s">
        <v>43</v>
      </c>
      <c r="C281" s="2" t="s">
        <v>36</v>
      </c>
      <c r="D281" s="2">
        <v>797</v>
      </c>
      <c r="E281" s="2" t="s">
        <v>45</v>
      </c>
      <c r="F281" s="2">
        <v>4</v>
      </c>
      <c r="G281" s="2">
        <v>1</v>
      </c>
      <c r="H281" s="2" t="s">
        <v>38</v>
      </c>
      <c r="I281" s="2">
        <v>1</v>
      </c>
      <c r="J281" s="2">
        <v>385</v>
      </c>
      <c r="K281" s="2">
        <v>1</v>
      </c>
      <c r="L281" s="2" t="s">
        <v>46</v>
      </c>
      <c r="M281" s="2">
        <v>96</v>
      </c>
      <c r="N281" s="2">
        <v>3</v>
      </c>
      <c r="O281" s="2">
        <v>5</v>
      </c>
      <c r="P281" s="2" t="s">
        <v>58</v>
      </c>
      <c r="Q281" s="2">
        <v>2</v>
      </c>
      <c r="R281" s="2" t="s">
        <v>52</v>
      </c>
      <c r="S281" s="2">
        <v>19144</v>
      </c>
      <c r="T281" s="2">
        <v>15815</v>
      </c>
      <c r="U281" s="2">
        <v>3</v>
      </c>
      <c r="V281" s="2" t="s">
        <v>42</v>
      </c>
      <c r="W281" s="2" t="s">
        <v>43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</row>
    <row r="282" spans="1:35" x14ac:dyDescent="0.25">
      <c r="A282" s="2">
        <v>53</v>
      </c>
      <c r="B282" s="2" t="s">
        <v>43</v>
      </c>
      <c r="C282" s="2" t="s">
        <v>36</v>
      </c>
      <c r="D282" s="2">
        <v>1070</v>
      </c>
      <c r="E282" s="2" t="s">
        <v>45</v>
      </c>
      <c r="F282" s="2">
        <v>3</v>
      </c>
      <c r="G282" s="2">
        <v>4</v>
      </c>
      <c r="H282" s="2" t="s">
        <v>51</v>
      </c>
      <c r="I282" s="2">
        <v>1</v>
      </c>
      <c r="J282" s="2">
        <v>386</v>
      </c>
      <c r="K282" s="2">
        <v>3</v>
      </c>
      <c r="L282" s="2" t="s">
        <v>46</v>
      </c>
      <c r="M282" s="2">
        <v>45</v>
      </c>
      <c r="N282" s="2">
        <v>3</v>
      </c>
      <c r="O282" s="2">
        <v>4</v>
      </c>
      <c r="P282" s="2" t="s">
        <v>58</v>
      </c>
      <c r="Q282" s="2">
        <v>3</v>
      </c>
      <c r="R282" s="2" t="s">
        <v>48</v>
      </c>
      <c r="S282" s="2">
        <v>17584</v>
      </c>
      <c r="T282" s="2">
        <v>21016</v>
      </c>
      <c r="U282" s="2">
        <v>3</v>
      </c>
      <c r="V282" s="2" t="s">
        <v>42</v>
      </c>
      <c r="W282" s="2" t="s">
        <v>35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</row>
    <row r="283" spans="1:35" x14ac:dyDescent="0.25">
      <c r="A283" s="2">
        <v>42</v>
      </c>
      <c r="B283" s="2" t="s">
        <v>43</v>
      </c>
      <c r="C283" s="2" t="s">
        <v>36</v>
      </c>
      <c r="D283" s="2">
        <v>635</v>
      </c>
      <c r="E283" s="2" t="s">
        <v>37</v>
      </c>
      <c r="F283" s="2">
        <v>1</v>
      </c>
      <c r="G283" s="2">
        <v>1</v>
      </c>
      <c r="H283" s="2" t="s">
        <v>38</v>
      </c>
      <c r="I283" s="2">
        <v>1</v>
      </c>
      <c r="J283" s="2">
        <v>387</v>
      </c>
      <c r="K283" s="2">
        <v>2</v>
      </c>
      <c r="L283" s="2" t="s">
        <v>46</v>
      </c>
      <c r="M283" s="2">
        <v>99</v>
      </c>
      <c r="N283" s="2">
        <v>3</v>
      </c>
      <c r="O283" s="2">
        <v>2</v>
      </c>
      <c r="P283" s="2" t="s">
        <v>40</v>
      </c>
      <c r="Q283" s="2">
        <v>3</v>
      </c>
      <c r="R283" s="2" t="s">
        <v>48</v>
      </c>
      <c r="S283" s="2">
        <v>4907</v>
      </c>
      <c r="T283" s="2">
        <v>24532</v>
      </c>
      <c r="U283" s="2">
        <v>1</v>
      </c>
      <c r="V283" s="2" t="s">
        <v>42</v>
      </c>
      <c r="W283" s="2" t="s">
        <v>43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</row>
    <row r="284" spans="1:35" x14ac:dyDescent="0.25">
      <c r="A284" s="2">
        <v>29</v>
      </c>
      <c r="B284" s="2" t="s">
        <v>43</v>
      </c>
      <c r="C284" s="2" t="s">
        <v>44</v>
      </c>
      <c r="D284" s="2">
        <v>442</v>
      </c>
      <c r="E284" s="2" t="s">
        <v>37</v>
      </c>
      <c r="F284" s="2">
        <v>2</v>
      </c>
      <c r="G284" s="2">
        <v>2</v>
      </c>
      <c r="H284" s="2" t="s">
        <v>38</v>
      </c>
      <c r="I284" s="2">
        <v>1</v>
      </c>
      <c r="J284" s="2">
        <v>388</v>
      </c>
      <c r="K284" s="2">
        <v>2</v>
      </c>
      <c r="L284" s="2" t="s">
        <v>46</v>
      </c>
      <c r="M284" s="2">
        <v>44</v>
      </c>
      <c r="N284" s="2">
        <v>3</v>
      </c>
      <c r="O284" s="2">
        <v>2</v>
      </c>
      <c r="P284" s="2" t="s">
        <v>40</v>
      </c>
      <c r="Q284" s="2">
        <v>4</v>
      </c>
      <c r="R284" s="2" t="s">
        <v>41</v>
      </c>
      <c r="S284" s="2">
        <v>4554</v>
      </c>
      <c r="T284" s="2">
        <v>20260</v>
      </c>
      <c r="U284" s="2">
        <v>1</v>
      </c>
      <c r="V284" s="2" t="s">
        <v>42</v>
      </c>
      <c r="W284" s="2" t="s">
        <v>43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</row>
    <row r="285" spans="1:35" x14ac:dyDescent="0.25">
      <c r="A285" s="2">
        <v>55</v>
      </c>
      <c r="B285" s="2" t="s">
        <v>43</v>
      </c>
      <c r="C285" s="2" t="s">
        <v>36</v>
      </c>
      <c r="D285" s="2">
        <v>147</v>
      </c>
      <c r="E285" s="2" t="s">
        <v>45</v>
      </c>
      <c r="F285" s="2">
        <v>20</v>
      </c>
      <c r="G285" s="2">
        <v>2</v>
      </c>
      <c r="H285" s="2" t="s">
        <v>60</v>
      </c>
      <c r="I285" s="2">
        <v>1</v>
      </c>
      <c r="J285" s="2">
        <v>389</v>
      </c>
      <c r="K285" s="2">
        <v>2</v>
      </c>
      <c r="L285" s="2" t="s">
        <v>46</v>
      </c>
      <c r="M285" s="2">
        <v>37</v>
      </c>
      <c r="N285" s="2">
        <v>3</v>
      </c>
      <c r="O285" s="2">
        <v>2</v>
      </c>
      <c r="P285" s="2" t="s">
        <v>50</v>
      </c>
      <c r="Q285" s="2">
        <v>4</v>
      </c>
      <c r="R285" s="2" t="s">
        <v>48</v>
      </c>
      <c r="S285" s="2">
        <v>5415</v>
      </c>
      <c r="T285" s="2">
        <v>15972</v>
      </c>
      <c r="U285" s="2">
        <v>3</v>
      </c>
      <c r="V285" s="2" t="s">
        <v>42</v>
      </c>
      <c r="W285" s="2" t="s">
        <v>35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</row>
    <row r="286" spans="1:35" x14ac:dyDescent="0.25">
      <c r="A286" s="2">
        <v>26</v>
      </c>
      <c r="B286" s="2" t="s">
        <v>43</v>
      </c>
      <c r="C286" s="2" t="s">
        <v>44</v>
      </c>
      <c r="D286" s="2">
        <v>496</v>
      </c>
      <c r="E286" s="2" t="s">
        <v>45</v>
      </c>
      <c r="F286" s="2">
        <v>11</v>
      </c>
      <c r="G286" s="2">
        <v>2</v>
      </c>
      <c r="H286" s="2" t="s">
        <v>51</v>
      </c>
      <c r="I286" s="2">
        <v>1</v>
      </c>
      <c r="J286" s="2">
        <v>390</v>
      </c>
      <c r="K286" s="2">
        <v>1</v>
      </c>
      <c r="L286" s="2" t="s">
        <v>46</v>
      </c>
      <c r="M286" s="2">
        <v>60</v>
      </c>
      <c r="N286" s="2">
        <v>3</v>
      </c>
      <c r="O286" s="2">
        <v>2</v>
      </c>
      <c r="P286" s="2" t="s">
        <v>54</v>
      </c>
      <c r="Q286" s="2">
        <v>1</v>
      </c>
      <c r="R286" s="2" t="s">
        <v>48</v>
      </c>
      <c r="S286" s="2">
        <v>4741</v>
      </c>
      <c r="T286" s="2">
        <v>22722</v>
      </c>
      <c r="U286" s="2">
        <v>1</v>
      </c>
      <c r="V286" s="2" t="s">
        <v>42</v>
      </c>
      <c r="W286" s="2" t="s">
        <v>35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</row>
    <row r="287" spans="1:35" x14ac:dyDescent="0.25">
      <c r="A287" s="2">
        <v>37</v>
      </c>
      <c r="B287" s="2" t="s">
        <v>43</v>
      </c>
      <c r="C287" s="2" t="s">
        <v>36</v>
      </c>
      <c r="D287" s="2">
        <v>1372</v>
      </c>
      <c r="E287" s="2" t="s">
        <v>45</v>
      </c>
      <c r="F287" s="2">
        <v>1</v>
      </c>
      <c r="G287" s="2">
        <v>3</v>
      </c>
      <c r="H287" s="2" t="s">
        <v>38</v>
      </c>
      <c r="I287" s="2">
        <v>1</v>
      </c>
      <c r="J287" s="2">
        <v>391</v>
      </c>
      <c r="K287" s="2">
        <v>4</v>
      </c>
      <c r="L287" s="2" t="s">
        <v>39</v>
      </c>
      <c r="M287" s="2">
        <v>42</v>
      </c>
      <c r="N287" s="2">
        <v>3</v>
      </c>
      <c r="O287" s="2">
        <v>1</v>
      </c>
      <c r="P287" s="2" t="s">
        <v>47</v>
      </c>
      <c r="Q287" s="2">
        <v>4</v>
      </c>
      <c r="R287" s="2" t="s">
        <v>41</v>
      </c>
      <c r="S287" s="2">
        <v>2115</v>
      </c>
      <c r="T287" s="2">
        <v>15881</v>
      </c>
      <c r="U287" s="2">
        <v>1</v>
      </c>
      <c r="V287" s="2" t="s">
        <v>42</v>
      </c>
      <c r="W287" s="2" t="s">
        <v>43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</row>
    <row r="288" spans="1:35" x14ac:dyDescent="0.25">
      <c r="A288" s="2">
        <v>44</v>
      </c>
      <c r="B288" s="2" t="s">
        <v>35</v>
      </c>
      <c r="C288" s="2" t="s">
        <v>44</v>
      </c>
      <c r="D288" s="2">
        <v>920</v>
      </c>
      <c r="E288" s="2" t="s">
        <v>45</v>
      </c>
      <c r="F288" s="2">
        <v>24</v>
      </c>
      <c r="G288" s="2">
        <v>3</v>
      </c>
      <c r="H288" s="2" t="s">
        <v>38</v>
      </c>
      <c r="I288" s="2">
        <v>1</v>
      </c>
      <c r="J288" s="2">
        <v>392</v>
      </c>
      <c r="K288" s="2">
        <v>4</v>
      </c>
      <c r="L288" s="2" t="s">
        <v>46</v>
      </c>
      <c r="M288" s="2">
        <v>43</v>
      </c>
      <c r="N288" s="2">
        <v>3</v>
      </c>
      <c r="O288" s="2">
        <v>1</v>
      </c>
      <c r="P288" s="2" t="s">
        <v>50</v>
      </c>
      <c r="Q288" s="2">
        <v>3</v>
      </c>
      <c r="R288" s="2" t="s">
        <v>52</v>
      </c>
      <c r="S288" s="2">
        <v>3161</v>
      </c>
      <c r="T288" s="2">
        <v>19920</v>
      </c>
      <c r="U288" s="2">
        <v>3</v>
      </c>
      <c r="V288" s="2" t="s">
        <v>42</v>
      </c>
      <c r="W288" s="2" t="s">
        <v>35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</row>
    <row r="289" spans="1:35" x14ac:dyDescent="0.25">
      <c r="A289" s="2">
        <v>38</v>
      </c>
      <c r="B289" s="2" t="s">
        <v>43</v>
      </c>
      <c r="C289" s="2" t="s">
        <v>36</v>
      </c>
      <c r="D289" s="2">
        <v>688</v>
      </c>
      <c r="E289" s="2" t="s">
        <v>45</v>
      </c>
      <c r="F289" s="2">
        <v>23</v>
      </c>
      <c r="G289" s="2">
        <v>4</v>
      </c>
      <c r="H289" s="2" t="s">
        <v>38</v>
      </c>
      <c r="I289" s="2">
        <v>1</v>
      </c>
      <c r="J289" s="2">
        <v>393</v>
      </c>
      <c r="K289" s="2">
        <v>4</v>
      </c>
      <c r="L289" s="2" t="s">
        <v>46</v>
      </c>
      <c r="M289" s="2">
        <v>82</v>
      </c>
      <c r="N289" s="2">
        <v>3</v>
      </c>
      <c r="O289" s="2">
        <v>2</v>
      </c>
      <c r="P289" s="2" t="s">
        <v>54</v>
      </c>
      <c r="Q289" s="2">
        <v>4</v>
      </c>
      <c r="R289" s="2" t="s">
        <v>52</v>
      </c>
      <c r="S289" s="2">
        <v>5745</v>
      </c>
      <c r="T289" s="2">
        <v>18899</v>
      </c>
      <c r="U289" s="2">
        <v>9</v>
      </c>
      <c r="V289" s="2" t="s">
        <v>42</v>
      </c>
      <c r="W289" s="2" t="s">
        <v>43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</row>
    <row r="290" spans="1:35" x14ac:dyDescent="0.25">
      <c r="A290" s="2">
        <v>26</v>
      </c>
      <c r="B290" s="2" t="s">
        <v>35</v>
      </c>
      <c r="C290" s="2" t="s">
        <v>36</v>
      </c>
      <c r="D290" s="2">
        <v>1449</v>
      </c>
      <c r="E290" s="2" t="s">
        <v>45</v>
      </c>
      <c r="F290" s="2">
        <v>16</v>
      </c>
      <c r="G290" s="2">
        <v>4</v>
      </c>
      <c r="H290" s="2" t="s">
        <v>51</v>
      </c>
      <c r="I290" s="2">
        <v>1</v>
      </c>
      <c r="J290" s="2">
        <v>394</v>
      </c>
      <c r="K290" s="2">
        <v>1</v>
      </c>
      <c r="L290" s="2" t="s">
        <v>46</v>
      </c>
      <c r="M290" s="2">
        <v>45</v>
      </c>
      <c r="N290" s="2">
        <v>3</v>
      </c>
      <c r="O290" s="2">
        <v>1</v>
      </c>
      <c r="P290" s="2" t="s">
        <v>50</v>
      </c>
      <c r="Q290" s="2">
        <v>2</v>
      </c>
      <c r="R290" s="2" t="s">
        <v>52</v>
      </c>
      <c r="S290" s="2">
        <v>2373</v>
      </c>
      <c r="T290" s="2">
        <v>14180</v>
      </c>
      <c r="U290" s="2">
        <v>2</v>
      </c>
      <c r="V290" s="2" t="s">
        <v>42</v>
      </c>
      <c r="W290" s="2" t="s">
        <v>35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</row>
    <row r="291" spans="1:35" x14ac:dyDescent="0.25">
      <c r="A291" s="2">
        <v>28</v>
      </c>
      <c r="B291" s="2" t="s">
        <v>43</v>
      </c>
      <c r="C291" s="2" t="s">
        <v>36</v>
      </c>
      <c r="D291" s="2">
        <v>1117</v>
      </c>
      <c r="E291" s="2" t="s">
        <v>45</v>
      </c>
      <c r="F291" s="2">
        <v>8</v>
      </c>
      <c r="G291" s="2">
        <v>2</v>
      </c>
      <c r="H291" s="2" t="s">
        <v>38</v>
      </c>
      <c r="I291" s="2">
        <v>1</v>
      </c>
      <c r="J291" s="2">
        <v>395</v>
      </c>
      <c r="K291" s="2">
        <v>4</v>
      </c>
      <c r="L291" s="2" t="s">
        <v>39</v>
      </c>
      <c r="M291" s="2">
        <v>66</v>
      </c>
      <c r="N291" s="2">
        <v>3</v>
      </c>
      <c r="O291" s="2">
        <v>1</v>
      </c>
      <c r="P291" s="2" t="s">
        <v>47</v>
      </c>
      <c r="Q291" s="2">
        <v>4</v>
      </c>
      <c r="R291" s="2" t="s">
        <v>41</v>
      </c>
      <c r="S291" s="2">
        <v>3310</v>
      </c>
      <c r="T291" s="2">
        <v>4488</v>
      </c>
      <c r="U291" s="2">
        <v>1</v>
      </c>
      <c r="V291" s="2" t="s">
        <v>42</v>
      </c>
      <c r="W291" s="2" t="s">
        <v>43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</row>
    <row r="292" spans="1:35" x14ac:dyDescent="0.25">
      <c r="A292" s="2">
        <v>49</v>
      </c>
      <c r="B292" s="2" t="s">
        <v>43</v>
      </c>
      <c r="C292" s="2" t="s">
        <v>44</v>
      </c>
      <c r="D292" s="2">
        <v>636</v>
      </c>
      <c r="E292" s="2" t="s">
        <v>45</v>
      </c>
      <c r="F292" s="2">
        <v>10</v>
      </c>
      <c r="G292" s="2">
        <v>4</v>
      </c>
      <c r="H292" s="2" t="s">
        <v>38</v>
      </c>
      <c r="I292" s="2">
        <v>1</v>
      </c>
      <c r="J292" s="2">
        <v>396</v>
      </c>
      <c r="K292" s="2">
        <v>3</v>
      </c>
      <c r="L292" s="2" t="s">
        <v>39</v>
      </c>
      <c r="M292" s="2">
        <v>35</v>
      </c>
      <c r="N292" s="2">
        <v>3</v>
      </c>
      <c r="O292" s="2">
        <v>5</v>
      </c>
      <c r="P292" s="2" t="s">
        <v>58</v>
      </c>
      <c r="Q292" s="2">
        <v>1</v>
      </c>
      <c r="R292" s="2" t="s">
        <v>41</v>
      </c>
      <c r="S292" s="2">
        <v>18665</v>
      </c>
      <c r="T292" s="2">
        <v>25594</v>
      </c>
      <c r="U292" s="2">
        <v>9</v>
      </c>
      <c r="V292" s="2" t="s">
        <v>42</v>
      </c>
      <c r="W292" s="2" t="s">
        <v>35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</row>
    <row r="293" spans="1:35" x14ac:dyDescent="0.25">
      <c r="A293" s="2">
        <v>36</v>
      </c>
      <c r="B293" s="2" t="s">
        <v>43</v>
      </c>
      <c r="C293" s="2" t="s">
        <v>36</v>
      </c>
      <c r="D293" s="2">
        <v>506</v>
      </c>
      <c r="E293" s="2" t="s">
        <v>45</v>
      </c>
      <c r="F293" s="2">
        <v>3</v>
      </c>
      <c r="G293" s="2">
        <v>3</v>
      </c>
      <c r="H293" s="2" t="s">
        <v>60</v>
      </c>
      <c r="I293" s="2">
        <v>1</v>
      </c>
      <c r="J293" s="2">
        <v>397</v>
      </c>
      <c r="K293" s="2">
        <v>3</v>
      </c>
      <c r="L293" s="2" t="s">
        <v>46</v>
      </c>
      <c r="M293" s="2">
        <v>30</v>
      </c>
      <c r="N293" s="2">
        <v>3</v>
      </c>
      <c r="O293" s="2">
        <v>2</v>
      </c>
      <c r="P293" s="2" t="s">
        <v>47</v>
      </c>
      <c r="Q293" s="2">
        <v>2</v>
      </c>
      <c r="R293" s="2" t="s">
        <v>41</v>
      </c>
      <c r="S293" s="2">
        <v>4485</v>
      </c>
      <c r="T293" s="2">
        <v>26285</v>
      </c>
      <c r="U293" s="2">
        <v>4</v>
      </c>
      <c r="V293" s="2" t="s">
        <v>42</v>
      </c>
      <c r="W293" s="2" t="s">
        <v>43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</row>
    <row r="294" spans="1:35" x14ac:dyDescent="0.25">
      <c r="A294" s="2">
        <v>31</v>
      </c>
      <c r="B294" s="2" t="s">
        <v>43</v>
      </c>
      <c r="C294" s="2" t="s">
        <v>44</v>
      </c>
      <c r="D294" s="2">
        <v>444</v>
      </c>
      <c r="E294" s="2" t="s">
        <v>37</v>
      </c>
      <c r="F294" s="2">
        <v>5</v>
      </c>
      <c r="G294" s="2">
        <v>3</v>
      </c>
      <c r="H294" s="2" t="s">
        <v>59</v>
      </c>
      <c r="I294" s="2">
        <v>1</v>
      </c>
      <c r="J294" s="2">
        <v>399</v>
      </c>
      <c r="K294" s="2">
        <v>4</v>
      </c>
      <c r="L294" s="2" t="s">
        <v>39</v>
      </c>
      <c r="M294" s="2">
        <v>84</v>
      </c>
      <c r="N294" s="2">
        <v>3</v>
      </c>
      <c r="O294" s="2">
        <v>1</v>
      </c>
      <c r="P294" s="2" t="s">
        <v>57</v>
      </c>
      <c r="Q294" s="2">
        <v>2</v>
      </c>
      <c r="R294" s="2" t="s">
        <v>52</v>
      </c>
      <c r="S294" s="2">
        <v>2789</v>
      </c>
      <c r="T294" s="2">
        <v>3909</v>
      </c>
      <c r="U294" s="2">
        <v>1</v>
      </c>
      <c r="V294" s="2" t="s">
        <v>42</v>
      </c>
      <c r="W294" s="2" t="s">
        <v>43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</row>
    <row r="295" spans="1:35" x14ac:dyDescent="0.25">
      <c r="A295" s="2">
        <v>26</v>
      </c>
      <c r="B295" s="2" t="s">
        <v>35</v>
      </c>
      <c r="C295" s="2" t="s">
        <v>36</v>
      </c>
      <c r="D295" s="2">
        <v>950</v>
      </c>
      <c r="E295" s="2" t="s">
        <v>37</v>
      </c>
      <c r="F295" s="2">
        <v>4</v>
      </c>
      <c r="G295" s="2">
        <v>4</v>
      </c>
      <c r="H295" s="2" t="s">
        <v>59</v>
      </c>
      <c r="I295" s="2">
        <v>1</v>
      </c>
      <c r="J295" s="2">
        <v>401</v>
      </c>
      <c r="K295" s="2">
        <v>4</v>
      </c>
      <c r="L295" s="2" t="s">
        <v>46</v>
      </c>
      <c r="M295" s="2">
        <v>48</v>
      </c>
      <c r="N295" s="2">
        <v>2</v>
      </c>
      <c r="O295" s="2">
        <v>2</v>
      </c>
      <c r="P295" s="2" t="s">
        <v>40</v>
      </c>
      <c r="Q295" s="2">
        <v>4</v>
      </c>
      <c r="R295" s="2" t="s">
        <v>41</v>
      </c>
      <c r="S295" s="2">
        <v>5828</v>
      </c>
      <c r="T295" s="2">
        <v>8450</v>
      </c>
      <c r="U295" s="2">
        <v>1</v>
      </c>
      <c r="V295" s="2" t="s">
        <v>42</v>
      </c>
      <c r="W295" s="2" t="s">
        <v>35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</row>
    <row r="296" spans="1:35" x14ac:dyDescent="0.25">
      <c r="A296" s="2">
        <v>37</v>
      </c>
      <c r="B296" s="2" t="s">
        <v>43</v>
      </c>
      <c r="C296" s="2" t="s">
        <v>44</v>
      </c>
      <c r="D296" s="2">
        <v>889</v>
      </c>
      <c r="E296" s="2" t="s">
        <v>45</v>
      </c>
      <c r="F296" s="2">
        <v>9</v>
      </c>
      <c r="G296" s="2">
        <v>3</v>
      </c>
      <c r="H296" s="2" t="s">
        <v>51</v>
      </c>
      <c r="I296" s="2">
        <v>1</v>
      </c>
      <c r="J296" s="2">
        <v>403</v>
      </c>
      <c r="K296" s="2">
        <v>2</v>
      </c>
      <c r="L296" s="2" t="s">
        <v>46</v>
      </c>
      <c r="M296" s="2">
        <v>53</v>
      </c>
      <c r="N296" s="2">
        <v>3</v>
      </c>
      <c r="O296" s="2">
        <v>1</v>
      </c>
      <c r="P296" s="2" t="s">
        <v>47</v>
      </c>
      <c r="Q296" s="2">
        <v>4</v>
      </c>
      <c r="R296" s="2" t="s">
        <v>48</v>
      </c>
      <c r="S296" s="2">
        <v>2326</v>
      </c>
      <c r="T296" s="2">
        <v>11411</v>
      </c>
      <c r="U296" s="2">
        <v>1</v>
      </c>
      <c r="V296" s="2" t="s">
        <v>42</v>
      </c>
      <c r="W296" s="2" t="s">
        <v>35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</row>
    <row r="297" spans="1:35" x14ac:dyDescent="0.25">
      <c r="A297" s="2">
        <v>42</v>
      </c>
      <c r="B297" s="2" t="s">
        <v>43</v>
      </c>
      <c r="C297" s="2" t="s">
        <v>44</v>
      </c>
      <c r="D297" s="2">
        <v>555</v>
      </c>
      <c r="E297" s="2" t="s">
        <v>37</v>
      </c>
      <c r="F297" s="2">
        <v>26</v>
      </c>
      <c r="G297" s="2">
        <v>3</v>
      </c>
      <c r="H297" s="2" t="s">
        <v>59</v>
      </c>
      <c r="I297" s="2">
        <v>1</v>
      </c>
      <c r="J297" s="2">
        <v>404</v>
      </c>
      <c r="K297" s="2">
        <v>3</v>
      </c>
      <c r="L297" s="2" t="s">
        <v>39</v>
      </c>
      <c r="M297" s="2">
        <v>77</v>
      </c>
      <c r="N297" s="2">
        <v>3</v>
      </c>
      <c r="O297" s="2">
        <v>4</v>
      </c>
      <c r="P297" s="2" t="s">
        <v>40</v>
      </c>
      <c r="Q297" s="2">
        <v>2</v>
      </c>
      <c r="R297" s="2" t="s">
        <v>48</v>
      </c>
      <c r="S297" s="2">
        <v>13525</v>
      </c>
      <c r="T297" s="2">
        <v>14864</v>
      </c>
      <c r="U297" s="2">
        <v>5</v>
      </c>
      <c r="V297" s="2" t="s">
        <v>42</v>
      </c>
      <c r="W297" s="2" t="s">
        <v>43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</row>
    <row r="298" spans="1:35" x14ac:dyDescent="0.25">
      <c r="A298" s="2">
        <v>18</v>
      </c>
      <c r="B298" s="2" t="s">
        <v>35</v>
      </c>
      <c r="C298" s="2" t="s">
        <v>36</v>
      </c>
      <c r="D298" s="2">
        <v>230</v>
      </c>
      <c r="E298" s="2" t="s">
        <v>45</v>
      </c>
      <c r="F298" s="2">
        <v>3</v>
      </c>
      <c r="G298" s="2">
        <v>3</v>
      </c>
      <c r="H298" s="2" t="s">
        <v>38</v>
      </c>
      <c r="I298" s="2">
        <v>1</v>
      </c>
      <c r="J298" s="2">
        <v>405</v>
      </c>
      <c r="K298" s="2">
        <v>3</v>
      </c>
      <c r="L298" s="2" t="s">
        <v>46</v>
      </c>
      <c r="M298" s="2">
        <v>54</v>
      </c>
      <c r="N298" s="2">
        <v>3</v>
      </c>
      <c r="O298" s="2">
        <v>1</v>
      </c>
      <c r="P298" s="2" t="s">
        <v>50</v>
      </c>
      <c r="Q298" s="2">
        <v>3</v>
      </c>
      <c r="R298" s="2" t="s">
        <v>41</v>
      </c>
      <c r="S298" s="2">
        <v>1420</v>
      </c>
      <c r="T298" s="2">
        <v>25233</v>
      </c>
      <c r="U298" s="2">
        <v>1</v>
      </c>
      <c r="V298" s="2" t="s">
        <v>42</v>
      </c>
      <c r="W298" s="2" t="s">
        <v>43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</row>
    <row r="299" spans="1:35" x14ac:dyDescent="0.25">
      <c r="A299" s="2">
        <v>35</v>
      </c>
      <c r="B299" s="2" t="s">
        <v>43</v>
      </c>
      <c r="C299" s="2" t="s">
        <v>36</v>
      </c>
      <c r="D299" s="2">
        <v>1232</v>
      </c>
      <c r="E299" s="2" t="s">
        <v>37</v>
      </c>
      <c r="F299" s="2">
        <v>16</v>
      </c>
      <c r="G299" s="2">
        <v>3</v>
      </c>
      <c r="H299" s="2" t="s">
        <v>59</v>
      </c>
      <c r="I299" s="2">
        <v>1</v>
      </c>
      <c r="J299" s="2">
        <v>406</v>
      </c>
      <c r="K299" s="2">
        <v>3</v>
      </c>
      <c r="L299" s="2" t="s">
        <v>46</v>
      </c>
      <c r="M299" s="2">
        <v>96</v>
      </c>
      <c r="N299" s="2">
        <v>3</v>
      </c>
      <c r="O299" s="2">
        <v>3</v>
      </c>
      <c r="P299" s="2" t="s">
        <v>40</v>
      </c>
      <c r="Q299" s="2">
        <v>2</v>
      </c>
      <c r="R299" s="2" t="s">
        <v>48</v>
      </c>
      <c r="S299" s="2">
        <v>8020</v>
      </c>
      <c r="T299" s="2">
        <v>5100</v>
      </c>
      <c r="U299" s="2">
        <v>0</v>
      </c>
      <c r="V299" s="2" t="s">
        <v>42</v>
      </c>
      <c r="W299" s="2" t="s">
        <v>43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</row>
    <row r="300" spans="1:35" x14ac:dyDescent="0.25">
      <c r="A300" s="2">
        <v>36</v>
      </c>
      <c r="B300" s="2" t="s">
        <v>43</v>
      </c>
      <c r="C300" s="2" t="s">
        <v>44</v>
      </c>
      <c r="D300" s="2">
        <v>566</v>
      </c>
      <c r="E300" s="2" t="s">
        <v>45</v>
      </c>
      <c r="F300" s="2">
        <v>18</v>
      </c>
      <c r="G300" s="2">
        <v>4</v>
      </c>
      <c r="H300" s="2" t="s">
        <v>38</v>
      </c>
      <c r="I300" s="2">
        <v>1</v>
      </c>
      <c r="J300" s="2">
        <v>407</v>
      </c>
      <c r="K300" s="2">
        <v>3</v>
      </c>
      <c r="L300" s="2" t="s">
        <v>46</v>
      </c>
      <c r="M300" s="2">
        <v>81</v>
      </c>
      <c r="N300" s="2">
        <v>4</v>
      </c>
      <c r="O300" s="2">
        <v>1</v>
      </c>
      <c r="P300" s="2" t="s">
        <v>50</v>
      </c>
      <c r="Q300" s="2">
        <v>4</v>
      </c>
      <c r="R300" s="2" t="s">
        <v>48</v>
      </c>
      <c r="S300" s="2">
        <v>3688</v>
      </c>
      <c r="T300" s="2">
        <v>7122</v>
      </c>
      <c r="U300" s="2">
        <v>4</v>
      </c>
      <c r="V300" s="2" t="s">
        <v>42</v>
      </c>
      <c r="W300" s="2" t="s">
        <v>43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</row>
    <row r="301" spans="1:35" x14ac:dyDescent="0.25">
      <c r="A301" s="2">
        <v>51</v>
      </c>
      <c r="B301" s="2" t="s">
        <v>43</v>
      </c>
      <c r="C301" s="2" t="s">
        <v>36</v>
      </c>
      <c r="D301" s="2">
        <v>1302</v>
      </c>
      <c r="E301" s="2" t="s">
        <v>45</v>
      </c>
      <c r="F301" s="2">
        <v>2</v>
      </c>
      <c r="G301" s="2">
        <v>3</v>
      </c>
      <c r="H301" s="2" t="s">
        <v>51</v>
      </c>
      <c r="I301" s="2">
        <v>1</v>
      </c>
      <c r="J301" s="2">
        <v>408</v>
      </c>
      <c r="K301" s="2">
        <v>4</v>
      </c>
      <c r="L301" s="2" t="s">
        <v>46</v>
      </c>
      <c r="M301" s="2">
        <v>84</v>
      </c>
      <c r="N301" s="2">
        <v>1</v>
      </c>
      <c r="O301" s="2">
        <v>2</v>
      </c>
      <c r="P301" s="2" t="s">
        <v>53</v>
      </c>
      <c r="Q301" s="2">
        <v>2</v>
      </c>
      <c r="R301" s="2" t="s">
        <v>52</v>
      </c>
      <c r="S301" s="2">
        <v>5482</v>
      </c>
      <c r="T301" s="2">
        <v>16321</v>
      </c>
      <c r="U301" s="2">
        <v>5</v>
      </c>
      <c r="V301" s="2" t="s">
        <v>42</v>
      </c>
      <c r="W301" s="2" t="s">
        <v>43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</row>
    <row r="302" spans="1:35" x14ac:dyDescent="0.25">
      <c r="A302" s="2">
        <v>41</v>
      </c>
      <c r="B302" s="2" t="s">
        <v>43</v>
      </c>
      <c r="C302" s="2" t="s">
        <v>36</v>
      </c>
      <c r="D302" s="2">
        <v>334</v>
      </c>
      <c r="E302" s="2" t="s">
        <v>37</v>
      </c>
      <c r="F302" s="2">
        <v>2</v>
      </c>
      <c r="G302" s="2">
        <v>4</v>
      </c>
      <c r="H302" s="2" t="s">
        <v>38</v>
      </c>
      <c r="I302" s="2">
        <v>1</v>
      </c>
      <c r="J302" s="2">
        <v>410</v>
      </c>
      <c r="K302" s="2">
        <v>4</v>
      </c>
      <c r="L302" s="2" t="s">
        <v>46</v>
      </c>
      <c r="M302" s="2">
        <v>88</v>
      </c>
      <c r="N302" s="2">
        <v>3</v>
      </c>
      <c r="O302" s="2">
        <v>4</v>
      </c>
      <c r="P302" s="2" t="s">
        <v>56</v>
      </c>
      <c r="Q302" s="2">
        <v>2</v>
      </c>
      <c r="R302" s="2" t="s">
        <v>41</v>
      </c>
      <c r="S302" s="2">
        <v>16015</v>
      </c>
      <c r="T302" s="2">
        <v>15896</v>
      </c>
      <c r="U302" s="2">
        <v>1</v>
      </c>
      <c r="V302" s="2" t="s">
        <v>42</v>
      </c>
      <c r="W302" s="2" t="s">
        <v>43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</row>
    <row r="303" spans="1:35" x14ac:dyDescent="0.25">
      <c r="A303" s="2">
        <v>18</v>
      </c>
      <c r="B303" s="2" t="s">
        <v>43</v>
      </c>
      <c r="C303" s="2" t="s">
        <v>36</v>
      </c>
      <c r="D303" s="2">
        <v>812</v>
      </c>
      <c r="E303" s="2" t="s">
        <v>37</v>
      </c>
      <c r="F303" s="2">
        <v>10</v>
      </c>
      <c r="G303" s="2">
        <v>3</v>
      </c>
      <c r="H303" s="2" t="s">
        <v>51</v>
      </c>
      <c r="I303" s="2">
        <v>1</v>
      </c>
      <c r="J303" s="2">
        <v>411</v>
      </c>
      <c r="K303" s="2">
        <v>4</v>
      </c>
      <c r="L303" s="2" t="s">
        <v>39</v>
      </c>
      <c r="M303" s="2">
        <v>69</v>
      </c>
      <c r="N303" s="2">
        <v>2</v>
      </c>
      <c r="O303" s="2">
        <v>1</v>
      </c>
      <c r="P303" s="2" t="s">
        <v>57</v>
      </c>
      <c r="Q303" s="2">
        <v>3</v>
      </c>
      <c r="R303" s="2" t="s">
        <v>41</v>
      </c>
      <c r="S303" s="2">
        <v>1200</v>
      </c>
      <c r="T303" s="2">
        <v>9724</v>
      </c>
      <c r="U303" s="2">
        <v>1</v>
      </c>
      <c r="V303" s="2" t="s">
        <v>42</v>
      </c>
      <c r="W303" s="2" t="s">
        <v>43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</row>
    <row r="304" spans="1:35" x14ac:dyDescent="0.25">
      <c r="A304" s="2">
        <v>28</v>
      </c>
      <c r="B304" s="2" t="s">
        <v>43</v>
      </c>
      <c r="C304" s="2" t="s">
        <v>36</v>
      </c>
      <c r="D304" s="2">
        <v>1476</v>
      </c>
      <c r="E304" s="2" t="s">
        <v>45</v>
      </c>
      <c r="F304" s="2">
        <v>16</v>
      </c>
      <c r="G304" s="2">
        <v>2</v>
      </c>
      <c r="H304" s="2" t="s">
        <v>51</v>
      </c>
      <c r="I304" s="2">
        <v>1</v>
      </c>
      <c r="J304" s="2">
        <v>412</v>
      </c>
      <c r="K304" s="2">
        <v>2</v>
      </c>
      <c r="L304" s="2" t="s">
        <v>46</v>
      </c>
      <c r="M304" s="2">
        <v>68</v>
      </c>
      <c r="N304" s="2">
        <v>4</v>
      </c>
      <c r="O304" s="2">
        <v>2</v>
      </c>
      <c r="P304" s="2" t="s">
        <v>54</v>
      </c>
      <c r="Q304" s="2">
        <v>1</v>
      </c>
      <c r="R304" s="2" t="s">
        <v>41</v>
      </c>
      <c r="S304" s="2">
        <v>5661</v>
      </c>
      <c r="T304" s="2">
        <v>4824</v>
      </c>
      <c r="U304" s="2">
        <v>0</v>
      </c>
      <c r="V304" s="2" t="s">
        <v>42</v>
      </c>
      <c r="W304" s="2" t="s">
        <v>43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</row>
    <row r="305" spans="1:35" x14ac:dyDescent="0.25">
      <c r="A305" s="2">
        <v>31</v>
      </c>
      <c r="B305" s="2" t="s">
        <v>43</v>
      </c>
      <c r="C305" s="2" t="s">
        <v>36</v>
      </c>
      <c r="D305" s="2">
        <v>218</v>
      </c>
      <c r="E305" s="2" t="s">
        <v>37</v>
      </c>
      <c r="F305" s="2">
        <v>7</v>
      </c>
      <c r="G305" s="2">
        <v>3</v>
      </c>
      <c r="H305" s="2" t="s">
        <v>60</v>
      </c>
      <c r="I305" s="2">
        <v>1</v>
      </c>
      <c r="J305" s="2">
        <v>416</v>
      </c>
      <c r="K305" s="2">
        <v>2</v>
      </c>
      <c r="L305" s="2" t="s">
        <v>46</v>
      </c>
      <c r="M305" s="2">
        <v>100</v>
      </c>
      <c r="N305" s="2">
        <v>4</v>
      </c>
      <c r="O305" s="2">
        <v>2</v>
      </c>
      <c r="P305" s="2" t="s">
        <v>40</v>
      </c>
      <c r="Q305" s="2">
        <v>4</v>
      </c>
      <c r="R305" s="2" t="s">
        <v>48</v>
      </c>
      <c r="S305" s="2">
        <v>6929</v>
      </c>
      <c r="T305" s="2">
        <v>12241</v>
      </c>
      <c r="U305" s="2">
        <v>4</v>
      </c>
      <c r="V305" s="2" t="s">
        <v>42</v>
      </c>
      <c r="W305" s="2" t="s">
        <v>43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</row>
    <row r="306" spans="1:35" x14ac:dyDescent="0.25">
      <c r="A306" s="2">
        <v>39</v>
      </c>
      <c r="B306" s="2" t="s">
        <v>43</v>
      </c>
      <c r="C306" s="2" t="s">
        <v>36</v>
      </c>
      <c r="D306" s="2">
        <v>1132</v>
      </c>
      <c r="E306" s="2" t="s">
        <v>45</v>
      </c>
      <c r="F306" s="2">
        <v>1</v>
      </c>
      <c r="G306" s="2">
        <v>3</v>
      </c>
      <c r="H306" s="2" t="s">
        <v>51</v>
      </c>
      <c r="I306" s="2">
        <v>1</v>
      </c>
      <c r="J306" s="2">
        <v>417</v>
      </c>
      <c r="K306" s="2">
        <v>3</v>
      </c>
      <c r="L306" s="2" t="s">
        <v>46</v>
      </c>
      <c r="M306" s="2">
        <v>48</v>
      </c>
      <c r="N306" s="2">
        <v>4</v>
      </c>
      <c r="O306" s="2">
        <v>3</v>
      </c>
      <c r="P306" s="2" t="s">
        <v>54</v>
      </c>
      <c r="Q306" s="2">
        <v>4</v>
      </c>
      <c r="R306" s="2" t="s">
        <v>52</v>
      </c>
      <c r="S306" s="2">
        <v>9613</v>
      </c>
      <c r="T306" s="2">
        <v>10942</v>
      </c>
      <c r="U306" s="2">
        <v>0</v>
      </c>
      <c r="V306" s="2" t="s">
        <v>42</v>
      </c>
      <c r="W306" s="2" t="s">
        <v>43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</row>
    <row r="307" spans="1:35" x14ac:dyDescent="0.25">
      <c r="A307" s="2">
        <v>36</v>
      </c>
      <c r="B307" s="2" t="s">
        <v>43</v>
      </c>
      <c r="C307" s="2" t="s">
        <v>55</v>
      </c>
      <c r="D307" s="2">
        <v>1105</v>
      </c>
      <c r="E307" s="2" t="s">
        <v>45</v>
      </c>
      <c r="F307" s="2">
        <v>24</v>
      </c>
      <c r="G307" s="2">
        <v>4</v>
      </c>
      <c r="H307" s="2" t="s">
        <v>38</v>
      </c>
      <c r="I307" s="2">
        <v>1</v>
      </c>
      <c r="J307" s="2">
        <v>419</v>
      </c>
      <c r="K307" s="2">
        <v>2</v>
      </c>
      <c r="L307" s="2" t="s">
        <v>39</v>
      </c>
      <c r="M307" s="2">
        <v>47</v>
      </c>
      <c r="N307" s="2">
        <v>3</v>
      </c>
      <c r="O307" s="2">
        <v>2</v>
      </c>
      <c r="P307" s="2" t="s">
        <v>50</v>
      </c>
      <c r="Q307" s="2">
        <v>2</v>
      </c>
      <c r="R307" s="2" t="s">
        <v>48</v>
      </c>
      <c r="S307" s="2">
        <v>5674</v>
      </c>
      <c r="T307" s="2">
        <v>6927</v>
      </c>
      <c r="U307" s="2">
        <v>7</v>
      </c>
      <c r="V307" s="2" t="s">
        <v>42</v>
      </c>
      <c r="W307" s="2" t="s">
        <v>43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</row>
    <row r="308" spans="1:35" x14ac:dyDescent="0.25">
      <c r="A308" s="2">
        <v>32</v>
      </c>
      <c r="B308" s="2" t="s">
        <v>43</v>
      </c>
      <c r="C308" s="2" t="s">
        <v>36</v>
      </c>
      <c r="D308" s="2">
        <v>906</v>
      </c>
      <c r="E308" s="2" t="s">
        <v>37</v>
      </c>
      <c r="F308" s="2">
        <v>7</v>
      </c>
      <c r="G308" s="2">
        <v>3</v>
      </c>
      <c r="H308" s="2" t="s">
        <v>38</v>
      </c>
      <c r="I308" s="2">
        <v>1</v>
      </c>
      <c r="J308" s="2">
        <v>420</v>
      </c>
      <c r="K308" s="2">
        <v>4</v>
      </c>
      <c r="L308" s="2" t="s">
        <v>46</v>
      </c>
      <c r="M308" s="2">
        <v>91</v>
      </c>
      <c r="N308" s="2">
        <v>2</v>
      </c>
      <c r="O308" s="2">
        <v>2</v>
      </c>
      <c r="P308" s="2" t="s">
        <v>40</v>
      </c>
      <c r="Q308" s="2">
        <v>3</v>
      </c>
      <c r="R308" s="2" t="s">
        <v>48</v>
      </c>
      <c r="S308" s="2">
        <v>5484</v>
      </c>
      <c r="T308" s="2">
        <v>16985</v>
      </c>
      <c r="U308" s="2">
        <v>1</v>
      </c>
      <c r="V308" s="2" t="s">
        <v>42</v>
      </c>
      <c r="W308" s="2" t="s">
        <v>43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</row>
    <row r="309" spans="1:35" x14ac:dyDescent="0.25">
      <c r="A309" s="2">
        <v>38</v>
      </c>
      <c r="B309" s="2" t="s">
        <v>43</v>
      </c>
      <c r="C309" s="2" t="s">
        <v>36</v>
      </c>
      <c r="D309" s="2">
        <v>849</v>
      </c>
      <c r="E309" s="2" t="s">
        <v>45</v>
      </c>
      <c r="F309" s="2">
        <v>25</v>
      </c>
      <c r="G309" s="2">
        <v>2</v>
      </c>
      <c r="H309" s="2" t="s">
        <v>38</v>
      </c>
      <c r="I309" s="2">
        <v>1</v>
      </c>
      <c r="J309" s="2">
        <v>421</v>
      </c>
      <c r="K309" s="2">
        <v>1</v>
      </c>
      <c r="L309" s="2" t="s">
        <v>39</v>
      </c>
      <c r="M309" s="2">
        <v>81</v>
      </c>
      <c r="N309" s="2">
        <v>2</v>
      </c>
      <c r="O309" s="2">
        <v>3</v>
      </c>
      <c r="P309" s="2" t="s">
        <v>58</v>
      </c>
      <c r="Q309" s="2">
        <v>2</v>
      </c>
      <c r="R309" s="2" t="s">
        <v>48</v>
      </c>
      <c r="S309" s="2">
        <v>12061</v>
      </c>
      <c r="T309" s="2">
        <v>26707</v>
      </c>
      <c r="U309" s="2">
        <v>3</v>
      </c>
      <c r="V309" s="2" t="s">
        <v>42</v>
      </c>
      <c r="W309" s="2" t="s">
        <v>43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</row>
    <row r="310" spans="1:35" x14ac:dyDescent="0.25">
      <c r="A310" s="2">
        <v>58</v>
      </c>
      <c r="B310" s="2" t="s">
        <v>43</v>
      </c>
      <c r="C310" s="2" t="s">
        <v>55</v>
      </c>
      <c r="D310" s="2">
        <v>390</v>
      </c>
      <c r="E310" s="2" t="s">
        <v>45</v>
      </c>
      <c r="F310" s="2">
        <v>1</v>
      </c>
      <c r="G310" s="2">
        <v>4</v>
      </c>
      <c r="H310" s="2" t="s">
        <v>38</v>
      </c>
      <c r="I310" s="2">
        <v>1</v>
      </c>
      <c r="J310" s="2">
        <v>422</v>
      </c>
      <c r="K310" s="2">
        <v>4</v>
      </c>
      <c r="L310" s="2" t="s">
        <v>46</v>
      </c>
      <c r="M310" s="2">
        <v>32</v>
      </c>
      <c r="N310" s="2">
        <v>1</v>
      </c>
      <c r="O310" s="2">
        <v>2</v>
      </c>
      <c r="P310" s="2" t="s">
        <v>54</v>
      </c>
      <c r="Q310" s="2">
        <v>3</v>
      </c>
      <c r="R310" s="2" t="s">
        <v>52</v>
      </c>
      <c r="S310" s="2">
        <v>5660</v>
      </c>
      <c r="T310" s="2">
        <v>17056</v>
      </c>
      <c r="U310" s="2">
        <v>2</v>
      </c>
      <c r="V310" s="2" t="s">
        <v>42</v>
      </c>
      <c r="W310" s="2" t="s">
        <v>35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</row>
    <row r="311" spans="1:35" x14ac:dyDescent="0.25">
      <c r="A311" s="2">
        <v>31</v>
      </c>
      <c r="B311" s="2" t="s">
        <v>43</v>
      </c>
      <c r="C311" s="2" t="s">
        <v>36</v>
      </c>
      <c r="D311" s="2">
        <v>691</v>
      </c>
      <c r="E311" s="2" t="s">
        <v>45</v>
      </c>
      <c r="F311" s="2">
        <v>5</v>
      </c>
      <c r="G311" s="2">
        <v>4</v>
      </c>
      <c r="H311" s="2" t="s">
        <v>60</v>
      </c>
      <c r="I311" s="2">
        <v>1</v>
      </c>
      <c r="J311" s="2">
        <v>423</v>
      </c>
      <c r="K311" s="2">
        <v>3</v>
      </c>
      <c r="L311" s="2" t="s">
        <v>46</v>
      </c>
      <c r="M311" s="2">
        <v>86</v>
      </c>
      <c r="N311" s="2">
        <v>3</v>
      </c>
      <c r="O311" s="2">
        <v>1</v>
      </c>
      <c r="P311" s="2" t="s">
        <v>47</v>
      </c>
      <c r="Q311" s="2">
        <v>4</v>
      </c>
      <c r="R311" s="2" t="s">
        <v>48</v>
      </c>
      <c r="S311" s="2">
        <v>4821</v>
      </c>
      <c r="T311" s="2">
        <v>10077</v>
      </c>
      <c r="U311" s="2">
        <v>0</v>
      </c>
      <c r="V311" s="2" t="s">
        <v>42</v>
      </c>
      <c r="W311" s="2" t="s">
        <v>35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</row>
    <row r="312" spans="1:35" x14ac:dyDescent="0.25">
      <c r="A312" s="2">
        <v>31</v>
      </c>
      <c r="B312" s="2" t="s">
        <v>43</v>
      </c>
      <c r="C312" s="2" t="s">
        <v>36</v>
      </c>
      <c r="D312" s="2">
        <v>106</v>
      </c>
      <c r="E312" s="2" t="s">
        <v>61</v>
      </c>
      <c r="F312" s="2">
        <v>2</v>
      </c>
      <c r="G312" s="2">
        <v>3</v>
      </c>
      <c r="H312" s="2" t="s">
        <v>61</v>
      </c>
      <c r="I312" s="2">
        <v>1</v>
      </c>
      <c r="J312" s="2">
        <v>424</v>
      </c>
      <c r="K312" s="2">
        <v>1</v>
      </c>
      <c r="L312" s="2" t="s">
        <v>46</v>
      </c>
      <c r="M312" s="2">
        <v>62</v>
      </c>
      <c r="N312" s="2">
        <v>2</v>
      </c>
      <c r="O312" s="2">
        <v>2</v>
      </c>
      <c r="P312" s="2" t="s">
        <v>61</v>
      </c>
      <c r="Q312" s="2">
        <v>1</v>
      </c>
      <c r="R312" s="2" t="s">
        <v>48</v>
      </c>
      <c r="S312" s="2">
        <v>6410</v>
      </c>
      <c r="T312" s="2">
        <v>17822</v>
      </c>
      <c r="U312" s="2">
        <v>3</v>
      </c>
      <c r="V312" s="2" t="s">
        <v>42</v>
      </c>
      <c r="W312" s="2" t="s">
        <v>43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</row>
    <row r="313" spans="1:35" x14ac:dyDescent="0.25">
      <c r="A313" s="2">
        <v>45</v>
      </c>
      <c r="B313" s="2" t="s">
        <v>43</v>
      </c>
      <c r="C313" s="2" t="s">
        <v>44</v>
      </c>
      <c r="D313" s="2">
        <v>1249</v>
      </c>
      <c r="E313" s="2" t="s">
        <v>45</v>
      </c>
      <c r="F313" s="2">
        <v>7</v>
      </c>
      <c r="G313" s="2">
        <v>3</v>
      </c>
      <c r="H313" s="2" t="s">
        <v>38</v>
      </c>
      <c r="I313" s="2">
        <v>1</v>
      </c>
      <c r="J313" s="2">
        <v>425</v>
      </c>
      <c r="K313" s="2">
        <v>1</v>
      </c>
      <c r="L313" s="2" t="s">
        <v>46</v>
      </c>
      <c r="M313" s="2">
        <v>97</v>
      </c>
      <c r="N313" s="2">
        <v>3</v>
      </c>
      <c r="O313" s="2">
        <v>3</v>
      </c>
      <c r="P313" s="2" t="s">
        <v>50</v>
      </c>
      <c r="Q313" s="2">
        <v>1</v>
      </c>
      <c r="R313" s="2" t="s">
        <v>52</v>
      </c>
      <c r="S313" s="2">
        <v>5210</v>
      </c>
      <c r="T313" s="2">
        <v>20308</v>
      </c>
      <c r="U313" s="2">
        <v>1</v>
      </c>
      <c r="V313" s="2" t="s">
        <v>42</v>
      </c>
      <c r="W313" s="2" t="s">
        <v>43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</row>
    <row r="314" spans="1:35" x14ac:dyDescent="0.25">
      <c r="A314" s="2">
        <v>31</v>
      </c>
      <c r="B314" s="2" t="s">
        <v>43</v>
      </c>
      <c r="C314" s="2" t="s">
        <v>36</v>
      </c>
      <c r="D314" s="2">
        <v>192</v>
      </c>
      <c r="E314" s="2" t="s">
        <v>45</v>
      </c>
      <c r="F314" s="2">
        <v>2</v>
      </c>
      <c r="G314" s="2">
        <v>4</v>
      </c>
      <c r="H314" s="2" t="s">
        <v>38</v>
      </c>
      <c r="I314" s="2">
        <v>1</v>
      </c>
      <c r="J314" s="2">
        <v>426</v>
      </c>
      <c r="K314" s="2">
        <v>3</v>
      </c>
      <c r="L314" s="2" t="s">
        <v>46</v>
      </c>
      <c r="M314" s="2">
        <v>32</v>
      </c>
      <c r="N314" s="2">
        <v>3</v>
      </c>
      <c r="O314" s="2">
        <v>1</v>
      </c>
      <c r="P314" s="2" t="s">
        <v>47</v>
      </c>
      <c r="Q314" s="2">
        <v>4</v>
      </c>
      <c r="R314" s="2" t="s">
        <v>52</v>
      </c>
      <c r="S314" s="2">
        <v>2695</v>
      </c>
      <c r="T314" s="2">
        <v>7747</v>
      </c>
      <c r="U314" s="2">
        <v>0</v>
      </c>
      <c r="V314" s="2" t="s">
        <v>42</v>
      </c>
      <c r="W314" s="2" t="s">
        <v>35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</row>
    <row r="315" spans="1:35" x14ac:dyDescent="0.25">
      <c r="A315" s="2">
        <v>33</v>
      </c>
      <c r="B315" s="2" t="s">
        <v>43</v>
      </c>
      <c r="C315" s="2" t="s">
        <v>44</v>
      </c>
      <c r="D315" s="2">
        <v>553</v>
      </c>
      <c r="E315" s="2" t="s">
        <v>45</v>
      </c>
      <c r="F315" s="2">
        <v>5</v>
      </c>
      <c r="G315" s="2">
        <v>4</v>
      </c>
      <c r="H315" s="2" t="s">
        <v>38</v>
      </c>
      <c r="I315" s="2">
        <v>1</v>
      </c>
      <c r="J315" s="2">
        <v>428</v>
      </c>
      <c r="K315" s="2">
        <v>4</v>
      </c>
      <c r="L315" s="2" t="s">
        <v>39</v>
      </c>
      <c r="M315" s="2">
        <v>74</v>
      </c>
      <c r="N315" s="2">
        <v>3</v>
      </c>
      <c r="O315" s="2">
        <v>3</v>
      </c>
      <c r="P315" s="2" t="s">
        <v>56</v>
      </c>
      <c r="Q315" s="2">
        <v>2</v>
      </c>
      <c r="R315" s="2" t="s">
        <v>48</v>
      </c>
      <c r="S315" s="2">
        <v>11878</v>
      </c>
      <c r="T315" s="2">
        <v>23364</v>
      </c>
      <c r="U315" s="2">
        <v>6</v>
      </c>
      <c r="V315" s="2" t="s">
        <v>42</v>
      </c>
      <c r="W315" s="2" t="s">
        <v>43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</row>
    <row r="316" spans="1:35" x14ac:dyDescent="0.25">
      <c r="A316" s="2">
        <v>39</v>
      </c>
      <c r="B316" s="2" t="s">
        <v>43</v>
      </c>
      <c r="C316" s="2" t="s">
        <v>36</v>
      </c>
      <c r="D316" s="2">
        <v>117</v>
      </c>
      <c r="E316" s="2" t="s">
        <v>45</v>
      </c>
      <c r="F316" s="2">
        <v>10</v>
      </c>
      <c r="G316" s="2">
        <v>1</v>
      </c>
      <c r="H316" s="2" t="s">
        <v>51</v>
      </c>
      <c r="I316" s="2">
        <v>1</v>
      </c>
      <c r="J316" s="2">
        <v>429</v>
      </c>
      <c r="K316" s="2">
        <v>3</v>
      </c>
      <c r="L316" s="2" t="s">
        <v>46</v>
      </c>
      <c r="M316" s="2">
        <v>99</v>
      </c>
      <c r="N316" s="2">
        <v>3</v>
      </c>
      <c r="O316" s="2">
        <v>4</v>
      </c>
      <c r="P316" s="2" t="s">
        <v>56</v>
      </c>
      <c r="Q316" s="2">
        <v>1</v>
      </c>
      <c r="R316" s="2" t="s">
        <v>48</v>
      </c>
      <c r="S316" s="2">
        <v>17068</v>
      </c>
      <c r="T316" s="2">
        <v>5355</v>
      </c>
      <c r="U316" s="2">
        <v>1</v>
      </c>
      <c r="V316" s="2" t="s">
        <v>42</v>
      </c>
      <c r="W316" s="2" t="s">
        <v>35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</row>
    <row r="317" spans="1:35" x14ac:dyDescent="0.25">
      <c r="A317" s="2">
        <v>43</v>
      </c>
      <c r="B317" s="2" t="s">
        <v>43</v>
      </c>
      <c r="C317" s="2" t="s">
        <v>44</v>
      </c>
      <c r="D317" s="2">
        <v>185</v>
      </c>
      <c r="E317" s="2" t="s">
        <v>45</v>
      </c>
      <c r="F317" s="2">
        <v>10</v>
      </c>
      <c r="G317" s="2">
        <v>4</v>
      </c>
      <c r="H317" s="2" t="s">
        <v>38</v>
      </c>
      <c r="I317" s="2">
        <v>1</v>
      </c>
      <c r="J317" s="2">
        <v>430</v>
      </c>
      <c r="K317" s="2">
        <v>3</v>
      </c>
      <c r="L317" s="2" t="s">
        <v>39</v>
      </c>
      <c r="M317" s="2">
        <v>33</v>
      </c>
      <c r="N317" s="2">
        <v>3</v>
      </c>
      <c r="O317" s="2">
        <v>1</v>
      </c>
      <c r="P317" s="2" t="s">
        <v>50</v>
      </c>
      <c r="Q317" s="2">
        <v>4</v>
      </c>
      <c r="R317" s="2" t="s">
        <v>41</v>
      </c>
      <c r="S317" s="2">
        <v>2455</v>
      </c>
      <c r="T317" s="2">
        <v>10675</v>
      </c>
      <c r="U317" s="2">
        <v>0</v>
      </c>
      <c r="V317" s="2" t="s">
        <v>42</v>
      </c>
      <c r="W317" s="2" t="s">
        <v>43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</row>
    <row r="318" spans="1:35" x14ac:dyDescent="0.25">
      <c r="A318" s="2">
        <v>49</v>
      </c>
      <c r="B318" s="2" t="s">
        <v>43</v>
      </c>
      <c r="C318" s="2" t="s">
        <v>36</v>
      </c>
      <c r="D318" s="2">
        <v>1091</v>
      </c>
      <c r="E318" s="2" t="s">
        <v>45</v>
      </c>
      <c r="F318" s="2">
        <v>1</v>
      </c>
      <c r="G318" s="2">
        <v>2</v>
      </c>
      <c r="H318" s="2" t="s">
        <v>60</v>
      </c>
      <c r="I318" s="2">
        <v>1</v>
      </c>
      <c r="J318" s="2">
        <v>431</v>
      </c>
      <c r="K318" s="2">
        <v>3</v>
      </c>
      <c r="L318" s="2" t="s">
        <v>39</v>
      </c>
      <c r="M318" s="2">
        <v>90</v>
      </c>
      <c r="N318" s="2">
        <v>2</v>
      </c>
      <c r="O318" s="2">
        <v>4</v>
      </c>
      <c r="P318" s="2" t="s">
        <v>54</v>
      </c>
      <c r="Q318" s="2">
        <v>3</v>
      </c>
      <c r="R318" s="2" t="s">
        <v>41</v>
      </c>
      <c r="S318" s="2">
        <v>13964</v>
      </c>
      <c r="T318" s="2">
        <v>17810</v>
      </c>
      <c r="U318" s="2">
        <v>7</v>
      </c>
      <c r="V318" s="2" t="s">
        <v>42</v>
      </c>
      <c r="W318" s="2" t="s">
        <v>35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</row>
    <row r="319" spans="1:35" x14ac:dyDescent="0.25">
      <c r="A319" s="2">
        <v>52</v>
      </c>
      <c r="B319" s="2" t="s">
        <v>35</v>
      </c>
      <c r="C319" s="2" t="s">
        <v>36</v>
      </c>
      <c r="D319" s="2">
        <v>723</v>
      </c>
      <c r="E319" s="2" t="s">
        <v>45</v>
      </c>
      <c r="F319" s="2">
        <v>8</v>
      </c>
      <c r="G319" s="2">
        <v>4</v>
      </c>
      <c r="H319" s="2" t="s">
        <v>51</v>
      </c>
      <c r="I319" s="2">
        <v>1</v>
      </c>
      <c r="J319" s="2">
        <v>433</v>
      </c>
      <c r="K319" s="2">
        <v>3</v>
      </c>
      <c r="L319" s="2" t="s">
        <v>46</v>
      </c>
      <c r="M319" s="2">
        <v>85</v>
      </c>
      <c r="N319" s="2">
        <v>2</v>
      </c>
      <c r="O319" s="2">
        <v>2</v>
      </c>
      <c r="P319" s="2" t="s">
        <v>47</v>
      </c>
      <c r="Q319" s="2">
        <v>2</v>
      </c>
      <c r="R319" s="2" t="s">
        <v>48</v>
      </c>
      <c r="S319" s="2">
        <v>4941</v>
      </c>
      <c r="T319" s="2">
        <v>17747</v>
      </c>
      <c r="U319" s="2">
        <v>2</v>
      </c>
      <c r="V319" s="2" t="s">
        <v>42</v>
      </c>
      <c r="W319" s="2" t="s">
        <v>43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</row>
    <row r="320" spans="1:35" x14ac:dyDescent="0.25">
      <c r="A320" s="2">
        <v>27</v>
      </c>
      <c r="B320" s="2" t="s">
        <v>43</v>
      </c>
      <c r="C320" s="2" t="s">
        <v>36</v>
      </c>
      <c r="D320" s="2">
        <v>1220</v>
      </c>
      <c r="E320" s="2" t="s">
        <v>45</v>
      </c>
      <c r="F320" s="2">
        <v>5</v>
      </c>
      <c r="G320" s="2">
        <v>3</v>
      </c>
      <c r="H320" s="2" t="s">
        <v>38</v>
      </c>
      <c r="I320" s="2">
        <v>1</v>
      </c>
      <c r="J320" s="2">
        <v>434</v>
      </c>
      <c r="K320" s="2">
        <v>3</v>
      </c>
      <c r="L320" s="2" t="s">
        <v>39</v>
      </c>
      <c r="M320" s="2">
        <v>85</v>
      </c>
      <c r="N320" s="2">
        <v>3</v>
      </c>
      <c r="O320" s="2">
        <v>1</v>
      </c>
      <c r="P320" s="2" t="s">
        <v>47</v>
      </c>
      <c r="Q320" s="2">
        <v>2</v>
      </c>
      <c r="R320" s="2" t="s">
        <v>41</v>
      </c>
      <c r="S320" s="2">
        <v>2478</v>
      </c>
      <c r="T320" s="2">
        <v>20938</v>
      </c>
      <c r="U320" s="2">
        <v>1</v>
      </c>
      <c r="V320" s="2" t="s">
        <v>42</v>
      </c>
      <c r="W320" s="2" t="s">
        <v>35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</row>
    <row r="321" spans="1:35" x14ac:dyDescent="0.25">
      <c r="A321" s="2">
        <v>32</v>
      </c>
      <c r="B321" s="2" t="s">
        <v>43</v>
      </c>
      <c r="C321" s="2" t="s">
        <v>36</v>
      </c>
      <c r="D321" s="2">
        <v>588</v>
      </c>
      <c r="E321" s="2" t="s">
        <v>37</v>
      </c>
      <c r="F321" s="2">
        <v>8</v>
      </c>
      <c r="G321" s="2">
        <v>2</v>
      </c>
      <c r="H321" s="2" t="s">
        <v>60</v>
      </c>
      <c r="I321" s="2">
        <v>1</v>
      </c>
      <c r="J321" s="2">
        <v>436</v>
      </c>
      <c r="K321" s="2">
        <v>3</v>
      </c>
      <c r="L321" s="2" t="s">
        <v>39</v>
      </c>
      <c r="M321" s="2">
        <v>65</v>
      </c>
      <c r="N321" s="2">
        <v>2</v>
      </c>
      <c r="O321" s="2">
        <v>2</v>
      </c>
      <c r="P321" s="2" t="s">
        <v>40</v>
      </c>
      <c r="Q321" s="2">
        <v>2</v>
      </c>
      <c r="R321" s="2" t="s">
        <v>48</v>
      </c>
      <c r="S321" s="2">
        <v>5228</v>
      </c>
      <c r="T321" s="2">
        <v>24624</v>
      </c>
      <c r="U321" s="2">
        <v>1</v>
      </c>
      <c r="V321" s="2" t="s">
        <v>42</v>
      </c>
      <c r="W321" s="2" t="s">
        <v>35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</row>
    <row r="322" spans="1:35" x14ac:dyDescent="0.25">
      <c r="A322" s="2">
        <v>27</v>
      </c>
      <c r="B322" s="2" t="s">
        <v>43</v>
      </c>
      <c r="C322" s="2" t="s">
        <v>36</v>
      </c>
      <c r="D322" s="2">
        <v>1377</v>
      </c>
      <c r="E322" s="2" t="s">
        <v>37</v>
      </c>
      <c r="F322" s="2">
        <v>2</v>
      </c>
      <c r="G322" s="2">
        <v>3</v>
      </c>
      <c r="H322" s="2" t="s">
        <v>38</v>
      </c>
      <c r="I322" s="2">
        <v>1</v>
      </c>
      <c r="J322" s="2">
        <v>437</v>
      </c>
      <c r="K322" s="2">
        <v>4</v>
      </c>
      <c r="L322" s="2" t="s">
        <v>46</v>
      </c>
      <c r="M322" s="2">
        <v>74</v>
      </c>
      <c r="N322" s="2">
        <v>3</v>
      </c>
      <c r="O322" s="2">
        <v>2</v>
      </c>
      <c r="P322" s="2" t="s">
        <v>40</v>
      </c>
      <c r="Q322" s="2">
        <v>3</v>
      </c>
      <c r="R322" s="2" t="s">
        <v>41</v>
      </c>
      <c r="S322" s="2">
        <v>4478</v>
      </c>
      <c r="T322" s="2">
        <v>5242</v>
      </c>
      <c r="U322" s="2">
        <v>1</v>
      </c>
      <c r="V322" s="2" t="s">
        <v>42</v>
      </c>
      <c r="W322" s="2" t="s">
        <v>35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</row>
    <row r="323" spans="1:35" x14ac:dyDescent="0.25">
      <c r="A323" s="2">
        <v>31</v>
      </c>
      <c r="B323" s="2" t="s">
        <v>43</v>
      </c>
      <c r="C323" s="2" t="s">
        <v>36</v>
      </c>
      <c r="D323" s="2">
        <v>691</v>
      </c>
      <c r="E323" s="2" t="s">
        <v>37</v>
      </c>
      <c r="F323" s="2">
        <v>7</v>
      </c>
      <c r="G323" s="2">
        <v>3</v>
      </c>
      <c r="H323" s="2" t="s">
        <v>59</v>
      </c>
      <c r="I323" s="2">
        <v>1</v>
      </c>
      <c r="J323" s="2">
        <v>438</v>
      </c>
      <c r="K323" s="2">
        <v>4</v>
      </c>
      <c r="L323" s="2" t="s">
        <v>46</v>
      </c>
      <c r="M323" s="2">
        <v>73</v>
      </c>
      <c r="N323" s="2">
        <v>3</v>
      </c>
      <c r="O323" s="2">
        <v>2</v>
      </c>
      <c r="P323" s="2" t="s">
        <v>40</v>
      </c>
      <c r="Q323" s="2">
        <v>4</v>
      </c>
      <c r="R323" s="2" t="s">
        <v>52</v>
      </c>
      <c r="S323" s="2">
        <v>7547</v>
      </c>
      <c r="T323" s="2">
        <v>7143</v>
      </c>
      <c r="U323" s="2">
        <v>4</v>
      </c>
      <c r="V323" s="2" t="s">
        <v>42</v>
      </c>
      <c r="W323" s="2" t="s">
        <v>43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</row>
    <row r="324" spans="1:35" x14ac:dyDescent="0.25">
      <c r="A324" s="2">
        <v>32</v>
      </c>
      <c r="B324" s="2" t="s">
        <v>43</v>
      </c>
      <c r="C324" s="2" t="s">
        <v>36</v>
      </c>
      <c r="D324" s="2">
        <v>1018</v>
      </c>
      <c r="E324" s="2" t="s">
        <v>45</v>
      </c>
      <c r="F324" s="2">
        <v>2</v>
      </c>
      <c r="G324" s="2">
        <v>4</v>
      </c>
      <c r="H324" s="2" t="s">
        <v>51</v>
      </c>
      <c r="I324" s="2">
        <v>1</v>
      </c>
      <c r="J324" s="2">
        <v>439</v>
      </c>
      <c r="K324" s="2">
        <v>1</v>
      </c>
      <c r="L324" s="2" t="s">
        <v>39</v>
      </c>
      <c r="M324" s="2">
        <v>74</v>
      </c>
      <c r="N324" s="2">
        <v>4</v>
      </c>
      <c r="O324" s="2">
        <v>2</v>
      </c>
      <c r="P324" s="2" t="s">
        <v>47</v>
      </c>
      <c r="Q324" s="2">
        <v>4</v>
      </c>
      <c r="R324" s="2" t="s">
        <v>41</v>
      </c>
      <c r="S324" s="2">
        <v>5055</v>
      </c>
      <c r="T324" s="2">
        <v>10557</v>
      </c>
      <c r="U324" s="2">
        <v>7</v>
      </c>
      <c r="V324" s="2" t="s">
        <v>42</v>
      </c>
      <c r="W324" s="2" t="s">
        <v>43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</row>
    <row r="325" spans="1:35" x14ac:dyDescent="0.25">
      <c r="A325" s="2">
        <v>28</v>
      </c>
      <c r="B325" s="2" t="s">
        <v>35</v>
      </c>
      <c r="C325" s="2" t="s">
        <v>36</v>
      </c>
      <c r="D325" s="2">
        <v>1157</v>
      </c>
      <c r="E325" s="2" t="s">
        <v>45</v>
      </c>
      <c r="F325" s="2">
        <v>2</v>
      </c>
      <c r="G325" s="2">
        <v>4</v>
      </c>
      <c r="H325" s="2" t="s">
        <v>51</v>
      </c>
      <c r="I325" s="2">
        <v>1</v>
      </c>
      <c r="J325" s="2">
        <v>440</v>
      </c>
      <c r="K325" s="2">
        <v>1</v>
      </c>
      <c r="L325" s="2" t="s">
        <v>46</v>
      </c>
      <c r="M325" s="2">
        <v>84</v>
      </c>
      <c r="N325" s="2">
        <v>1</v>
      </c>
      <c r="O325" s="2">
        <v>1</v>
      </c>
      <c r="P325" s="2" t="s">
        <v>47</v>
      </c>
      <c r="Q325" s="2">
        <v>4</v>
      </c>
      <c r="R325" s="2" t="s">
        <v>48</v>
      </c>
      <c r="S325" s="2">
        <v>3464</v>
      </c>
      <c r="T325" s="2">
        <v>24737</v>
      </c>
      <c r="U325" s="2">
        <v>5</v>
      </c>
      <c r="V325" s="2" t="s">
        <v>42</v>
      </c>
      <c r="W325" s="2" t="s">
        <v>35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</row>
    <row r="326" spans="1:35" x14ac:dyDescent="0.25">
      <c r="A326" s="2">
        <v>30</v>
      </c>
      <c r="B326" s="2" t="s">
        <v>43</v>
      </c>
      <c r="C326" s="2" t="s">
        <v>36</v>
      </c>
      <c r="D326" s="2">
        <v>1275</v>
      </c>
      <c r="E326" s="2" t="s">
        <v>45</v>
      </c>
      <c r="F326" s="2">
        <v>28</v>
      </c>
      <c r="G326" s="2">
        <v>2</v>
      </c>
      <c r="H326" s="2" t="s">
        <v>51</v>
      </c>
      <c r="I326" s="2">
        <v>1</v>
      </c>
      <c r="J326" s="2">
        <v>441</v>
      </c>
      <c r="K326" s="2">
        <v>4</v>
      </c>
      <c r="L326" s="2" t="s">
        <v>39</v>
      </c>
      <c r="M326" s="2">
        <v>64</v>
      </c>
      <c r="N326" s="2">
        <v>3</v>
      </c>
      <c r="O326" s="2">
        <v>2</v>
      </c>
      <c r="P326" s="2" t="s">
        <v>47</v>
      </c>
      <c r="Q326" s="2">
        <v>4</v>
      </c>
      <c r="R326" s="2" t="s">
        <v>48</v>
      </c>
      <c r="S326" s="2">
        <v>5775</v>
      </c>
      <c r="T326" s="2">
        <v>11934</v>
      </c>
      <c r="U326" s="2">
        <v>1</v>
      </c>
      <c r="V326" s="2" t="s">
        <v>42</v>
      </c>
      <c r="W326" s="2" t="s">
        <v>43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</row>
    <row r="327" spans="1:35" x14ac:dyDescent="0.25">
      <c r="A327" s="2">
        <v>31</v>
      </c>
      <c r="B327" s="2" t="s">
        <v>43</v>
      </c>
      <c r="C327" s="2" t="s">
        <v>44</v>
      </c>
      <c r="D327" s="2">
        <v>798</v>
      </c>
      <c r="E327" s="2" t="s">
        <v>45</v>
      </c>
      <c r="F327" s="2">
        <v>7</v>
      </c>
      <c r="G327" s="2">
        <v>2</v>
      </c>
      <c r="H327" s="2" t="s">
        <v>38</v>
      </c>
      <c r="I327" s="2">
        <v>1</v>
      </c>
      <c r="J327" s="2">
        <v>442</v>
      </c>
      <c r="K327" s="2">
        <v>3</v>
      </c>
      <c r="L327" s="2" t="s">
        <v>39</v>
      </c>
      <c r="M327" s="2">
        <v>48</v>
      </c>
      <c r="N327" s="2">
        <v>2</v>
      </c>
      <c r="O327" s="2">
        <v>3</v>
      </c>
      <c r="P327" s="2" t="s">
        <v>53</v>
      </c>
      <c r="Q327" s="2">
        <v>3</v>
      </c>
      <c r="R327" s="2" t="s">
        <v>48</v>
      </c>
      <c r="S327" s="2">
        <v>8943</v>
      </c>
      <c r="T327" s="2">
        <v>14034</v>
      </c>
      <c r="U327" s="2">
        <v>1</v>
      </c>
      <c r="V327" s="2" t="s">
        <v>42</v>
      </c>
      <c r="W327" s="2" t="s">
        <v>43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</row>
    <row r="328" spans="1:35" x14ac:dyDescent="0.25">
      <c r="A328" s="2">
        <v>39</v>
      </c>
      <c r="B328" s="2" t="s">
        <v>43</v>
      </c>
      <c r="C328" s="2" t="s">
        <v>44</v>
      </c>
      <c r="D328" s="2">
        <v>672</v>
      </c>
      <c r="E328" s="2" t="s">
        <v>45</v>
      </c>
      <c r="F328" s="2">
        <v>7</v>
      </c>
      <c r="G328" s="2">
        <v>2</v>
      </c>
      <c r="H328" s="2" t="s">
        <v>51</v>
      </c>
      <c r="I328" s="2">
        <v>1</v>
      </c>
      <c r="J328" s="2">
        <v>444</v>
      </c>
      <c r="K328" s="2">
        <v>3</v>
      </c>
      <c r="L328" s="2" t="s">
        <v>46</v>
      </c>
      <c r="M328" s="2">
        <v>54</v>
      </c>
      <c r="N328" s="2">
        <v>2</v>
      </c>
      <c r="O328" s="2">
        <v>5</v>
      </c>
      <c r="P328" s="2" t="s">
        <v>56</v>
      </c>
      <c r="Q328" s="2">
        <v>4</v>
      </c>
      <c r="R328" s="2" t="s">
        <v>48</v>
      </c>
      <c r="S328" s="2">
        <v>19272</v>
      </c>
      <c r="T328" s="2">
        <v>21141</v>
      </c>
      <c r="U328" s="2">
        <v>1</v>
      </c>
      <c r="V328" s="2" t="s">
        <v>42</v>
      </c>
      <c r="W328" s="2" t="s">
        <v>43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</row>
    <row r="329" spans="1:35" x14ac:dyDescent="0.25">
      <c r="A329" s="2">
        <v>39</v>
      </c>
      <c r="B329" s="2" t="s">
        <v>35</v>
      </c>
      <c r="C329" s="2" t="s">
        <v>36</v>
      </c>
      <c r="D329" s="2">
        <v>1162</v>
      </c>
      <c r="E329" s="2" t="s">
        <v>37</v>
      </c>
      <c r="F329" s="2">
        <v>3</v>
      </c>
      <c r="G329" s="2">
        <v>2</v>
      </c>
      <c r="H329" s="2" t="s">
        <v>51</v>
      </c>
      <c r="I329" s="2">
        <v>1</v>
      </c>
      <c r="J329" s="2">
        <v>445</v>
      </c>
      <c r="K329" s="2">
        <v>4</v>
      </c>
      <c r="L329" s="2" t="s">
        <v>39</v>
      </c>
      <c r="M329" s="2">
        <v>41</v>
      </c>
      <c r="N329" s="2">
        <v>3</v>
      </c>
      <c r="O329" s="2">
        <v>2</v>
      </c>
      <c r="P329" s="2" t="s">
        <v>40</v>
      </c>
      <c r="Q329" s="2">
        <v>3</v>
      </c>
      <c r="R329" s="2" t="s">
        <v>48</v>
      </c>
      <c r="S329" s="2">
        <v>5238</v>
      </c>
      <c r="T329" s="2">
        <v>17778</v>
      </c>
      <c r="U329" s="2">
        <v>4</v>
      </c>
      <c r="V329" s="2" t="s">
        <v>42</v>
      </c>
      <c r="W329" s="2" t="s">
        <v>35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</row>
    <row r="330" spans="1:35" x14ac:dyDescent="0.25">
      <c r="A330" s="2">
        <v>33</v>
      </c>
      <c r="B330" s="2" t="s">
        <v>43</v>
      </c>
      <c r="C330" s="2" t="s">
        <v>44</v>
      </c>
      <c r="D330" s="2">
        <v>508</v>
      </c>
      <c r="E330" s="2" t="s">
        <v>37</v>
      </c>
      <c r="F330" s="2">
        <v>10</v>
      </c>
      <c r="G330" s="2">
        <v>3</v>
      </c>
      <c r="H330" s="2" t="s">
        <v>59</v>
      </c>
      <c r="I330" s="2">
        <v>1</v>
      </c>
      <c r="J330" s="2">
        <v>446</v>
      </c>
      <c r="K330" s="2">
        <v>2</v>
      </c>
      <c r="L330" s="2" t="s">
        <v>46</v>
      </c>
      <c r="M330" s="2">
        <v>46</v>
      </c>
      <c r="N330" s="2">
        <v>2</v>
      </c>
      <c r="O330" s="2">
        <v>2</v>
      </c>
      <c r="P330" s="2" t="s">
        <v>40</v>
      </c>
      <c r="Q330" s="2">
        <v>4</v>
      </c>
      <c r="R330" s="2" t="s">
        <v>41</v>
      </c>
      <c r="S330" s="2">
        <v>4682</v>
      </c>
      <c r="T330" s="2">
        <v>4317</v>
      </c>
      <c r="U330" s="2">
        <v>3</v>
      </c>
      <c r="V330" s="2" t="s">
        <v>42</v>
      </c>
      <c r="W330" s="2" t="s">
        <v>43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</row>
    <row r="331" spans="1:35" x14ac:dyDescent="0.25">
      <c r="A331" s="2">
        <v>47</v>
      </c>
      <c r="B331" s="2" t="s">
        <v>43</v>
      </c>
      <c r="C331" s="2" t="s">
        <v>36</v>
      </c>
      <c r="D331" s="2">
        <v>1482</v>
      </c>
      <c r="E331" s="2" t="s">
        <v>45</v>
      </c>
      <c r="F331" s="2">
        <v>5</v>
      </c>
      <c r="G331" s="2">
        <v>5</v>
      </c>
      <c r="H331" s="2" t="s">
        <v>38</v>
      </c>
      <c r="I331" s="2">
        <v>1</v>
      </c>
      <c r="J331" s="2">
        <v>447</v>
      </c>
      <c r="K331" s="2">
        <v>4</v>
      </c>
      <c r="L331" s="2" t="s">
        <v>46</v>
      </c>
      <c r="M331" s="2">
        <v>42</v>
      </c>
      <c r="N331" s="2">
        <v>3</v>
      </c>
      <c r="O331" s="2">
        <v>5</v>
      </c>
      <c r="P331" s="2" t="s">
        <v>58</v>
      </c>
      <c r="Q331" s="2">
        <v>3</v>
      </c>
      <c r="R331" s="2" t="s">
        <v>48</v>
      </c>
      <c r="S331" s="2">
        <v>18300</v>
      </c>
      <c r="T331" s="2">
        <v>16375</v>
      </c>
      <c r="U331" s="2">
        <v>4</v>
      </c>
      <c r="V331" s="2" t="s">
        <v>42</v>
      </c>
      <c r="W331" s="2" t="s">
        <v>43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</row>
    <row r="332" spans="1:35" x14ac:dyDescent="0.25">
      <c r="A332" s="2">
        <v>43</v>
      </c>
      <c r="B332" s="2" t="s">
        <v>43</v>
      </c>
      <c r="C332" s="2" t="s">
        <v>44</v>
      </c>
      <c r="D332" s="2">
        <v>559</v>
      </c>
      <c r="E332" s="2" t="s">
        <v>45</v>
      </c>
      <c r="F332" s="2">
        <v>10</v>
      </c>
      <c r="G332" s="2">
        <v>4</v>
      </c>
      <c r="H332" s="2" t="s">
        <v>38</v>
      </c>
      <c r="I332" s="2">
        <v>1</v>
      </c>
      <c r="J332" s="2">
        <v>448</v>
      </c>
      <c r="K332" s="2">
        <v>3</v>
      </c>
      <c r="L332" s="2" t="s">
        <v>39</v>
      </c>
      <c r="M332" s="2">
        <v>82</v>
      </c>
      <c r="N332" s="2">
        <v>2</v>
      </c>
      <c r="O332" s="2">
        <v>2</v>
      </c>
      <c r="P332" s="2" t="s">
        <v>50</v>
      </c>
      <c r="Q332" s="2">
        <v>3</v>
      </c>
      <c r="R332" s="2" t="s">
        <v>52</v>
      </c>
      <c r="S332" s="2">
        <v>5257</v>
      </c>
      <c r="T332" s="2">
        <v>6227</v>
      </c>
      <c r="U332" s="2">
        <v>1</v>
      </c>
      <c r="V332" s="2" t="s">
        <v>42</v>
      </c>
      <c r="W332" s="2" t="s">
        <v>43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</row>
    <row r="333" spans="1:35" x14ac:dyDescent="0.25">
      <c r="A333" s="2">
        <v>27</v>
      </c>
      <c r="B333" s="2" t="s">
        <v>43</v>
      </c>
      <c r="C333" s="2" t="s">
        <v>55</v>
      </c>
      <c r="D333" s="2">
        <v>210</v>
      </c>
      <c r="E333" s="2" t="s">
        <v>37</v>
      </c>
      <c r="F333" s="2">
        <v>1</v>
      </c>
      <c r="G333" s="2">
        <v>1</v>
      </c>
      <c r="H333" s="2" t="s">
        <v>59</v>
      </c>
      <c r="I333" s="2">
        <v>1</v>
      </c>
      <c r="J333" s="2">
        <v>449</v>
      </c>
      <c r="K333" s="2">
        <v>3</v>
      </c>
      <c r="L333" s="2" t="s">
        <v>46</v>
      </c>
      <c r="M333" s="2">
        <v>73</v>
      </c>
      <c r="N333" s="2">
        <v>3</v>
      </c>
      <c r="O333" s="2">
        <v>2</v>
      </c>
      <c r="P333" s="2" t="s">
        <v>40</v>
      </c>
      <c r="Q333" s="2">
        <v>2</v>
      </c>
      <c r="R333" s="2" t="s">
        <v>48</v>
      </c>
      <c r="S333" s="2">
        <v>6349</v>
      </c>
      <c r="T333" s="2">
        <v>22107</v>
      </c>
      <c r="U333" s="2">
        <v>0</v>
      </c>
      <c r="V333" s="2" t="s">
        <v>42</v>
      </c>
      <c r="W333" s="2" t="s">
        <v>35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</row>
    <row r="334" spans="1:35" x14ac:dyDescent="0.25">
      <c r="A334" s="2">
        <v>54</v>
      </c>
      <c r="B334" s="2" t="s">
        <v>43</v>
      </c>
      <c r="C334" s="2" t="s">
        <v>44</v>
      </c>
      <c r="D334" s="2">
        <v>928</v>
      </c>
      <c r="E334" s="2" t="s">
        <v>45</v>
      </c>
      <c r="F334" s="2">
        <v>20</v>
      </c>
      <c r="G334" s="2">
        <v>4</v>
      </c>
      <c r="H334" s="2" t="s">
        <v>38</v>
      </c>
      <c r="I334" s="2">
        <v>1</v>
      </c>
      <c r="J334" s="2">
        <v>450</v>
      </c>
      <c r="K334" s="2">
        <v>4</v>
      </c>
      <c r="L334" s="2" t="s">
        <v>39</v>
      </c>
      <c r="M334" s="2">
        <v>31</v>
      </c>
      <c r="N334" s="2">
        <v>3</v>
      </c>
      <c r="O334" s="2">
        <v>2</v>
      </c>
      <c r="P334" s="2" t="s">
        <v>47</v>
      </c>
      <c r="Q334" s="2">
        <v>3</v>
      </c>
      <c r="R334" s="2" t="s">
        <v>41</v>
      </c>
      <c r="S334" s="2">
        <v>4869</v>
      </c>
      <c r="T334" s="2">
        <v>16885</v>
      </c>
      <c r="U334" s="2">
        <v>3</v>
      </c>
      <c r="V334" s="2" t="s">
        <v>42</v>
      </c>
      <c r="W334" s="2" t="s">
        <v>43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</row>
    <row r="335" spans="1:35" x14ac:dyDescent="0.25">
      <c r="A335" s="2">
        <v>43</v>
      </c>
      <c r="B335" s="2" t="s">
        <v>43</v>
      </c>
      <c r="C335" s="2" t="s">
        <v>36</v>
      </c>
      <c r="D335" s="2">
        <v>1001</v>
      </c>
      <c r="E335" s="2" t="s">
        <v>45</v>
      </c>
      <c r="F335" s="2">
        <v>7</v>
      </c>
      <c r="G335" s="2">
        <v>3</v>
      </c>
      <c r="H335" s="2" t="s">
        <v>38</v>
      </c>
      <c r="I335" s="2">
        <v>1</v>
      </c>
      <c r="J335" s="2">
        <v>451</v>
      </c>
      <c r="K335" s="2">
        <v>3</v>
      </c>
      <c r="L335" s="2" t="s">
        <v>39</v>
      </c>
      <c r="M335" s="2">
        <v>43</v>
      </c>
      <c r="N335" s="2">
        <v>3</v>
      </c>
      <c r="O335" s="2">
        <v>3</v>
      </c>
      <c r="P335" s="2" t="s">
        <v>54</v>
      </c>
      <c r="Q335" s="2">
        <v>1</v>
      </c>
      <c r="R335" s="2" t="s">
        <v>48</v>
      </c>
      <c r="S335" s="2">
        <v>9985</v>
      </c>
      <c r="T335" s="2">
        <v>9262</v>
      </c>
      <c r="U335" s="2">
        <v>8</v>
      </c>
      <c r="V335" s="2" t="s">
        <v>42</v>
      </c>
      <c r="W335" s="2" t="s">
        <v>43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</row>
    <row r="336" spans="1:35" x14ac:dyDescent="0.25">
      <c r="A336" s="2">
        <v>45</v>
      </c>
      <c r="B336" s="2" t="s">
        <v>43</v>
      </c>
      <c r="C336" s="2" t="s">
        <v>36</v>
      </c>
      <c r="D336" s="2">
        <v>549</v>
      </c>
      <c r="E336" s="2" t="s">
        <v>45</v>
      </c>
      <c r="F336" s="2">
        <v>8</v>
      </c>
      <c r="G336" s="2">
        <v>4</v>
      </c>
      <c r="H336" s="2" t="s">
        <v>49</v>
      </c>
      <c r="I336" s="2">
        <v>1</v>
      </c>
      <c r="J336" s="2">
        <v>452</v>
      </c>
      <c r="K336" s="2">
        <v>4</v>
      </c>
      <c r="L336" s="2" t="s">
        <v>46</v>
      </c>
      <c r="M336" s="2">
        <v>75</v>
      </c>
      <c r="N336" s="2">
        <v>3</v>
      </c>
      <c r="O336" s="2">
        <v>2</v>
      </c>
      <c r="P336" s="2" t="s">
        <v>47</v>
      </c>
      <c r="Q336" s="2">
        <v>4</v>
      </c>
      <c r="R336" s="2" t="s">
        <v>48</v>
      </c>
      <c r="S336" s="2">
        <v>3697</v>
      </c>
      <c r="T336" s="2">
        <v>9278</v>
      </c>
      <c r="U336" s="2">
        <v>9</v>
      </c>
      <c r="V336" s="2" t="s">
        <v>42</v>
      </c>
      <c r="W336" s="2" t="s">
        <v>43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</row>
    <row r="337" spans="1:35" x14ac:dyDescent="0.25">
      <c r="A337" s="2">
        <v>40</v>
      </c>
      <c r="B337" s="2" t="s">
        <v>43</v>
      </c>
      <c r="C337" s="2" t="s">
        <v>36</v>
      </c>
      <c r="D337" s="2">
        <v>1124</v>
      </c>
      <c r="E337" s="2" t="s">
        <v>37</v>
      </c>
      <c r="F337" s="2">
        <v>1</v>
      </c>
      <c r="G337" s="2">
        <v>2</v>
      </c>
      <c r="H337" s="2" t="s">
        <v>51</v>
      </c>
      <c r="I337" s="2">
        <v>1</v>
      </c>
      <c r="J337" s="2">
        <v>453</v>
      </c>
      <c r="K337" s="2">
        <v>2</v>
      </c>
      <c r="L337" s="2" t="s">
        <v>46</v>
      </c>
      <c r="M337" s="2">
        <v>57</v>
      </c>
      <c r="N337" s="2">
        <v>1</v>
      </c>
      <c r="O337" s="2">
        <v>2</v>
      </c>
      <c r="P337" s="2" t="s">
        <v>40</v>
      </c>
      <c r="Q337" s="2">
        <v>4</v>
      </c>
      <c r="R337" s="2" t="s">
        <v>48</v>
      </c>
      <c r="S337" s="2">
        <v>7457</v>
      </c>
      <c r="T337" s="2">
        <v>13273</v>
      </c>
      <c r="U337" s="2">
        <v>2</v>
      </c>
      <c r="V337" s="2" t="s">
        <v>42</v>
      </c>
      <c r="W337" s="2" t="s">
        <v>35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</row>
    <row r="338" spans="1:35" x14ac:dyDescent="0.25">
      <c r="A338" s="2">
        <v>29</v>
      </c>
      <c r="B338" s="2" t="s">
        <v>35</v>
      </c>
      <c r="C338" s="2" t="s">
        <v>36</v>
      </c>
      <c r="D338" s="2">
        <v>318</v>
      </c>
      <c r="E338" s="2" t="s">
        <v>45</v>
      </c>
      <c r="F338" s="2">
        <v>8</v>
      </c>
      <c r="G338" s="2">
        <v>4</v>
      </c>
      <c r="H338" s="2" t="s">
        <v>49</v>
      </c>
      <c r="I338" s="2">
        <v>1</v>
      </c>
      <c r="J338" s="2">
        <v>454</v>
      </c>
      <c r="K338" s="2">
        <v>2</v>
      </c>
      <c r="L338" s="2" t="s">
        <v>46</v>
      </c>
      <c r="M338" s="2">
        <v>77</v>
      </c>
      <c r="N338" s="2">
        <v>1</v>
      </c>
      <c r="O338" s="2">
        <v>1</v>
      </c>
      <c r="P338" s="2" t="s">
        <v>50</v>
      </c>
      <c r="Q338" s="2">
        <v>1</v>
      </c>
      <c r="R338" s="2" t="s">
        <v>48</v>
      </c>
      <c r="S338" s="2">
        <v>2119</v>
      </c>
      <c r="T338" s="2">
        <v>4759</v>
      </c>
      <c r="U338" s="2">
        <v>1</v>
      </c>
      <c r="V338" s="2" t="s">
        <v>42</v>
      </c>
      <c r="W338" s="2" t="s">
        <v>35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</row>
    <row r="339" spans="1:35" x14ac:dyDescent="0.25">
      <c r="A339" s="2">
        <v>29</v>
      </c>
      <c r="B339" s="2" t="s">
        <v>43</v>
      </c>
      <c r="C339" s="2" t="s">
        <v>36</v>
      </c>
      <c r="D339" s="2">
        <v>738</v>
      </c>
      <c r="E339" s="2" t="s">
        <v>45</v>
      </c>
      <c r="F339" s="2">
        <v>9</v>
      </c>
      <c r="G339" s="2">
        <v>5</v>
      </c>
      <c r="H339" s="2" t="s">
        <v>49</v>
      </c>
      <c r="I339" s="2">
        <v>1</v>
      </c>
      <c r="J339" s="2">
        <v>455</v>
      </c>
      <c r="K339" s="2">
        <v>2</v>
      </c>
      <c r="L339" s="2" t="s">
        <v>46</v>
      </c>
      <c r="M339" s="2">
        <v>30</v>
      </c>
      <c r="N339" s="2">
        <v>2</v>
      </c>
      <c r="O339" s="2">
        <v>1</v>
      </c>
      <c r="P339" s="2" t="s">
        <v>50</v>
      </c>
      <c r="Q339" s="2">
        <v>4</v>
      </c>
      <c r="R339" s="2" t="s">
        <v>41</v>
      </c>
      <c r="S339" s="2">
        <v>3983</v>
      </c>
      <c r="T339" s="2">
        <v>7621</v>
      </c>
      <c r="U339" s="2">
        <v>0</v>
      </c>
      <c r="V339" s="2" t="s">
        <v>42</v>
      </c>
      <c r="W339" s="2" t="s">
        <v>43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</row>
    <row r="340" spans="1:35" x14ac:dyDescent="0.25">
      <c r="A340" s="2">
        <v>30</v>
      </c>
      <c r="B340" s="2" t="s">
        <v>43</v>
      </c>
      <c r="C340" s="2" t="s">
        <v>36</v>
      </c>
      <c r="D340" s="2">
        <v>570</v>
      </c>
      <c r="E340" s="2" t="s">
        <v>37</v>
      </c>
      <c r="F340" s="2">
        <v>5</v>
      </c>
      <c r="G340" s="2">
        <v>3</v>
      </c>
      <c r="H340" s="2" t="s">
        <v>59</v>
      </c>
      <c r="I340" s="2">
        <v>1</v>
      </c>
      <c r="J340" s="2">
        <v>456</v>
      </c>
      <c r="K340" s="2">
        <v>4</v>
      </c>
      <c r="L340" s="2" t="s">
        <v>39</v>
      </c>
      <c r="M340" s="2">
        <v>30</v>
      </c>
      <c r="N340" s="2">
        <v>2</v>
      </c>
      <c r="O340" s="2">
        <v>2</v>
      </c>
      <c r="P340" s="2" t="s">
        <v>40</v>
      </c>
      <c r="Q340" s="2">
        <v>3</v>
      </c>
      <c r="R340" s="2" t="s">
        <v>52</v>
      </c>
      <c r="S340" s="2">
        <v>6118</v>
      </c>
      <c r="T340" s="2">
        <v>5431</v>
      </c>
      <c r="U340" s="2">
        <v>1</v>
      </c>
      <c r="V340" s="2" t="s">
        <v>42</v>
      </c>
      <c r="W340" s="2" t="s">
        <v>43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</row>
    <row r="341" spans="1:35" x14ac:dyDescent="0.25">
      <c r="A341" s="2">
        <v>27</v>
      </c>
      <c r="B341" s="2" t="s">
        <v>43</v>
      </c>
      <c r="C341" s="2" t="s">
        <v>36</v>
      </c>
      <c r="D341" s="2">
        <v>1130</v>
      </c>
      <c r="E341" s="2" t="s">
        <v>37</v>
      </c>
      <c r="F341" s="2">
        <v>8</v>
      </c>
      <c r="G341" s="2">
        <v>4</v>
      </c>
      <c r="H341" s="2" t="s">
        <v>59</v>
      </c>
      <c r="I341" s="2">
        <v>1</v>
      </c>
      <c r="J341" s="2">
        <v>458</v>
      </c>
      <c r="K341" s="2">
        <v>2</v>
      </c>
      <c r="L341" s="2" t="s">
        <v>39</v>
      </c>
      <c r="M341" s="2">
        <v>56</v>
      </c>
      <c r="N341" s="2">
        <v>3</v>
      </c>
      <c r="O341" s="2">
        <v>2</v>
      </c>
      <c r="P341" s="2" t="s">
        <v>40</v>
      </c>
      <c r="Q341" s="2">
        <v>2</v>
      </c>
      <c r="R341" s="2" t="s">
        <v>48</v>
      </c>
      <c r="S341" s="2">
        <v>6214</v>
      </c>
      <c r="T341" s="2">
        <v>3415</v>
      </c>
      <c r="U341" s="2">
        <v>1</v>
      </c>
      <c r="V341" s="2" t="s">
        <v>42</v>
      </c>
      <c r="W341" s="2" t="s">
        <v>43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</row>
    <row r="342" spans="1:35" x14ac:dyDescent="0.25">
      <c r="A342" s="2">
        <v>37</v>
      </c>
      <c r="B342" s="2" t="s">
        <v>43</v>
      </c>
      <c r="C342" s="2" t="s">
        <v>36</v>
      </c>
      <c r="D342" s="2">
        <v>1192</v>
      </c>
      <c r="E342" s="2" t="s">
        <v>45</v>
      </c>
      <c r="F342" s="2">
        <v>5</v>
      </c>
      <c r="G342" s="2">
        <v>2</v>
      </c>
      <c r="H342" s="2" t="s">
        <v>51</v>
      </c>
      <c r="I342" s="2">
        <v>1</v>
      </c>
      <c r="J342" s="2">
        <v>460</v>
      </c>
      <c r="K342" s="2">
        <v>4</v>
      </c>
      <c r="L342" s="2" t="s">
        <v>46</v>
      </c>
      <c r="M342" s="2">
        <v>61</v>
      </c>
      <c r="N342" s="2">
        <v>3</v>
      </c>
      <c r="O342" s="2">
        <v>2</v>
      </c>
      <c r="P342" s="2" t="s">
        <v>53</v>
      </c>
      <c r="Q342" s="2">
        <v>4</v>
      </c>
      <c r="R342" s="2" t="s">
        <v>52</v>
      </c>
      <c r="S342" s="2">
        <v>6347</v>
      </c>
      <c r="T342" s="2">
        <v>23177</v>
      </c>
      <c r="U342" s="2">
        <v>7</v>
      </c>
      <c r="V342" s="2" t="s">
        <v>42</v>
      </c>
      <c r="W342" s="2" t="s">
        <v>43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</row>
    <row r="343" spans="1:35" x14ac:dyDescent="0.25">
      <c r="A343" s="2">
        <v>38</v>
      </c>
      <c r="B343" s="2" t="s">
        <v>43</v>
      </c>
      <c r="C343" s="2" t="s">
        <v>36</v>
      </c>
      <c r="D343" s="2">
        <v>343</v>
      </c>
      <c r="E343" s="2" t="s">
        <v>45</v>
      </c>
      <c r="F343" s="2">
        <v>15</v>
      </c>
      <c r="G343" s="2">
        <v>2</v>
      </c>
      <c r="H343" s="2" t="s">
        <v>38</v>
      </c>
      <c r="I343" s="2">
        <v>1</v>
      </c>
      <c r="J343" s="2">
        <v>461</v>
      </c>
      <c r="K343" s="2">
        <v>3</v>
      </c>
      <c r="L343" s="2" t="s">
        <v>46</v>
      </c>
      <c r="M343" s="2">
        <v>92</v>
      </c>
      <c r="N343" s="2">
        <v>2</v>
      </c>
      <c r="O343" s="2">
        <v>3</v>
      </c>
      <c r="P343" s="2" t="s">
        <v>58</v>
      </c>
      <c r="Q343" s="2">
        <v>4</v>
      </c>
      <c r="R343" s="2" t="s">
        <v>52</v>
      </c>
      <c r="S343" s="2">
        <v>11510</v>
      </c>
      <c r="T343" s="2">
        <v>15682</v>
      </c>
      <c r="U343" s="2">
        <v>0</v>
      </c>
      <c r="V343" s="2" t="s">
        <v>42</v>
      </c>
      <c r="W343" s="2" t="s">
        <v>35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</row>
    <row r="344" spans="1:35" x14ac:dyDescent="0.25">
      <c r="A344" s="2">
        <v>31</v>
      </c>
      <c r="B344" s="2" t="s">
        <v>43</v>
      </c>
      <c r="C344" s="2" t="s">
        <v>36</v>
      </c>
      <c r="D344" s="2">
        <v>1232</v>
      </c>
      <c r="E344" s="2" t="s">
        <v>45</v>
      </c>
      <c r="F344" s="2">
        <v>7</v>
      </c>
      <c r="G344" s="2">
        <v>4</v>
      </c>
      <c r="H344" s="2" t="s">
        <v>51</v>
      </c>
      <c r="I344" s="2">
        <v>1</v>
      </c>
      <c r="J344" s="2">
        <v>462</v>
      </c>
      <c r="K344" s="2">
        <v>3</v>
      </c>
      <c r="L344" s="2" t="s">
        <v>39</v>
      </c>
      <c r="M344" s="2">
        <v>39</v>
      </c>
      <c r="N344" s="2">
        <v>3</v>
      </c>
      <c r="O344" s="2">
        <v>3</v>
      </c>
      <c r="P344" s="2" t="s">
        <v>53</v>
      </c>
      <c r="Q344" s="2">
        <v>4</v>
      </c>
      <c r="R344" s="2" t="s">
        <v>41</v>
      </c>
      <c r="S344" s="2">
        <v>7143</v>
      </c>
      <c r="T344" s="2">
        <v>25713</v>
      </c>
      <c r="U344" s="2">
        <v>1</v>
      </c>
      <c r="V344" s="2" t="s">
        <v>42</v>
      </c>
      <c r="W344" s="2" t="s">
        <v>35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</row>
    <row r="345" spans="1:35" x14ac:dyDescent="0.25">
      <c r="A345" s="2">
        <v>29</v>
      </c>
      <c r="B345" s="2" t="s">
        <v>43</v>
      </c>
      <c r="C345" s="2" t="s">
        <v>36</v>
      </c>
      <c r="D345" s="2">
        <v>144</v>
      </c>
      <c r="E345" s="2" t="s">
        <v>37</v>
      </c>
      <c r="F345" s="2">
        <v>10</v>
      </c>
      <c r="G345" s="2">
        <v>1</v>
      </c>
      <c r="H345" s="2" t="s">
        <v>59</v>
      </c>
      <c r="I345" s="2">
        <v>1</v>
      </c>
      <c r="J345" s="2">
        <v>463</v>
      </c>
      <c r="K345" s="2">
        <v>4</v>
      </c>
      <c r="L345" s="2" t="s">
        <v>39</v>
      </c>
      <c r="M345" s="2">
        <v>39</v>
      </c>
      <c r="N345" s="2">
        <v>2</v>
      </c>
      <c r="O345" s="2">
        <v>2</v>
      </c>
      <c r="P345" s="2" t="s">
        <v>40</v>
      </c>
      <c r="Q345" s="2">
        <v>2</v>
      </c>
      <c r="R345" s="2" t="s">
        <v>52</v>
      </c>
      <c r="S345" s="2">
        <v>8268</v>
      </c>
      <c r="T345" s="2">
        <v>11866</v>
      </c>
      <c r="U345" s="2">
        <v>1</v>
      </c>
      <c r="V345" s="2" t="s">
        <v>42</v>
      </c>
      <c r="W345" s="2" t="s">
        <v>35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</row>
    <row r="346" spans="1:35" x14ac:dyDescent="0.25">
      <c r="A346" s="2">
        <v>35</v>
      </c>
      <c r="B346" s="2" t="s">
        <v>43</v>
      </c>
      <c r="C346" s="2" t="s">
        <v>36</v>
      </c>
      <c r="D346" s="2">
        <v>1296</v>
      </c>
      <c r="E346" s="2" t="s">
        <v>45</v>
      </c>
      <c r="F346" s="2">
        <v>5</v>
      </c>
      <c r="G346" s="2">
        <v>4</v>
      </c>
      <c r="H346" s="2" t="s">
        <v>60</v>
      </c>
      <c r="I346" s="2">
        <v>1</v>
      </c>
      <c r="J346" s="2">
        <v>464</v>
      </c>
      <c r="K346" s="2">
        <v>3</v>
      </c>
      <c r="L346" s="2" t="s">
        <v>46</v>
      </c>
      <c r="M346" s="2">
        <v>62</v>
      </c>
      <c r="N346" s="2">
        <v>3</v>
      </c>
      <c r="O346" s="2">
        <v>3</v>
      </c>
      <c r="P346" s="2" t="s">
        <v>53</v>
      </c>
      <c r="Q346" s="2">
        <v>2</v>
      </c>
      <c r="R346" s="2" t="s">
        <v>41</v>
      </c>
      <c r="S346" s="2">
        <v>8095</v>
      </c>
      <c r="T346" s="2">
        <v>18264</v>
      </c>
      <c r="U346" s="2">
        <v>0</v>
      </c>
      <c r="V346" s="2" t="s">
        <v>42</v>
      </c>
      <c r="W346" s="2" t="s">
        <v>43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</row>
    <row r="347" spans="1:35" x14ac:dyDescent="0.25">
      <c r="A347" s="2">
        <v>23</v>
      </c>
      <c r="B347" s="2" t="s">
        <v>43</v>
      </c>
      <c r="C347" s="2" t="s">
        <v>36</v>
      </c>
      <c r="D347" s="2">
        <v>1309</v>
      </c>
      <c r="E347" s="2" t="s">
        <v>45</v>
      </c>
      <c r="F347" s="2">
        <v>26</v>
      </c>
      <c r="G347" s="2">
        <v>1</v>
      </c>
      <c r="H347" s="2" t="s">
        <v>38</v>
      </c>
      <c r="I347" s="2">
        <v>1</v>
      </c>
      <c r="J347" s="2">
        <v>465</v>
      </c>
      <c r="K347" s="2">
        <v>3</v>
      </c>
      <c r="L347" s="2" t="s">
        <v>46</v>
      </c>
      <c r="M347" s="2">
        <v>83</v>
      </c>
      <c r="N347" s="2">
        <v>3</v>
      </c>
      <c r="O347" s="2">
        <v>1</v>
      </c>
      <c r="P347" s="2" t="s">
        <v>47</v>
      </c>
      <c r="Q347" s="2">
        <v>4</v>
      </c>
      <c r="R347" s="2" t="s">
        <v>52</v>
      </c>
      <c r="S347" s="2">
        <v>2904</v>
      </c>
      <c r="T347" s="2">
        <v>16092</v>
      </c>
      <c r="U347" s="2">
        <v>1</v>
      </c>
      <c r="V347" s="2" t="s">
        <v>42</v>
      </c>
      <c r="W347" s="2" t="s">
        <v>43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</row>
    <row r="348" spans="1:35" x14ac:dyDescent="0.25">
      <c r="A348" s="2">
        <v>41</v>
      </c>
      <c r="B348" s="2" t="s">
        <v>43</v>
      </c>
      <c r="C348" s="2" t="s">
        <v>36</v>
      </c>
      <c r="D348" s="2">
        <v>483</v>
      </c>
      <c r="E348" s="2" t="s">
        <v>45</v>
      </c>
      <c r="F348" s="2">
        <v>6</v>
      </c>
      <c r="G348" s="2">
        <v>3</v>
      </c>
      <c r="H348" s="2" t="s">
        <v>51</v>
      </c>
      <c r="I348" s="2">
        <v>1</v>
      </c>
      <c r="J348" s="2">
        <v>466</v>
      </c>
      <c r="K348" s="2">
        <v>4</v>
      </c>
      <c r="L348" s="2" t="s">
        <v>46</v>
      </c>
      <c r="M348" s="2">
        <v>95</v>
      </c>
      <c r="N348" s="2">
        <v>2</v>
      </c>
      <c r="O348" s="2">
        <v>2</v>
      </c>
      <c r="P348" s="2" t="s">
        <v>53</v>
      </c>
      <c r="Q348" s="2">
        <v>2</v>
      </c>
      <c r="R348" s="2" t="s">
        <v>41</v>
      </c>
      <c r="S348" s="2">
        <v>6032</v>
      </c>
      <c r="T348" s="2">
        <v>10110</v>
      </c>
      <c r="U348" s="2">
        <v>6</v>
      </c>
      <c r="V348" s="2" t="s">
        <v>42</v>
      </c>
      <c r="W348" s="2" t="s">
        <v>35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</row>
    <row r="349" spans="1:35" x14ac:dyDescent="0.25">
      <c r="A349" s="2">
        <v>47</v>
      </c>
      <c r="B349" s="2" t="s">
        <v>43</v>
      </c>
      <c r="C349" s="2" t="s">
        <v>44</v>
      </c>
      <c r="D349" s="2">
        <v>1309</v>
      </c>
      <c r="E349" s="2" t="s">
        <v>37</v>
      </c>
      <c r="F349" s="2">
        <v>4</v>
      </c>
      <c r="G349" s="2">
        <v>1</v>
      </c>
      <c r="H349" s="2" t="s">
        <v>51</v>
      </c>
      <c r="I349" s="2">
        <v>1</v>
      </c>
      <c r="J349" s="2">
        <v>467</v>
      </c>
      <c r="K349" s="2">
        <v>2</v>
      </c>
      <c r="L349" s="2" t="s">
        <v>46</v>
      </c>
      <c r="M349" s="2">
        <v>99</v>
      </c>
      <c r="N349" s="2">
        <v>3</v>
      </c>
      <c r="O349" s="2">
        <v>2</v>
      </c>
      <c r="P349" s="2" t="s">
        <v>57</v>
      </c>
      <c r="Q349" s="2">
        <v>3</v>
      </c>
      <c r="R349" s="2" t="s">
        <v>41</v>
      </c>
      <c r="S349" s="2">
        <v>2976</v>
      </c>
      <c r="T349" s="2">
        <v>25751</v>
      </c>
      <c r="U349" s="2">
        <v>3</v>
      </c>
      <c r="V349" s="2" t="s">
        <v>42</v>
      </c>
      <c r="W349" s="2" t="s">
        <v>43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</row>
    <row r="350" spans="1:35" x14ac:dyDescent="0.25">
      <c r="A350" s="2">
        <v>42</v>
      </c>
      <c r="B350" s="2" t="s">
        <v>43</v>
      </c>
      <c r="C350" s="2" t="s">
        <v>36</v>
      </c>
      <c r="D350" s="2">
        <v>810</v>
      </c>
      <c r="E350" s="2" t="s">
        <v>45</v>
      </c>
      <c r="F350" s="2">
        <v>23</v>
      </c>
      <c r="G350" s="2">
        <v>5</v>
      </c>
      <c r="H350" s="2" t="s">
        <v>38</v>
      </c>
      <c r="I350" s="2">
        <v>1</v>
      </c>
      <c r="J350" s="2">
        <v>468</v>
      </c>
      <c r="K350" s="2">
        <v>1</v>
      </c>
      <c r="L350" s="2" t="s">
        <v>39</v>
      </c>
      <c r="M350" s="2">
        <v>44</v>
      </c>
      <c r="N350" s="2">
        <v>3</v>
      </c>
      <c r="O350" s="2">
        <v>4</v>
      </c>
      <c r="P350" s="2" t="s">
        <v>58</v>
      </c>
      <c r="Q350" s="2">
        <v>4</v>
      </c>
      <c r="R350" s="2" t="s">
        <v>41</v>
      </c>
      <c r="S350" s="2">
        <v>15992</v>
      </c>
      <c r="T350" s="2">
        <v>15901</v>
      </c>
      <c r="U350" s="2">
        <v>2</v>
      </c>
      <c r="V350" s="2" t="s">
        <v>42</v>
      </c>
      <c r="W350" s="2" t="s">
        <v>43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</row>
    <row r="351" spans="1:35" x14ac:dyDescent="0.25">
      <c r="A351" s="2">
        <v>29</v>
      </c>
      <c r="B351" s="2" t="s">
        <v>43</v>
      </c>
      <c r="C351" s="2" t="s">
        <v>55</v>
      </c>
      <c r="D351" s="2">
        <v>746</v>
      </c>
      <c r="E351" s="2" t="s">
        <v>37</v>
      </c>
      <c r="F351" s="2">
        <v>2</v>
      </c>
      <c r="G351" s="2">
        <v>3</v>
      </c>
      <c r="H351" s="2" t="s">
        <v>38</v>
      </c>
      <c r="I351" s="2">
        <v>1</v>
      </c>
      <c r="J351" s="2">
        <v>469</v>
      </c>
      <c r="K351" s="2">
        <v>4</v>
      </c>
      <c r="L351" s="2" t="s">
        <v>46</v>
      </c>
      <c r="M351" s="2">
        <v>61</v>
      </c>
      <c r="N351" s="2">
        <v>3</v>
      </c>
      <c r="O351" s="2">
        <v>2</v>
      </c>
      <c r="P351" s="2" t="s">
        <v>40</v>
      </c>
      <c r="Q351" s="2">
        <v>3</v>
      </c>
      <c r="R351" s="2" t="s">
        <v>48</v>
      </c>
      <c r="S351" s="2">
        <v>4649</v>
      </c>
      <c r="T351" s="2">
        <v>16928</v>
      </c>
      <c r="U351" s="2">
        <v>1</v>
      </c>
      <c r="V351" s="2" t="s">
        <v>42</v>
      </c>
      <c r="W351" s="2" t="s">
        <v>43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</row>
    <row r="352" spans="1:35" x14ac:dyDescent="0.25">
      <c r="A352" s="2">
        <v>42</v>
      </c>
      <c r="B352" s="2" t="s">
        <v>43</v>
      </c>
      <c r="C352" s="2" t="s">
        <v>36</v>
      </c>
      <c r="D352" s="2">
        <v>544</v>
      </c>
      <c r="E352" s="2" t="s">
        <v>61</v>
      </c>
      <c r="F352" s="2">
        <v>2</v>
      </c>
      <c r="G352" s="2">
        <v>1</v>
      </c>
      <c r="H352" s="2" t="s">
        <v>60</v>
      </c>
      <c r="I352" s="2">
        <v>1</v>
      </c>
      <c r="J352" s="2">
        <v>470</v>
      </c>
      <c r="K352" s="2">
        <v>3</v>
      </c>
      <c r="L352" s="2" t="s">
        <v>46</v>
      </c>
      <c r="M352" s="2">
        <v>52</v>
      </c>
      <c r="N352" s="2">
        <v>3</v>
      </c>
      <c r="O352" s="2">
        <v>1</v>
      </c>
      <c r="P352" s="2" t="s">
        <v>61</v>
      </c>
      <c r="Q352" s="2">
        <v>3</v>
      </c>
      <c r="R352" s="2" t="s">
        <v>52</v>
      </c>
      <c r="S352" s="2">
        <v>2696</v>
      </c>
      <c r="T352" s="2">
        <v>24017</v>
      </c>
      <c r="U352" s="2">
        <v>0</v>
      </c>
      <c r="V352" s="2" t="s">
        <v>42</v>
      </c>
      <c r="W352" s="2" t="s">
        <v>35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</row>
    <row r="353" spans="1:35" x14ac:dyDescent="0.25">
      <c r="A353" s="2">
        <v>32</v>
      </c>
      <c r="B353" s="2" t="s">
        <v>43</v>
      </c>
      <c r="C353" s="2" t="s">
        <v>36</v>
      </c>
      <c r="D353" s="2">
        <v>1062</v>
      </c>
      <c r="E353" s="2" t="s">
        <v>45</v>
      </c>
      <c r="F353" s="2">
        <v>2</v>
      </c>
      <c r="G353" s="2">
        <v>3</v>
      </c>
      <c r="H353" s="2" t="s">
        <v>51</v>
      </c>
      <c r="I353" s="2">
        <v>1</v>
      </c>
      <c r="J353" s="2">
        <v>471</v>
      </c>
      <c r="K353" s="2">
        <v>3</v>
      </c>
      <c r="L353" s="2" t="s">
        <v>39</v>
      </c>
      <c r="M353" s="2">
        <v>75</v>
      </c>
      <c r="N353" s="2">
        <v>3</v>
      </c>
      <c r="O353" s="2">
        <v>1</v>
      </c>
      <c r="P353" s="2" t="s">
        <v>50</v>
      </c>
      <c r="Q353" s="2">
        <v>2</v>
      </c>
      <c r="R353" s="2" t="s">
        <v>48</v>
      </c>
      <c r="S353" s="2">
        <v>2370</v>
      </c>
      <c r="T353" s="2">
        <v>3956</v>
      </c>
      <c r="U353" s="2">
        <v>1</v>
      </c>
      <c r="V353" s="2" t="s">
        <v>42</v>
      </c>
      <c r="W353" s="2" t="s">
        <v>43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</row>
    <row r="354" spans="1:35" x14ac:dyDescent="0.25">
      <c r="A354" s="2">
        <v>48</v>
      </c>
      <c r="B354" s="2" t="s">
        <v>43</v>
      </c>
      <c r="C354" s="2" t="s">
        <v>36</v>
      </c>
      <c r="D354" s="2">
        <v>530</v>
      </c>
      <c r="E354" s="2" t="s">
        <v>37</v>
      </c>
      <c r="F354" s="2">
        <v>29</v>
      </c>
      <c r="G354" s="2">
        <v>1</v>
      </c>
      <c r="H354" s="2" t="s">
        <v>51</v>
      </c>
      <c r="I354" s="2">
        <v>1</v>
      </c>
      <c r="J354" s="2">
        <v>473</v>
      </c>
      <c r="K354" s="2">
        <v>1</v>
      </c>
      <c r="L354" s="2" t="s">
        <v>39</v>
      </c>
      <c r="M354" s="2">
        <v>91</v>
      </c>
      <c r="N354" s="2">
        <v>3</v>
      </c>
      <c r="O354" s="2">
        <v>3</v>
      </c>
      <c r="P354" s="2" t="s">
        <v>56</v>
      </c>
      <c r="Q354" s="2">
        <v>3</v>
      </c>
      <c r="R354" s="2" t="s">
        <v>48</v>
      </c>
      <c r="S354" s="2">
        <v>12504</v>
      </c>
      <c r="T354" s="2">
        <v>23978</v>
      </c>
      <c r="U354" s="2">
        <v>3</v>
      </c>
      <c r="V354" s="2" t="s">
        <v>42</v>
      </c>
      <c r="W354" s="2" t="s">
        <v>43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</row>
    <row r="355" spans="1:35" x14ac:dyDescent="0.25">
      <c r="A355" s="2">
        <v>37</v>
      </c>
      <c r="B355" s="2" t="s">
        <v>43</v>
      </c>
      <c r="C355" s="2" t="s">
        <v>36</v>
      </c>
      <c r="D355" s="2">
        <v>1319</v>
      </c>
      <c r="E355" s="2" t="s">
        <v>45</v>
      </c>
      <c r="F355" s="2">
        <v>6</v>
      </c>
      <c r="G355" s="2">
        <v>3</v>
      </c>
      <c r="H355" s="2" t="s">
        <v>51</v>
      </c>
      <c r="I355" s="2">
        <v>1</v>
      </c>
      <c r="J355" s="2">
        <v>474</v>
      </c>
      <c r="K355" s="2">
        <v>3</v>
      </c>
      <c r="L355" s="2" t="s">
        <v>46</v>
      </c>
      <c r="M355" s="2">
        <v>51</v>
      </c>
      <c r="N355" s="2">
        <v>4</v>
      </c>
      <c r="O355" s="2">
        <v>2</v>
      </c>
      <c r="P355" s="2" t="s">
        <v>47</v>
      </c>
      <c r="Q355" s="2">
        <v>1</v>
      </c>
      <c r="R355" s="2" t="s">
        <v>52</v>
      </c>
      <c r="S355" s="2">
        <v>5974</v>
      </c>
      <c r="T355" s="2">
        <v>17001</v>
      </c>
      <c r="U355" s="2">
        <v>4</v>
      </c>
      <c r="V355" s="2" t="s">
        <v>42</v>
      </c>
      <c r="W355" s="2" t="s">
        <v>35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</row>
    <row r="356" spans="1:35" x14ac:dyDescent="0.25">
      <c r="A356" s="2">
        <v>30</v>
      </c>
      <c r="B356" s="2" t="s">
        <v>43</v>
      </c>
      <c r="C356" s="2" t="s">
        <v>55</v>
      </c>
      <c r="D356" s="2">
        <v>641</v>
      </c>
      <c r="E356" s="2" t="s">
        <v>37</v>
      </c>
      <c r="F356" s="2">
        <v>25</v>
      </c>
      <c r="G356" s="2">
        <v>2</v>
      </c>
      <c r="H356" s="2" t="s">
        <v>60</v>
      </c>
      <c r="I356" s="2">
        <v>1</v>
      </c>
      <c r="J356" s="2">
        <v>475</v>
      </c>
      <c r="K356" s="2">
        <v>4</v>
      </c>
      <c r="L356" s="2" t="s">
        <v>39</v>
      </c>
      <c r="M356" s="2">
        <v>85</v>
      </c>
      <c r="N356" s="2">
        <v>3</v>
      </c>
      <c r="O356" s="2">
        <v>2</v>
      </c>
      <c r="P356" s="2" t="s">
        <v>40</v>
      </c>
      <c r="Q356" s="2">
        <v>3</v>
      </c>
      <c r="R356" s="2" t="s">
        <v>48</v>
      </c>
      <c r="S356" s="2">
        <v>4736</v>
      </c>
      <c r="T356" s="2">
        <v>6069</v>
      </c>
      <c r="U356" s="2">
        <v>7</v>
      </c>
      <c r="V356" s="2" t="s">
        <v>42</v>
      </c>
      <c r="W356" s="2" t="s">
        <v>35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</row>
    <row r="357" spans="1:35" x14ac:dyDescent="0.25">
      <c r="A357" s="2">
        <v>26</v>
      </c>
      <c r="B357" s="2" t="s">
        <v>43</v>
      </c>
      <c r="C357" s="2" t="s">
        <v>36</v>
      </c>
      <c r="D357" s="2">
        <v>933</v>
      </c>
      <c r="E357" s="2" t="s">
        <v>37</v>
      </c>
      <c r="F357" s="2">
        <v>1</v>
      </c>
      <c r="G357" s="2">
        <v>3</v>
      </c>
      <c r="H357" s="2" t="s">
        <v>38</v>
      </c>
      <c r="I357" s="2">
        <v>1</v>
      </c>
      <c r="J357" s="2">
        <v>476</v>
      </c>
      <c r="K357" s="2">
        <v>3</v>
      </c>
      <c r="L357" s="2" t="s">
        <v>46</v>
      </c>
      <c r="M357" s="2">
        <v>57</v>
      </c>
      <c r="N357" s="2">
        <v>3</v>
      </c>
      <c r="O357" s="2">
        <v>2</v>
      </c>
      <c r="P357" s="2" t="s">
        <v>40</v>
      </c>
      <c r="Q357" s="2">
        <v>3</v>
      </c>
      <c r="R357" s="2" t="s">
        <v>48</v>
      </c>
      <c r="S357" s="2">
        <v>5296</v>
      </c>
      <c r="T357" s="2">
        <v>20156</v>
      </c>
      <c r="U357" s="2">
        <v>1</v>
      </c>
      <c r="V357" s="2" t="s">
        <v>42</v>
      </c>
      <c r="W357" s="2" t="s">
        <v>43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</row>
    <row r="358" spans="1:35" x14ac:dyDescent="0.25">
      <c r="A358" s="2">
        <v>42</v>
      </c>
      <c r="B358" s="2" t="s">
        <v>43</v>
      </c>
      <c r="C358" s="2" t="s">
        <v>36</v>
      </c>
      <c r="D358" s="2">
        <v>1332</v>
      </c>
      <c r="E358" s="2" t="s">
        <v>45</v>
      </c>
      <c r="F358" s="2">
        <v>2</v>
      </c>
      <c r="G358" s="2">
        <v>4</v>
      </c>
      <c r="H358" s="2" t="s">
        <v>49</v>
      </c>
      <c r="I358" s="2">
        <v>1</v>
      </c>
      <c r="J358" s="2">
        <v>477</v>
      </c>
      <c r="K358" s="2">
        <v>1</v>
      </c>
      <c r="L358" s="2" t="s">
        <v>46</v>
      </c>
      <c r="M358" s="2">
        <v>98</v>
      </c>
      <c r="N358" s="2">
        <v>2</v>
      </c>
      <c r="O358" s="2">
        <v>2</v>
      </c>
      <c r="P358" s="2" t="s">
        <v>54</v>
      </c>
      <c r="Q358" s="2">
        <v>4</v>
      </c>
      <c r="R358" s="2" t="s">
        <v>41</v>
      </c>
      <c r="S358" s="2">
        <v>6781</v>
      </c>
      <c r="T358" s="2">
        <v>17078</v>
      </c>
      <c r="U358" s="2">
        <v>3</v>
      </c>
      <c r="V358" s="2" t="s">
        <v>42</v>
      </c>
      <c r="W358" s="2" t="s">
        <v>43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</row>
    <row r="359" spans="1:35" x14ac:dyDescent="0.25">
      <c r="A359" s="2">
        <v>21</v>
      </c>
      <c r="B359" s="2" t="s">
        <v>35</v>
      </c>
      <c r="C359" s="2" t="s">
        <v>44</v>
      </c>
      <c r="D359" s="2">
        <v>756</v>
      </c>
      <c r="E359" s="2" t="s">
        <v>37</v>
      </c>
      <c r="F359" s="2">
        <v>1</v>
      </c>
      <c r="G359" s="2">
        <v>1</v>
      </c>
      <c r="H359" s="2" t="s">
        <v>60</v>
      </c>
      <c r="I359" s="2">
        <v>1</v>
      </c>
      <c r="J359" s="2">
        <v>478</v>
      </c>
      <c r="K359" s="2">
        <v>1</v>
      </c>
      <c r="L359" s="2" t="s">
        <v>39</v>
      </c>
      <c r="M359" s="2">
        <v>99</v>
      </c>
      <c r="N359" s="2">
        <v>2</v>
      </c>
      <c r="O359" s="2">
        <v>1</v>
      </c>
      <c r="P359" s="2" t="s">
        <v>57</v>
      </c>
      <c r="Q359" s="2">
        <v>2</v>
      </c>
      <c r="R359" s="2" t="s">
        <v>41</v>
      </c>
      <c r="S359" s="2">
        <v>2174</v>
      </c>
      <c r="T359" s="2">
        <v>9150</v>
      </c>
      <c r="U359" s="2">
        <v>1</v>
      </c>
      <c r="V359" s="2" t="s">
        <v>42</v>
      </c>
      <c r="W359" s="2" t="s">
        <v>35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</row>
    <row r="360" spans="1:35" x14ac:dyDescent="0.25">
      <c r="A360" s="2">
        <v>36</v>
      </c>
      <c r="B360" s="2" t="s">
        <v>43</v>
      </c>
      <c r="C360" s="2" t="s">
        <v>55</v>
      </c>
      <c r="D360" s="2">
        <v>845</v>
      </c>
      <c r="E360" s="2" t="s">
        <v>37</v>
      </c>
      <c r="F360" s="2">
        <v>1</v>
      </c>
      <c r="G360" s="2">
        <v>5</v>
      </c>
      <c r="H360" s="2" t="s">
        <v>51</v>
      </c>
      <c r="I360" s="2">
        <v>1</v>
      </c>
      <c r="J360" s="2">
        <v>479</v>
      </c>
      <c r="K360" s="2">
        <v>4</v>
      </c>
      <c r="L360" s="2" t="s">
        <v>39</v>
      </c>
      <c r="M360" s="2">
        <v>45</v>
      </c>
      <c r="N360" s="2">
        <v>3</v>
      </c>
      <c r="O360" s="2">
        <v>2</v>
      </c>
      <c r="P360" s="2" t="s">
        <v>40</v>
      </c>
      <c r="Q360" s="2">
        <v>4</v>
      </c>
      <c r="R360" s="2" t="s">
        <v>41</v>
      </c>
      <c r="S360" s="2">
        <v>6653</v>
      </c>
      <c r="T360" s="2">
        <v>15276</v>
      </c>
      <c r="U360" s="2">
        <v>4</v>
      </c>
      <c r="V360" s="2" t="s">
        <v>42</v>
      </c>
      <c r="W360" s="2" t="s">
        <v>43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</row>
    <row r="361" spans="1:35" x14ac:dyDescent="0.25">
      <c r="A361" s="2">
        <v>36</v>
      </c>
      <c r="B361" s="2" t="s">
        <v>43</v>
      </c>
      <c r="C361" s="2" t="s">
        <v>44</v>
      </c>
      <c r="D361" s="2">
        <v>541</v>
      </c>
      <c r="E361" s="2" t="s">
        <v>37</v>
      </c>
      <c r="F361" s="2">
        <v>3</v>
      </c>
      <c r="G361" s="2">
        <v>4</v>
      </c>
      <c r="H361" s="2" t="s">
        <v>51</v>
      </c>
      <c r="I361" s="2">
        <v>1</v>
      </c>
      <c r="J361" s="2">
        <v>481</v>
      </c>
      <c r="K361" s="2">
        <v>1</v>
      </c>
      <c r="L361" s="2" t="s">
        <v>46</v>
      </c>
      <c r="M361" s="2">
        <v>48</v>
      </c>
      <c r="N361" s="2">
        <v>2</v>
      </c>
      <c r="O361" s="2">
        <v>3</v>
      </c>
      <c r="P361" s="2" t="s">
        <v>40</v>
      </c>
      <c r="Q361" s="2">
        <v>4</v>
      </c>
      <c r="R361" s="2" t="s">
        <v>48</v>
      </c>
      <c r="S361" s="2">
        <v>9699</v>
      </c>
      <c r="T361" s="2">
        <v>7246</v>
      </c>
      <c r="U361" s="2">
        <v>4</v>
      </c>
      <c r="V361" s="2" t="s">
        <v>42</v>
      </c>
      <c r="W361" s="2" t="s">
        <v>43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</row>
    <row r="362" spans="1:35" x14ac:dyDescent="0.25">
      <c r="A362" s="2">
        <v>57</v>
      </c>
      <c r="B362" s="2" t="s">
        <v>43</v>
      </c>
      <c r="C362" s="2" t="s">
        <v>36</v>
      </c>
      <c r="D362" s="2">
        <v>593</v>
      </c>
      <c r="E362" s="2" t="s">
        <v>45</v>
      </c>
      <c r="F362" s="2">
        <v>1</v>
      </c>
      <c r="G362" s="2">
        <v>4</v>
      </c>
      <c r="H362" s="2" t="s">
        <v>51</v>
      </c>
      <c r="I362" s="2">
        <v>1</v>
      </c>
      <c r="J362" s="2">
        <v>482</v>
      </c>
      <c r="K362" s="2">
        <v>4</v>
      </c>
      <c r="L362" s="2" t="s">
        <v>46</v>
      </c>
      <c r="M362" s="2">
        <v>88</v>
      </c>
      <c r="N362" s="2">
        <v>3</v>
      </c>
      <c r="O362" s="2">
        <v>2</v>
      </c>
      <c r="P362" s="2" t="s">
        <v>54</v>
      </c>
      <c r="Q362" s="2">
        <v>3</v>
      </c>
      <c r="R362" s="2" t="s">
        <v>48</v>
      </c>
      <c r="S362" s="2">
        <v>6755</v>
      </c>
      <c r="T362" s="2">
        <v>2967</v>
      </c>
      <c r="U362" s="2">
        <v>2</v>
      </c>
      <c r="V362" s="2" t="s">
        <v>42</v>
      </c>
      <c r="W362" s="2" t="s">
        <v>43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</row>
    <row r="363" spans="1:35" x14ac:dyDescent="0.25">
      <c r="A363" s="2">
        <v>40</v>
      </c>
      <c r="B363" s="2" t="s">
        <v>43</v>
      </c>
      <c r="C363" s="2" t="s">
        <v>36</v>
      </c>
      <c r="D363" s="2">
        <v>1171</v>
      </c>
      <c r="E363" s="2" t="s">
        <v>45</v>
      </c>
      <c r="F363" s="2">
        <v>10</v>
      </c>
      <c r="G363" s="2">
        <v>4</v>
      </c>
      <c r="H363" s="2" t="s">
        <v>38</v>
      </c>
      <c r="I363" s="2">
        <v>1</v>
      </c>
      <c r="J363" s="2">
        <v>483</v>
      </c>
      <c r="K363" s="2">
        <v>4</v>
      </c>
      <c r="L363" s="2" t="s">
        <v>39</v>
      </c>
      <c r="M363" s="2">
        <v>46</v>
      </c>
      <c r="N363" s="2">
        <v>4</v>
      </c>
      <c r="O363" s="2">
        <v>1</v>
      </c>
      <c r="P363" s="2" t="s">
        <v>50</v>
      </c>
      <c r="Q363" s="2">
        <v>3</v>
      </c>
      <c r="R363" s="2" t="s">
        <v>48</v>
      </c>
      <c r="S363" s="2">
        <v>2213</v>
      </c>
      <c r="T363" s="2">
        <v>22495</v>
      </c>
      <c r="U363" s="2">
        <v>3</v>
      </c>
      <c r="V363" s="2" t="s">
        <v>42</v>
      </c>
      <c r="W363" s="2" t="s">
        <v>35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</row>
    <row r="364" spans="1:35" x14ac:dyDescent="0.25">
      <c r="A364" s="2">
        <v>21</v>
      </c>
      <c r="B364" s="2" t="s">
        <v>43</v>
      </c>
      <c r="C364" s="2" t="s">
        <v>55</v>
      </c>
      <c r="D364" s="2">
        <v>895</v>
      </c>
      <c r="E364" s="2" t="s">
        <v>37</v>
      </c>
      <c r="F364" s="2">
        <v>9</v>
      </c>
      <c r="G364" s="2">
        <v>2</v>
      </c>
      <c r="H364" s="2" t="s">
        <v>51</v>
      </c>
      <c r="I364" s="2">
        <v>1</v>
      </c>
      <c r="J364" s="2">
        <v>484</v>
      </c>
      <c r="K364" s="2">
        <v>1</v>
      </c>
      <c r="L364" s="2" t="s">
        <v>46</v>
      </c>
      <c r="M364" s="2">
        <v>39</v>
      </c>
      <c r="N364" s="2">
        <v>3</v>
      </c>
      <c r="O364" s="2">
        <v>1</v>
      </c>
      <c r="P364" s="2" t="s">
        <v>57</v>
      </c>
      <c r="Q364" s="2">
        <v>4</v>
      </c>
      <c r="R364" s="2" t="s">
        <v>41</v>
      </c>
      <c r="S364" s="2">
        <v>2610</v>
      </c>
      <c r="T364" s="2">
        <v>2851</v>
      </c>
      <c r="U364" s="2">
        <v>1</v>
      </c>
      <c r="V364" s="2" t="s">
        <v>42</v>
      </c>
      <c r="W364" s="2" t="s">
        <v>43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</row>
    <row r="365" spans="1:35" x14ac:dyDescent="0.25">
      <c r="A365" s="2">
        <v>33</v>
      </c>
      <c r="B365" s="2" t="s">
        <v>35</v>
      </c>
      <c r="C365" s="2" t="s">
        <v>36</v>
      </c>
      <c r="D365" s="2">
        <v>350</v>
      </c>
      <c r="E365" s="2" t="s">
        <v>37</v>
      </c>
      <c r="F365" s="2">
        <v>5</v>
      </c>
      <c r="G365" s="2">
        <v>3</v>
      </c>
      <c r="H365" s="2" t="s">
        <v>59</v>
      </c>
      <c r="I365" s="2">
        <v>1</v>
      </c>
      <c r="J365" s="2">
        <v>485</v>
      </c>
      <c r="K365" s="2">
        <v>4</v>
      </c>
      <c r="L365" s="2" t="s">
        <v>39</v>
      </c>
      <c r="M365" s="2">
        <v>34</v>
      </c>
      <c r="N365" s="2">
        <v>3</v>
      </c>
      <c r="O365" s="2">
        <v>1</v>
      </c>
      <c r="P365" s="2" t="s">
        <v>57</v>
      </c>
      <c r="Q365" s="2">
        <v>3</v>
      </c>
      <c r="R365" s="2" t="s">
        <v>41</v>
      </c>
      <c r="S365" s="2">
        <v>2851</v>
      </c>
      <c r="T365" s="2">
        <v>9150</v>
      </c>
      <c r="U365" s="2">
        <v>1</v>
      </c>
      <c r="V365" s="2" t="s">
        <v>42</v>
      </c>
      <c r="W365" s="2" t="s">
        <v>35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</row>
    <row r="366" spans="1:35" x14ac:dyDescent="0.25">
      <c r="A366" s="2">
        <v>37</v>
      </c>
      <c r="B366" s="2" t="s">
        <v>43</v>
      </c>
      <c r="C366" s="2" t="s">
        <v>36</v>
      </c>
      <c r="D366" s="2">
        <v>921</v>
      </c>
      <c r="E366" s="2" t="s">
        <v>45</v>
      </c>
      <c r="F366" s="2">
        <v>10</v>
      </c>
      <c r="G366" s="2">
        <v>3</v>
      </c>
      <c r="H366" s="2" t="s">
        <v>51</v>
      </c>
      <c r="I366" s="2">
        <v>1</v>
      </c>
      <c r="J366" s="2">
        <v>486</v>
      </c>
      <c r="K366" s="2">
        <v>3</v>
      </c>
      <c r="L366" s="2" t="s">
        <v>39</v>
      </c>
      <c r="M366" s="2">
        <v>98</v>
      </c>
      <c r="N366" s="2">
        <v>3</v>
      </c>
      <c r="O366" s="2">
        <v>1</v>
      </c>
      <c r="P366" s="2" t="s">
        <v>50</v>
      </c>
      <c r="Q366" s="2">
        <v>1</v>
      </c>
      <c r="R366" s="2" t="s">
        <v>48</v>
      </c>
      <c r="S366" s="2">
        <v>3452</v>
      </c>
      <c r="T366" s="2">
        <v>17663</v>
      </c>
      <c r="U366" s="2">
        <v>6</v>
      </c>
      <c r="V366" s="2" t="s">
        <v>42</v>
      </c>
      <c r="W366" s="2" t="s">
        <v>43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</row>
    <row r="367" spans="1:35" x14ac:dyDescent="0.25">
      <c r="A367" s="2">
        <v>46</v>
      </c>
      <c r="B367" s="2" t="s">
        <v>43</v>
      </c>
      <c r="C367" s="2" t="s">
        <v>55</v>
      </c>
      <c r="D367" s="2">
        <v>1144</v>
      </c>
      <c r="E367" s="2" t="s">
        <v>45</v>
      </c>
      <c r="F367" s="2">
        <v>7</v>
      </c>
      <c r="G367" s="2">
        <v>4</v>
      </c>
      <c r="H367" s="2" t="s">
        <v>51</v>
      </c>
      <c r="I367" s="2">
        <v>1</v>
      </c>
      <c r="J367" s="2">
        <v>487</v>
      </c>
      <c r="K367" s="2">
        <v>3</v>
      </c>
      <c r="L367" s="2" t="s">
        <v>39</v>
      </c>
      <c r="M367" s="2">
        <v>30</v>
      </c>
      <c r="N367" s="2">
        <v>3</v>
      </c>
      <c r="O367" s="2">
        <v>2</v>
      </c>
      <c r="P367" s="2" t="s">
        <v>53</v>
      </c>
      <c r="Q367" s="2">
        <v>3</v>
      </c>
      <c r="R367" s="2" t="s">
        <v>48</v>
      </c>
      <c r="S367" s="2">
        <v>5258</v>
      </c>
      <c r="T367" s="2">
        <v>16044</v>
      </c>
      <c r="U367" s="2">
        <v>2</v>
      </c>
      <c r="V367" s="2" t="s">
        <v>42</v>
      </c>
      <c r="W367" s="2" t="s">
        <v>43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</row>
    <row r="368" spans="1:35" x14ac:dyDescent="0.25">
      <c r="A368" s="2">
        <v>41</v>
      </c>
      <c r="B368" s="2" t="s">
        <v>35</v>
      </c>
      <c r="C368" s="2" t="s">
        <v>44</v>
      </c>
      <c r="D368" s="2">
        <v>143</v>
      </c>
      <c r="E368" s="2" t="s">
        <v>37</v>
      </c>
      <c r="F368" s="2">
        <v>4</v>
      </c>
      <c r="G368" s="2">
        <v>3</v>
      </c>
      <c r="H368" s="2" t="s">
        <v>59</v>
      </c>
      <c r="I368" s="2">
        <v>1</v>
      </c>
      <c r="J368" s="2">
        <v>488</v>
      </c>
      <c r="K368" s="2">
        <v>1</v>
      </c>
      <c r="L368" s="2" t="s">
        <v>46</v>
      </c>
      <c r="M368" s="2">
        <v>56</v>
      </c>
      <c r="N368" s="2">
        <v>3</v>
      </c>
      <c r="O368" s="2">
        <v>2</v>
      </c>
      <c r="P368" s="2" t="s">
        <v>40</v>
      </c>
      <c r="Q368" s="2">
        <v>2</v>
      </c>
      <c r="R368" s="2" t="s">
        <v>41</v>
      </c>
      <c r="S368" s="2">
        <v>9355</v>
      </c>
      <c r="T368" s="2">
        <v>9558</v>
      </c>
      <c r="U368" s="2">
        <v>1</v>
      </c>
      <c r="V368" s="2" t="s">
        <v>42</v>
      </c>
      <c r="W368" s="2" t="s">
        <v>43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</row>
    <row r="369" spans="1:35" x14ac:dyDescent="0.25">
      <c r="A369" s="2">
        <v>50</v>
      </c>
      <c r="B369" s="2" t="s">
        <v>43</v>
      </c>
      <c r="C369" s="2" t="s">
        <v>36</v>
      </c>
      <c r="D369" s="2">
        <v>1046</v>
      </c>
      <c r="E369" s="2" t="s">
        <v>45</v>
      </c>
      <c r="F369" s="2">
        <v>10</v>
      </c>
      <c r="G369" s="2">
        <v>3</v>
      </c>
      <c r="H369" s="2" t="s">
        <v>60</v>
      </c>
      <c r="I369" s="2">
        <v>1</v>
      </c>
      <c r="J369" s="2">
        <v>491</v>
      </c>
      <c r="K369" s="2">
        <v>4</v>
      </c>
      <c r="L369" s="2" t="s">
        <v>46</v>
      </c>
      <c r="M369" s="2">
        <v>100</v>
      </c>
      <c r="N369" s="2">
        <v>2</v>
      </c>
      <c r="O369" s="2">
        <v>3</v>
      </c>
      <c r="P369" s="2" t="s">
        <v>54</v>
      </c>
      <c r="Q369" s="2">
        <v>4</v>
      </c>
      <c r="R369" s="2" t="s">
        <v>41</v>
      </c>
      <c r="S369" s="2">
        <v>10496</v>
      </c>
      <c r="T369" s="2">
        <v>2755</v>
      </c>
      <c r="U369" s="2">
        <v>6</v>
      </c>
      <c r="V369" s="2" t="s">
        <v>42</v>
      </c>
      <c r="W369" s="2" t="s">
        <v>43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</row>
    <row r="370" spans="1:35" x14ac:dyDescent="0.25">
      <c r="A370" s="2">
        <v>40</v>
      </c>
      <c r="B370" s="2" t="s">
        <v>35</v>
      </c>
      <c r="C370" s="2" t="s">
        <v>36</v>
      </c>
      <c r="D370" s="2">
        <v>575</v>
      </c>
      <c r="E370" s="2" t="s">
        <v>37</v>
      </c>
      <c r="F370" s="2">
        <v>22</v>
      </c>
      <c r="G370" s="2">
        <v>2</v>
      </c>
      <c r="H370" s="2" t="s">
        <v>59</v>
      </c>
      <c r="I370" s="2">
        <v>1</v>
      </c>
      <c r="J370" s="2">
        <v>492</v>
      </c>
      <c r="K370" s="2">
        <v>3</v>
      </c>
      <c r="L370" s="2" t="s">
        <v>46</v>
      </c>
      <c r="M370" s="2">
        <v>68</v>
      </c>
      <c r="N370" s="2">
        <v>2</v>
      </c>
      <c r="O370" s="2">
        <v>2</v>
      </c>
      <c r="P370" s="2" t="s">
        <v>40</v>
      </c>
      <c r="Q370" s="2">
        <v>3</v>
      </c>
      <c r="R370" s="2" t="s">
        <v>48</v>
      </c>
      <c r="S370" s="2">
        <v>6380</v>
      </c>
      <c r="T370" s="2">
        <v>6110</v>
      </c>
      <c r="U370" s="2">
        <v>2</v>
      </c>
      <c r="V370" s="2" t="s">
        <v>42</v>
      </c>
      <c r="W370" s="2" t="s">
        <v>35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</row>
    <row r="371" spans="1:35" x14ac:dyDescent="0.25">
      <c r="A371" s="2">
        <v>31</v>
      </c>
      <c r="B371" s="2" t="s">
        <v>43</v>
      </c>
      <c r="C371" s="2" t="s">
        <v>36</v>
      </c>
      <c r="D371" s="2">
        <v>408</v>
      </c>
      <c r="E371" s="2" t="s">
        <v>45</v>
      </c>
      <c r="F371" s="2">
        <v>9</v>
      </c>
      <c r="G371" s="2">
        <v>4</v>
      </c>
      <c r="H371" s="2" t="s">
        <v>38</v>
      </c>
      <c r="I371" s="2">
        <v>1</v>
      </c>
      <c r="J371" s="2">
        <v>493</v>
      </c>
      <c r="K371" s="2">
        <v>3</v>
      </c>
      <c r="L371" s="2" t="s">
        <v>46</v>
      </c>
      <c r="M371" s="2">
        <v>42</v>
      </c>
      <c r="N371" s="2">
        <v>2</v>
      </c>
      <c r="O371" s="2">
        <v>1</v>
      </c>
      <c r="P371" s="2" t="s">
        <v>47</v>
      </c>
      <c r="Q371" s="2">
        <v>2</v>
      </c>
      <c r="R371" s="2" t="s">
        <v>41</v>
      </c>
      <c r="S371" s="2">
        <v>2657</v>
      </c>
      <c r="T371" s="2">
        <v>7551</v>
      </c>
      <c r="U371" s="2">
        <v>0</v>
      </c>
      <c r="V371" s="2" t="s">
        <v>42</v>
      </c>
      <c r="W371" s="2" t="s">
        <v>35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</row>
    <row r="372" spans="1:35" x14ac:dyDescent="0.25">
      <c r="A372" s="2">
        <v>21</v>
      </c>
      <c r="B372" s="2" t="s">
        <v>35</v>
      </c>
      <c r="C372" s="2" t="s">
        <v>36</v>
      </c>
      <c r="D372" s="2">
        <v>156</v>
      </c>
      <c r="E372" s="2" t="s">
        <v>37</v>
      </c>
      <c r="F372" s="2">
        <v>12</v>
      </c>
      <c r="G372" s="2">
        <v>3</v>
      </c>
      <c r="H372" s="2" t="s">
        <v>38</v>
      </c>
      <c r="I372" s="2">
        <v>1</v>
      </c>
      <c r="J372" s="2">
        <v>494</v>
      </c>
      <c r="K372" s="2">
        <v>3</v>
      </c>
      <c r="L372" s="2" t="s">
        <v>39</v>
      </c>
      <c r="M372" s="2">
        <v>90</v>
      </c>
      <c r="N372" s="2">
        <v>4</v>
      </c>
      <c r="O372" s="2">
        <v>1</v>
      </c>
      <c r="P372" s="2" t="s">
        <v>57</v>
      </c>
      <c r="Q372" s="2">
        <v>2</v>
      </c>
      <c r="R372" s="2" t="s">
        <v>41</v>
      </c>
      <c r="S372" s="2">
        <v>2716</v>
      </c>
      <c r="T372" s="2">
        <v>25422</v>
      </c>
      <c r="U372" s="2">
        <v>1</v>
      </c>
      <c r="V372" s="2" t="s">
        <v>42</v>
      </c>
      <c r="W372" s="2" t="s">
        <v>43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</row>
    <row r="373" spans="1:35" x14ac:dyDescent="0.25">
      <c r="A373" s="2">
        <v>29</v>
      </c>
      <c r="B373" s="2" t="s">
        <v>43</v>
      </c>
      <c r="C373" s="2" t="s">
        <v>36</v>
      </c>
      <c r="D373" s="2">
        <v>1283</v>
      </c>
      <c r="E373" s="2" t="s">
        <v>45</v>
      </c>
      <c r="F373" s="2">
        <v>23</v>
      </c>
      <c r="G373" s="2">
        <v>3</v>
      </c>
      <c r="H373" s="2" t="s">
        <v>38</v>
      </c>
      <c r="I373" s="2">
        <v>1</v>
      </c>
      <c r="J373" s="2">
        <v>495</v>
      </c>
      <c r="K373" s="2">
        <v>4</v>
      </c>
      <c r="L373" s="2" t="s">
        <v>46</v>
      </c>
      <c r="M373" s="2">
        <v>54</v>
      </c>
      <c r="N373" s="2">
        <v>3</v>
      </c>
      <c r="O373" s="2">
        <v>1</v>
      </c>
      <c r="P373" s="2" t="s">
        <v>47</v>
      </c>
      <c r="Q373" s="2">
        <v>4</v>
      </c>
      <c r="R373" s="2" t="s">
        <v>41</v>
      </c>
      <c r="S373" s="2">
        <v>2201</v>
      </c>
      <c r="T373" s="2">
        <v>18168</v>
      </c>
      <c r="U373" s="2">
        <v>9</v>
      </c>
      <c r="V373" s="2" t="s">
        <v>42</v>
      </c>
      <c r="W373" s="2" t="s">
        <v>43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</row>
    <row r="374" spans="1:35" x14ac:dyDescent="0.25">
      <c r="A374" s="2">
        <v>35</v>
      </c>
      <c r="B374" s="2" t="s">
        <v>43</v>
      </c>
      <c r="C374" s="2" t="s">
        <v>36</v>
      </c>
      <c r="D374" s="2">
        <v>755</v>
      </c>
      <c r="E374" s="2" t="s">
        <v>45</v>
      </c>
      <c r="F374" s="2">
        <v>9</v>
      </c>
      <c r="G374" s="2">
        <v>4</v>
      </c>
      <c r="H374" s="2" t="s">
        <v>38</v>
      </c>
      <c r="I374" s="2">
        <v>1</v>
      </c>
      <c r="J374" s="2">
        <v>496</v>
      </c>
      <c r="K374" s="2">
        <v>3</v>
      </c>
      <c r="L374" s="2" t="s">
        <v>46</v>
      </c>
      <c r="M374" s="2">
        <v>97</v>
      </c>
      <c r="N374" s="2">
        <v>2</v>
      </c>
      <c r="O374" s="2">
        <v>2</v>
      </c>
      <c r="P374" s="2" t="s">
        <v>54</v>
      </c>
      <c r="Q374" s="2">
        <v>2</v>
      </c>
      <c r="R374" s="2" t="s">
        <v>41</v>
      </c>
      <c r="S374" s="2">
        <v>6540</v>
      </c>
      <c r="T374" s="2">
        <v>19394</v>
      </c>
      <c r="U374" s="2">
        <v>9</v>
      </c>
      <c r="V374" s="2" t="s">
        <v>42</v>
      </c>
      <c r="W374" s="2" t="s">
        <v>43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</row>
    <row r="375" spans="1:35" x14ac:dyDescent="0.25">
      <c r="A375" s="2">
        <v>27</v>
      </c>
      <c r="B375" s="2" t="s">
        <v>43</v>
      </c>
      <c r="C375" s="2" t="s">
        <v>36</v>
      </c>
      <c r="D375" s="2">
        <v>1469</v>
      </c>
      <c r="E375" s="2" t="s">
        <v>45</v>
      </c>
      <c r="F375" s="2">
        <v>1</v>
      </c>
      <c r="G375" s="2">
        <v>2</v>
      </c>
      <c r="H375" s="2" t="s">
        <v>51</v>
      </c>
      <c r="I375" s="2">
        <v>1</v>
      </c>
      <c r="J375" s="2">
        <v>497</v>
      </c>
      <c r="K375" s="2">
        <v>4</v>
      </c>
      <c r="L375" s="2" t="s">
        <v>46</v>
      </c>
      <c r="M375" s="2">
        <v>82</v>
      </c>
      <c r="N375" s="2">
        <v>3</v>
      </c>
      <c r="O375" s="2">
        <v>1</v>
      </c>
      <c r="P375" s="2" t="s">
        <v>50</v>
      </c>
      <c r="Q375" s="2">
        <v>2</v>
      </c>
      <c r="R375" s="2" t="s">
        <v>52</v>
      </c>
      <c r="S375" s="2">
        <v>3816</v>
      </c>
      <c r="T375" s="2">
        <v>17881</v>
      </c>
      <c r="U375" s="2">
        <v>1</v>
      </c>
      <c r="V375" s="2" t="s">
        <v>42</v>
      </c>
      <c r="W375" s="2" t="s">
        <v>43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</row>
    <row r="376" spans="1:35" x14ac:dyDescent="0.25">
      <c r="A376" s="2">
        <v>28</v>
      </c>
      <c r="B376" s="2" t="s">
        <v>43</v>
      </c>
      <c r="C376" s="2" t="s">
        <v>36</v>
      </c>
      <c r="D376" s="2">
        <v>304</v>
      </c>
      <c r="E376" s="2" t="s">
        <v>37</v>
      </c>
      <c r="F376" s="2">
        <v>9</v>
      </c>
      <c r="G376" s="2">
        <v>4</v>
      </c>
      <c r="H376" s="2" t="s">
        <v>38</v>
      </c>
      <c r="I376" s="2">
        <v>1</v>
      </c>
      <c r="J376" s="2">
        <v>498</v>
      </c>
      <c r="K376" s="2">
        <v>2</v>
      </c>
      <c r="L376" s="2" t="s">
        <v>46</v>
      </c>
      <c r="M376" s="2">
        <v>92</v>
      </c>
      <c r="N376" s="2">
        <v>3</v>
      </c>
      <c r="O376" s="2">
        <v>2</v>
      </c>
      <c r="P376" s="2" t="s">
        <v>40</v>
      </c>
      <c r="Q376" s="2">
        <v>4</v>
      </c>
      <c r="R376" s="2" t="s">
        <v>41</v>
      </c>
      <c r="S376" s="2">
        <v>5253</v>
      </c>
      <c r="T376" s="2">
        <v>20750</v>
      </c>
      <c r="U376" s="2">
        <v>1</v>
      </c>
      <c r="V376" s="2" t="s">
        <v>42</v>
      </c>
      <c r="W376" s="2" t="s">
        <v>43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</row>
    <row r="377" spans="1:35" x14ac:dyDescent="0.25">
      <c r="A377" s="2">
        <v>49</v>
      </c>
      <c r="B377" s="2" t="s">
        <v>43</v>
      </c>
      <c r="C377" s="2" t="s">
        <v>36</v>
      </c>
      <c r="D377" s="2">
        <v>1261</v>
      </c>
      <c r="E377" s="2" t="s">
        <v>45</v>
      </c>
      <c r="F377" s="2">
        <v>7</v>
      </c>
      <c r="G377" s="2">
        <v>3</v>
      </c>
      <c r="H377" s="2" t="s">
        <v>49</v>
      </c>
      <c r="I377" s="2">
        <v>1</v>
      </c>
      <c r="J377" s="2">
        <v>499</v>
      </c>
      <c r="K377" s="2">
        <v>2</v>
      </c>
      <c r="L377" s="2" t="s">
        <v>46</v>
      </c>
      <c r="M377" s="2">
        <v>31</v>
      </c>
      <c r="N377" s="2">
        <v>2</v>
      </c>
      <c r="O377" s="2">
        <v>3</v>
      </c>
      <c r="P377" s="2" t="s">
        <v>54</v>
      </c>
      <c r="Q377" s="2">
        <v>3</v>
      </c>
      <c r="R377" s="2" t="s">
        <v>41</v>
      </c>
      <c r="S377" s="2">
        <v>10965</v>
      </c>
      <c r="T377" s="2">
        <v>12066</v>
      </c>
      <c r="U377" s="2">
        <v>8</v>
      </c>
      <c r="V377" s="2" t="s">
        <v>42</v>
      </c>
      <c r="W377" s="2" t="s">
        <v>43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</row>
    <row r="378" spans="1:35" x14ac:dyDescent="0.25">
      <c r="A378" s="2">
        <v>51</v>
      </c>
      <c r="B378" s="2" t="s">
        <v>43</v>
      </c>
      <c r="C378" s="2" t="s">
        <v>36</v>
      </c>
      <c r="D378" s="2">
        <v>1178</v>
      </c>
      <c r="E378" s="2" t="s">
        <v>37</v>
      </c>
      <c r="F378" s="2">
        <v>14</v>
      </c>
      <c r="G378" s="2">
        <v>2</v>
      </c>
      <c r="H378" s="2" t="s">
        <v>38</v>
      </c>
      <c r="I378" s="2">
        <v>1</v>
      </c>
      <c r="J378" s="2">
        <v>500</v>
      </c>
      <c r="K378" s="2">
        <v>3</v>
      </c>
      <c r="L378" s="2" t="s">
        <v>39</v>
      </c>
      <c r="M378" s="2">
        <v>87</v>
      </c>
      <c r="N378" s="2">
        <v>3</v>
      </c>
      <c r="O378" s="2">
        <v>2</v>
      </c>
      <c r="P378" s="2" t="s">
        <v>40</v>
      </c>
      <c r="Q378" s="2">
        <v>4</v>
      </c>
      <c r="R378" s="2" t="s">
        <v>48</v>
      </c>
      <c r="S378" s="2">
        <v>4936</v>
      </c>
      <c r="T378" s="2">
        <v>14862</v>
      </c>
      <c r="U378" s="2">
        <v>4</v>
      </c>
      <c r="V378" s="2" t="s">
        <v>42</v>
      </c>
      <c r="W378" s="2" t="s">
        <v>43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</row>
    <row r="379" spans="1:35" x14ac:dyDescent="0.25">
      <c r="A379" s="2">
        <v>36</v>
      </c>
      <c r="B379" s="2" t="s">
        <v>43</v>
      </c>
      <c r="C379" s="2" t="s">
        <v>36</v>
      </c>
      <c r="D379" s="2">
        <v>329</v>
      </c>
      <c r="E379" s="2" t="s">
        <v>45</v>
      </c>
      <c r="F379" s="2">
        <v>2</v>
      </c>
      <c r="G379" s="2">
        <v>3</v>
      </c>
      <c r="H379" s="2" t="s">
        <v>38</v>
      </c>
      <c r="I379" s="2">
        <v>1</v>
      </c>
      <c r="J379" s="2">
        <v>501</v>
      </c>
      <c r="K379" s="2">
        <v>4</v>
      </c>
      <c r="L379" s="2" t="s">
        <v>39</v>
      </c>
      <c r="M379" s="2">
        <v>96</v>
      </c>
      <c r="N379" s="2">
        <v>3</v>
      </c>
      <c r="O379" s="2">
        <v>1</v>
      </c>
      <c r="P379" s="2" t="s">
        <v>47</v>
      </c>
      <c r="Q379" s="2">
        <v>3</v>
      </c>
      <c r="R379" s="2" t="s">
        <v>48</v>
      </c>
      <c r="S379" s="2">
        <v>2543</v>
      </c>
      <c r="T379" s="2">
        <v>11868</v>
      </c>
      <c r="U379" s="2">
        <v>4</v>
      </c>
      <c r="V379" s="2" t="s">
        <v>42</v>
      </c>
      <c r="W379" s="2" t="s">
        <v>43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</row>
    <row r="380" spans="1:35" x14ac:dyDescent="0.25">
      <c r="A380" s="2">
        <v>34</v>
      </c>
      <c r="B380" s="2" t="s">
        <v>35</v>
      </c>
      <c r="C380" s="2" t="s">
        <v>55</v>
      </c>
      <c r="D380" s="2">
        <v>1362</v>
      </c>
      <c r="E380" s="2" t="s">
        <v>37</v>
      </c>
      <c r="F380" s="2">
        <v>19</v>
      </c>
      <c r="G380" s="2">
        <v>3</v>
      </c>
      <c r="H380" s="2" t="s">
        <v>59</v>
      </c>
      <c r="I380" s="2">
        <v>1</v>
      </c>
      <c r="J380" s="2">
        <v>502</v>
      </c>
      <c r="K380" s="2">
        <v>1</v>
      </c>
      <c r="L380" s="2" t="s">
        <v>46</v>
      </c>
      <c r="M380" s="2">
        <v>67</v>
      </c>
      <c r="N380" s="2">
        <v>4</v>
      </c>
      <c r="O380" s="2">
        <v>2</v>
      </c>
      <c r="P380" s="2" t="s">
        <v>40</v>
      </c>
      <c r="Q380" s="2">
        <v>4</v>
      </c>
      <c r="R380" s="2" t="s">
        <v>41</v>
      </c>
      <c r="S380" s="2">
        <v>5304</v>
      </c>
      <c r="T380" s="2">
        <v>4652</v>
      </c>
      <c r="U380" s="2">
        <v>8</v>
      </c>
      <c r="V380" s="2" t="s">
        <v>42</v>
      </c>
      <c r="W380" s="2" t="s">
        <v>35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</row>
    <row r="381" spans="1:35" x14ac:dyDescent="0.25">
      <c r="A381" s="2">
        <v>55</v>
      </c>
      <c r="B381" s="2" t="s">
        <v>43</v>
      </c>
      <c r="C381" s="2" t="s">
        <v>36</v>
      </c>
      <c r="D381" s="2">
        <v>1311</v>
      </c>
      <c r="E381" s="2" t="s">
        <v>45</v>
      </c>
      <c r="F381" s="2">
        <v>2</v>
      </c>
      <c r="G381" s="2">
        <v>3</v>
      </c>
      <c r="H381" s="2" t="s">
        <v>38</v>
      </c>
      <c r="I381" s="2">
        <v>1</v>
      </c>
      <c r="J381" s="2">
        <v>505</v>
      </c>
      <c r="K381" s="2">
        <v>3</v>
      </c>
      <c r="L381" s="2" t="s">
        <v>39</v>
      </c>
      <c r="M381" s="2">
        <v>97</v>
      </c>
      <c r="N381" s="2">
        <v>3</v>
      </c>
      <c r="O381" s="2">
        <v>4</v>
      </c>
      <c r="P381" s="2" t="s">
        <v>56</v>
      </c>
      <c r="Q381" s="2">
        <v>4</v>
      </c>
      <c r="R381" s="2" t="s">
        <v>41</v>
      </c>
      <c r="S381" s="2">
        <v>16659</v>
      </c>
      <c r="T381" s="2">
        <v>23258</v>
      </c>
      <c r="U381" s="2">
        <v>2</v>
      </c>
      <c r="V381" s="2" t="s">
        <v>42</v>
      </c>
      <c r="W381" s="2" t="s">
        <v>35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</row>
    <row r="382" spans="1:35" x14ac:dyDescent="0.25">
      <c r="A382" s="2">
        <v>24</v>
      </c>
      <c r="B382" s="2" t="s">
        <v>43</v>
      </c>
      <c r="C382" s="2" t="s">
        <v>36</v>
      </c>
      <c r="D382" s="2">
        <v>1371</v>
      </c>
      <c r="E382" s="2" t="s">
        <v>37</v>
      </c>
      <c r="F382" s="2">
        <v>10</v>
      </c>
      <c r="G382" s="2">
        <v>4</v>
      </c>
      <c r="H382" s="2" t="s">
        <v>59</v>
      </c>
      <c r="I382" s="2">
        <v>1</v>
      </c>
      <c r="J382" s="2">
        <v>507</v>
      </c>
      <c r="K382" s="2">
        <v>4</v>
      </c>
      <c r="L382" s="2" t="s">
        <v>39</v>
      </c>
      <c r="M382" s="2">
        <v>77</v>
      </c>
      <c r="N382" s="2">
        <v>3</v>
      </c>
      <c r="O382" s="2">
        <v>2</v>
      </c>
      <c r="P382" s="2" t="s">
        <v>40</v>
      </c>
      <c r="Q382" s="2">
        <v>3</v>
      </c>
      <c r="R382" s="2" t="s">
        <v>52</v>
      </c>
      <c r="S382" s="2">
        <v>4260</v>
      </c>
      <c r="T382" s="2">
        <v>5915</v>
      </c>
      <c r="U382" s="2">
        <v>1</v>
      </c>
      <c r="V382" s="2" t="s">
        <v>42</v>
      </c>
      <c r="W382" s="2" t="s">
        <v>35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</row>
    <row r="383" spans="1:35" x14ac:dyDescent="0.25">
      <c r="A383" s="2">
        <v>30</v>
      </c>
      <c r="B383" s="2" t="s">
        <v>43</v>
      </c>
      <c r="C383" s="2" t="s">
        <v>36</v>
      </c>
      <c r="D383" s="2">
        <v>202</v>
      </c>
      <c r="E383" s="2" t="s">
        <v>37</v>
      </c>
      <c r="F383" s="2">
        <v>2</v>
      </c>
      <c r="G383" s="2">
        <v>1</v>
      </c>
      <c r="H383" s="2" t="s">
        <v>60</v>
      </c>
      <c r="I383" s="2">
        <v>1</v>
      </c>
      <c r="J383" s="2">
        <v>508</v>
      </c>
      <c r="K383" s="2">
        <v>3</v>
      </c>
      <c r="L383" s="2" t="s">
        <v>46</v>
      </c>
      <c r="M383" s="2">
        <v>72</v>
      </c>
      <c r="N383" s="2">
        <v>3</v>
      </c>
      <c r="O383" s="2">
        <v>1</v>
      </c>
      <c r="P383" s="2" t="s">
        <v>57</v>
      </c>
      <c r="Q383" s="2">
        <v>2</v>
      </c>
      <c r="R383" s="2" t="s">
        <v>48</v>
      </c>
      <c r="S383" s="2">
        <v>2476</v>
      </c>
      <c r="T383" s="2">
        <v>17434</v>
      </c>
      <c r="U383" s="2">
        <v>1</v>
      </c>
      <c r="V383" s="2" t="s">
        <v>42</v>
      </c>
      <c r="W383" s="2" t="s">
        <v>43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</row>
    <row r="384" spans="1:35" x14ac:dyDescent="0.25">
      <c r="A384" s="2">
        <v>26</v>
      </c>
      <c r="B384" s="2" t="s">
        <v>35</v>
      </c>
      <c r="C384" s="2" t="s">
        <v>44</v>
      </c>
      <c r="D384" s="2">
        <v>575</v>
      </c>
      <c r="E384" s="2" t="s">
        <v>45</v>
      </c>
      <c r="F384" s="2">
        <v>3</v>
      </c>
      <c r="G384" s="2">
        <v>1</v>
      </c>
      <c r="H384" s="2" t="s">
        <v>60</v>
      </c>
      <c r="I384" s="2">
        <v>1</v>
      </c>
      <c r="J384" s="2">
        <v>510</v>
      </c>
      <c r="K384" s="2">
        <v>3</v>
      </c>
      <c r="L384" s="2" t="s">
        <v>46</v>
      </c>
      <c r="M384" s="2">
        <v>73</v>
      </c>
      <c r="N384" s="2">
        <v>3</v>
      </c>
      <c r="O384" s="2">
        <v>1</v>
      </c>
      <c r="P384" s="2" t="s">
        <v>47</v>
      </c>
      <c r="Q384" s="2">
        <v>1</v>
      </c>
      <c r="R384" s="2" t="s">
        <v>41</v>
      </c>
      <c r="S384" s="2">
        <v>3102</v>
      </c>
      <c r="T384" s="2">
        <v>6582</v>
      </c>
      <c r="U384" s="2">
        <v>0</v>
      </c>
      <c r="V384" s="2" t="s">
        <v>42</v>
      </c>
      <c r="W384" s="2" t="s">
        <v>43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</row>
    <row r="385" spans="1:35" x14ac:dyDescent="0.25">
      <c r="A385" s="2">
        <v>22</v>
      </c>
      <c r="B385" s="2" t="s">
        <v>43</v>
      </c>
      <c r="C385" s="2" t="s">
        <v>36</v>
      </c>
      <c r="D385" s="2">
        <v>253</v>
      </c>
      <c r="E385" s="2" t="s">
        <v>45</v>
      </c>
      <c r="F385" s="2">
        <v>11</v>
      </c>
      <c r="G385" s="2">
        <v>3</v>
      </c>
      <c r="H385" s="2" t="s">
        <v>51</v>
      </c>
      <c r="I385" s="2">
        <v>1</v>
      </c>
      <c r="J385" s="2">
        <v>511</v>
      </c>
      <c r="K385" s="2">
        <v>1</v>
      </c>
      <c r="L385" s="2" t="s">
        <v>39</v>
      </c>
      <c r="M385" s="2">
        <v>43</v>
      </c>
      <c r="N385" s="2">
        <v>3</v>
      </c>
      <c r="O385" s="2">
        <v>1</v>
      </c>
      <c r="P385" s="2" t="s">
        <v>47</v>
      </c>
      <c r="Q385" s="2">
        <v>2</v>
      </c>
      <c r="R385" s="2" t="s">
        <v>48</v>
      </c>
      <c r="S385" s="2">
        <v>2244</v>
      </c>
      <c r="T385" s="2">
        <v>24440</v>
      </c>
      <c r="U385" s="2">
        <v>1</v>
      </c>
      <c r="V385" s="2" t="s">
        <v>42</v>
      </c>
      <c r="W385" s="2" t="s">
        <v>43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</row>
    <row r="386" spans="1:35" x14ac:dyDescent="0.25">
      <c r="A386" s="2">
        <v>36</v>
      </c>
      <c r="B386" s="2" t="s">
        <v>43</v>
      </c>
      <c r="C386" s="2" t="s">
        <v>36</v>
      </c>
      <c r="D386" s="2">
        <v>164</v>
      </c>
      <c r="E386" s="2" t="s">
        <v>37</v>
      </c>
      <c r="F386" s="2">
        <v>2</v>
      </c>
      <c r="G386" s="2">
        <v>2</v>
      </c>
      <c r="H386" s="2" t="s">
        <v>51</v>
      </c>
      <c r="I386" s="2">
        <v>1</v>
      </c>
      <c r="J386" s="2">
        <v>513</v>
      </c>
      <c r="K386" s="2">
        <v>2</v>
      </c>
      <c r="L386" s="2" t="s">
        <v>46</v>
      </c>
      <c r="M386" s="2">
        <v>61</v>
      </c>
      <c r="N386" s="2">
        <v>2</v>
      </c>
      <c r="O386" s="2">
        <v>3</v>
      </c>
      <c r="P386" s="2" t="s">
        <v>40</v>
      </c>
      <c r="Q386" s="2">
        <v>3</v>
      </c>
      <c r="R386" s="2" t="s">
        <v>48</v>
      </c>
      <c r="S386" s="2">
        <v>7596</v>
      </c>
      <c r="T386" s="2">
        <v>3809</v>
      </c>
      <c r="U386" s="2">
        <v>1</v>
      </c>
      <c r="V386" s="2" t="s">
        <v>42</v>
      </c>
      <c r="W386" s="2" t="s">
        <v>43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</row>
    <row r="387" spans="1:35" x14ac:dyDescent="0.25">
      <c r="A387" s="2">
        <v>30</v>
      </c>
      <c r="B387" s="2" t="s">
        <v>35</v>
      </c>
      <c r="C387" s="2" t="s">
        <v>44</v>
      </c>
      <c r="D387" s="2">
        <v>464</v>
      </c>
      <c r="E387" s="2" t="s">
        <v>45</v>
      </c>
      <c r="F387" s="2">
        <v>4</v>
      </c>
      <c r="G387" s="2">
        <v>3</v>
      </c>
      <c r="H387" s="2" t="s">
        <v>60</v>
      </c>
      <c r="I387" s="2">
        <v>1</v>
      </c>
      <c r="J387" s="2">
        <v>514</v>
      </c>
      <c r="K387" s="2">
        <v>3</v>
      </c>
      <c r="L387" s="2" t="s">
        <v>46</v>
      </c>
      <c r="M387" s="2">
        <v>40</v>
      </c>
      <c r="N387" s="2">
        <v>3</v>
      </c>
      <c r="O387" s="2">
        <v>1</v>
      </c>
      <c r="P387" s="2" t="s">
        <v>47</v>
      </c>
      <c r="Q387" s="2">
        <v>4</v>
      </c>
      <c r="R387" s="2" t="s">
        <v>41</v>
      </c>
      <c r="S387" s="2">
        <v>2285</v>
      </c>
      <c r="T387" s="2">
        <v>3427</v>
      </c>
      <c r="U387" s="2">
        <v>9</v>
      </c>
      <c r="V387" s="2" t="s">
        <v>42</v>
      </c>
      <c r="W387" s="2" t="s">
        <v>35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</row>
    <row r="388" spans="1:35" x14ac:dyDescent="0.25">
      <c r="A388" s="2">
        <v>37</v>
      </c>
      <c r="B388" s="2" t="s">
        <v>43</v>
      </c>
      <c r="C388" s="2" t="s">
        <v>36</v>
      </c>
      <c r="D388" s="2">
        <v>1107</v>
      </c>
      <c r="E388" s="2" t="s">
        <v>45</v>
      </c>
      <c r="F388" s="2">
        <v>14</v>
      </c>
      <c r="G388" s="2">
        <v>3</v>
      </c>
      <c r="H388" s="2" t="s">
        <v>38</v>
      </c>
      <c r="I388" s="2">
        <v>1</v>
      </c>
      <c r="J388" s="2">
        <v>515</v>
      </c>
      <c r="K388" s="2">
        <v>4</v>
      </c>
      <c r="L388" s="2" t="s">
        <v>39</v>
      </c>
      <c r="M388" s="2">
        <v>95</v>
      </c>
      <c r="N388" s="2">
        <v>3</v>
      </c>
      <c r="O388" s="2">
        <v>1</v>
      </c>
      <c r="P388" s="2" t="s">
        <v>50</v>
      </c>
      <c r="Q388" s="2">
        <v>1</v>
      </c>
      <c r="R388" s="2" t="s">
        <v>52</v>
      </c>
      <c r="S388" s="2">
        <v>3034</v>
      </c>
      <c r="T388" s="2">
        <v>26914</v>
      </c>
      <c r="U388" s="2">
        <v>1</v>
      </c>
      <c r="V388" s="2" t="s">
        <v>42</v>
      </c>
      <c r="W388" s="2" t="s">
        <v>43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</row>
    <row r="389" spans="1:35" x14ac:dyDescent="0.25">
      <c r="A389" s="2">
        <v>40</v>
      </c>
      <c r="B389" s="2" t="s">
        <v>43</v>
      </c>
      <c r="C389" s="2" t="s">
        <v>36</v>
      </c>
      <c r="D389" s="2">
        <v>759</v>
      </c>
      <c r="E389" s="2" t="s">
        <v>37</v>
      </c>
      <c r="F389" s="2">
        <v>2</v>
      </c>
      <c r="G389" s="2">
        <v>2</v>
      </c>
      <c r="H389" s="2" t="s">
        <v>59</v>
      </c>
      <c r="I389" s="2">
        <v>1</v>
      </c>
      <c r="J389" s="2">
        <v>516</v>
      </c>
      <c r="K389" s="2">
        <v>4</v>
      </c>
      <c r="L389" s="2" t="s">
        <v>39</v>
      </c>
      <c r="M389" s="2">
        <v>46</v>
      </c>
      <c r="N389" s="2">
        <v>3</v>
      </c>
      <c r="O389" s="2">
        <v>2</v>
      </c>
      <c r="P389" s="2" t="s">
        <v>40</v>
      </c>
      <c r="Q389" s="2">
        <v>2</v>
      </c>
      <c r="R389" s="2" t="s">
        <v>52</v>
      </c>
      <c r="S389" s="2">
        <v>5715</v>
      </c>
      <c r="T389" s="2">
        <v>22553</v>
      </c>
      <c r="U389" s="2">
        <v>7</v>
      </c>
      <c r="V389" s="2" t="s">
        <v>42</v>
      </c>
      <c r="W389" s="2" t="s">
        <v>43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</row>
    <row r="390" spans="1:35" x14ac:dyDescent="0.25">
      <c r="A390" s="2">
        <v>42</v>
      </c>
      <c r="B390" s="2" t="s">
        <v>43</v>
      </c>
      <c r="C390" s="2" t="s">
        <v>36</v>
      </c>
      <c r="D390" s="2">
        <v>201</v>
      </c>
      <c r="E390" s="2" t="s">
        <v>45</v>
      </c>
      <c r="F390" s="2">
        <v>1</v>
      </c>
      <c r="G390" s="2">
        <v>4</v>
      </c>
      <c r="H390" s="2" t="s">
        <v>38</v>
      </c>
      <c r="I390" s="2">
        <v>1</v>
      </c>
      <c r="J390" s="2">
        <v>517</v>
      </c>
      <c r="K390" s="2">
        <v>2</v>
      </c>
      <c r="L390" s="2" t="s">
        <v>39</v>
      </c>
      <c r="M390" s="2">
        <v>95</v>
      </c>
      <c r="N390" s="2">
        <v>3</v>
      </c>
      <c r="O390" s="2">
        <v>1</v>
      </c>
      <c r="P390" s="2" t="s">
        <v>50</v>
      </c>
      <c r="Q390" s="2">
        <v>1</v>
      </c>
      <c r="R390" s="2" t="s">
        <v>52</v>
      </c>
      <c r="S390" s="2">
        <v>2576</v>
      </c>
      <c r="T390" s="2">
        <v>20490</v>
      </c>
      <c r="U390" s="2">
        <v>3</v>
      </c>
      <c r="V390" s="2" t="s">
        <v>42</v>
      </c>
      <c r="W390" s="2" t="s">
        <v>43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</row>
    <row r="391" spans="1:35" x14ac:dyDescent="0.25">
      <c r="A391" s="2">
        <v>37</v>
      </c>
      <c r="B391" s="2" t="s">
        <v>43</v>
      </c>
      <c r="C391" s="2" t="s">
        <v>36</v>
      </c>
      <c r="D391" s="2">
        <v>1305</v>
      </c>
      <c r="E391" s="2" t="s">
        <v>45</v>
      </c>
      <c r="F391" s="2">
        <v>10</v>
      </c>
      <c r="G391" s="2">
        <v>4</v>
      </c>
      <c r="H391" s="2" t="s">
        <v>38</v>
      </c>
      <c r="I391" s="2">
        <v>1</v>
      </c>
      <c r="J391" s="2">
        <v>518</v>
      </c>
      <c r="K391" s="2">
        <v>3</v>
      </c>
      <c r="L391" s="2" t="s">
        <v>46</v>
      </c>
      <c r="M391" s="2">
        <v>49</v>
      </c>
      <c r="N391" s="2">
        <v>3</v>
      </c>
      <c r="O391" s="2">
        <v>2</v>
      </c>
      <c r="P391" s="2" t="s">
        <v>53</v>
      </c>
      <c r="Q391" s="2">
        <v>2</v>
      </c>
      <c r="R391" s="2" t="s">
        <v>41</v>
      </c>
      <c r="S391" s="2">
        <v>4197</v>
      </c>
      <c r="T391" s="2">
        <v>21123</v>
      </c>
      <c r="U391" s="2">
        <v>2</v>
      </c>
      <c r="V391" s="2" t="s">
        <v>42</v>
      </c>
      <c r="W391" s="2" t="s">
        <v>35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</row>
    <row r="392" spans="1:35" x14ac:dyDescent="0.25">
      <c r="A392" s="2">
        <v>43</v>
      </c>
      <c r="B392" s="2" t="s">
        <v>43</v>
      </c>
      <c r="C392" s="2" t="s">
        <v>36</v>
      </c>
      <c r="D392" s="2">
        <v>982</v>
      </c>
      <c r="E392" s="2" t="s">
        <v>45</v>
      </c>
      <c r="F392" s="2">
        <v>12</v>
      </c>
      <c r="G392" s="2">
        <v>3</v>
      </c>
      <c r="H392" s="2" t="s">
        <v>38</v>
      </c>
      <c r="I392" s="2">
        <v>1</v>
      </c>
      <c r="J392" s="2">
        <v>520</v>
      </c>
      <c r="K392" s="2">
        <v>1</v>
      </c>
      <c r="L392" s="2" t="s">
        <v>46</v>
      </c>
      <c r="M392" s="2">
        <v>59</v>
      </c>
      <c r="N392" s="2">
        <v>2</v>
      </c>
      <c r="O392" s="2">
        <v>4</v>
      </c>
      <c r="P392" s="2" t="s">
        <v>58</v>
      </c>
      <c r="Q392" s="2">
        <v>2</v>
      </c>
      <c r="R392" s="2" t="s">
        <v>52</v>
      </c>
      <c r="S392" s="2">
        <v>14336</v>
      </c>
      <c r="T392" s="2">
        <v>4345</v>
      </c>
      <c r="U392" s="2">
        <v>1</v>
      </c>
      <c r="V392" s="2" t="s">
        <v>42</v>
      </c>
      <c r="W392" s="2" t="s">
        <v>43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</row>
    <row r="393" spans="1:35" x14ac:dyDescent="0.25">
      <c r="A393" s="2">
        <v>40</v>
      </c>
      <c r="B393" s="2" t="s">
        <v>43</v>
      </c>
      <c r="C393" s="2" t="s">
        <v>36</v>
      </c>
      <c r="D393" s="2">
        <v>555</v>
      </c>
      <c r="E393" s="2" t="s">
        <v>45</v>
      </c>
      <c r="F393" s="2">
        <v>2</v>
      </c>
      <c r="G393" s="2">
        <v>3</v>
      </c>
      <c r="H393" s="2" t="s">
        <v>51</v>
      </c>
      <c r="I393" s="2">
        <v>1</v>
      </c>
      <c r="J393" s="2">
        <v>521</v>
      </c>
      <c r="K393" s="2">
        <v>2</v>
      </c>
      <c r="L393" s="2" t="s">
        <v>39</v>
      </c>
      <c r="M393" s="2">
        <v>78</v>
      </c>
      <c r="N393" s="2">
        <v>2</v>
      </c>
      <c r="O393" s="2">
        <v>2</v>
      </c>
      <c r="P393" s="2" t="s">
        <v>50</v>
      </c>
      <c r="Q393" s="2">
        <v>3</v>
      </c>
      <c r="R393" s="2" t="s">
        <v>48</v>
      </c>
      <c r="S393" s="2">
        <v>3448</v>
      </c>
      <c r="T393" s="2">
        <v>13436</v>
      </c>
      <c r="U393" s="2">
        <v>6</v>
      </c>
      <c r="V393" s="2" t="s">
        <v>42</v>
      </c>
      <c r="W393" s="2" t="s">
        <v>43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</row>
    <row r="394" spans="1:35" x14ac:dyDescent="0.25">
      <c r="A394" s="2">
        <v>54</v>
      </c>
      <c r="B394" s="2" t="s">
        <v>43</v>
      </c>
      <c r="C394" s="2" t="s">
        <v>36</v>
      </c>
      <c r="D394" s="2">
        <v>821</v>
      </c>
      <c r="E394" s="2" t="s">
        <v>45</v>
      </c>
      <c r="F394" s="2">
        <v>5</v>
      </c>
      <c r="G394" s="2">
        <v>2</v>
      </c>
      <c r="H394" s="2" t="s">
        <v>51</v>
      </c>
      <c r="I394" s="2">
        <v>1</v>
      </c>
      <c r="J394" s="2">
        <v>522</v>
      </c>
      <c r="K394" s="2">
        <v>1</v>
      </c>
      <c r="L394" s="2" t="s">
        <v>46</v>
      </c>
      <c r="M394" s="2">
        <v>86</v>
      </c>
      <c r="N394" s="2">
        <v>3</v>
      </c>
      <c r="O394" s="2">
        <v>5</v>
      </c>
      <c r="P394" s="2" t="s">
        <v>58</v>
      </c>
      <c r="Q394" s="2">
        <v>1</v>
      </c>
      <c r="R394" s="2" t="s">
        <v>48</v>
      </c>
      <c r="S394" s="2">
        <v>19406</v>
      </c>
      <c r="T394" s="2">
        <v>8509</v>
      </c>
      <c r="U394" s="2">
        <v>4</v>
      </c>
      <c r="V394" s="2" t="s">
        <v>42</v>
      </c>
      <c r="W394" s="2" t="s">
        <v>43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</row>
    <row r="395" spans="1:35" x14ac:dyDescent="0.25">
      <c r="A395" s="2">
        <v>34</v>
      </c>
      <c r="B395" s="2" t="s">
        <v>43</v>
      </c>
      <c r="C395" s="2" t="s">
        <v>55</v>
      </c>
      <c r="D395" s="2">
        <v>1381</v>
      </c>
      <c r="E395" s="2" t="s">
        <v>37</v>
      </c>
      <c r="F395" s="2">
        <v>4</v>
      </c>
      <c r="G395" s="2">
        <v>4</v>
      </c>
      <c r="H395" s="2" t="s">
        <v>59</v>
      </c>
      <c r="I395" s="2">
        <v>1</v>
      </c>
      <c r="J395" s="2">
        <v>523</v>
      </c>
      <c r="K395" s="2">
        <v>3</v>
      </c>
      <c r="L395" s="2" t="s">
        <v>39</v>
      </c>
      <c r="M395" s="2">
        <v>72</v>
      </c>
      <c r="N395" s="2">
        <v>3</v>
      </c>
      <c r="O395" s="2">
        <v>2</v>
      </c>
      <c r="P395" s="2" t="s">
        <v>40</v>
      </c>
      <c r="Q395" s="2">
        <v>3</v>
      </c>
      <c r="R395" s="2" t="s">
        <v>48</v>
      </c>
      <c r="S395" s="2">
        <v>6538</v>
      </c>
      <c r="T395" s="2">
        <v>12740</v>
      </c>
      <c r="U395" s="2">
        <v>9</v>
      </c>
      <c r="V395" s="2" t="s">
        <v>42</v>
      </c>
      <c r="W395" s="2" t="s">
        <v>43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</row>
    <row r="396" spans="1:35" x14ac:dyDescent="0.25">
      <c r="A396" s="2">
        <v>31</v>
      </c>
      <c r="B396" s="2" t="s">
        <v>43</v>
      </c>
      <c r="C396" s="2" t="s">
        <v>36</v>
      </c>
      <c r="D396" s="2">
        <v>480</v>
      </c>
      <c r="E396" s="2" t="s">
        <v>45</v>
      </c>
      <c r="F396" s="2">
        <v>7</v>
      </c>
      <c r="G396" s="2">
        <v>2</v>
      </c>
      <c r="H396" s="2" t="s">
        <v>51</v>
      </c>
      <c r="I396" s="2">
        <v>1</v>
      </c>
      <c r="J396" s="2">
        <v>524</v>
      </c>
      <c r="K396" s="2">
        <v>2</v>
      </c>
      <c r="L396" s="2" t="s">
        <v>39</v>
      </c>
      <c r="M396" s="2">
        <v>31</v>
      </c>
      <c r="N396" s="2">
        <v>3</v>
      </c>
      <c r="O396" s="2">
        <v>2</v>
      </c>
      <c r="P396" s="2" t="s">
        <v>53</v>
      </c>
      <c r="Q396" s="2">
        <v>1</v>
      </c>
      <c r="R396" s="2" t="s">
        <v>48</v>
      </c>
      <c r="S396" s="2">
        <v>4306</v>
      </c>
      <c r="T396" s="2">
        <v>4156</v>
      </c>
      <c r="U396" s="2">
        <v>1</v>
      </c>
      <c r="V396" s="2" t="s">
        <v>42</v>
      </c>
      <c r="W396" s="2" t="s">
        <v>43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</row>
    <row r="397" spans="1:35" x14ac:dyDescent="0.25">
      <c r="A397" s="2">
        <v>43</v>
      </c>
      <c r="B397" s="2" t="s">
        <v>43</v>
      </c>
      <c r="C397" s="2" t="s">
        <v>44</v>
      </c>
      <c r="D397" s="2">
        <v>313</v>
      </c>
      <c r="E397" s="2" t="s">
        <v>45</v>
      </c>
      <c r="F397" s="2">
        <v>21</v>
      </c>
      <c r="G397" s="2">
        <v>3</v>
      </c>
      <c r="H397" s="2" t="s">
        <v>51</v>
      </c>
      <c r="I397" s="2">
        <v>1</v>
      </c>
      <c r="J397" s="2">
        <v>525</v>
      </c>
      <c r="K397" s="2">
        <v>4</v>
      </c>
      <c r="L397" s="2" t="s">
        <v>46</v>
      </c>
      <c r="M397" s="2">
        <v>61</v>
      </c>
      <c r="N397" s="2">
        <v>3</v>
      </c>
      <c r="O397" s="2">
        <v>1</v>
      </c>
      <c r="P397" s="2" t="s">
        <v>50</v>
      </c>
      <c r="Q397" s="2">
        <v>4</v>
      </c>
      <c r="R397" s="2" t="s">
        <v>48</v>
      </c>
      <c r="S397" s="2">
        <v>2258</v>
      </c>
      <c r="T397" s="2">
        <v>15238</v>
      </c>
      <c r="U397" s="2">
        <v>7</v>
      </c>
      <c r="V397" s="2" t="s">
        <v>42</v>
      </c>
      <c r="W397" s="2" t="s">
        <v>43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</row>
    <row r="398" spans="1:35" x14ac:dyDescent="0.25">
      <c r="A398" s="2">
        <v>43</v>
      </c>
      <c r="B398" s="2" t="s">
        <v>43</v>
      </c>
      <c r="C398" s="2" t="s">
        <v>36</v>
      </c>
      <c r="D398" s="2">
        <v>1473</v>
      </c>
      <c r="E398" s="2" t="s">
        <v>45</v>
      </c>
      <c r="F398" s="2">
        <v>8</v>
      </c>
      <c r="G398" s="2">
        <v>4</v>
      </c>
      <c r="H398" s="2" t="s">
        <v>49</v>
      </c>
      <c r="I398" s="2">
        <v>1</v>
      </c>
      <c r="J398" s="2">
        <v>526</v>
      </c>
      <c r="K398" s="2">
        <v>3</v>
      </c>
      <c r="L398" s="2" t="s">
        <v>39</v>
      </c>
      <c r="M398" s="2">
        <v>74</v>
      </c>
      <c r="N398" s="2">
        <v>3</v>
      </c>
      <c r="O398" s="2">
        <v>2</v>
      </c>
      <c r="P398" s="2" t="s">
        <v>54</v>
      </c>
      <c r="Q398" s="2">
        <v>3</v>
      </c>
      <c r="R398" s="2" t="s">
        <v>52</v>
      </c>
      <c r="S398" s="2">
        <v>4522</v>
      </c>
      <c r="T398" s="2">
        <v>2227</v>
      </c>
      <c r="U398" s="2">
        <v>4</v>
      </c>
      <c r="V398" s="2" t="s">
        <v>42</v>
      </c>
      <c r="W398" s="2" t="s">
        <v>35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</row>
    <row r="399" spans="1:35" x14ac:dyDescent="0.25">
      <c r="A399" s="2">
        <v>25</v>
      </c>
      <c r="B399" s="2" t="s">
        <v>43</v>
      </c>
      <c r="C399" s="2" t="s">
        <v>36</v>
      </c>
      <c r="D399" s="2">
        <v>891</v>
      </c>
      <c r="E399" s="2" t="s">
        <v>37</v>
      </c>
      <c r="F399" s="2">
        <v>4</v>
      </c>
      <c r="G399" s="2">
        <v>2</v>
      </c>
      <c r="H399" s="2" t="s">
        <v>38</v>
      </c>
      <c r="I399" s="2">
        <v>1</v>
      </c>
      <c r="J399" s="2">
        <v>527</v>
      </c>
      <c r="K399" s="2">
        <v>2</v>
      </c>
      <c r="L399" s="2" t="s">
        <v>39</v>
      </c>
      <c r="M399" s="2">
        <v>99</v>
      </c>
      <c r="N399" s="2">
        <v>2</v>
      </c>
      <c r="O399" s="2">
        <v>2</v>
      </c>
      <c r="P399" s="2" t="s">
        <v>40</v>
      </c>
      <c r="Q399" s="2">
        <v>4</v>
      </c>
      <c r="R399" s="2" t="s">
        <v>41</v>
      </c>
      <c r="S399" s="2">
        <v>4487</v>
      </c>
      <c r="T399" s="2">
        <v>12090</v>
      </c>
      <c r="U399" s="2">
        <v>1</v>
      </c>
      <c r="V399" s="2" t="s">
        <v>42</v>
      </c>
      <c r="W399" s="2" t="s">
        <v>35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</row>
    <row r="400" spans="1:35" x14ac:dyDescent="0.25">
      <c r="A400" s="2">
        <v>37</v>
      </c>
      <c r="B400" s="2" t="s">
        <v>43</v>
      </c>
      <c r="C400" s="2" t="s">
        <v>55</v>
      </c>
      <c r="D400" s="2">
        <v>1063</v>
      </c>
      <c r="E400" s="2" t="s">
        <v>45</v>
      </c>
      <c r="F400" s="2">
        <v>25</v>
      </c>
      <c r="G400" s="2">
        <v>5</v>
      </c>
      <c r="H400" s="2" t="s">
        <v>51</v>
      </c>
      <c r="I400" s="2">
        <v>1</v>
      </c>
      <c r="J400" s="2">
        <v>529</v>
      </c>
      <c r="K400" s="2">
        <v>2</v>
      </c>
      <c r="L400" s="2" t="s">
        <v>39</v>
      </c>
      <c r="M400" s="2">
        <v>72</v>
      </c>
      <c r="N400" s="2">
        <v>3</v>
      </c>
      <c r="O400" s="2">
        <v>2</v>
      </c>
      <c r="P400" s="2" t="s">
        <v>47</v>
      </c>
      <c r="Q400" s="2">
        <v>3</v>
      </c>
      <c r="R400" s="2" t="s">
        <v>48</v>
      </c>
      <c r="S400" s="2">
        <v>4449</v>
      </c>
      <c r="T400" s="2">
        <v>23866</v>
      </c>
      <c r="U400" s="2">
        <v>3</v>
      </c>
      <c r="V400" s="2" t="s">
        <v>42</v>
      </c>
      <c r="W400" s="2" t="s">
        <v>35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</row>
    <row r="401" spans="1:35" x14ac:dyDescent="0.25">
      <c r="A401" s="2">
        <v>31</v>
      </c>
      <c r="B401" s="2" t="s">
        <v>43</v>
      </c>
      <c r="C401" s="2" t="s">
        <v>36</v>
      </c>
      <c r="D401" s="2">
        <v>329</v>
      </c>
      <c r="E401" s="2" t="s">
        <v>45</v>
      </c>
      <c r="F401" s="2">
        <v>1</v>
      </c>
      <c r="G401" s="2">
        <v>2</v>
      </c>
      <c r="H401" s="2" t="s">
        <v>38</v>
      </c>
      <c r="I401" s="2">
        <v>1</v>
      </c>
      <c r="J401" s="2">
        <v>530</v>
      </c>
      <c r="K401" s="2">
        <v>4</v>
      </c>
      <c r="L401" s="2" t="s">
        <v>46</v>
      </c>
      <c r="M401" s="2">
        <v>98</v>
      </c>
      <c r="N401" s="2">
        <v>2</v>
      </c>
      <c r="O401" s="2">
        <v>1</v>
      </c>
      <c r="P401" s="2" t="s">
        <v>50</v>
      </c>
      <c r="Q401" s="2">
        <v>1</v>
      </c>
      <c r="R401" s="2" t="s">
        <v>48</v>
      </c>
      <c r="S401" s="2">
        <v>2218</v>
      </c>
      <c r="T401" s="2">
        <v>16193</v>
      </c>
      <c r="U401" s="2">
        <v>1</v>
      </c>
      <c r="V401" s="2" t="s">
        <v>42</v>
      </c>
      <c r="W401" s="2" t="s">
        <v>43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</row>
    <row r="402" spans="1:35" x14ac:dyDescent="0.25">
      <c r="A402" s="2">
        <v>39</v>
      </c>
      <c r="B402" s="2" t="s">
        <v>43</v>
      </c>
      <c r="C402" s="2" t="s">
        <v>44</v>
      </c>
      <c r="D402" s="2">
        <v>1218</v>
      </c>
      <c r="E402" s="2" t="s">
        <v>45</v>
      </c>
      <c r="F402" s="2">
        <v>1</v>
      </c>
      <c r="G402" s="2">
        <v>1</v>
      </c>
      <c r="H402" s="2" t="s">
        <v>38</v>
      </c>
      <c r="I402" s="2">
        <v>1</v>
      </c>
      <c r="J402" s="2">
        <v>531</v>
      </c>
      <c r="K402" s="2">
        <v>2</v>
      </c>
      <c r="L402" s="2" t="s">
        <v>46</v>
      </c>
      <c r="M402" s="2">
        <v>52</v>
      </c>
      <c r="N402" s="2">
        <v>3</v>
      </c>
      <c r="O402" s="2">
        <v>5</v>
      </c>
      <c r="P402" s="2" t="s">
        <v>56</v>
      </c>
      <c r="Q402" s="2">
        <v>3</v>
      </c>
      <c r="R402" s="2" t="s">
        <v>52</v>
      </c>
      <c r="S402" s="2">
        <v>19197</v>
      </c>
      <c r="T402" s="2">
        <v>8213</v>
      </c>
      <c r="U402" s="2">
        <v>1</v>
      </c>
      <c r="V402" s="2" t="s">
        <v>42</v>
      </c>
      <c r="W402" s="2" t="s">
        <v>35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</row>
    <row r="403" spans="1:35" x14ac:dyDescent="0.25">
      <c r="A403" s="2">
        <v>56</v>
      </c>
      <c r="B403" s="2" t="s">
        <v>43</v>
      </c>
      <c r="C403" s="2" t="s">
        <v>44</v>
      </c>
      <c r="D403" s="2">
        <v>906</v>
      </c>
      <c r="E403" s="2" t="s">
        <v>37</v>
      </c>
      <c r="F403" s="2">
        <v>6</v>
      </c>
      <c r="G403" s="2">
        <v>3</v>
      </c>
      <c r="H403" s="2" t="s">
        <v>38</v>
      </c>
      <c r="I403" s="2">
        <v>1</v>
      </c>
      <c r="J403" s="2">
        <v>532</v>
      </c>
      <c r="K403" s="2">
        <v>3</v>
      </c>
      <c r="L403" s="2" t="s">
        <v>39</v>
      </c>
      <c r="M403" s="2">
        <v>86</v>
      </c>
      <c r="N403" s="2">
        <v>4</v>
      </c>
      <c r="O403" s="2">
        <v>4</v>
      </c>
      <c r="P403" s="2" t="s">
        <v>40</v>
      </c>
      <c r="Q403" s="2">
        <v>1</v>
      </c>
      <c r="R403" s="2" t="s">
        <v>48</v>
      </c>
      <c r="S403" s="2">
        <v>13212</v>
      </c>
      <c r="T403" s="2">
        <v>18256</v>
      </c>
      <c r="U403" s="2">
        <v>9</v>
      </c>
      <c r="V403" s="2" t="s">
        <v>42</v>
      </c>
      <c r="W403" s="2" t="s">
        <v>43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</row>
    <row r="404" spans="1:35" x14ac:dyDescent="0.25">
      <c r="A404" s="2">
        <v>30</v>
      </c>
      <c r="B404" s="2" t="s">
        <v>43</v>
      </c>
      <c r="C404" s="2" t="s">
        <v>36</v>
      </c>
      <c r="D404" s="2">
        <v>1082</v>
      </c>
      <c r="E404" s="2" t="s">
        <v>37</v>
      </c>
      <c r="F404" s="2">
        <v>12</v>
      </c>
      <c r="G404" s="2">
        <v>3</v>
      </c>
      <c r="H404" s="2" t="s">
        <v>60</v>
      </c>
      <c r="I404" s="2">
        <v>1</v>
      </c>
      <c r="J404" s="2">
        <v>533</v>
      </c>
      <c r="K404" s="2">
        <v>2</v>
      </c>
      <c r="L404" s="2" t="s">
        <v>39</v>
      </c>
      <c r="M404" s="2">
        <v>83</v>
      </c>
      <c r="N404" s="2">
        <v>3</v>
      </c>
      <c r="O404" s="2">
        <v>2</v>
      </c>
      <c r="P404" s="2" t="s">
        <v>40</v>
      </c>
      <c r="Q404" s="2">
        <v>3</v>
      </c>
      <c r="R404" s="2" t="s">
        <v>41</v>
      </c>
      <c r="S404" s="2">
        <v>6577</v>
      </c>
      <c r="T404" s="2">
        <v>19558</v>
      </c>
      <c r="U404" s="2">
        <v>0</v>
      </c>
      <c r="V404" s="2" t="s">
        <v>42</v>
      </c>
      <c r="W404" s="2" t="s">
        <v>43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</row>
    <row r="405" spans="1:35" x14ac:dyDescent="0.25">
      <c r="A405" s="2">
        <v>41</v>
      </c>
      <c r="B405" s="2" t="s">
        <v>43</v>
      </c>
      <c r="C405" s="2" t="s">
        <v>36</v>
      </c>
      <c r="D405" s="2">
        <v>645</v>
      </c>
      <c r="E405" s="2" t="s">
        <v>37</v>
      </c>
      <c r="F405" s="2">
        <v>1</v>
      </c>
      <c r="G405" s="2">
        <v>3</v>
      </c>
      <c r="H405" s="2" t="s">
        <v>59</v>
      </c>
      <c r="I405" s="2">
        <v>1</v>
      </c>
      <c r="J405" s="2">
        <v>534</v>
      </c>
      <c r="K405" s="2">
        <v>2</v>
      </c>
      <c r="L405" s="2" t="s">
        <v>46</v>
      </c>
      <c r="M405" s="2">
        <v>49</v>
      </c>
      <c r="N405" s="2">
        <v>4</v>
      </c>
      <c r="O405" s="2">
        <v>3</v>
      </c>
      <c r="P405" s="2" t="s">
        <v>40</v>
      </c>
      <c r="Q405" s="2">
        <v>1</v>
      </c>
      <c r="R405" s="2" t="s">
        <v>48</v>
      </c>
      <c r="S405" s="2">
        <v>8392</v>
      </c>
      <c r="T405" s="2">
        <v>19566</v>
      </c>
      <c r="U405" s="2">
        <v>1</v>
      </c>
      <c r="V405" s="2" t="s">
        <v>42</v>
      </c>
      <c r="W405" s="2" t="s">
        <v>43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</row>
    <row r="406" spans="1:35" x14ac:dyDescent="0.25">
      <c r="A406" s="2">
        <v>28</v>
      </c>
      <c r="B406" s="2" t="s">
        <v>43</v>
      </c>
      <c r="C406" s="2" t="s">
        <v>36</v>
      </c>
      <c r="D406" s="2">
        <v>1300</v>
      </c>
      <c r="E406" s="2" t="s">
        <v>45</v>
      </c>
      <c r="F406" s="2">
        <v>17</v>
      </c>
      <c r="G406" s="2">
        <v>2</v>
      </c>
      <c r="H406" s="2" t="s">
        <v>51</v>
      </c>
      <c r="I406" s="2">
        <v>1</v>
      </c>
      <c r="J406" s="2">
        <v>536</v>
      </c>
      <c r="K406" s="2">
        <v>3</v>
      </c>
      <c r="L406" s="2" t="s">
        <v>46</v>
      </c>
      <c r="M406" s="2">
        <v>79</v>
      </c>
      <c r="N406" s="2">
        <v>3</v>
      </c>
      <c r="O406" s="2">
        <v>2</v>
      </c>
      <c r="P406" s="2" t="s">
        <v>50</v>
      </c>
      <c r="Q406" s="2">
        <v>1</v>
      </c>
      <c r="R406" s="2" t="s">
        <v>52</v>
      </c>
      <c r="S406" s="2">
        <v>4558</v>
      </c>
      <c r="T406" s="2">
        <v>13535</v>
      </c>
      <c r="U406" s="2">
        <v>1</v>
      </c>
      <c r="V406" s="2" t="s">
        <v>42</v>
      </c>
      <c r="W406" s="2" t="s">
        <v>43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</row>
    <row r="407" spans="1:35" x14ac:dyDescent="0.25">
      <c r="A407" s="2">
        <v>25</v>
      </c>
      <c r="B407" s="2" t="s">
        <v>35</v>
      </c>
      <c r="C407" s="2" t="s">
        <v>36</v>
      </c>
      <c r="D407" s="2">
        <v>688</v>
      </c>
      <c r="E407" s="2" t="s">
        <v>45</v>
      </c>
      <c r="F407" s="2">
        <v>3</v>
      </c>
      <c r="G407" s="2">
        <v>3</v>
      </c>
      <c r="H407" s="2" t="s">
        <v>51</v>
      </c>
      <c r="I407" s="2">
        <v>1</v>
      </c>
      <c r="J407" s="2">
        <v>538</v>
      </c>
      <c r="K407" s="2">
        <v>1</v>
      </c>
      <c r="L407" s="2" t="s">
        <v>46</v>
      </c>
      <c r="M407" s="2">
        <v>91</v>
      </c>
      <c r="N407" s="2">
        <v>3</v>
      </c>
      <c r="O407" s="2">
        <v>1</v>
      </c>
      <c r="P407" s="2" t="s">
        <v>50</v>
      </c>
      <c r="Q407" s="2">
        <v>1</v>
      </c>
      <c r="R407" s="2" t="s">
        <v>48</v>
      </c>
      <c r="S407" s="2">
        <v>4031</v>
      </c>
      <c r="T407" s="2">
        <v>9396</v>
      </c>
      <c r="U407" s="2">
        <v>5</v>
      </c>
      <c r="V407" s="2" t="s">
        <v>42</v>
      </c>
      <c r="W407" s="2" t="s">
        <v>43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</row>
    <row r="408" spans="1:35" x14ac:dyDescent="0.25">
      <c r="A408" s="2">
        <v>52</v>
      </c>
      <c r="B408" s="2" t="s">
        <v>43</v>
      </c>
      <c r="C408" s="2" t="s">
        <v>36</v>
      </c>
      <c r="D408" s="2">
        <v>319</v>
      </c>
      <c r="E408" s="2" t="s">
        <v>45</v>
      </c>
      <c r="F408" s="2">
        <v>3</v>
      </c>
      <c r="G408" s="2">
        <v>3</v>
      </c>
      <c r="H408" s="2" t="s">
        <v>51</v>
      </c>
      <c r="I408" s="2">
        <v>1</v>
      </c>
      <c r="J408" s="2">
        <v>543</v>
      </c>
      <c r="K408" s="2">
        <v>4</v>
      </c>
      <c r="L408" s="2" t="s">
        <v>46</v>
      </c>
      <c r="M408" s="2">
        <v>39</v>
      </c>
      <c r="N408" s="2">
        <v>2</v>
      </c>
      <c r="O408" s="2">
        <v>3</v>
      </c>
      <c r="P408" s="2" t="s">
        <v>53</v>
      </c>
      <c r="Q408" s="2">
        <v>3</v>
      </c>
      <c r="R408" s="2" t="s">
        <v>48</v>
      </c>
      <c r="S408" s="2">
        <v>7969</v>
      </c>
      <c r="T408" s="2">
        <v>19609</v>
      </c>
      <c r="U408" s="2">
        <v>2</v>
      </c>
      <c r="V408" s="2" t="s">
        <v>42</v>
      </c>
      <c r="W408" s="2" t="s">
        <v>35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</row>
    <row r="409" spans="1:35" x14ac:dyDescent="0.25">
      <c r="A409" s="2">
        <v>45</v>
      </c>
      <c r="B409" s="2" t="s">
        <v>43</v>
      </c>
      <c r="C409" s="2" t="s">
        <v>36</v>
      </c>
      <c r="D409" s="2">
        <v>192</v>
      </c>
      <c r="E409" s="2" t="s">
        <v>45</v>
      </c>
      <c r="F409" s="2">
        <v>10</v>
      </c>
      <c r="G409" s="2">
        <v>2</v>
      </c>
      <c r="H409" s="2" t="s">
        <v>38</v>
      </c>
      <c r="I409" s="2">
        <v>1</v>
      </c>
      <c r="J409" s="2">
        <v>544</v>
      </c>
      <c r="K409" s="2">
        <v>1</v>
      </c>
      <c r="L409" s="2" t="s">
        <v>46</v>
      </c>
      <c r="M409" s="2">
        <v>69</v>
      </c>
      <c r="N409" s="2">
        <v>3</v>
      </c>
      <c r="O409" s="2">
        <v>1</v>
      </c>
      <c r="P409" s="2" t="s">
        <v>47</v>
      </c>
      <c r="Q409" s="2">
        <v>4</v>
      </c>
      <c r="R409" s="2" t="s">
        <v>48</v>
      </c>
      <c r="S409" s="2">
        <v>2654</v>
      </c>
      <c r="T409" s="2">
        <v>9655</v>
      </c>
      <c r="U409" s="2">
        <v>3</v>
      </c>
      <c r="V409" s="2" t="s">
        <v>42</v>
      </c>
      <c r="W409" s="2" t="s">
        <v>43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</row>
    <row r="410" spans="1:35" x14ac:dyDescent="0.25">
      <c r="A410" s="2">
        <v>52</v>
      </c>
      <c r="B410" s="2" t="s">
        <v>43</v>
      </c>
      <c r="C410" s="2" t="s">
        <v>36</v>
      </c>
      <c r="D410" s="2">
        <v>1490</v>
      </c>
      <c r="E410" s="2" t="s">
        <v>45</v>
      </c>
      <c r="F410" s="2">
        <v>4</v>
      </c>
      <c r="G410" s="2">
        <v>2</v>
      </c>
      <c r="H410" s="2" t="s">
        <v>38</v>
      </c>
      <c r="I410" s="2">
        <v>1</v>
      </c>
      <c r="J410" s="2">
        <v>546</v>
      </c>
      <c r="K410" s="2">
        <v>4</v>
      </c>
      <c r="L410" s="2" t="s">
        <v>39</v>
      </c>
      <c r="M410" s="2">
        <v>30</v>
      </c>
      <c r="N410" s="2">
        <v>3</v>
      </c>
      <c r="O410" s="2">
        <v>4</v>
      </c>
      <c r="P410" s="2" t="s">
        <v>56</v>
      </c>
      <c r="Q410" s="2">
        <v>4</v>
      </c>
      <c r="R410" s="2" t="s">
        <v>48</v>
      </c>
      <c r="S410" s="2">
        <v>16555</v>
      </c>
      <c r="T410" s="2">
        <v>10310</v>
      </c>
      <c r="U410" s="2">
        <v>2</v>
      </c>
      <c r="V410" s="2" t="s">
        <v>42</v>
      </c>
      <c r="W410" s="2" t="s">
        <v>43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</row>
    <row r="411" spans="1:35" x14ac:dyDescent="0.25">
      <c r="A411" s="2">
        <v>42</v>
      </c>
      <c r="B411" s="2" t="s">
        <v>43</v>
      </c>
      <c r="C411" s="2" t="s">
        <v>44</v>
      </c>
      <c r="D411" s="2">
        <v>532</v>
      </c>
      <c r="E411" s="2" t="s">
        <v>45</v>
      </c>
      <c r="F411" s="2">
        <v>29</v>
      </c>
      <c r="G411" s="2">
        <v>2</v>
      </c>
      <c r="H411" s="2" t="s">
        <v>38</v>
      </c>
      <c r="I411" s="2">
        <v>1</v>
      </c>
      <c r="J411" s="2">
        <v>547</v>
      </c>
      <c r="K411" s="2">
        <v>1</v>
      </c>
      <c r="L411" s="2" t="s">
        <v>39</v>
      </c>
      <c r="M411" s="2">
        <v>92</v>
      </c>
      <c r="N411" s="2">
        <v>3</v>
      </c>
      <c r="O411" s="2">
        <v>2</v>
      </c>
      <c r="P411" s="2" t="s">
        <v>47</v>
      </c>
      <c r="Q411" s="2">
        <v>3</v>
      </c>
      <c r="R411" s="2" t="s">
        <v>52</v>
      </c>
      <c r="S411" s="2">
        <v>4556</v>
      </c>
      <c r="T411" s="2">
        <v>12932</v>
      </c>
      <c r="U411" s="2">
        <v>2</v>
      </c>
      <c r="V411" s="2" t="s">
        <v>42</v>
      </c>
      <c r="W411" s="2" t="s">
        <v>43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</row>
    <row r="412" spans="1:35" x14ac:dyDescent="0.25">
      <c r="A412" s="2">
        <v>30</v>
      </c>
      <c r="B412" s="2" t="s">
        <v>43</v>
      </c>
      <c r="C412" s="2" t="s">
        <v>36</v>
      </c>
      <c r="D412" s="2">
        <v>317</v>
      </c>
      <c r="E412" s="2" t="s">
        <v>45</v>
      </c>
      <c r="F412" s="2">
        <v>2</v>
      </c>
      <c r="G412" s="2">
        <v>3</v>
      </c>
      <c r="H412" s="2" t="s">
        <v>38</v>
      </c>
      <c r="I412" s="2">
        <v>1</v>
      </c>
      <c r="J412" s="2">
        <v>548</v>
      </c>
      <c r="K412" s="2">
        <v>3</v>
      </c>
      <c r="L412" s="2" t="s">
        <v>39</v>
      </c>
      <c r="M412" s="2">
        <v>43</v>
      </c>
      <c r="N412" s="2">
        <v>1</v>
      </c>
      <c r="O412" s="2">
        <v>2</v>
      </c>
      <c r="P412" s="2" t="s">
        <v>53</v>
      </c>
      <c r="Q412" s="2">
        <v>4</v>
      </c>
      <c r="R412" s="2" t="s">
        <v>41</v>
      </c>
      <c r="S412" s="2">
        <v>6091</v>
      </c>
      <c r="T412" s="2">
        <v>24793</v>
      </c>
      <c r="U412" s="2">
        <v>2</v>
      </c>
      <c r="V412" s="2" t="s">
        <v>42</v>
      </c>
      <c r="W412" s="2" t="s">
        <v>43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</row>
    <row r="413" spans="1:35" x14ac:dyDescent="0.25">
      <c r="A413" s="2">
        <v>60</v>
      </c>
      <c r="B413" s="2" t="s">
        <v>43</v>
      </c>
      <c r="C413" s="2" t="s">
        <v>36</v>
      </c>
      <c r="D413" s="2">
        <v>422</v>
      </c>
      <c r="E413" s="2" t="s">
        <v>45</v>
      </c>
      <c r="F413" s="2">
        <v>7</v>
      </c>
      <c r="G413" s="2">
        <v>3</v>
      </c>
      <c r="H413" s="2" t="s">
        <v>38</v>
      </c>
      <c r="I413" s="2">
        <v>1</v>
      </c>
      <c r="J413" s="2">
        <v>549</v>
      </c>
      <c r="K413" s="2">
        <v>1</v>
      </c>
      <c r="L413" s="2" t="s">
        <v>39</v>
      </c>
      <c r="M413" s="2">
        <v>41</v>
      </c>
      <c r="N413" s="2">
        <v>3</v>
      </c>
      <c r="O413" s="2">
        <v>5</v>
      </c>
      <c r="P413" s="2" t="s">
        <v>56</v>
      </c>
      <c r="Q413" s="2">
        <v>1</v>
      </c>
      <c r="R413" s="2" t="s">
        <v>48</v>
      </c>
      <c r="S413" s="2">
        <v>19566</v>
      </c>
      <c r="T413" s="2">
        <v>3854</v>
      </c>
      <c r="U413" s="2">
        <v>5</v>
      </c>
      <c r="V413" s="2" t="s">
        <v>42</v>
      </c>
      <c r="W413" s="2" t="s">
        <v>43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</row>
    <row r="414" spans="1:35" x14ac:dyDescent="0.25">
      <c r="A414" s="2">
        <v>46</v>
      </c>
      <c r="B414" s="2" t="s">
        <v>43</v>
      </c>
      <c r="C414" s="2" t="s">
        <v>36</v>
      </c>
      <c r="D414" s="2">
        <v>1485</v>
      </c>
      <c r="E414" s="2" t="s">
        <v>45</v>
      </c>
      <c r="F414" s="2">
        <v>18</v>
      </c>
      <c r="G414" s="2">
        <v>3</v>
      </c>
      <c r="H414" s="2" t="s">
        <v>51</v>
      </c>
      <c r="I414" s="2">
        <v>1</v>
      </c>
      <c r="J414" s="2">
        <v>550</v>
      </c>
      <c r="K414" s="2">
        <v>3</v>
      </c>
      <c r="L414" s="2" t="s">
        <v>39</v>
      </c>
      <c r="M414" s="2">
        <v>87</v>
      </c>
      <c r="N414" s="2">
        <v>3</v>
      </c>
      <c r="O414" s="2">
        <v>2</v>
      </c>
      <c r="P414" s="2" t="s">
        <v>53</v>
      </c>
      <c r="Q414" s="2">
        <v>3</v>
      </c>
      <c r="R414" s="2" t="s">
        <v>52</v>
      </c>
      <c r="S414" s="2">
        <v>4810</v>
      </c>
      <c r="T414" s="2">
        <v>26314</v>
      </c>
      <c r="U414" s="2">
        <v>2</v>
      </c>
      <c r="V414" s="2" t="s">
        <v>42</v>
      </c>
      <c r="W414" s="2" t="s">
        <v>43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</row>
    <row r="415" spans="1:35" x14ac:dyDescent="0.25">
      <c r="A415" s="2">
        <v>42</v>
      </c>
      <c r="B415" s="2" t="s">
        <v>43</v>
      </c>
      <c r="C415" s="2" t="s">
        <v>44</v>
      </c>
      <c r="D415" s="2">
        <v>1368</v>
      </c>
      <c r="E415" s="2" t="s">
        <v>45</v>
      </c>
      <c r="F415" s="2">
        <v>28</v>
      </c>
      <c r="G415" s="2">
        <v>4</v>
      </c>
      <c r="H415" s="2" t="s">
        <v>60</v>
      </c>
      <c r="I415" s="2">
        <v>1</v>
      </c>
      <c r="J415" s="2">
        <v>551</v>
      </c>
      <c r="K415" s="2">
        <v>4</v>
      </c>
      <c r="L415" s="2" t="s">
        <v>39</v>
      </c>
      <c r="M415" s="2">
        <v>88</v>
      </c>
      <c r="N415" s="2">
        <v>2</v>
      </c>
      <c r="O415" s="2">
        <v>2</v>
      </c>
      <c r="P415" s="2" t="s">
        <v>54</v>
      </c>
      <c r="Q415" s="2">
        <v>4</v>
      </c>
      <c r="R415" s="2" t="s">
        <v>48</v>
      </c>
      <c r="S415" s="2">
        <v>4523</v>
      </c>
      <c r="T415" s="2">
        <v>4386</v>
      </c>
      <c r="U415" s="2">
        <v>0</v>
      </c>
      <c r="V415" s="2" t="s">
        <v>42</v>
      </c>
      <c r="W415" s="2" t="s">
        <v>43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</row>
    <row r="416" spans="1:35" x14ac:dyDescent="0.25">
      <c r="A416" s="2">
        <v>24</v>
      </c>
      <c r="B416" s="2" t="s">
        <v>35</v>
      </c>
      <c r="C416" s="2" t="s">
        <v>36</v>
      </c>
      <c r="D416" s="2">
        <v>1448</v>
      </c>
      <c r="E416" s="2" t="s">
        <v>37</v>
      </c>
      <c r="F416" s="2">
        <v>1</v>
      </c>
      <c r="G416" s="2">
        <v>1</v>
      </c>
      <c r="H416" s="2" t="s">
        <v>60</v>
      </c>
      <c r="I416" s="2">
        <v>1</v>
      </c>
      <c r="J416" s="2">
        <v>554</v>
      </c>
      <c r="K416" s="2">
        <v>1</v>
      </c>
      <c r="L416" s="2" t="s">
        <v>39</v>
      </c>
      <c r="M416" s="2">
        <v>62</v>
      </c>
      <c r="N416" s="2">
        <v>3</v>
      </c>
      <c r="O416" s="2">
        <v>1</v>
      </c>
      <c r="P416" s="2" t="s">
        <v>57</v>
      </c>
      <c r="Q416" s="2">
        <v>2</v>
      </c>
      <c r="R416" s="2" t="s">
        <v>41</v>
      </c>
      <c r="S416" s="2">
        <v>3202</v>
      </c>
      <c r="T416" s="2">
        <v>21972</v>
      </c>
      <c r="U416" s="2">
        <v>1</v>
      </c>
      <c r="V416" s="2" t="s">
        <v>42</v>
      </c>
      <c r="W416" s="2" t="s">
        <v>35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</row>
    <row r="417" spans="1:35" x14ac:dyDescent="0.25">
      <c r="A417" s="2">
        <v>34</v>
      </c>
      <c r="B417" s="2" t="s">
        <v>35</v>
      </c>
      <c r="C417" s="2" t="s">
        <v>44</v>
      </c>
      <c r="D417" s="2">
        <v>296</v>
      </c>
      <c r="E417" s="2" t="s">
        <v>37</v>
      </c>
      <c r="F417" s="2">
        <v>6</v>
      </c>
      <c r="G417" s="2">
        <v>2</v>
      </c>
      <c r="H417" s="2" t="s">
        <v>59</v>
      </c>
      <c r="I417" s="2">
        <v>1</v>
      </c>
      <c r="J417" s="2">
        <v>555</v>
      </c>
      <c r="K417" s="2">
        <v>4</v>
      </c>
      <c r="L417" s="2" t="s">
        <v>39</v>
      </c>
      <c r="M417" s="2">
        <v>33</v>
      </c>
      <c r="N417" s="2">
        <v>1</v>
      </c>
      <c r="O417" s="2">
        <v>1</v>
      </c>
      <c r="P417" s="2" t="s">
        <v>57</v>
      </c>
      <c r="Q417" s="2">
        <v>3</v>
      </c>
      <c r="R417" s="2" t="s">
        <v>52</v>
      </c>
      <c r="S417" s="2">
        <v>2351</v>
      </c>
      <c r="T417" s="2">
        <v>12253</v>
      </c>
      <c r="U417" s="2">
        <v>0</v>
      </c>
      <c r="V417" s="2" t="s">
        <v>42</v>
      </c>
      <c r="W417" s="2" t="s">
        <v>43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</row>
    <row r="418" spans="1:35" x14ac:dyDescent="0.25">
      <c r="A418" s="2">
        <v>38</v>
      </c>
      <c r="B418" s="2" t="s">
        <v>43</v>
      </c>
      <c r="C418" s="2" t="s">
        <v>44</v>
      </c>
      <c r="D418" s="2">
        <v>1490</v>
      </c>
      <c r="E418" s="2" t="s">
        <v>45</v>
      </c>
      <c r="F418" s="2">
        <v>2</v>
      </c>
      <c r="G418" s="2">
        <v>2</v>
      </c>
      <c r="H418" s="2" t="s">
        <v>38</v>
      </c>
      <c r="I418" s="2">
        <v>1</v>
      </c>
      <c r="J418" s="2">
        <v>556</v>
      </c>
      <c r="K418" s="2">
        <v>4</v>
      </c>
      <c r="L418" s="2" t="s">
        <v>46</v>
      </c>
      <c r="M418" s="2">
        <v>42</v>
      </c>
      <c r="N418" s="2">
        <v>3</v>
      </c>
      <c r="O418" s="2">
        <v>1</v>
      </c>
      <c r="P418" s="2" t="s">
        <v>50</v>
      </c>
      <c r="Q418" s="2">
        <v>4</v>
      </c>
      <c r="R418" s="2" t="s">
        <v>48</v>
      </c>
      <c r="S418" s="2">
        <v>1702</v>
      </c>
      <c r="T418" s="2">
        <v>12106</v>
      </c>
      <c r="U418" s="2">
        <v>1</v>
      </c>
      <c r="V418" s="2" t="s">
        <v>42</v>
      </c>
      <c r="W418" s="2" t="s">
        <v>35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</row>
    <row r="419" spans="1:35" x14ac:dyDescent="0.25">
      <c r="A419" s="2">
        <v>40</v>
      </c>
      <c r="B419" s="2" t="s">
        <v>43</v>
      </c>
      <c r="C419" s="2" t="s">
        <v>36</v>
      </c>
      <c r="D419" s="2">
        <v>1398</v>
      </c>
      <c r="E419" s="2" t="s">
        <v>37</v>
      </c>
      <c r="F419" s="2">
        <v>2</v>
      </c>
      <c r="G419" s="2">
        <v>4</v>
      </c>
      <c r="H419" s="2" t="s">
        <v>38</v>
      </c>
      <c r="I419" s="2">
        <v>1</v>
      </c>
      <c r="J419" s="2">
        <v>558</v>
      </c>
      <c r="K419" s="2">
        <v>3</v>
      </c>
      <c r="L419" s="2" t="s">
        <v>39</v>
      </c>
      <c r="M419" s="2">
        <v>79</v>
      </c>
      <c r="N419" s="2">
        <v>3</v>
      </c>
      <c r="O419" s="2">
        <v>5</v>
      </c>
      <c r="P419" s="2" t="s">
        <v>56</v>
      </c>
      <c r="Q419" s="2">
        <v>3</v>
      </c>
      <c r="R419" s="2" t="s">
        <v>48</v>
      </c>
      <c r="S419" s="2">
        <v>18041</v>
      </c>
      <c r="T419" s="2">
        <v>13022</v>
      </c>
      <c r="U419" s="2">
        <v>0</v>
      </c>
      <c r="V419" s="2" t="s">
        <v>42</v>
      </c>
      <c r="W419" s="2" t="s">
        <v>43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</row>
    <row r="420" spans="1:35" x14ac:dyDescent="0.25">
      <c r="A420" s="2">
        <v>26</v>
      </c>
      <c r="B420" s="2" t="s">
        <v>43</v>
      </c>
      <c r="C420" s="2" t="s">
        <v>36</v>
      </c>
      <c r="D420" s="2">
        <v>1349</v>
      </c>
      <c r="E420" s="2" t="s">
        <v>45</v>
      </c>
      <c r="F420" s="2">
        <v>23</v>
      </c>
      <c r="G420" s="2">
        <v>3</v>
      </c>
      <c r="H420" s="2" t="s">
        <v>38</v>
      </c>
      <c r="I420" s="2">
        <v>1</v>
      </c>
      <c r="J420" s="2">
        <v>560</v>
      </c>
      <c r="K420" s="2">
        <v>1</v>
      </c>
      <c r="L420" s="2" t="s">
        <v>39</v>
      </c>
      <c r="M420" s="2">
        <v>90</v>
      </c>
      <c r="N420" s="2">
        <v>3</v>
      </c>
      <c r="O420" s="2">
        <v>1</v>
      </c>
      <c r="P420" s="2" t="s">
        <v>47</v>
      </c>
      <c r="Q420" s="2">
        <v>4</v>
      </c>
      <c r="R420" s="2" t="s">
        <v>52</v>
      </c>
      <c r="S420" s="2">
        <v>2886</v>
      </c>
      <c r="T420" s="2">
        <v>3032</v>
      </c>
      <c r="U420" s="2">
        <v>1</v>
      </c>
      <c r="V420" s="2" t="s">
        <v>42</v>
      </c>
      <c r="W420" s="2" t="s">
        <v>43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</row>
    <row r="421" spans="1:35" x14ac:dyDescent="0.25">
      <c r="A421" s="2">
        <v>30</v>
      </c>
      <c r="B421" s="2" t="s">
        <v>43</v>
      </c>
      <c r="C421" s="2" t="s">
        <v>55</v>
      </c>
      <c r="D421" s="2">
        <v>1400</v>
      </c>
      <c r="E421" s="2" t="s">
        <v>45</v>
      </c>
      <c r="F421" s="2">
        <v>3</v>
      </c>
      <c r="G421" s="2">
        <v>3</v>
      </c>
      <c r="H421" s="2" t="s">
        <v>38</v>
      </c>
      <c r="I421" s="2">
        <v>1</v>
      </c>
      <c r="J421" s="2">
        <v>562</v>
      </c>
      <c r="K421" s="2">
        <v>3</v>
      </c>
      <c r="L421" s="2" t="s">
        <v>46</v>
      </c>
      <c r="M421" s="2">
        <v>53</v>
      </c>
      <c r="N421" s="2">
        <v>3</v>
      </c>
      <c r="O421" s="2">
        <v>1</v>
      </c>
      <c r="P421" s="2" t="s">
        <v>50</v>
      </c>
      <c r="Q421" s="2">
        <v>4</v>
      </c>
      <c r="R421" s="2" t="s">
        <v>48</v>
      </c>
      <c r="S421" s="2">
        <v>2097</v>
      </c>
      <c r="T421" s="2">
        <v>16734</v>
      </c>
      <c r="U421" s="2">
        <v>4</v>
      </c>
      <c r="V421" s="2" t="s">
        <v>42</v>
      </c>
      <c r="W421" s="2" t="s">
        <v>43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</row>
    <row r="422" spans="1:35" x14ac:dyDescent="0.25">
      <c r="A422" s="2">
        <v>29</v>
      </c>
      <c r="B422" s="2" t="s">
        <v>43</v>
      </c>
      <c r="C422" s="2" t="s">
        <v>36</v>
      </c>
      <c r="D422" s="2">
        <v>986</v>
      </c>
      <c r="E422" s="2" t="s">
        <v>45</v>
      </c>
      <c r="F422" s="2">
        <v>3</v>
      </c>
      <c r="G422" s="2">
        <v>4</v>
      </c>
      <c r="H422" s="2" t="s">
        <v>51</v>
      </c>
      <c r="I422" s="2">
        <v>1</v>
      </c>
      <c r="J422" s="2">
        <v>564</v>
      </c>
      <c r="K422" s="2">
        <v>2</v>
      </c>
      <c r="L422" s="2" t="s">
        <v>46</v>
      </c>
      <c r="M422" s="2">
        <v>93</v>
      </c>
      <c r="N422" s="2">
        <v>2</v>
      </c>
      <c r="O422" s="2">
        <v>3</v>
      </c>
      <c r="P422" s="2" t="s">
        <v>58</v>
      </c>
      <c r="Q422" s="2">
        <v>3</v>
      </c>
      <c r="R422" s="2" t="s">
        <v>48</v>
      </c>
      <c r="S422" s="2">
        <v>11935</v>
      </c>
      <c r="T422" s="2">
        <v>21526</v>
      </c>
      <c r="U422" s="2">
        <v>1</v>
      </c>
      <c r="V422" s="2" t="s">
        <v>42</v>
      </c>
      <c r="W422" s="2" t="s">
        <v>43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</row>
    <row r="423" spans="1:35" x14ac:dyDescent="0.25">
      <c r="A423" s="2">
        <v>29</v>
      </c>
      <c r="B423" s="2" t="s">
        <v>35</v>
      </c>
      <c r="C423" s="2" t="s">
        <v>36</v>
      </c>
      <c r="D423" s="2">
        <v>408</v>
      </c>
      <c r="E423" s="2" t="s">
        <v>45</v>
      </c>
      <c r="F423" s="2">
        <v>25</v>
      </c>
      <c r="G423" s="2">
        <v>5</v>
      </c>
      <c r="H423" s="2" t="s">
        <v>60</v>
      </c>
      <c r="I423" s="2">
        <v>1</v>
      </c>
      <c r="J423" s="2">
        <v>565</v>
      </c>
      <c r="K423" s="2">
        <v>3</v>
      </c>
      <c r="L423" s="2" t="s">
        <v>39</v>
      </c>
      <c r="M423" s="2">
        <v>71</v>
      </c>
      <c r="N423" s="2">
        <v>2</v>
      </c>
      <c r="O423" s="2">
        <v>1</v>
      </c>
      <c r="P423" s="2" t="s">
        <v>47</v>
      </c>
      <c r="Q423" s="2">
        <v>2</v>
      </c>
      <c r="R423" s="2" t="s">
        <v>48</v>
      </c>
      <c r="S423" s="2">
        <v>2546</v>
      </c>
      <c r="T423" s="2">
        <v>18300</v>
      </c>
      <c r="U423" s="2">
        <v>5</v>
      </c>
      <c r="V423" s="2" t="s">
        <v>42</v>
      </c>
      <c r="W423" s="2" t="s">
        <v>43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</row>
    <row r="424" spans="1:35" x14ac:dyDescent="0.25">
      <c r="A424" s="2">
        <v>19</v>
      </c>
      <c r="B424" s="2" t="s">
        <v>35</v>
      </c>
      <c r="C424" s="2" t="s">
        <v>36</v>
      </c>
      <c r="D424" s="2">
        <v>489</v>
      </c>
      <c r="E424" s="2" t="s">
        <v>61</v>
      </c>
      <c r="F424" s="2">
        <v>2</v>
      </c>
      <c r="G424" s="2">
        <v>2</v>
      </c>
      <c r="H424" s="2" t="s">
        <v>60</v>
      </c>
      <c r="I424" s="2">
        <v>1</v>
      </c>
      <c r="J424" s="2">
        <v>566</v>
      </c>
      <c r="K424" s="2">
        <v>1</v>
      </c>
      <c r="L424" s="2" t="s">
        <v>46</v>
      </c>
      <c r="M424" s="2">
        <v>52</v>
      </c>
      <c r="N424" s="2">
        <v>2</v>
      </c>
      <c r="O424" s="2">
        <v>1</v>
      </c>
      <c r="P424" s="2" t="s">
        <v>61</v>
      </c>
      <c r="Q424" s="2">
        <v>4</v>
      </c>
      <c r="R424" s="2" t="s">
        <v>41</v>
      </c>
      <c r="S424" s="2">
        <v>2564</v>
      </c>
      <c r="T424" s="2">
        <v>18437</v>
      </c>
      <c r="U424" s="2">
        <v>1</v>
      </c>
      <c r="V424" s="2" t="s">
        <v>42</v>
      </c>
      <c r="W424" s="2" t="s">
        <v>43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</row>
    <row r="425" spans="1:35" x14ac:dyDescent="0.25">
      <c r="A425" s="2">
        <v>30</v>
      </c>
      <c r="B425" s="2" t="s">
        <v>43</v>
      </c>
      <c r="C425" s="2" t="s">
        <v>55</v>
      </c>
      <c r="D425" s="2">
        <v>1398</v>
      </c>
      <c r="E425" s="2" t="s">
        <v>37</v>
      </c>
      <c r="F425" s="2">
        <v>22</v>
      </c>
      <c r="G425" s="2">
        <v>4</v>
      </c>
      <c r="H425" s="2" t="s">
        <v>49</v>
      </c>
      <c r="I425" s="2">
        <v>1</v>
      </c>
      <c r="J425" s="2">
        <v>567</v>
      </c>
      <c r="K425" s="2">
        <v>3</v>
      </c>
      <c r="L425" s="2" t="s">
        <v>39</v>
      </c>
      <c r="M425" s="2">
        <v>69</v>
      </c>
      <c r="N425" s="2">
        <v>3</v>
      </c>
      <c r="O425" s="2">
        <v>3</v>
      </c>
      <c r="P425" s="2" t="s">
        <v>40</v>
      </c>
      <c r="Q425" s="2">
        <v>1</v>
      </c>
      <c r="R425" s="2" t="s">
        <v>48</v>
      </c>
      <c r="S425" s="2">
        <v>8412</v>
      </c>
      <c r="T425" s="2">
        <v>2890</v>
      </c>
      <c r="U425" s="2">
        <v>0</v>
      </c>
      <c r="V425" s="2" t="s">
        <v>42</v>
      </c>
      <c r="W425" s="2" t="s">
        <v>43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</row>
    <row r="426" spans="1:35" x14ac:dyDescent="0.25">
      <c r="A426" s="2">
        <v>57</v>
      </c>
      <c r="B426" s="2" t="s">
        <v>43</v>
      </c>
      <c r="C426" s="2" t="s">
        <v>36</v>
      </c>
      <c r="D426" s="2">
        <v>210</v>
      </c>
      <c r="E426" s="2" t="s">
        <v>37</v>
      </c>
      <c r="F426" s="2">
        <v>29</v>
      </c>
      <c r="G426" s="2">
        <v>3</v>
      </c>
      <c r="H426" s="2" t="s">
        <v>59</v>
      </c>
      <c r="I426" s="2">
        <v>1</v>
      </c>
      <c r="J426" s="2">
        <v>568</v>
      </c>
      <c r="K426" s="2">
        <v>1</v>
      </c>
      <c r="L426" s="2" t="s">
        <v>46</v>
      </c>
      <c r="M426" s="2">
        <v>56</v>
      </c>
      <c r="N426" s="2">
        <v>2</v>
      </c>
      <c r="O426" s="2">
        <v>4</v>
      </c>
      <c r="P426" s="2" t="s">
        <v>56</v>
      </c>
      <c r="Q426" s="2">
        <v>4</v>
      </c>
      <c r="R426" s="2" t="s">
        <v>52</v>
      </c>
      <c r="S426" s="2">
        <v>14118</v>
      </c>
      <c r="T426" s="2">
        <v>22102</v>
      </c>
      <c r="U426" s="2">
        <v>3</v>
      </c>
      <c r="V426" s="2" t="s">
        <v>42</v>
      </c>
      <c r="W426" s="2" t="s">
        <v>43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</row>
    <row r="427" spans="1:35" x14ac:dyDescent="0.25">
      <c r="A427" s="2">
        <v>50</v>
      </c>
      <c r="B427" s="2" t="s">
        <v>43</v>
      </c>
      <c r="C427" s="2" t="s">
        <v>36</v>
      </c>
      <c r="D427" s="2">
        <v>1099</v>
      </c>
      <c r="E427" s="2" t="s">
        <v>45</v>
      </c>
      <c r="F427" s="2">
        <v>29</v>
      </c>
      <c r="G427" s="2">
        <v>4</v>
      </c>
      <c r="H427" s="2" t="s">
        <v>38</v>
      </c>
      <c r="I427" s="2">
        <v>1</v>
      </c>
      <c r="J427" s="2">
        <v>569</v>
      </c>
      <c r="K427" s="2">
        <v>2</v>
      </c>
      <c r="L427" s="2" t="s">
        <v>46</v>
      </c>
      <c r="M427" s="2">
        <v>88</v>
      </c>
      <c r="N427" s="2">
        <v>2</v>
      </c>
      <c r="O427" s="2">
        <v>4</v>
      </c>
      <c r="P427" s="2" t="s">
        <v>56</v>
      </c>
      <c r="Q427" s="2">
        <v>3</v>
      </c>
      <c r="R427" s="2" t="s">
        <v>48</v>
      </c>
      <c r="S427" s="2">
        <v>17046</v>
      </c>
      <c r="T427" s="2">
        <v>9314</v>
      </c>
      <c r="U427" s="2">
        <v>0</v>
      </c>
      <c r="V427" s="2" t="s">
        <v>42</v>
      </c>
      <c r="W427" s="2" t="s">
        <v>43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</row>
    <row r="428" spans="1:35" x14ac:dyDescent="0.25">
      <c r="A428" s="2">
        <v>30</v>
      </c>
      <c r="B428" s="2" t="s">
        <v>43</v>
      </c>
      <c r="C428" s="2" t="s">
        <v>55</v>
      </c>
      <c r="D428" s="2">
        <v>1116</v>
      </c>
      <c r="E428" s="2" t="s">
        <v>45</v>
      </c>
      <c r="F428" s="2">
        <v>2</v>
      </c>
      <c r="G428" s="2">
        <v>3</v>
      </c>
      <c r="H428" s="2" t="s">
        <v>51</v>
      </c>
      <c r="I428" s="2">
        <v>1</v>
      </c>
      <c r="J428" s="2">
        <v>571</v>
      </c>
      <c r="K428" s="2">
        <v>3</v>
      </c>
      <c r="L428" s="2" t="s">
        <v>39</v>
      </c>
      <c r="M428" s="2">
        <v>49</v>
      </c>
      <c r="N428" s="2">
        <v>3</v>
      </c>
      <c r="O428" s="2">
        <v>1</v>
      </c>
      <c r="P428" s="2" t="s">
        <v>50</v>
      </c>
      <c r="Q428" s="2">
        <v>4</v>
      </c>
      <c r="R428" s="2" t="s">
        <v>41</v>
      </c>
      <c r="S428" s="2">
        <v>2564</v>
      </c>
      <c r="T428" s="2">
        <v>7181</v>
      </c>
      <c r="U428" s="2">
        <v>0</v>
      </c>
      <c r="V428" s="2" t="s">
        <v>42</v>
      </c>
      <c r="W428" s="2" t="s">
        <v>43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</row>
    <row r="429" spans="1:35" x14ac:dyDescent="0.25">
      <c r="A429" s="2">
        <v>60</v>
      </c>
      <c r="B429" s="2" t="s">
        <v>43</v>
      </c>
      <c r="C429" s="2" t="s">
        <v>44</v>
      </c>
      <c r="D429" s="2">
        <v>1499</v>
      </c>
      <c r="E429" s="2" t="s">
        <v>37</v>
      </c>
      <c r="F429" s="2">
        <v>28</v>
      </c>
      <c r="G429" s="2">
        <v>3</v>
      </c>
      <c r="H429" s="2" t="s">
        <v>59</v>
      </c>
      <c r="I429" s="2">
        <v>1</v>
      </c>
      <c r="J429" s="2">
        <v>573</v>
      </c>
      <c r="K429" s="2">
        <v>3</v>
      </c>
      <c r="L429" s="2" t="s">
        <v>39</v>
      </c>
      <c r="M429" s="2">
        <v>80</v>
      </c>
      <c r="N429" s="2">
        <v>2</v>
      </c>
      <c r="O429" s="2">
        <v>3</v>
      </c>
      <c r="P429" s="2" t="s">
        <v>40</v>
      </c>
      <c r="Q429" s="2">
        <v>1</v>
      </c>
      <c r="R429" s="2" t="s">
        <v>48</v>
      </c>
      <c r="S429" s="2">
        <v>10266</v>
      </c>
      <c r="T429" s="2">
        <v>2845</v>
      </c>
      <c r="U429" s="2">
        <v>4</v>
      </c>
      <c r="V429" s="2" t="s">
        <v>42</v>
      </c>
      <c r="W429" s="2" t="s">
        <v>43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</row>
    <row r="430" spans="1:35" x14ac:dyDescent="0.25">
      <c r="A430" s="2">
        <v>47</v>
      </c>
      <c r="B430" s="2" t="s">
        <v>43</v>
      </c>
      <c r="C430" s="2" t="s">
        <v>36</v>
      </c>
      <c r="D430" s="2">
        <v>983</v>
      </c>
      <c r="E430" s="2" t="s">
        <v>45</v>
      </c>
      <c r="F430" s="2">
        <v>2</v>
      </c>
      <c r="G430" s="2">
        <v>2</v>
      </c>
      <c r="H430" s="2" t="s">
        <v>51</v>
      </c>
      <c r="I430" s="2">
        <v>1</v>
      </c>
      <c r="J430" s="2">
        <v>574</v>
      </c>
      <c r="K430" s="2">
        <v>1</v>
      </c>
      <c r="L430" s="2" t="s">
        <v>39</v>
      </c>
      <c r="M430" s="2">
        <v>65</v>
      </c>
      <c r="N430" s="2">
        <v>3</v>
      </c>
      <c r="O430" s="2">
        <v>2</v>
      </c>
      <c r="P430" s="2" t="s">
        <v>53</v>
      </c>
      <c r="Q430" s="2">
        <v>4</v>
      </c>
      <c r="R430" s="2" t="s">
        <v>52</v>
      </c>
      <c r="S430" s="2">
        <v>5070</v>
      </c>
      <c r="T430" s="2">
        <v>7389</v>
      </c>
      <c r="U430" s="2">
        <v>5</v>
      </c>
      <c r="V430" s="2" t="s">
        <v>42</v>
      </c>
      <c r="W430" s="2" t="s">
        <v>43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</row>
    <row r="431" spans="1:35" x14ac:dyDescent="0.25">
      <c r="A431" s="2">
        <v>46</v>
      </c>
      <c r="B431" s="2" t="s">
        <v>43</v>
      </c>
      <c r="C431" s="2" t="s">
        <v>36</v>
      </c>
      <c r="D431" s="2">
        <v>1009</v>
      </c>
      <c r="E431" s="2" t="s">
        <v>45</v>
      </c>
      <c r="F431" s="2">
        <v>2</v>
      </c>
      <c r="G431" s="2">
        <v>3</v>
      </c>
      <c r="H431" s="2" t="s">
        <v>38</v>
      </c>
      <c r="I431" s="2">
        <v>1</v>
      </c>
      <c r="J431" s="2">
        <v>575</v>
      </c>
      <c r="K431" s="2">
        <v>1</v>
      </c>
      <c r="L431" s="2" t="s">
        <v>46</v>
      </c>
      <c r="M431" s="2">
        <v>51</v>
      </c>
      <c r="N431" s="2">
        <v>3</v>
      </c>
      <c r="O431" s="2">
        <v>4</v>
      </c>
      <c r="P431" s="2" t="s">
        <v>58</v>
      </c>
      <c r="Q431" s="2">
        <v>3</v>
      </c>
      <c r="R431" s="2" t="s">
        <v>48</v>
      </c>
      <c r="S431" s="2">
        <v>17861</v>
      </c>
      <c r="T431" s="2">
        <v>2288</v>
      </c>
      <c r="U431" s="2">
        <v>6</v>
      </c>
      <c r="V431" s="2" t="s">
        <v>42</v>
      </c>
      <c r="W431" s="2" t="s">
        <v>43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</row>
    <row r="432" spans="1:35" x14ac:dyDescent="0.25">
      <c r="A432" s="2">
        <v>35</v>
      </c>
      <c r="B432" s="2" t="s">
        <v>43</v>
      </c>
      <c r="C432" s="2" t="s">
        <v>36</v>
      </c>
      <c r="D432" s="2">
        <v>144</v>
      </c>
      <c r="E432" s="2" t="s">
        <v>45</v>
      </c>
      <c r="F432" s="2">
        <v>22</v>
      </c>
      <c r="G432" s="2">
        <v>3</v>
      </c>
      <c r="H432" s="2" t="s">
        <v>38</v>
      </c>
      <c r="I432" s="2">
        <v>1</v>
      </c>
      <c r="J432" s="2">
        <v>577</v>
      </c>
      <c r="K432" s="2">
        <v>4</v>
      </c>
      <c r="L432" s="2" t="s">
        <v>46</v>
      </c>
      <c r="M432" s="2">
        <v>46</v>
      </c>
      <c r="N432" s="2">
        <v>1</v>
      </c>
      <c r="O432" s="2">
        <v>1</v>
      </c>
      <c r="P432" s="2" t="s">
        <v>50</v>
      </c>
      <c r="Q432" s="2">
        <v>3</v>
      </c>
      <c r="R432" s="2" t="s">
        <v>41</v>
      </c>
      <c r="S432" s="2">
        <v>4230</v>
      </c>
      <c r="T432" s="2">
        <v>19225</v>
      </c>
      <c r="U432" s="2">
        <v>0</v>
      </c>
      <c r="V432" s="2" t="s">
        <v>42</v>
      </c>
      <c r="W432" s="2" t="s">
        <v>43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</row>
    <row r="433" spans="1:35" x14ac:dyDescent="0.25">
      <c r="A433" s="2">
        <v>54</v>
      </c>
      <c r="B433" s="2" t="s">
        <v>43</v>
      </c>
      <c r="C433" s="2" t="s">
        <v>36</v>
      </c>
      <c r="D433" s="2">
        <v>548</v>
      </c>
      <c r="E433" s="2" t="s">
        <v>45</v>
      </c>
      <c r="F433" s="2">
        <v>8</v>
      </c>
      <c r="G433" s="2">
        <v>4</v>
      </c>
      <c r="H433" s="2" t="s">
        <v>38</v>
      </c>
      <c r="I433" s="2">
        <v>1</v>
      </c>
      <c r="J433" s="2">
        <v>578</v>
      </c>
      <c r="K433" s="2">
        <v>3</v>
      </c>
      <c r="L433" s="2" t="s">
        <v>39</v>
      </c>
      <c r="M433" s="2">
        <v>42</v>
      </c>
      <c r="N433" s="2">
        <v>3</v>
      </c>
      <c r="O433" s="2">
        <v>2</v>
      </c>
      <c r="P433" s="2" t="s">
        <v>50</v>
      </c>
      <c r="Q433" s="2">
        <v>3</v>
      </c>
      <c r="R433" s="2" t="s">
        <v>41</v>
      </c>
      <c r="S433" s="2">
        <v>3780</v>
      </c>
      <c r="T433" s="2">
        <v>23428</v>
      </c>
      <c r="U433" s="2">
        <v>7</v>
      </c>
      <c r="V433" s="2" t="s">
        <v>42</v>
      </c>
      <c r="W433" s="2" t="s">
        <v>43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</row>
    <row r="434" spans="1:35" x14ac:dyDescent="0.25">
      <c r="A434" s="2">
        <v>34</v>
      </c>
      <c r="B434" s="2" t="s">
        <v>43</v>
      </c>
      <c r="C434" s="2" t="s">
        <v>36</v>
      </c>
      <c r="D434" s="2">
        <v>1303</v>
      </c>
      <c r="E434" s="2" t="s">
        <v>45</v>
      </c>
      <c r="F434" s="2">
        <v>2</v>
      </c>
      <c r="G434" s="2">
        <v>4</v>
      </c>
      <c r="H434" s="2" t="s">
        <v>38</v>
      </c>
      <c r="I434" s="2">
        <v>1</v>
      </c>
      <c r="J434" s="2">
        <v>579</v>
      </c>
      <c r="K434" s="2">
        <v>4</v>
      </c>
      <c r="L434" s="2" t="s">
        <v>46</v>
      </c>
      <c r="M434" s="2">
        <v>62</v>
      </c>
      <c r="N434" s="2">
        <v>2</v>
      </c>
      <c r="O434" s="2">
        <v>1</v>
      </c>
      <c r="P434" s="2" t="s">
        <v>47</v>
      </c>
      <c r="Q434" s="2">
        <v>3</v>
      </c>
      <c r="R434" s="2" t="s">
        <v>52</v>
      </c>
      <c r="S434" s="2">
        <v>2768</v>
      </c>
      <c r="T434" s="2">
        <v>8416</v>
      </c>
      <c r="U434" s="2">
        <v>3</v>
      </c>
      <c r="V434" s="2" t="s">
        <v>42</v>
      </c>
      <c r="W434" s="2" t="s">
        <v>43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</row>
    <row r="435" spans="1:35" x14ac:dyDescent="0.25">
      <c r="A435" s="2">
        <v>46</v>
      </c>
      <c r="B435" s="2" t="s">
        <v>43</v>
      </c>
      <c r="C435" s="2" t="s">
        <v>36</v>
      </c>
      <c r="D435" s="2">
        <v>1125</v>
      </c>
      <c r="E435" s="2" t="s">
        <v>37</v>
      </c>
      <c r="F435" s="2">
        <v>10</v>
      </c>
      <c r="G435" s="2">
        <v>3</v>
      </c>
      <c r="H435" s="2" t="s">
        <v>59</v>
      </c>
      <c r="I435" s="2">
        <v>1</v>
      </c>
      <c r="J435" s="2">
        <v>580</v>
      </c>
      <c r="K435" s="2">
        <v>3</v>
      </c>
      <c r="L435" s="2" t="s">
        <v>39</v>
      </c>
      <c r="M435" s="2">
        <v>94</v>
      </c>
      <c r="N435" s="2">
        <v>2</v>
      </c>
      <c r="O435" s="2">
        <v>3</v>
      </c>
      <c r="P435" s="2" t="s">
        <v>40</v>
      </c>
      <c r="Q435" s="2">
        <v>4</v>
      </c>
      <c r="R435" s="2" t="s">
        <v>48</v>
      </c>
      <c r="S435" s="2">
        <v>9071</v>
      </c>
      <c r="T435" s="2">
        <v>11563</v>
      </c>
      <c r="U435" s="2">
        <v>2</v>
      </c>
      <c r="V435" s="2" t="s">
        <v>42</v>
      </c>
      <c r="W435" s="2" t="s">
        <v>35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</row>
    <row r="436" spans="1:35" x14ac:dyDescent="0.25">
      <c r="A436" s="2">
        <v>31</v>
      </c>
      <c r="B436" s="2" t="s">
        <v>43</v>
      </c>
      <c r="C436" s="2" t="s">
        <v>36</v>
      </c>
      <c r="D436" s="2">
        <v>1274</v>
      </c>
      <c r="E436" s="2" t="s">
        <v>45</v>
      </c>
      <c r="F436" s="2">
        <v>9</v>
      </c>
      <c r="G436" s="2">
        <v>1</v>
      </c>
      <c r="H436" s="2" t="s">
        <v>38</v>
      </c>
      <c r="I436" s="2">
        <v>1</v>
      </c>
      <c r="J436" s="2">
        <v>581</v>
      </c>
      <c r="K436" s="2">
        <v>3</v>
      </c>
      <c r="L436" s="2" t="s">
        <v>46</v>
      </c>
      <c r="M436" s="2">
        <v>33</v>
      </c>
      <c r="N436" s="2">
        <v>3</v>
      </c>
      <c r="O436" s="2">
        <v>3</v>
      </c>
      <c r="P436" s="2" t="s">
        <v>53</v>
      </c>
      <c r="Q436" s="2">
        <v>2</v>
      </c>
      <c r="R436" s="2" t="s">
        <v>52</v>
      </c>
      <c r="S436" s="2">
        <v>10648</v>
      </c>
      <c r="T436" s="2">
        <v>14394</v>
      </c>
      <c r="U436" s="2">
        <v>1</v>
      </c>
      <c r="V436" s="2" t="s">
        <v>42</v>
      </c>
      <c r="W436" s="2" t="s">
        <v>43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</row>
    <row r="437" spans="1:35" x14ac:dyDescent="0.25">
      <c r="A437" s="2">
        <v>33</v>
      </c>
      <c r="B437" s="2" t="s">
        <v>35</v>
      </c>
      <c r="C437" s="2" t="s">
        <v>36</v>
      </c>
      <c r="D437" s="2">
        <v>1277</v>
      </c>
      <c r="E437" s="2" t="s">
        <v>45</v>
      </c>
      <c r="F437" s="2">
        <v>15</v>
      </c>
      <c r="G437" s="2">
        <v>1</v>
      </c>
      <c r="H437" s="2" t="s">
        <v>51</v>
      </c>
      <c r="I437" s="2">
        <v>1</v>
      </c>
      <c r="J437" s="2">
        <v>582</v>
      </c>
      <c r="K437" s="2">
        <v>2</v>
      </c>
      <c r="L437" s="2" t="s">
        <v>46</v>
      </c>
      <c r="M437" s="2">
        <v>56</v>
      </c>
      <c r="N437" s="2">
        <v>3</v>
      </c>
      <c r="O437" s="2">
        <v>3</v>
      </c>
      <c r="P437" s="2" t="s">
        <v>56</v>
      </c>
      <c r="Q437" s="2">
        <v>3</v>
      </c>
      <c r="R437" s="2" t="s">
        <v>48</v>
      </c>
      <c r="S437" s="2">
        <v>13610</v>
      </c>
      <c r="T437" s="2">
        <v>24619</v>
      </c>
      <c r="U437" s="2">
        <v>7</v>
      </c>
      <c r="V437" s="2" t="s">
        <v>42</v>
      </c>
      <c r="W437" s="2" t="s">
        <v>35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</row>
    <row r="438" spans="1:35" x14ac:dyDescent="0.25">
      <c r="A438" s="2">
        <v>33</v>
      </c>
      <c r="B438" s="2" t="s">
        <v>35</v>
      </c>
      <c r="C438" s="2" t="s">
        <v>36</v>
      </c>
      <c r="D438" s="2">
        <v>587</v>
      </c>
      <c r="E438" s="2" t="s">
        <v>45</v>
      </c>
      <c r="F438" s="2">
        <v>10</v>
      </c>
      <c r="G438" s="2">
        <v>1</v>
      </c>
      <c r="H438" s="2" t="s">
        <v>51</v>
      </c>
      <c r="I438" s="2">
        <v>1</v>
      </c>
      <c r="J438" s="2">
        <v>584</v>
      </c>
      <c r="K438" s="2">
        <v>1</v>
      </c>
      <c r="L438" s="2" t="s">
        <v>46</v>
      </c>
      <c r="M438" s="2">
        <v>38</v>
      </c>
      <c r="N438" s="2">
        <v>1</v>
      </c>
      <c r="O438" s="2">
        <v>1</v>
      </c>
      <c r="P438" s="2" t="s">
        <v>50</v>
      </c>
      <c r="Q438" s="2">
        <v>4</v>
      </c>
      <c r="R438" s="2" t="s">
        <v>52</v>
      </c>
      <c r="S438" s="2">
        <v>3408</v>
      </c>
      <c r="T438" s="2">
        <v>6705</v>
      </c>
      <c r="U438" s="2">
        <v>7</v>
      </c>
      <c r="V438" s="2" t="s">
        <v>42</v>
      </c>
      <c r="W438" s="2" t="s">
        <v>43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</row>
    <row r="439" spans="1:35" x14ac:dyDescent="0.25">
      <c r="A439" s="2">
        <v>30</v>
      </c>
      <c r="B439" s="2" t="s">
        <v>43</v>
      </c>
      <c r="C439" s="2" t="s">
        <v>36</v>
      </c>
      <c r="D439" s="2">
        <v>413</v>
      </c>
      <c r="E439" s="2" t="s">
        <v>37</v>
      </c>
      <c r="F439" s="2">
        <v>7</v>
      </c>
      <c r="G439" s="2">
        <v>1</v>
      </c>
      <c r="H439" s="2" t="s">
        <v>59</v>
      </c>
      <c r="I439" s="2">
        <v>1</v>
      </c>
      <c r="J439" s="2">
        <v>585</v>
      </c>
      <c r="K439" s="2">
        <v>4</v>
      </c>
      <c r="L439" s="2" t="s">
        <v>46</v>
      </c>
      <c r="M439" s="2">
        <v>57</v>
      </c>
      <c r="N439" s="2">
        <v>3</v>
      </c>
      <c r="O439" s="2">
        <v>1</v>
      </c>
      <c r="P439" s="2" t="s">
        <v>57</v>
      </c>
      <c r="Q439" s="2">
        <v>2</v>
      </c>
      <c r="R439" s="2" t="s">
        <v>41</v>
      </c>
      <c r="S439" s="2">
        <v>2983</v>
      </c>
      <c r="T439" s="2">
        <v>18398</v>
      </c>
      <c r="U439" s="2">
        <v>0</v>
      </c>
      <c r="V439" s="2" t="s">
        <v>42</v>
      </c>
      <c r="W439" s="2" t="s">
        <v>43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</row>
    <row r="440" spans="1:35" x14ac:dyDescent="0.25">
      <c r="A440" s="2">
        <v>35</v>
      </c>
      <c r="B440" s="2" t="s">
        <v>43</v>
      </c>
      <c r="C440" s="2" t="s">
        <v>36</v>
      </c>
      <c r="D440" s="2">
        <v>1276</v>
      </c>
      <c r="E440" s="2" t="s">
        <v>45</v>
      </c>
      <c r="F440" s="2">
        <v>16</v>
      </c>
      <c r="G440" s="2">
        <v>3</v>
      </c>
      <c r="H440" s="2" t="s">
        <v>38</v>
      </c>
      <c r="I440" s="2">
        <v>1</v>
      </c>
      <c r="J440" s="2">
        <v>586</v>
      </c>
      <c r="K440" s="2">
        <v>4</v>
      </c>
      <c r="L440" s="2" t="s">
        <v>46</v>
      </c>
      <c r="M440" s="2">
        <v>72</v>
      </c>
      <c r="N440" s="2">
        <v>3</v>
      </c>
      <c r="O440" s="2">
        <v>3</v>
      </c>
      <c r="P440" s="2" t="s">
        <v>54</v>
      </c>
      <c r="Q440" s="2">
        <v>3</v>
      </c>
      <c r="R440" s="2" t="s">
        <v>48</v>
      </c>
      <c r="S440" s="2">
        <v>7632</v>
      </c>
      <c r="T440" s="2">
        <v>14295</v>
      </c>
      <c r="U440" s="2">
        <v>4</v>
      </c>
      <c r="V440" s="2" t="s">
        <v>42</v>
      </c>
      <c r="W440" s="2" t="s">
        <v>35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</row>
    <row r="441" spans="1:35" x14ac:dyDescent="0.25">
      <c r="A441" s="2">
        <v>31</v>
      </c>
      <c r="B441" s="2" t="s">
        <v>35</v>
      </c>
      <c r="C441" s="2" t="s">
        <v>44</v>
      </c>
      <c r="D441" s="2">
        <v>534</v>
      </c>
      <c r="E441" s="2" t="s">
        <v>45</v>
      </c>
      <c r="F441" s="2">
        <v>20</v>
      </c>
      <c r="G441" s="2">
        <v>3</v>
      </c>
      <c r="H441" s="2" t="s">
        <v>38</v>
      </c>
      <c r="I441" s="2">
        <v>1</v>
      </c>
      <c r="J441" s="2">
        <v>587</v>
      </c>
      <c r="K441" s="2">
        <v>1</v>
      </c>
      <c r="L441" s="2" t="s">
        <v>46</v>
      </c>
      <c r="M441" s="2">
        <v>66</v>
      </c>
      <c r="N441" s="2">
        <v>3</v>
      </c>
      <c r="O441" s="2">
        <v>3</v>
      </c>
      <c r="P441" s="2" t="s">
        <v>54</v>
      </c>
      <c r="Q441" s="2">
        <v>3</v>
      </c>
      <c r="R441" s="2" t="s">
        <v>48</v>
      </c>
      <c r="S441" s="2">
        <v>9824</v>
      </c>
      <c r="T441" s="2">
        <v>22908</v>
      </c>
      <c r="U441" s="2">
        <v>3</v>
      </c>
      <c r="V441" s="2" t="s">
        <v>42</v>
      </c>
      <c r="W441" s="2" t="s">
        <v>43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</row>
    <row r="442" spans="1:35" x14ac:dyDescent="0.25">
      <c r="A442" s="2">
        <v>34</v>
      </c>
      <c r="B442" s="2" t="s">
        <v>35</v>
      </c>
      <c r="C442" s="2" t="s">
        <v>44</v>
      </c>
      <c r="D442" s="2">
        <v>988</v>
      </c>
      <c r="E442" s="2" t="s">
        <v>61</v>
      </c>
      <c r="F442" s="2">
        <v>23</v>
      </c>
      <c r="G442" s="2">
        <v>3</v>
      </c>
      <c r="H442" s="2" t="s">
        <v>61</v>
      </c>
      <c r="I442" s="2">
        <v>1</v>
      </c>
      <c r="J442" s="2">
        <v>590</v>
      </c>
      <c r="K442" s="2">
        <v>2</v>
      </c>
      <c r="L442" s="2" t="s">
        <v>39</v>
      </c>
      <c r="M442" s="2">
        <v>43</v>
      </c>
      <c r="N442" s="2">
        <v>3</v>
      </c>
      <c r="O442" s="2">
        <v>3</v>
      </c>
      <c r="P442" s="2" t="s">
        <v>61</v>
      </c>
      <c r="Q442" s="2">
        <v>1</v>
      </c>
      <c r="R442" s="2" t="s">
        <v>52</v>
      </c>
      <c r="S442" s="2">
        <v>9950</v>
      </c>
      <c r="T442" s="2">
        <v>11533</v>
      </c>
      <c r="U442" s="2">
        <v>9</v>
      </c>
      <c r="V442" s="2" t="s">
        <v>42</v>
      </c>
      <c r="W442" s="2" t="s">
        <v>35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</row>
    <row r="443" spans="1:35" x14ac:dyDescent="0.25">
      <c r="A443" s="2">
        <v>42</v>
      </c>
      <c r="B443" s="2" t="s">
        <v>43</v>
      </c>
      <c r="C443" s="2" t="s">
        <v>44</v>
      </c>
      <c r="D443" s="2">
        <v>1474</v>
      </c>
      <c r="E443" s="2" t="s">
        <v>45</v>
      </c>
      <c r="F443" s="2">
        <v>5</v>
      </c>
      <c r="G443" s="2">
        <v>2</v>
      </c>
      <c r="H443" s="2" t="s">
        <v>49</v>
      </c>
      <c r="I443" s="2">
        <v>1</v>
      </c>
      <c r="J443" s="2">
        <v>591</v>
      </c>
      <c r="K443" s="2">
        <v>2</v>
      </c>
      <c r="L443" s="2" t="s">
        <v>46</v>
      </c>
      <c r="M443" s="2">
        <v>97</v>
      </c>
      <c r="N443" s="2">
        <v>3</v>
      </c>
      <c r="O443" s="2">
        <v>1</v>
      </c>
      <c r="P443" s="2" t="s">
        <v>50</v>
      </c>
      <c r="Q443" s="2">
        <v>3</v>
      </c>
      <c r="R443" s="2" t="s">
        <v>48</v>
      </c>
      <c r="S443" s="2">
        <v>2093</v>
      </c>
      <c r="T443" s="2">
        <v>9260</v>
      </c>
      <c r="U443" s="2">
        <v>4</v>
      </c>
      <c r="V443" s="2" t="s">
        <v>42</v>
      </c>
      <c r="W443" s="2" t="s">
        <v>43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</row>
    <row r="444" spans="1:35" x14ac:dyDescent="0.25">
      <c r="A444" s="2">
        <v>36</v>
      </c>
      <c r="B444" s="2" t="s">
        <v>43</v>
      </c>
      <c r="C444" s="2" t="s">
        <v>55</v>
      </c>
      <c r="D444" s="2">
        <v>635</v>
      </c>
      <c r="E444" s="2" t="s">
        <v>37</v>
      </c>
      <c r="F444" s="2">
        <v>10</v>
      </c>
      <c r="G444" s="2">
        <v>4</v>
      </c>
      <c r="H444" s="2" t="s">
        <v>51</v>
      </c>
      <c r="I444" s="2">
        <v>1</v>
      </c>
      <c r="J444" s="2">
        <v>592</v>
      </c>
      <c r="K444" s="2">
        <v>2</v>
      </c>
      <c r="L444" s="2" t="s">
        <v>46</v>
      </c>
      <c r="M444" s="2">
        <v>32</v>
      </c>
      <c r="N444" s="2">
        <v>3</v>
      </c>
      <c r="O444" s="2">
        <v>3</v>
      </c>
      <c r="P444" s="2" t="s">
        <v>40</v>
      </c>
      <c r="Q444" s="2">
        <v>4</v>
      </c>
      <c r="R444" s="2" t="s">
        <v>41</v>
      </c>
      <c r="S444" s="2">
        <v>9980</v>
      </c>
      <c r="T444" s="2">
        <v>15318</v>
      </c>
      <c r="U444" s="2">
        <v>1</v>
      </c>
      <c r="V444" s="2" t="s">
        <v>42</v>
      </c>
      <c r="W444" s="2" t="s">
        <v>43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</row>
    <row r="445" spans="1:35" x14ac:dyDescent="0.25">
      <c r="A445" s="2">
        <v>22</v>
      </c>
      <c r="B445" s="2" t="s">
        <v>35</v>
      </c>
      <c r="C445" s="2" t="s">
        <v>44</v>
      </c>
      <c r="D445" s="2">
        <v>1368</v>
      </c>
      <c r="E445" s="2" t="s">
        <v>45</v>
      </c>
      <c r="F445" s="2">
        <v>4</v>
      </c>
      <c r="G445" s="2">
        <v>1</v>
      </c>
      <c r="H445" s="2" t="s">
        <v>60</v>
      </c>
      <c r="I445" s="2">
        <v>1</v>
      </c>
      <c r="J445" s="2">
        <v>593</v>
      </c>
      <c r="K445" s="2">
        <v>3</v>
      </c>
      <c r="L445" s="2" t="s">
        <v>46</v>
      </c>
      <c r="M445" s="2">
        <v>99</v>
      </c>
      <c r="N445" s="2">
        <v>2</v>
      </c>
      <c r="O445" s="2">
        <v>1</v>
      </c>
      <c r="P445" s="2" t="s">
        <v>50</v>
      </c>
      <c r="Q445" s="2">
        <v>3</v>
      </c>
      <c r="R445" s="2" t="s">
        <v>41</v>
      </c>
      <c r="S445" s="2">
        <v>3894</v>
      </c>
      <c r="T445" s="2">
        <v>9129</v>
      </c>
      <c r="U445" s="2">
        <v>5</v>
      </c>
      <c r="V445" s="2" t="s">
        <v>42</v>
      </c>
      <c r="W445" s="2" t="s">
        <v>43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</row>
    <row r="446" spans="1:35" x14ac:dyDescent="0.25">
      <c r="A446" s="2">
        <v>48</v>
      </c>
      <c r="B446" s="2" t="s">
        <v>43</v>
      </c>
      <c r="C446" s="2" t="s">
        <v>36</v>
      </c>
      <c r="D446" s="2">
        <v>163</v>
      </c>
      <c r="E446" s="2" t="s">
        <v>37</v>
      </c>
      <c r="F446" s="2">
        <v>2</v>
      </c>
      <c r="G446" s="2">
        <v>5</v>
      </c>
      <c r="H446" s="2" t="s">
        <v>59</v>
      </c>
      <c r="I446" s="2">
        <v>1</v>
      </c>
      <c r="J446" s="2">
        <v>595</v>
      </c>
      <c r="K446" s="2">
        <v>2</v>
      </c>
      <c r="L446" s="2" t="s">
        <v>39</v>
      </c>
      <c r="M446" s="2">
        <v>37</v>
      </c>
      <c r="N446" s="2">
        <v>3</v>
      </c>
      <c r="O446" s="2">
        <v>2</v>
      </c>
      <c r="P446" s="2" t="s">
        <v>40</v>
      </c>
      <c r="Q446" s="2">
        <v>4</v>
      </c>
      <c r="R446" s="2" t="s">
        <v>48</v>
      </c>
      <c r="S446" s="2">
        <v>4051</v>
      </c>
      <c r="T446" s="2">
        <v>19658</v>
      </c>
      <c r="U446" s="2">
        <v>2</v>
      </c>
      <c r="V446" s="2" t="s">
        <v>42</v>
      </c>
      <c r="W446" s="2" t="s">
        <v>43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</row>
    <row r="447" spans="1:35" x14ac:dyDescent="0.25">
      <c r="A447" s="2">
        <v>55</v>
      </c>
      <c r="B447" s="2" t="s">
        <v>43</v>
      </c>
      <c r="C447" s="2" t="s">
        <v>36</v>
      </c>
      <c r="D447" s="2">
        <v>1117</v>
      </c>
      <c r="E447" s="2" t="s">
        <v>37</v>
      </c>
      <c r="F447" s="2">
        <v>18</v>
      </c>
      <c r="G447" s="2">
        <v>5</v>
      </c>
      <c r="H447" s="2" t="s">
        <v>38</v>
      </c>
      <c r="I447" s="2">
        <v>1</v>
      </c>
      <c r="J447" s="2">
        <v>597</v>
      </c>
      <c r="K447" s="2">
        <v>1</v>
      </c>
      <c r="L447" s="2" t="s">
        <v>39</v>
      </c>
      <c r="M447" s="2">
        <v>83</v>
      </c>
      <c r="N447" s="2">
        <v>3</v>
      </c>
      <c r="O447" s="2">
        <v>4</v>
      </c>
      <c r="P447" s="2" t="s">
        <v>56</v>
      </c>
      <c r="Q447" s="2">
        <v>2</v>
      </c>
      <c r="R447" s="2" t="s">
        <v>41</v>
      </c>
      <c r="S447" s="2">
        <v>16835</v>
      </c>
      <c r="T447" s="2">
        <v>9873</v>
      </c>
      <c r="U447" s="2">
        <v>3</v>
      </c>
      <c r="V447" s="2" t="s">
        <v>42</v>
      </c>
      <c r="W447" s="2" t="s">
        <v>43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</row>
    <row r="448" spans="1:35" x14ac:dyDescent="0.25">
      <c r="A448" s="2">
        <v>41</v>
      </c>
      <c r="B448" s="2" t="s">
        <v>43</v>
      </c>
      <c r="C448" s="2" t="s">
        <v>55</v>
      </c>
      <c r="D448" s="2">
        <v>267</v>
      </c>
      <c r="E448" s="2" t="s">
        <v>37</v>
      </c>
      <c r="F448" s="2">
        <v>10</v>
      </c>
      <c r="G448" s="2">
        <v>2</v>
      </c>
      <c r="H448" s="2" t="s">
        <v>38</v>
      </c>
      <c r="I448" s="2">
        <v>1</v>
      </c>
      <c r="J448" s="2">
        <v>599</v>
      </c>
      <c r="K448" s="2">
        <v>4</v>
      </c>
      <c r="L448" s="2" t="s">
        <v>46</v>
      </c>
      <c r="M448" s="2">
        <v>56</v>
      </c>
      <c r="N448" s="2">
        <v>3</v>
      </c>
      <c r="O448" s="2">
        <v>2</v>
      </c>
      <c r="P448" s="2" t="s">
        <v>40</v>
      </c>
      <c r="Q448" s="2">
        <v>4</v>
      </c>
      <c r="R448" s="2" t="s">
        <v>41</v>
      </c>
      <c r="S448" s="2">
        <v>6230</v>
      </c>
      <c r="T448" s="2">
        <v>13430</v>
      </c>
      <c r="U448" s="2">
        <v>7</v>
      </c>
      <c r="V448" s="2" t="s">
        <v>42</v>
      </c>
      <c r="W448" s="2" t="s">
        <v>43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</row>
    <row r="449" spans="1:35" x14ac:dyDescent="0.25">
      <c r="A449" s="2">
        <v>35</v>
      </c>
      <c r="B449" s="2" t="s">
        <v>43</v>
      </c>
      <c r="C449" s="2" t="s">
        <v>36</v>
      </c>
      <c r="D449" s="2">
        <v>619</v>
      </c>
      <c r="E449" s="2" t="s">
        <v>37</v>
      </c>
      <c r="F449" s="2">
        <v>1</v>
      </c>
      <c r="G449" s="2">
        <v>3</v>
      </c>
      <c r="H449" s="2" t="s">
        <v>59</v>
      </c>
      <c r="I449" s="2">
        <v>1</v>
      </c>
      <c r="J449" s="2">
        <v>600</v>
      </c>
      <c r="K449" s="2">
        <v>2</v>
      </c>
      <c r="L449" s="2" t="s">
        <v>46</v>
      </c>
      <c r="M449" s="2">
        <v>85</v>
      </c>
      <c r="N449" s="2">
        <v>3</v>
      </c>
      <c r="O449" s="2">
        <v>2</v>
      </c>
      <c r="P449" s="2" t="s">
        <v>40</v>
      </c>
      <c r="Q449" s="2">
        <v>3</v>
      </c>
      <c r="R449" s="2" t="s">
        <v>48</v>
      </c>
      <c r="S449" s="2">
        <v>4717</v>
      </c>
      <c r="T449" s="2">
        <v>18659</v>
      </c>
      <c r="U449" s="2">
        <v>9</v>
      </c>
      <c r="V449" s="2" t="s">
        <v>42</v>
      </c>
      <c r="W449" s="2" t="s">
        <v>43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</row>
    <row r="450" spans="1:35" x14ac:dyDescent="0.25">
      <c r="A450" s="2">
        <v>40</v>
      </c>
      <c r="B450" s="2" t="s">
        <v>43</v>
      </c>
      <c r="C450" s="2" t="s">
        <v>36</v>
      </c>
      <c r="D450" s="2">
        <v>302</v>
      </c>
      <c r="E450" s="2" t="s">
        <v>45</v>
      </c>
      <c r="F450" s="2">
        <v>6</v>
      </c>
      <c r="G450" s="2">
        <v>3</v>
      </c>
      <c r="H450" s="2" t="s">
        <v>38</v>
      </c>
      <c r="I450" s="2">
        <v>1</v>
      </c>
      <c r="J450" s="2">
        <v>601</v>
      </c>
      <c r="K450" s="2">
        <v>2</v>
      </c>
      <c r="L450" s="2" t="s">
        <v>39</v>
      </c>
      <c r="M450" s="2">
        <v>75</v>
      </c>
      <c r="N450" s="2">
        <v>3</v>
      </c>
      <c r="O450" s="2">
        <v>4</v>
      </c>
      <c r="P450" s="2" t="s">
        <v>53</v>
      </c>
      <c r="Q450" s="2">
        <v>3</v>
      </c>
      <c r="R450" s="2" t="s">
        <v>41</v>
      </c>
      <c r="S450" s="2">
        <v>13237</v>
      </c>
      <c r="T450" s="2">
        <v>20364</v>
      </c>
      <c r="U450" s="2">
        <v>7</v>
      </c>
      <c r="V450" s="2" t="s">
        <v>42</v>
      </c>
      <c r="W450" s="2" t="s">
        <v>43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</row>
    <row r="451" spans="1:35" x14ac:dyDescent="0.25">
      <c r="A451" s="2">
        <v>39</v>
      </c>
      <c r="B451" s="2" t="s">
        <v>43</v>
      </c>
      <c r="C451" s="2" t="s">
        <v>44</v>
      </c>
      <c r="D451" s="2">
        <v>443</v>
      </c>
      <c r="E451" s="2" t="s">
        <v>45</v>
      </c>
      <c r="F451" s="2">
        <v>8</v>
      </c>
      <c r="G451" s="2">
        <v>1</v>
      </c>
      <c r="H451" s="2" t="s">
        <v>38</v>
      </c>
      <c r="I451" s="2">
        <v>1</v>
      </c>
      <c r="J451" s="2">
        <v>602</v>
      </c>
      <c r="K451" s="2">
        <v>3</v>
      </c>
      <c r="L451" s="2" t="s">
        <v>39</v>
      </c>
      <c r="M451" s="2">
        <v>48</v>
      </c>
      <c r="N451" s="2">
        <v>3</v>
      </c>
      <c r="O451" s="2">
        <v>1</v>
      </c>
      <c r="P451" s="2" t="s">
        <v>50</v>
      </c>
      <c r="Q451" s="2">
        <v>3</v>
      </c>
      <c r="R451" s="2" t="s">
        <v>48</v>
      </c>
      <c r="S451" s="2">
        <v>3755</v>
      </c>
      <c r="T451" s="2">
        <v>17872</v>
      </c>
      <c r="U451" s="2">
        <v>1</v>
      </c>
      <c r="V451" s="2" t="s">
        <v>42</v>
      </c>
      <c r="W451" s="2" t="s">
        <v>43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</row>
    <row r="452" spans="1:35" x14ac:dyDescent="0.25">
      <c r="A452" s="2">
        <v>31</v>
      </c>
      <c r="B452" s="2" t="s">
        <v>43</v>
      </c>
      <c r="C452" s="2" t="s">
        <v>36</v>
      </c>
      <c r="D452" s="2">
        <v>828</v>
      </c>
      <c r="E452" s="2" t="s">
        <v>37</v>
      </c>
      <c r="F452" s="2">
        <v>2</v>
      </c>
      <c r="G452" s="2">
        <v>1</v>
      </c>
      <c r="H452" s="2" t="s">
        <v>38</v>
      </c>
      <c r="I452" s="2">
        <v>1</v>
      </c>
      <c r="J452" s="2">
        <v>604</v>
      </c>
      <c r="K452" s="2">
        <v>2</v>
      </c>
      <c r="L452" s="2" t="s">
        <v>46</v>
      </c>
      <c r="M452" s="2">
        <v>77</v>
      </c>
      <c r="N452" s="2">
        <v>3</v>
      </c>
      <c r="O452" s="2">
        <v>2</v>
      </c>
      <c r="P452" s="2" t="s">
        <v>40</v>
      </c>
      <c r="Q452" s="2">
        <v>4</v>
      </c>
      <c r="R452" s="2" t="s">
        <v>41</v>
      </c>
      <c r="S452" s="2">
        <v>6582</v>
      </c>
      <c r="T452" s="2">
        <v>8346</v>
      </c>
      <c r="U452" s="2">
        <v>4</v>
      </c>
      <c r="V452" s="2" t="s">
        <v>42</v>
      </c>
      <c r="W452" s="2" t="s">
        <v>35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</row>
    <row r="453" spans="1:35" x14ac:dyDescent="0.25">
      <c r="A453" s="2">
        <v>42</v>
      </c>
      <c r="B453" s="2" t="s">
        <v>43</v>
      </c>
      <c r="C453" s="2" t="s">
        <v>36</v>
      </c>
      <c r="D453" s="2">
        <v>319</v>
      </c>
      <c r="E453" s="2" t="s">
        <v>45</v>
      </c>
      <c r="F453" s="2">
        <v>24</v>
      </c>
      <c r="G453" s="2">
        <v>3</v>
      </c>
      <c r="H453" s="2" t="s">
        <v>51</v>
      </c>
      <c r="I453" s="2">
        <v>1</v>
      </c>
      <c r="J453" s="2">
        <v>605</v>
      </c>
      <c r="K453" s="2">
        <v>4</v>
      </c>
      <c r="L453" s="2" t="s">
        <v>46</v>
      </c>
      <c r="M453" s="2">
        <v>56</v>
      </c>
      <c r="N453" s="2">
        <v>3</v>
      </c>
      <c r="O453" s="2">
        <v>3</v>
      </c>
      <c r="P453" s="2" t="s">
        <v>53</v>
      </c>
      <c r="Q453" s="2">
        <v>1</v>
      </c>
      <c r="R453" s="2" t="s">
        <v>48</v>
      </c>
      <c r="S453" s="2">
        <v>7406</v>
      </c>
      <c r="T453" s="2">
        <v>6950</v>
      </c>
      <c r="U453" s="2">
        <v>1</v>
      </c>
      <c r="V453" s="2" t="s">
        <v>42</v>
      </c>
      <c r="W453" s="2" t="s">
        <v>35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</row>
    <row r="454" spans="1:35" x14ac:dyDescent="0.25">
      <c r="A454" s="2">
        <v>45</v>
      </c>
      <c r="B454" s="2" t="s">
        <v>43</v>
      </c>
      <c r="C454" s="2" t="s">
        <v>36</v>
      </c>
      <c r="D454" s="2">
        <v>561</v>
      </c>
      <c r="E454" s="2" t="s">
        <v>37</v>
      </c>
      <c r="F454" s="2">
        <v>2</v>
      </c>
      <c r="G454" s="2">
        <v>3</v>
      </c>
      <c r="H454" s="2" t="s">
        <v>49</v>
      </c>
      <c r="I454" s="2">
        <v>1</v>
      </c>
      <c r="J454" s="2">
        <v>606</v>
      </c>
      <c r="K454" s="2">
        <v>4</v>
      </c>
      <c r="L454" s="2" t="s">
        <v>46</v>
      </c>
      <c r="M454" s="2">
        <v>61</v>
      </c>
      <c r="N454" s="2">
        <v>3</v>
      </c>
      <c r="O454" s="2">
        <v>2</v>
      </c>
      <c r="P454" s="2" t="s">
        <v>40</v>
      </c>
      <c r="Q454" s="2">
        <v>2</v>
      </c>
      <c r="R454" s="2" t="s">
        <v>48</v>
      </c>
      <c r="S454" s="2">
        <v>4805</v>
      </c>
      <c r="T454" s="2">
        <v>16177</v>
      </c>
      <c r="U454" s="2">
        <v>0</v>
      </c>
      <c r="V454" s="2" t="s">
        <v>42</v>
      </c>
      <c r="W454" s="2" t="s">
        <v>43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</row>
    <row r="455" spans="1:35" x14ac:dyDescent="0.25">
      <c r="A455" s="2">
        <v>26</v>
      </c>
      <c r="B455" s="2" t="s">
        <v>35</v>
      </c>
      <c r="C455" s="2" t="s">
        <v>44</v>
      </c>
      <c r="D455" s="2">
        <v>426</v>
      </c>
      <c r="E455" s="2" t="s">
        <v>61</v>
      </c>
      <c r="F455" s="2">
        <v>17</v>
      </c>
      <c r="G455" s="2">
        <v>4</v>
      </c>
      <c r="H455" s="2" t="s">
        <v>38</v>
      </c>
      <c r="I455" s="2">
        <v>1</v>
      </c>
      <c r="J455" s="2">
        <v>608</v>
      </c>
      <c r="K455" s="2">
        <v>2</v>
      </c>
      <c r="L455" s="2" t="s">
        <v>39</v>
      </c>
      <c r="M455" s="2">
        <v>58</v>
      </c>
      <c r="N455" s="2">
        <v>3</v>
      </c>
      <c r="O455" s="2">
        <v>1</v>
      </c>
      <c r="P455" s="2" t="s">
        <v>61</v>
      </c>
      <c r="Q455" s="2">
        <v>3</v>
      </c>
      <c r="R455" s="2" t="s">
        <v>52</v>
      </c>
      <c r="S455" s="2">
        <v>2741</v>
      </c>
      <c r="T455" s="2">
        <v>22808</v>
      </c>
      <c r="U455" s="2">
        <v>0</v>
      </c>
      <c r="V455" s="2" t="s">
        <v>42</v>
      </c>
      <c r="W455" s="2" t="s">
        <v>35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</row>
    <row r="456" spans="1:35" x14ac:dyDescent="0.25">
      <c r="A456" s="2">
        <v>29</v>
      </c>
      <c r="B456" s="2" t="s">
        <v>43</v>
      </c>
      <c r="C456" s="2" t="s">
        <v>36</v>
      </c>
      <c r="D456" s="2">
        <v>232</v>
      </c>
      <c r="E456" s="2" t="s">
        <v>45</v>
      </c>
      <c r="F456" s="2">
        <v>19</v>
      </c>
      <c r="G456" s="2">
        <v>3</v>
      </c>
      <c r="H456" s="2" t="s">
        <v>60</v>
      </c>
      <c r="I456" s="2">
        <v>1</v>
      </c>
      <c r="J456" s="2">
        <v>611</v>
      </c>
      <c r="K456" s="2">
        <v>4</v>
      </c>
      <c r="L456" s="2" t="s">
        <v>46</v>
      </c>
      <c r="M456" s="2">
        <v>34</v>
      </c>
      <c r="N456" s="2">
        <v>3</v>
      </c>
      <c r="O456" s="2">
        <v>2</v>
      </c>
      <c r="P456" s="2" t="s">
        <v>53</v>
      </c>
      <c r="Q456" s="2">
        <v>4</v>
      </c>
      <c r="R456" s="2" t="s">
        <v>52</v>
      </c>
      <c r="S456" s="2">
        <v>4262</v>
      </c>
      <c r="T456" s="2">
        <v>22645</v>
      </c>
      <c r="U456" s="2">
        <v>4</v>
      </c>
      <c r="V456" s="2" t="s">
        <v>42</v>
      </c>
      <c r="W456" s="2" t="s">
        <v>43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</row>
    <row r="457" spans="1:35" x14ac:dyDescent="0.25">
      <c r="A457" s="2">
        <v>33</v>
      </c>
      <c r="B457" s="2" t="s">
        <v>43</v>
      </c>
      <c r="C457" s="2" t="s">
        <v>36</v>
      </c>
      <c r="D457" s="2">
        <v>922</v>
      </c>
      <c r="E457" s="2" t="s">
        <v>45</v>
      </c>
      <c r="F457" s="2">
        <v>1</v>
      </c>
      <c r="G457" s="2">
        <v>5</v>
      </c>
      <c r="H457" s="2" t="s">
        <v>51</v>
      </c>
      <c r="I457" s="2">
        <v>1</v>
      </c>
      <c r="J457" s="2">
        <v>612</v>
      </c>
      <c r="K457" s="2">
        <v>1</v>
      </c>
      <c r="L457" s="2" t="s">
        <v>39</v>
      </c>
      <c r="M457" s="2">
        <v>95</v>
      </c>
      <c r="N457" s="2">
        <v>4</v>
      </c>
      <c r="O457" s="2">
        <v>4</v>
      </c>
      <c r="P457" s="2" t="s">
        <v>58</v>
      </c>
      <c r="Q457" s="2">
        <v>3</v>
      </c>
      <c r="R457" s="2" t="s">
        <v>52</v>
      </c>
      <c r="S457" s="2">
        <v>16184</v>
      </c>
      <c r="T457" s="2">
        <v>22578</v>
      </c>
      <c r="U457" s="2">
        <v>4</v>
      </c>
      <c r="V457" s="2" t="s">
        <v>42</v>
      </c>
      <c r="W457" s="2" t="s">
        <v>43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</row>
    <row r="458" spans="1:35" x14ac:dyDescent="0.25">
      <c r="A458" s="2">
        <v>31</v>
      </c>
      <c r="B458" s="2" t="s">
        <v>43</v>
      </c>
      <c r="C458" s="2" t="s">
        <v>36</v>
      </c>
      <c r="D458" s="2">
        <v>688</v>
      </c>
      <c r="E458" s="2" t="s">
        <v>37</v>
      </c>
      <c r="F458" s="2">
        <v>7</v>
      </c>
      <c r="G458" s="2">
        <v>3</v>
      </c>
      <c r="H458" s="2" t="s">
        <v>38</v>
      </c>
      <c r="I458" s="2">
        <v>1</v>
      </c>
      <c r="J458" s="2">
        <v>613</v>
      </c>
      <c r="K458" s="2">
        <v>3</v>
      </c>
      <c r="L458" s="2" t="s">
        <v>46</v>
      </c>
      <c r="M458" s="2">
        <v>44</v>
      </c>
      <c r="N458" s="2">
        <v>2</v>
      </c>
      <c r="O458" s="2">
        <v>3</v>
      </c>
      <c r="P458" s="2" t="s">
        <v>56</v>
      </c>
      <c r="Q458" s="2">
        <v>4</v>
      </c>
      <c r="R458" s="2" t="s">
        <v>52</v>
      </c>
      <c r="S458" s="2">
        <v>11557</v>
      </c>
      <c r="T458" s="2">
        <v>25291</v>
      </c>
      <c r="U458" s="2">
        <v>9</v>
      </c>
      <c r="V458" s="2" t="s">
        <v>42</v>
      </c>
      <c r="W458" s="2" t="s">
        <v>43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</row>
    <row r="459" spans="1:35" x14ac:dyDescent="0.25">
      <c r="A459" s="2">
        <v>18</v>
      </c>
      <c r="B459" s="2" t="s">
        <v>35</v>
      </c>
      <c r="C459" s="2" t="s">
        <v>44</v>
      </c>
      <c r="D459" s="2">
        <v>1306</v>
      </c>
      <c r="E459" s="2" t="s">
        <v>37</v>
      </c>
      <c r="F459" s="2">
        <v>5</v>
      </c>
      <c r="G459" s="2">
        <v>3</v>
      </c>
      <c r="H459" s="2" t="s">
        <v>59</v>
      </c>
      <c r="I459" s="2">
        <v>1</v>
      </c>
      <c r="J459" s="2">
        <v>614</v>
      </c>
      <c r="K459" s="2">
        <v>2</v>
      </c>
      <c r="L459" s="2" t="s">
        <v>46</v>
      </c>
      <c r="M459" s="2">
        <v>69</v>
      </c>
      <c r="N459" s="2">
        <v>3</v>
      </c>
      <c r="O459" s="2">
        <v>1</v>
      </c>
      <c r="P459" s="2" t="s">
        <v>57</v>
      </c>
      <c r="Q459" s="2">
        <v>2</v>
      </c>
      <c r="R459" s="2" t="s">
        <v>41</v>
      </c>
      <c r="S459" s="2">
        <v>1878</v>
      </c>
      <c r="T459" s="2">
        <v>8059</v>
      </c>
      <c r="U459" s="2">
        <v>1</v>
      </c>
      <c r="V459" s="2" t="s">
        <v>42</v>
      </c>
      <c r="W459" s="2" t="s">
        <v>35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</row>
    <row r="460" spans="1:35" x14ac:dyDescent="0.25">
      <c r="A460" s="2">
        <v>40</v>
      </c>
      <c r="B460" s="2" t="s">
        <v>43</v>
      </c>
      <c r="C460" s="2" t="s">
        <v>55</v>
      </c>
      <c r="D460" s="2">
        <v>1094</v>
      </c>
      <c r="E460" s="2" t="s">
        <v>37</v>
      </c>
      <c r="F460" s="2">
        <v>28</v>
      </c>
      <c r="G460" s="2">
        <v>3</v>
      </c>
      <c r="H460" s="2" t="s">
        <v>49</v>
      </c>
      <c r="I460" s="2">
        <v>1</v>
      </c>
      <c r="J460" s="2">
        <v>615</v>
      </c>
      <c r="K460" s="2">
        <v>3</v>
      </c>
      <c r="L460" s="2" t="s">
        <v>46</v>
      </c>
      <c r="M460" s="2">
        <v>58</v>
      </c>
      <c r="N460" s="2">
        <v>1</v>
      </c>
      <c r="O460" s="2">
        <v>3</v>
      </c>
      <c r="P460" s="2" t="s">
        <v>40</v>
      </c>
      <c r="Q460" s="2">
        <v>1</v>
      </c>
      <c r="R460" s="2" t="s">
        <v>52</v>
      </c>
      <c r="S460" s="2">
        <v>10932</v>
      </c>
      <c r="T460" s="2">
        <v>11373</v>
      </c>
      <c r="U460" s="2">
        <v>3</v>
      </c>
      <c r="V460" s="2" t="s">
        <v>42</v>
      </c>
      <c r="W460" s="2" t="s">
        <v>43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</row>
    <row r="461" spans="1:35" x14ac:dyDescent="0.25">
      <c r="A461" s="2">
        <v>41</v>
      </c>
      <c r="B461" s="2" t="s">
        <v>43</v>
      </c>
      <c r="C461" s="2" t="s">
        <v>55</v>
      </c>
      <c r="D461" s="2">
        <v>509</v>
      </c>
      <c r="E461" s="2" t="s">
        <v>45</v>
      </c>
      <c r="F461" s="2">
        <v>2</v>
      </c>
      <c r="G461" s="2">
        <v>4</v>
      </c>
      <c r="H461" s="2" t="s">
        <v>49</v>
      </c>
      <c r="I461" s="2">
        <v>1</v>
      </c>
      <c r="J461" s="2">
        <v>616</v>
      </c>
      <c r="K461" s="2">
        <v>1</v>
      </c>
      <c r="L461" s="2" t="s">
        <v>39</v>
      </c>
      <c r="M461" s="2">
        <v>62</v>
      </c>
      <c r="N461" s="2">
        <v>2</v>
      </c>
      <c r="O461" s="2">
        <v>2</v>
      </c>
      <c r="P461" s="2" t="s">
        <v>54</v>
      </c>
      <c r="Q461" s="2">
        <v>3</v>
      </c>
      <c r="R461" s="2" t="s">
        <v>41</v>
      </c>
      <c r="S461" s="2">
        <v>6811</v>
      </c>
      <c r="T461" s="2">
        <v>2112</v>
      </c>
      <c r="U461" s="2">
        <v>2</v>
      </c>
      <c r="V461" s="2" t="s">
        <v>42</v>
      </c>
      <c r="W461" s="2" t="s">
        <v>35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</row>
    <row r="462" spans="1:35" x14ac:dyDescent="0.25">
      <c r="A462" s="2">
        <v>26</v>
      </c>
      <c r="B462" s="2" t="s">
        <v>43</v>
      </c>
      <c r="C462" s="2" t="s">
        <v>36</v>
      </c>
      <c r="D462" s="2">
        <v>775</v>
      </c>
      <c r="E462" s="2" t="s">
        <v>37</v>
      </c>
      <c r="F462" s="2">
        <v>29</v>
      </c>
      <c r="G462" s="2">
        <v>2</v>
      </c>
      <c r="H462" s="2" t="s">
        <v>51</v>
      </c>
      <c r="I462" s="2">
        <v>1</v>
      </c>
      <c r="J462" s="2">
        <v>618</v>
      </c>
      <c r="K462" s="2">
        <v>1</v>
      </c>
      <c r="L462" s="2" t="s">
        <v>46</v>
      </c>
      <c r="M462" s="2">
        <v>45</v>
      </c>
      <c r="N462" s="2">
        <v>3</v>
      </c>
      <c r="O462" s="2">
        <v>2</v>
      </c>
      <c r="P462" s="2" t="s">
        <v>40</v>
      </c>
      <c r="Q462" s="2">
        <v>3</v>
      </c>
      <c r="R462" s="2" t="s">
        <v>52</v>
      </c>
      <c r="S462" s="2">
        <v>4306</v>
      </c>
      <c r="T462" s="2">
        <v>4267</v>
      </c>
      <c r="U462" s="2">
        <v>5</v>
      </c>
      <c r="V462" s="2" t="s">
        <v>42</v>
      </c>
      <c r="W462" s="2" t="s">
        <v>43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</row>
    <row r="463" spans="1:35" x14ac:dyDescent="0.25">
      <c r="A463" s="2">
        <v>35</v>
      </c>
      <c r="B463" s="2" t="s">
        <v>43</v>
      </c>
      <c r="C463" s="2" t="s">
        <v>36</v>
      </c>
      <c r="D463" s="2">
        <v>195</v>
      </c>
      <c r="E463" s="2" t="s">
        <v>37</v>
      </c>
      <c r="F463" s="2">
        <v>1</v>
      </c>
      <c r="G463" s="2">
        <v>3</v>
      </c>
      <c r="H463" s="2" t="s">
        <v>51</v>
      </c>
      <c r="I463" s="2">
        <v>1</v>
      </c>
      <c r="J463" s="2">
        <v>620</v>
      </c>
      <c r="K463" s="2">
        <v>1</v>
      </c>
      <c r="L463" s="2" t="s">
        <v>39</v>
      </c>
      <c r="M463" s="2">
        <v>80</v>
      </c>
      <c r="N463" s="2">
        <v>3</v>
      </c>
      <c r="O463" s="2">
        <v>2</v>
      </c>
      <c r="P463" s="2" t="s">
        <v>40</v>
      </c>
      <c r="Q463" s="2">
        <v>3</v>
      </c>
      <c r="R463" s="2" t="s">
        <v>41</v>
      </c>
      <c r="S463" s="2">
        <v>4859</v>
      </c>
      <c r="T463" s="2">
        <v>6698</v>
      </c>
      <c r="U463" s="2">
        <v>1</v>
      </c>
      <c r="V463" s="2" t="s">
        <v>42</v>
      </c>
      <c r="W463" s="2" t="s">
        <v>43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</row>
    <row r="464" spans="1:35" x14ac:dyDescent="0.25">
      <c r="A464" s="2">
        <v>34</v>
      </c>
      <c r="B464" s="2" t="s">
        <v>43</v>
      </c>
      <c r="C464" s="2" t="s">
        <v>36</v>
      </c>
      <c r="D464" s="2">
        <v>258</v>
      </c>
      <c r="E464" s="2" t="s">
        <v>37</v>
      </c>
      <c r="F464" s="2">
        <v>21</v>
      </c>
      <c r="G464" s="2">
        <v>4</v>
      </c>
      <c r="H464" s="2" t="s">
        <v>38</v>
      </c>
      <c r="I464" s="2">
        <v>1</v>
      </c>
      <c r="J464" s="2">
        <v>621</v>
      </c>
      <c r="K464" s="2">
        <v>4</v>
      </c>
      <c r="L464" s="2" t="s">
        <v>46</v>
      </c>
      <c r="M464" s="2">
        <v>74</v>
      </c>
      <c r="N464" s="2">
        <v>4</v>
      </c>
      <c r="O464" s="2">
        <v>2</v>
      </c>
      <c r="P464" s="2" t="s">
        <v>40</v>
      </c>
      <c r="Q464" s="2">
        <v>4</v>
      </c>
      <c r="R464" s="2" t="s">
        <v>41</v>
      </c>
      <c r="S464" s="2">
        <v>5337</v>
      </c>
      <c r="T464" s="2">
        <v>19921</v>
      </c>
      <c r="U464" s="2">
        <v>1</v>
      </c>
      <c r="V464" s="2" t="s">
        <v>42</v>
      </c>
      <c r="W464" s="2" t="s">
        <v>43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</row>
    <row r="465" spans="1:35" x14ac:dyDescent="0.25">
      <c r="A465" s="2">
        <v>26</v>
      </c>
      <c r="B465" s="2" t="s">
        <v>35</v>
      </c>
      <c r="C465" s="2" t="s">
        <v>36</v>
      </c>
      <c r="D465" s="2">
        <v>471</v>
      </c>
      <c r="E465" s="2" t="s">
        <v>45</v>
      </c>
      <c r="F465" s="2">
        <v>24</v>
      </c>
      <c r="G465" s="2">
        <v>3</v>
      </c>
      <c r="H465" s="2" t="s">
        <v>60</v>
      </c>
      <c r="I465" s="2">
        <v>1</v>
      </c>
      <c r="J465" s="2">
        <v>622</v>
      </c>
      <c r="K465" s="2">
        <v>3</v>
      </c>
      <c r="L465" s="2" t="s">
        <v>46</v>
      </c>
      <c r="M465" s="2">
        <v>66</v>
      </c>
      <c r="N465" s="2">
        <v>1</v>
      </c>
      <c r="O465" s="2">
        <v>1</v>
      </c>
      <c r="P465" s="2" t="s">
        <v>50</v>
      </c>
      <c r="Q465" s="2">
        <v>4</v>
      </c>
      <c r="R465" s="2" t="s">
        <v>41</v>
      </c>
      <c r="S465" s="2">
        <v>2340</v>
      </c>
      <c r="T465" s="2">
        <v>23213</v>
      </c>
      <c r="U465" s="2">
        <v>1</v>
      </c>
      <c r="V465" s="2" t="s">
        <v>42</v>
      </c>
      <c r="W465" s="2" t="s">
        <v>35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</row>
    <row r="466" spans="1:35" x14ac:dyDescent="0.25">
      <c r="A466" s="2">
        <v>37</v>
      </c>
      <c r="B466" s="2" t="s">
        <v>43</v>
      </c>
      <c r="C466" s="2" t="s">
        <v>36</v>
      </c>
      <c r="D466" s="2">
        <v>799</v>
      </c>
      <c r="E466" s="2" t="s">
        <v>45</v>
      </c>
      <c r="F466" s="2">
        <v>1</v>
      </c>
      <c r="G466" s="2">
        <v>3</v>
      </c>
      <c r="H466" s="2" t="s">
        <v>60</v>
      </c>
      <c r="I466" s="2">
        <v>1</v>
      </c>
      <c r="J466" s="2">
        <v>623</v>
      </c>
      <c r="K466" s="2">
        <v>2</v>
      </c>
      <c r="L466" s="2" t="s">
        <v>39</v>
      </c>
      <c r="M466" s="2">
        <v>59</v>
      </c>
      <c r="N466" s="2">
        <v>3</v>
      </c>
      <c r="O466" s="2">
        <v>3</v>
      </c>
      <c r="P466" s="2" t="s">
        <v>53</v>
      </c>
      <c r="Q466" s="2">
        <v>4</v>
      </c>
      <c r="R466" s="2" t="s">
        <v>41</v>
      </c>
      <c r="S466" s="2">
        <v>7491</v>
      </c>
      <c r="T466" s="2">
        <v>23848</v>
      </c>
      <c r="U466" s="2">
        <v>4</v>
      </c>
      <c r="V466" s="2" t="s">
        <v>42</v>
      </c>
      <c r="W466" s="2" t="s">
        <v>43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</row>
    <row r="467" spans="1:35" x14ac:dyDescent="0.25">
      <c r="A467" s="2">
        <v>46</v>
      </c>
      <c r="B467" s="2" t="s">
        <v>43</v>
      </c>
      <c r="C467" s="2" t="s">
        <v>44</v>
      </c>
      <c r="D467" s="2">
        <v>1034</v>
      </c>
      <c r="E467" s="2" t="s">
        <v>45</v>
      </c>
      <c r="F467" s="2">
        <v>18</v>
      </c>
      <c r="G467" s="2">
        <v>1</v>
      </c>
      <c r="H467" s="2" t="s">
        <v>51</v>
      </c>
      <c r="I467" s="2">
        <v>1</v>
      </c>
      <c r="J467" s="2">
        <v>624</v>
      </c>
      <c r="K467" s="2">
        <v>1</v>
      </c>
      <c r="L467" s="2" t="s">
        <v>39</v>
      </c>
      <c r="M467" s="2">
        <v>86</v>
      </c>
      <c r="N467" s="2">
        <v>3</v>
      </c>
      <c r="O467" s="2">
        <v>3</v>
      </c>
      <c r="P467" s="2" t="s">
        <v>54</v>
      </c>
      <c r="Q467" s="2">
        <v>3</v>
      </c>
      <c r="R467" s="2" t="s">
        <v>48</v>
      </c>
      <c r="S467" s="2">
        <v>10527</v>
      </c>
      <c r="T467" s="2">
        <v>8984</v>
      </c>
      <c r="U467" s="2">
        <v>5</v>
      </c>
      <c r="V467" s="2" t="s">
        <v>42</v>
      </c>
      <c r="W467" s="2" t="s">
        <v>43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</row>
    <row r="468" spans="1:35" x14ac:dyDescent="0.25">
      <c r="A468" s="2">
        <v>41</v>
      </c>
      <c r="B468" s="2" t="s">
        <v>43</v>
      </c>
      <c r="C468" s="2" t="s">
        <v>36</v>
      </c>
      <c r="D468" s="2">
        <v>1276</v>
      </c>
      <c r="E468" s="2" t="s">
        <v>37</v>
      </c>
      <c r="F468" s="2">
        <v>2</v>
      </c>
      <c r="G468" s="2">
        <v>5</v>
      </c>
      <c r="H468" s="2" t="s">
        <v>38</v>
      </c>
      <c r="I468" s="2">
        <v>1</v>
      </c>
      <c r="J468" s="2">
        <v>625</v>
      </c>
      <c r="K468" s="2">
        <v>2</v>
      </c>
      <c r="L468" s="2" t="s">
        <v>39</v>
      </c>
      <c r="M468" s="2">
        <v>91</v>
      </c>
      <c r="N468" s="2">
        <v>3</v>
      </c>
      <c r="O468" s="2">
        <v>4</v>
      </c>
      <c r="P468" s="2" t="s">
        <v>56</v>
      </c>
      <c r="Q468" s="2">
        <v>1</v>
      </c>
      <c r="R468" s="2" t="s">
        <v>48</v>
      </c>
      <c r="S468" s="2">
        <v>16595</v>
      </c>
      <c r="T468" s="2">
        <v>5626</v>
      </c>
      <c r="U468" s="2">
        <v>7</v>
      </c>
      <c r="V468" s="2" t="s">
        <v>42</v>
      </c>
      <c r="W468" s="2" t="s">
        <v>43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</row>
    <row r="469" spans="1:35" x14ac:dyDescent="0.25">
      <c r="A469" s="2">
        <v>37</v>
      </c>
      <c r="B469" s="2" t="s">
        <v>43</v>
      </c>
      <c r="C469" s="2" t="s">
        <v>55</v>
      </c>
      <c r="D469" s="2">
        <v>142</v>
      </c>
      <c r="E469" s="2" t="s">
        <v>37</v>
      </c>
      <c r="F469" s="2">
        <v>9</v>
      </c>
      <c r="G469" s="2">
        <v>4</v>
      </c>
      <c r="H469" s="2" t="s">
        <v>51</v>
      </c>
      <c r="I469" s="2">
        <v>1</v>
      </c>
      <c r="J469" s="2">
        <v>626</v>
      </c>
      <c r="K469" s="2">
        <v>1</v>
      </c>
      <c r="L469" s="2" t="s">
        <v>46</v>
      </c>
      <c r="M469" s="2">
        <v>69</v>
      </c>
      <c r="N469" s="2">
        <v>3</v>
      </c>
      <c r="O469" s="2">
        <v>3</v>
      </c>
      <c r="P469" s="2" t="s">
        <v>40</v>
      </c>
      <c r="Q469" s="2">
        <v>2</v>
      </c>
      <c r="R469" s="2" t="s">
        <v>52</v>
      </c>
      <c r="S469" s="2">
        <v>8834</v>
      </c>
      <c r="T469" s="2">
        <v>24666</v>
      </c>
      <c r="U469" s="2">
        <v>1</v>
      </c>
      <c r="V469" s="2" t="s">
        <v>42</v>
      </c>
      <c r="W469" s="2" t="s">
        <v>43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</row>
    <row r="470" spans="1:35" x14ac:dyDescent="0.25">
      <c r="A470" s="2">
        <v>52</v>
      </c>
      <c r="B470" s="2" t="s">
        <v>43</v>
      </c>
      <c r="C470" s="2" t="s">
        <v>36</v>
      </c>
      <c r="D470" s="2">
        <v>956</v>
      </c>
      <c r="E470" s="2" t="s">
        <v>45</v>
      </c>
      <c r="F470" s="2">
        <v>6</v>
      </c>
      <c r="G470" s="2">
        <v>2</v>
      </c>
      <c r="H470" s="2" t="s">
        <v>60</v>
      </c>
      <c r="I470" s="2">
        <v>1</v>
      </c>
      <c r="J470" s="2">
        <v>630</v>
      </c>
      <c r="K470" s="2">
        <v>4</v>
      </c>
      <c r="L470" s="2" t="s">
        <v>46</v>
      </c>
      <c r="M470" s="2">
        <v>78</v>
      </c>
      <c r="N470" s="2">
        <v>3</v>
      </c>
      <c r="O470" s="2">
        <v>2</v>
      </c>
      <c r="P470" s="2" t="s">
        <v>47</v>
      </c>
      <c r="Q470" s="2">
        <v>1</v>
      </c>
      <c r="R470" s="2" t="s">
        <v>52</v>
      </c>
      <c r="S470" s="2">
        <v>5577</v>
      </c>
      <c r="T470" s="2">
        <v>22087</v>
      </c>
      <c r="U470" s="2">
        <v>3</v>
      </c>
      <c r="V470" s="2" t="s">
        <v>42</v>
      </c>
      <c r="W470" s="2" t="s">
        <v>35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</row>
    <row r="471" spans="1:35" x14ac:dyDescent="0.25">
      <c r="A471" s="2">
        <v>32</v>
      </c>
      <c r="B471" s="2" t="s">
        <v>35</v>
      </c>
      <c r="C471" s="2" t="s">
        <v>55</v>
      </c>
      <c r="D471" s="2">
        <v>1474</v>
      </c>
      <c r="E471" s="2" t="s">
        <v>37</v>
      </c>
      <c r="F471" s="2">
        <v>11</v>
      </c>
      <c r="G471" s="2">
        <v>4</v>
      </c>
      <c r="H471" s="2" t="s">
        <v>49</v>
      </c>
      <c r="I471" s="2">
        <v>1</v>
      </c>
      <c r="J471" s="2">
        <v>631</v>
      </c>
      <c r="K471" s="2">
        <v>4</v>
      </c>
      <c r="L471" s="2" t="s">
        <v>46</v>
      </c>
      <c r="M471" s="2">
        <v>60</v>
      </c>
      <c r="N471" s="2">
        <v>4</v>
      </c>
      <c r="O471" s="2">
        <v>2</v>
      </c>
      <c r="P471" s="2" t="s">
        <v>40</v>
      </c>
      <c r="Q471" s="2">
        <v>3</v>
      </c>
      <c r="R471" s="2" t="s">
        <v>48</v>
      </c>
      <c r="S471" s="2">
        <v>4707</v>
      </c>
      <c r="T471" s="2">
        <v>23914</v>
      </c>
      <c r="U471" s="2">
        <v>8</v>
      </c>
      <c r="V471" s="2" t="s">
        <v>42</v>
      </c>
      <c r="W471" s="2" t="s">
        <v>43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</row>
    <row r="472" spans="1:35" x14ac:dyDescent="0.25">
      <c r="A472" s="2">
        <v>24</v>
      </c>
      <c r="B472" s="2" t="s">
        <v>43</v>
      </c>
      <c r="C472" s="2" t="s">
        <v>44</v>
      </c>
      <c r="D472" s="2">
        <v>535</v>
      </c>
      <c r="E472" s="2" t="s">
        <v>37</v>
      </c>
      <c r="F472" s="2">
        <v>24</v>
      </c>
      <c r="G472" s="2">
        <v>3</v>
      </c>
      <c r="H472" s="2" t="s">
        <v>51</v>
      </c>
      <c r="I472" s="2">
        <v>1</v>
      </c>
      <c r="J472" s="2">
        <v>632</v>
      </c>
      <c r="K472" s="2">
        <v>4</v>
      </c>
      <c r="L472" s="2" t="s">
        <v>46</v>
      </c>
      <c r="M472" s="2">
        <v>38</v>
      </c>
      <c r="N472" s="2">
        <v>3</v>
      </c>
      <c r="O472" s="2">
        <v>1</v>
      </c>
      <c r="P472" s="2" t="s">
        <v>57</v>
      </c>
      <c r="Q472" s="2">
        <v>4</v>
      </c>
      <c r="R472" s="2" t="s">
        <v>48</v>
      </c>
      <c r="S472" s="2">
        <v>2400</v>
      </c>
      <c r="T472" s="2">
        <v>5530</v>
      </c>
      <c r="U472" s="2">
        <v>0</v>
      </c>
      <c r="V472" s="2" t="s">
        <v>42</v>
      </c>
      <c r="W472" s="2" t="s">
        <v>43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</row>
    <row r="473" spans="1:35" x14ac:dyDescent="0.25">
      <c r="A473" s="2">
        <v>38</v>
      </c>
      <c r="B473" s="2" t="s">
        <v>43</v>
      </c>
      <c r="C473" s="2" t="s">
        <v>36</v>
      </c>
      <c r="D473" s="2">
        <v>1495</v>
      </c>
      <c r="E473" s="2" t="s">
        <v>45</v>
      </c>
      <c r="F473" s="2">
        <v>10</v>
      </c>
      <c r="G473" s="2">
        <v>3</v>
      </c>
      <c r="H473" s="2" t="s">
        <v>51</v>
      </c>
      <c r="I473" s="2">
        <v>1</v>
      </c>
      <c r="J473" s="2">
        <v>634</v>
      </c>
      <c r="K473" s="2">
        <v>3</v>
      </c>
      <c r="L473" s="2" t="s">
        <v>39</v>
      </c>
      <c r="M473" s="2">
        <v>76</v>
      </c>
      <c r="N473" s="2">
        <v>3</v>
      </c>
      <c r="O473" s="2">
        <v>2</v>
      </c>
      <c r="P473" s="2" t="s">
        <v>54</v>
      </c>
      <c r="Q473" s="2">
        <v>3</v>
      </c>
      <c r="R473" s="2" t="s">
        <v>48</v>
      </c>
      <c r="S473" s="2">
        <v>9824</v>
      </c>
      <c r="T473" s="2">
        <v>22174</v>
      </c>
      <c r="U473" s="2">
        <v>3</v>
      </c>
      <c r="V473" s="2" t="s">
        <v>42</v>
      </c>
      <c r="W473" s="2" t="s">
        <v>43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</row>
    <row r="474" spans="1:35" x14ac:dyDescent="0.25">
      <c r="A474" s="2">
        <v>37</v>
      </c>
      <c r="B474" s="2" t="s">
        <v>43</v>
      </c>
      <c r="C474" s="2" t="s">
        <v>36</v>
      </c>
      <c r="D474" s="2">
        <v>446</v>
      </c>
      <c r="E474" s="2" t="s">
        <v>45</v>
      </c>
      <c r="F474" s="2">
        <v>1</v>
      </c>
      <c r="G474" s="2">
        <v>4</v>
      </c>
      <c r="H474" s="2" t="s">
        <v>38</v>
      </c>
      <c r="I474" s="2">
        <v>1</v>
      </c>
      <c r="J474" s="2">
        <v>635</v>
      </c>
      <c r="K474" s="2">
        <v>2</v>
      </c>
      <c r="L474" s="2" t="s">
        <v>39</v>
      </c>
      <c r="M474" s="2">
        <v>65</v>
      </c>
      <c r="N474" s="2">
        <v>3</v>
      </c>
      <c r="O474" s="2">
        <v>2</v>
      </c>
      <c r="P474" s="2" t="s">
        <v>53</v>
      </c>
      <c r="Q474" s="2">
        <v>2</v>
      </c>
      <c r="R474" s="2" t="s">
        <v>48</v>
      </c>
      <c r="S474" s="2">
        <v>6447</v>
      </c>
      <c r="T474" s="2">
        <v>15701</v>
      </c>
      <c r="U474" s="2">
        <v>6</v>
      </c>
      <c r="V474" s="2" t="s">
        <v>42</v>
      </c>
      <c r="W474" s="2" t="s">
        <v>43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</row>
    <row r="475" spans="1:35" x14ac:dyDescent="0.25">
      <c r="A475" s="2">
        <v>49</v>
      </c>
      <c r="B475" s="2" t="s">
        <v>43</v>
      </c>
      <c r="C475" s="2" t="s">
        <v>36</v>
      </c>
      <c r="D475" s="2">
        <v>1245</v>
      </c>
      <c r="E475" s="2" t="s">
        <v>45</v>
      </c>
      <c r="F475" s="2">
        <v>18</v>
      </c>
      <c r="G475" s="2">
        <v>4</v>
      </c>
      <c r="H475" s="2" t="s">
        <v>38</v>
      </c>
      <c r="I475" s="2">
        <v>1</v>
      </c>
      <c r="J475" s="2">
        <v>638</v>
      </c>
      <c r="K475" s="2">
        <v>4</v>
      </c>
      <c r="L475" s="2" t="s">
        <v>46</v>
      </c>
      <c r="M475" s="2">
        <v>58</v>
      </c>
      <c r="N475" s="2">
        <v>2</v>
      </c>
      <c r="O475" s="2">
        <v>5</v>
      </c>
      <c r="P475" s="2" t="s">
        <v>58</v>
      </c>
      <c r="Q475" s="2">
        <v>3</v>
      </c>
      <c r="R475" s="2" t="s">
        <v>52</v>
      </c>
      <c r="S475" s="2">
        <v>19502</v>
      </c>
      <c r="T475" s="2">
        <v>2125</v>
      </c>
      <c r="U475" s="2">
        <v>1</v>
      </c>
      <c r="V475" s="2" t="s">
        <v>42</v>
      </c>
      <c r="W475" s="2" t="s">
        <v>35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</row>
    <row r="476" spans="1:35" x14ac:dyDescent="0.25">
      <c r="A476" s="2">
        <v>24</v>
      </c>
      <c r="B476" s="2" t="s">
        <v>43</v>
      </c>
      <c r="C476" s="2" t="s">
        <v>36</v>
      </c>
      <c r="D476" s="2">
        <v>691</v>
      </c>
      <c r="E476" s="2" t="s">
        <v>45</v>
      </c>
      <c r="F476" s="2">
        <v>23</v>
      </c>
      <c r="G476" s="2">
        <v>3</v>
      </c>
      <c r="H476" s="2" t="s">
        <v>51</v>
      </c>
      <c r="I476" s="2">
        <v>1</v>
      </c>
      <c r="J476" s="2">
        <v>639</v>
      </c>
      <c r="K476" s="2">
        <v>2</v>
      </c>
      <c r="L476" s="2" t="s">
        <v>46</v>
      </c>
      <c r="M476" s="2">
        <v>89</v>
      </c>
      <c r="N476" s="2">
        <v>4</v>
      </c>
      <c r="O476" s="2">
        <v>1</v>
      </c>
      <c r="P476" s="2" t="s">
        <v>47</v>
      </c>
      <c r="Q476" s="2">
        <v>4</v>
      </c>
      <c r="R476" s="2" t="s">
        <v>48</v>
      </c>
      <c r="S476" s="2">
        <v>2725</v>
      </c>
      <c r="T476" s="2">
        <v>21630</v>
      </c>
      <c r="U476" s="2">
        <v>1</v>
      </c>
      <c r="V476" s="2" t="s">
        <v>42</v>
      </c>
      <c r="W476" s="2" t="s">
        <v>35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</row>
    <row r="477" spans="1:35" x14ac:dyDescent="0.25">
      <c r="A477" s="2">
        <v>26</v>
      </c>
      <c r="B477" s="2" t="s">
        <v>43</v>
      </c>
      <c r="C477" s="2" t="s">
        <v>36</v>
      </c>
      <c r="D477" s="2">
        <v>703</v>
      </c>
      <c r="E477" s="2" t="s">
        <v>37</v>
      </c>
      <c r="F477" s="2">
        <v>28</v>
      </c>
      <c r="G477" s="2">
        <v>2</v>
      </c>
      <c r="H477" s="2" t="s">
        <v>59</v>
      </c>
      <c r="I477" s="2">
        <v>1</v>
      </c>
      <c r="J477" s="2">
        <v>641</v>
      </c>
      <c r="K477" s="2">
        <v>1</v>
      </c>
      <c r="L477" s="2" t="s">
        <v>46</v>
      </c>
      <c r="M477" s="2">
        <v>66</v>
      </c>
      <c r="N477" s="2">
        <v>3</v>
      </c>
      <c r="O477" s="2">
        <v>2</v>
      </c>
      <c r="P477" s="2" t="s">
        <v>40</v>
      </c>
      <c r="Q477" s="2">
        <v>2</v>
      </c>
      <c r="R477" s="2" t="s">
        <v>48</v>
      </c>
      <c r="S477" s="2">
        <v>6272</v>
      </c>
      <c r="T477" s="2">
        <v>7428</v>
      </c>
      <c r="U477" s="2">
        <v>1</v>
      </c>
      <c r="V477" s="2" t="s">
        <v>42</v>
      </c>
      <c r="W477" s="2" t="s">
        <v>43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</row>
    <row r="478" spans="1:35" x14ac:dyDescent="0.25">
      <c r="A478" s="2">
        <v>24</v>
      </c>
      <c r="B478" s="2" t="s">
        <v>43</v>
      </c>
      <c r="C478" s="2" t="s">
        <v>36</v>
      </c>
      <c r="D478" s="2">
        <v>823</v>
      </c>
      <c r="E478" s="2" t="s">
        <v>45</v>
      </c>
      <c r="F478" s="2">
        <v>17</v>
      </c>
      <c r="G478" s="2">
        <v>2</v>
      </c>
      <c r="H478" s="2" t="s">
        <v>49</v>
      </c>
      <c r="I478" s="2">
        <v>1</v>
      </c>
      <c r="J478" s="2">
        <v>643</v>
      </c>
      <c r="K478" s="2">
        <v>4</v>
      </c>
      <c r="L478" s="2" t="s">
        <v>46</v>
      </c>
      <c r="M478" s="2">
        <v>94</v>
      </c>
      <c r="N478" s="2">
        <v>2</v>
      </c>
      <c r="O478" s="2">
        <v>1</v>
      </c>
      <c r="P478" s="2" t="s">
        <v>50</v>
      </c>
      <c r="Q478" s="2">
        <v>2</v>
      </c>
      <c r="R478" s="2" t="s">
        <v>48</v>
      </c>
      <c r="S478" s="2">
        <v>2127</v>
      </c>
      <c r="T478" s="2">
        <v>9100</v>
      </c>
      <c r="U478" s="2">
        <v>1</v>
      </c>
      <c r="V478" s="2" t="s">
        <v>42</v>
      </c>
      <c r="W478" s="2" t="s">
        <v>43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</row>
    <row r="479" spans="1:35" x14ac:dyDescent="0.25">
      <c r="A479" s="2">
        <v>50</v>
      </c>
      <c r="B479" s="2" t="s">
        <v>43</v>
      </c>
      <c r="C479" s="2" t="s">
        <v>44</v>
      </c>
      <c r="D479" s="2">
        <v>1246</v>
      </c>
      <c r="E479" s="2" t="s">
        <v>61</v>
      </c>
      <c r="F479" s="2">
        <v>3</v>
      </c>
      <c r="G479" s="2">
        <v>3</v>
      </c>
      <c r="H479" s="2" t="s">
        <v>51</v>
      </c>
      <c r="I479" s="2">
        <v>1</v>
      </c>
      <c r="J479" s="2">
        <v>644</v>
      </c>
      <c r="K479" s="2">
        <v>1</v>
      </c>
      <c r="L479" s="2" t="s">
        <v>46</v>
      </c>
      <c r="M479" s="2">
        <v>99</v>
      </c>
      <c r="N479" s="2">
        <v>3</v>
      </c>
      <c r="O479" s="2">
        <v>5</v>
      </c>
      <c r="P479" s="2" t="s">
        <v>56</v>
      </c>
      <c r="Q479" s="2">
        <v>2</v>
      </c>
      <c r="R479" s="2" t="s">
        <v>48</v>
      </c>
      <c r="S479" s="2">
        <v>18200</v>
      </c>
      <c r="T479" s="2">
        <v>7999</v>
      </c>
      <c r="U479" s="2">
        <v>1</v>
      </c>
      <c r="V479" s="2" t="s">
        <v>42</v>
      </c>
      <c r="W479" s="2" t="s">
        <v>43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</row>
    <row r="480" spans="1:35" x14ac:dyDescent="0.25">
      <c r="A480" s="2">
        <v>25</v>
      </c>
      <c r="B480" s="2" t="s">
        <v>43</v>
      </c>
      <c r="C480" s="2" t="s">
        <v>36</v>
      </c>
      <c r="D480" s="2">
        <v>622</v>
      </c>
      <c r="E480" s="2" t="s">
        <v>37</v>
      </c>
      <c r="F480" s="2">
        <v>13</v>
      </c>
      <c r="G480" s="2">
        <v>1</v>
      </c>
      <c r="H480" s="2" t="s">
        <v>51</v>
      </c>
      <c r="I480" s="2">
        <v>1</v>
      </c>
      <c r="J480" s="2">
        <v>645</v>
      </c>
      <c r="K480" s="2">
        <v>2</v>
      </c>
      <c r="L480" s="2" t="s">
        <v>46</v>
      </c>
      <c r="M480" s="2">
        <v>40</v>
      </c>
      <c r="N480" s="2">
        <v>3</v>
      </c>
      <c r="O480" s="2">
        <v>1</v>
      </c>
      <c r="P480" s="2" t="s">
        <v>57</v>
      </c>
      <c r="Q480" s="2">
        <v>3</v>
      </c>
      <c r="R480" s="2" t="s">
        <v>48</v>
      </c>
      <c r="S480" s="2">
        <v>2096</v>
      </c>
      <c r="T480" s="2">
        <v>26376</v>
      </c>
      <c r="U480" s="2">
        <v>1</v>
      </c>
      <c r="V480" s="2" t="s">
        <v>42</v>
      </c>
      <c r="W480" s="2" t="s">
        <v>43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</row>
    <row r="481" spans="1:35" x14ac:dyDescent="0.25">
      <c r="A481" s="2">
        <v>24</v>
      </c>
      <c r="B481" s="2" t="s">
        <v>35</v>
      </c>
      <c r="C481" s="2" t="s">
        <v>44</v>
      </c>
      <c r="D481" s="2">
        <v>1287</v>
      </c>
      <c r="E481" s="2" t="s">
        <v>45</v>
      </c>
      <c r="F481" s="2">
        <v>7</v>
      </c>
      <c r="G481" s="2">
        <v>3</v>
      </c>
      <c r="H481" s="2" t="s">
        <v>38</v>
      </c>
      <c r="I481" s="2">
        <v>1</v>
      </c>
      <c r="J481" s="2">
        <v>647</v>
      </c>
      <c r="K481" s="2">
        <v>1</v>
      </c>
      <c r="L481" s="2" t="s">
        <v>39</v>
      </c>
      <c r="M481" s="2">
        <v>55</v>
      </c>
      <c r="N481" s="2">
        <v>3</v>
      </c>
      <c r="O481" s="2">
        <v>1</v>
      </c>
      <c r="P481" s="2" t="s">
        <v>50</v>
      </c>
      <c r="Q481" s="2">
        <v>3</v>
      </c>
      <c r="R481" s="2" t="s">
        <v>48</v>
      </c>
      <c r="S481" s="2">
        <v>2886</v>
      </c>
      <c r="T481" s="2">
        <v>14168</v>
      </c>
      <c r="U481" s="2">
        <v>1</v>
      </c>
      <c r="V481" s="2" t="s">
        <v>42</v>
      </c>
      <c r="W481" s="2" t="s">
        <v>35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</row>
    <row r="482" spans="1:35" x14ac:dyDescent="0.25">
      <c r="A482" s="2">
        <v>30</v>
      </c>
      <c r="B482" s="2" t="s">
        <v>35</v>
      </c>
      <c r="C482" s="2" t="s">
        <v>44</v>
      </c>
      <c r="D482" s="2">
        <v>448</v>
      </c>
      <c r="E482" s="2" t="s">
        <v>37</v>
      </c>
      <c r="F482" s="2">
        <v>12</v>
      </c>
      <c r="G482" s="2">
        <v>4</v>
      </c>
      <c r="H482" s="2" t="s">
        <v>38</v>
      </c>
      <c r="I482" s="2">
        <v>1</v>
      </c>
      <c r="J482" s="2">
        <v>648</v>
      </c>
      <c r="K482" s="2">
        <v>2</v>
      </c>
      <c r="L482" s="2" t="s">
        <v>46</v>
      </c>
      <c r="M482" s="2">
        <v>74</v>
      </c>
      <c r="N482" s="2">
        <v>2</v>
      </c>
      <c r="O482" s="2">
        <v>1</v>
      </c>
      <c r="P482" s="2" t="s">
        <v>57</v>
      </c>
      <c r="Q482" s="2">
        <v>1</v>
      </c>
      <c r="R482" s="2" t="s">
        <v>48</v>
      </c>
      <c r="S482" s="2">
        <v>2033</v>
      </c>
      <c r="T482" s="2">
        <v>14470</v>
      </c>
      <c r="U482" s="2">
        <v>1</v>
      </c>
      <c r="V482" s="2" t="s">
        <v>42</v>
      </c>
      <c r="W482" s="2" t="s">
        <v>43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</row>
    <row r="483" spans="1:35" x14ac:dyDescent="0.25">
      <c r="A483" s="2">
        <v>34</v>
      </c>
      <c r="B483" s="2" t="s">
        <v>43</v>
      </c>
      <c r="C483" s="2" t="s">
        <v>36</v>
      </c>
      <c r="D483" s="2">
        <v>254</v>
      </c>
      <c r="E483" s="2" t="s">
        <v>45</v>
      </c>
      <c r="F483" s="2">
        <v>1</v>
      </c>
      <c r="G483" s="2">
        <v>2</v>
      </c>
      <c r="H483" s="2" t="s">
        <v>38</v>
      </c>
      <c r="I483" s="2">
        <v>1</v>
      </c>
      <c r="J483" s="2">
        <v>649</v>
      </c>
      <c r="K483" s="2">
        <v>2</v>
      </c>
      <c r="L483" s="2" t="s">
        <v>46</v>
      </c>
      <c r="M483" s="2">
        <v>83</v>
      </c>
      <c r="N483" s="2">
        <v>2</v>
      </c>
      <c r="O483" s="2">
        <v>1</v>
      </c>
      <c r="P483" s="2" t="s">
        <v>47</v>
      </c>
      <c r="Q483" s="2">
        <v>4</v>
      </c>
      <c r="R483" s="2" t="s">
        <v>48</v>
      </c>
      <c r="S483" s="2">
        <v>3622</v>
      </c>
      <c r="T483" s="2">
        <v>22794</v>
      </c>
      <c r="U483" s="2">
        <v>1</v>
      </c>
      <c r="V483" s="2" t="s">
        <v>42</v>
      </c>
      <c r="W483" s="2" t="s">
        <v>35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</row>
    <row r="484" spans="1:35" x14ac:dyDescent="0.25">
      <c r="A484" s="2">
        <v>31</v>
      </c>
      <c r="B484" s="2" t="s">
        <v>35</v>
      </c>
      <c r="C484" s="2" t="s">
        <v>36</v>
      </c>
      <c r="D484" s="2">
        <v>1365</v>
      </c>
      <c r="E484" s="2" t="s">
        <v>37</v>
      </c>
      <c r="F484" s="2">
        <v>13</v>
      </c>
      <c r="G484" s="2">
        <v>4</v>
      </c>
      <c r="H484" s="2" t="s">
        <v>51</v>
      </c>
      <c r="I484" s="2">
        <v>1</v>
      </c>
      <c r="J484" s="2">
        <v>650</v>
      </c>
      <c r="K484" s="2">
        <v>2</v>
      </c>
      <c r="L484" s="2" t="s">
        <v>46</v>
      </c>
      <c r="M484" s="2">
        <v>46</v>
      </c>
      <c r="N484" s="2">
        <v>3</v>
      </c>
      <c r="O484" s="2">
        <v>2</v>
      </c>
      <c r="P484" s="2" t="s">
        <v>40</v>
      </c>
      <c r="Q484" s="2">
        <v>1</v>
      </c>
      <c r="R484" s="2" t="s">
        <v>52</v>
      </c>
      <c r="S484" s="2">
        <v>4233</v>
      </c>
      <c r="T484" s="2">
        <v>11512</v>
      </c>
      <c r="U484" s="2">
        <v>2</v>
      </c>
      <c r="V484" s="2" t="s">
        <v>42</v>
      </c>
      <c r="W484" s="2" t="s">
        <v>43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</row>
    <row r="485" spans="1:35" x14ac:dyDescent="0.25">
      <c r="A485" s="2">
        <v>35</v>
      </c>
      <c r="B485" s="2" t="s">
        <v>43</v>
      </c>
      <c r="C485" s="2" t="s">
        <v>36</v>
      </c>
      <c r="D485" s="2">
        <v>538</v>
      </c>
      <c r="E485" s="2" t="s">
        <v>45</v>
      </c>
      <c r="F485" s="2">
        <v>25</v>
      </c>
      <c r="G485" s="2">
        <v>2</v>
      </c>
      <c r="H485" s="2" t="s">
        <v>49</v>
      </c>
      <c r="I485" s="2">
        <v>1</v>
      </c>
      <c r="J485" s="2">
        <v>652</v>
      </c>
      <c r="K485" s="2">
        <v>1</v>
      </c>
      <c r="L485" s="2" t="s">
        <v>46</v>
      </c>
      <c r="M485" s="2">
        <v>54</v>
      </c>
      <c r="N485" s="2">
        <v>2</v>
      </c>
      <c r="O485" s="2">
        <v>2</v>
      </c>
      <c r="P485" s="2" t="s">
        <v>50</v>
      </c>
      <c r="Q485" s="2">
        <v>4</v>
      </c>
      <c r="R485" s="2" t="s">
        <v>41</v>
      </c>
      <c r="S485" s="2">
        <v>3681</v>
      </c>
      <c r="T485" s="2">
        <v>14004</v>
      </c>
      <c r="U485" s="2">
        <v>4</v>
      </c>
      <c r="V485" s="2" t="s">
        <v>42</v>
      </c>
      <c r="W485" s="2" t="s">
        <v>43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</row>
    <row r="486" spans="1:35" x14ac:dyDescent="0.25">
      <c r="A486" s="2">
        <v>31</v>
      </c>
      <c r="B486" s="2" t="s">
        <v>43</v>
      </c>
      <c r="C486" s="2" t="s">
        <v>36</v>
      </c>
      <c r="D486" s="2">
        <v>525</v>
      </c>
      <c r="E486" s="2" t="s">
        <v>37</v>
      </c>
      <c r="F486" s="2">
        <v>6</v>
      </c>
      <c r="G486" s="2">
        <v>4</v>
      </c>
      <c r="H486" s="2" t="s">
        <v>51</v>
      </c>
      <c r="I486" s="2">
        <v>1</v>
      </c>
      <c r="J486" s="2">
        <v>653</v>
      </c>
      <c r="K486" s="2">
        <v>1</v>
      </c>
      <c r="L486" s="2" t="s">
        <v>46</v>
      </c>
      <c r="M486" s="2">
        <v>66</v>
      </c>
      <c r="N486" s="2">
        <v>4</v>
      </c>
      <c r="O486" s="2">
        <v>2</v>
      </c>
      <c r="P486" s="2" t="s">
        <v>40</v>
      </c>
      <c r="Q486" s="2">
        <v>4</v>
      </c>
      <c r="R486" s="2" t="s">
        <v>52</v>
      </c>
      <c r="S486" s="2">
        <v>5460</v>
      </c>
      <c r="T486" s="2">
        <v>6219</v>
      </c>
      <c r="U486" s="2">
        <v>4</v>
      </c>
      <c r="V486" s="2" t="s">
        <v>42</v>
      </c>
      <c r="W486" s="2" t="s">
        <v>43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</row>
    <row r="487" spans="1:35" x14ac:dyDescent="0.25">
      <c r="A487" s="2">
        <v>27</v>
      </c>
      <c r="B487" s="2" t="s">
        <v>43</v>
      </c>
      <c r="C487" s="2" t="s">
        <v>36</v>
      </c>
      <c r="D487" s="2">
        <v>798</v>
      </c>
      <c r="E487" s="2" t="s">
        <v>45</v>
      </c>
      <c r="F487" s="2">
        <v>6</v>
      </c>
      <c r="G487" s="2">
        <v>4</v>
      </c>
      <c r="H487" s="2" t="s">
        <v>51</v>
      </c>
      <c r="I487" s="2">
        <v>1</v>
      </c>
      <c r="J487" s="2">
        <v>655</v>
      </c>
      <c r="K487" s="2">
        <v>1</v>
      </c>
      <c r="L487" s="2" t="s">
        <v>39</v>
      </c>
      <c r="M487" s="2">
        <v>66</v>
      </c>
      <c r="N487" s="2">
        <v>2</v>
      </c>
      <c r="O487" s="2">
        <v>1</v>
      </c>
      <c r="P487" s="2" t="s">
        <v>47</v>
      </c>
      <c r="Q487" s="2">
        <v>3</v>
      </c>
      <c r="R487" s="2" t="s">
        <v>52</v>
      </c>
      <c r="S487" s="2">
        <v>2187</v>
      </c>
      <c r="T487" s="2">
        <v>5013</v>
      </c>
      <c r="U487" s="2">
        <v>0</v>
      </c>
      <c r="V487" s="2" t="s">
        <v>42</v>
      </c>
      <c r="W487" s="2" t="s">
        <v>43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</row>
    <row r="488" spans="1:35" x14ac:dyDescent="0.25">
      <c r="A488" s="2">
        <v>37</v>
      </c>
      <c r="B488" s="2" t="s">
        <v>43</v>
      </c>
      <c r="C488" s="2" t="s">
        <v>36</v>
      </c>
      <c r="D488" s="2">
        <v>558</v>
      </c>
      <c r="E488" s="2" t="s">
        <v>37</v>
      </c>
      <c r="F488" s="2">
        <v>2</v>
      </c>
      <c r="G488" s="2">
        <v>3</v>
      </c>
      <c r="H488" s="2" t="s">
        <v>59</v>
      </c>
      <c r="I488" s="2">
        <v>1</v>
      </c>
      <c r="J488" s="2">
        <v>656</v>
      </c>
      <c r="K488" s="2">
        <v>4</v>
      </c>
      <c r="L488" s="2" t="s">
        <v>46</v>
      </c>
      <c r="M488" s="2">
        <v>75</v>
      </c>
      <c r="N488" s="2">
        <v>3</v>
      </c>
      <c r="O488" s="2">
        <v>2</v>
      </c>
      <c r="P488" s="2" t="s">
        <v>40</v>
      </c>
      <c r="Q488" s="2">
        <v>3</v>
      </c>
      <c r="R488" s="2" t="s">
        <v>48</v>
      </c>
      <c r="S488" s="2">
        <v>9602</v>
      </c>
      <c r="T488" s="2">
        <v>3010</v>
      </c>
      <c r="U488" s="2">
        <v>4</v>
      </c>
      <c r="V488" s="2" t="s">
        <v>42</v>
      </c>
      <c r="W488" s="2" t="s">
        <v>35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</row>
    <row r="489" spans="1:35" x14ac:dyDescent="0.25">
      <c r="A489" s="2">
        <v>20</v>
      </c>
      <c r="B489" s="2" t="s">
        <v>43</v>
      </c>
      <c r="C489" s="2" t="s">
        <v>36</v>
      </c>
      <c r="D489" s="2">
        <v>959</v>
      </c>
      <c r="E489" s="2" t="s">
        <v>45</v>
      </c>
      <c r="F489" s="2">
        <v>1</v>
      </c>
      <c r="G489" s="2">
        <v>3</v>
      </c>
      <c r="H489" s="2" t="s">
        <v>38</v>
      </c>
      <c r="I489" s="2">
        <v>1</v>
      </c>
      <c r="J489" s="2">
        <v>657</v>
      </c>
      <c r="K489" s="2">
        <v>4</v>
      </c>
      <c r="L489" s="2" t="s">
        <v>39</v>
      </c>
      <c r="M489" s="2">
        <v>83</v>
      </c>
      <c r="N489" s="2">
        <v>2</v>
      </c>
      <c r="O489" s="2">
        <v>1</v>
      </c>
      <c r="P489" s="2" t="s">
        <v>47</v>
      </c>
      <c r="Q489" s="2">
        <v>2</v>
      </c>
      <c r="R489" s="2" t="s">
        <v>41</v>
      </c>
      <c r="S489" s="2">
        <v>2836</v>
      </c>
      <c r="T489" s="2">
        <v>11757</v>
      </c>
      <c r="U489" s="2">
        <v>1</v>
      </c>
      <c r="V489" s="2" t="s">
        <v>42</v>
      </c>
      <c r="W489" s="2" t="s">
        <v>43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</row>
    <row r="490" spans="1:35" x14ac:dyDescent="0.25">
      <c r="A490" s="2">
        <v>42</v>
      </c>
      <c r="B490" s="2" t="s">
        <v>43</v>
      </c>
      <c r="C490" s="2" t="s">
        <v>36</v>
      </c>
      <c r="D490" s="2">
        <v>622</v>
      </c>
      <c r="E490" s="2" t="s">
        <v>45</v>
      </c>
      <c r="F490" s="2">
        <v>2</v>
      </c>
      <c r="G490" s="2">
        <v>4</v>
      </c>
      <c r="H490" s="2" t="s">
        <v>38</v>
      </c>
      <c r="I490" s="2">
        <v>1</v>
      </c>
      <c r="J490" s="2">
        <v>659</v>
      </c>
      <c r="K490" s="2">
        <v>3</v>
      </c>
      <c r="L490" s="2" t="s">
        <v>39</v>
      </c>
      <c r="M490" s="2">
        <v>81</v>
      </c>
      <c r="N490" s="2">
        <v>3</v>
      </c>
      <c r="O490" s="2">
        <v>2</v>
      </c>
      <c r="P490" s="2" t="s">
        <v>54</v>
      </c>
      <c r="Q490" s="2">
        <v>4</v>
      </c>
      <c r="R490" s="2" t="s">
        <v>48</v>
      </c>
      <c r="S490" s="2">
        <v>4089</v>
      </c>
      <c r="T490" s="2">
        <v>5718</v>
      </c>
      <c r="U490" s="2">
        <v>1</v>
      </c>
      <c r="V490" s="2" t="s">
        <v>42</v>
      </c>
      <c r="W490" s="2" t="s">
        <v>43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</row>
    <row r="491" spans="1:35" x14ac:dyDescent="0.25">
      <c r="A491" s="2">
        <v>43</v>
      </c>
      <c r="B491" s="2" t="s">
        <v>43</v>
      </c>
      <c r="C491" s="2" t="s">
        <v>36</v>
      </c>
      <c r="D491" s="2">
        <v>782</v>
      </c>
      <c r="E491" s="2" t="s">
        <v>45</v>
      </c>
      <c r="F491" s="2">
        <v>6</v>
      </c>
      <c r="G491" s="2">
        <v>4</v>
      </c>
      <c r="H491" s="2" t="s">
        <v>49</v>
      </c>
      <c r="I491" s="2">
        <v>1</v>
      </c>
      <c r="J491" s="2">
        <v>661</v>
      </c>
      <c r="K491" s="2">
        <v>2</v>
      </c>
      <c r="L491" s="2" t="s">
        <v>46</v>
      </c>
      <c r="M491" s="2">
        <v>50</v>
      </c>
      <c r="N491" s="2">
        <v>2</v>
      </c>
      <c r="O491" s="2">
        <v>4</v>
      </c>
      <c r="P491" s="2" t="s">
        <v>58</v>
      </c>
      <c r="Q491" s="2">
        <v>4</v>
      </c>
      <c r="R491" s="2" t="s">
        <v>52</v>
      </c>
      <c r="S491" s="2">
        <v>16627</v>
      </c>
      <c r="T491" s="2">
        <v>2671</v>
      </c>
      <c r="U491" s="2">
        <v>4</v>
      </c>
      <c r="V491" s="2" t="s">
        <v>42</v>
      </c>
      <c r="W491" s="2" t="s">
        <v>35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</row>
    <row r="492" spans="1:35" x14ac:dyDescent="0.25">
      <c r="A492" s="2">
        <v>38</v>
      </c>
      <c r="B492" s="2" t="s">
        <v>43</v>
      </c>
      <c r="C492" s="2" t="s">
        <v>36</v>
      </c>
      <c r="D492" s="2">
        <v>362</v>
      </c>
      <c r="E492" s="2" t="s">
        <v>45</v>
      </c>
      <c r="F492" s="2">
        <v>1</v>
      </c>
      <c r="G492" s="2">
        <v>1</v>
      </c>
      <c r="H492" s="2" t="s">
        <v>38</v>
      </c>
      <c r="I492" s="2">
        <v>1</v>
      </c>
      <c r="J492" s="2">
        <v>662</v>
      </c>
      <c r="K492" s="2">
        <v>3</v>
      </c>
      <c r="L492" s="2" t="s">
        <v>39</v>
      </c>
      <c r="M492" s="2">
        <v>43</v>
      </c>
      <c r="N492" s="2">
        <v>3</v>
      </c>
      <c r="O492" s="2">
        <v>1</v>
      </c>
      <c r="P492" s="2" t="s">
        <v>47</v>
      </c>
      <c r="Q492" s="2">
        <v>1</v>
      </c>
      <c r="R492" s="2" t="s">
        <v>41</v>
      </c>
      <c r="S492" s="2">
        <v>2619</v>
      </c>
      <c r="T492" s="2">
        <v>14561</v>
      </c>
      <c r="U492" s="2">
        <v>3</v>
      </c>
      <c r="V492" s="2" t="s">
        <v>42</v>
      </c>
      <c r="W492" s="2" t="s">
        <v>43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</row>
    <row r="493" spans="1:35" x14ac:dyDescent="0.25">
      <c r="A493" s="2">
        <v>43</v>
      </c>
      <c r="B493" s="2" t="s">
        <v>43</v>
      </c>
      <c r="C493" s="2" t="s">
        <v>44</v>
      </c>
      <c r="D493" s="2">
        <v>1001</v>
      </c>
      <c r="E493" s="2" t="s">
        <v>45</v>
      </c>
      <c r="F493" s="2">
        <v>9</v>
      </c>
      <c r="G493" s="2">
        <v>5</v>
      </c>
      <c r="H493" s="2" t="s">
        <v>51</v>
      </c>
      <c r="I493" s="2">
        <v>1</v>
      </c>
      <c r="J493" s="2">
        <v>663</v>
      </c>
      <c r="K493" s="2">
        <v>4</v>
      </c>
      <c r="L493" s="2" t="s">
        <v>46</v>
      </c>
      <c r="M493" s="2">
        <v>72</v>
      </c>
      <c r="N493" s="2">
        <v>3</v>
      </c>
      <c r="O493" s="2">
        <v>2</v>
      </c>
      <c r="P493" s="2" t="s">
        <v>50</v>
      </c>
      <c r="Q493" s="2">
        <v>3</v>
      </c>
      <c r="R493" s="2" t="s">
        <v>52</v>
      </c>
      <c r="S493" s="2">
        <v>5679</v>
      </c>
      <c r="T493" s="2">
        <v>19627</v>
      </c>
      <c r="U493" s="2">
        <v>3</v>
      </c>
      <c r="V493" s="2" t="s">
        <v>42</v>
      </c>
      <c r="W493" s="2" t="s">
        <v>35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</row>
    <row r="494" spans="1:35" x14ac:dyDescent="0.25">
      <c r="A494" s="2">
        <v>48</v>
      </c>
      <c r="B494" s="2" t="s">
        <v>43</v>
      </c>
      <c r="C494" s="2" t="s">
        <v>36</v>
      </c>
      <c r="D494" s="2">
        <v>1236</v>
      </c>
      <c r="E494" s="2" t="s">
        <v>45</v>
      </c>
      <c r="F494" s="2">
        <v>1</v>
      </c>
      <c r="G494" s="2">
        <v>4</v>
      </c>
      <c r="H494" s="2" t="s">
        <v>38</v>
      </c>
      <c r="I494" s="2">
        <v>1</v>
      </c>
      <c r="J494" s="2">
        <v>664</v>
      </c>
      <c r="K494" s="2">
        <v>4</v>
      </c>
      <c r="L494" s="2" t="s">
        <v>39</v>
      </c>
      <c r="M494" s="2">
        <v>40</v>
      </c>
      <c r="N494" s="2">
        <v>2</v>
      </c>
      <c r="O494" s="2">
        <v>4</v>
      </c>
      <c r="P494" s="2" t="s">
        <v>56</v>
      </c>
      <c r="Q494" s="2">
        <v>1</v>
      </c>
      <c r="R494" s="2" t="s">
        <v>48</v>
      </c>
      <c r="S494" s="2">
        <v>15402</v>
      </c>
      <c r="T494" s="2">
        <v>17997</v>
      </c>
      <c r="U494" s="2">
        <v>7</v>
      </c>
      <c r="V494" s="2" t="s">
        <v>42</v>
      </c>
      <c r="W494" s="2" t="s">
        <v>43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</row>
    <row r="495" spans="1:35" x14ac:dyDescent="0.25">
      <c r="A495" s="2">
        <v>44</v>
      </c>
      <c r="B495" s="2" t="s">
        <v>43</v>
      </c>
      <c r="C495" s="2" t="s">
        <v>36</v>
      </c>
      <c r="D495" s="2">
        <v>1112</v>
      </c>
      <c r="E495" s="2" t="s">
        <v>61</v>
      </c>
      <c r="F495" s="2">
        <v>1</v>
      </c>
      <c r="G495" s="2">
        <v>4</v>
      </c>
      <c r="H495" s="2" t="s">
        <v>38</v>
      </c>
      <c r="I495" s="2">
        <v>1</v>
      </c>
      <c r="J495" s="2">
        <v>665</v>
      </c>
      <c r="K495" s="2">
        <v>1</v>
      </c>
      <c r="L495" s="2" t="s">
        <v>39</v>
      </c>
      <c r="M495" s="2">
        <v>50</v>
      </c>
      <c r="N495" s="2">
        <v>2</v>
      </c>
      <c r="O495" s="2">
        <v>2</v>
      </c>
      <c r="P495" s="2" t="s">
        <v>61</v>
      </c>
      <c r="Q495" s="2">
        <v>3</v>
      </c>
      <c r="R495" s="2" t="s">
        <v>41</v>
      </c>
      <c r="S495" s="2">
        <v>5985</v>
      </c>
      <c r="T495" s="2">
        <v>26894</v>
      </c>
      <c r="U495" s="2">
        <v>4</v>
      </c>
      <c r="V495" s="2" t="s">
        <v>42</v>
      </c>
      <c r="W495" s="2" t="s">
        <v>43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</row>
    <row r="496" spans="1:35" x14ac:dyDescent="0.25">
      <c r="A496" s="2">
        <v>34</v>
      </c>
      <c r="B496" s="2" t="s">
        <v>43</v>
      </c>
      <c r="C496" s="2" t="s">
        <v>36</v>
      </c>
      <c r="D496" s="2">
        <v>204</v>
      </c>
      <c r="E496" s="2" t="s">
        <v>37</v>
      </c>
      <c r="F496" s="2">
        <v>14</v>
      </c>
      <c r="G496" s="2">
        <v>3</v>
      </c>
      <c r="H496" s="2" t="s">
        <v>60</v>
      </c>
      <c r="I496" s="2">
        <v>1</v>
      </c>
      <c r="J496" s="2">
        <v>666</v>
      </c>
      <c r="K496" s="2">
        <v>3</v>
      </c>
      <c r="L496" s="2" t="s">
        <v>39</v>
      </c>
      <c r="M496" s="2">
        <v>31</v>
      </c>
      <c r="N496" s="2">
        <v>3</v>
      </c>
      <c r="O496" s="2">
        <v>1</v>
      </c>
      <c r="P496" s="2" t="s">
        <v>57</v>
      </c>
      <c r="Q496" s="2">
        <v>3</v>
      </c>
      <c r="R496" s="2" t="s">
        <v>52</v>
      </c>
      <c r="S496" s="2">
        <v>2579</v>
      </c>
      <c r="T496" s="2">
        <v>2912</v>
      </c>
      <c r="U496" s="2">
        <v>1</v>
      </c>
      <c r="V496" s="2" t="s">
        <v>42</v>
      </c>
      <c r="W496" s="2" t="s">
        <v>35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</row>
    <row r="497" spans="1:35" x14ac:dyDescent="0.25">
      <c r="A497" s="2">
        <v>27</v>
      </c>
      <c r="B497" s="2" t="s">
        <v>35</v>
      </c>
      <c r="C497" s="2" t="s">
        <v>36</v>
      </c>
      <c r="D497" s="2">
        <v>1420</v>
      </c>
      <c r="E497" s="2" t="s">
        <v>37</v>
      </c>
      <c r="F497" s="2">
        <v>2</v>
      </c>
      <c r="G497" s="2">
        <v>1</v>
      </c>
      <c r="H497" s="2" t="s">
        <v>59</v>
      </c>
      <c r="I497" s="2">
        <v>1</v>
      </c>
      <c r="J497" s="2">
        <v>667</v>
      </c>
      <c r="K497" s="2">
        <v>3</v>
      </c>
      <c r="L497" s="2" t="s">
        <v>46</v>
      </c>
      <c r="M497" s="2">
        <v>85</v>
      </c>
      <c r="N497" s="2">
        <v>3</v>
      </c>
      <c r="O497" s="2">
        <v>1</v>
      </c>
      <c r="P497" s="2" t="s">
        <v>57</v>
      </c>
      <c r="Q497" s="2">
        <v>1</v>
      </c>
      <c r="R497" s="2" t="s">
        <v>52</v>
      </c>
      <c r="S497" s="2">
        <v>3041</v>
      </c>
      <c r="T497" s="2">
        <v>16346</v>
      </c>
      <c r="U497" s="2">
        <v>0</v>
      </c>
      <c r="V497" s="2" t="s">
        <v>42</v>
      </c>
      <c r="W497" s="2" t="s">
        <v>43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</row>
    <row r="498" spans="1:35" x14ac:dyDescent="0.25">
      <c r="A498" s="2">
        <v>21</v>
      </c>
      <c r="B498" s="2" t="s">
        <v>43</v>
      </c>
      <c r="C498" s="2" t="s">
        <v>36</v>
      </c>
      <c r="D498" s="2">
        <v>1343</v>
      </c>
      <c r="E498" s="2" t="s">
        <v>37</v>
      </c>
      <c r="F498" s="2">
        <v>22</v>
      </c>
      <c r="G498" s="2">
        <v>1</v>
      </c>
      <c r="H498" s="2" t="s">
        <v>60</v>
      </c>
      <c r="I498" s="2">
        <v>1</v>
      </c>
      <c r="J498" s="2">
        <v>669</v>
      </c>
      <c r="K498" s="2">
        <v>3</v>
      </c>
      <c r="L498" s="2" t="s">
        <v>46</v>
      </c>
      <c r="M498" s="2">
        <v>49</v>
      </c>
      <c r="N498" s="2">
        <v>3</v>
      </c>
      <c r="O498" s="2">
        <v>1</v>
      </c>
      <c r="P498" s="2" t="s">
        <v>57</v>
      </c>
      <c r="Q498" s="2">
        <v>3</v>
      </c>
      <c r="R498" s="2" t="s">
        <v>41</v>
      </c>
      <c r="S498" s="2">
        <v>3447</v>
      </c>
      <c r="T498" s="2">
        <v>24444</v>
      </c>
      <c r="U498" s="2">
        <v>1</v>
      </c>
      <c r="V498" s="2" t="s">
        <v>42</v>
      </c>
      <c r="W498" s="2" t="s">
        <v>43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</row>
    <row r="499" spans="1:35" x14ac:dyDescent="0.25">
      <c r="A499" s="2">
        <v>44</v>
      </c>
      <c r="B499" s="2" t="s">
        <v>43</v>
      </c>
      <c r="C499" s="2" t="s">
        <v>36</v>
      </c>
      <c r="D499" s="2">
        <v>1315</v>
      </c>
      <c r="E499" s="2" t="s">
        <v>45</v>
      </c>
      <c r="F499" s="2">
        <v>3</v>
      </c>
      <c r="G499" s="2">
        <v>4</v>
      </c>
      <c r="H499" s="2" t="s">
        <v>49</v>
      </c>
      <c r="I499" s="2">
        <v>1</v>
      </c>
      <c r="J499" s="2">
        <v>671</v>
      </c>
      <c r="K499" s="2">
        <v>4</v>
      </c>
      <c r="L499" s="2" t="s">
        <v>46</v>
      </c>
      <c r="M499" s="2">
        <v>35</v>
      </c>
      <c r="N499" s="2">
        <v>3</v>
      </c>
      <c r="O499" s="2">
        <v>5</v>
      </c>
      <c r="P499" s="2" t="s">
        <v>56</v>
      </c>
      <c r="Q499" s="2">
        <v>4</v>
      </c>
      <c r="R499" s="2" t="s">
        <v>48</v>
      </c>
      <c r="S499" s="2">
        <v>19513</v>
      </c>
      <c r="T499" s="2">
        <v>9358</v>
      </c>
      <c r="U499" s="2">
        <v>4</v>
      </c>
      <c r="V499" s="2" t="s">
        <v>42</v>
      </c>
      <c r="W499" s="2" t="s">
        <v>35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</row>
    <row r="500" spans="1:35" x14ac:dyDescent="0.25">
      <c r="A500" s="2">
        <v>22</v>
      </c>
      <c r="B500" s="2" t="s">
        <v>43</v>
      </c>
      <c r="C500" s="2" t="s">
        <v>36</v>
      </c>
      <c r="D500" s="2">
        <v>604</v>
      </c>
      <c r="E500" s="2" t="s">
        <v>45</v>
      </c>
      <c r="F500" s="2">
        <v>6</v>
      </c>
      <c r="G500" s="2">
        <v>1</v>
      </c>
      <c r="H500" s="2" t="s">
        <v>51</v>
      </c>
      <c r="I500" s="2">
        <v>1</v>
      </c>
      <c r="J500" s="2">
        <v>675</v>
      </c>
      <c r="K500" s="2">
        <v>1</v>
      </c>
      <c r="L500" s="2" t="s">
        <v>46</v>
      </c>
      <c r="M500" s="2">
        <v>69</v>
      </c>
      <c r="N500" s="2">
        <v>3</v>
      </c>
      <c r="O500" s="2">
        <v>1</v>
      </c>
      <c r="P500" s="2" t="s">
        <v>47</v>
      </c>
      <c r="Q500" s="2">
        <v>3</v>
      </c>
      <c r="R500" s="2" t="s">
        <v>48</v>
      </c>
      <c r="S500" s="2">
        <v>2773</v>
      </c>
      <c r="T500" s="2">
        <v>12145</v>
      </c>
      <c r="U500" s="2">
        <v>0</v>
      </c>
      <c r="V500" s="2" t="s">
        <v>42</v>
      </c>
      <c r="W500" s="2" t="s">
        <v>43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</row>
    <row r="501" spans="1:35" x14ac:dyDescent="0.25">
      <c r="A501" s="2">
        <v>33</v>
      </c>
      <c r="B501" s="2" t="s">
        <v>43</v>
      </c>
      <c r="C501" s="2" t="s">
        <v>36</v>
      </c>
      <c r="D501" s="2">
        <v>1216</v>
      </c>
      <c r="E501" s="2" t="s">
        <v>37</v>
      </c>
      <c r="F501" s="2">
        <v>8</v>
      </c>
      <c r="G501" s="2">
        <v>4</v>
      </c>
      <c r="H501" s="2" t="s">
        <v>59</v>
      </c>
      <c r="I501" s="2">
        <v>1</v>
      </c>
      <c r="J501" s="2">
        <v>677</v>
      </c>
      <c r="K501" s="2">
        <v>3</v>
      </c>
      <c r="L501" s="2" t="s">
        <v>46</v>
      </c>
      <c r="M501" s="2">
        <v>39</v>
      </c>
      <c r="N501" s="2">
        <v>3</v>
      </c>
      <c r="O501" s="2">
        <v>2</v>
      </c>
      <c r="P501" s="2" t="s">
        <v>40</v>
      </c>
      <c r="Q501" s="2">
        <v>3</v>
      </c>
      <c r="R501" s="2" t="s">
        <v>52</v>
      </c>
      <c r="S501" s="2">
        <v>7104</v>
      </c>
      <c r="T501" s="2">
        <v>20431</v>
      </c>
      <c r="U501" s="2">
        <v>0</v>
      </c>
      <c r="V501" s="2" t="s">
        <v>42</v>
      </c>
      <c r="W501" s="2" t="s">
        <v>43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</row>
    <row r="502" spans="1:35" x14ac:dyDescent="0.25">
      <c r="A502" s="2">
        <v>32</v>
      </c>
      <c r="B502" s="2" t="s">
        <v>43</v>
      </c>
      <c r="C502" s="2" t="s">
        <v>36</v>
      </c>
      <c r="D502" s="2">
        <v>646</v>
      </c>
      <c r="E502" s="2" t="s">
        <v>45</v>
      </c>
      <c r="F502" s="2">
        <v>9</v>
      </c>
      <c r="G502" s="2">
        <v>4</v>
      </c>
      <c r="H502" s="2" t="s">
        <v>38</v>
      </c>
      <c r="I502" s="2">
        <v>1</v>
      </c>
      <c r="J502" s="2">
        <v>679</v>
      </c>
      <c r="K502" s="2">
        <v>1</v>
      </c>
      <c r="L502" s="2" t="s">
        <v>39</v>
      </c>
      <c r="M502" s="2">
        <v>92</v>
      </c>
      <c r="N502" s="2">
        <v>3</v>
      </c>
      <c r="O502" s="2">
        <v>2</v>
      </c>
      <c r="P502" s="2" t="s">
        <v>47</v>
      </c>
      <c r="Q502" s="2">
        <v>4</v>
      </c>
      <c r="R502" s="2" t="s">
        <v>48</v>
      </c>
      <c r="S502" s="2">
        <v>6322</v>
      </c>
      <c r="T502" s="2">
        <v>18089</v>
      </c>
      <c r="U502" s="2">
        <v>1</v>
      </c>
      <c r="V502" s="2" t="s">
        <v>42</v>
      </c>
      <c r="W502" s="2" t="s">
        <v>35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</row>
    <row r="503" spans="1:35" x14ac:dyDescent="0.25">
      <c r="A503" s="2">
        <v>30</v>
      </c>
      <c r="B503" s="2" t="s">
        <v>43</v>
      </c>
      <c r="C503" s="2" t="s">
        <v>44</v>
      </c>
      <c r="D503" s="2">
        <v>160</v>
      </c>
      <c r="E503" s="2" t="s">
        <v>45</v>
      </c>
      <c r="F503" s="2">
        <v>3</v>
      </c>
      <c r="G503" s="2">
        <v>3</v>
      </c>
      <c r="H503" s="2" t="s">
        <v>51</v>
      </c>
      <c r="I503" s="2">
        <v>1</v>
      </c>
      <c r="J503" s="2">
        <v>680</v>
      </c>
      <c r="K503" s="2">
        <v>3</v>
      </c>
      <c r="L503" s="2" t="s">
        <v>39</v>
      </c>
      <c r="M503" s="2">
        <v>71</v>
      </c>
      <c r="N503" s="2">
        <v>3</v>
      </c>
      <c r="O503" s="2">
        <v>1</v>
      </c>
      <c r="P503" s="2" t="s">
        <v>47</v>
      </c>
      <c r="Q503" s="2">
        <v>3</v>
      </c>
      <c r="R503" s="2" t="s">
        <v>52</v>
      </c>
      <c r="S503" s="2">
        <v>2083</v>
      </c>
      <c r="T503" s="2">
        <v>22653</v>
      </c>
      <c r="U503" s="2">
        <v>1</v>
      </c>
      <c r="V503" s="2" t="s">
        <v>42</v>
      </c>
      <c r="W503" s="2" t="s">
        <v>43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</row>
    <row r="504" spans="1:35" x14ac:dyDescent="0.25">
      <c r="A504" s="2">
        <v>53</v>
      </c>
      <c r="B504" s="2" t="s">
        <v>43</v>
      </c>
      <c r="C504" s="2" t="s">
        <v>36</v>
      </c>
      <c r="D504" s="2">
        <v>238</v>
      </c>
      <c r="E504" s="2" t="s">
        <v>37</v>
      </c>
      <c r="F504" s="2">
        <v>1</v>
      </c>
      <c r="G504" s="2">
        <v>1</v>
      </c>
      <c r="H504" s="2" t="s">
        <v>51</v>
      </c>
      <c r="I504" s="2">
        <v>1</v>
      </c>
      <c r="J504" s="2">
        <v>682</v>
      </c>
      <c r="K504" s="2">
        <v>4</v>
      </c>
      <c r="L504" s="2" t="s">
        <v>39</v>
      </c>
      <c r="M504" s="2">
        <v>34</v>
      </c>
      <c r="N504" s="2">
        <v>3</v>
      </c>
      <c r="O504" s="2">
        <v>2</v>
      </c>
      <c r="P504" s="2" t="s">
        <v>40</v>
      </c>
      <c r="Q504" s="2">
        <v>1</v>
      </c>
      <c r="R504" s="2" t="s">
        <v>41</v>
      </c>
      <c r="S504" s="2">
        <v>8381</v>
      </c>
      <c r="T504" s="2">
        <v>7507</v>
      </c>
      <c r="U504" s="2">
        <v>7</v>
      </c>
      <c r="V504" s="2" t="s">
        <v>42</v>
      </c>
      <c r="W504" s="2" t="s">
        <v>43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</row>
    <row r="505" spans="1:35" x14ac:dyDescent="0.25">
      <c r="A505" s="2">
        <v>34</v>
      </c>
      <c r="B505" s="2" t="s">
        <v>43</v>
      </c>
      <c r="C505" s="2" t="s">
        <v>36</v>
      </c>
      <c r="D505" s="2">
        <v>1397</v>
      </c>
      <c r="E505" s="2" t="s">
        <v>45</v>
      </c>
      <c r="F505" s="2">
        <v>1</v>
      </c>
      <c r="G505" s="2">
        <v>5</v>
      </c>
      <c r="H505" s="2" t="s">
        <v>38</v>
      </c>
      <c r="I505" s="2">
        <v>1</v>
      </c>
      <c r="J505" s="2">
        <v>683</v>
      </c>
      <c r="K505" s="2">
        <v>2</v>
      </c>
      <c r="L505" s="2" t="s">
        <v>46</v>
      </c>
      <c r="M505" s="2">
        <v>42</v>
      </c>
      <c r="N505" s="2">
        <v>3</v>
      </c>
      <c r="O505" s="2">
        <v>1</v>
      </c>
      <c r="P505" s="2" t="s">
        <v>47</v>
      </c>
      <c r="Q505" s="2">
        <v>4</v>
      </c>
      <c r="R505" s="2" t="s">
        <v>48</v>
      </c>
      <c r="S505" s="2">
        <v>2691</v>
      </c>
      <c r="T505" s="2">
        <v>7660</v>
      </c>
      <c r="U505" s="2">
        <v>1</v>
      </c>
      <c r="V505" s="2" t="s">
        <v>42</v>
      </c>
      <c r="W505" s="2" t="s">
        <v>43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</row>
    <row r="506" spans="1:35" x14ac:dyDescent="0.25">
      <c r="A506" s="2">
        <v>45</v>
      </c>
      <c r="B506" s="2" t="s">
        <v>35</v>
      </c>
      <c r="C506" s="2" t="s">
        <v>44</v>
      </c>
      <c r="D506" s="2">
        <v>306</v>
      </c>
      <c r="E506" s="2" t="s">
        <v>37</v>
      </c>
      <c r="F506" s="2">
        <v>26</v>
      </c>
      <c r="G506" s="2">
        <v>4</v>
      </c>
      <c r="H506" s="2" t="s">
        <v>38</v>
      </c>
      <c r="I506" s="2">
        <v>1</v>
      </c>
      <c r="J506" s="2">
        <v>684</v>
      </c>
      <c r="K506" s="2">
        <v>1</v>
      </c>
      <c r="L506" s="2" t="s">
        <v>39</v>
      </c>
      <c r="M506" s="2">
        <v>100</v>
      </c>
      <c r="N506" s="2">
        <v>3</v>
      </c>
      <c r="O506" s="2">
        <v>2</v>
      </c>
      <c r="P506" s="2" t="s">
        <v>40</v>
      </c>
      <c r="Q506" s="2">
        <v>1</v>
      </c>
      <c r="R506" s="2" t="s">
        <v>48</v>
      </c>
      <c r="S506" s="2">
        <v>4286</v>
      </c>
      <c r="T506" s="2">
        <v>5630</v>
      </c>
      <c r="U506" s="2">
        <v>2</v>
      </c>
      <c r="V506" s="2" t="s">
        <v>42</v>
      </c>
      <c r="W506" s="2" t="s">
        <v>43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</row>
    <row r="507" spans="1:35" x14ac:dyDescent="0.25">
      <c r="A507" s="2">
        <v>26</v>
      </c>
      <c r="B507" s="2" t="s">
        <v>43</v>
      </c>
      <c r="C507" s="2" t="s">
        <v>36</v>
      </c>
      <c r="D507" s="2">
        <v>991</v>
      </c>
      <c r="E507" s="2" t="s">
        <v>45</v>
      </c>
      <c r="F507" s="2">
        <v>6</v>
      </c>
      <c r="G507" s="2">
        <v>3</v>
      </c>
      <c r="H507" s="2" t="s">
        <v>38</v>
      </c>
      <c r="I507" s="2">
        <v>1</v>
      </c>
      <c r="J507" s="2">
        <v>686</v>
      </c>
      <c r="K507" s="2">
        <v>3</v>
      </c>
      <c r="L507" s="2" t="s">
        <v>39</v>
      </c>
      <c r="M507" s="2">
        <v>71</v>
      </c>
      <c r="N507" s="2">
        <v>3</v>
      </c>
      <c r="O507" s="2">
        <v>1</v>
      </c>
      <c r="P507" s="2" t="s">
        <v>50</v>
      </c>
      <c r="Q507" s="2">
        <v>4</v>
      </c>
      <c r="R507" s="2" t="s">
        <v>48</v>
      </c>
      <c r="S507" s="2">
        <v>2659</v>
      </c>
      <c r="T507" s="2">
        <v>17759</v>
      </c>
      <c r="U507" s="2">
        <v>1</v>
      </c>
      <c r="V507" s="2" t="s">
        <v>42</v>
      </c>
      <c r="W507" s="2" t="s">
        <v>35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</row>
    <row r="508" spans="1:35" x14ac:dyDescent="0.25">
      <c r="A508" s="2">
        <v>37</v>
      </c>
      <c r="B508" s="2" t="s">
        <v>43</v>
      </c>
      <c r="C508" s="2" t="s">
        <v>36</v>
      </c>
      <c r="D508" s="2">
        <v>482</v>
      </c>
      <c r="E508" s="2" t="s">
        <v>45</v>
      </c>
      <c r="F508" s="2">
        <v>3</v>
      </c>
      <c r="G508" s="2">
        <v>3</v>
      </c>
      <c r="H508" s="2" t="s">
        <v>49</v>
      </c>
      <c r="I508" s="2">
        <v>1</v>
      </c>
      <c r="J508" s="2">
        <v>689</v>
      </c>
      <c r="K508" s="2">
        <v>3</v>
      </c>
      <c r="L508" s="2" t="s">
        <v>46</v>
      </c>
      <c r="M508" s="2">
        <v>36</v>
      </c>
      <c r="N508" s="2">
        <v>3</v>
      </c>
      <c r="O508" s="2">
        <v>3</v>
      </c>
      <c r="P508" s="2" t="s">
        <v>53</v>
      </c>
      <c r="Q508" s="2">
        <v>3</v>
      </c>
      <c r="R508" s="2" t="s">
        <v>48</v>
      </c>
      <c r="S508" s="2">
        <v>9434</v>
      </c>
      <c r="T508" s="2">
        <v>9606</v>
      </c>
      <c r="U508" s="2">
        <v>1</v>
      </c>
      <c r="V508" s="2" t="s">
        <v>42</v>
      </c>
      <c r="W508" s="2" t="s">
        <v>43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</row>
    <row r="509" spans="1:35" x14ac:dyDescent="0.25">
      <c r="A509" s="2">
        <v>29</v>
      </c>
      <c r="B509" s="2" t="s">
        <v>43</v>
      </c>
      <c r="C509" s="2" t="s">
        <v>36</v>
      </c>
      <c r="D509" s="2">
        <v>1176</v>
      </c>
      <c r="E509" s="2" t="s">
        <v>37</v>
      </c>
      <c r="F509" s="2">
        <v>3</v>
      </c>
      <c r="G509" s="2">
        <v>2</v>
      </c>
      <c r="H509" s="2" t="s">
        <v>51</v>
      </c>
      <c r="I509" s="2">
        <v>1</v>
      </c>
      <c r="J509" s="2">
        <v>690</v>
      </c>
      <c r="K509" s="2">
        <v>2</v>
      </c>
      <c r="L509" s="2" t="s">
        <v>39</v>
      </c>
      <c r="M509" s="2">
        <v>62</v>
      </c>
      <c r="N509" s="2">
        <v>3</v>
      </c>
      <c r="O509" s="2">
        <v>2</v>
      </c>
      <c r="P509" s="2" t="s">
        <v>40</v>
      </c>
      <c r="Q509" s="2">
        <v>3</v>
      </c>
      <c r="R509" s="2" t="s">
        <v>48</v>
      </c>
      <c r="S509" s="2">
        <v>5561</v>
      </c>
      <c r="T509" s="2">
        <v>3487</v>
      </c>
      <c r="U509" s="2">
        <v>1</v>
      </c>
      <c r="V509" s="2" t="s">
        <v>42</v>
      </c>
      <c r="W509" s="2" t="s">
        <v>43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</row>
    <row r="510" spans="1:35" x14ac:dyDescent="0.25">
      <c r="A510" s="2">
        <v>35</v>
      </c>
      <c r="B510" s="2" t="s">
        <v>43</v>
      </c>
      <c r="C510" s="2" t="s">
        <v>36</v>
      </c>
      <c r="D510" s="2">
        <v>1017</v>
      </c>
      <c r="E510" s="2" t="s">
        <v>45</v>
      </c>
      <c r="F510" s="2">
        <v>6</v>
      </c>
      <c r="G510" s="2">
        <v>4</v>
      </c>
      <c r="H510" s="2" t="s">
        <v>38</v>
      </c>
      <c r="I510" s="2">
        <v>1</v>
      </c>
      <c r="J510" s="2">
        <v>691</v>
      </c>
      <c r="K510" s="2">
        <v>2</v>
      </c>
      <c r="L510" s="2" t="s">
        <v>46</v>
      </c>
      <c r="M510" s="2">
        <v>82</v>
      </c>
      <c r="N510" s="2">
        <v>1</v>
      </c>
      <c r="O510" s="2">
        <v>2</v>
      </c>
      <c r="P510" s="2" t="s">
        <v>47</v>
      </c>
      <c r="Q510" s="2">
        <v>4</v>
      </c>
      <c r="R510" s="2" t="s">
        <v>41</v>
      </c>
      <c r="S510" s="2">
        <v>6646</v>
      </c>
      <c r="T510" s="2">
        <v>19368</v>
      </c>
      <c r="U510" s="2">
        <v>1</v>
      </c>
      <c r="V510" s="2" t="s">
        <v>42</v>
      </c>
      <c r="W510" s="2" t="s">
        <v>43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</row>
    <row r="511" spans="1:35" x14ac:dyDescent="0.25">
      <c r="A511" s="2">
        <v>33</v>
      </c>
      <c r="B511" s="2" t="s">
        <v>43</v>
      </c>
      <c r="C511" s="2" t="s">
        <v>44</v>
      </c>
      <c r="D511" s="2">
        <v>1296</v>
      </c>
      <c r="E511" s="2" t="s">
        <v>45</v>
      </c>
      <c r="F511" s="2">
        <v>6</v>
      </c>
      <c r="G511" s="2">
        <v>3</v>
      </c>
      <c r="H511" s="2" t="s">
        <v>38</v>
      </c>
      <c r="I511" s="2">
        <v>1</v>
      </c>
      <c r="J511" s="2">
        <v>692</v>
      </c>
      <c r="K511" s="2">
        <v>3</v>
      </c>
      <c r="L511" s="2" t="s">
        <v>46</v>
      </c>
      <c r="M511" s="2">
        <v>30</v>
      </c>
      <c r="N511" s="2">
        <v>3</v>
      </c>
      <c r="O511" s="2">
        <v>2</v>
      </c>
      <c r="P511" s="2" t="s">
        <v>54</v>
      </c>
      <c r="Q511" s="2">
        <v>4</v>
      </c>
      <c r="R511" s="2" t="s">
        <v>52</v>
      </c>
      <c r="S511" s="2">
        <v>7725</v>
      </c>
      <c r="T511" s="2">
        <v>5335</v>
      </c>
      <c r="U511" s="2">
        <v>3</v>
      </c>
      <c r="V511" s="2" t="s">
        <v>42</v>
      </c>
      <c r="W511" s="2" t="s">
        <v>43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</row>
    <row r="512" spans="1:35" x14ac:dyDescent="0.25">
      <c r="A512" s="2">
        <v>54</v>
      </c>
      <c r="B512" s="2" t="s">
        <v>43</v>
      </c>
      <c r="C512" s="2" t="s">
        <v>36</v>
      </c>
      <c r="D512" s="2">
        <v>397</v>
      </c>
      <c r="E512" s="2" t="s">
        <v>61</v>
      </c>
      <c r="F512" s="2">
        <v>19</v>
      </c>
      <c r="G512" s="2">
        <v>4</v>
      </c>
      <c r="H512" s="2" t="s">
        <v>51</v>
      </c>
      <c r="I512" s="2">
        <v>1</v>
      </c>
      <c r="J512" s="2">
        <v>698</v>
      </c>
      <c r="K512" s="2">
        <v>3</v>
      </c>
      <c r="L512" s="2" t="s">
        <v>46</v>
      </c>
      <c r="M512" s="2">
        <v>88</v>
      </c>
      <c r="N512" s="2">
        <v>3</v>
      </c>
      <c r="O512" s="2">
        <v>3</v>
      </c>
      <c r="P512" s="2" t="s">
        <v>61</v>
      </c>
      <c r="Q512" s="2">
        <v>2</v>
      </c>
      <c r="R512" s="2" t="s">
        <v>48</v>
      </c>
      <c r="S512" s="2">
        <v>10725</v>
      </c>
      <c r="T512" s="2">
        <v>6729</v>
      </c>
      <c r="U512" s="2">
        <v>2</v>
      </c>
      <c r="V512" s="2" t="s">
        <v>42</v>
      </c>
      <c r="W512" s="2" t="s">
        <v>43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</row>
    <row r="513" spans="1:35" x14ac:dyDescent="0.25">
      <c r="A513" s="2">
        <v>36</v>
      </c>
      <c r="B513" s="2" t="s">
        <v>43</v>
      </c>
      <c r="C513" s="2" t="s">
        <v>36</v>
      </c>
      <c r="D513" s="2">
        <v>913</v>
      </c>
      <c r="E513" s="2" t="s">
        <v>45</v>
      </c>
      <c r="F513" s="2">
        <v>9</v>
      </c>
      <c r="G513" s="2">
        <v>2</v>
      </c>
      <c r="H513" s="2" t="s">
        <v>51</v>
      </c>
      <c r="I513" s="2">
        <v>1</v>
      </c>
      <c r="J513" s="2">
        <v>699</v>
      </c>
      <c r="K513" s="2">
        <v>2</v>
      </c>
      <c r="L513" s="2" t="s">
        <v>46</v>
      </c>
      <c r="M513" s="2">
        <v>48</v>
      </c>
      <c r="N513" s="2">
        <v>2</v>
      </c>
      <c r="O513" s="2">
        <v>2</v>
      </c>
      <c r="P513" s="2" t="s">
        <v>53</v>
      </c>
      <c r="Q513" s="2">
        <v>2</v>
      </c>
      <c r="R513" s="2" t="s">
        <v>52</v>
      </c>
      <c r="S513" s="2">
        <v>8847</v>
      </c>
      <c r="T513" s="2">
        <v>13934</v>
      </c>
      <c r="U513" s="2">
        <v>2</v>
      </c>
      <c r="V513" s="2" t="s">
        <v>42</v>
      </c>
      <c r="W513" s="2" t="s">
        <v>35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</row>
    <row r="514" spans="1:35" x14ac:dyDescent="0.25">
      <c r="A514" s="2">
        <v>27</v>
      </c>
      <c r="B514" s="2" t="s">
        <v>43</v>
      </c>
      <c r="C514" s="2" t="s">
        <v>36</v>
      </c>
      <c r="D514" s="2">
        <v>1115</v>
      </c>
      <c r="E514" s="2" t="s">
        <v>45</v>
      </c>
      <c r="F514" s="2">
        <v>3</v>
      </c>
      <c r="G514" s="2">
        <v>4</v>
      </c>
      <c r="H514" s="2" t="s">
        <v>51</v>
      </c>
      <c r="I514" s="2">
        <v>1</v>
      </c>
      <c r="J514" s="2">
        <v>700</v>
      </c>
      <c r="K514" s="2">
        <v>1</v>
      </c>
      <c r="L514" s="2" t="s">
        <v>46</v>
      </c>
      <c r="M514" s="2">
        <v>54</v>
      </c>
      <c r="N514" s="2">
        <v>2</v>
      </c>
      <c r="O514" s="2">
        <v>1</v>
      </c>
      <c r="P514" s="2" t="s">
        <v>47</v>
      </c>
      <c r="Q514" s="2">
        <v>4</v>
      </c>
      <c r="R514" s="2" t="s">
        <v>41</v>
      </c>
      <c r="S514" s="2">
        <v>2045</v>
      </c>
      <c r="T514" s="2">
        <v>15174</v>
      </c>
      <c r="U514" s="2">
        <v>0</v>
      </c>
      <c r="V514" s="2" t="s">
        <v>42</v>
      </c>
      <c r="W514" s="2" t="s">
        <v>43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</row>
    <row r="515" spans="1:35" x14ac:dyDescent="0.25">
      <c r="A515" s="2">
        <v>20</v>
      </c>
      <c r="B515" s="2" t="s">
        <v>35</v>
      </c>
      <c r="C515" s="2" t="s">
        <v>36</v>
      </c>
      <c r="D515" s="2">
        <v>1362</v>
      </c>
      <c r="E515" s="2" t="s">
        <v>45</v>
      </c>
      <c r="F515" s="2">
        <v>10</v>
      </c>
      <c r="G515" s="2">
        <v>1</v>
      </c>
      <c r="H515" s="2" t="s">
        <v>51</v>
      </c>
      <c r="I515" s="2">
        <v>1</v>
      </c>
      <c r="J515" s="2">
        <v>701</v>
      </c>
      <c r="K515" s="2">
        <v>4</v>
      </c>
      <c r="L515" s="2" t="s">
        <v>46</v>
      </c>
      <c r="M515" s="2">
        <v>32</v>
      </c>
      <c r="N515" s="2">
        <v>3</v>
      </c>
      <c r="O515" s="2">
        <v>1</v>
      </c>
      <c r="P515" s="2" t="s">
        <v>47</v>
      </c>
      <c r="Q515" s="2">
        <v>3</v>
      </c>
      <c r="R515" s="2" t="s">
        <v>41</v>
      </c>
      <c r="S515" s="2">
        <v>1009</v>
      </c>
      <c r="T515" s="2">
        <v>26999</v>
      </c>
      <c r="U515" s="2">
        <v>1</v>
      </c>
      <c r="V515" s="2" t="s">
        <v>42</v>
      </c>
      <c r="W515" s="2" t="s">
        <v>35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</row>
    <row r="516" spans="1:35" x14ac:dyDescent="0.25">
      <c r="A516" s="2">
        <v>33</v>
      </c>
      <c r="B516" s="2" t="s">
        <v>35</v>
      </c>
      <c r="C516" s="2" t="s">
        <v>44</v>
      </c>
      <c r="D516" s="2">
        <v>1076</v>
      </c>
      <c r="E516" s="2" t="s">
        <v>45</v>
      </c>
      <c r="F516" s="2">
        <v>3</v>
      </c>
      <c r="G516" s="2">
        <v>3</v>
      </c>
      <c r="H516" s="2" t="s">
        <v>38</v>
      </c>
      <c r="I516" s="2">
        <v>1</v>
      </c>
      <c r="J516" s="2">
        <v>702</v>
      </c>
      <c r="K516" s="2">
        <v>1</v>
      </c>
      <c r="L516" s="2" t="s">
        <v>46</v>
      </c>
      <c r="M516" s="2">
        <v>70</v>
      </c>
      <c r="N516" s="2">
        <v>3</v>
      </c>
      <c r="O516" s="2">
        <v>1</v>
      </c>
      <c r="P516" s="2" t="s">
        <v>47</v>
      </c>
      <c r="Q516" s="2">
        <v>1</v>
      </c>
      <c r="R516" s="2" t="s">
        <v>41</v>
      </c>
      <c r="S516" s="2">
        <v>3348</v>
      </c>
      <c r="T516" s="2">
        <v>3164</v>
      </c>
      <c r="U516" s="2">
        <v>1</v>
      </c>
      <c r="V516" s="2" t="s">
        <v>42</v>
      </c>
      <c r="W516" s="2" t="s">
        <v>35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</row>
    <row r="517" spans="1:35" x14ac:dyDescent="0.25">
      <c r="A517" s="2">
        <v>35</v>
      </c>
      <c r="B517" s="2" t="s">
        <v>43</v>
      </c>
      <c r="C517" s="2" t="s">
        <v>55</v>
      </c>
      <c r="D517" s="2">
        <v>727</v>
      </c>
      <c r="E517" s="2" t="s">
        <v>45</v>
      </c>
      <c r="F517" s="2">
        <v>3</v>
      </c>
      <c r="G517" s="2">
        <v>3</v>
      </c>
      <c r="H517" s="2" t="s">
        <v>38</v>
      </c>
      <c r="I517" s="2">
        <v>1</v>
      </c>
      <c r="J517" s="2">
        <v>704</v>
      </c>
      <c r="K517" s="2">
        <v>3</v>
      </c>
      <c r="L517" s="2" t="s">
        <v>46</v>
      </c>
      <c r="M517" s="2">
        <v>41</v>
      </c>
      <c r="N517" s="2">
        <v>2</v>
      </c>
      <c r="O517" s="2">
        <v>1</v>
      </c>
      <c r="P517" s="2" t="s">
        <v>50</v>
      </c>
      <c r="Q517" s="2">
        <v>3</v>
      </c>
      <c r="R517" s="2" t="s">
        <v>48</v>
      </c>
      <c r="S517" s="2">
        <v>1281</v>
      </c>
      <c r="T517" s="2">
        <v>16900</v>
      </c>
      <c r="U517" s="2">
        <v>1</v>
      </c>
      <c r="V517" s="2" t="s">
        <v>42</v>
      </c>
      <c r="W517" s="2" t="s">
        <v>43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</row>
    <row r="518" spans="1:35" x14ac:dyDescent="0.25">
      <c r="A518" s="2">
        <v>23</v>
      </c>
      <c r="B518" s="2" t="s">
        <v>43</v>
      </c>
      <c r="C518" s="2" t="s">
        <v>36</v>
      </c>
      <c r="D518" s="2">
        <v>885</v>
      </c>
      <c r="E518" s="2" t="s">
        <v>45</v>
      </c>
      <c r="F518" s="2">
        <v>4</v>
      </c>
      <c r="G518" s="2">
        <v>3</v>
      </c>
      <c r="H518" s="2" t="s">
        <v>51</v>
      </c>
      <c r="I518" s="2">
        <v>1</v>
      </c>
      <c r="J518" s="2">
        <v>705</v>
      </c>
      <c r="K518" s="2">
        <v>1</v>
      </c>
      <c r="L518" s="2" t="s">
        <v>46</v>
      </c>
      <c r="M518" s="2">
        <v>58</v>
      </c>
      <c r="N518" s="2">
        <v>4</v>
      </c>
      <c r="O518" s="2">
        <v>1</v>
      </c>
      <c r="P518" s="2" t="s">
        <v>47</v>
      </c>
      <c r="Q518" s="2">
        <v>1</v>
      </c>
      <c r="R518" s="2" t="s">
        <v>48</v>
      </c>
      <c r="S518" s="2">
        <v>2819</v>
      </c>
      <c r="T518" s="2">
        <v>8544</v>
      </c>
      <c r="U518" s="2">
        <v>2</v>
      </c>
      <c r="V518" s="2" t="s">
        <v>42</v>
      </c>
      <c r="W518" s="2" t="s">
        <v>43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</row>
    <row r="519" spans="1:35" x14ac:dyDescent="0.25">
      <c r="A519" s="2">
        <v>25</v>
      </c>
      <c r="B519" s="2" t="s">
        <v>43</v>
      </c>
      <c r="C519" s="2" t="s">
        <v>36</v>
      </c>
      <c r="D519" s="2">
        <v>810</v>
      </c>
      <c r="E519" s="2" t="s">
        <v>37</v>
      </c>
      <c r="F519" s="2">
        <v>8</v>
      </c>
      <c r="G519" s="2">
        <v>3</v>
      </c>
      <c r="H519" s="2" t="s">
        <v>38</v>
      </c>
      <c r="I519" s="2">
        <v>1</v>
      </c>
      <c r="J519" s="2">
        <v>707</v>
      </c>
      <c r="K519" s="2">
        <v>4</v>
      </c>
      <c r="L519" s="2" t="s">
        <v>46</v>
      </c>
      <c r="M519" s="2">
        <v>57</v>
      </c>
      <c r="N519" s="2">
        <v>4</v>
      </c>
      <c r="O519" s="2">
        <v>2</v>
      </c>
      <c r="P519" s="2" t="s">
        <v>40</v>
      </c>
      <c r="Q519" s="2">
        <v>2</v>
      </c>
      <c r="R519" s="2" t="s">
        <v>48</v>
      </c>
      <c r="S519" s="2">
        <v>4851</v>
      </c>
      <c r="T519" s="2">
        <v>15678</v>
      </c>
      <c r="U519" s="2">
        <v>0</v>
      </c>
      <c r="V519" s="2" t="s">
        <v>42</v>
      </c>
      <c r="W519" s="2" t="s">
        <v>43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</row>
    <row r="520" spans="1:35" x14ac:dyDescent="0.25">
      <c r="A520" s="2">
        <v>38</v>
      </c>
      <c r="B520" s="2" t="s">
        <v>43</v>
      </c>
      <c r="C520" s="2" t="s">
        <v>36</v>
      </c>
      <c r="D520" s="2">
        <v>243</v>
      </c>
      <c r="E520" s="2" t="s">
        <v>37</v>
      </c>
      <c r="F520" s="2">
        <v>7</v>
      </c>
      <c r="G520" s="2">
        <v>4</v>
      </c>
      <c r="H520" s="2" t="s">
        <v>59</v>
      </c>
      <c r="I520" s="2">
        <v>1</v>
      </c>
      <c r="J520" s="2">
        <v>709</v>
      </c>
      <c r="K520" s="2">
        <v>4</v>
      </c>
      <c r="L520" s="2" t="s">
        <v>39</v>
      </c>
      <c r="M520" s="2">
        <v>46</v>
      </c>
      <c r="N520" s="2">
        <v>2</v>
      </c>
      <c r="O520" s="2">
        <v>2</v>
      </c>
      <c r="P520" s="2" t="s">
        <v>40</v>
      </c>
      <c r="Q520" s="2">
        <v>4</v>
      </c>
      <c r="R520" s="2" t="s">
        <v>41</v>
      </c>
      <c r="S520" s="2">
        <v>4028</v>
      </c>
      <c r="T520" s="2">
        <v>7791</v>
      </c>
      <c r="U520" s="2">
        <v>0</v>
      </c>
      <c r="V520" s="2" t="s">
        <v>42</v>
      </c>
      <c r="W520" s="2" t="s">
        <v>43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</row>
    <row r="521" spans="1:35" x14ac:dyDescent="0.25">
      <c r="A521" s="2">
        <v>29</v>
      </c>
      <c r="B521" s="2" t="s">
        <v>43</v>
      </c>
      <c r="C521" s="2" t="s">
        <v>44</v>
      </c>
      <c r="D521" s="2">
        <v>806</v>
      </c>
      <c r="E521" s="2" t="s">
        <v>45</v>
      </c>
      <c r="F521" s="2">
        <v>1</v>
      </c>
      <c r="G521" s="2">
        <v>4</v>
      </c>
      <c r="H521" s="2" t="s">
        <v>38</v>
      </c>
      <c r="I521" s="2">
        <v>1</v>
      </c>
      <c r="J521" s="2">
        <v>710</v>
      </c>
      <c r="K521" s="2">
        <v>2</v>
      </c>
      <c r="L521" s="2" t="s">
        <v>46</v>
      </c>
      <c r="M521" s="2">
        <v>76</v>
      </c>
      <c r="N521" s="2">
        <v>1</v>
      </c>
      <c r="O521" s="2">
        <v>1</v>
      </c>
      <c r="P521" s="2" t="s">
        <v>47</v>
      </c>
      <c r="Q521" s="2">
        <v>4</v>
      </c>
      <c r="R521" s="2" t="s">
        <v>52</v>
      </c>
      <c r="S521" s="2">
        <v>2720</v>
      </c>
      <c r="T521" s="2">
        <v>18959</v>
      </c>
      <c r="U521" s="2">
        <v>1</v>
      </c>
      <c r="V521" s="2" t="s">
        <v>42</v>
      </c>
      <c r="W521" s="2" t="s">
        <v>43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</row>
    <row r="522" spans="1:35" x14ac:dyDescent="0.25">
      <c r="A522" s="2">
        <v>48</v>
      </c>
      <c r="B522" s="2" t="s">
        <v>43</v>
      </c>
      <c r="C522" s="2" t="s">
        <v>36</v>
      </c>
      <c r="D522" s="2">
        <v>817</v>
      </c>
      <c r="E522" s="2" t="s">
        <v>37</v>
      </c>
      <c r="F522" s="2">
        <v>2</v>
      </c>
      <c r="G522" s="2">
        <v>1</v>
      </c>
      <c r="H522" s="2" t="s">
        <v>59</v>
      </c>
      <c r="I522" s="2">
        <v>1</v>
      </c>
      <c r="J522" s="2">
        <v>712</v>
      </c>
      <c r="K522" s="2">
        <v>2</v>
      </c>
      <c r="L522" s="2" t="s">
        <v>46</v>
      </c>
      <c r="M522" s="2">
        <v>56</v>
      </c>
      <c r="N522" s="2">
        <v>4</v>
      </c>
      <c r="O522" s="2">
        <v>2</v>
      </c>
      <c r="P522" s="2" t="s">
        <v>40</v>
      </c>
      <c r="Q522" s="2">
        <v>2</v>
      </c>
      <c r="R522" s="2" t="s">
        <v>48</v>
      </c>
      <c r="S522" s="2">
        <v>8120</v>
      </c>
      <c r="T522" s="2">
        <v>18597</v>
      </c>
      <c r="U522" s="2">
        <v>3</v>
      </c>
      <c r="V522" s="2" t="s">
        <v>42</v>
      </c>
      <c r="W522" s="2" t="s">
        <v>43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</row>
    <row r="523" spans="1:35" x14ac:dyDescent="0.25">
      <c r="A523" s="2">
        <v>27</v>
      </c>
      <c r="B523" s="2" t="s">
        <v>43</v>
      </c>
      <c r="C523" s="2" t="s">
        <v>44</v>
      </c>
      <c r="D523" s="2">
        <v>1410</v>
      </c>
      <c r="E523" s="2" t="s">
        <v>37</v>
      </c>
      <c r="F523" s="2">
        <v>3</v>
      </c>
      <c r="G523" s="2">
        <v>1</v>
      </c>
      <c r="H523" s="2" t="s">
        <v>51</v>
      </c>
      <c r="I523" s="2">
        <v>1</v>
      </c>
      <c r="J523" s="2">
        <v>714</v>
      </c>
      <c r="K523" s="2">
        <v>4</v>
      </c>
      <c r="L523" s="2" t="s">
        <v>39</v>
      </c>
      <c r="M523" s="2">
        <v>71</v>
      </c>
      <c r="N523" s="2">
        <v>4</v>
      </c>
      <c r="O523" s="2">
        <v>2</v>
      </c>
      <c r="P523" s="2" t="s">
        <v>40</v>
      </c>
      <c r="Q523" s="2">
        <v>4</v>
      </c>
      <c r="R523" s="2" t="s">
        <v>52</v>
      </c>
      <c r="S523" s="2">
        <v>4647</v>
      </c>
      <c r="T523" s="2">
        <v>16673</v>
      </c>
      <c r="U523" s="2">
        <v>1</v>
      </c>
      <c r="V523" s="2" t="s">
        <v>42</v>
      </c>
      <c r="W523" s="2" t="s">
        <v>35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</row>
    <row r="524" spans="1:35" x14ac:dyDescent="0.25">
      <c r="A524" s="2">
        <v>37</v>
      </c>
      <c r="B524" s="2" t="s">
        <v>43</v>
      </c>
      <c r="C524" s="2" t="s">
        <v>36</v>
      </c>
      <c r="D524" s="2">
        <v>1225</v>
      </c>
      <c r="E524" s="2" t="s">
        <v>45</v>
      </c>
      <c r="F524" s="2">
        <v>10</v>
      </c>
      <c r="G524" s="2">
        <v>2</v>
      </c>
      <c r="H524" s="2" t="s">
        <v>38</v>
      </c>
      <c r="I524" s="2">
        <v>1</v>
      </c>
      <c r="J524" s="2">
        <v>715</v>
      </c>
      <c r="K524" s="2">
        <v>4</v>
      </c>
      <c r="L524" s="2" t="s">
        <v>46</v>
      </c>
      <c r="M524" s="2">
        <v>80</v>
      </c>
      <c r="N524" s="2">
        <v>4</v>
      </c>
      <c r="O524" s="2">
        <v>1</v>
      </c>
      <c r="P524" s="2" t="s">
        <v>47</v>
      </c>
      <c r="Q524" s="2">
        <v>4</v>
      </c>
      <c r="R524" s="2" t="s">
        <v>41</v>
      </c>
      <c r="S524" s="2">
        <v>4680</v>
      </c>
      <c r="T524" s="2">
        <v>15232</v>
      </c>
      <c r="U524" s="2">
        <v>3</v>
      </c>
      <c r="V524" s="2" t="s">
        <v>42</v>
      </c>
      <c r="W524" s="2" t="s">
        <v>43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</row>
    <row r="525" spans="1:35" x14ac:dyDescent="0.25">
      <c r="A525" s="2">
        <v>50</v>
      </c>
      <c r="B525" s="2" t="s">
        <v>43</v>
      </c>
      <c r="C525" s="2" t="s">
        <v>36</v>
      </c>
      <c r="D525" s="2">
        <v>1207</v>
      </c>
      <c r="E525" s="2" t="s">
        <v>45</v>
      </c>
      <c r="F525" s="2">
        <v>28</v>
      </c>
      <c r="G525" s="2">
        <v>1</v>
      </c>
      <c r="H525" s="2" t="s">
        <v>51</v>
      </c>
      <c r="I525" s="2">
        <v>1</v>
      </c>
      <c r="J525" s="2">
        <v>716</v>
      </c>
      <c r="K525" s="2">
        <v>4</v>
      </c>
      <c r="L525" s="2" t="s">
        <v>46</v>
      </c>
      <c r="M525" s="2">
        <v>74</v>
      </c>
      <c r="N525" s="2">
        <v>4</v>
      </c>
      <c r="O525" s="2">
        <v>1</v>
      </c>
      <c r="P525" s="2" t="s">
        <v>50</v>
      </c>
      <c r="Q525" s="2">
        <v>3</v>
      </c>
      <c r="R525" s="2" t="s">
        <v>48</v>
      </c>
      <c r="S525" s="2">
        <v>3221</v>
      </c>
      <c r="T525" s="2">
        <v>3297</v>
      </c>
      <c r="U525" s="2">
        <v>1</v>
      </c>
      <c r="V525" s="2" t="s">
        <v>42</v>
      </c>
      <c r="W525" s="2" t="s">
        <v>35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</row>
    <row r="526" spans="1:35" x14ac:dyDescent="0.25">
      <c r="A526" s="2">
        <v>34</v>
      </c>
      <c r="B526" s="2" t="s">
        <v>43</v>
      </c>
      <c r="C526" s="2" t="s">
        <v>36</v>
      </c>
      <c r="D526" s="2">
        <v>1442</v>
      </c>
      <c r="E526" s="2" t="s">
        <v>45</v>
      </c>
      <c r="F526" s="2">
        <v>9</v>
      </c>
      <c r="G526" s="2">
        <v>3</v>
      </c>
      <c r="H526" s="2" t="s">
        <v>51</v>
      </c>
      <c r="I526" s="2">
        <v>1</v>
      </c>
      <c r="J526" s="2">
        <v>717</v>
      </c>
      <c r="K526" s="2">
        <v>4</v>
      </c>
      <c r="L526" s="2" t="s">
        <v>39</v>
      </c>
      <c r="M526" s="2">
        <v>46</v>
      </c>
      <c r="N526" s="2">
        <v>2</v>
      </c>
      <c r="O526" s="2">
        <v>3</v>
      </c>
      <c r="P526" s="2" t="s">
        <v>54</v>
      </c>
      <c r="Q526" s="2">
        <v>2</v>
      </c>
      <c r="R526" s="2" t="s">
        <v>41</v>
      </c>
      <c r="S526" s="2">
        <v>8621</v>
      </c>
      <c r="T526" s="2">
        <v>17654</v>
      </c>
      <c r="U526" s="2">
        <v>1</v>
      </c>
      <c r="V526" s="2" t="s">
        <v>42</v>
      </c>
      <c r="W526" s="2" t="s">
        <v>43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</row>
    <row r="527" spans="1:35" x14ac:dyDescent="0.25">
      <c r="A527" s="2">
        <v>24</v>
      </c>
      <c r="B527" s="2" t="s">
        <v>35</v>
      </c>
      <c r="C527" s="2" t="s">
        <v>36</v>
      </c>
      <c r="D527" s="2">
        <v>693</v>
      </c>
      <c r="E527" s="2" t="s">
        <v>37</v>
      </c>
      <c r="F527" s="2">
        <v>3</v>
      </c>
      <c r="G527" s="2">
        <v>2</v>
      </c>
      <c r="H527" s="2" t="s">
        <v>38</v>
      </c>
      <c r="I527" s="2">
        <v>1</v>
      </c>
      <c r="J527" s="2">
        <v>720</v>
      </c>
      <c r="K527" s="2">
        <v>1</v>
      </c>
      <c r="L527" s="2" t="s">
        <v>39</v>
      </c>
      <c r="M527" s="2">
        <v>65</v>
      </c>
      <c r="N527" s="2">
        <v>3</v>
      </c>
      <c r="O527" s="2">
        <v>2</v>
      </c>
      <c r="P527" s="2" t="s">
        <v>40</v>
      </c>
      <c r="Q527" s="2">
        <v>3</v>
      </c>
      <c r="R527" s="2" t="s">
        <v>41</v>
      </c>
      <c r="S527" s="2">
        <v>4577</v>
      </c>
      <c r="T527" s="2">
        <v>24785</v>
      </c>
      <c r="U527" s="2">
        <v>9</v>
      </c>
      <c r="V527" s="2" t="s">
        <v>42</v>
      </c>
      <c r="W527" s="2" t="s">
        <v>43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</row>
    <row r="528" spans="1:35" x14ac:dyDescent="0.25">
      <c r="A528" s="2">
        <v>39</v>
      </c>
      <c r="B528" s="2" t="s">
        <v>43</v>
      </c>
      <c r="C528" s="2" t="s">
        <v>36</v>
      </c>
      <c r="D528" s="2">
        <v>408</v>
      </c>
      <c r="E528" s="2" t="s">
        <v>45</v>
      </c>
      <c r="F528" s="2">
        <v>2</v>
      </c>
      <c r="G528" s="2">
        <v>4</v>
      </c>
      <c r="H528" s="2" t="s">
        <v>60</v>
      </c>
      <c r="I528" s="2">
        <v>1</v>
      </c>
      <c r="J528" s="2">
        <v>721</v>
      </c>
      <c r="K528" s="2">
        <v>4</v>
      </c>
      <c r="L528" s="2" t="s">
        <v>39</v>
      </c>
      <c r="M528" s="2">
        <v>80</v>
      </c>
      <c r="N528" s="2">
        <v>2</v>
      </c>
      <c r="O528" s="2">
        <v>2</v>
      </c>
      <c r="P528" s="2" t="s">
        <v>54</v>
      </c>
      <c r="Q528" s="2">
        <v>3</v>
      </c>
      <c r="R528" s="2" t="s">
        <v>41</v>
      </c>
      <c r="S528" s="2">
        <v>4553</v>
      </c>
      <c r="T528" s="2">
        <v>20978</v>
      </c>
      <c r="U528" s="2">
        <v>1</v>
      </c>
      <c r="V528" s="2" t="s">
        <v>42</v>
      </c>
      <c r="W528" s="2" t="s">
        <v>43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</row>
    <row r="529" spans="1:35" x14ac:dyDescent="0.25">
      <c r="A529" s="2">
        <v>32</v>
      </c>
      <c r="B529" s="2" t="s">
        <v>43</v>
      </c>
      <c r="C529" s="2" t="s">
        <v>36</v>
      </c>
      <c r="D529" s="2">
        <v>929</v>
      </c>
      <c r="E529" s="2" t="s">
        <v>37</v>
      </c>
      <c r="F529" s="2">
        <v>10</v>
      </c>
      <c r="G529" s="2">
        <v>3</v>
      </c>
      <c r="H529" s="2" t="s">
        <v>59</v>
      </c>
      <c r="I529" s="2">
        <v>1</v>
      </c>
      <c r="J529" s="2">
        <v>722</v>
      </c>
      <c r="K529" s="2">
        <v>4</v>
      </c>
      <c r="L529" s="2" t="s">
        <v>46</v>
      </c>
      <c r="M529" s="2">
        <v>55</v>
      </c>
      <c r="N529" s="2">
        <v>3</v>
      </c>
      <c r="O529" s="2">
        <v>2</v>
      </c>
      <c r="P529" s="2" t="s">
        <v>40</v>
      </c>
      <c r="Q529" s="2">
        <v>4</v>
      </c>
      <c r="R529" s="2" t="s">
        <v>41</v>
      </c>
      <c r="S529" s="2">
        <v>5396</v>
      </c>
      <c r="T529" s="2">
        <v>21703</v>
      </c>
      <c r="U529" s="2">
        <v>1</v>
      </c>
      <c r="V529" s="2" t="s">
        <v>42</v>
      </c>
      <c r="W529" s="2" t="s">
        <v>43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</row>
    <row r="530" spans="1:35" x14ac:dyDescent="0.25">
      <c r="A530" s="2">
        <v>50</v>
      </c>
      <c r="B530" s="2" t="s">
        <v>35</v>
      </c>
      <c r="C530" s="2" t="s">
        <v>44</v>
      </c>
      <c r="D530" s="2">
        <v>562</v>
      </c>
      <c r="E530" s="2" t="s">
        <v>37</v>
      </c>
      <c r="F530" s="2">
        <v>8</v>
      </c>
      <c r="G530" s="2">
        <v>2</v>
      </c>
      <c r="H530" s="2" t="s">
        <v>60</v>
      </c>
      <c r="I530" s="2">
        <v>1</v>
      </c>
      <c r="J530" s="2">
        <v>723</v>
      </c>
      <c r="K530" s="2">
        <v>2</v>
      </c>
      <c r="L530" s="2" t="s">
        <v>46</v>
      </c>
      <c r="M530" s="2">
        <v>50</v>
      </c>
      <c r="N530" s="2">
        <v>3</v>
      </c>
      <c r="O530" s="2">
        <v>2</v>
      </c>
      <c r="P530" s="2" t="s">
        <v>40</v>
      </c>
      <c r="Q530" s="2">
        <v>3</v>
      </c>
      <c r="R530" s="2" t="s">
        <v>48</v>
      </c>
      <c r="S530" s="2">
        <v>6796</v>
      </c>
      <c r="T530" s="2">
        <v>23452</v>
      </c>
      <c r="U530" s="2">
        <v>3</v>
      </c>
      <c r="V530" s="2" t="s">
        <v>42</v>
      </c>
      <c r="W530" s="2" t="s">
        <v>35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</row>
    <row r="531" spans="1:35" x14ac:dyDescent="0.25">
      <c r="A531" s="2">
        <v>38</v>
      </c>
      <c r="B531" s="2" t="s">
        <v>43</v>
      </c>
      <c r="C531" s="2" t="s">
        <v>36</v>
      </c>
      <c r="D531" s="2">
        <v>827</v>
      </c>
      <c r="E531" s="2" t="s">
        <v>45</v>
      </c>
      <c r="F531" s="2">
        <v>1</v>
      </c>
      <c r="G531" s="2">
        <v>4</v>
      </c>
      <c r="H531" s="2" t="s">
        <v>38</v>
      </c>
      <c r="I531" s="2">
        <v>1</v>
      </c>
      <c r="J531" s="2">
        <v>724</v>
      </c>
      <c r="K531" s="2">
        <v>2</v>
      </c>
      <c r="L531" s="2" t="s">
        <v>39</v>
      </c>
      <c r="M531" s="2">
        <v>33</v>
      </c>
      <c r="N531" s="2">
        <v>4</v>
      </c>
      <c r="O531" s="2">
        <v>2</v>
      </c>
      <c r="P531" s="2" t="s">
        <v>54</v>
      </c>
      <c r="Q531" s="2">
        <v>4</v>
      </c>
      <c r="R531" s="2" t="s">
        <v>41</v>
      </c>
      <c r="S531" s="2">
        <v>7625</v>
      </c>
      <c r="T531" s="2">
        <v>19383</v>
      </c>
      <c r="U531" s="2">
        <v>0</v>
      </c>
      <c r="V531" s="2" t="s">
        <v>42</v>
      </c>
      <c r="W531" s="2" t="s">
        <v>43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</row>
    <row r="532" spans="1:35" x14ac:dyDescent="0.25">
      <c r="A532" s="2">
        <v>27</v>
      </c>
      <c r="B532" s="2" t="s">
        <v>43</v>
      </c>
      <c r="C532" s="2" t="s">
        <v>36</v>
      </c>
      <c r="D532" s="2">
        <v>608</v>
      </c>
      <c r="E532" s="2" t="s">
        <v>45</v>
      </c>
      <c r="F532" s="2">
        <v>1</v>
      </c>
      <c r="G532" s="2">
        <v>2</v>
      </c>
      <c r="H532" s="2" t="s">
        <v>38</v>
      </c>
      <c r="I532" s="2">
        <v>1</v>
      </c>
      <c r="J532" s="2">
        <v>725</v>
      </c>
      <c r="K532" s="2">
        <v>3</v>
      </c>
      <c r="L532" s="2" t="s">
        <v>39</v>
      </c>
      <c r="M532" s="2">
        <v>68</v>
      </c>
      <c r="N532" s="2">
        <v>3</v>
      </c>
      <c r="O532" s="2">
        <v>3</v>
      </c>
      <c r="P532" s="2" t="s">
        <v>53</v>
      </c>
      <c r="Q532" s="2">
        <v>1</v>
      </c>
      <c r="R532" s="2" t="s">
        <v>48</v>
      </c>
      <c r="S532" s="2">
        <v>7412</v>
      </c>
      <c r="T532" s="2">
        <v>6009</v>
      </c>
      <c r="U532" s="2">
        <v>1</v>
      </c>
      <c r="V532" s="2" t="s">
        <v>42</v>
      </c>
      <c r="W532" s="2" t="s">
        <v>43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</row>
    <row r="533" spans="1:35" x14ac:dyDescent="0.25">
      <c r="A533" s="2">
        <v>32</v>
      </c>
      <c r="B533" s="2" t="s">
        <v>43</v>
      </c>
      <c r="C533" s="2" t="s">
        <v>36</v>
      </c>
      <c r="D533" s="2">
        <v>1018</v>
      </c>
      <c r="E533" s="2" t="s">
        <v>45</v>
      </c>
      <c r="F533" s="2">
        <v>3</v>
      </c>
      <c r="G533" s="2">
        <v>2</v>
      </c>
      <c r="H533" s="2" t="s">
        <v>38</v>
      </c>
      <c r="I533" s="2">
        <v>1</v>
      </c>
      <c r="J533" s="2">
        <v>727</v>
      </c>
      <c r="K533" s="2">
        <v>3</v>
      </c>
      <c r="L533" s="2" t="s">
        <v>39</v>
      </c>
      <c r="M533" s="2">
        <v>39</v>
      </c>
      <c r="N533" s="2">
        <v>3</v>
      </c>
      <c r="O533" s="2">
        <v>3</v>
      </c>
      <c r="P533" s="2" t="s">
        <v>58</v>
      </c>
      <c r="Q533" s="2">
        <v>4</v>
      </c>
      <c r="R533" s="2" t="s">
        <v>41</v>
      </c>
      <c r="S533" s="2">
        <v>11159</v>
      </c>
      <c r="T533" s="2">
        <v>19373</v>
      </c>
      <c r="U533" s="2">
        <v>3</v>
      </c>
      <c r="V533" s="2" t="s">
        <v>42</v>
      </c>
      <c r="W533" s="2" t="s">
        <v>43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</row>
    <row r="534" spans="1:35" x14ac:dyDescent="0.25">
      <c r="A534" s="2">
        <v>47</v>
      </c>
      <c r="B534" s="2" t="s">
        <v>43</v>
      </c>
      <c r="C534" s="2" t="s">
        <v>36</v>
      </c>
      <c r="D534" s="2">
        <v>703</v>
      </c>
      <c r="E534" s="2" t="s">
        <v>37</v>
      </c>
      <c r="F534" s="2">
        <v>14</v>
      </c>
      <c r="G534" s="2">
        <v>4</v>
      </c>
      <c r="H534" s="2" t="s">
        <v>59</v>
      </c>
      <c r="I534" s="2">
        <v>1</v>
      </c>
      <c r="J534" s="2">
        <v>728</v>
      </c>
      <c r="K534" s="2">
        <v>4</v>
      </c>
      <c r="L534" s="2" t="s">
        <v>46</v>
      </c>
      <c r="M534" s="2">
        <v>42</v>
      </c>
      <c r="N534" s="2">
        <v>3</v>
      </c>
      <c r="O534" s="2">
        <v>2</v>
      </c>
      <c r="P534" s="2" t="s">
        <v>40</v>
      </c>
      <c r="Q534" s="2">
        <v>1</v>
      </c>
      <c r="R534" s="2" t="s">
        <v>41</v>
      </c>
      <c r="S534" s="2">
        <v>4960</v>
      </c>
      <c r="T534" s="2">
        <v>11825</v>
      </c>
      <c r="U534" s="2">
        <v>2</v>
      </c>
      <c r="V534" s="2" t="s">
        <v>42</v>
      </c>
      <c r="W534" s="2" t="s">
        <v>43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</row>
    <row r="535" spans="1:35" x14ac:dyDescent="0.25">
      <c r="A535" s="2">
        <v>40</v>
      </c>
      <c r="B535" s="2" t="s">
        <v>43</v>
      </c>
      <c r="C535" s="2" t="s">
        <v>44</v>
      </c>
      <c r="D535" s="2">
        <v>580</v>
      </c>
      <c r="E535" s="2" t="s">
        <v>37</v>
      </c>
      <c r="F535" s="2">
        <v>5</v>
      </c>
      <c r="G535" s="2">
        <v>4</v>
      </c>
      <c r="H535" s="2" t="s">
        <v>38</v>
      </c>
      <c r="I535" s="2">
        <v>1</v>
      </c>
      <c r="J535" s="2">
        <v>729</v>
      </c>
      <c r="K535" s="2">
        <v>4</v>
      </c>
      <c r="L535" s="2" t="s">
        <v>46</v>
      </c>
      <c r="M535" s="2">
        <v>48</v>
      </c>
      <c r="N535" s="2">
        <v>2</v>
      </c>
      <c r="O535" s="2">
        <v>3</v>
      </c>
      <c r="P535" s="2" t="s">
        <v>40</v>
      </c>
      <c r="Q535" s="2">
        <v>1</v>
      </c>
      <c r="R535" s="2" t="s">
        <v>48</v>
      </c>
      <c r="S535" s="2">
        <v>10475</v>
      </c>
      <c r="T535" s="2">
        <v>23772</v>
      </c>
      <c r="U535" s="2">
        <v>5</v>
      </c>
      <c r="V535" s="2" t="s">
        <v>42</v>
      </c>
      <c r="W535" s="2" t="s">
        <v>35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</row>
    <row r="536" spans="1:35" x14ac:dyDescent="0.25">
      <c r="A536" s="2">
        <v>53</v>
      </c>
      <c r="B536" s="2" t="s">
        <v>43</v>
      </c>
      <c r="C536" s="2" t="s">
        <v>36</v>
      </c>
      <c r="D536" s="2">
        <v>970</v>
      </c>
      <c r="E536" s="2" t="s">
        <v>45</v>
      </c>
      <c r="F536" s="2">
        <v>7</v>
      </c>
      <c r="G536" s="2">
        <v>3</v>
      </c>
      <c r="H536" s="2" t="s">
        <v>38</v>
      </c>
      <c r="I536" s="2">
        <v>1</v>
      </c>
      <c r="J536" s="2">
        <v>730</v>
      </c>
      <c r="K536" s="2">
        <v>3</v>
      </c>
      <c r="L536" s="2" t="s">
        <v>46</v>
      </c>
      <c r="M536" s="2">
        <v>59</v>
      </c>
      <c r="N536" s="2">
        <v>4</v>
      </c>
      <c r="O536" s="2">
        <v>4</v>
      </c>
      <c r="P536" s="2" t="s">
        <v>58</v>
      </c>
      <c r="Q536" s="2">
        <v>3</v>
      </c>
      <c r="R536" s="2" t="s">
        <v>48</v>
      </c>
      <c r="S536" s="2">
        <v>14814</v>
      </c>
      <c r="T536" s="2">
        <v>13514</v>
      </c>
      <c r="U536" s="2">
        <v>3</v>
      </c>
      <c r="V536" s="2" t="s">
        <v>42</v>
      </c>
      <c r="W536" s="2" t="s">
        <v>43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</row>
    <row r="537" spans="1:35" x14ac:dyDescent="0.25">
      <c r="A537" s="2">
        <v>41</v>
      </c>
      <c r="B537" s="2" t="s">
        <v>43</v>
      </c>
      <c r="C537" s="2" t="s">
        <v>36</v>
      </c>
      <c r="D537" s="2">
        <v>427</v>
      </c>
      <c r="E537" s="2" t="s">
        <v>61</v>
      </c>
      <c r="F537" s="2">
        <v>10</v>
      </c>
      <c r="G537" s="2">
        <v>4</v>
      </c>
      <c r="H537" s="2" t="s">
        <v>61</v>
      </c>
      <c r="I537" s="2">
        <v>1</v>
      </c>
      <c r="J537" s="2">
        <v>731</v>
      </c>
      <c r="K537" s="2">
        <v>2</v>
      </c>
      <c r="L537" s="2" t="s">
        <v>46</v>
      </c>
      <c r="M537" s="2">
        <v>73</v>
      </c>
      <c r="N537" s="2">
        <v>2</v>
      </c>
      <c r="O537" s="2">
        <v>5</v>
      </c>
      <c r="P537" s="2" t="s">
        <v>56</v>
      </c>
      <c r="Q537" s="2">
        <v>4</v>
      </c>
      <c r="R537" s="2" t="s">
        <v>52</v>
      </c>
      <c r="S537" s="2">
        <v>19141</v>
      </c>
      <c r="T537" s="2">
        <v>8861</v>
      </c>
      <c r="U537" s="2">
        <v>3</v>
      </c>
      <c r="V537" s="2" t="s">
        <v>42</v>
      </c>
      <c r="W537" s="2" t="s">
        <v>43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</row>
    <row r="538" spans="1:35" x14ac:dyDescent="0.25">
      <c r="A538" s="2">
        <v>60</v>
      </c>
      <c r="B538" s="2" t="s">
        <v>43</v>
      </c>
      <c r="C538" s="2" t="s">
        <v>36</v>
      </c>
      <c r="D538" s="2">
        <v>1179</v>
      </c>
      <c r="E538" s="2" t="s">
        <v>37</v>
      </c>
      <c r="F538" s="2">
        <v>16</v>
      </c>
      <c r="G538" s="2">
        <v>4</v>
      </c>
      <c r="H538" s="2" t="s">
        <v>59</v>
      </c>
      <c r="I538" s="2">
        <v>1</v>
      </c>
      <c r="J538" s="2">
        <v>732</v>
      </c>
      <c r="K538" s="2">
        <v>1</v>
      </c>
      <c r="L538" s="2" t="s">
        <v>46</v>
      </c>
      <c r="M538" s="2">
        <v>84</v>
      </c>
      <c r="N538" s="2">
        <v>3</v>
      </c>
      <c r="O538" s="2">
        <v>2</v>
      </c>
      <c r="P538" s="2" t="s">
        <v>40</v>
      </c>
      <c r="Q538" s="2">
        <v>1</v>
      </c>
      <c r="R538" s="2" t="s">
        <v>41</v>
      </c>
      <c r="S538" s="2">
        <v>5405</v>
      </c>
      <c r="T538" s="2">
        <v>11924</v>
      </c>
      <c r="U538" s="2">
        <v>8</v>
      </c>
      <c r="V538" s="2" t="s">
        <v>42</v>
      </c>
      <c r="W538" s="2" t="s">
        <v>43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</row>
    <row r="539" spans="1:35" x14ac:dyDescent="0.25">
      <c r="A539" s="2">
        <v>27</v>
      </c>
      <c r="B539" s="2" t="s">
        <v>43</v>
      </c>
      <c r="C539" s="2" t="s">
        <v>44</v>
      </c>
      <c r="D539" s="2">
        <v>294</v>
      </c>
      <c r="E539" s="2" t="s">
        <v>45</v>
      </c>
      <c r="F539" s="2">
        <v>10</v>
      </c>
      <c r="G539" s="2">
        <v>2</v>
      </c>
      <c r="H539" s="2" t="s">
        <v>38</v>
      </c>
      <c r="I539" s="2">
        <v>1</v>
      </c>
      <c r="J539" s="2">
        <v>733</v>
      </c>
      <c r="K539" s="2">
        <v>4</v>
      </c>
      <c r="L539" s="2" t="s">
        <v>46</v>
      </c>
      <c r="M539" s="2">
        <v>32</v>
      </c>
      <c r="N539" s="2">
        <v>3</v>
      </c>
      <c r="O539" s="2">
        <v>3</v>
      </c>
      <c r="P539" s="2" t="s">
        <v>53</v>
      </c>
      <c r="Q539" s="2">
        <v>1</v>
      </c>
      <c r="R539" s="2" t="s">
        <v>52</v>
      </c>
      <c r="S539" s="2">
        <v>8793</v>
      </c>
      <c r="T539" s="2">
        <v>4809</v>
      </c>
      <c r="U539" s="2">
        <v>1</v>
      </c>
      <c r="V539" s="2" t="s">
        <v>42</v>
      </c>
      <c r="W539" s="2" t="s">
        <v>43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</row>
    <row r="540" spans="1:35" x14ac:dyDescent="0.25">
      <c r="A540" s="2">
        <v>41</v>
      </c>
      <c r="B540" s="2" t="s">
        <v>43</v>
      </c>
      <c r="C540" s="2" t="s">
        <v>36</v>
      </c>
      <c r="D540" s="2">
        <v>314</v>
      </c>
      <c r="E540" s="2" t="s">
        <v>61</v>
      </c>
      <c r="F540" s="2">
        <v>1</v>
      </c>
      <c r="G540" s="2">
        <v>3</v>
      </c>
      <c r="H540" s="2" t="s">
        <v>61</v>
      </c>
      <c r="I540" s="2">
        <v>1</v>
      </c>
      <c r="J540" s="2">
        <v>734</v>
      </c>
      <c r="K540" s="2">
        <v>4</v>
      </c>
      <c r="L540" s="2" t="s">
        <v>46</v>
      </c>
      <c r="M540" s="2">
        <v>59</v>
      </c>
      <c r="N540" s="2">
        <v>2</v>
      </c>
      <c r="O540" s="2">
        <v>5</v>
      </c>
      <c r="P540" s="2" t="s">
        <v>56</v>
      </c>
      <c r="Q540" s="2">
        <v>3</v>
      </c>
      <c r="R540" s="2" t="s">
        <v>48</v>
      </c>
      <c r="S540" s="2">
        <v>19189</v>
      </c>
      <c r="T540" s="2">
        <v>19562</v>
      </c>
      <c r="U540" s="2">
        <v>1</v>
      </c>
      <c r="V540" s="2" t="s">
        <v>42</v>
      </c>
      <c r="W540" s="2" t="s">
        <v>43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</row>
    <row r="541" spans="1:35" x14ac:dyDescent="0.25">
      <c r="A541" s="2">
        <v>50</v>
      </c>
      <c r="B541" s="2" t="s">
        <v>43</v>
      </c>
      <c r="C541" s="2" t="s">
        <v>36</v>
      </c>
      <c r="D541" s="2">
        <v>316</v>
      </c>
      <c r="E541" s="2" t="s">
        <v>37</v>
      </c>
      <c r="F541" s="2">
        <v>8</v>
      </c>
      <c r="G541" s="2">
        <v>4</v>
      </c>
      <c r="H541" s="2" t="s">
        <v>59</v>
      </c>
      <c r="I541" s="2">
        <v>1</v>
      </c>
      <c r="J541" s="2">
        <v>738</v>
      </c>
      <c r="K541" s="2">
        <v>4</v>
      </c>
      <c r="L541" s="2" t="s">
        <v>46</v>
      </c>
      <c r="M541" s="2">
        <v>54</v>
      </c>
      <c r="N541" s="2">
        <v>3</v>
      </c>
      <c r="O541" s="2">
        <v>1</v>
      </c>
      <c r="P541" s="2" t="s">
        <v>57</v>
      </c>
      <c r="Q541" s="2">
        <v>2</v>
      </c>
      <c r="R541" s="2" t="s">
        <v>48</v>
      </c>
      <c r="S541" s="2">
        <v>3875</v>
      </c>
      <c r="T541" s="2">
        <v>9983</v>
      </c>
      <c r="U541" s="2">
        <v>7</v>
      </c>
      <c r="V541" s="2" t="s">
        <v>42</v>
      </c>
      <c r="W541" s="2" t="s">
        <v>43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</row>
    <row r="542" spans="1:35" x14ac:dyDescent="0.25">
      <c r="A542" s="2">
        <v>28</v>
      </c>
      <c r="B542" s="2" t="s">
        <v>35</v>
      </c>
      <c r="C542" s="2" t="s">
        <v>36</v>
      </c>
      <c r="D542" s="2">
        <v>654</v>
      </c>
      <c r="E542" s="2" t="s">
        <v>45</v>
      </c>
      <c r="F542" s="2">
        <v>1</v>
      </c>
      <c r="G542" s="2">
        <v>2</v>
      </c>
      <c r="H542" s="2" t="s">
        <v>38</v>
      </c>
      <c r="I542" s="2">
        <v>1</v>
      </c>
      <c r="J542" s="2">
        <v>741</v>
      </c>
      <c r="K542" s="2">
        <v>1</v>
      </c>
      <c r="L542" s="2" t="s">
        <v>39</v>
      </c>
      <c r="M542" s="2">
        <v>67</v>
      </c>
      <c r="N542" s="2">
        <v>1</v>
      </c>
      <c r="O542" s="2">
        <v>1</v>
      </c>
      <c r="P542" s="2" t="s">
        <v>47</v>
      </c>
      <c r="Q542" s="2">
        <v>2</v>
      </c>
      <c r="R542" s="2" t="s">
        <v>41</v>
      </c>
      <c r="S542" s="2">
        <v>2216</v>
      </c>
      <c r="T542" s="2">
        <v>3872</v>
      </c>
      <c r="U542" s="2">
        <v>7</v>
      </c>
      <c r="V542" s="2" t="s">
        <v>42</v>
      </c>
      <c r="W542" s="2" t="s">
        <v>35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</row>
    <row r="543" spans="1:35" x14ac:dyDescent="0.25">
      <c r="A543" s="2">
        <v>36</v>
      </c>
      <c r="B543" s="2" t="s">
        <v>43</v>
      </c>
      <c r="C543" s="2" t="s">
        <v>55</v>
      </c>
      <c r="D543" s="2">
        <v>427</v>
      </c>
      <c r="E543" s="2" t="s">
        <v>45</v>
      </c>
      <c r="F543" s="2">
        <v>8</v>
      </c>
      <c r="G543" s="2">
        <v>3</v>
      </c>
      <c r="H543" s="2" t="s">
        <v>38</v>
      </c>
      <c r="I543" s="2">
        <v>1</v>
      </c>
      <c r="J543" s="2">
        <v>742</v>
      </c>
      <c r="K543" s="2">
        <v>1</v>
      </c>
      <c r="L543" s="2" t="s">
        <v>39</v>
      </c>
      <c r="M543" s="2">
        <v>63</v>
      </c>
      <c r="N543" s="2">
        <v>4</v>
      </c>
      <c r="O543" s="2">
        <v>3</v>
      </c>
      <c r="P543" s="2" t="s">
        <v>58</v>
      </c>
      <c r="Q543" s="2">
        <v>1</v>
      </c>
      <c r="R543" s="2" t="s">
        <v>48</v>
      </c>
      <c r="S543" s="2">
        <v>11713</v>
      </c>
      <c r="T543" s="2">
        <v>20335</v>
      </c>
      <c r="U543" s="2">
        <v>9</v>
      </c>
      <c r="V543" s="2" t="s">
        <v>42</v>
      </c>
      <c r="W543" s="2" t="s">
        <v>43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</row>
    <row r="544" spans="1:35" x14ac:dyDescent="0.25">
      <c r="A544" s="2">
        <v>38</v>
      </c>
      <c r="B544" s="2" t="s">
        <v>43</v>
      </c>
      <c r="C544" s="2" t="s">
        <v>36</v>
      </c>
      <c r="D544" s="2">
        <v>168</v>
      </c>
      <c r="E544" s="2" t="s">
        <v>45</v>
      </c>
      <c r="F544" s="2">
        <v>1</v>
      </c>
      <c r="G544" s="2">
        <v>3</v>
      </c>
      <c r="H544" s="2" t="s">
        <v>38</v>
      </c>
      <c r="I544" s="2">
        <v>1</v>
      </c>
      <c r="J544" s="2">
        <v>743</v>
      </c>
      <c r="K544" s="2">
        <v>3</v>
      </c>
      <c r="L544" s="2" t="s">
        <v>39</v>
      </c>
      <c r="M544" s="2">
        <v>81</v>
      </c>
      <c r="N544" s="2">
        <v>3</v>
      </c>
      <c r="O544" s="2">
        <v>3</v>
      </c>
      <c r="P544" s="2" t="s">
        <v>53</v>
      </c>
      <c r="Q544" s="2">
        <v>3</v>
      </c>
      <c r="R544" s="2" t="s">
        <v>41</v>
      </c>
      <c r="S544" s="2">
        <v>7861</v>
      </c>
      <c r="T544" s="2">
        <v>15397</v>
      </c>
      <c r="U544" s="2">
        <v>4</v>
      </c>
      <c r="V544" s="2" t="s">
        <v>42</v>
      </c>
      <c r="W544" s="2" t="s">
        <v>35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</row>
    <row r="545" spans="1:35" x14ac:dyDescent="0.25">
      <c r="A545" s="2">
        <v>44</v>
      </c>
      <c r="B545" s="2" t="s">
        <v>43</v>
      </c>
      <c r="C545" s="2" t="s">
        <v>55</v>
      </c>
      <c r="D545" s="2">
        <v>381</v>
      </c>
      <c r="E545" s="2" t="s">
        <v>45</v>
      </c>
      <c r="F545" s="2">
        <v>24</v>
      </c>
      <c r="G545" s="2">
        <v>3</v>
      </c>
      <c r="H545" s="2" t="s">
        <v>51</v>
      </c>
      <c r="I545" s="2">
        <v>1</v>
      </c>
      <c r="J545" s="2">
        <v>744</v>
      </c>
      <c r="K545" s="2">
        <v>1</v>
      </c>
      <c r="L545" s="2" t="s">
        <v>46</v>
      </c>
      <c r="M545" s="2">
        <v>49</v>
      </c>
      <c r="N545" s="2">
        <v>1</v>
      </c>
      <c r="O545" s="2">
        <v>1</v>
      </c>
      <c r="P545" s="2" t="s">
        <v>50</v>
      </c>
      <c r="Q545" s="2">
        <v>3</v>
      </c>
      <c r="R545" s="2" t="s">
        <v>41</v>
      </c>
      <c r="S545" s="2">
        <v>3708</v>
      </c>
      <c r="T545" s="2">
        <v>2104</v>
      </c>
      <c r="U545" s="2">
        <v>2</v>
      </c>
      <c r="V545" s="2" t="s">
        <v>42</v>
      </c>
      <c r="W545" s="2" t="s">
        <v>43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</row>
    <row r="546" spans="1:35" x14ac:dyDescent="0.25">
      <c r="A546" s="2">
        <v>47</v>
      </c>
      <c r="B546" s="2" t="s">
        <v>43</v>
      </c>
      <c r="C546" s="2" t="s">
        <v>44</v>
      </c>
      <c r="D546" s="2">
        <v>217</v>
      </c>
      <c r="E546" s="2" t="s">
        <v>37</v>
      </c>
      <c r="F546" s="2">
        <v>3</v>
      </c>
      <c r="G546" s="2">
        <v>3</v>
      </c>
      <c r="H546" s="2" t="s">
        <v>51</v>
      </c>
      <c r="I546" s="2">
        <v>1</v>
      </c>
      <c r="J546" s="2">
        <v>746</v>
      </c>
      <c r="K546" s="2">
        <v>4</v>
      </c>
      <c r="L546" s="2" t="s">
        <v>39</v>
      </c>
      <c r="M546" s="2">
        <v>49</v>
      </c>
      <c r="N546" s="2">
        <v>3</v>
      </c>
      <c r="O546" s="2">
        <v>4</v>
      </c>
      <c r="P546" s="2" t="s">
        <v>40</v>
      </c>
      <c r="Q546" s="2">
        <v>3</v>
      </c>
      <c r="R546" s="2" t="s">
        <v>52</v>
      </c>
      <c r="S546" s="2">
        <v>13770</v>
      </c>
      <c r="T546" s="2">
        <v>10225</v>
      </c>
      <c r="U546" s="2">
        <v>9</v>
      </c>
      <c r="V546" s="2" t="s">
        <v>42</v>
      </c>
      <c r="W546" s="2" t="s">
        <v>35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</row>
    <row r="547" spans="1:35" x14ac:dyDescent="0.25">
      <c r="A547" s="2">
        <v>30</v>
      </c>
      <c r="B547" s="2" t="s">
        <v>43</v>
      </c>
      <c r="C547" s="2" t="s">
        <v>36</v>
      </c>
      <c r="D547" s="2">
        <v>501</v>
      </c>
      <c r="E547" s="2" t="s">
        <v>37</v>
      </c>
      <c r="F547" s="2">
        <v>27</v>
      </c>
      <c r="G547" s="2">
        <v>5</v>
      </c>
      <c r="H547" s="2" t="s">
        <v>59</v>
      </c>
      <c r="I547" s="2">
        <v>1</v>
      </c>
      <c r="J547" s="2">
        <v>747</v>
      </c>
      <c r="K547" s="2">
        <v>3</v>
      </c>
      <c r="L547" s="2" t="s">
        <v>46</v>
      </c>
      <c r="M547" s="2">
        <v>99</v>
      </c>
      <c r="N547" s="2">
        <v>3</v>
      </c>
      <c r="O547" s="2">
        <v>2</v>
      </c>
      <c r="P547" s="2" t="s">
        <v>40</v>
      </c>
      <c r="Q547" s="2">
        <v>4</v>
      </c>
      <c r="R547" s="2" t="s">
        <v>52</v>
      </c>
      <c r="S547" s="2">
        <v>5304</v>
      </c>
      <c r="T547" s="2">
        <v>25275</v>
      </c>
      <c r="U547" s="2">
        <v>7</v>
      </c>
      <c r="V547" s="2" t="s">
        <v>42</v>
      </c>
      <c r="W547" s="2" t="s">
        <v>43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</row>
    <row r="548" spans="1:35" x14ac:dyDescent="0.25">
      <c r="A548" s="2">
        <v>29</v>
      </c>
      <c r="B548" s="2" t="s">
        <v>43</v>
      </c>
      <c r="C548" s="2" t="s">
        <v>36</v>
      </c>
      <c r="D548" s="2">
        <v>1396</v>
      </c>
      <c r="E548" s="2" t="s">
        <v>37</v>
      </c>
      <c r="F548" s="2">
        <v>10</v>
      </c>
      <c r="G548" s="2">
        <v>3</v>
      </c>
      <c r="H548" s="2" t="s">
        <v>38</v>
      </c>
      <c r="I548" s="2">
        <v>1</v>
      </c>
      <c r="J548" s="2">
        <v>749</v>
      </c>
      <c r="K548" s="2">
        <v>3</v>
      </c>
      <c r="L548" s="2" t="s">
        <v>46</v>
      </c>
      <c r="M548" s="2">
        <v>99</v>
      </c>
      <c r="N548" s="2">
        <v>3</v>
      </c>
      <c r="O548" s="2">
        <v>1</v>
      </c>
      <c r="P548" s="2" t="s">
        <v>57</v>
      </c>
      <c r="Q548" s="2">
        <v>3</v>
      </c>
      <c r="R548" s="2" t="s">
        <v>41</v>
      </c>
      <c r="S548" s="2">
        <v>2642</v>
      </c>
      <c r="T548" s="2">
        <v>2755</v>
      </c>
      <c r="U548" s="2">
        <v>1</v>
      </c>
      <c r="V548" s="2" t="s">
        <v>42</v>
      </c>
      <c r="W548" s="2" t="s">
        <v>43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</row>
    <row r="549" spans="1:35" x14ac:dyDescent="0.25">
      <c r="A549" s="2">
        <v>42</v>
      </c>
      <c r="B549" s="2" t="s">
        <v>35</v>
      </c>
      <c r="C549" s="2" t="s">
        <v>44</v>
      </c>
      <c r="D549" s="2">
        <v>933</v>
      </c>
      <c r="E549" s="2" t="s">
        <v>45</v>
      </c>
      <c r="F549" s="2">
        <v>19</v>
      </c>
      <c r="G549" s="2">
        <v>3</v>
      </c>
      <c r="H549" s="2" t="s">
        <v>51</v>
      </c>
      <c r="I549" s="2">
        <v>1</v>
      </c>
      <c r="J549" s="2">
        <v>752</v>
      </c>
      <c r="K549" s="2">
        <v>3</v>
      </c>
      <c r="L549" s="2" t="s">
        <v>46</v>
      </c>
      <c r="M549" s="2">
        <v>57</v>
      </c>
      <c r="N549" s="2">
        <v>4</v>
      </c>
      <c r="O549" s="2">
        <v>1</v>
      </c>
      <c r="P549" s="2" t="s">
        <v>47</v>
      </c>
      <c r="Q549" s="2">
        <v>3</v>
      </c>
      <c r="R549" s="2" t="s">
        <v>52</v>
      </c>
      <c r="S549" s="2">
        <v>2759</v>
      </c>
      <c r="T549" s="2">
        <v>20366</v>
      </c>
      <c r="U549" s="2">
        <v>6</v>
      </c>
      <c r="V549" s="2" t="s">
        <v>42</v>
      </c>
      <c r="W549" s="2" t="s">
        <v>35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</row>
    <row r="550" spans="1:35" x14ac:dyDescent="0.25">
      <c r="A550" s="2">
        <v>43</v>
      </c>
      <c r="B550" s="2" t="s">
        <v>43</v>
      </c>
      <c r="C550" s="2" t="s">
        <v>44</v>
      </c>
      <c r="D550" s="2">
        <v>775</v>
      </c>
      <c r="E550" s="2" t="s">
        <v>37</v>
      </c>
      <c r="F550" s="2">
        <v>15</v>
      </c>
      <c r="G550" s="2">
        <v>3</v>
      </c>
      <c r="H550" s="2" t="s">
        <v>38</v>
      </c>
      <c r="I550" s="2">
        <v>1</v>
      </c>
      <c r="J550" s="2">
        <v>754</v>
      </c>
      <c r="K550" s="2">
        <v>4</v>
      </c>
      <c r="L550" s="2" t="s">
        <v>46</v>
      </c>
      <c r="M550" s="2">
        <v>47</v>
      </c>
      <c r="N550" s="2">
        <v>2</v>
      </c>
      <c r="O550" s="2">
        <v>2</v>
      </c>
      <c r="P550" s="2" t="s">
        <v>40</v>
      </c>
      <c r="Q550" s="2">
        <v>4</v>
      </c>
      <c r="R550" s="2" t="s">
        <v>48</v>
      </c>
      <c r="S550" s="2">
        <v>6804</v>
      </c>
      <c r="T550" s="2">
        <v>23683</v>
      </c>
      <c r="U550" s="2">
        <v>3</v>
      </c>
      <c r="V550" s="2" t="s">
        <v>42</v>
      </c>
      <c r="W550" s="2" t="s">
        <v>43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</row>
    <row r="551" spans="1:35" x14ac:dyDescent="0.25">
      <c r="A551" s="2">
        <v>34</v>
      </c>
      <c r="B551" s="2" t="s">
        <v>43</v>
      </c>
      <c r="C551" s="2" t="s">
        <v>36</v>
      </c>
      <c r="D551" s="2">
        <v>970</v>
      </c>
      <c r="E551" s="2" t="s">
        <v>45</v>
      </c>
      <c r="F551" s="2">
        <v>8</v>
      </c>
      <c r="G551" s="2">
        <v>2</v>
      </c>
      <c r="H551" s="2" t="s">
        <v>51</v>
      </c>
      <c r="I551" s="2">
        <v>1</v>
      </c>
      <c r="J551" s="2">
        <v>757</v>
      </c>
      <c r="K551" s="2">
        <v>2</v>
      </c>
      <c r="L551" s="2" t="s">
        <v>39</v>
      </c>
      <c r="M551" s="2">
        <v>96</v>
      </c>
      <c r="N551" s="2">
        <v>3</v>
      </c>
      <c r="O551" s="2">
        <v>2</v>
      </c>
      <c r="P551" s="2" t="s">
        <v>54</v>
      </c>
      <c r="Q551" s="2">
        <v>3</v>
      </c>
      <c r="R551" s="2" t="s">
        <v>41</v>
      </c>
      <c r="S551" s="2">
        <v>6142</v>
      </c>
      <c r="T551" s="2">
        <v>7360</v>
      </c>
      <c r="U551" s="2">
        <v>3</v>
      </c>
      <c r="V551" s="2" t="s">
        <v>42</v>
      </c>
      <c r="W551" s="2" t="s">
        <v>43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</row>
    <row r="552" spans="1:35" x14ac:dyDescent="0.25">
      <c r="A552" s="2">
        <v>23</v>
      </c>
      <c r="B552" s="2" t="s">
        <v>43</v>
      </c>
      <c r="C552" s="2" t="s">
        <v>36</v>
      </c>
      <c r="D552" s="2">
        <v>650</v>
      </c>
      <c r="E552" s="2" t="s">
        <v>45</v>
      </c>
      <c r="F552" s="2">
        <v>9</v>
      </c>
      <c r="G552" s="2">
        <v>1</v>
      </c>
      <c r="H552" s="2" t="s">
        <v>51</v>
      </c>
      <c r="I552" s="2">
        <v>1</v>
      </c>
      <c r="J552" s="2">
        <v>758</v>
      </c>
      <c r="K552" s="2">
        <v>2</v>
      </c>
      <c r="L552" s="2" t="s">
        <v>46</v>
      </c>
      <c r="M552" s="2">
        <v>37</v>
      </c>
      <c r="N552" s="2">
        <v>3</v>
      </c>
      <c r="O552" s="2">
        <v>1</v>
      </c>
      <c r="P552" s="2" t="s">
        <v>50</v>
      </c>
      <c r="Q552" s="2">
        <v>1</v>
      </c>
      <c r="R552" s="2" t="s">
        <v>48</v>
      </c>
      <c r="S552" s="2">
        <v>2500</v>
      </c>
      <c r="T552" s="2">
        <v>4344</v>
      </c>
      <c r="U552" s="2">
        <v>1</v>
      </c>
      <c r="V552" s="2" t="s">
        <v>42</v>
      </c>
      <c r="W552" s="2" t="s">
        <v>43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</row>
    <row r="553" spans="1:35" x14ac:dyDescent="0.25">
      <c r="A553" s="2">
        <v>39</v>
      </c>
      <c r="B553" s="2" t="s">
        <v>43</v>
      </c>
      <c r="C553" s="2" t="s">
        <v>36</v>
      </c>
      <c r="D553" s="2">
        <v>141</v>
      </c>
      <c r="E553" s="2" t="s">
        <v>61</v>
      </c>
      <c r="F553" s="2">
        <v>3</v>
      </c>
      <c r="G553" s="2">
        <v>3</v>
      </c>
      <c r="H553" s="2" t="s">
        <v>61</v>
      </c>
      <c r="I553" s="2">
        <v>1</v>
      </c>
      <c r="J553" s="2">
        <v>760</v>
      </c>
      <c r="K553" s="2">
        <v>3</v>
      </c>
      <c r="L553" s="2" t="s">
        <v>39</v>
      </c>
      <c r="M553" s="2">
        <v>44</v>
      </c>
      <c r="N553" s="2">
        <v>4</v>
      </c>
      <c r="O553" s="2">
        <v>2</v>
      </c>
      <c r="P553" s="2" t="s">
        <v>61</v>
      </c>
      <c r="Q553" s="2">
        <v>2</v>
      </c>
      <c r="R553" s="2" t="s">
        <v>48</v>
      </c>
      <c r="S553" s="2">
        <v>6389</v>
      </c>
      <c r="T553" s="2">
        <v>18767</v>
      </c>
      <c r="U553" s="2">
        <v>9</v>
      </c>
      <c r="V553" s="2" t="s">
        <v>42</v>
      </c>
      <c r="W553" s="2" t="s">
        <v>43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</row>
    <row r="554" spans="1:35" x14ac:dyDescent="0.25">
      <c r="A554" s="2">
        <v>56</v>
      </c>
      <c r="B554" s="2" t="s">
        <v>43</v>
      </c>
      <c r="C554" s="2" t="s">
        <v>36</v>
      </c>
      <c r="D554" s="2">
        <v>832</v>
      </c>
      <c r="E554" s="2" t="s">
        <v>45</v>
      </c>
      <c r="F554" s="2">
        <v>9</v>
      </c>
      <c r="G554" s="2">
        <v>3</v>
      </c>
      <c r="H554" s="2" t="s">
        <v>51</v>
      </c>
      <c r="I554" s="2">
        <v>1</v>
      </c>
      <c r="J554" s="2">
        <v>762</v>
      </c>
      <c r="K554" s="2">
        <v>3</v>
      </c>
      <c r="L554" s="2" t="s">
        <v>46</v>
      </c>
      <c r="M554" s="2">
        <v>81</v>
      </c>
      <c r="N554" s="2">
        <v>3</v>
      </c>
      <c r="O554" s="2">
        <v>4</v>
      </c>
      <c r="P554" s="2" t="s">
        <v>54</v>
      </c>
      <c r="Q554" s="2">
        <v>4</v>
      </c>
      <c r="R554" s="2" t="s">
        <v>48</v>
      </c>
      <c r="S554" s="2">
        <v>11103</v>
      </c>
      <c r="T554" s="2">
        <v>20420</v>
      </c>
      <c r="U554" s="2">
        <v>7</v>
      </c>
      <c r="V554" s="2" t="s">
        <v>42</v>
      </c>
      <c r="W554" s="2" t="s">
        <v>43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</row>
    <row r="555" spans="1:35" x14ac:dyDescent="0.25">
      <c r="A555" s="2">
        <v>40</v>
      </c>
      <c r="B555" s="2" t="s">
        <v>43</v>
      </c>
      <c r="C555" s="2" t="s">
        <v>36</v>
      </c>
      <c r="D555" s="2">
        <v>804</v>
      </c>
      <c r="E555" s="2" t="s">
        <v>45</v>
      </c>
      <c r="F555" s="2">
        <v>2</v>
      </c>
      <c r="G555" s="2">
        <v>1</v>
      </c>
      <c r="H555" s="2" t="s">
        <v>51</v>
      </c>
      <c r="I555" s="2">
        <v>1</v>
      </c>
      <c r="J555" s="2">
        <v>763</v>
      </c>
      <c r="K555" s="2">
        <v>4</v>
      </c>
      <c r="L555" s="2" t="s">
        <v>39</v>
      </c>
      <c r="M555" s="2">
        <v>86</v>
      </c>
      <c r="N555" s="2">
        <v>2</v>
      </c>
      <c r="O555" s="2">
        <v>1</v>
      </c>
      <c r="P555" s="2" t="s">
        <v>47</v>
      </c>
      <c r="Q555" s="2">
        <v>4</v>
      </c>
      <c r="R555" s="2" t="s">
        <v>41</v>
      </c>
      <c r="S555" s="2">
        <v>2342</v>
      </c>
      <c r="T555" s="2">
        <v>22929</v>
      </c>
      <c r="U555" s="2">
        <v>0</v>
      </c>
      <c r="V555" s="2" t="s">
        <v>42</v>
      </c>
      <c r="W555" s="2" t="s">
        <v>35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</row>
    <row r="556" spans="1:35" x14ac:dyDescent="0.25">
      <c r="A556" s="2">
        <v>27</v>
      </c>
      <c r="B556" s="2" t="s">
        <v>43</v>
      </c>
      <c r="C556" s="2" t="s">
        <v>36</v>
      </c>
      <c r="D556" s="2">
        <v>975</v>
      </c>
      <c r="E556" s="2" t="s">
        <v>45</v>
      </c>
      <c r="F556" s="2">
        <v>7</v>
      </c>
      <c r="G556" s="2">
        <v>3</v>
      </c>
      <c r="H556" s="2" t="s">
        <v>51</v>
      </c>
      <c r="I556" s="2">
        <v>1</v>
      </c>
      <c r="J556" s="2">
        <v>764</v>
      </c>
      <c r="K556" s="2">
        <v>4</v>
      </c>
      <c r="L556" s="2" t="s">
        <v>39</v>
      </c>
      <c r="M556" s="2">
        <v>55</v>
      </c>
      <c r="N556" s="2">
        <v>2</v>
      </c>
      <c r="O556" s="2">
        <v>2</v>
      </c>
      <c r="P556" s="2" t="s">
        <v>54</v>
      </c>
      <c r="Q556" s="2">
        <v>1</v>
      </c>
      <c r="R556" s="2" t="s">
        <v>41</v>
      </c>
      <c r="S556" s="2">
        <v>6811</v>
      </c>
      <c r="T556" s="2">
        <v>23398</v>
      </c>
      <c r="U556" s="2">
        <v>8</v>
      </c>
      <c r="V556" s="2" t="s">
        <v>42</v>
      </c>
      <c r="W556" s="2" t="s">
        <v>43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</row>
    <row r="557" spans="1:35" x14ac:dyDescent="0.25">
      <c r="A557" s="2">
        <v>29</v>
      </c>
      <c r="B557" s="2" t="s">
        <v>43</v>
      </c>
      <c r="C557" s="2" t="s">
        <v>36</v>
      </c>
      <c r="D557" s="2">
        <v>1090</v>
      </c>
      <c r="E557" s="2" t="s">
        <v>37</v>
      </c>
      <c r="F557" s="2">
        <v>10</v>
      </c>
      <c r="G557" s="2">
        <v>3</v>
      </c>
      <c r="H557" s="2" t="s">
        <v>59</v>
      </c>
      <c r="I557" s="2">
        <v>1</v>
      </c>
      <c r="J557" s="2">
        <v>766</v>
      </c>
      <c r="K557" s="2">
        <v>4</v>
      </c>
      <c r="L557" s="2" t="s">
        <v>46</v>
      </c>
      <c r="M557" s="2">
        <v>83</v>
      </c>
      <c r="N557" s="2">
        <v>3</v>
      </c>
      <c r="O557" s="2">
        <v>1</v>
      </c>
      <c r="P557" s="2" t="s">
        <v>57</v>
      </c>
      <c r="Q557" s="2">
        <v>2</v>
      </c>
      <c r="R557" s="2" t="s">
        <v>52</v>
      </c>
      <c r="S557" s="2">
        <v>2297</v>
      </c>
      <c r="T557" s="2">
        <v>17967</v>
      </c>
      <c r="U557" s="2">
        <v>1</v>
      </c>
      <c r="V557" s="2" t="s">
        <v>42</v>
      </c>
      <c r="W557" s="2" t="s">
        <v>43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</row>
    <row r="558" spans="1:35" x14ac:dyDescent="0.25">
      <c r="A558" s="2">
        <v>53</v>
      </c>
      <c r="B558" s="2" t="s">
        <v>43</v>
      </c>
      <c r="C558" s="2" t="s">
        <v>36</v>
      </c>
      <c r="D558" s="2">
        <v>346</v>
      </c>
      <c r="E558" s="2" t="s">
        <v>45</v>
      </c>
      <c r="F558" s="2">
        <v>6</v>
      </c>
      <c r="G558" s="2">
        <v>3</v>
      </c>
      <c r="H558" s="2" t="s">
        <v>38</v>
      </c>
      <c r="I558" s="2">
        <v>1</v>
      </c>
      <c r="J558" s="2">
        <v>769</v>
      </c>
      <c r="K558" s="2">
        <v>4</v>
      </c>
      <c r="L558" s="2" t="s">
        <v>46</v>
      </c>
      <c r="M558" s="2">
        <v>86</v>
      </c>
      <c r="N558" s="2">
        <v>3</v>
      </c>
      <c r="O558" s="2">
        <v>2</v>
      </c>
      <c r="P558" s="2" t="s">
        <v>50</v>
      </c>
      <c r="Q558" s="2">
        <v>4</v>
      </c>
      <c r="R558" s="2" t="s">
        <v>41</v>
      </c>
      <c r="S558" s="2">
        <v>2450</v>
      </c>
      <c r="T558" s="2">
        <v>10919</v>
      </c>
      <c r="U558" s="2">
        <v>2</v>
      </c>
      <c r="V558" s="2" t="s">
        <v>42</v>
      </c>
      <c r="W558" s="2" t="s">
        <v>43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</row>
    <row r="559" spans="1:35" x14ac:dyDescent="0.25">
      <c r="A559" s="2">
        <v>35</v>
      </c>
      <c r="B559" s="2" t="s">
        <v>43</v>
      </c>
      <c r="C559" s="2" t="s">
        <v>55</v>
      </c>
      <c r="D559" s="2">
        <v>1225</v>
      </c>
      <c r="E559" s="2" t="s">
        <v>45</v>
      </c>
      <c r="F559" s="2">
        <v>2</v>
      </c>
      <c r="G559" s="2">
        <v>4</v>
      </c>
      <c r="H559" s="2" t="s">
        <v>38</v>
      </c>
      <c r="I559" s="2">
        <v>1</v>
      </c>
      <c r="J559" s="2">
        <v>771</v>
      </c>
      <c r="K559" s="2">
        <v>4</v>
      </c>
      <c r="L559" s="2" t="s">
        <v>39</v>
      </c>
      <c r="M559" s="2">
        <v>61</v>
      </c>
      <c r="N559" s="2">
        <v>3</v>
      </c>
      <c r="O559" s="2">
        <v>2</v>
      </c>
      <c r="P559" s="2" t="s">
        <v>54</v>
      </c>
      <c r="Q559" s="2">
        <v>1</v>
      </c>
      <c r="R559" s="2" t="s">
        <v>52</v>
      </c>
      <c r="S559" s="2">
        <v>5093</v>
      </c>
      <c r="T559" s="2">
        <v>4761</v>
      </c>
      <c r="U559" s="2">
        <v>2</v>
      </c>
      <c r="V559" s="2" t="s">
        <v>42</v>
      </c>
      <c r="W559" s="2" t="s">
        <v>43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</row>
    <row r="560" spans="1:35" x14ac:dyDescent="0.25">
      <c r="A560" s="2">
        <v>32</v>
      </c>
      <c r="B560" s="2" t="s">
        <v>43</v>
      </c>
      <c r="C560" s="2" t="s">
        <v>44</v>
      </c>
      <c r="D560" s="2">
        <v>430</v>
      </c>
      <c r="E560" s="2" t="s">
        <v>45</v>
      </c>
      <c r="F560" s="2">
        <v>24</v>
      </c>
      <c r="G560" s="2">
        <v>4</v>
      </c>
      <c r="H560" s="2" t="s">
        <v>38</v>
      </c>
      <c r="I560" s="2">
        <v>1</v>
      </c>
      <c r="J560" s="2">
        <v>772</v>
      </c>
      <c r="K560" s="2">
        <v>1</v>
      </c>
      <c r="L560" s="2" t="s">
        <v>46</v>
      </c>
      <c r="M560" s="2">
        <v>80</v>
      </c>
      <c r="N560" s="2">
        <v>3</v>
      </c>
      <c r="O560" s="2">
        <v>2</v>
      </c>
      <c r="P560" s="2" t="s">
        <v>50</v>
      </c>
      <c r="Q560" s="2">
        <v>4</v>
      </c>
      <c r="R560" s="2" t="s">
        <v>48</v>
      </c>
      <c r="S560" s="2">
        <v>5309</v>
      </c>
      <c r="T560" s="2">
        <v>21146</v>
      </c>
      <c r="U560" s="2">
        <v>1</v>
      </c>
      <c r="V560" s="2" t="s">
        <v>42</v>
      </c>
      <c r="W560" s="2" t="s">
        <v>43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</row>
    <row r="561" spans="1:35" x14ac:dyDescent="0.25">
      <c r="A561" s="2">
        <v>38</v>
      </c>
      <c r="B561" s="2" t="s">
        <v>43</v>
      </c>
      <c r="C561" s="2" t="s">
        <v>36</v>
      </c>
      <c r="D561" s="2">
        <v>268</v>
      </c>
      <c r="E561" s="2" t="s">
        <v>45</v>
      </c>
      <c r="F561" s="2">
        <v>2</v>
      </c>
      <c r="G561" s="2">
        <v>5</v>
      </c>
      <c r="H561" s="2" t="s">
        <v>51</v>
      </c>
      <c r="I561" s="2">
        <v>1</v>
      </c>
      <c r="J561" s="2">
        <v>773</v>
      </c>
      <c r="K561" s="2">
        <v>4</v>
      </c>
      <c r="L561" s="2" t="s">
        <v>46</v>
      </c>
      <c r="M561" s="2">
        <v>92</v>
      </c>
      <c r="N561" s="2">
        <v>3</v>
      </c>
      <c r="O561" s="2">
        <v>1</v>
      </c>
      <c r="P561" s="2" t="s">
        <v>47</v>
      </c>
      <c r="Q561" s="2">
        <v>3</v>
      </c>
      <c r="R561" s="2" t="s">
        <v>48</v>
      </c>
      <c r="S561" s="2">
        <v>3057</v>
      </c>
      <c r="T561" s="2">
        <v>20471</v>
      </c>
      <c r="U561" s="2">
        <v>6</v>
      </c>
      <c r="V561" s="2" t="s">
        <v>42</v>
      </c>
      <c r="W561" s="2" t="s">
        <v>35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</row>
    <row r="562" spans="1:35" x14ac:dyDescent="0.25">
      <c r="A562" s="2">
        <v>34</v>
      </c>
      <c r="B562" s="2" t="s">
        <v>43</v>
      </c>
      <c r="C562" s="2" t="s">
        <v>36</v>
      </c>
      <c r="D562" s="2">
        <v>167</v>
      </c>
      <c r="E562" s="2" t="s">
        <v>45</v>
      </c>
      <c r="F562" s="2">
        <v>8</v>
      </c>
      <c r="G562" s="2">
        <v>5</v>
      </c>
      <c r="H562" s="2" t="s">
        <v>38</v>
      </c>
      <c r="I562" s="2">
        <v>1</v>
      </c>
      <c r="J562" s="2">
        <v>775</v>
      </c>
      <c r="K562" s="2">
        <v>2</v>
      </c>
      <c r="L562" s="2" t="s">
        <v>39</v>
      </c>
      <c r="M562" s="2">
        <v>32</v>
      </c>
      <c r="N562" s="2">
        <v>3</v>
      </c>
      <c r="O562" s="2">
        <v>2</v>
      </c>
      <c r="P562" s="2" t="s">
        <v>53</v>
      </c>
      <c r="Q562" s="2">
        <v>1</v>
      </c>
      <c r="R562" s="2" t="s">
        <v>52</v>
      </c>
      <c r="S562" s="2">
        <v>5121</v>
      </c>
      <c r="T562" s="2">
        <v>4187</v>
      </c>
      <c r="U562" s="2">
        <v>3</v>
      </c>
      <c r="V562" s="2" t="s">
        <v>42</v>
      </c>
      <c r="W562" s="2" t="s">
        <v>43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</row>
    <row r="563" spans="1:35" x14ac:dyDescent="0.25">
      <c r="A563" s="2">
        <v>52</v>
      </c>
      <c r="B563" s="2" t="s">
        <v>43</v>
      </c>
      <c r="C563" s="2" t="s">
        <v>36</v>
      </c>
      <c r="D563" s="2">
        <v>621</v>
      </c>
      <c r="E563" s="2" t="s">
        <v>37</v>
      </c>
      <c r="F563" s="2">
        <v>3</v>
      </c>
      <c r="G563" s="2">
        <v>4</v>
      </c>
      <c r="H563" s="2" t="s">
        <v>59</v>
      </c>
      <c r="I563" s="2">
        <v>1</v>
      </c>
      <c r="J563" s="2">
        <v>776</v>
      </c>
      <c r="K563" s="2">
        <v>3</v>
      </c>
      <c r="L563" s="2" t="s">
        <v>46</v>
      </c>
      <c r="M563" s="2">
        <v>31</v>
      </c>
      <c r="N563" s="2">
        <v>2</v>
      </c>
      <c r="O563" s="2">
        <v>4</v>
      </c>
      <c r="P563" s="2" t="s">
        <v>56</v>
      </c>
      <c r="Q563" s="2">
        <v>1</v>
      </c>
      <c r="R563" s="2" t="s">
        <v>48</v>
      </c>
      <c r="S563" s="2">
        <v>16856</v>
      </c>
      <c r="T563" s="2">
        <v>10084</v>
      </c>
      <c r="U563" s="2">
        <v>1</v>
      </c>
      <c r="V563" s="2" t="s">
        <v>42</v>
      </c>
      <c r="W563" s="2" t="s">
        <v>43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</row>
    <row r="564" spans="1:35" x14ac:dyDescent="0.25">
      <c r="A564" s="2">
        <v>33</v>
      </c>
      <c r="B564" s="2" t="s">
        <v>35</v>
      </c>
      <c r="C564" s="2" t="s">
        <v>36</v>
      </c>
      <c r="D564" s="2">
        <v>527</v>
      </c>
      <c r="E564" s="2" t="s">
        <v>45</v>
      </c>
      <c r="F564" s="2">
        <v>1</v>
      </c>
      <c r="G564" s="2">
        <v>4</v>
      </c>
      <c r="H564" s="2" t="s">
        <v>49</v>
      </c>
      <c r="I564" s="2">
        <v>1</v>
      </c>
      <c r="J564" s="2">
        <v>780</v>
      </c>
      <c r="K564" s="2">
        <v>4</v>
      </c>
      <c r="L564" s="2" t="s">
        <v>46</v>
      </c>
      <c r="M564" s="2">
        <v>63</v>
      </c>
      <c r="N564" s="2">
        <v>3</v>
      </c>
      <c r="O564" s="2">
        <v>1</v>
      </c>
      <c r="P564" s="2" t="s">
        <v>47</v>
      </c>
      <c r="Q564" s="2">
        <v>4</v>
      </c>
      <c r="R564" s="2" t="s">
        <v>41</v>
      </c>
      <c r="S564" s="2">
        <v>2686</v>
      </c>
      <c r="T564" s="2">
        <v>5207</v>
      </c>
      <c r="U564" s="2">
        <v>1</v>
      </c>
      <c r="V564" s="2" t="s">
        <v>42</v>
      </c>
      <c r="W564" s="2" t="s">
        <v>35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</row>
    <row r="565" spans="1:35" x14ac:dyDescent="0.25">
      <c r="A565" s="2">
        <v>25</v>
      </c>
      <c r="B565" s="2" t="s">
        <v>43</v>
      </c>
      <c r="C565" s="2" t="s">
        <v>36</v>
      </c>
      <c r="D565" s="2">
        <v>883</v>
      </c>
      <c r="E565" s="2" t="s">
        <v>37</v>
      </c>
      <c r="F565" s="2">
        <v>26</v>
      </c>
      <c r="G565" s="2">
        <v>1</v>
      </c>
      <c r="H565" s="2" t="s">
        <v>51</v>
      </c>
      <c r="I565" s="2">
        <v>1</v>
      </c>
      <c r="J565" s="2">
        <v>781</v>
      </c>
      <c r="K565" s="2">
        <v>3</v>
      </c>
      <c r="L565" s="2" t="s">
        <v>39</v>
      </c>
      <c r="M565" s="2">
        <v>32</v>
      </c>
      <c r="N565" s="2">
        <v>3</v>
      </c>
      <c r="O565" s="2">
        <v>2</v>
      </c>
      <c r="P565" s="2" t="s">
        <v>40</v>
      </c>
      <c r="Q565" s="2">
        <v>4</v>
      </c>
      <c r="R565" s="2" t="s">
        <v>41</v>
      </c>
      <c r="S565" s="2">
        <v>6180</v>
      </c>
      <c r="T565" s="2">
        <v>22807</v>
      </c>
      <c r="U565" s="2">
        <v>1</v>
      </c>
      <c r="V565" s="2" t="s">
        <v>42</v>
      </c>
      <c r="W565" s="2" t="s">
        <v>43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</row>
    <row r="566" spans="1:35" x14ac:dyDescent="0.25">
      <c r="A566" s="2">
        <v>45</v>
      </c>
      <c r="B566" s="2" t="s">
        <v>43</v>
      </c>
      <c r="C566" s="2" t="s">
        <v>36</v>
      </c>
      <c r="D566" s="2">
        <v>954</v>
      </c>
      <c r="E566" s="2" t="s">
        <v>37</v>
      </c>
      <c r="F566" s="2">
        <v>2</v>
      </c>
      <c r="G566" s="2">
        <v>2</v>
      </c>
      <c r="H566" s="2" t="s">
        <v>60</v>
      </c>
      <c r="I566" s="2">
        <v>1</v>
      </c>
      <c r="J566" s="2">
        <v>783</v>
      </c>
      <c r="K566" s="2">
        <v>2</v>
      </c>
      <c r="L566" s="2" t="s">
        <v>46</v>
      </c>
      <c r="M566" s="2">
        <v>46</v>
      </c>
      <c r="N566" s="2">
        <v>1</v>
      </c>
      <c r="O566" s="2">
        <v>2</v>
      </c>
      <c r="P566" s="2" t="s">
        <v>57</v>
      </c>
      <c r="Q566" s="2">
        <v>3</v>
      </c>
      <c r="R566" s="2" t="s">
        <v>41</v>
      </c>
      <c r="S566" s="2">
        <v>6632</v>
      </c>
      <c r="T566" s="2">
        <v>12388</v>
      </c>
      <c r="U566" s="2">
        <v>0</v>
      </c>
      <c r="V566" s="2" t="s">
        <v>42</v>
      </c>
      <c r="W566" s="2" t="s">
        <v>43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</row>
    <row r="567" spans="1:35" x14ac:dyDescent="0.25">
      <c r="A567" s="2">
        <v>23</v>
      </c>
      <c r="B567" s="2" t="s">
        <v>43</v>
      </c>
      <c r="C567" s="2" t="s">
        <v>36</v>
      </c>
      <c r="D567" s="2">
        <v>310</v>
      </c>
      <c r="E567" s="2" t="s">
        <v>45</v>
      </c>
      <c r="F567" s="2">
        <v>10</v>
      </c>
      <c r="G567" s="2">
        <v>1</v>
      </c>
      <c r="H567" s="2" t="s">
        <v>51</v>
      </c>
      <c r="I567" s="2">
        <v>1</v>
      </c>
      <c r="J567" s="2">
        <v>784</v>
      </c>
      <c r="K567" s="2">
        <v>1</v>
      </c>
      <c r="L567" s="2" t="s">
        <v>46</v>
      </c>
      <c r="M567" s="2">
        <v>79</v>
      </c>
      <c r="N567" s="2">
        <v>4</v>
      </c>
      <c r="O567" s="2">
        <v>1</v>
      </c>
      <c r="P567" s="2" t="s">
        <v>47</v>
      </c>
      <c r="Q567" s="2">
        <v>3</v>
      </c>
      <c r="R567" s="2" t="s">
        <v>41</v>
      </c>
      <c r="S567" s="2">
        <v>3505</v>
      </c>
      <c r="T567" s="2">
        <v>19630</v>
      </c>
      <c r="U567" s="2">
        <v>1</v>
      </c>
      <c r="V567" s="2" t="s">
        <v>42</v>
      </c>
      <c r="W567" s="2" t="s">
        <v>43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</row>
    <row r="568" spans="1:35" x14ac:dyDescent="0.25">
      <c r="A568" s="2">
        <v>47</v>
      </c>
      <c r="B568" s="2" t="s">
        <v>35</v>
      </c>
      <c r="C568" s="2" t="s">
        <v>44</v>
      </c>
      <c r="D568" s="2">
        <v>719</v>
      </c>
      <c r="E568" s="2" t="s">
        <v>37</v>
      </c>
      <c r="F568" s="2">
        <v>27</v>
      </c>
      <c r="G568" s="2">
        <v>2</v>
      </c>
      <c r="H568" s="2" t="s">
        <v>38</v>
      </c>
      <c r="I568" s="2">
        <v>1</v>
      </c>
      <c r="J568" s="2">
        <v>785</v>
      </c>
      <c r="K568" s="2">
        <v>2</v>
      </c>
      <c r="L568" s="2" t="s">
        <v>39</v>
      </c>
      <c r="M568" s="2">
        <v>77</v>
      </c>
      <c r="N568" s="2">
        <v>4</v>
      </c>
      <c r="O568" s="2">
        <v>2</v>
      </c>
      <c r="P568" s="2" t="s">
        <v>40</v>
      </c>
      <c r="Q568" s="2">
        <v>3</v>
      </c>
      <c r="R568" s="2" t="s">
        <v>41</v>
      </c>
      <c r="S568" s="2">
        <v>6397</v>
      </c>
      <c r="T568" s="2">
        <v>10339</v>
      </c>
      <c r="U568" s="2">
        <v>4</v>
      </c>
      <c r="V568" s="2" t="s">
        <v>42</v>
      </c>
      <c r="W568" s="2" t="s">
        <v>35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</row>
    <row r="569" spans="1:35" x14ac:dyDescent="0.25">
      <c r="A569" s="2">
        <v>34</v>
      </c>
      <c r="B569" s="2" t="s">
        <v>43</v>
      </c>
      <c r="C569" s="2" t="s">
        <v>36</v>
      </c>
      <c r="D569" s="2">
        <v>304</v>
      </c>
      <c r="E569" s="2" t="s">
        <v>37</v>
      </c>
      <c r="F569" s="2">
        <v>2</v>
      </c>
      <c r="G569" s="2">
        <v>3</v>
      </c>
      <c r="H569" s="2" t="s">
        <v>49</v>
      </c>
      <c r="I569" s="2">
        <v>1</v>
      </c>
      <c r="J569" s="2">
        <v>786</v>
      </c>
      <c r="K569" s="2">
        <v>4</v>
      </c>
      <c r="L569" s="2" t="s">
        <v>46</v>
      </c>
      <c r="M569" s="2">
        <v>60</v>
      </c>
      <c r="N569" s="2">
        <v>3</v>
      </c>
      <c r="O569" s="2">
        <v>2</v>
      </c>
      <c r="P569" s="2" t="s">
        <v>40</v>
      </c>
      <c r="Q569" s="2">
        <v>4</v>
      </c>
      <c r="R569" s="2" t="s">
        <v>41</v>
      </c>
      <c r="S569" s="2">
        <v>6274</v>
      </c>
      <c r="T569" s="2">
        <v>18686</v>
      </c>
      <c r="U569" s="2">
        <v>1</v>
      </c>
      <c r="V569" s="2" t="s">
        <v>42</v>
      </c>
      <c r="W569" s="2" t="s">
        <v>43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</row>
    <row r="570" spans="1:35" x14ac:dyDescent="0.25">
      <c r="A570" s="2">
        <v>55</v>
      </c>
      <c r="B570" s="2" t="s">
        <v>35</v>
      </c>
      <c r="C570" s="2" t="s">
        <v>36</v>
      </c>
      <c r="D570" s="2">
        <v>725</v>
      </c>
      <c r="E570" s="2" t="s">
        <v>45</v>
      </c>
      <c r="F570" s="2">
        <v>2</v>
      </c>
      <c r="G570" s="2">
        <v>3</v>
      </c>
      <c r="H570" s="2" t="s">
        <v>51</v>
      </c>
      <c r="I570" s="2">
        <v>1</v>
      </c>
      <c r="J570" s="2">
        <v>787</v>
      </c>
      <c r="K570" s="2">
        <v>4</v>
      </c>
      <c r="L570" s="2" t="s">
        <v>46</v>
      </c>
      <c r="M570" s="2">
        <v>78</v>
      </c>
      <c r="N570" s="2">
        <v>3</v>
      </c>
      <c r="O570" s="2">
        <v>5</v>
      </c>
      <c r="P570" s="2" t="s">
        <v>56</v>
      </c>
      <c r="Q570" s="2">
        <v>1</v>
      </c>
      <c r="R570" s="2" t="s">
        <v>48</v>
      </c>
      <c r="S570" s="2">
        <v>19859</v>
      </c>
      <c r="T570" s="2">
        <v>21199</v>
      </c>
      <c r="U570" s="2">
        <v>5</v>
      </c>
      <c r="V570" s="2" t="s">
        <v>42</v>
      </c>
      <c r="W570" s="2" t="s">
        <v>35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</row>
    <row r="571" spans="1:35" x14ac:dyDescent="0.25">
      <c r="A571" s="2">
        <v>36</v>
      </c>
      <c r="B571" s="2" t="s">
        <v>43</v>
      </c>
      <c r="C571" s="2" t="s">
        <v>55</v>
      </c>
      <c r="D571" s="2">
        <v>1434</v>
      </c>
      <c r="E571" s="2" t="s">
        <v>37</v>
      </c>
      <c r="F571" s="2">
        <v>8</v>
      </c>
      <c r="G571" s="2">
        <v>4</v>
      </c>
      <c r="H571" s="2" t="s">
        <v>38</v>
      </c>
      <c r="I571" s="2">
        <v>1</v>
      </c>
      <c r="J571" s="2">
        <v>789</v>
      </c>
      <c r="K571" s="2">
        <v>1</v>
      </c>
      <c r="L571" s="2" t="s">
        <v>46</v>
      </c>
      <c r="M571" s="2">
        <v>76</v>
      </c>
      <c r="N571" s="2">
        <v>2</v>
      </c>
      <c r="O571" s="2">
        <v>3</v>
      </c>
      <c r="P571" s="2" t="s">
        <v>40</v>
      </c>
      <c r="Q571" s="2">
        <v>1</v>
      </c>
      <c r="R571" s="2" t="s">
        <v>41</v>
      </c>
      <c r="S571" s="2">
        <v>7587</v>
      </c>
      <c r="T571" s="2">
        <v>14229</v>
      </c>
      <c r="U571" s="2">
        <v>1</v>
      </c>
      <c r="V571" s="2" t="s">
        <v>42</v>
      </c>
      <c r="W571" s="2" t="s">
        <v>43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</row>
    <row r="572" spans="1:35" x14ac:dyDescent="0.25">
      <c r="A572" s="2">
        <v>52</v>
      </c>
      <c r="B572" s="2" t="s">
        <v>43</v>
      </c>
      <c r="C572" s="2" t="s">
        <v>55</v>
      </c>
      <c r="D572" s="2">
        <v>715</v>
      </c>
      <c r="E572" s="2" t="s">
        <v>45</v>
      </c>
      <c r="F572" s="2">
        <v>19</v>
      </c>
      <c r="G572" s="2">
        <v>4</v>
      </c>
      <c r="H572" s="2" t="s">
        <v>51</v>
      </c>
      <c r="I572" s="2">
        <v>1</v>
      </c>
      <c r="J572" s="2">
        <v>791</v>
      </c>
      <c r="K572" s="2">
        <v>4</v>
      </c>
      <c r="L572" s="2" t="s">
        <v>46</v>
      </c>
      <c r="M572" s="2">
        <v>41</v>
      </c>
      <c r="N572" s="2">
        <v>3</v>
      </c>
      <c r="O572" s="2">
        <v>1</v>
      </c>
      <c r="P572" s="2" t="s">
        <v>47</v>
      </c>
      <c r="Q572" s="2">
        <v>4</v>
      </c>
      <c r="R572" s="2" t="s">
        <v>48</v>
      </c>
      <c r="S572" s="2">
        <v>4258</v>
      </c>
      <c r="T572" s="2">
        <v>26589</v>
      </c>
      <c r="U572" s="2">
        <v>0</v>
      </c>
      <c r="V572" s="2" t="s">
        <v>42</v>
      </c>
      <c r="W572" s="2" t="s">
        <v>43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</row>
    <row r="573" spans="1:35" x14ac:dyDescent="0.25">
      <c r="A573" s="2">
        <v>26</v>
      </c>
      <c r="B573" s="2" t="s">
        <v>43</v>
      </c>
      <c r="C573" s="2" t="s">
        <v>44</v>
      </c>
      <c r="D573" s="2">
        <v>575</v>
      </c>
      <c r="E573" s="2" t="s">
        <v>45</v>
      </c>
      <c r="F573" s="2">
        <v>1</v>
      </c>
      <c r="G573" s="2">
        <v>2</v>
      </c>
      <c r="H573" s="2" t="s">
        <v>38</v>
      </c>
      <c r="I573" s="2">
        <v>1</v>
      </c>
      <c r="J573" s="2">
        <v>792</v>
      </c>
      <c r="K573" s="2">
        <v>1</v>
      </c>
      <c r="L573" s="2" t="s">
        <v>39</v>
      </c>
      <c r="M573" s="2">
        <v>71</v>
      </c>
      <c r="N573" s="2">
        <v>1</v>
      </c>
      <c r="O573" s="2">
        <v>1</v>
      </c>
      <c r="P573" s="2" t="s">
        <v>50</v>
      </c>
      <c r="Q573" s="2">
        <v>4</v>
      </c>
      <c r="R573" s="2" t="s">
        <v>52</v>
      </c>
      <c r="S573" s="2">
        <v>4364</v>
      </c>
      <c r="T573" s="2">
        <v>5288</v>
      </c>
      <c r="U573" s="2">
        <v>3</v>
      </c>
      <c r="V573" s="2" t="s">
        <v>42</v>
      </c>
      <c r="W573" s="2" t="s">
        <v>43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</row>
    <row r="574" spans="1:35" x14ac:dyDescent="0.25">
      <c r="A574" s="2">
        <v>29</v>
      </c>
      <c r="B574" s="2" t="s">
        <v>43</v>
      </c>
      <c r="C574" s="2" t="s">
        <v>36</v>
      </c>
      <c r="D574" s="2">
        <v>657</v>
      </c>
      <c r="E574" s="2" t="s">
        <v>45</v>
      </c>
      <c r="F574" s="2">
        <v>27</v>
      </c>
      <c r="G574" s="2">
        <v>3</v>
      </c>
      <c r="H574" s="2" t="s">
        <v>51</v>
      </c>
      <c r="I574" s="2">
        <v>1</v>
      </c>
      <c r="J574" s="2">
        <v>793</v>
      </c>
      <c r="K574" s="2">
        <v>2</v>
      </c>
      <c r="L574" s="2" t="s">
        <v>39</v>
      </c>
      <c r="M574" s="2">
        <v>66</v>
      </c>
      <c r="N574" s="2">
        <v>3</v>
      </c>
      <c r="O574" s="2">
        <v>2</v>
      </c>
      <c r="P574" s="2" t="s">
        <v>54</v>
      </c>
      <c r="Q574" s="2">
        <v>3</v>
      </c>
      <c r="R574" s="2" t="s">
        <v>48</v>
      </c>
      <c r="S574" s="2">
        <v>4335</v>
      </c>
      <c r="T574" s="2">
        <v>25549</v>
      </c>
      <c r="U574" s="2">
        <v>4</v>
      </c>
      <c r="V574" s="2" t="s">
        <v>42</v>
      </c>
      <c r="W574" s="2" t="s">
        <v>43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</row>
    <row r="575" spans="1:35" x14ac:dyDescent="0.25">
      <c r="A575" s="2">
        <v>26</v>
      </c>
      <c r="B575" s="2" t="s">
        <v>35</v>
      </c>
      <c r="C575" s="2" t="s">
        <v>36</v>
      </c>
      <c r="D575" s="2">
        <v>1146</v>
      </c>
      <c r="E575" s="2" t="s">
        <v>37</v>
      </c>
      <c r="F575" s="2">
        <v>8</v>
      </c>
      <c r="G575" s="2">
        <v>3</v>
      </c>
      <c r="H575" s="2" t="s">
        <v>60</v>
      </c>
      <c r="I575" s="2">
        <v>1</v>
      </c>
      <c r="J575" s="2">
        <v>796</v>
      </c>
      <c r="K575" s="2">
        <v>4</v>
      </c>
      <c r="L575" s="2" t="s">
        <v>46</v>
      </c>
      <c r="M575" s="2">
        <v>38</v>
      </c>
      <c r="N575" s="2">
        <v>2</v>
      </c>
      <c r="O575" s="2">
        <v>2</v>
      </c>
      <c r="P575" s="2" t="s">
        <v>40</v>
      </c>
      <c r="Q575" s="2">
        <v>1</v>
      </c>
      <c r="R575" s="2" t="s">
        <v>41</v>
      </c>
      <c r="S575" s="2">
        <v>5326</v>
      </c>
      <c r="T575" s="2">
        <v>3064</v>
      </c>
      <c r="U575" s="2">
        <v>6</v>
      </c>
      <c r="V575" s="2" t="s">
        <v>42</v>
      </c>
      <c r="W575" s="2" t="s">
        <v>43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</row>
    <row r="576" spans="1:35" x14ac:dyDescent="0.25">
      <c r="A576" s="2">
        <v>34</v>
      </c>
      <c r="B576" s="2" t="s">
        <v>43</v>
      </c>
      <c r="C576" s="2" t="s">
        <v>36</v>
      </c>
      <c r="D576" s="2">
        <v>182</v>
      </c>
      <c r="E576" s="2" t="s">
        <v>45</v>
      </c>
      <c r="F576" s="2">
        <v>1</v>
      </c>
      <c r="G576" s="2">
        <v>4</v>
      </c>
      <c r="H576" s="2" t="s">
        <v>38</v>
      </c>
      <c r="I576" s="2">
        <v>1</v>
      </c>
      <c r="J576" s="2">
        <v>797</v>
      </c>
      <c r="K576" s="2">
        <v>2</v>
      </c>
      <c r="L576" s="2" t="s">
        <v>39</v>
      </c>
      <c r="M576" s="2">
        <v>72</v>
      </c>
      <c r="N576" s="2">
        <v>4</v>
      </c>
      <c r="O576" s="2">
        <v>1</v>
      </c>
      <c r="P576" s="2" t="s">
        <v>47</v>
      </c>
      <c r="Q576" s="2">
        <v>4</v>
      </c>
      <c r="R576" s="2" t="s">
        <v>41</v>
      </c>
      <c r="S576" s="2">
        <v>3280</v>
      </c>
      <c r="T576" s="2">
        <v>13551</v>
      </c>
      <c r="U576" s="2">
        <v>2</v>
      </c>
      <c r="V576" s="2" t="s">
        <v>42</v>
      </c>
      <c r="W576" s="2" t="s">
        <v>43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</row>
    <row r="577" spans="1:35" x14ac:dyDescent="0.25">
      <c r="A577" s="2">
        <v>54</v>
      </c>
      <c r="B577" s="2" t="s">
        <v>43</v>
      </c>
      <c r="C577" s="2" t="s">
        <v>36</v>
      </c>
      <c r="D577" s="2">
        <v>376</v>
      </c>
      <c r="E577" s="2" t="s">
        <v>45</v>
      </c>
      <c r="F577" s="2">
        <v>19</v>
      </c>
      <c r="G577" s="2">
        <v>4</v>
      </c>
      <c r="H577" s="2" t="s">
        <v>51</v>
      </c>
      <c r="I577" s="2">
        <v>1</v>
      </c>
      <c r="J577" s="2">
        <v>799</v>
      </c>
      <c r="K577" s="2">
        <v>4</v>
      </c>
      <c r="L577" s="2" t="s">
        <v>39</v>
      </c>
      <c r="M577" s="2">
        <v>95</v>
      </c>
      <c r="N577" s="2">
        <v>3</v>
      </c>
      <c r="O577" s="2">
        <v>2</v>
      </c>
      <c r="P577" s="2" t="s">
        <v>53</v>
      </c>
      <c r="Q577" s="2">
        <v>1</v>
      </c>
      <c r="R577" s="2" t="s">
        <v>52</v>
      </c>
      <c r="S577" s="2">
        <v>5485</v>
      </c>
      <c r="T577" s="2">
        <v>22670</v>
      </c>
      <c r="U577" s="2">
        <v>9</v>
      </c>
      <c r="V577" s="2" t="s">
        <v>42</v>
      </c>
      <c r="W577" s="2" t="s">
        <v>35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</row>
    <row r="578" spans="1:35" x14ac:dyDescent="0.25">
      <c r="A578" s="2">
        <v>27</v>
      </c>
      <c r="B578" s="2" t="s">
        <v>43</v>
      </c>
      <c r="C578" s="2" t="s">
        <v>44</v>
      </c>
      <c r="D578" s="2">
        <v>829</v>
      </c>
      <c r="E578" s="2" t="s">
        <v>37</v>
      </c>
      <c r="F578" s="2">
        <v>8</v>
      </c>
      <c r="G578" s="2">
        <v>1</v>
      </c>
      <c r="H578" s="2" t="s">
        <v>59</v>
      </c>
      <c r="I578" s="2">
        <v>1</v>
      </c>
      <c r="J578" s="2">
        <v>800</v>
      </c>
      <c r="K578" s="2">
        <v>3</v>
      </c>
      <c r="L578" s="2" t="s">
        <v>46</v>
      </c>
      <c r="M578" s="2">
        <v>84</v>
      </c>
      <c r="N578" s="2">
        <v>3</v>
      </c>
      <c r="O578" s="2">
        <v>2</v>
      </c>
      <c r="P578" s="2" t="s">
        <v>40</v>
      </c>
      <c r="Q578" s="2">
        <v>4</v>
      </c>
      <c r="R578" s="2" t="s">
        <v>48</v>
      </c>
      <c r="S578" s="2">
        <v>4342</v>
      </c>
      <c r="T578" s="2">
        <v>24008</v>
      </c>
      <c r="U578" s="2">
        <v>0</v>
      </c>
      <c r="V578" s="2" t="s">
        <v>42</v>
      </c>
      <c r="W578" s="2" t="s">
        <v>43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</row>
    <row r="579" spans="1:35" x14ac:dyDescent="0.25">
      <c r="A579" s="2">
        <v>37</v>
      </c>
      <c r="B579" s="2" t="s">
        <v>43</v>
      </c>
      <c r="C579" s="2" t="s">
        <v>36</v>
      </c>
      <c r="D579" s="2">
        <v>571</v>
      </c>
      <c r="E579" s="2" t="s">
        <v>45</v>
      </c>
      <c r="F579" s="2">
        <v>10</v>
      </c>
      <c r="G579" s="2">
        <v>1</v>
      </c>
      <c r="H579" s="2" t="s">
        <v>38</v>
      </c>
      <c r="I579" s="2">
        <v>1</v>
      </c>
      <c r="J579" s="2">
        <v>802</v>
      </c>
      <c r="K579" s="2">
        <v>4</v>
      </c>
      <c r="L579" s="2" t="s">
        <v>39</v>
      </c>
      <c r="M579" s="2">
        <v>82</v>
      </c>
      <c r="N579" s="2">
        <v>3</v>
      </c>
      <c r="O579" s="2">
        <v>1</v>
      </c>
      <c r="P579" s="2" t="s">
        <v>47</v>
      </c>
      <c r="Q579" s="2">
        <v>1</v>
      </c>
      <c r="R579" s="2" t="s">
        <v>52</v>
      </c>
      <c r="S579" s="2">
        <v>2782</v>
      </c>
      <c r="T579" s="2">
        <v>19905</v>
      </c>
      <c r="U579" s="2">
        <v>0</v>
      </c>
      <c r="V579" s="2" t="s">
        <v>42</v>
      </c>
      <c r="W579" s="2" t="s">
        <v>35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</row>
    <row r="580" spans="1:35" x14ac:dyDescent="0.25">
      <c r="A580" s="2">
        <v>38</v>
      </c>
      <c r="B580" s="2" t="s">
        <v>43</v>
      </c>
      <c r="C580" s="2" t="s">
        <v>44</v>
      </c>
      <c r="D580" s="2">
        <v>240</v>
      </c>
      <c r="E580" s="2" t="s">
        <v>45</v>
      </c>
      <c r="F580" s="2">
        <v>2</v>
      </c>
      <c r="G580" s="2">
        <v>4</v>
      </c>
      <c r="H580" s="2" t="s">
        <v>38</v>
      </c>
      <c r="I580" s="2">
        <v>1</v>
      </c>
      <c r="J580" s="2">
        <v>803</v>
      </c>
      <c r="K580" s="2">
        <v>1</v>
      </c>
      <c r="L580" s="2" t="s">
        <v>39</v>
      </c>
      <c r="M580" s="2">
        <v>75</v>
      </c>
      <c r="N580" s="2">
        <v>4</v>
      </c>
      <c r="O580" s="2">
        <v>2</v>
      </c>
      <c r="P580" s="2" t="s">
        <v>53</v>
      </c>
      <c r="Q580" s="2">
        <v>1</v>
      </c>
      <c r="R580" s="2" t="s">
        <v>41</v>
      </c>
      <c r="S580" s="2">
        <v>5980</v>
      </c>
      <c r="T580" s="2">
        <v>26085</v>
      </c>
      <c r="U580" s="2">
        <v>6</v>
      </c>
      <c r="V580" s="2" t="s">
        <v>42</v>
      </c>
      <c r="W580" s="2" t="s">
        <v>35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</row>
    <row r="581" spans="1:35" x14ac:dyDescent="0.25">
      <c r="A581" s="2">
        <v>34</v>
      </c>
      <c r="B581" s="2" t="s">
        <v>43</v>
      </c>
      <c r="C581" s="2" t="s">
        <v>36</v>
      </c>
      <c r="D581" s="2">
        <v>121</v>
      </c>
      <c r="E581" s="2" t="s">
        <v>45</v>
      </c>
      <c r="F581" s="2">
        <v>2</v>
      </c>
      <c r="G581" s="2">
        <v>4</v>
      </c>
      <c r="H581" s="2" t="s">
        <v>51</v>
      </c>
      <c r="I581" s="2">
        <v>1</v>
      </c>
      <c r="J581" s="2">
        <v>804</v>
      </c>
      <c r="K581" s="2">
        <v>3</v>
      </c>
      <c r="L581" s="2" t="s">
        <v>39</v>
      </c>
      <c r="M581" s="2">
        <v>86</v>
      </c>
      <c r="N581" s="2">
        <v>2</v>
      </c>
      <c r="O581" s="2">
        <v>1</v>
      </c>
      <c r="P581" s="2" t="s">
        <v>47</v>
      </c>
      <c r="Q581" s="2">
        <v>1</v>
      </c>
      <c r="R581" s="2" t="s">
        <v>41</v>
      </c>
      <c r="S581" s="2">
        <v>4381</v>
      </c>
      <c r="T581" s="2">
        <v>7530</v>
      </c>
      <c r="U581" s="2">
        <v>1</v>
      </c>
      <c r="V581" s="2" t="s">
        <v>42</v>
      </c>
      <c r="W581" s="2" t="s">
        <v>43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</row>
    <row r="582" spans="1:35" x14ac:dyDescent="0.25">
      <c r="A582" s="2">
        <v>35</v>
      </c>
      <c r="B582" s="2" t="s">
        <v>43</v>
      </c>
      <c r="C582" s="2" t="s">
        <v>36</v>
      </c>
      <c r="D582" s="2">
        <v>384</v>
      </c>
      <c r="E582" s="2" t="s">
        <v>37</v>
      </c>
      <c r="F582" s="2">
        <v>8</v>
      </c>
      <c r="G582" s="2">
        <v>4</v>
      </c>
      <c r="H582" s="2" t="s">
        <v>38</v>
      </c>
      <c r="I582" s="2">
        <v>1</v>
      </c>
      <c r="J582" s="2">
        <v>805</v>
      </c>
      <c r="K582" s="2">
        <v>1</v>
      </c>
      <c r="L582" s="2" t="s">
        <v>39</v>
      </c>
      <c r="M582" s="2">
        <v>72</v>
      </c>
      <c r="N582" s="2">
        <v>3</v>
      </c>
      <c r="O582" s="2">
        <v>1</v>
      </c>
      <c r="P582" s="2" t="s">
        <v>57</v>
      </c>
      <c r="Q582" s="2">
        <v>4</v>
      </c>
      <c r="R582" s="2" t="s">
        <v>48</v>
      </c>
      <c r="S582" s="2">
        <v>2572</v>
      </c>
      <c r="T582" s="2">
        <v>20317</v>
      </c>
      <c r="U582" s="2">
        <v>1</v>
      </c>
      <c r="V582" s="2" t="s">
        <v>42</v>
      </c>
      <c r="W582" s="2" t="s">
        <v>43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</row>
    <row r="583" spans="1:35" x14ac:dyDescent="0.25">
      <c r="A583" s="2">
        <v>30</v>
      </c>
      <c r="B583" s="2" t="s">
        <v>43</v>
      </c>
      <c r="C583" s="2" t="s">
        <v>36</v>
      </c>
      <c r="D583" s="2">
        <v>921</v>
      </c>
      <c r="E583" s="2" t="s">
        <v>45</v>
      </c>
      <c r="F583" s="2">
        <v>1</v>
      </c>
      <c r="G583" s="2">
        <v>3</v>
      </c>
      <c r="H583" s="2" t="s">
        <v>38</v>
      </c>
      <c r="I583" s="2">
        <v>1</v>
      </c>
      <c r="J583" s="2">
        <v>806</v>
      </c>
      <c r="K583" s="2">
        <v>4</v>
      </c>
      <c r="L583" s="2" t="s">
        <v>46</v>
      </c>
      <c r="M583" s="2">
        <v>38</v>
      </c>
      <c r="N583" s="2">
        <v>1</v>
      </c>
      <c r="O583" s="2">
        <v>1</v>
      </c>
      <c r="P583" s="2" t="s">
        <v>50</v>
      </c>
      <c r="Q583" s="2">
        <v>3</v>
      </c>
      <c r="R583" s="2" t="s">
        <v>48</v>
      </c>
      <c r="S583" s="2">
        <v>3833</v>
      </c>
      <c r="T583" s="2">
        <v>24375</v>
      </c>
      <c r="U583" s="2">
        <v>3</v>
      </c>
      <c r="V583" s="2" t="s">
        <v>42</v>
      </c>
      <c r="W583" s="2" t="s">
        <v>43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</row>
    <row r="584" spans="1:35" x14ac:dyDescent="0.25">
      <c r="A584" s="2">
        <v>40</v>
      </c>
      <c r="B584" s="2" t="s">
        <v>43</v>
      </c>
      <c r="C584" s="2" t="s">
        <v>44</v>
      </c>
      <c r="D584" s="2">
        <v>791</v>
      </c>
      <c r="E584" s="2" t="s">
        <v>45</v>
      </c>
      <c r="F584" s="2">
        <v>2</v>
      </c>
      <c r="G584" s="2">
        <v>2</v>
      </c>
      <c r="H584" s="2" t="s">
        <v>51</v>
      </c>
      <c r="I584" s="2">
        <v>1</v>
      </c>
      <c r="J584" s="2">
        <v>807</v>
      </c>
      <c r="K584" s="2">
        <v>3</v>
      </c>
      <c r="L584" s="2" t="s">
        <v>39</v>
      </c>
      <c r="M584" s="2">
        <v>38</v>
      </c>
      <c r="N584" s="2">
        <v>4</v>
      </c>
      <c r="O584" s="2">
        <v>2</v>
      </c>
      <c r="P584" s="2" t="s">
        <v>54</v>
      </c>
      <c r="Q584" s="2">
        <v>2</v>
      </c>
      <c r="R584" s="2" t="s">
        <v>48</v>
      </c>
      <c r="S584" s="2">
        <v>4244</v>
      </c>
      <c r="T584" s="2">
        <v>9931</v>
      </c>
      <c r="U584" s="2">
        <v>1</v>
      </c>
      <c r="V584" s="2" t="s">
        <v>42</v>
      </c>
      <c r="W584" s="2" t="s">
        <v>43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</row>
    <row r="585" spans="1:35" x14ac:dyDescent="0.25">
      <c r="A585" s="2">
        <v>34</v>
      </c>
      <c r="B585" s="2" t="s">
        <v>43</v>
      </c>
      <c r="C585" s="2" t="s">
        <v>36</v>
      </c>
      <c r="D585" s="2">
        <v>1111</v>
      </c>
      <c r="E585" s="2" t="s">
        <v>37</v>
      </c>
      <c r="F585" s="2">
        <v>8</v>
      </c>
      <c r="G585" s="2">
        <v>2</v>
      </c>
      <c r="H585" s="2" t="s">
        <v>38</v>
      </c>
      <c r="I585" s="2">
        <v>1</v>
      </c>
      <c r="J585" s="2">
        <v>808</v>
      </c>
      <c r="K585" s="2">
        <v>3</v>
      </c>
      <c r="L585" s="2" t="s">
        <v>39</v>
      </c>
      <c r="M585" s="2">
        <v>93</v>
      </c>
      <c r="N585" s="2">
        <v>3</v>
      </c>
      <c r="O585" s="2">
        <v>2</v>
      </c>
      <c r="P585" s="2" t="s">
        <v>40</v>
      </c>
      <c r="Q585" s="2">
        <v>1</v>
      </c>
      <c r="R585" s="2" t="s">
        <v>48</v>
      </c>
      <c r="S585" s="2">
        <v>6500</v>
      </c>
      <c r="T585" s="2">
        <v>13305</v>
      </c>
      <c r="U585" s="2">
        <v>5</v>
      </c>
      <c r="V585" s="2" t="s">
        <v>42</v>
      </c>
      <c r="W585" s="2" t="s">
        <v>43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</row>
    <row r="586" spans="1:35" x14ac:dyDescent="0.25">
      <c r="A586" s="2">
        <v>42</v>
      </c>
      <c r="B586" s="2" t="s">
        <v>43</v>
      </c>
      <c r="C586" s="2" t="s">
        <v>44</v>
      </c>
      <c r="D586" s="2">
        <v>570</v>
      </c>
      <c r="E586" s="2" t="s">
        <v>45</v>
      </c>
      <c r="F586" s="2">
        <v>8</v>
      </c>
      <c r="G586" s="2">
        <v>3</v>
      </c>
      <c r="H586" s="2" t="s">
        <v>38</v>
      </c>
      <c r="I586" s="2">
        <v>1</v>
      </c>
      <c r="J586" s="2">
        <v>809</v>
      </c>
      <c r="K586" s="2">
        <v>2</v>
      </c>
      <c r="L586" s="2" t="s">
        <v>46</v>
      </c>
      <c r="M586" s="2">
        <v>66</v>
      </c>
      <c r="N586" s="2">
        <v>3</v>
      </c>
      <c r="O586" s="2">
        <v>5</v>
      </c>
      <c r="P586" s="2" t="s">
        <v>56</v>
      </c>
      <c r="Q586" s="2">
        <v>4</v>
      </c>
      <c r="R586" s="2" t="s">
        <v>52</v>
      </c>
      <c r="S586" s="2">
        <v>18430</v>
      </c>
      <c r="T586" s="2">
        <v>16225</v>
      </c>
      <c r="U586" s="2">
        <v>1</v>
      </c>
      <c r="V586" s="2" t="s">
        <v>42</v>
      </c>
      <c r="W586" s="2" t="s">
        <v>43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</row>
    <row r="587" spans="1:35" x14ac:dyDescent="0.25">
      <c r="A587" s="2">
        <v>23</v>
      </c>
      <c r="B587" s="2" t="s">
        <v>35</v>
      </c>
      <c r="C587" s="2" t="s">
        <v>36</v>
      </c>
      <c r="D587" s="2">
        <v>1243</v>
      </c>
      <c r="E587" s="2" t="s">
        <v>45</v>
      </c>
      <c r="F587" s="2">
        <v>6</v>
      </c>
      <c r="G587" s="2">
        <v>3</v>
      </c>
      <c r="H587" s="2" t="s">
        <v>38</v>
      </c>
      <c r="I587" s="2">
        <v>1</v>
      </c>
      <c r="J587" s="2">
        <v>811</v>
      </c>
      <c r="K587" s="2">
        <v>3</v>
      </c>
      <c r="L587" s="2" t="s">
        <v>46</v>
      </c>
      <c r="M587" s="2">
        <v>63</v>
      </c>
      <c r="N587" s="2">
        <v>4</v>
      </c>
      <c r="O587" s="2">
        <v>1</v>
      </c>
      <c r="P587" s="2" t="s">
        <v>50</v>
      </c>
      <c r="Q587" s="2">
        <v>1</v>
      </c>
      <c r="R587" s="2" t="s">
        <v>48</v>
      </c>
      <c r="S587" s="2">
        <v>1601</v>
      </c>
      <c r="T587" s="2">
        <v>3445</v>
      </c>
      <c r="U587" s="2">
        <v>1</v>
      </c>
      <c r="V587" s="2" t="s">
        <v>42</v>
      </c>
      <c r="W587" s="2" t="s">
        <v>35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</row>
    <row r="588" spans="1:35" x14ac:dyDescent="0.25">
      <c r="A588" s="2">
        <v>24</v>
      </c>
      <c r="B588" s="2" t="s">
        <v>43</v>
      </c>
      <c r="C588" s="2" t="s">
        <v>55</v>
      </c>
      <c r="D588" s="2">
        <v>1092</v>
      </c>
      <c r="E588" s="2" t="s">
        <v>45</v>
      </c>
      <c r="F588" s="2">
        <v>9</v>
      </c>
      <c r="G588" s="2">
        <v>3</v>
      </c>
      <c r="H588" s="2" t="s">
        <v>38</v>
      </c>
      <c r="I588" s="2">
        <v>1</v>
      </c>
      <c r="J588" s="2">
        <v>812</v>
      </c>
      <c r="K588" s="2">
        <v>3</v>
      </c>
      <c r="L588" s="2" t="s">
        <v>46</v>
      </c>
      <c r="M588" s="2">
        <v>60</v>
      </c>
      <c r="N588" s="2">
        <v>2</v>
      </c>
      <c r="O588" s="2">
        <v>1</v>
      </c>
      <c r="P588" s="2" t="s">
        <v>50</v>
      </c>
      <c r="Q588" s="2">
        <v>2</v>
      </c>
      <c r="R588" s="2" t="s">
        <v>52</v>
      </c>
      <c r="S588" s="2">
        <v>2694</v>
      </c>
      <c r="T588" s="2">
        <v>26551</v>
      </c>
      <c r="U588" s="2">
        <v>1</v>
      </c>
      <c r="V588" s="2" t="s">
        <v>42</v>
      </c>
      <c r="W588" s="2" t="s">
        <v>43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</row>
    <row r="589" spans="1:35" x14ac:dyDescent="0.25">
      <c r="A589" s="2">
        <v>52</v>
      </c>
      <c r="B589" s="2" t="s">
        <v>43</v>
      </c>
      <c r="C589" s="2" t="s">
        <v>36</v>
      </c>
      <c r="D589" s="2">
        <v>1325</v>
      </c>
      <c r="E589" s="2" t="s">
        <v>45</v>
      </c>
      <c r="F589" s="2">
        <v>11</v>
      </c>
      <c r="G589" s="2">
        <v>4</v>
      </c>
      <c r="H589" s="2" t="s">
        <v>38</v>
      </c>
      <c r="I589" s="2">
        <v>1</v>
      </c>
      <c r="J589" s="2">
        <v>813</v>
      </c>
      <c r="K589" s="2">
        <v>4</v>
      </c>
      <c r="L589" s="2" t="s">
        <v>39</v>
      </c>
      <c r="M589" s="2">
        <v>82</v>
      </c>
      <c r="N589" s="2">
        <v>3</v>
      </c>
      <c r="O589" s="2">
        <v>2</v>
      </c>
      <c r="P589" s="2" t="s">
        <v>50</v>
      </c>
      <c r="Q589" s="2">
        <v>3</v>
      </c>
      <c r="R589" s="2" t="s">
        <v>48</v>
      </c>
      <c r="S589" s="2">
        <v>3149</v>
      </c>
      <c r="T589" s="2">
        <v>21821</v>
      </c>
      <c r="U589" s="2">
        <v>8</v>
      </c>
      <c r="V589" s="2" t="s">
        <v>42</v>
      </c>
      <c r="W589" s="2" t="s">
        <v>43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</row>
    <row r="590" spans="1:35" x14ac:dyDescent="0.25">
      <c r="A590" s="2">
        <v>50</v>
      </c>
      <c r="B590" s="2" t="s">
        <v>43</v>
      </c>
      <c r="C590" s="2" t="s">
        <v>36</v>
      </c>
      <c r="D590" s="2">
        <v>691</v>
      </c>
      <c r="E590" s="2" t="s">
        <v>45</v>
      </c>
      <c r="F590" s="2">
        <v>2</v>
      </c>
      <c r="G590" s="2">
        <v>3</v>
      </c>
      <c r="H590" s="2" t="s">
        <v>51</v>
      </c>
      <c r="I590" s="2">
        <v>1</v>
      </c>
      <c r="J590" s="2">
        <v>815</v>
      </c>
      <c r="K590" s="2">
        <v>3</v>
      </c>
      <c r="L590" s="2" t="s">
        <v>46</v>
      </c>
      <c r="M590" s="2">
        <v>64</v>
      </c>
      <c r="N590" s="2">
        <v>3</v>
      </c>
      <c r="O590" s="2">
        <v>4</v>
      </c>
      <c r="P590" s="2" t="s">
        <v>58</v>
      </c>
      <c r="Q590" s="2">
        <v>3</v>
      </c>
      <c r="R590" s="2" t="s">
        <v>48</v>
      </c>
      <c r="S590" s="2">
        <v>17639</v>
      </c>
      <c r="T590" s="2">
        <v>6881</v>
      </c>
      <c r="U590" s="2">
        <v>5</v>
      </c>
      <c r="V590" s="2" t="s">
        <v>42</v>
      </c>
      <c r="W590" s="2" t="s">
        <v>43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</row>
    <row r="591" spans="1:35" x14ac:dyDescent="0.25">
      <c r="A591" s="2">
        <v>29</v>
      </c>
      <c r="B591" s="2" t="s">
        <v>35</v>
      </c>
      <c r="C591" s="2" t="s">
        <v>36</v>
      </c>
      <c r="D591" s="2">
        <v>805</v>
      </c>
      <c r="E591" s="2" t="s">
        <v>45</v>
      </c>
      <c r="F591" s="2">
        <v>1</v>
      </c>
      <c r="G591" s="2">
        <v>2</v>
      </c>
      <c r="H591" s="2" t="s">
        <v>38</v>
      </c>
      <c r="I591" s="2">
        <v>1</v>
      </c>
      <c r="J591" s="2">
        <v>816</v>
      </c>
      <c r="K591" s="2">
        <v>2</v>
      </c>
      <c r="L591" s="2" t="s">
        <v>39</v>
      </c>
      <c r="M591" s="2">
        <v>36</v>
      </c>
      <c r="N591" s="2">
        <v>2</v>
      </c>
      <c r="O591" s="2">
        <v>1</v>
      </c>
      <c r="P591" s="2" t="s">
        <v>50</v>
      </c>
      <c r="Q591" s="2">
        <v>1</v>
      </c>
      <c r="R591" s="2" t="s">
        <v>48</v>
      </c>
      <c r="S591" s="2">
        <v>2319</v>
      </c>
      <c r="T591" s="2">
        <v>6689</v>
      </c>
      <c r="U591" s="2">
        <v>1</v>
      </c>
      <c r="V591" s="2" t="s">
        <v>42</v>
      </c>
      <c r="W591" s="2" t="s">
        <v>35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</row>
    <row r="592" spans="1:35" x14ac:dyDescent="0.25">
      <c r="A592" s="2">
        <v>33</v>
      </c>
      <c r="B592" s="2" t="s">
        <v>43</v>
      </c>
      <c r="C592" s="2" t="s">
        <v>36</v>
      </c>
      <c r="D592" s="2">
        <v>213</v>
      </c>
      <c r="E592" s="2" t="s">
        <v>45</v>
      </c>
      <c r="F592" s="2">
        <v>7</v>
      </c>
      <c r="G592" s="2">
        <v>3</v>
      </c>
      <c r="H592" s="2" t="s">
        <v>51</v>
      </c>
      <c r="I592" s="2">
        <v>1</v>
      </c>
      <c r="J592" s="2">
        <v>817</v>
      </c>
      <c r="K592" s="2">
        <v>3</v>
      </c>
      <c r="L592" s="2" t="s">
        <v>46</v>
      </c>
      <c r="M592" s="2">
        <v>49</v>
      </c>
      <c r="N592" s="2">
        <v>3</v>
      </c>
      <c r="O592" s="2">
        <v>3</v>
      </c>
      <c r="P592" s="2" t="s">
        <v>58</v>
      </c>
      <c r="Q592" s="2">
        <v>3</v>
      </c>
      <c r="R592" s="2" t="s">
        <v>48</v>
      </c>
      <c r="S592" s="2">
        <v>11691</v>
      </c>
      <c r="T592" s="2">
        <v>25995</v>
      </c>
      <c r="U592" s="2">
        <v>0</v>
      </c>
      <c r="V592" s="2" t="s">
        <v>42</v>
      </c>
      <c r="W592" s="2" t="s">
        <v>43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</row>
    <row r="593" spans="1:35" x14ac:dyDescent="0.25">
      <c r="A593" s="2">
        <v>33</v>
      </c>
      <c r="B593" s="2" t="s">
        <v>35</v>
      </c>
      <c r="C593" s="2" t="s">
        <v>36</v>
      </c>
      <c r="D593" s="2">
        <v>118</v>
      </c>
      <c r="E593" s="2" t="s">
        <v>37</v>
      </c>
      <c r="F593" s="2">
        <v>16</v>
      </c>
      <c r="G593" s="2">
        <v>3</v>
      </c>
      <c r="H593" s="2" t="s">
        <v>59</v>
      </c>
      <c r="I593" s="2">
        <v>1</v>
      </c>
      <c r="J593" s="2">
        <v>819</v>
      </c>
      <c r="K593" s="2">
        <v>1</v>
      </c>
      <c r="L593" s="2" t="s">
        <v>39</v>
      </c>
      <c r="M593" s="2">
        <v>69</v>
      </c>
      <c r="N593" s="2">
        <v>3</v>
      </c>
      <c r="O593" s="2">
        <v>2</v>
      </c>
      <c r="P593" s="2" t="s">
        <v>40</v>
      </c>
      <c r="Q593" s="2">
        <v>1</v>
      </c>
      <c r="R593" s="2" t="s">
        <v>41</v>
      </c>
      <c r="S593" s="2">
        <v>5324</v>
      </c>
      <c r="T593" s="2">
        <v>26507</v>
      </c>
      <c r="U593" s="2">
        <v>5</v>
      </c>
      <c r="V593" s="2" t="s">
        <v>42</v>
      </c>
      <c r="W593" s="2" t="s">
        <v>43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</row>
    <row r="594" spans="1:35" x14ac:dyDescent="0.25">
      <c r="A594" s="2">
        <v>47</v>
      </c>
      <c r="B594" s="2" t="s">
        <v>43</v>
      </c>
      <c r="C594" s="2" t="s">
        <v>36</v>
      </c>
      <c r="D594" s="2">
        <v>202</v>
      </c>
      <c r="E594" s="2" t="s">
        <v>45</v>
      </c>
      <c r="F594" s="2">
        <v>2</v>
      </c>
      <c r="G594" s="2">
        <v>2</v>
      </c>
      <c r="H594" s="2" t="s">
        <v>49</v>
      </c>
      <c r="I594" s="2">
        <v>1</v>
      </c>
      <c r="J594" s="2">
        <v>820</v>
      </c>
      <c r="K594" s="2">
        <v>3</v>
      </c>
      <c r="L594" s="2" t="s">
        <v>39</v>
      </c>
      <c r="M594" s="2">
        <v>33</v>
      </c>
      <c r="N594" s="2">
        <v>3</v>
      </c>
      <c r="O594" s="2">
        <v>4</v>
      </c>
      <c r="P594" s="2" t="s">
        <v>56</v>
      </c>
      <c r="Q594" s="2">
        <v>4</v>
      </c>
      <c r="R594" s="2" t="s">
        <v>48</v>
      </c>
      <c r="S594" s="2">
        <v>16752</v>
      </c>
      <c r="T594" s="2">
        <v>12982</v>
      </c>
      <c r="U594" s="2">
        <v>1</v>
      </c>
      <c r="V594" s="2" t="s">
        <v>42</v>
      </c>
      <c r="W594" s="2" t="s">
        <v>35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</row>
    <row r="595" spans="1:35" x14ac:dyDescent="0.25">
      <c r="A595" s="2">
        <v>36</v>
      </c>
      <c r="B595" s="2" t="s">
        <v>43</v>
      </c>
      <c r="C595" s="2" t="s">
        <v>36</v>
      </c>
      <c r="D595" s="2">
        <v>676</v>
      </c>
      <c r="E595" s="2" t="s">
        <v>45</v>
      </c>
      <c r="F595" s="2">
        <v>1</v>
      </c>
      <c r="G595" s="2">
        <v>3</v>
      </c>
      <c r="H595" s="2" t="s">
        <v>49</v>
      </c>
      <c r="I595" s="2">
        <v>1</v>
      </c>
      <c r="J595" s="2">
        <v>823</v>
      </c>
      <c r="K595" s="2">
        <v>3</v>
      </c>
      <c r="L595" s="2" t="s">
        <v>39</v>
      </c>
      <c r="M595" s="2">
        <v>35</v>
      </c>
      <c r="N595" s="2">
        <v>3</v>
      </c>
      <c r="O595" s="2">
        <v>2</v>
      </c>
      <c r="P595" s="2" t="s">
        <v>53</v>
      </c>
      <c r="Q595" s="2">
        <v>2</v>
      </c>
      <c r="R595" s="2" t="s">
        <v>48</v>
      </c>
      <c r="S595" s="2">
        <v>5228</v>
      </c>
      <c r="T595" s="2">
        <v>23361</v>
      </c>
      <c r="U595" s="2">
        <v>0</v>
      </c>
      <c r="V595" s="2" t="s">
        <v>42</v>
      </c>
      <c r="W595" s="2" t="s">
        <v>43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</row>
    <row r="596" spans="1:35" x14ac:dyDescent="0.25">
      <c r="A596" s="2">
        <v>29</v>
      </c>
      <c r="B596" s="2" t="s">
        <v>43</v>
      </c>
      <c r="C596" s="2" t="s">
        <v>36</v>
      </c>
      <c r="D596" s="2">
        <v>1252</v>
      </c>
      <c r="E596" s="2" t="s">
        <v>45</v>
      </c>
      <c r="F596" s="2">
        <v>23</v>
      </c>
      <c r="G596" s="2">
        <v>2</v>
      </c>
      <c r="H596" s="2" t="s">
        <v>38</v>
      </c>
      <c r="I596" s="2">
        <v>1</v>
      </c>
      <c r="J596" s="2">
        <v>824</v>
      </c>
      <c r="K596" s="2">
        <v>3</v>
      </c>
      <c r="L596" s="2" t="s">
        <v>46</v>
      </c>
      <c r="M596" s="2">
        <v>81</v>
      </c>
      <c r="N596" s="2">
        <v>4</v>
      </c>
      <c r="O596" s="2">
        <v>1</v>
      </c>
      <c r="P596" s="2" t="s">
        <v>47</v>
      </c>
      <c r="Q596" s="2">
        <v>3</v>
      </c>
      <c r="R596" s="2" t="s">
        <v>48</v>
      </c>
      <c r="S596" s="2">
        <v>2700</v>
      </c>
      <c r="T596" s="2">
        <v>23779</v>
      </c>
      <c r="U596" s="2">
        <v>1</v>
      </c>
      <c r="V596" s="2" t="s">
        <v>42</v>
      </c>
      <c r="W596" s="2" t="s">
        <v>43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</row>
    <row r="597" spans="1:35" x14ac:dyDescent="0.25">
      <c r="A597" s="2">
        <v>58</v>
      </c>
      <c r="B597" s="2" t="s">
        <v>35</v>
      </c>
      <c r="C597" s="2" t="s">
        <v>36</v>
      </c>
      <c r="D597" s="2">
        <v>286</v>
      </c>
      <c r="E597" s="2" t="s">
        <v>45</v>
      </c>
      <c r="F597" s="2">
        <v>2</v>
      </c>
      <c r="G597" s="2">
        <v>4</v>
      </c>
      <c r="H597" s="2" t="s">
        <v>38</v>
      </c>
      <c r="I597" s="2">
        <v>1</v>
      </c>
      <c r="J597" s="2">
        <v>825</v>
      </c>
      <c r="K597" s="2">
        <v>4</v>
      </c>
      <c r="L597" s="2" t="s">
        <v>46</v>
      </c>
      <c r="M597" s="2">
        <v>31</v>
      </c>
      <c r="N597" s="2">
        <v>3</v>
      </c>
      <c r="O597" s="2">
        <v>5</v>
      </c>
      <c r="P597" s="2" t="s">
        <v>58</v>
      </c>
      <c r="Q597" s="2">
        <v>2</v>
      </c>
      <c r="R597" s="2" t="s">
        <v>41</v>
      </c>
      <c r="S597" s="2">
        <v>19246</v>
      </c>
      <c r="T597" s="2">
        <v>25761</v>
      </c>
      <c r="U597" s="2">
        <v>7</v>
      </c>
      <c r="V597" s="2" t="s">
        <v>42</v>
      </c>
      <c r="W597" s="2" t="s">
        <v>35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</row>
    <row r="598" spans="1:35" x14ac:dyDescent="0.25">
      <c r="A598" s="2">
        <v>35</v>
      </c>
      <c r="B598" s="2" t="s">
        <v>43</v>
      </c>
      <c r="C598" s="2" t="s">
        <v>36</v>
      </c>
      <c r="D598" s="2">
        <v>1258</v>
      </c>
      <c r="E598" s="2" t="s">
        <v>45</v>
      </c>
      <c r="F598" s="2">
        <v>1</v>
      </c>
      <c r="G598" s="2">
        <v>4</v>
      </c>
      <c r="H598" s="2" t="s">
        <v>38</v>
      </c>
      <c r="I598" s="2">
        <v>1</v>
      </c>
      <c r="J598" s="2">
        <v>826</v>
      </c>
      <c r="K598" s="2">
        <v>4</v>
      </c>
      <c r="L598" s="2" t="s">
        <v>39</v>
      </c>
      <c r="M598" s="2">
        <v>40</v>
      </c>
      <c r="N598" s="2">
        <v>4</v>
      </c>
      <c r="O598" s="2">
        <v>1</v>
      </c>
      <c r="P598" s="2" t="s">
        <v>47</v>
      </c>
      <c r="Q598" s="2">
        <v>3</v>
      </c>
      <c r="R598" s="2" t="s">
        <v>41</v>
      </c>
      <c r="S598" s="2">
        <v>2506</v>
      </c>
      <c r="T598" s="2">
        <v>13301</v>
      </c>
      <c r="U598" s="2">
        <v>3</v>
      </c>
      <c r="V598" s="2" t="s">
        <v>42</v>
      </c>
      <c r="W598" s="2" t="s">
        <v>43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</row>
    <row r="599" spans="1:35" x14ac:dyDescent="0.25">
      <c r="A599" s="2">
        <v>42</v>
      </c>
      <c r="B599" s="2" t="s">
        <v>43</v>
      </c>
      <c r="C599" s="2" t="s">
        <v>36</v>
      </c>
      <c r="D599" s="2">
        <v>932</v>
      </c>
      <c r="E599" s="2" t="s">
        <v>45</v>
      </c>
      <c r="F599" s="2">
        <v>1</v>
      </c>
      <c r="G599" s="2">
        <v>2</v>
      </c>
      <c r="H599" s="2" t="s">
        <v>38</v>
      </c>
      <c r="I599" s="2">
        <v>1</v>
      </c>
      <c r="J599" s="2">
        <v>827</v>
      </c>
      <c r="K599" s="2">
        <v>4</v>
      </c>
      <c r="L599" s="2" t="s">
        <v>39</v>
      </c>
      <c r="M599" s="2">
        <v>43</v>
      </c>
      <c r="N599" s="2">
        <v>2</v>
      </c>
      <c r="O599" s="2">
        <v>2</v>
      </c>
      <c r="P599" s="2" t="s">
        <v>53</v>
      </c>
      <c r="Q599" s="2">
        <v>4</v>
      </c>
      <c r="R599" s="2" t="s">
        <v>48</v>
      </c>
      <c r="S599" s="2">
        <v>6062</v>
      </c>
      <c r="T599" s="2">
        <v>4051</v>
      </c>
      <c r="U599" s="2">
        <v>9</v>
      </c>
      <c r="V599" s="2" t="s">
        <v>42</v>
      </c>
      <c r="W599" s="2" t="s">
        <v>35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</row>
    <row r="600" spans="1:35" x14ac:dyDescent="0.25">
      <c r="A600" s="2">
        <v>28</v>
      </c>
      <c r="B600" s="2" t="s">
        <v>35</v>
      </c>
      <c r="C600" s="2" t="s">
        <v>36</v>
      </c>
      <c r="D600" s="2">
        <v>890</v>
      </c>
      <c r="E600" s="2" t="s">
        <v>45</v>
      </c>
      <c r="F600" s="2">
        <v>2</v>
      </c>
      <c r="G600" s="2">
        <v>4</v>
      </c>
      <c r="H600" s="2" t="s">
        <v>51</v>
      </c>
      <c r="I600" s="2">
        <v>1</v>
      </c>
      <c r="J600" s="2">
        <v>828</v>
      </c>
      <c r="K600" s="2">
        <v>3</v>
      </c>
      <c r="L600" s="2" t="s">
        <v>46</v>
      </c>
      <c r="M600" s="2">
        <v>46</v>
      </c>
      <c r="N600" s="2">
        <v>3</v>
      </c>
      <c r="O600" s="2">
        <v>1</v>
      </c>
      <c r="P600" s="2" t="s">
        <v>47</v>
      </c>
      <c r="Q600" s="2">
        <v>3</v>
      </c>
      <c r="R600" s="2" t="s">
        <v>41</v>
      </c>
      <c r="S600" s="2">
        <v>4382</v>
      </c>
      <c r="T600" s="2">
        <v>16374</v>
      </c>
      <c r="U600" s="2">
        <v>6</v>
      </c>
      <c r="V600" s="2" t="s">
        <v>42</v>
      </c>
      <c r="W600" s="2" t="s">
        <v>43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</row>
    <row r="601" spans="1:35" x14ac:dyDescent="0.25">
      <c r="A601" s="2">
        <v>36</v>
      </c>
      <c r="B601" s="2" t="s">
        <v>43</v>
      </c>
      <c r="C601" s="2" t="s">
        <v>36</v>
      </c>
      <c r="D601" s="2">
        <v>1041</v>
      </c>
      <c r="E601" s="2" t="s">
        <v>61</v>
      </c>
      <c r="F601" s="2">
        <v>13</v>
      </c>
      <c r="G601" s="2">
        <v>3</v>
      </c>
      <c r="H601" s="2" t="s">
        <v>61</v>
      </c>
      <c r="I601" s="2">
        <v>1</v>
      </c>
      <c r="J601" s="2">
        <v>829</v>
      </c>
      <c r="K601" s="2">
        <v>3</v>
      </c>
      <c r="L601" s="2" t="s">
        <v>46</v>
      </c>
      <c r="M601" s="2">
        <v>36</v>
      </c>
      <c r="N601" s="2">
        <v>3</v>
      </c>
      <c r="O601" s="2">
        <v>1</v>
      </c>
      <c r="P601" s="2" t="s">
        <v>61</v>
      </c>
      <c r="Q601" s="2">
        <v>2</v>
      </c>
      <c r="R601" s="2" t="s">
        <v>48</v>
      </c>
      <c r="S601" s="2">
        <v>2143</v>
      </c>
      <c r="T601" s="2">
        <v>25527</v>
      </c>
      <c r="U601" s="2">
        <v>4</v>
      </c>
      <c r="V601" s="2" t="s">
        <v>42</v>
      </c>
      <c r="W601" s="2" t="s">
        <v>43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</row>
    <row r="602" spans="1:35" x14ac:dyDescent="0.25">
      <c r="A602" s="2">
        <v>32</v>
      </c>
      <c r="B602" s="2" t="s">
        <v>43</v>
      </c>
      <c r="C602" s="2" t="s">
        <v>36</v>
      </c>
      <c r="D602" s="2">
        <v>859</v>
      </c>
      <c r="E602" s="2" t="s">
        <v>45</v>
      </c>
      <c r="F602" s="2">
        <v>4</v>
      </c>
      <c r="G602" s="2">
        <v>3</v>
      </c>
      <c r="H602" s="2" t="s">
        <v>38</v>
      </c>
      <c r="I602" s="2">
        <v>1</v>
      </c>
      <c r="J602" s="2">
        <v>830</v>
      </c>
      <c r="K602" s="2">
        <v>3</v>
      </c>
      <c r="L602" s="2" t="s">
        <v>39</v>
      </c>
      <c r="M602" s="2">
        <v>98</v>
      </c>
      <c r="N602" s="2">
        <v>2</v>
      </c>
      <c r="O602" s="2">
        <v>2</v>
      </c>
      <c r="P602" s="2" t="s">
        <v>53</v>
      </c>
      <c r="Q602" s="2">
        <v>3</v>
      </c>
      <c r="R602" s="2" t="s">
        <v>48</v>
      </c>
      <c r="S602" s="2">
        <v>6162</v>
      </c>
      <c r="T602" s="2">
        <v>19124</v>
      </c>
      <c r="U602" s="2">
        <v>1</v>
      </c>
      <c r="V602" s="2" t="s">
        <v>42</v>
      </c>
      <c r="W602" s="2" t="s">
        <v>43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</row>
    <row r="603" spans="1:35" x14ac:dyDescent="0.25">
      <c r="A603" s="2">
        <v>40</v>
      </c>
      <c r="B603" s="2" t="s">
        <v>43</v>
      </c>
      <c r="C603" s="2" t="s">
        <v>44</v>
      </c>
      <c r="D603" s="2">
        <v>720</v>
      </c>
      <c r="E603" s="2" t="s">
        <v>45</v>
      </c>
      <c r="F603" s="2">
        <v>16</v>
      </c>
      <c r="G603" s="2">
        <v>4</v>
      </c>
      <c r="H603" s="2" t="s">
        <v>51</v>
      </c>
      <c r="I603" s="2">
        <v>1</v>
      </c>
      <c r="J603" s="2">
        <v>832</v>
      </c>
      <c r="K603" s="2">
        <v>1</v>
      </c>
      <c r="L603" s="2" t="s">
        <v>46</v>
      </c>
      <c r="M603" s="2">
        <v>51</v>
      </c>
      <c r="N603" s="2">
        <v>2</v>
      </c>
      <c r="O603" s="2">
        <v>2</v>
      </c>
      <c r="P603" s="2" t="s">
        <v>50</v>
      </c>
      <c r="Q603" s="2">
        <v>3</v>
      </c>
      <c r="R603" s="2" t="s">
        <v>41</v>
      </c>
      <c r="S603" s="2">
        <v>5094</v>
      </c>
      <c r="T603" s="2">
        <v>11983</v>
      </c>
      <c r="U603" s="2">
        <v>6</v>
      </c>
      <c r="V603" s="2" t="s">
        <v>42</v>
      </c>
      <c r="W603" s="2" t="s">
        <v>43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</row>
    <row r="604" spans="1:35" x14ac:dyDescent="0.25">
      <c r="A604" s="2">
        <v>30</v>
      </c>
      <c r="B604" s="2" t="s">
        <v>43</v>
      </c>
      <c r="C604" s="2" t="s">
        <v>36</v>
      </c>
      <c r="D604" s="2">
        <v>946</v>
      </c>
      <c r="E604" s="2" t="s">
        <v>45</v>
      </c>
      <c r="F604" s="2">
        <v>2</v>
      </c>
      <c r="G604" s="2">
        <v>3</v>
      </c>
      <c r="H604" s="2" t="s">
        <v>51</v>
      </c>
      <c r="I604" s="2">
        <v>1</v>
      </c>
      <c r="J604" s="2">
        <v>833</v>
      </c>
      <c r="K604" s="2">
        <v>3</v>
      </c>
      <c r="L604" s="2" t="s">
        <v>39</v>
      </c>
      <c r="M604" s="2">
        <v>52</v>
      </c>
      <c r="N604" s="2">
        <v>2</v>
      </c>
      <c r="O604" s="2">
        <v>2</v>
      </c>
      <c r="P604" s="2" t="s">
        <v>53</v>
      </c>
      <c r="Q604" s="2">
        <v>4</v>
      </c>
      <c r="R604" s="2" t="s">
        <v>41</v>
      </c>
      <c r="S604" s="2">
        <v>6877</v>
      </c>
      <c r="T604" s="2">
        <v>20234</v>
      </c>
      <c r="U604" s="2">
        <v>5</v>
      </c>
      <c r="V604" s="2" t="s">
        <v>42</v>
      </c>
      <c r="W604" s="2" t="s">
        <v>35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</row>
    <row r="605" spans="1:35" x14ac:dyDescent="0.25">
      <c r="A605" s="2">
        <v>45</v>
      </c>
      <c r="B605" s="2" t="s">
        <v>43</v>
      </c>
      <c r="C605" s="2" t="s">
        <v>36</v>
      </c>
      <c r="D605" s="2">
        <v>252</v>
      </c>
      <c r="E605" s="2" t="s">
        <v>45</v>
      </c>
      <c r="F605" s="2">
        <v>2</v>
      </c>
      <c r="G605" s="2">
        <v>3</v>
      </c>
      <c r="H605" s="2" t="s">
        <v>38</v>
      </c>
      <c r="I605" s="2">
        <v>1</v>
      </c>
      <c r="J605" s="2">
        <v>834</v>
      </c>
      <c r="K605" s="2">
        <v>2</v>
      </c>
      <c r="L605" s="2" t="s">
        <v>39</v>
      </c>
      <c r="M605" s="2">
        <v>95</v>
      </c>
      <c r="N605" s="2">
        <v>2</v>
      </c>
      <c r="O605" s="2">
        <v>1</v>
      </c>
      <c r="P605" s="2" t="s">
        <v>47</v>
      </c>
      <c r="Q605" s="2">
        <v>3</v>
      </c>
      <c r="R605" s="2" t="s">
        <v>41</v>
      </c>
      <c r="S605" s="2">
        <v>2274</v>
      </c>
      <c r="T605" s="2">
        <v>6153</v>
      </c>
      <c r="U605" s="2">
        <v>1</v>
      </c>
      <c r="V605" s="2" t="s">
        <v>42</v>
      </c>
      <c r="W605" s="2" t="s">
        <v>43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</row>
    <row r="606" spans="1:35" x14ac:dyDescent="0.25">
      <c r="A606" s="2">
        <v>42</v>
      </c>
      <c r="B606" s="2" t="s">
        <v>43</v>
      </c>
      <c r="C606" s="2" t="s">
        <v>36</v>
      </c>
      <c r="D606" s="2">
        <v>933</v>
      </c>
      <c r="E606" s="2" t="s">
        <v>45</v>
      </c>
      <c r="F606" s="2">
        <v>29</v>
      </c>
      <c r="G606" s="2">
        <v>3</v>
      </c>
      <c r="H606" s="2" t="s">
        <v>38</v>
      </c>
      <c r="I606" s="2">
        <v>1</v>
      </c>
      <c r="J606" s="2">
        <v>836</v>
      </c>
      <c r="K606" s="2">
        <v>2</v>
      </c>
      <c r="L606" s="2" t="s">
        <v>46</v>
      </c>
      <c r="M606" s="2">
        <v>98</v>
      </c>
      <c r="N606" s="2">
        <v>3</v>
      </c>
      <c r="O606" s="2">
        <v>2</v>
      </c>
      <c r="P606" s="2" t="s">
        <v>53</v>
      </c>
      <c r="Q606" s="2">
        <v>2</v>
      </c>
      <c r="R606" s="2" t="s">
        <v>48</v>
      </c>
      <c r="S606" s="2">
        <v>4434</v>
      </c>
      <c r="T606" s="2">
        <v>11806</v>
      </c>
      <c r="U606" s="2">
        <v>1</v>
      </c>
      <c r="V606" s="2" t="s">
        <v>42</v>
      </c>
      <c r="W606" s="2" t="s">
        <v>43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</row>
    <row r="607" spans="1:35" x14ac:dyDescent="0.25">
      <c r="A607" s="2">
        <v>38</v>
      </c>
      <c r="B607" s="2" t="s">
        <v>43</v>
      </c>
      <c r="C607" s="2" t="s">
        <v>44</v>
      </c>
      <c r="D607" s="2">
        <v>471</v>
      </c>
      <c r="E607" s="2" t="s">
        <v>45</v>
      </c>
      <c r="F607" s="2">
        <v>12</v>
      </c>
      <c r="G607" s="2">
        <v>3</v>
      </c>
      <c r="H607" s="2" t="s">
        <v>38</v>
      </c>
      <c r="I607" s="2">
        <v>1</v>
      </c>
      <c r="J607" s="2">
        <v>837</v>
      </c>
      <c r="K607" s="2">
        <v>1</v>
      </c>
      <c r="L607" s="2" t="s">
        <v>46</v>
      </c>
      <c r="M607" s="2">
        <v>45</v>
      </c>
      <c r="N607" s="2">
        <v>2</v>
      </c>
      <c r="O607" s="2">
        <v>2</v>
      </c>
      <c r="P607" s="2" t="s">
        <v>54</v>
      </c>
      <c r="Q607" s="2">
        <v>1</v>
      </c>
      <c r="R607" s="2" t="s">
        <v>52</v>
      </c>
      <c r="S607" s="2">
        <v>6288</v>
      </c>
      <c r="T607" s="2">
        <v>4284</v>
      </c>
      <c r="U607" s="2">
        <v>2</v>
      </c>
      <c r="V607" s="2" t="s">
        <v>42</v>
      </c>
      <c r="W607" s="2" t="s">
        <v>43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</row>
    <row r="608" spans="1:35" x14ac:dyDescent="0.25">
      <c r="A608" s="2">
        <v>34</v>
      </c>
      <c r="B608" s="2" t="s">
        <v>43</v>
      </c>
      <c r="C608" s="2" t="s">
        <v>44</v>
      </c>
      <c r="D608" s="2">
        <v>702</v>
      </c>
      <c r="E608" s="2" t="s">
        <v>45</v>
      </c>
      <c r="F608" s="2">
        <v>16</v>
      </c>
      <c r="G608" s="2">
        <v>4</v>
      </c>
      <c r="H608" s="2" t="s">
        <v>38</v>
      </c>
      <c r="I608" s="2">
        <v>1</v>
      </c>
      <c r="J608" s="2">
        <v>838</v>
      </c>
      <c r="K608" s="2">
        <v>3</v>
      </c>
      <c r="L608" s="2" t="s">
        <v>39</v>
      </c>
      <c r="M608" s="2">
        <v>100</v>
      </c>
      <c r="N608" s="2">
        <v>2</v>
      </c>
      <c r="O608" s="2">
        <v>1</v>
      </c>
      <c r="P608" s="2" t="s">
        <v>47</v>
      </c>
      <c r="Q608" s="2">
        <v>4</v>
      </c>
      <c r="R608" s="2" t="s">
        <v>41</v>
      </c>
      <c r="S608" s="2">
        <v>2553</v>
      </c>
      <c r="T608" s="2">
        <v>8306</v>
      </c>
      <c r="U608" s="2">
        <v>1</v>
      </c>
      <c r="V608" s="2" t="s">
        <v>42</v>
      </c>
      <c r="W608" s="2" t="s">
        <v>43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</row>
    <row r="609" spans="1:35" x14ac:dyDescent="0.25">
      <c r="A609" s="2">
        <v>49</v>
      </c>
      <c r="B609" s="2" t="s">
        <v>35</v>
      </c>
      <c r="C609" s="2" t="s">
        <v>36</v>
      </c>
      <c r="D609" s="2">
        <v>1184</v>
      </c>
      <c r="E609" s="2" t="s">
        <v>37</v>
      </c>
      <c r="F609" s="2">
        <v>11</v>
      </c>
      <c r="G609" s="2">
        <v>3</v>
      </c>
      <c r="H609" s="2" t="s">
        <v>59</v>
      </c>
      <c r="I609" s="2">
        <v>1</v>
      </c>
      <c r="J609" s="2">
        <v>840</v>
      </c>
      <c r="K609" s="2">
        <v>3</v>
      </c>
      <c r="L609" s="2" t="s">
        <v>39</v>
      </c>
      <c r="M609" s="2">
        <v>43</v>
      </c>
      <c r="N609" s="2">
        <v>3</v>
      </c>
      <c r="O609" s="2">
        <v>3</v>
      </c>
      <c r="P609" s="2" t="s">
        <v>40</v>
      </c>
      <c r="Q609" s="2">
        <v>4</v>
      </c>
      <c r="R609" s="2" t="s">
        <v>48</v>
      </c>
      <c r="S609" s="2">
        <v>7654</v>
      </c>
      <c r="T609" s="2">
        <v>5860</v>
      </c>
      <c r="U609" s="2">
        <v>1</v>
      </c>
      <c r="V609" s="2" t="s">
        <v>42</v>
      </c>
      <c r="W609" s="2" t="s">
        <v>43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</row>
    <row r="610" spans="1:35" x14ac:dyDescent="0.25">
      <c r="A610" s="2">
        <v>55</v>
      </c>
      <c r="B610" s="2" t="s">
        <v>35</v>
      </c>
      <c r="C610" s="2" t="s">
        <v>36</v>
      </c>
      <c r="D610" s="2">
        <v>436</v>
      </c>
      <c r="E610" s="2" t="s">
        <v>37</v>
      </c>
      <c r="F610" s="2">
        <v>2</v>
      </c>
      <c r="G610" s="2">
        <v>1</v>
      </c>
      <c r="H610" s="2" t="s">
        <v>51</v>
      </c>
      <c r="I610" s="2">
        <v>1</v>
      </c>
      <c r="J610" s="2">
        <v>842</v>
      </c>
      <c r="K610" s="2">
        <v>3</v>
      </c>
      <c r="L610" s="2" t="s">
        <v>46</v>
      </c>
      <c r="M610" s="2">
        <v>37</v>
      </c>
      <c r="N610" s="2">
        <v>3</v>
      </c>
      <c r="O610" s="2">
        <v>2</v>
      </c>
      <c r="P610" s="2" t="s">
        <v>40</v>
      </c>
      <c r="Q610" s="2">
        <v>4</v>
      </c>
      <c r="R610" s="2" t="s">
        <v>41</v>
      </c>
      <c r="S610" s="2">
        <v>5160</v>
      </c>
      <c r="T610" s="2">
        <v>21519</v>
      </c>
      <c r="U610" s="2">
        <v>4</v>
      </c>
      <c r="V610" s="2" t="s">
        <v>42</v>
      </c>
      <c r="W610" s="2" t="s">
        <v>43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</row>
    <row r="611" spans="1:35" x14ac:dyDescent="0.25">
      <c r="A611" s="2">
        <v>43</v>
      </c>
      <c r="B611" s="2" t="s">
        <v>43</v>
      </c>
      <c r="C611" s="2" t="s">
        <v>36</v>
      </c>
      <c r="D611" s="2">
        <v>589</v>
      </c>
      <c r="E611" s="2" t="s">
        <v>45</v>
      </c>
      <c r="F611" s="2">
        <v>14</v>
      </c>
      <c r="G611" s="2">
        <v>2</v>
      </c>
      <c r="H611" s="2" t="s">
        <v>38</v>
      </c>
      <c r="I611" s="2">
        <v>1</v>
      </c>
      <c r="J611" s="2">
        <v>843</v>
      </c>
      <c r="K611" s="2">
        <v>2</v>
      </c>
      <c r="L611" s="2" t="s">
        <v>46</v>
      </c>
      <c r="M611" s="2">
        <v>94</v>
      </c>
      <c r="N611" s="2">
        <v>3</v>
      </c>
      <c r="O611" s="2">
        <v>4</v>
      </c>
      <c r="P611" s="2" t="s">
        <v>58</v>
      </c>
      <c r="Q611" s="2">
        <v>1</v>
      </c>
      <c r="R611" s="2" t="s">
        <v>48</v>
      </c>
      <c r="S611" s="2">
        <v>17159</v>
      </c>
      <c r="T611" s="2">
        <v>5200</v>
      </c>
      <c r="U611" s="2">
        <v>6</v>
      </c>
      <c r="V611" s="2" t="s">
        <v>42</v>
      </c>
      <c r="W611" s="2" t="s">
        <v>43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</row>
    <row r="612" spans="1:35" x14ac:dyDescent="0.25">
      <c r="A612" s="2">
        <v>27</v>
      </c>
      <c r="B612" s="2" t="s">
        <v>43</v>
      </c>
      <c r="C612" s="2" t="s">
        <v>36</v>
      </c>
      <c r="D612" s="2">
        <v>269</v>
      </c>
      <c r="E612" s="2" t="s">
        <v>45</v>
      </c>
      <c r="F612" s="2">
        <v>5</v>
      </c>
      <c r="G612" s="2">
        <v>1</v>
      </c>
      <c r="H612" s="2" t="s">
        <v>60</v>
      </c>
      <c r="I612" s="2">
        <v>1</v>
      </c>
      <c r="J612" s="2">
        <v>844</v>
      </c>
      <c r="K612" s="2">
        <v>3</v>
      </c>
      <c r="L612" s="2" t="s">
        <v>46</v>
      </c>
      <c r="M612" s="2">
        <v>42</v>
      </c>
      <c r="N612" s="2">
        <v>2</v>
      </c>
      <c r="O612" s="2">
        <v>3</v>
      </c>
      <c r="P612" s="2" t="s">
        <v>58</v>
      </c>
      <c r="Q612" s="2">
        <v>4</v>
      </c>
      <c r="R612" s="2" t="s">
        <v>52</v>
      </c>
      <c r="S612" s="2">
        <v>12808</v>
      </c>
      <c r="T612" s="2">
        <v>8842</v>
      </c>
      <c r="U612" s="2">
        <v>1</v>
      </c>
      <c r="V612" s="2" t="s">
        <v>42</v>
      </c>
      <c r="W612" s="2" t="s">
        <v>35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</row>
    <row r="613" spans="1:35" x14ac:dyDescent="0.25">
      <c r="A613" s="2">
        <v>35</v>
      </c>
      <c r="B613" s="2" t="s">
        <v>43</v>
      </c>
      <c r="C613" s="2" t="s">
        <v>36</v>
      </c>
      <c r="D613" s="2">
        <v>950</v>
      </c>
      <c r="E613" s="2" t="s">
        <v>45</v>
      </c>
      <c r="F613" s="2">
        <v>7</v>
      </c>
      <c r="G613" s="2">
        <v>3</v>
      </c>
      <c r="H613" s="2" t="s">
        <v>49</v>
      </c>
      <c r="I613" s="2">
        <v>1</v>
      </c>
      <c r="J613" s="2">
        <v>845</v>
      </c>
      <c r="K613" s="2">
        <v>3</v>
      </c>
      <c r="L613" s="2" t="s">
        <v>46</v>
      </c>
      <c r="M613" s="2">
        <v>59</v>
      </c>
      <c r="N613" s="2">
        <v>3</v>
      </c>
      <c r="O613" s="2">
        <v>3</v>
      </c>
      <c r="P613" s="2" t="s">
        <v>53</v>
      </c>
      <c r="Q613" s="2">
        <v>3</v>
      </c>
      <c r="R613" s="2" t="s">
        <v>41</v>
      </c>
      <c r="S613" s="2">
        <v>10221</v>
      </c>
      <c r="T613" s="2">
        <v>18869</v>
      </c>
      <c r="U613" s="2">
        <v>3</v>
      </c>
      <c r="V613" s="2" t="s">
        <v>42</v>
      </c>
      <c r="W613" s="2" t="s">
        <v>43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</row>
    <row r="614" spans="1:35" x14ac:dyDescent="0.25">
      <c r="A614" s="2">
        <v>28</v>
      </c>
      <c r="B614" s="2" t="s">
        <v>43</v>
      </c>
      <c r="C614" s="2" t="s">
        <v>36</v>
      </c>
      <c r="D614" s="2">
        <v>760</v>
      </c>
      <c r="E614" s="2" t="s">
        <v>37</v>
      </c>
      <c r="F614" s="2">
        <v>2</v>
      </c>
      <c r="G614" s="2">
        <v>4</v>
      </c>
      <c r="H614" s="2" t="s">
        <v>59</v>
      </c>
      <c r="I614" s="2">
        <v>1</v>
      </c>
      <c r="J614" s="2">
        <v>846</v>
      </c>
      <c r="K614" s="2">
        <v>2</v>
      </c>
      <c r="L614" s="2" t="s">
        <v>39</v>
      </c>
      <c r="M614" s="2">
        <v>81</v>
      </c>
      <c r="N614" s="2">
        <v>3</v>
      </c>
      <c r="O614" s="2">
        <v>2</v>
      </c>
      <c r="P614" s="2" t="s">
        <v>40</v>
      </c>
      <c r="Q614" s="2">
        <v>2</v>
      </c>
      <c r="R614" s="2" t="s">
        <v>48</v>
      </c>
      <c r="S614" s="2">
        <v>4779</v>
      </c>
      <c r="T614" s="2">
        <v>3698</v>
      </c>
      <c r="U614" s="2">
        <v>1</v>
      </c>
      <c r="V614" s="2" t="s">
        <v>42</v>
      </c>
      <c r="W614" s="2" t="s">
        <v>35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</row>
    <row r="615" spans="1:35" x14ac:dyDescent="0.25">
      <c r="A615" s="2">
        <v>34</v>
      </c>
      <c r="B615" s="2" t="s">
        <v>43</v>
      </c>
      <c r="C615" s="2" t="s">
        <v>36</v>
      </c>
      <c r="D615" s="2">
        <v>829</v>
      </c>
      <c r="E615" s="2" t="s">
        <v>61</v>
      </c>
      <c r="F615" s="2">
        <v>3</v>
      </c>
      <c r="G615" s="2">
        <v>2</v>
      </c>
      <c r="H615" s="2" t="s">
        <v>61</v>
      </c>
      <c r="I615" s="2">
        <v>1</v>
      </c>
      <c r="J615" s="2">
        <v>847</v>
      </c>
      <c r="K615" s="2">
        <v>3</v>
      </c>
      <c r="L615" s="2" t="s">
        <v>46</v>
      </c>
      <c r="M615" s="2">
        <v>88</v>
      </c>
      <c r="N615" s="2">
        <v>3</v>
      </c>
      <c r="O615" s="2">
        <v>1</v>
      </c>
      <c r="P615" s="2" t="s">
        <v>61</v>
      </c>
      <c r="Q615" s="2">
        <v>4</v>
      </c>
      <c r="R615" s="2" t="s">
        <v>48</v>
      </c>
      <c r="S615" s="2">
        <v>3737</v>
      </c>
      <c r="T615" s="2">
        <v>2243</v>
      </c>
      <c r="U615" s="2">
        <v>0</v>
      </c>
      <c r="V615" s="2" t="s">
        <v>42</v>
      </c>
      <c r="W615" s="2" t="s">
        <v>43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</row>
    <row r="616" spans="1:35" x14ac:dyDescent="0.25">
      <c r="A616" s="2">
        <v>26</v>
      </c>
      <c r="B616" s="2" t="s">
        <v>35</v>
      </c>
      <c r="C616" s="2" t="s">
        <v>44</v>
      </c>
      <c r="D616" s="2">
        <v>887</v>
      </c>
      <c r="E616" s="2" t="s">
        <v>45</v>
      </c>
      <c r="F616" s="2">
        <v>5</v>
      </c>
      <c r="G616" s="2">
        <v>2</v>
      </c>
      <c r="H616" s="2" t="s">
        <v>51</v>
      </c>
      <c r="I616" s="2">
        <v>1</v>
      </c>
      <c r="J616" s="2">
        <v>848</v>
      </c>
      <c r="K616" s="2">
        <v>3</v>
      </c>
      <c r="L616" s="2" t="s">
        <v>39</v>
      </c>
      <c r="M616" s="2">
        <v>88</v>
      </c>
      <c r="N616" s="2">
        <v>2</v>
      </c>
      <c r="O616" s="2">
        <v>1</v>
      </c>
      <c r="P616" s="2" t="s">
        <v>47</v>
      </c>
      <c r="Q616" s="2">
        <v>3</v>
      </c>
      <c r="R616" s="2" t="s">
        <v>48</v>
      </c>
      <c r="S616" s="2">
        <v>2366</v>
      </c>
      <c r="T616" s="2">
        <v>20898</v>
      </c>
      <c r="U616" s="2">
        <v>1</v>
      </c>
      <c r="V616" s="2" t="s">
        <v>42</v>
      </c>
      <c r="W616" s="2" t="s">
        <v>35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</row>
    <row r="617" spans="1:35" x14ac:dyDescent="0.25">
      <c r="A617" s="2">
        <v>27</v>
      </c>
      <c r="B617" s="2" t="s">
        <v>43</v>
      </c>
      <c r="C617" s="2" t="s">
        <v>55</v>
      </c>
      <c r="D617" s="2">
        <v>443</v>
      </c>
      <c r="E617" s="2" t="s">
        <v>45</v>
      </c>
      <c r="F617" s="2">
        <v>3</v>
      </c>
      <c r="G617" s="2">
        <v>3</v>
      </c>
      <c r="H617" s="2" t="s">
        <v>51</v>
      </c>
      <c r="I617" s="2">
        <v>1</v>
      </c>
      <c r="J617" s="2">
        <v>850</v>
      </c>
      <c r="K617" s="2">
        <v>4</v>
      </c>
      <c r="L617" s="2" t="s">
        <v>46</v>
      </c>
      <c r="M617" s="2">
        <v>50</v>
      </c>
      <c r="N617" s="2">
        <v>3</v>
      </c>
      <c r="O617" s="2">
        <v>1</v>
      </c>
      <c r="P617" s="2" t="s">
        <v>47</v>
      </c>
      <c r="Q617" s="2">
        <v>4</v>
      </c>
      <c r="R617" s="2" t="s">
        <v>48</v>
      </c>
      <c r="S617" s="2">
        <v>1706</v>
      </c>
      <c r="T617" s="2">
        <v>16571</v>
      </c>
      <c r="U617" s="2">
        <v>1</v>
      </c>
      <c r="V617" s="2" t="s">
        <v>42</v>
      </c>
      <c r="W617" s="2" t="s">
        <v>43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</row>
    <row r="618" spans="1:35" x14ac:dyDescent="0.25">
      <c r="A618" s="2">
        <v>51</v>
      </c>
      <c r="B618" s="2" t="s">
        <v>43</v>
      </c>
      <c r="C618" s="2" t="s">
        <v>36</v>
      </c>
      <c r="D618" s="2">
        <v>1318</v>
      </c>
      <c r="E618" s="2" t="s">
        <v>37</v>
      </c>
      <c r="F618" s="2">
        <v>26</v>
      </c>
      <c r="G618" s="2">
        <v>4</v>
      </c>
      <c r="H618" s="2" t="s">
        <v>59</v>
      </c>
      <c r="I618" s="2">
        <v>1</v>
      </c>
      <c r="J618" s="2">
        <v>851</v>
      </c>
      <c r="K618" s="2">
        <v>1</v>
      </c>
      <c r="L618" s="2" t="s">
        <v>39</v>
      </c>
      <c r="M618" s="2">
        <v>66</v>
      </c>
      <c r="N618" s="2">
        <v>3</v>
      </c>
      <c r="O618" s="2">
        <v>4</v>
      </c>
      <c r="P618" s="2" t="s">
        <v>56</v>
      </c>
      <c r="Q618" s="2">
        <v>3</v>
      </c>
      <c r="R618" s="2" t="s">
        <v>48</v>
      </c>
      <c r="S618" s="2">
        <v>16307</v>
      </c>
      <c r="T618" s="2">
        <v>5594</v>
      </c>
      <c r="U618" s="2">
        <v>2</v>
      </c>
      <c r="V618" s="2" t="s">
        <v>42</v>
      </c>
      <c r="W618" s="2" t="s">
        <v>43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</row>
    <row r="619" spans="1:35" x14ac:dyDescent="0.25">
      <c r="A619" s="2">
        <v>44</v>
      </c>
      <c r="B619" s="2" t="s">
        <v>43</v>
      </c>
      <c r="C619" s="2" t="s">
        <v>36</v>
      </c>
      <c r="D619" s="2">
        <v>625</v>
      </c>
      <c r="E619" s="2" t="s">
        <v>45</v>
      </c>
      <c r="F619" s="2">
        <v>4</v>
      </c>
      <c r="G619" s="2">
        <v>3</v>
      </c>
      <c r="H619" s="2" t="s">
        <v>51</v>
      </c>
      <c r="I619" s="2">
        <v>1</v>
      </c>
      <c r="J619" s="2">
        <v>852</v>
      </c>
      <c r="K619" s="2">
        <v>4</v>
      </c>
      <c r="L619" s="2" t="s">
        <v>46</v>
      </c>
      <c r="M619" s="2">
        <v>50</v>
      </c>
      <c r="N619" s="2">
        <v>3</v>
      </c>
      <c r="O619" s="2">
        <v>2</v>
      </c>
      <c r="P619" s="2" t="s">
        <v>54</v>
      </c>
      <c r="Q619" s="2">
        <v>2</v>
      </c>
      <c r="R619" s="2" t="s">
        <v>41</v>
      </c>
      <c r="S619" s="2">
        <v>5933</v>
      </c>
      <c r="T619" s="2">
        <v>5197</v>
      </c>
      <c r="U619" s="2">
        <v>9</v>
      </c>
      <c r="V619" s="2" t="s">
        <v>42</v>
      </c>
      <c r="W619" s="2" t="s">
        <v>43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</row>
    <row r="620" spans="1:35" x14ac:dyDescent="0.25">
      <c r="A620" s="2">
        <v>25</v>
      </c>
      <c r="B620" s="2" t="s">
        <v>43</v>
      </c>
      <c r="C620" s="2" t="s">
        <v>36</v>
      </c>
      <c r="D620" s="2">
        <v>180</v>
      </c>
      <c r="E620" s="2" t="s">
        <v>45</v>
      </c>
      <c r="F620" s="2">
        <v>2</v>
      </c>
      <c r="G620" s="2">
        <v>1</v>
      </c>
      <c r="H620" s="2" t="s">
        <v>51</v>
      </c>
      <c r="I620" s="2">
        <v>1</v>
      </c>
      <c r="J620" s="2">
        <v>854</v>
      </c>
      <c r="K620" s="2">
        <v>1</v>
      </c>
      <c r="L620" s="2" t="s">
        <v>46</v>
      </c>
      <c r="M620" s="2">
        <v>65</v>
      </c>
      <c r="N620" s="2">
        <v>4</v>
      </c>
      <c r="O620" s="2">
        <v>1</v>
      </c>
      <c r="P620" s="2" t="s">
        <v>47</v>
      </c>
      <c r="Q620" s="2">
        <v>1</v>
      </c>
      <c r="R620" s="2" t="s">
        <v>41</v>
      </c>
      <c r="S620" s="2">
        <v>3424</v>
      </c>
      <c r="T620" s="2">
        <v>21632</v>
      </c>
      <c r="U620" s="2">
        <v>7</v>
      </c>
      <c r="V620" s="2" t="s">
        <v>42</v>
      </c>
      <c r="W620" s="2" t="s">
        <v>43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</row>
    <row r="621" spans="1:35" x14ac:dyDescent="0.25">
      <c r="A621" s="2">
        <v>33</v>
      </c>
      <c r="B621" s="2" t="s">
        <v>43</v>
      </c>
      <c r="C621" s="2" t="s">
        <v>36</v>
      </c>
      <c r="D621" s="2">
        <v>586</v>
      </c>
      <c r="E621" s="2" t="s">
        <v>37</v>
      </c>
      <c r="F621" s="2">
        <v>1</v>
      </c>
      <c r="G621" s="2">
        <v>3</v>
      </c>
      <c r="H621" s="2" t="s">
        <v>51</v>
      </c>
      <c r="I621" s="2">
        <v>1</v>
      </c>
      <c r="J621" s="2">
        <v>855</v>
      </c>
      <c r="K621" s="2">
        <v>1</v>
      </c>
      <c r="L621" s="2" t="s">
        <v>46</v>
      </c>
      <c r="M621" s="2">
        <v>48</v>
      </c>
      <c r="N621" s="2">
        <v>4</v>
      </c>
      <c r="O621" s="2">
        <v>2</v>
      </c>
      <c r="P621" s="2" t="s">
        <v>40</v>
      </c>
      <c r="Q621" s="2">
        <v>1</v>
      </c>
      <c r="R621" s="2" t="s">
        <v>52</v>
      </c>
      <c r="S621" s="2">
        <v>4037</v>
      </c>
      <c r="T621" s="2">
        <v>21816</v>
      </c>
      <c r="U621" s="2">
        <v>1</v>
      </c>
      <c r="V621" s="2" t="s">
        <v>42</v>
      </c>
      <c r="W621" s="2" t="s">
        <v>43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</row>
    <row r="622" spans="1:35" x14ac:dyDescent="0.25">
      <c r="A622" s="2">
        <v>35</v>
      </c>
      <c r="B622" s="2" t="s">
        <v>43</v>
      </c>
      <c r="C622" s="2" t="s">
        <v>36</v>
      </c>
      <c r="D622" s="2">
        <v>1343</v>
      </c>
      <c r="E622" s="2" t="s">
        <v>45</v>
      </c>
      <c r="F622" s="2">
        <v>27</v>
      </c>
      <c r="G622" s="2">
        <v>1</v>
      </c>
      <c r="H622" s="2" t="s">
        <v>51</v>
      </c>
      <c r="I622" s="2">
        <v>1</v>
      </c>
      <c r="J622" s="2">
        <v>856</v>
      </c>
      <c r="K622" s="2">
        <v>3</v>
      </c>
      <c r="L622" s="2" t="s">
        <v>39</v>
      </c>
      <c r="M622" s="2">
        <v>53</v>
      </c>
      <c r="N622" s="2">
        <v>2</v>
      </c>
      <c r="O622" s="2">
        <v>1</v>
      </c>
      <c r="P622" s="2" t="s">
        <v>47</v>
      </c>
      <c r="Q622" s="2">
        <v>1</v>
      </c>
      <c r="R622" s="2" t="s">
        <v>41</v>
      </c>
      <c r="S622" s="2">
        <v>2559</v>
      </c>
      <c r="T622" s="2">
        <v>17852</v>
      </c>
      <c r="U622" s="2">
        <v>1</v>
      </c>
      <c r="V622" s="2" t="s">
        <v>42</v>
      </c>
      <c r="W622" s="2" t="s">
        <v>43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</row>
    <row r="623" spans="1:35" x14ac:dyDescent="0.25">
      <c r="A623" s="2">
        <v>36</v>
      </c>
      <c r="B623" s="2" t="s">
        <v>43</v>
      </c>
      <c r="C623" s="2" t="s">
        <v>36</v>
      </c>
      <c r="D623" s="2">
        <v>928</v>
      </c>
      <c r="E623" s="2" t="s">
        <v>37</v>
      </c>
      <c r="F623" s="2">
        <v>1</v>
      </c>
      <c r="G623" s="2">
        <v>2</v>
      </c>
      <c r="H623" s="2" t="s">
        <v>38</v>
      </c>
      <c r="I623" s="2">
        <v>1</v>
      </c>
      <c r="J623" s="2">
        <v>857</v>
      </c>
      <c r="K623" s="2">
        <v>2</v>
      </c>
      <c r="L623" s="2" t="s">
        <v>46</v>
      </c>
      <c r="M623" s="2">
        <v>56</v>
      </c>
      <c r="N623" s="2">
        <v>3</v>
      </c>
      <c r="O623" s="2">
        <v>2</v>
      </c>
      <c r="P623" s="2" t="s">
        <v>40</v>
      </c>
      <c r="Q623" s="2">
        <v>4</v>
      </c>
      <c r="R623" s="2" t="s">
        <v>48</v>
      </c>
      <c r="S623" s="2">
        <v>6201</v>
      </c>
      <c r="T623" s="2">
        <v>2823</v>
      </c>
      <c r="U623" s="2">
        <v>1</v>
      </c>
      <c r="V623" s="2" t="s">
        <v>42</v>
      </c>
      <c r="W623" s="2" t="s">
        <v>35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</row>
    <row r="624" spans="1:35" x14ac:dyDescent="0.25">
      <c r="A624" s="2">
        <v>32</v>
      </c>
      <c r="B624" s="2" t="s">
        <v>43</v>
      </c>
      <c r="C624" s="2" t="s">
        <v>36</v>
      </c>
      <c r="D624" s="2">
        <v>117</v>
      </c>
      <c r="E624" s="2" t="s">
        <v>37</v>
      </c>
      <c r="F624" s="2">
        <v>13</v>
      </c>
      <c r="G624" s="2">
        <v>4</v>
      </c>
      <c r="H624" s="2" t="s">
        <v>38</v>
      </c>
      <c r="I624" s="2">
        <v>1</v>
      </c>
      <c r="J624" s="2">
        <v>859</v>
      </c>
      <c r="K624" s="2">
        <v>2</v>
      </c>
      <c r="L624" s="2" t="s">
        <v>46</v>
      </c>
      <c r="M624" s="2">
        <v>73</v>
      </c>
      <c r="N624" s="2">
        <v>3</v>
      </c>
      <c r="O624" s="2">
        <v>2</v>
      </c>
      <c r="P624" s="2" t="s">
        <v>40</v>
      </c>
      <c r="Q624" s="2">
        <v>4</v>
      </c>
      <c r="R624" s="2" t="s">
        <v>52</v>
      </c>
      <c r="S624" s="2">
        <v>4403</v>
      </c>
      <c r="T624" s="2">
        <v>9250</v>
      </c>
      <c r="U624" s="2">
        <v>2</v>
      </c>
      <c r="V624" s="2" t="s">
        <v>42</v>
      </c>
      <c r="W624" s="2" t="s">
        <v>43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</row>
    <row r="625" spans="1:35" x14ac:dyDescent="0.25">
      <c r="A625" s="2">
        <v>30</v>
      </c>
      <c r="B625" s="2" t="s">
        <v>43</v>
      </c>
      <c r="C625" s="2" t="s">
        <v>44</v>
      </c>
      <c r="D625" s="2">
        <v>1012</v>
      </c>
      <c r="E625" s="2" t="s">
        <v>45</v>
      </c>
      <c r="F625" s="2">
        <v>5</v>
      </c>
      <c r="G625" s="2">
        <v>4</v>
      </c>
      <c r="H625" s="2" t="s">
        <v>38</v>
      </c>
      <c r="I625" s="2">
        <v>1</v>
      </c>
      <c r="J625" s="2">
        <v>861</v>
      </c>
      <c r="K625" s="2">
        <v>2</v>
      </c>
      <c r="L625" s="2" t="s">
        <v>46</v>
      </c>
      <c r="M625" s="2">
        <v>75</v>
      </c>
      <c r="N625" s="2">
        <v>2</v>
      </c>
      <c r="O625" s="2">
        <v>1</v>
      </c>
      <c r="P625" s="2" t="s">
        <v>47</v>
      </c>
      <c r="Q625" s="2">
        <v>4</v>
      </c>
      <c r="R625" s="2" t="s">
        <v>52</v>
      </c>
      <c r="S625" s="2">
        <v>3761</v>
      </c>
      <c r="T625" s="2">
        <v>2373</v>
      </c>
      <c r="U625" s="2">
        <v>9</v>
      </c>
      <c r="V625" s="2" t="s">
        <v>42</v>
      </c>
      <c r="W625" s="2" t="s">
        <v>43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</row>
    <row r="626" spans="1:35" x14ac:dyDescent="0.25">
      <c r="A626" s="2">
        <v>53</v>
      </c>
      <c r="B626" s="2" t="s">
        <v>43</v>
      </c>
      <c r="C626" s="2" t="s">
        <v>36</v>
      </c>
      <c r="D626" s="2">
        <v>661</v>
      </c>
      <c r="E626" s="2" t="s">
        <v>37</v>
      </c>
      <c r="F626" s="2">
        <v>7</v>
      </c>
      <c r="G626" s="2">
        <v>2</v>
      </c>
      <c r="H626" s="2" t="s">
        <v>59</v>
      </c>
      <c r="I626" s="2">
        <v>1</v>
      </c>
      <c r="J626" s="2">
        <v>862</v>
      </c>
      <c r="K626" s="2">
        <v>1</v>
      </c>
      <c r="L626" s="2" t="s">
        <v>39</v>
      </c>
      <c r="M626" s="2">
        <v>78</v>
      </c>
      <c r="N626" s="2">
        <v>2</v>
      </c>
      <c r="O626" s="2">
        <v>3</v>
      </c>
      <c r="P626" s="2" t="s">
        <v>40</v>
      </c>
      <c r="Q626" s="2">
        <v>4</v>
      </c>
      <c r="R626" s="2" t="s">
        <v>48</v>
      </c>
      <c r="S626" s="2">
        <v>10934</v>
      </c>
      <c r="T626" s="2">
        <v>20715</v>
      </c>
      <c r="U626" s="2">
        <v>7</v>
      </c>
      <c r="V626" s="2" t="s">
        <v>42</v>
      </c>
      <c r="W626" s="2" t="s">
        <v>35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</row>
    <row r="627" spans="1:35" x14ac:dyDescent="0.25">
      <c r="A627" s="2">
        <v>45</v>
      </c>
      <c r="B627" s="2" t="s">
        <v>43</v>
      </c>
      <c r="C627" s="2" t="s">
        <v>36</v>
      </c>
      <c r="D627" s="2">
        <v>930</v>
      </c>
      <c r="E627" s="2" t="s">
        <v>37</v>
      </c>
      <c r="F627" s="2">
        <v>9</v>
      </c>
      <c r="G627" s="2">
        <v>3</v>
      </c>
      <c r="H627" s="2" t="s">
        <v>59</v>
      </c>
      <c r="I627" s="2">
        <v>1</v>
      </c>
      <c r="J627" s="2">
        <v>864</v>
      </c>
      <c r="K627" s="2">
        <v>4</v>
      </c>
      <c r="L627" s="2" t="s">
        <v>46</v>
      </c>
      <c r="M627" s="2">
        <v>74</v>
      </c>
      <c r="N627" s="2">
        <v>3</v>
      </c>
      <c r="O627" s="2">
        <v>3</v>
      </c>
      <c r="P627" s="2" t="s">
        <v>40</v>
      </c>
      <c r="Q627" s="2">
        <v>1</v>
      </c>
      <c r="R627" s="2" t="s">
        <v>52</v>
      </c>
      <c r="S627" s="2">
        <v>10761</v>
      </c>
      <c r="T627" s="2">
        <v>19239</v>
      </c>
      <c r="U627" s="2">
        <v>4</v>
      </c>
      <c r="V627" s="2" t="s">
        <v>42</v>
      </c>
      <c r="W627" s="2" t="s">
        <v>35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</row>
    <row r="628" spans="1:35" x14ac:dyDescent="0.25">
      <c r="A628" s="2">
        <v>32</v>
      </c>
      <c r="B628" s="2" t="s">
        <v>43</v>
      </c>
      <c r="C628" s="2" t="s">
        <v>36</v>
      </c>
      <c r="D628" s="2">
        <v>638</v>
      </c>
      <c r="E628" s="2" t="s">
        <v>45</v>
      </c>
      <c r="F628" s="2">
        <v>8</v>
      </c>
      <c r="G628" s="2">
        <v>2</v>
      </c>
      <c r="H628" s="2" t="s">
        <v>51</v>
      </c>
      <c r="I628" s="2">
        <v>1</v>
      </c>
      <c r="J628" s="2">
        <v>865</v>
      </c>
      <c r="K628" s="2">
        <v>3</v>
      </c>
      <c r="L628" s="2" t="s">
        <v>39</v>
      </c>
      <c r="M628" s="2">
        <v>91</v>
      </c>
      <c r="N628" s="2">
        <v>4</v>
      </c>
      <c r="O628" s="2">
        <v>2</v>
      </c>
      <c r="P628" s="2" t="s">
        <v>47</v>
      </c>
      <c r="Q628" s="2">
        <v>3</v>
      </c>
      <c r="R628" s="2" t="s">
        <v>48</v>
      </c>
      <c r="S628" s="2">
        <v>5175</v>
      </c>
      <c r="T628" s="2">
        <v>22162</v>
      </c>
      <c r="U628" s="2">
        <v>5</v>
      </c>
      <c r="V628" s="2" t="s">
        <v>42</v>
      </c>
      <c r="W628" s="2" t="s">
        <v>43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</row>
    <row r="629" spans="1:35" x14ac:dyDescent="0.25">
      <c r="A629" s="2">
        <v>52</v>
      </c>
      <c r="B629" s="2" t="s">
        <v>43</v>
      </c>
      <c r="C629" s="2" t="s">
        <v>44</v>
      </c>
      <c r="D629" s="2">
        <v>890</v>
      </c>
      <c r="E629" s="2" t="s">
        <v>45</v>
      </c>
      <c r="F629" s="2">
        <v>25</v>
      </c>
      <c r="G629" s="2">
        <v>4</v>
      </c>
      <c r="H629" s="2" t="s">
        <v>51</v>
      </c>
      <c r="I629" s="2">
        <v>1</v>
      </c>
      <c r="J629" s="2">
        <v>867</v>
      </c>
      <c r="K629" s="2">
        <v>3</v>
      </c>
      <c r="L629" s="2" t="s">
        <v>39</v>
      </c>
      <c r="M629" s="2">
        <v>81</v>
      </c>
      <c r="N629" s="2">
        <v>2</v>
      </c>
      <c r="O629" s="2">
        <v>4</v>
      </c>
      <c r="P629" s="2" t="s">
        <v>53</v>
      </c>
      <c r="Q629" s="2">
        <v>4</v>
      </c>
      <c r="R629" s="2" t="s">
        <v>48</v>
      </c>
      <c r="S629" s="2">
        <v>13826</v>
      </c>
      <c r="T629" s="2">
        <v>19028</v>
      </c>
      <c r="U629" s="2">
        <v>3</v>
      </c>
      <c r="V629" s="2" t="s">
        <v>42</v>
      </c>
      <c r="W629" s="2" t="s">
        <v>43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</row>
    <row r="630" spans="1:35" x14ac:dyDescent="0.25">
      <c r="A630" s="2">
        <v>37</v>
      </c>
      <c r="B630" s="2" t="s">
        <v>43</v>
      </c>
      <c r="C630" s="2" t="s">
        <v>36</v>
      </c>
      <c r="D630" s="2">
        <v>342</v>
      </c>
      <c r="E630" s="2" t="s">
        <v>37</v>
      </c>
      <c r="F630" s="2">
        <v>16</v>
      </c>
      <c r="G630" s="2">
        <v>4</v>
      </c>
      <c r="H630" s="2" t="s">
        <v>59</v>
      </c>
      <c r="I630" s="2">
        <v>1</v>
      </c>
      <c r="J630" s="2">
        <v>868</v>
      </c>
      <c r="K630" s="2">
        <v>4</v>
      </c>
      <c r="L630" s="2" t="s">
        <v>46</v>
      </c>
      <c r="M630" s="2">
        <v>66</v>
      </c>
      <c r="N630" s="2">
        <v>2</v>
      </c>
      <c r="O630" s="2">
        <v>2</v>
      </c>
      <c r="P630" s="2" t="s">
        <v>40</v>
      </c>
      <c r="Q630" s="2">
        <v>3</v>
      </c>
      <c r="R630" s="2" t="s">
        <v>52</v>
      </c>
      <c r="S630" s="2">
        <v>6334</v>
      </c>
      <c r="T630" s="2">
        <v>24558</v>
      </c>
      <c r="U630" s="2">
        <v>4</v>
      </c>
      <c r="V630" s="2" t="s">
        <v>42</v>
      </c>
      <c r="W630" s="2" t="s">
        <v>43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</row>
    <row r="631" spans="1:35" x14ac:dyDescent="0.25">
      <c r="A631" s="2">
        <v>28</v>
      </c>
      <c r="B631" s="2" t="s">
        <v>43</v>
      </c>
      <c r="C631" s="2" t="s">
        <v>36</v>
      </c>
      <c r="D631" s="2">
        <v>1169</v>
      </c>
      <c r="E631" s="2" t="s">
        <v>61</v>
      </c>
      <c r="F631" s="2">
        <v>8</v>
      </c>
      <c r="G631" s="2">
        <v>2</v>
      </c>
      <c r="H631" s="2" t="s">
        <v>51</v>
      </c>
      <c r="I631" s="2">
        <v>1</v>
      </c>
      <c r="J631" s="2">
        <v>869</v>
      </c>
      <c r="K631" s="2">
        <v>2</v>
      </c>
      <c r="L631" s="2" t="s">
        <v>46</v>
      </c>
      <c r="M631" s="2">
        <v>63</v>
      </c>
      <c r="N631" s="2">
        <v>2</v>
      </c>
      <c r="O631" s="2">
        <v>1</v>
      </c>
      <c r="P631" s="2" t="s">
        <v>61</v>
      </c>
      <c r="Q631" s="2">
        <v>4</v>
      </c>
      <c r="R631" s="2" t="s">
        <v>52</v>
      </c>
      <c r="S631" s="2">
        <v>4936</v>
      </c>
      <c r="T631" s="2">
        <v>23965</v>
      </c>
      <c r="U631" s="2">
        <v>1</v>
      </c>
      <c r="V631" s="2" t="s">
        <v>42</v>
      </c>
      <c r="W631" s="2" t="s">
        <v>43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</row>
    <row r="632" spans="1:35" x14ac:dyDescent="0.25">
      <c r="A632" s="2">
        <v>22</v>
      </c>
      <c r="B632" s="2" t="s">
        <v>43</v>
      </c>
      <c r="C632" s="2" t="s">
        <v>36</v>
      </c>
      <c r="D632" s="2">
        <v>1230</v>
      </c>
      <c r="E632" s="2" t="s">
        <v>45</v>
      </c>
      <c r="F632" s="2">
        <v>1</v>
      </c>
      <c r="G632" s="2">
        <v>2</v>
      </c>
      <c r="H632" s="2" t="s">
        <v>38</v>
      </c>
      <c r="I632" s="2">
        <v>1</v>
      </c>
      <c r="J632" s="2">
        <v>872</v>
      </c>
      <c r="K632" s="2">
        <v>4</v>
      </c>
      <c r="L632" s="2" t="s">
        <v>46</v>
      </c>
      <c r="M632" s="2">
        <v>33</v>
      </c>
      <c r="N632" s="2">
        <v>2</v>
      </c>
      <c r="O632" s="2">
        <v>2</v>
      </c>
      <c r="P632" s="2" t="s">
        <v>53</v>
      </c>
      <c r="Q632" s="2">
        <v>4</v>
      </c>
      <c r="R632" s="2" t="s">
        <v>48</v>
      </c>
      <c r="S632" s="2">
        <v>4775</v>
      </c>
      <c r="T632" s="2">
        <v>19146</v>
      </c>
      <c r="U632" s="2">
        <v>6</v>
      </c>
      <c r="V632" s="2" t="s">
        <v>42</v>
      </c>
      <c r="W632" s="2" t="s">
        <v>43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</row>
    <row r="633" spans="1:35" x14ac:dyDescent="0.25">
      <c r="A633" s="2">
        <v>44</v>
      </c>
      <c r="B633" s="2" t="s">
        <v>43</v>
      </c>
      <c r="C633" s="2" t="s">
        <v>36</v>
      </c>
      <c r="D633" s="2">
        <v>986</v>
      </c>
      <c r="E633" s="2" t="s">
        <v>45</v>
      </c>
      <c r="F633" s="2">
        <v>8</v>
      </c>
      <c r="G633" s="2">
        <v>4</v>
      </c>
      <c r="H633" s="2" t="s">
        <v>38</v>
      </c>
      <c r="I633" s="2">
        <v>1</v>
      </c>
      <c r="J633" s="2">
        <v>874</v>
      </c>
      <c r="K633" s="2">
        <v>1</v>
      </c>
      <c r="L633" s="2" t="s">
        <v>46</v>
      </c>
      <c r="M633" s="2">
        <v>62</v>
      </c>
      <c r="N633" s="2">
        <v>4</v>
      </c>
      <c r="O633" s="2">
        <v>1</v>
      </c>
      <c r="P633" s="2" t="s">
        <v>50</v>
      </c>
      <c r="Q633" s="2">
        <v>4</v>
      </c>
      <c r="R633" s="2" t="s">
        <v>48</v>
      </c>
      <c r="S633" s="2">
        <v>2818</v>
      </c>
      <c r="T633" s="2">
        <v>5044</v>
      </c>
      <c r="U633" s="2">
        <v>2</v>
      </c>
      <c r="V633" s="2" t="s">
        <v>42</v>
      </c>
      <c r="W633" s="2" t="s">
        <v>35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</row>
    <row r="634" spans="1:35" x14ac:dyDescent="0.25">
      <c r="A634" s="2">
        <v>42</v>
      </c>
      <c r="B634" s="2" t="s">
        <v>43</v>
      </c>
      <c r="C634" s="2" t="s">
        <v>44</v>
      </c>
      <c r="D634" s="2">
        <v>1271</v>
      </c>
      <c r="E634" s="2" t="s">
        <v>45</v>
      </c>
      <c r="F634" s="2">
        <v>2</v>
      </c>
      <c r="G634" s="2">
        <v>1</v>
      </c>
      <c r="H634" s="2" t="s">
        <v>51</v>
      </c>
      <c r="I634" s="2">
        <v>1</v>
      </c>
      <c r="J634" s="2">
        <v>875</v>
      </c>
      <c r="K634" s="2">
        <v>2</v>
      </c>
      <c r="L634" s="2" t="s">
        <v>46</v>
      </c>
      <c r="M634" s="2">
        <v>35</v>
      </c>
      <c r="N634" s="2">
        <v>3</v>
      </c>
      <c r="O634" s="2">
        <v>1</v>
      </c>
      <c r="P634" s="2" t="s">
        <v>47</v>
      </c>
      <c r="Q634" s="2">
        <v>4</v>
      </c>
      <c r="R634" s="2" t="s">
        <v>41</v>
      </c>
      <c r="S634" s="2">
        <v>2515</v>
      </c>
      <c r="T634" s="2">
        <v>9068</v>
      </c>
      <c r="U634" s="2">
        <v>5</v>
      </c>
      <c r="V634" s="2" t="s">
        <v>42</v>
      </c>
      <c r="W634" s="2" t="s">
        <v>35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</row>
    <row r="635" spans="1:35" x14ac:dyDescent="0.25">
      <c r="A635" s="2">
        <v>36</v>
      </c>
      <c r="B635" s="2" t="s">
        <v>43</v>
      </c>
      <c r="C635" s="2" t="s">
        <v>36</v>
      </c>
      <c r="D635" s="2">
        <v>1278</v>
      </c>
      <c r="E635" s="2" t="s">
        <v>61</v>
      </c>
      <c r="F635" s="2">
        <v>8</v>
      </c>
      <c r="G635" s="2">
        <v>3</v>
      </c>
      <c r="H635" s="2" t="s">
        <v>38</v>
      </c>
      <c r="I635" s="2">
        <v>1</v>
      </c>
      <c r="J635" s="2">
        <v>878</v>
      </c>
      <c r="K635" s="2">
        <v>1</v>
      </c>
      <c r="L635" s="2" t="s">
        <v>46</v>
      </c>
      <c r="M635" s="2">
        <v>77</v>
      </c>
      <c r="N635" s="2">
        <v>2</v>
      </c>
      <c r="O635" s="2">
        <v>1</v>
      </c>
      <c r="P635" s="2" t="s">
        <v>61</v>
      </c>
      <c r="Q635" s="2">
        <v>1</v>
      </c>
      <c r="R635" s="2" t="s">
        <v>48</v>
      </c>
      <c r="S635" s="2">
        <v>2342</v>
      </c>
      <c r="T635" s="2">
        <v>8635</v>
      </c>
      <c r="U635" s="2">
        <v>0</v>
      </c>
      <c r="V635" s="2" t="s">
        <v>42</v>
      </c>
      <c r="W635" s="2" t="s">
        <v>43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</row>
    <row r="636" spans="1:35" x14ac:dyDescent="0.25">
      <c r="A636" s="2">
        <v>25</v>
      </c>
      <c r="B636" s="2" t="s">
        <v>43</v>
      </c>
      <c r="C636" s="2" t="s">
        <v>36</v>
      </c>
      <c r="D636" s="2">
        <v>141</v>
      </c>
      <c r="E636" s="2" t="s">
        <v>37</v>
      </c>
      <c r="F636" s="2">
        <v>3</v>
      </c>
      <c r="G636" s="2">
        <v>1</v>
      </c>
      <c r="H636" s="2" t="s">
        <v>49</v>
      </c>
      <c r="I636" s="2">
        <v>1</v>
      </c>
      <c r="J636" s="2">
        <v>879</v>
      </c>
      <c r="K636" s="2">
        <v>3</v>
      </c>
      <c r="L636" s="2" t="s">
        <v>46</v>
      </c>
      <c r="M636" s="2">
        <v>98</v>
      </c>
      <c r="N636" s="2">
        <v>3</v>
      </c>
      <c r="O636" s="2">
        <v>2</v>
      </c>
      <c r="P636" s="2" t="s">
        <v>40</v>
      </c>
      <c r="Q636" s="2">
        <v>1</v>
      </c>
      <c r="R636" s="2" t="s">
        <v>48</v>
      </c>
      <c r="S636" s="2">
        <v>4194</v>
      </c>
      <c r="T636" s="2">
        <v>14363</v>
      </c>
      <c r="U636" s="2">
        <v>1</v>
      </c>
      <c r="V636" s="2" t="s">
        <v>42</v>
      </c>
      <c r="W636" s="2" t="s">
        <v>35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</row>
    <row r="637" spans="1:35" x14ac:dyDescent="0.25">
      <c r="A637" s="2">
        <v>35</v>
      </c>
      <c r="B637" s="2" t="s">
        <v>43</v>
      </c>
      <c r="C637" s="2" t="s">
        <v>36</v>
      </c>
      <c r="D637" s="2">
        <v>607</v>
      </c>
      <c r="E637" s="2" t="s">
        <v>45</v>
      </c>
      <c r="F637" s="2">
        <v>9</v>
      </c>
      <c r="G637" s="2">
        <v>3</v>
      </c>
      <c r="H637" s="2" t="s">
        <v>38</v>
      </c>
      <c r="I637" s="2">
        <v>1</v>
      </c>
      <c r="J637" s="2">
        <v>880</v>
      </c>
      <c r="K637" s="2">
        <v>4</v>
      </c>
      <c r="L637" s="2" t="s">
        <v>39</v>
      </c>
      <c r="M637" s="2">
        <v>66</v>
      </c>
      <c r="N637" s="2">
        <v>2</v>
      </c>
      <c r="O637" s="2">
        <v>3</v>
      </c>
      <c r="P637" s="2" t="s">
        <v>53</v>
      </c>
      <c r="Q637" s="2">
        <v>3</v>
      </c>
      <c r="R637" s="2" t="s">
        <v>48</v>
      </c>
      <c r="S637" s="2">
        <v>10685</v>
      </c>
      <c r="T637" s="2">
        <v>23457</v>
      </c>
      <c r="U637" s="2">
        <v>1</v>
      </c>
      <c r="V637" s="2" t="s">
        <v>42</v>
      </c>
      <c r="W637" s="2" t="s">
        <v>35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</row>
    <row r="638" spans="1:35" x14ac:dyDescent="0.25">
      <c r="A638" s="2">
        <v>35</v>
      </c>
      <c r="B638" s="2" t="s">
        <v>35</v>
      </c>
      <c r="C638" s="2" t="s">
        <v>44</v>
      </c>
      <c r="D638" s="2">
        <v>130</v>
      </c>
      <c r="E638" s="2" t="s">
        <v>45</v>
      </c>
      <c r="F638" s="2">
        <v>25</v>
      </c>
      <c r="G638" s="2">
        <v>4</v>
      </c>
      <c r="H638" s="2" t="s">
        <v>38</v>
      </c>
      <c r="I638" s="2">
        <v>1</v>
      </c>
      <c r="J638" s="2">
        <v>881</v>
      </c>
      <c r="K638" s="2">
        <v>4</v>
      </c>
      <c r="L638" s="2" t="s">
        <v>39</v>
      </c>
      <c r="M638" s="2">
        <v>96</v>
      </c>
      <c r="N638" s="2">
        <v>3</v>
      </c>
      <c r="O638" s="2">
        <v>1</v>
      </c>
      <c r="P638" s="2" t="s">
        <v>47</v>
      </c>
      <c r="Q638" s="2">
        <v>2</v>
      </c>
      <c r="R638" s="2" t="s">
        <v>52</v>
      </c>
      <c r="S638" s="2">
        <v>2022</v>
      </c>
      <c r="T638" s="2">
        <v>16612</v>
      </c>
      <c r="U638" s="2">
        <v>1</v>
      </c>
      <c r="V638" s="2" t="s">
        <v>42</v>
      </c>
      <c r="W638" s="2" t="s">
        <v>35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</row>
    <row r="639" spans="1:35" x14ac:dyDescent="0.25">
      <c r="A639" s="2">
        <v>32</v>
      </c>
      <c r="B639" s="2" t="s">
        <v>43</v>
      </c>
      <c r="C639" s="2" t="s">
        <v>55</v>
      </c>
      <c r="D639" s="2">
        <v>300</v>
      </c>
      <c r="E639" s="2" t="s">
        <v>45</v>
      </c>
      <c r="F639" s="2">
        <v>1</v>
      </c>
      <c r="G639" s="2">
        <v>3</v>
      </c>
      <c r="H639" s="2" t="s">
        <v>38</v>
      </c>
      <c r="I639" s="2">
        <v>1</v>
      </c>
      <c r="J639" s="2">
        <v>882</v>
      </c>
      <c r="K639" s="2">
        <v>4</v>
      </c>
      <c r="L639" s="2" t="s">
        <v>46</v>
      </c>
      <c r="M639" s="2">
        <v>61</v>
      </c>
      <c r="N639" s="2">
        <v>3</v>
      </c>
      <c r="O639" s="2">
        <v>1</v>
      </c>
      <c r="P639" s="2" t="s">
        <v>50</v>
      </c>
      <c r="Q639" s="2">
        <v>4</v>
      </c>
      <c r="R639" s="2" t="s">
        <v>52</v>
      </c>
      <c r="S639" s="2">
        <v>2314</v>
      </c>
      <c r="T639" s="2">
        <v>9148</v>
      </c>
      <c r="U639" s="2">
        <v>0</v>
      </c>
      <c r="V639" s="2" t="s">
        <v>42</v>
      </c>
      <c r="W639" s="2" t="s">
        <v>43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</row>
    <row r="640" spans="1:35" x14ac:dyDescent="0.25">
      <c r="A640" s="2">
        <v>25</v>
      </c>
      <c r="B640" s="2" t="s">
        <v>43</v>
      </c>
      <c r="C640" s="2" t="s">
        <v>36</v>
      </c>
      <c r="D640" s="2">
        <v>583</v>
      </c>
      <c r="E640" s="2" t="s">
        <v>37</v>
      </c>
      <c r="F640" s="2">
        <v>4</v>
      </c>
      <c r="G640" s="2">
        <v>1</v>
      </c>
      <c r="H640" s="2" t="s">
        <v>59</v>
      </c>
      <c r="I640" s="2">
        <v>1</v>
      </c>
      <c r="J640" s="2">
        <v>885</v>
      </c>
      <c r="K640" s="2">
        <v>3</v>
      </c>
      <c r="L640" s="2" t="s">
        <v>46</v>
      </c>
      <c r="M640" s="2">
        <v>87</v>
      </c>
      <c r="N640" s="2">
        <v>2</v>
      </c>
      <c r="O640" s="2">
        <v>2</v>
      </c>
      <c r="P640" s="2" t="s">
        <v>40</v>
      </c>
      <c r="Q640" s="2">
        <v>1</v>
      </c>
      <c r="R640" s="2" t="s">
        <v>48</v>
      </c>
      <c r="S640" s="2">
        <v>4256</v>
      </c>
      <c r="T640" s="2">
        <v>18154</v>
      </c>
      <c r="U640" s="2">
        <v>1</v>
      </c>
      <c r="V640" s="2" t="s">
        <v>42</v>
      </c>
      <c r="W640" s="2" t="s">
        <v>43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</row>
    <row r="641" spans="1:35" x14ac:dyDescent="0.25">
      <c r="A641" s="2">
        <v>49</v>
      </c>
      <c r="B641" s="2" t="s">
        <v>43</v>
      </c>
      <c r="C641" s="2" t="s">
        <v>36</v>
      </c>
      <c r="D641" s="2">
        <v>1418</v>
      </c>
      <c r="E641" s="2" t="s">
        <v>45</v>
      </c>
      <c r="F641" s="2">
        <v>1</v>
      </c>
      <c r="G641" s="2">
        <v>3</v>
      </c>
      <c r="H641" s="2" t="s">
        <v>60</v>
      </c>
      <c r="I641" s="2">
        <v>1</v>
      </c>
      <c r="J641" s="2">
        <v>887</v>
      </c>
      <c r="K641" s="2">
        <v>3</v>
      </c>
      <c r="L641" s="2" t="s">
        <v>39</v>
      </c>
      <c r="M641" s="2">
        <v>36</v>
      </c>
      <c r="N641" s="2">
        <v>3</v>
      </c>
      <c r="O641" s="2">
        <v>1</v>
      </c>
      <c r="P641" s="2" t="s">
        <v>47</v>
      </c>
      <c r="Q641" s="2">
        <v>1</v>
      </c>
      <c r="R641" s="2" t="s">
        <v>48</v>
      </c>
      <c r="S641" s="2">
        <v>3580</v>
      </c>
      <c r="T641" s="2">
        <v>10554</v>
      </c>
      <c r="U641" s="2">
        <v>2</v>
      </c>
      <c r="V641" s="2" t="s">
        <v>42</v>
      </c>
      <c r="W641" s="2" t="s">
        <v>43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</row>
    <row r="642" spans="1:35" x14ac:dyDescent="0.25">
      <c r="A642" s="2">
        <v>24</v>
      </c>
      <c r="B642" s="2" t="s">
        <v>43</v>
      </c>
      <c r="C642" s="2" t="s">
        <v>55</v>
      </c>
      <c r="D642" s="2">
        <v>1269</v>
      </c>
      <c r="E642" s="2" t="s">
        <v>45</v>
      </c>
      <c r="F642" s="2">
        <v>4</v>
      </c>
      <c r="G642" s="2">
        <v>1</v>
      </c>
      <c r="H642" s="2" t="s">
        <v>38</v>
      </c>
      <c r="I642" s="2">
        <v>1</v>
      </c>
      <c r="J642" s="2">
        <v>888</v>
      </c>
      <c r="K642" s="2">
        <v>1</v>
      </c>
      <c r="L642" s="2" t="s">
        <v>46</v>
      </c>
      <c r="M642" s="2">
        <v>46</v>
      </c>
      <c r="N642" s="2">
        <v>2</v>
      </c>
      <c r="O642" s="2">
        <v>1</v>
      </c>
      <c r="P642" s="2" t="s">
        <v>50</v>
      </c>
      <c r="Q642" s="2">
        <v>4</v>
      </c>
      <c r="R642" s="2" t="s">
        <v>48</v>
      </c>
      <c r="S642" s="2">
        <v>3162</v>
      </c>
      <c r="T642" s="2">
        <v>10778</v>
      </c>
      <c r="U642" s="2">
        <v>0</v>
      </c>
      <c r="V642" s="2" t="s">
        <v>42</v>
      </c>
      <c r="W642" s="2" t="s">
        <v>43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</row>
    <row r="643" spans="1:35" x14ac:dyDescent="0.25">
      <c r="A643" s="2">
        <v>32</v>
      </c>
      <c r="B643" s="2" t="s">
        <v>43</v>
      </c>
      <c r="C643" s="2" t="s">
        <v>44</v>
      </c>
      <c r="D643" s="2">
        <v>379</v>
      </c>
      <c r="E643" s="2" t="s">
        <v>37</v>
      </c>
      <c r="F643" s="2">
        <v>5</v>
      </c>
      <c r="G643" s="2">
        <v>2</v>
      </c>
      <c r="H643" s="2" t="s">
        <v>38</v>
      </c>
      <c r="I643" s="2">
        <v>1</v>
      </c>
      <c r="J643" s="2">
        <v>889</v>
      </c>
      <c r="K643" s="2">
        <v>2</v>
      </c>
      <c r="L643" s="2" t="s">
        <v>46</v>
      </c>
      <c r="M643" s="2">
        <v>48</v>
      </c>
      <c r="N643" s="2">
        <v>3</v>
      </c>
      <c r="O643" s="2">
        <v>2</v>
      </c>
      <c r="P643" s="2" t="s">
        <v>40</v>
      </c>
      <c r="Q643" s="2">
        <v>2</v>
      </c>
      <c r="R643" s="2" t="s">
        <v>48</v>
      </c>
      <c r="S643" s="2">
        <v>6524</v>
      </c>
      <c r="T643" s="2">
        <v>8891</v>
      </c>
      <c r="U643" s="2">
        <v>1</v>
      </c>
      <c r="V643" s="2" t="s">
        <v>42</v>
      </c>
      <c r="W643" s="2" t="s">
        <v>43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</row>
    <row r="644" spans="1:35" x14ac:dyDescent="0.25">
      <c r="A644" s="2">
        <v>38</v>
      </c>
      <c r="B644" s="2" t="s">
        <v>43</v>
      </c>
      <c r="C644" s="2" t="s">
        <v>36</v>
      </c>
      <c r="D644" s="2">
        <v>395</v>
      </c>
      <c r="E644" s="2" t="s">
        <v>37</v>
      </c>
      <c r="F644" s="2">
        <v>9</v>
      </c>
      <c r="G644" s="2">
        <v>3</v>
      </c>
      <c r="H644" s="2" t="s">
        <v>59</v>
      </c>
      <c r="I644" s="2">
        <v>1</v>
      </c>
      <c r="J644" s="2">
        <v>893</v>
      </c>
      <c r="K644" s="2">
        <v>2</v>
      </c>
      <c r="L644" s="2" t="s">
        <v>46</v>
      </c>
      <c r="M644" s="2">
        <v>98</v>
      </c>
      <c r="N644" s="2">
        <v>2</v>
      </c>
      <c r="O644" s="2">
        <v>1</v>
      </c>
      <c r="P644" s="2" t="s">
        <v>57</v>
      </c>
      <c r="Q644" s="2">
        <v>2</v>
      </c>
      <c r="R644" s="2" t="s">
        <v>48</v>
      </c>
      <c r="S644" s="2">
        <v>2899</v>
      </c>
      <c r="T644" s="2">
        <v>12102</v>
      </c>
      <c r="U644" s="2">
        <v>0</v>
      </c>
      <c r="V644" s="2" t="s">
        <v>42</v>
      </c>
      <c r="W644" s="2" t="s">
        <v>43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</row>
    <row r="645" spans="1:35" x14ac:dyDescent="0.25">
      <c r="A645" s="2">
        <v>42</v>
      </c>
      <c r="B645" s="2" t="s">
        <v>43</v>
      </c>
      <c r="C645" s="2" t="s">
        <v>36</v>
      </c>
      <c r="D645" s="2">
        <v>1265</v>
      </c>
      <c r="E645" s="2" t="s">
        <v>45</v>
      </c>
      <c r="F645" s="2">
        <v>3</v>
      </c>
      <c r="G645" s="2">
        <v>3</v>
      </c>
      <c r="H645" s="2" t="s">
        <v>38</v>
      </c>
      <c r="I645" s="2">
        <v>1</v>
      </c>
      <c r="J645" s="2">
        <v>894</v>
      </c>
      <c r="K645" s="2">
        <v>3</v>
      </c>
      <c r="L645" s="2" t="s">
        <v>39</v>
      </c>
      <c r="M645" s="2">
        <v>95</v>
      </c>
      <c r="N645" s="2">
        <v>4</v>
      </c>
      <c r="O645" s="2">
        <v>2</v>
      </c>
      <c r="P645" s="2" t="s">
        <v>50</v>
      </c>
      <c r="Q645" s="2">
        <v>4</v>
      </c>
      <c r="R645" s="2" t="s">
        <v>48</v>
      </c>
      <c r="S645" s="2">
        <v>5231</v>
      </c>
      <c r="T645" s="2">
        <v>23726</v>
      </c>
      <c r="U645" s="2">
        <v>2</v>
      </c>
      <c r="V645" s="2" t="s">
        <v>42</v>
      </c>
      <c r="W645" s="2" t="s">
        <v>35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</row>
    <row r="646" spans="1:35" x14ac:dyDescent="0.25">
      <c r="A646" s="2">
        <v>31</v>
      </c>
      <c r="B646" s="2" t="s">
        <v>43</v>
      </c>
      <c r="C646" s="2" t="s">
        <v>36</v>
      </c>
      <c r="D646" s="2">
        <v>1222</v>
      </c>
      <c r="E646" s="2" t="s">
        <v>45</v>
      </c>
      <c r="F646" s="2">
        <v>11</v>
      </c>
      <c r="G646" s="2">
        <v>4</v>
      </c>
      <c r="H646" s="2" t="s">
        <v>38</v>
      </c>
      <c r="I646" s="2">
        <v>1</v>
      </c>
      <c r="J646" s="2">
        <v>895</v>
      </c>
      <c r="K646" s="2">
        <v>4</v>
      </c>
      <c r="L646" s="2" t="s">
        <v>46</v>
      </c>
      <c r="M646" s="2">
        <v>48</v>
      </c>
      <c r="N646" s="2">
        <v>3</v>
      </c>
      <c r="O646" s="2">
        <v>1</v>
      </c>
      <c r="P646" s="2" t="s">
        <v>47</v>
      </c>
      <c r="Q646" s="2">
        <v>4</v>
      </c>
      <c r="R646" s="2" t="s">
        <v>48</v>
      </c>
      <c r="S646" s="2">
        <v>2356</v>
      </c>
      <c r="T646" s="2">
        <v>14871</v>
      </c>
      <c r="U646" s="2">
        <v>3</v>
      </c>
      <c r="V646" s="2" t="s">
        <v>42</v>
      </c>
      <c r="W646" s="2" t="s">
        <v>35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</row>
    <row r="647" spans="1:35" x14ac:dyDescent="0.25">
      <c r="A647" s="2">
        <v>29</v>
      </c>
      <c r="B647" s="2" t="s">
        <v>35</v>
      </c>
      <c r="C647" s="2" t="s">
        <v>36</v>
      </c>
      <c r="D647" s="2">
        <v>341</v>
      </c>
      <c r="E647" s="2" t="s">
        <v>37</v>
      </c>
      <c r="F647" s="2">
        <v>1</v>
      </c>
      <c r="G647" s="2">
        <v>3</v>
      </c>
      <c r="H647" s="2" t="s">
        <v>51</v>
      </c>
      <c r="I647" s="2">
        <v>1</v>
      </c>
      <c r="J647" s="2">
        <v>896</v>
      </c>
      <c r="K647" s="2">
        <v>2</v>
      </c>
      <c r="L647" s="2" t="s">
        <v>39</v>
      </c>
      <c r="M647" s="2">
        <v>48</v>
      </c>
      <c r="N647" s="2">
        <v>2</v>
      </c>
      <c r="O647" s="2">
        <v>1</v>
      </c>
      <c r="P647" s="2" t="s">
        <v>57</v>
      </c>
      <c r="Q647" s="2">
        <v>3</v>
      </c>
      <c r="R647" s="2" t="s">
        <v>52</v>
      </c>
      <c r="S647" s="2">
        <v>2800</v>
      </c>
      <c r="T647" s="2">
        <v>23522</v>
      </c>
      <c r="U647" s="2">
        <v>6</v>
      </c>
      <c r="V647" s="2" t="s">
        <v>42</v>
      </c>
      <c r="W647" s="2" t="s">
        <v>35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</row>
    <row r="648" spans="1:35" x14ac:dyDescent="0.25">
      <c r="A648" s="2">
        <v>53</v>
      </c>
      <c r="B648" s="2" t="s">
        <v>43</v>
      </c>
      <c r="C648" s="2" t="s">
        <v>36</v>
      </c>
      <c r="D648" s="2">
        <v>868</v>
      </c>
      <c r="E648" s="2" t="s">
        <v>37</v>
      </c>
      <c r="F648" s="2">
        <v>8</v>
      </c>
      <c r="G648" s="2">
        <v>3</v>
      </c>
      <c r="H648" s="2" t="s">
        <v>59</v>
      </c>
      <c r="I648" s="2">
        <v>1</v>
      </c>
      <c r="J648" s="2">
        <v>897</v>
      </c>
      <c r="K648" s="2">
        <v>1</v>
      </c>
      <c r="L648" s="2" t="s">
        <v>46</v>
      </c>
      <c r="M648" s="2">
        <v>73</v>
      </c>
      <c r="N648" s="2">
        <v>3</v>
      </c>
      <c r="O648" s="2">
        <v>4</v>
      </c>
      <c r="P648" s="2" t="s">
        <v>40</v>
      </c>
      <c r="Q648" s="2">
        <v>4</v>
      </c>
      <c r="R648" s="2" t="s">
        <v>48</v>
      </c>
      <c r="S648" s="2">
        <v>11836</v>
      </c>
      <c r="T648" s="2">
        <v>22789</v>
      </c>
      <c r="U648" s="2">
        <v>5</v>
      </c>
      <c r="V648" s="2" t="s">
        <v>42</v>
      </c>
      <c r="W648" s="2" t="s">
        <v>43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</row>
    <row r="649" spans="1:35" x14ac:dyDescent="0.25">
      <c r="A649" s="2">
        <v>35</v>
      </c>
      <c r="B649" s="2" t="s">
        <v>43</v>
      </c>
      <c r="C649" s="2" t="s">
        <v>36</v>
      </c>
      <c r="D649" s="2">
        <v>672</v>
      </c>
      <c r="E649" s="2" t="s">
        <v>45</v>
      </c>
      <c r="F649" s="2">
        <v>25</v>
      </c>
      <c r="G649" s="2">
        <v>3</v>
      </c>
      <c r="H649" s="2" t="s">
        <v>60</v>
      </c>
      <c r="I649" s="2">
        <v>1</v>
      </c>
      <c r="J649" s="2">
        <v>899</v>
      </c>
      <c r="K649" s="2">
        <v>4</v>
      </c>
      <c r="L649" s="2" t="s">
        <v>46</v>
      </c>
      <c r="M649" s="2">
        <v>78</v>
      </c>
      <c r="N649" s="2">
        <v>2</v>
      </c>
      <c r="O649" s="2">
        <v>3</v>
      </c>
      <c r="P649" s="2" t="s">
        <v>53</v>
      </c>
      <c r="Q649" s="2">
        <v>2</v>
      </c>
      <c r="R649" s="2" t="s">
        <v>48</v>
      </c>
      <c r="S649" s="2">
        <v>10903</v>
      </c>
      <c r="T649" s="2">
        <v>9129</v>
      </c>
      <c r="U649" s="2">
        <v>3</v>
      </c>
      <c r="V649" s="2" t="s">
        <v>42</v>
      </c>
      <c r="W649" s="2" t="s">
        <v>43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</row>
    <row r="650" spans="1:35" x14ac:dyDescent="0.25">
      <c r="A650" s="2">
        <v>37</v>
      </c>
      <c r="B650" s="2" t="s">
        <v>43</v>
      </c>
      <c r="C650" s="2" t="s">
        <v>44</v>
      </c>
      <c r="D650" s="2">
        <v>1231</v>
      </c>
      <c r="E650" s="2" t="s">
        <v>37</v>
      </c>
      <c r="F650" s="2">
        <v>21</v>
      </c>
      <c r="G650" s="2">
        <v>2</v>
      </c>
      <c r="H650" s="2" t="s">
        <v>51</v>
      </c>
      <c r="I650" s="2">
        <v>1</v>
      </c>
      <c r="J650" s="2">
        <v>900</v>
      </c>
      <c r="K650" s="2">
        <v>3</v>
      </c>
      <c r="L650" s="2" t="s">
        <v>39</v>
      </c>
      <c r="M650" s="2">
        <v>54</v>
      </c>
      <c r="N650" s="2">
        <v>3</v>
      </c>
      <c r="O650" s="2">
        <v>1</v>
      </c>
      <c r="P650" s="2" t="s">
        <v>57</v>
      </c>
      <c r="Q650" s="2">
        <v>4</v>
      </c>
      <c r="R650" s="2" t="s">
        <v>48</v>
      </c>
      <c r="S650" s="2">
        <v>2973</v>
      </c>
      <c r="T650" s="2">
        <v>21222</v>
      </c>
      <c r="U650" s="2">
        <v>5</v>
      </c>
      <c r="V650" s="2" t="s">
        <v>42</v>
      </c>
      <c r="W650" s="2" t="s">
        <v>43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</row>
    <row r="651" spans="1:35" x14ac:dyDescent="0.25">
      <c r="A651" s="2">
        <v>53</v>
      </c>
      <c r="B651" s="2" t="s">
        <v>43</v>
      </c>
      <c r="C651" s="2" t="s">
        <v>36</v>
      </c>
      <c r="D651" s="2">
        <v>102</v>
      </c>
      <c r="E651" s="2" t="s">
        <v>45</v>
      </c>
      <c r="F651" s="2">
        <v>23</v>
      </c>
      <c r="G651" s="2">
        <v>4</v>
      </c>
      <c r="H651" s="2" t="s">
        <v>38</v>
      </c>
      <c r="I651" s="2">
        <v>1</v>
      </c>
      <c r="J651" s="2">
        <v>901</v>
      </c>
      <c r="K651" s="2">
        <v>4</v>
      </c>
      <c r="L651" s="2" t="s">
        <v>39</v>
      </c>
      <c r="M651" s="2">
        <v>72</v>
      </c>
      <c r="N651" s="2">
        <v>3</v>
      </c>
      <c r="O651" s="2">
        <v>4</v>
      </c>
      <c r="P651" s="2" t="s">
        <v>58</v>
      </c>
      <c r="Q651" s="2">
        <v>4</v>
      </c>
      <c r="R651" s="2" t="s">
        <v>41</v>
      </c>
      <c r="S651" s="2">
        <v>14275</v>
      </c>
      <c r="T651" s="2">
        <v>20206</v>
      </c>
      <c r="U651" s="2">
        <v>6</v>
      </c>
      <c r="V651" s="2" t="s">
        <v>42</v>
      </c>
      <c r="W651" s="2" t="s">
        <v>43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</row>
    <row r="652" spans="1:35" x14ac:dyDescent="0.25">
      <c r="A652" s="2">
        <v>43</v>
      </c>
      <c r="B652" s="2" t="s">
        <v>43</v>
      </c>
      <c r="C652" s="2" t="s">
        <v>44</v>
      </c>
      <c r="D652" s="2">
        <v>422</v>
      </c>
      <c r="E652" s="2" t="s">
        <v>45</v>
      </c>
      <c r="F652" s="2">
        <v>1</v>
      </c>
      <c r="G652" s="2">
        <v>3</v>
      </c>
      <c r="H652" s="2" t="s">
        <v>38</v>
      </c>
      <c r="I652" s="2">
        <v>1</v>
      </c>
      <c r="J652" s="2">
        <v>902</v>
      </c>
      <c r="K652" s="2">
        <v>4</v>
      </c>
      <c r="L652" s="2" t="s">
        <v>39</v>
      </c>
      <c r="M652" s="2">
        <v>33</v>
      </c>
      <c r="N652" s="2">
        <v>3</v>
      </c>
      <c r="O652" s="2">
        <v>2</v>
      </c>
      <c r="P652" s="2" t="s">
        <v>54</v>
      </c>
      <c r="Q652" s="2">
        <v>4</v>
      </c>
      <c r="R652" s="2" t="s">
        <v>48</v>
      </c>
      <c r="S652" s="2">
        <v>5562</v>
      </c>
      <c r="T652" s="2">
        <v>21782</v>
      </c>
      <c r="U652" s="2">
        <v>4</v>
      </c>
      <c r="V652" s="2" t="s">
        <v>42</v>
      </c>
      <c r="W652" s="2" t="s">
        <v>43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</row>
    <row r="653" spans="1:35" x14ac:dyDescent="0.25">
      <c r="A653" s="2">
        <v>47</v>
      </c>
      <c r="B653" s="2" t="s">
        <v>43</v>
      </c>
      <c r="C653" s="2" t="s">
        <v>36</v>
      </c>
      <c r="D653" s="2">
        <v>249</v>
      </c>
      <c r="E653" s="2" t="s">
        <v>37</v>
      </c>
      <c r="F653" s="2">
        <v>2</v>
      </c>
      <c r="G653" s="2">
        <v>2</v>
      </c>
      <c r="H653" s="2" t="s">
        <v>59</v>
      </c>
      <c r="I653" s="2">
        <v>1</v>
      </c>
      <c r="J653" s="2">
        <v>903</v>
      </c>
      <c r="K653" s="2">
        <v>3</v>
      </c>
      <c r="L653" s="2" t="s">
        <v>39</v>
      </c>
      <c r="M653" s="2">
        <v>35</v>
      </c>
      <c r="N653" s="2">
        <v>3</v>
      </c>
      <c r="O653" s="2">
        <v>2</v>
      </c>
      <c r="P653" s="2" t="s">
        <v>40</v>
      </c>
      <c r="Q653" s="2">
        <v>4</v>
      </c>
      <c r="R653" s="2" t="s">
        <v>48</v>
      </c>
      <c r="S653" s="2">
        <v>4537</v>
      </c>
      <c r="T653" s="2">
        <v>17783</v>
      </c>
      <c r="U653" s="2">
        <v>0</v>
      </c>
      <c r="V653" s="2" t="s">
        <v>42</v>
      </c>
      <c r="W653" s="2" t="s">
        <v>35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</row>
    <row r="654" spans="1:35" x14ac:dyDescent="0.25">
      <c r="A654" s="2">
        <v>37</v>
      </c>
      <c r="B654" s="2" t="s">
        <v>43</v>
      </c>
      <c r="C654" s="2" t="s">
        <v>55</v>
      </c>
      <c r="D654" s="2">
        <v>1252</v>
      </c>
      <c r="E654" s="2" t="s">
        <v>37</v>
      </c>
      <c r="F654" s="2">
        <v>19</v>
      </c>
      <c r="G654" s="2">
        <v>2</v>
      </c>
      <c r="H654" s="2" t="s">
        <v>51</v>
      </c>
      <c r="I654" s="2">
        <v>1</v>
      </c>
      <c r="J654" s="2">
        <v>904</v>
      </c>
      <c r="K654" s="2">
        <v>1</v>
      </c>
      <c r="L654" s="2" t="s">
        <v>46</v>
      </c>
      <c r="M654" s="2">
        <v>32</v>
      </c>
      <c r="N654" s="2">
        <v>3</v>
      </c>
      <c r="O654" s="2">
        <v>3</v>
      </c>
      <c r="P654" s="2" t="s">
        <v>40</v>
      </c>
      <c r="Q654" s="2">
        <v>2</v>
      </c>
      <c r="R654" s="2" t="s">
        <v>41</v>
      </c>
      <c r="S654" s="2">
        <v>7642</v>
      </c>
      <c r="T654" s="2">
        <v>4814</v>
      </c>
      <c r="U654" s="2">
        <v>1</v>
      </c>
      <c r="V654" s="2" t="s">
        <v>42</v>
      </c>
      <c r="W654" s="2" t="s">
        <v>35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</row>
    <row r="655" spans="1:35" x14ac:dyDescent="0.25">
      <c r="A655" s="2">
        <v>50</v>
      </c>
      <c r="B655" s="2" t="s">
        <v>43</v>
      </c>
      <c r="C655" s="2" t="s">
        <v>55</v>
      </c>
      <c r="D655" s="2">
        <v>881</v>
      </c>
      <c r="E655" s="2" t="s">
        <v>45</v>
      </c>
      <c r="F655" s="2">
        <v>2</v>
      </c>
      <c r="G655" s="2">
        <v>4</v>
      </c>
      <c r="H655" s="2" t="s">
        <v>38</v>
      </c>
      <c r="I655" s="2">
        <v>1</v>
      </c>
      <c r="J655" s="2">
        <v>905</v>
      </c>
      <c r="K655" s="2">
        <v>1</v>
      </c>
      <c r="L655" s="2" t="s">
        <v>46</v>
      </c>
      <c r="M655" s="2">
        <v>98</v>
      </c>
      <c r="N655" s="2">
        <v>3</v>
      </c>
      <c r="O655" s="2">
        <v>4</v>
      </c>
      <c r="P655" s="2" t="s">
        <v>56</v>
      </c>
      <c r="Q655" s="2">
        <v>1</v>
      </c>
      <c r="R655" s="2" t="s">
        <v>52</v>
      </c>
      <c r="S655" s="2">
        <v>17924</v>
      </c>
      <c r="T655" s="2">
        <v>4544</v>
      </c>
      <c r="U655" s="2">
        <v>1</v>
      </c>
      <c r="V655" s="2" t="s">
        <v>42</v>
      </c>
      <c r="W655" s="2" t="s">
        <v>43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</row>
    <row r="656" spans="1:35" x14ac:dyDescent="0.25">
      <c r="A656" s="2">
        <v>39</v>
      </c>
      <c r="B656" s="2" t="s">
        <v>43</v>
      </c>
      <c r="C656" s="2" t="s">
        <v>36</v>
      </c>
      <c r="D656" s="2">
        <v>1383</v>
      </c>
      <c r="E656" s="2" t="s">
        <v>61</v>
      </c>
      <c r="F656" s="2">
        <v>2</v>
      </c>
      <c r="G656" s="2">
        <v>3</v>
      </c>
      <c r="H656" s="2" t="s">
        <v>38</v>
      </c>
      <c r="I656" s="2">
        <v>1</v>
      </c>
      <c r="J656" s="2">
        <v>909</v>
      </c>
      <c r="K656" s="2">
        <v>4</v>
      </c>
      <c r="L656" s="2" t="s">
        <v>39</v>
      </c>
      <c r="M656" s="2">
        <v>42</v>
      </c>
      <c r="N656" s="2">
        <v>2</v>
      </c>
      <c r="O656" s="2">
        <v>2</v>
      </c>
      <c r="P656" s="2" t="s">
        <v>61</v>
      </c>
      <c r="Q656" s="2">
        <v>4</v>
      </c>
      <c r="R656" s="2" t="s">
        <v>48</v>
      </c>
      <c r="S656" s="2">
        <v>5204</v>
      </c>
      <c r="T656" s="2">
        <v>7790</v>
      </c>
      <c r="U656" s="2">
        <v>8</v>
      </c>
      <c r="V656" s="2" t="s">
        <v>42</v>
      </c>
      <c r="W656" s="2" t="s">
        <v>43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</row>
    <row r="657" spans="1:35" x14ac:dyDescent="0.25">
      <c r="A657" s="2">
        <v>33</v>
      </c>
      <c r="B657" s="2" t="s">
        <v>43</v>
      </c>
      <c r="C657" s="2" t="s">
        <v>36</v>
      </c>
      <c r="D657" s="2">
        <v>1075</v>
      </c>
      <c r="E657" s="2" t="s">
        <v>61</v>
      </c>
      <c r="F657" s="2">
        <v>3</v>
      </c>
      <c r="G657" s="2">
        <v>2</v>
      </c>
      <c r="H657" s="2" t="s">
        <v>61</v>
      </c>
      <c r="I657" s="2">
        <v>1</v>
      </c>
      <c r="J657" s="2">
        <v>910</v>
      </c>
      <c r="K657" s="2">
        <v>4</v>
      </c>
      <c r="L657" s="2" t="s">
        <v>46</v>
      </c>
      <c r="M657" s="2">
        <v>57</v>
      </c>
      <c r="N657" s="2">
        <v>3</v>
      </c>
      <c r="O657" s="2">
        <v>1</v>
      </c>
      <c r="P657" s="2" t="s">
        <v>61</v>
      </c>
      <c r="Q657" s="2">
        <v>2</v>
      </c>
      <c r="R657" s="2" t="s">
        <v>52</v>
      </c>
      <c r="S657" s="2">
        <v>2277</v>
      </c>
      <c r="T657" s="2">
        <v>22650</v>
      </c>
      <c r="U657" s="2">
        <v>3</v>
      </c>
      <c r="V657" s="2" t="s">
        <v>42</v>
      </c>
      <c r="W657" s="2" t="s">
        <v>35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</row>
    <row r="658" spans="1:35" x14ac:dyDescent="0.25">
      <c r="A658" s="2">
        <v>32</v>
      </c>
      <c r="B658" s="2" t="s">
        <v>35</v>
      </c>
      <c r="C658" s="2" t="s">
        <v>36</v>
      </c>
      <c r="D658" s="2">
        <v>374</v>
      </c>
      <c r="E658" s="2" t="s">
        <v>45</v>
      </c>
      <c r="F658" s="2">
        <v>25</v>
      </c>
      <c r="G658" s="2">
        <v>4</v>
      </c>
      <c r="H658" s="2" t="s">
        <v>38</v>
      </c>
      <c r="I658" s="2">
        <v>1</v>
      </c>
      <c r="J658" s="2">
        <v>911</v>
      </c>
      <c r="K658" s="2">
        <v>1</v>
      </c>
      <c r="L658" s="2" t="s">
        <v>46</v>
      </c>
      <c r="M658" s="2">
        <v>87</v>
      </c>
      <c r="N658" s="2">
        <v>3</v>
      </c>
      <c r="O658" s="2">
        <v>1</v>
      </c>
      <c r="P658" s="2" t="s">
        <v>50</v>
      </c>
      <c r="Q658" s="2">
        <v>4</v>
      </c>
      <c r="R658" s="2" t="s">
        <v>41</v>
      </c>
      <c r="S658" s="2">
        <v>2795</v>
      </c>
      <c r="T658" s="2">
        <v>18016</v>
      </c>
      <c r="U658" s="2">
        <v>1</v>
      </c>
      <c r="V658" s="2" t="s">
        <v>42</v>
      </c>
      <c r="W658" s="2" t="s">
        <v>35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</row>
    <row r="659" spans="1:35" x14ac:dyDescent="0.25">
      <c r="A659" s="2">
        <v>29</v>
      </c>
      <c r="B659" s="2" t="s">
        <v>43</v>
      </c>
      <c r="C659" s="2" t="s">
        <v>36</v>
      </c>
      <c r="D659" s="2">
        <v>1086</v>
      </c>
      <c r="E659" s="2" t="s">
        <v>45</v>
      </c>
      <c r="F659" s="2">
        <v>7</v>
      </c>
      <c r="G659" s="2">
        <v>1</v>
      </c>
      <c r="H659" s="2" t="s">
        <v>51</v>
      </c>
      <c r="I659" s="2">
        <v>1</v>
      </c>
      <c r="J659" s="2">
        <v>912</v>
      </c>
      <c r="K659" s="2">
        <v>1</v>
      </c>
      <c r="L659" s="2" t="s">
        <v>39</v>
      </c>
      <c r="M659" s="2">
        <v>62</v>
      </c>
      <c r="N659" s="2">
        <v>2</v>
      </c>
      <c r="O659" s="2">
        <v>1</v>
      </c>
      <c r="P659" s="2" t="s">
        <v>50</v>
      </c>
      <c r="Q659" s="2">
        <v>4</v>
      </c>
      <c r="R659" s="2" t="s">
        <v>52</v>
      </c>
      <c r="S659" s="2">
        <v>2532</v>
      </c>
      <c r="T659" s="2">
        <v>6054</v>
      </c>
      <c r="U659" s="2">
        <v>6</v>
      </c>
      <c r="V659" s="2" t="s">
        <v>42</v>
      </c>
      <c r="W659" s="2" t="s">
        <v>43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</row>
    <row r="660" spans="1:35" x14ac:dyDescent="0.25">
      <c r="A660" s="2">
        <v>44</v>
      </c>
      <c r="B660" s="2" t="s">
        <v>43</v>
      </c>
      <c r="C660" s="2" t="s">
        <v>36</v>
      </c>
      <c r="D660" s="2">
        <v>661</v>
      </c>
      <c r="E660" s="2" t="s">
        <v>45</v>
      </c>
      <c r="F660" s="2">
        <v>9</v>
      </c>
      <c r="G660" s="2">
        <v>2</v>
      </c>
      <c r="H660" s="2" t="s">
        <v>38</v>
      </c>
      <c r="I660" s="2">
        <v>1</v>
      </c>
      <c r="J660" s="2">
        <v>913</v>
      </c>
      <c r="K660" s="2">
        <v>2</v>
      </c>
      <c r="L660" s="2" t="s">
        <v>46</v>
      </c>
      <c r="M660" s="2">
        <v>61</v>
      </c>
      <c r="N660" s="2">
        <v>3</v>
      </c>
      <c r="O660" s="2">
        <v>1</v>
      </c>
      <c r="P660" s="2" t="s">
        <v>47</v>
      </c>
      <c r="Q660" s="2">
        <v>1</v>
      </c>
      <c r="R660" s="2" t="s">
        <v>48</v>
      </c>
      <c r="S660" s="2">
        <v>2559</v>
      </c>
      <c r="T660" s="2">
        <v>7508</v>
      </c>
      <c r="U660" s="2">
        <v>1</v>
      </c>
      <c r="V660" s="2" t="s">
        <v>42</v>
      </c>
      <c r="W660" s="2" t="s">
        <v>35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</row>
    <row r="661" spans="1:35" x14ac:dyDescent="0.25">
      <c r="A661" s="2">
        <v>28</v>
      </c>
      <c r="B661" s="2" t="s">
        <v>43</v>
      </c>
      <c r="C661" s="2" t="s">
        <v>36</v>
      </c>
      <c r="D661" s="2">
        <v>821</v>
      </c>
      <c r="E661" s="2" t="s">
        <v>37</v>
      </c>
      <c r="F661" s="2">
        <v>5</v>
      </c>
      <c r="G661" s="2">
        <v>4</v>
      </c>
      <c r="H661" s="2" t="s">
        <v>51</v>
      </c>
      <c r="I661" s="2">
        <v>1</v>
      </c>
      <c r="J661" s="2">
        <v>916</v>
      </c>
      <c r="K661" s="2">
        <v>1</v>
      </c>
      <c r="L661" s="2" t="s">
        <v>46</v>
      </c>
      <c r="M661" s="2">
        <v>98</v>
      </c>
      <c r="N661" s="2">
        <v>3</v>
      </c>
      <c r="O661" s="2">
        <v>2</v>
      </c>
      <c r="P661" s="2" t="s">
        <v>40</v>
      </c>
      <c r="Q661" s="2">
        <v>4</v>
      </c>
      <c r="R661" s="2" t="s">
        <v>41</v>
      </c>
      <c r="S661" s="2">
        <v>4908</v>
      </c>
      <c r="T661" s="2">
        <v>24252</v>
      </c>
      <c r="U661" s="2">
        <v>1</v>
      </c>
      <c r="V661" s="2" t="s">
        <v>42</v>
      </c>
      <c r="W661" s="2" t="s">
        <v>43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</row>
    <row r="662" spans="1:35" x14ac:dyDescent="0.25">
      <c r="A662" s="2">
        <v>58</v>
      </c>
      <c r="B662" s="2" t="s">
        <v>35</v>
      </c>
      <c r="C662" s="2" t="s">
        <v>44</v>
      </c>
      <c r="D662" s="2">
        <v>781</v>
      </c>
      <c r="E662" s="2" t="s">
        <v>45</v>
      </c>
      <c r="F662" s="2">
        <v>2</v>
      </c>
      <c r="G662" s="2">
        <v>1</v>
      </c>
      <c r="H662" s="2" t="s">
        <v>38</v>
      </c>
      <c r="I662" s="2">
        <v>1</v>
      </c>
      <c r="J662" s="2">
        <v>918</v>
      </c>
      <c r="K662" s="2">
        <v>4</v>
      </c>
      <c r="L662" s="2" t="s">
        <v>46</v>
      </c>
      <c r="M662" s="2">
        <v>57</v>
      </c>
      <c r="N662" s="2">
        <v>2</v>
      </c>
      <c r="O662" s="2">
        <v>1</v>
      </c>
      <c r="P662" s="2" t="s">
        <v>50</v>
      </c>
      <c r="Q662" s="2">
        <v>4</v>
      </c>
      <c r="R662" s="2" t="s">
        <v>52</v>
      </c>
      <c r="S662" s="2">
        <v>2380</v>
      </c>
      <c r="T662" s="2">
        <v>13384</v>
      </c>
      <c r="U662" s="2">
        <v>9</v>
      </c>
      <c r="V662" s="2" t="s">
        <v>42</v>
      </c>
      <c r="W662" s="2" t="s">
        <v>35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</row>
    <row r="663" spans="1:35" x14ac:dyDescent="0.25">
      <c r="A663" s="2">
        <v>43</v>
      </c>
      <c r="B663" s="2" t="s">
        <v>43</v>
      </c>
      <c r="C663" s="2" t="s">
        <v>36</v>
      </c>
      <c r="D663" s="2">
        <v>177</v>
      </c>
      <c r="E663" s="2" t="s">
        <v>45</v>
      </c>
      <c r="F663" s="2">
        <v>8</v>
      </c>
      <c r="G663" s="2">
        <v>3</v>
      </c>
      <c r="H663" s="2" t="s">
        <v>38</v>
      </c>
      <c r="I663" s="2">
        <v>1</v>
      </c>
      <c r="J663" s="2">
        <v>920</v>
      </c>
      <c r="K663" s="2">
        <v>1</v>
      </c>
      <c r="L663" s="2" t="s">
        <v>39</v>
      </c>
      <c r="M663" s="2">
        <v>55</v>
      </c>
      <c r="N663" s="2">
        <v>3</v>
      </c>
      <c r="O663" s="2">
        <v>2</v>
      </c>
      <c r="P663" s="2" t="s">
        <v>53</v>
      </c>
      <c r="Q663" s="2">
        <v>2</v>
      </c>
      <c r="R663" s="2" t="s">
        <v>52</v>
      </c>
      <c r="S663" s="2">
        <v>4765</v>
      </c>
      <c r="T663" s="2">
        <v>23814</v>
      </c>
      <c r="U663" s="2">
        <v>4</v>
      </c>
      <c r="V663" s="2" t="s">
        <v>42</v>
      </c>
      <c r="W663" s="2" t="s">
        <v>43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</row>
    <row r="664" spans="1:35" x14ac:dyDescent="0.25">
      <c r="A664" s="2">
        <v>20</v>
      </c>
      <c r="B664" s="2" t="s">
        <v>35</v>
      </c>
      <c r="C664" s="2" t="s">
        <v>36</v>
      </c>
      <c r="D664" s="2">
        <v>500</v>
      </c>
      <c r="E664" s="2" t="s">
        <v>37</v>
      </c>
      <c r="F664" s="2">
        <v>2</v>
      </c>
      <c r="G664" s="2">
        <v>3</v>
      </c>
      <c r="H664" s="2" t="s">
        <v>51</v>
      </c>
      <c r="I664" s="2">
        <v>1</v>
      </c>
      <c r="J664" s="2">
        <v>922</v>
      </c>
      <c r="K664" s="2">
        <v>3</v>
      </c>
      <c r="L664" s="2" t="s">
        <v>39</v>
      </c>
      <c r="M664" s="2">
        <v>49</v>
      </c>
      <c r="N664" s="2">
        <v>2</v>
      </c>
      <c r="O664" s="2">
        <v>1</v>
      </c>
      <c r="P664" s="2" t="s">
        <v>57</v>
      </c>
      <c r="Q664" s="2">
        <v>3</v>
      </c>
      <c r="R664" s="2" t="s">
        <v>41</v>
      </c>
      <c r="S664" s="2">
        <v>2044</v>
      </c>
      <c r="T664" s="2">
        <v>22052</v>
      </c>
      <c r="U664" s="2">
        <v>1</v>
      </c>
      <c r="V664" s="2" t="s">
        <v>42</v>
      </c>
      <c r="W664" s="2" t="s">
        <v>43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</row>
    <row r="665" spans="1:35" x14ac:dyDescent="0.25">
      <c r="A665" s="2">
        <v>21</v>
      </c>
      <c r="B665" s="2" t="s">
        <v>35</v>
      </c>
      <c r="C665" s="2" t="s">
        <v>36</v>
      </c>
      <c r="D665" s="2">
        <v>1427</v>
      </c>
      <c r="E665" s="2" t="s">
        <v>45</v>
      </c>
      <c r="F665" s="2">
        <v>18</v>
      </c>
      <c r="G665" s="2">
        <v>1</v>
      </c>
      <c r="H665" s="2" t="s">
        <v>49</v>
      </c>
      <c r="I665" s="2">
        <v>1</v>
      </c>
      <c r="J665" s="2">
        <v>923</v>
      </c>
      <c r="K665" s="2">
        <v>4</v>
      </c>
      <c r="L665" s="2" t="s">
        <v>39</v>
      </c>
      <c r="M665" s="2">
        <v>65</v>
      </c>
      <c r="N665" s="2">
        <v>3</v>
      </c>
      <c r="O665" s="2">
        <v>1</v>
      </c>
      <c r="P665" s="2" t="s">
        <v>47</v>
      </c>
      <c r="Q665" s="2">
        <v>4</v>
      </c>
      <c r="R665" s="2" t="s">
        <v>41</v>
      </c>
      <c r="S665" s="2">
        <v>2693</v>
      </c>
      <c r="T665" s="2">
        <v>8870</v>
      </c>
      <c r="U665" s="2">
        <v>1</v>
      </c>
      <c r="V665" s="2" t="s">
        <v>42</v>
      </c>
      <c r="W665" s="2" t="s">
        <v>43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</row>
    <row r="666" spans="1:35" x14ac:dyDescent="0.25">
      <c r="A666" s="2">
        <v>36</v>
      </c>
      <c r="B666" s="2" t="s">
        <v>43</v>
      </c>
      <c r="C666" s="2" t="s">
        <v>36</v>
      </c>
      <c r="D666" s="2">
        <v>1425</v>
      </c>
      <c r="E666" s="2" t="s">
        <v>45</v>
      </c>
      <c r="F666" s="2">
        <v>14</v>
      </c>
      <c r="G666" s="2">
        <v>1</v>
      </c>
      <c r="H666" s="2" t="s">
        <v>38</v>
      </c>
      <c r="I666" s="2">
        <v>1</v>
      </c>
      <c r="J666" s="2">
        <v>924</v>
      </c>
      <c r="K666" s="2">
        <v>3</v>
      </c>
      <c r="L666" s="2" t="s">
        <v>46</v>
      </c>
      <c r="M666" s="2">
        <v>68</v>
      </c>
      <c r="N666" s="2">
        <v>3</v>
      </c>
      <c r="O666" s="2">
        <v>2</v>
      </c>
      <c r="P666" s="2" t="s">
        <v>54</v>
      </c>
      <c r="Q666" s="2">
        <v>4</v>
      </c>
      <c r="R666" s="2" t="s">
        <v>48</v>
      </c>
      <c r="S666" s="2">
        <v>6586</v>
      </c>
      <c r="T666" s="2">
        <v>4821</v>
      </c>
      <c r="U666" s="2">
        <v>0</v>
      </c>
      <c r="V666" s="2" t="s">
        <v>42</v>
      </c>
      <c r="W666" s="2" t="s">
        <v>35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</row>
    <row r="667" spans="1:35" x14ac:dyDescent="0.25">
      <c r="A667" s="2">
        <v>47</v>
      </c>
      <c r="B667" s="2" t="s">
        <v>43</v>
      </c>
      <c r="C667" s="2" t="s">
        <v>36</v>
      </c>
      <c r="D667" s="2">
        <v>1454</v>
      </c>
      <c r="E667" s="2" t="s">
        <v>37</v>
      </c>
      <c r="F667" s="2">
        <v>2</v>
      </c>
      <c r="G667" s="2">
        <v>4</v>
      </c>
      <c r="H667" s="2" t="s">
        <v>38</v>
      </c>
      <c r="I667" s="2">
        <v>1</v>
      </c>
      <c r="J667" s="2">
        <v>925</v>
      </c>
      <c r="K667" s="2">
        <v>4</v>
      </c>
      <c r="L667" s="2" t="s">
        <v>39</v>
      </c>
      <c r="M667" s="2">
        <v>65</v>
      </c>
      <c r="N667" s="2">
        <v>2</v>
      </c>
      <c r="O667" s="2">
        <v>1</v>
      </c>
      <c r="P667" s="2" t="s">
        <v>57</v>
      </c>
      <c r="Q667" s="2">
        <v>4</v>
      </c>
      <c r="R667" s="2" t="s">
        <v>41</v>
      </c>
      <c r="S667" s="2">
        <v>3294</v>
      </c>
      <c r="T667" s="2">
        <v>13137</v>
      </c>
      <c r="U667" s="2">
        <v>1</v>
      </c>
      <c r="V667" s="2" t="s">
        <v>42</v>
      </c>
      <c r="W667" s="2" t="s">
        <v>35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</row>
    <row r="668" spans="1:35" x14ac:dyDescent="0.25">
      <c r="A668" s="2">
        <v>22</v>
      </c>
      <c r="B668" s="2" t="s">
        <v>35</v>
      </c>
      <c r="C668" s="2" t="s">
        <v>36</v>
      </c>
      <c r="D668" s="2">
        <v>617</v>
      </c>
      <c r="E668" s="2" t="s">
        <v>45</v>
      </c>
      <c r="F668" s="2">
        <v>3</v>
      </c>
      <c r="G668" s="2">
        <v>1</v>
      </c>
      <c r="H668" s="2" t="s">
        <v>38</v>
      </c>
      <c r="I668" s="2">
        <v>1</v>
      </c>
      <c r="J668" s="2">
        <v>926</v>
      </c>
      <c r="K668" s="2">
        <v>2</v>
      </c>
      <c r="L668" s="2" t="s">
        <v>39</v>
      </c>
      <c r="M668" s="2">
        <v>34</v>
      </c>
      <c r="N668" s="2">
        <v>3</v>
      </c>
      <c r="O668" s="2">
        <v>2</v>
      </c>
      <c r="P668" s="2" t="s">
        <v>53</v>
      </c>
      <c r="Q668" s="2">
        <v>3</v>
      </c>
      <c r="R668" s="2" t="s">
        <v>48</v>
      </c>
      <c r="S668" s="2">
        <v>4171</v>
      </c>
      <c r="T668" s="2">
        <v>10022</v>
      </c>
      <c r="U668" s="2">
        <v>0</v>
      </c>
      <c r="V668" s="2" t="s">
        <v>42</v>
      </c>
      <c r="W668" s="2" t="s">
        <v>35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</row>
    <row r="669" spans="1:35" x14ac:dyDescent="0.25">
      <c r="A669" s="2">
        <v>41</v>
      </c>
      <c r="B669" s="2" t="s">
        <v>35</v>
      </c>
      <c r="C669" s="2" t="s">
        <v>36</v>
      </c>
      <c r="D669" s="2">
        <v>1085</v>
      </c>
      <c r="E669" s="2" t="s">
        <v>45</v>
      </c>
      <c r="F669" s="2">
        <v>2</v>
      </c>
      <c r="G669" s="2">
        <v>4</v>
      </c>
      <c r="H669" s="2" t="s">
        <v>38</v>
      </c>
      <c r="I669" s="2">
        <v>1</v>
      </c>
      <c r="J669" s="2">
        <v>927</v>
      </c>
      <c r="K669" s="2">
        <v>2</v>
      </c>
      <c r="L669" s="2" t="s">
        <v>39</v>
      </c>
      <c r="M669" s="2">
        <v>57</v>
      </c>
      <c r="N669" s="2">
        <v>1</v>
      </c>
      <c r="O669" s="2">
        <v>1</v>
      </c>
      <c r="P669" s="2" t="s">
        <v>50</v>
      </c>
      <c r="Q669" s="2">
        <v>4</v>
      </c>
      <c r="R669" s="2" t="s">
        <v>52</v>
      </c>
      <c r="S669" s="2">
        <v>2778</v>
      </c>
      <c r="T669" s="2">
        <v>17725</v>
      </c>
      <c r="U669" s="2">
        <v>4</v>
      </c>
      <c r="V669" s="2" t="s">
        <v>42</v>
      </c>
      <c r="W669" s="2" t="s">
        <v>35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</row>
    <row r="670" spans="1:35" x14ac:dyDescent="0.25">
      <c r="A670" s="2">
        <v>28</v>
      </c>
      <c r="B670" s="2" t="s">
        <v>43</v>
      </c>
      <c r="C670" s="2" t="s">
        <v>36</v>
      </c>
      <c r="D670" s="2">
        <v>995</v>
      </c>
      <c r="E670" s="2" t="s">
        <v>45</v>
      </c>
      <c r="F670" s="2">
        <v>9</v>
      </c>
      <c r="G670" s="2">
        <v>3</v>
      </c>
      <c r="H670" s="2" t="s">
        <v>51</v>
      </c>
      <c r="I670" s="2">
        <v>1</v>
      </c>
      <c r="J670" s="2">
        <v>930</v>
      </c>
      <c r="K670" s="2">
        <v>3</v>
      </c>
      <c r="L670" s="2" t="s">
        <v>39</v>
      </c>
      <c r="M670" s="2">
        <v>77</v>
      </c>
      <c r="N670" s="2">
        <v>3</v>
      </c>
      <c r="O670" s="2">
        <v>1</v>
      </c>
      <c r="P670" s="2" t="s">
        <v>47</v>
      </c>
      <c r="Q670" s="2">
        <v>3</v>
      </c>
      <c r="R670" s="2" t="s">
        <v>52</v>
      </c>
      <c r="S670" s="2">
        <v>2377</v>
      </c>
      <c r="T670" s="2">
        <v>9834</v>
      </c>
      <c r="U670" s="2">
        <v>5</v>
      </c>
      <c r="V670" s="2" t="s">
        <v>42</v>
      </c>
      <c r="W670" s="2" t="s">
        <v>43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</row>
    <row r="671" spans="1:35" x14ac:dyDescent="0.25">
      <c r="A671" s="2">
        <v>39</v>
      </c>
      <c r="B671" s="2" t="s">
        <v>35</v>
      </c>
      <c r="C671" s="2" t="s">
        <v>36</v>
      </c>
      <c r="D671" s="2">
        <v>1122</v>
      </c>
      <c r="E671" s="2" t="s">
        <v>45</v>
      </c>
      <c r="F671" s="2">
        <v>6</v>
      </c>
      <c r="G671" s="2">
        <v>3</v>
      </c>
      <c r="H671" s="2" t="s">
        <v>51</v>
      </c>
      <c r="I671" s="2">
        <v>1</v>
      </c>
      <c r="J671" s="2">
        <v>932</v>
      </c>
      <c r="K671" s="2">
        <v>4</v>
      </c>
      <c r="L671" s="2" t="s">
        <v>46</v>
      </c>
      <c r="M671" s="2">
        <v>70</v>
      </c>
      <c r="N671" s="2">
        <v>3</v>
      </c>
      <c r="O671" s="2">
        <v>1</v>
      </c>
      <c r="P671" s="2" t="s">
        <v>50</v>
      </c>
      <c r="Q671" s="2">
        <v>1</v>
      </c>
      <c r="R671" s="2" t="s">
        <v>48</v>
      </c>
      <c r="S671" s="2">
        <v>2404</v>
      </c>
      <c r="T671" s="2">
        <v>4303</v>
      </c>
      <c r="U671" s="2">
        <v>7</v>
      </c>
      <c r="V671" s="2" t="s">
        <v>42</v>
      </c>
      <c r="W671" s="2" t="s">
        <v>35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</row>
    <row r="672" spans="1:35" x14ac:dyDescent="0.25">
      <c r="A672" s="2">
        <v>27</v>
      </c>
      <c r="B672" s="2" t="s">
        <v>43</v>
      </c>
      <c r="C672" s="2" t="s">
        <v>36</v>
      </c>
      <c r="D672" s="2">
        <v>618</v>
      </c>
      <c r="E672" s="2" t="s">
        <v>45</v>
      </c>
      <c r="F672" s="2">
        <v>4</v>
      </c>
      <c r="G672" s="2">
        <v>3</v>
      </c>
      <c r="H672" s="2" t="s">
        <v>38</v>
      </c>
      <c r="I672" s="2">
        <v>1</v>
      </c>
      <c r="J672" s="2">
        <v>933</v>
      </c>
      <c r="K672" s="2">
        <v>2</v>
      </c>
      <c r="L672" s="2" t="s">
        <v>39</v>
      </c>
      <c r="M672" s="2">
        <v>76</v>
      </c>
      <c r="N672" s="2">
        <v>3</v>
      </c>
      <c r="O672" s="2">
        <v>1</v>
      </c>
      <c r="P672" s="2" t="s">
        <v>47</v>
      </c>
      <c r="Q672" s="2">
        <v>3</v>
      </c>
      <c r="R672" s="2" t="s">
        <v>41</v>
      </c>
      <c r="S672" s="2">
        <v>2318</v>
      </c>
      <c r="T672" s="2">
        <v>17808</v>
      </c>
      <c r="U672" s="2">
        <v>1</v>
      </c>
      <c r="V672" s="2" t="s">
        <v>42</v>
      </c>
      <c r="W672" s="2" t="s">
        <v>43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</row>
    <row r="673" spans="1:35" x14ac:dyDescent="0.25">
      <c r="A673" s="2">
        <v>34</v>
      </c>
      <c r="B673" s="2" t="s">
        <v>43</v>
      </c>
      <c r="C673" s="2" t="s">
        <v>36</v>
      </c>
      <c r="D673" s="2">
        <v>546</v>
      </c>
      <c r="E673" s="2" t="s">
        <v>45</v>
      </c>
      <c r="F673" s="2">
        <v>10</v>
      </c>
      <c r="G673" s="2">
        <v>3</v>
      </c>
      <c r="H673" s="2" t="s">
        <v>38</v>
      </c>
      <c r="I673" s="2">
        <v>1</v>
      </c>
      <c r="J673" s="2">
        <v>934</v>
      </c>
      <c r="K673" s="2">
        <v>2</v>
      </c>
      <c r="L673" s="2" t="s">
        <v>46</v>
      </c>
      <c r="M673" s="2">
        <v>83</v>
      </c>
      <c r="N673" s="2">
        <v>3</v>
      </c>
      <c r="O673" s="2">
        <v>1</v>
      </c>
      <c r="P673" s="2" t="s">
        <v>50</v>
      </c>
      <c r="Q673" s="2">
        <v>2</v>
      </c>
      <c r="R673" s="2" t="s">
        <v>52</v>
      </c>
      <c r="S673" s="2">
        <v>2008</v>
      </c>
      <c r="T673" s="2">
        <v>6896</v>
      </c>
      <c r="U673" s="2">
        <v>1</v>
      </c>
      <c r="V673" s="2" t="s">
        <v>42</v>
      </c>
      <c r="W673" s="2" t="s">
        <v>43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</row>
    <row r="674" spans="1:35" x14ac:dyDescent="0.25">
      <c r="A674" s="2">
        <v>42</v>
      </c>
      <c r="B674" s="2" t="s">
        <v>43</v>
      </c>
      <c r="C674" s="2" t="s">
        <v>36</v>
      </c>
      <c r="D674" s="2">
        <v>462</v>
      </c>
      <c r="E674" s="2" t="s">
        <v>37</v>
      </c>
      <c r="F674" s="2">
        <v>14</v>
      </c>
      <c r="G674" s="2">
        <v>2</v>
      </c>
      <c r="H674" s="2" t="s">
        <v>51</v>
      </c>
      <c r="I674" s="2">
        <v>1</v>
      </c>
      <c r="J674" s="2">
        <v>936</v>
      </c>
      <c r="K674" s="2">
        <v>3</v>
      </c>
      <c r="L674" s="2" t="s">
        <v>39</v>
      </c>
      <c r="M674" s="2">
        <v>68</v>
      </c>
      <c r="N674" s="2">
        <v>2</v>
      </c>
      <c r="O674" s="2">
        <v>2</v>
      </c>
      <c r="P674" s="2" t="s">
        <v>40</v>
      </c>
      <c r="Q674" s="2">
        <v>3</v>
      </c>
      <c r="R674" s="2" t="s">
        <v>41</v>
      </c>
      <c r="S674" s="2">
        <v>6244</v>
      </c>
      <c r="T674" s="2">
        <v>7824</v>
      </c>
      <c r="U674" s="2">
        <v>7</v>
      </c>
      <c r="V674" s="2" t="s">
        <v>42</v>
      </c>
      <c r="W674" s="2" t="s">
        <v>43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</row>
    <row r="675" spans="1:35" x14ac:dyDescent="0.25">
      <c r="A675" s="2">
        <v>33</v>
      </c>
      <c r="B675" s="2" t="s">
        <v>43</v>
      </c>
      <c r="C675" s="2" t="s">
        <v>36</v>
      </c>
      <c r="D675" s="2">
        <v>1198</v>
      </c>
      <c r="E675" s="2" t="s">
        <v>45</v>
      </c>
      <c r="F675" s="2">
        <v>1</v>
      </c>
      <c r="G675" s="2">
        <v>4</v>
      </c>
      <c r="H675" s="2" t="s">
        <v>49</v>
      </c>
      <c r="I675" s="2">
        <v>1</v>
      </c>
      <c r="J675" s="2">
        <v>939</v>
      </c>
      <c r="K675" s="2">
        <v>3</v>
      </c>
      <c r="L675" s="2" t="s">
        <v>46</v>
      </c>
      <c r="M675" s="2">
        <v>100</v>
      </c>
      <c r="N675" s="2">
        <v>2</v>
      </c>
      <c r="O675" s="2">
        <v>1</v>
      </c>
      <c r="P675" s="2" t="s">
        <v>47</v>
      </c>
      <c r="Q675" s="2">
        <v>1</v>
      </c>
      <c r="R675" s="2" t="s">
        <v>41</v>
      </c>
      <c r="S675" s="2">
        <v>2799</v>
      </c>
      <c r="T675" s="2">
        <v>3339</v>
      </c>
      <c r="U675" s="2">
        <v>3</v>
      </c>
      <c r="V675" s="2" t="s">
        <v>42</v>
      </c>
      <c r="W675" s="2" t="s">
        <v>35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</row>
    <row r="676" spans="1:35" x14ac:dyDescent="0.25">
      <c r="A676" s="2">
        <v>58</v>
      </c>
      <c r="B676" s="2" t="s">
        <v>43</v>
      </c>
      <c r="C676" s="2" t="s">
        <v>36</v>
      </c>
      <c r="D676" s="2">
        <v>1272</v>
      </c>
      <c r="E676" s="2" t="s">
        <v>45</v>
      </c>
      <c r="F676" s="2">
        <v>5</v>
      </c>
      <c r="G676" s="2">
        <v>3</v>
      </c>
      <c r="H676" s="2" t="s">
        <v>60</v>
      </c>
      <c r="I676" s="2">
        <v>1</v>
      </c>
      <c r="J676" s="2">
        <v>940</v>
      </c>
      <c r="K676" s="2">
        <v>3</v>
      </c>
      <c r="L676" s="2" t="s">
        <v>39</v>
      </c>
      <c r="M676" s="2">
        <v>37</v>
      </c>
      <c r="N676" s="2">
        <v>2</v>
      </c>
      <c r="O676" s="2">
        <v>3</v>
      </c>
      <c r="P676" s="2" t="s">
        <v>54</v>
      </c>
      <c r="Q676" s="2">
        <v>2</v>
      </c>
      <c r="R676" s="2" t="s">
        <v>52</v>
      </c>
      <c r="S676" s="2">
        <v>10552</v>
      </c>
      <c r="T676" s="2">
        <v>9255</v>
      </c>
      <c r="U676" s="2">
        <v>2</v>
      </c>
      <c r="V676" s="2" t="s">
        <v>42</v>
      </c>
      <c r="W676" s="2" t="s">
        <v>35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</row>
    <row r="677" spans="1:35" x14ac:dyDescent="0.25">
      <c r="A677" s="2">
        <v>31</v>
      </c>
      <c r="B677" s="2" t="s">
        <v>43</v>
      </c>
      <c r="C677" s="2" t="s">
        <v>36</v>
      </c>
      <c r="D677" s="2">
        <v>154</v>
      </c>
      <c r="E677" s="2" t="s">
        <v>37</v>
      </c>
      <c r="F677" s="2">
        <v>7</v>
      </c>
      <c r="G677" s="2">
        <v>4</v>
      </c>
      <c r="H677" s="2" t="s">
        <v>38</v>
      </c>
      <c r="I677" s="2">
        <v>1</v>
      </c>
      <c r="J677" s="2">
        <v>941</v>
      </c>
      <c r="K677" s="2">
        <v>2</v>
      </c>
      <c r="L677" s="2" t="s">
        <v>46</v>
      </c>
      <c r="M677" s="2">
        <v>41</v>
      </c>
      <c r="N677" s="2">
        <v>2</v>
      </c>
      <c r="O677" s="2">
        <v>1</v>
      </c>
      <c r="P677" s="2" t="s">
        <v>57</v>
      </c>
      <c r="Q677" s="2">
        <v>3</v>
      </c>
      <c r="R677" s="2" t="s">
        <v>48</v>
      </c>
      <c r="S677" s="2">
        <v>2329</v>
      </c>
      <c r="T677" s="2">
        <v>11737</v>
      </c>
      <c r="U677" s="2">
        <v>3</v>
      </c>
      <c r="V677" s="2" t="s">
        <v>42</v>
      </c>
      <c r="W677" s="2" t="s">
        <v>43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</row>
    <row r="678" spans="1:35" x14ac:dyDescent="0.25">
      <c r="A678" s="2">
        <v>35</v>
      </c>
      <c r="B678" s="2" t="s">
        <v>43</v>
      </c>
      <c r="C678" s="2" t="s">
        <v>36</v>
      </c>
      <c r="D678" s="2">
        <v>1137</v>
      </c>
      <c r="E678" s="2" t="s">
        <v>45</v>
      </c>
      <c r="F678" s="2">
        <v>21</v>
      </c>
      <c r="G678" s="2">
        <v>1</v>
      </c>
      <c r="H678" s="2" t="s">
        <v>38</v>
      </c>
      <c r="I678" s="2">
        <v>1</v>
      </c>
      <c r="J678" s="2">
        <v>942</v>
      </c>
      <c r="K678" s="2">
        <v>4</v>
      </c>
      <c r="L678" s="2" t="s">
        <v>39</v>
      </c>
      <c r="M678" s="2">
        <v>51</v>
      </c>
      <c r="N678" s="2">
        <v>3</v>
      </c>
      <c r="O678" s="2">
        <v>2</v>
      </c>
      <c r="P678" s="2" t="s">
        <v>54</v>
      </c>
      <c r="Q678" s="2">
        <v>4</v>
      </c>
      <c r="R678" s="2" t="s">
        <v>48</v>
      </c>
      <c r="S678" s="2">
        <v>4014</v>
      </c>
      <c r="T678" s="2">
        <v>19170</v>
      </c>
      <c r="U678" s="2">
        <v>1</v>
      </c>
      <c r="V678" s="2" t="s">
        <v>42</v>
      </c>
      <c r="W678" s="2" t="s">
        <v>35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</row>
    <row r="679" spans="1:35" x14ac:dyDescent="0.25">
      <c r="A679" s="2">
        <v>49</v>
      </c>
      <c r="B679" s="2" t="s">
        <v>43</v>
      </c>
      <c r="C679" s="2" t="s">
        <v>36</v>
      </c>
      <c r="D679" s="2">
        <v>527</v>
      </c>
      <c r="E679" s="2" t="s">
        <v>45</v>
      </c>
      <c r="F679" s="2">
        <v>8</v>
      </c>
      <c r="G679" s="2">
        <v>2</v>
      </c>
      <c r="H679" s="2" t="s">
        <v>49</v>
      </c>
      <c r="I679" s="2">
        <v>1</v>
      </c>
      <c r="J679" s="2">
        <v>944</v>
      </c>
      <c r="K679" s="2">
        <v>1</v>
      </c>
      <c r="L679" s="2" t="s">
        <v>39</v>
      </c>
      <c r="M679" s="2">
        <v>51</v>
      </c>
      <c r="N679" s="2">
        <v>3</v>
      </c>
      <c r="O679" s="2">
        <v>3</v>
      </c>
      <c r="P679" s="2" t="s">
        <v>50</v>
      </c>
      <c r="Q679" s="2">
        <v>2</v>
      </c>
      <c r="R679" s="2" t="s">
        <v>48</v>
      </c>
      <c r="S679" s="2">
        <v>7403</v>
      </c>
      <c r="T679" s="2">
        <v>22477</v>
      </c>
      <c r="U679" s="2">
        <v>4</v>
      </c>
      <c r="V679" s="2" t="s">
        <v>42</v>
      </c>
      <c r="W679" s="2" t="s">
        <v>43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</row>
    <row r="680" spans="1:35" x14ac:dyDescent="0.25">
      <c r="A680" s="2">
        <v>48</v>
      </c>
      <c r="B680" s="2" t="s">
        <v>43</v>
      </c>
      <c r="C680" s="2" t="s">
        <v>36</v>
      </c>
      <c r="D680" s="2">
        <v>1469</v>
      </c>
      <c r="E680" s="2" t="s">
        <v>45</v>
      </c>
      <c r="F680" s="2">
        <v>20</v>
      </c>
      <c r="G680" s="2">
        <v>4</v>
      </c>
      <c r="H680" s="2" t="s">
        <v>51</v>
      </c>
      <c r="I680" s="2">
        <v>1</v>
      </c>
      <c r="J680" s="2">
        <v>945</v>
      </c>
      <c r="K680" s="2">
        <v>4</v>
      </c>
      <c r="L680" s="2" t="s">
        <v>46</v>
      </c>
      <c r="M680" s="2">
        <v>51</v>
      </c>
      <c r="N680" s="2">
        <v>3</v>
      </c>
      <c r="O680" s="2">
        <v>1</v>
      </c>
      <c r="P680" s="2" t="s">
        <v>47</v>
      </c>
      <c r="Q680" s="2">
        <v>3</v>
      </c>
      <c r="R680" s="2" t="s">
        <v>48</v>
      </c>
      <c r="S680" s="2">
        <v>2259</v>
      </c>
      <c r="T680" s="2">
        <v>5543</v>
      </c>
      <c r="U680" s="2">
        <v>4</v>
      </c>
      <c r="V680" s="2" t="s">
        <v>42</v>
      </c>
      <c r="W680" s="2" t="s">
        <v>43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</row>
    <row r="681" spans="1:35" x14ac:dyDescent="0.25">
      <c r="A681" s="2">
        <v>31</v>
      </c>
      <c r="B681" s="2" t="s">
        <v>43</v>
      </c>
      <c r="C681" s="2" t="s">
        <v>55</v>
      </c>
      <c r="D681" s="2">
        <v>1188</v>
      </c>
      <c r="E681" s="2" t="s">
        <v>37</v>
      </c>
      <c r="F681" s="2">
        <v>20</v>
      </c>
      <c r="G681" s="2">
        <v>2</v>
      </c>
      <c r="H681" s="2" t="s">
        <v>59</v>
      </c>
      <c r="I681" s="2">
        <v>1</v>
      </c>
      <c r="J681" s="2">
        <v>947</v>
      </c>
      <c r="K681" s="2">
        <v>4</v>
      </c>
      <c r="L681" s="2" t="s">
        <v>39</v>
      </c>
      <c r="M681" s="2">
        <v>45</v>
      </c>
      <c r="N681" s="2">
        <v>3</v>
      </c>
      <c r="O681" s="2">
        <v>2</v>
      </c>
      <c r="P681" s="2" t="s">
        <v>40</v>
      </c>
      <c r="Q681" s="2">
        <v>3</v>
      </c>
      <c r="R681" s="2" t="s">
        <v>48</v>
      </c>
      <c r="S681" s="2">
        <v>6932</v>
      </c>
      <c r="T681" s="2">
        <v>24406</v>
      </c>
      <c r="U681" s="2">
        <v>1</v>
      </c>
      <c r="V681" s="2" t="s">
        <v>42</v>
      </c>
      <c r="W681" s="2" t="s">
        <v>43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</row>
    <row r="682" spans="1:35" x14ac:dyDescent="0.25">
      <c r="A682" s="2">
        <v>36</v>
      </c>
      <c r="B682" s="2" t="s">
        <v>43</v>
      </c>
      <c r="C682" s="2" t="s">
        <v>36</v>
      </c>
      <c r="D682" s="2">
        <v>188</v>
      </c>
      <c r="E682" s="2" t="s">
        <v>45</v>
      </c>
      <c r="F682" s="2">
        <v>7</v>
      </c>
      <c r="G682" s="2">
        <v>4</v>
      </c>
      <c r="H682" s="2" t="s">
        <v>49</v>
      </c>
      <c r="I682" s="2">
        <v>1</v>
      </c>
      <c r="J682" s="2">
        <v>949</v>
      </c>
      <c r="K682" s="2">
        <v>2</v>
      </c>
      <c r="L682" s="2" t="s">
        <v>46</v>
      </c>
      <c r="M682" s="2">
        <v>65</v>
      </c>
      <c r="N682" s="2">
        <v>3</v>
      </c>
      <c r="O682" s="2">
        <v>1</v>
      </c>
      <c r="P682" s="2" t="s">
        <v>47</v>
      </c>
      <c r="Q682" s="2">
        <v>4</v>
      </c>
      <c r="R682" s="2" t="s">
        <v>41</v>
      </c>
      <c r="S682" s="2">
        <v>4678</v>
      </c>
      <c r="T682" s="2">
        <v>23293</v>
      </c>
      <c r="U682" s="2">
        <v>2</v>
      </c>
      <c r="V682" s="2" t="s">
        <v>42</v>
      </c>
      <c r="W682" s="2" t="s">
        <v>43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</row>
    <row r="683" spans="1:35" x14ac:dyDescent="0.25">
      <c r="A683" s="2">
        <v>38</v>
      </c>
      <c r="B683" s="2" t="s">
        <v>43</v>
      </c>
      <c r="C683" s="2" t="s">
        <v>36</v>
      </c>
      <c r="D683" s="2">
        <v>1333</v>
      </c>
      <c r="E683" s="2" t="s">
        <v>45</v>
      </c>
      <c r="F683" s="2">
        <v>1</v>
      </c>
      <c r="G683" s="2">
        <v>3</v>
      </c>
      <c r="H683" s="2" t="s">
        <v>60</v>
      </c>
      <c r="I683" s="2">
        <v>1</v>
      </c>
      <c r="J683" s="2">
        <v>950</v>
      </c>
      <c r="K683" s="2">
        <v>4</v>
      </c>
      <c r="L683" s="2" t="s">
        <v>39</v>
      </c>
      <c r="M683" s="2">
        <v>80</v>
      </c>
      <c r="N683" s="2">
        <v>3</v>
      </c>
      <c r="O683" s="2">
        <v>3</v>
      </c>
      <c r="P683" s="2" t="s">
        <v>58</v>
      </c>
      <c r="Q683" s="2">
        <v>1</v>
      </c>
      <c r="R683" s="2" t="s">
        <v>48</v>
      </c>
      <c r="S683" s="2">
        <v>13582</v>
      </c>
      <c r="T683" s="2">
        <v>16292</v>
      </c>
      <c r="U683" s="2">
        <v>1</v>
      </c>
      <c r="V683" s="2" t="s">
        <v>42</v>
      </c>
      <c r="W683" s="2" t="s">
        <v>43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</row>
    <row r="684" spans="1:35" x14ac:dyDescent="0.25">
      <c r="A684" s="2">
        <v>32</v>
      </c>
      <c r="B684" s="2" t="s">
        <v>43</v>
      </c>
      <c r="C684" s="2" t="s">
        <v>55</v>
      </c>
      <c r="D684" s="2">
        <v>1184</v>
      </c>
      <c r="E684" s="2" t="s">
        <v>45</v>
      </c>
      <c r="F684" s="2">
        <v>1</v>
      </c>
      <c r="G684" s="2">
        <v>3</v>
      </c>
      <c r="H684" s="2" t="s">
        <v>38</v>
      </c>
      <c r="I684" s="2">
        <v>1</v>
      </c>
      <c r="J684" s="2">
        <v>951</v>
      </c>
      <c r="K684" s="2">
        <v>3</v>
      </c>
      <c r="L684" s="2" t="s">
        <v>39</v>
      </c>
      <c r="M684" s="2">
        <v>70</v>
      </c>
      <c r="N684" s="2">
        <v>2</v>
      </c>
      <c r="O684" s="2">
        <v>1</v>
      </c>
      <c r="P684" s="2" t="s">
        <v>50</v>
      </c>
      <c r="Q684" s="2">
        <v>2</v>
      </c>
      <c r="R684" s="2" t="s">
        <v>48</v>
      </c>
      <c r="S684" s="2">
        <v>2332</v>
      </c>
      <c r="T684" s="2">
        <v>3974</v>
      </c>
      <c r="U684" s="2">
        <v>6</v>
      </c>
      <c r="V684" s="2" t="s">
        <v>42</v>
      </c>
      <c r="W684" s="2" t="s">
        <v>43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</row>
    <row r="685" spans="1:35" x14ac:dyDescent="0.25">
      <c r="A685" s="2">
        <v>25</v>
      </c>
      <c r="B685" s="2" t="s">
        <v>35</v>
      </c>
      <c r="C685" s="2" t="s">
        <v>36</v>
      </c>
      <c r="D685" s="2">
        <v>867</v>
      </c>
      <c r="E685" s="2" t="s">
        <v>37</v>
      </c>
      <c r="F685" s="2">
        <v>19</v>
      </c>
      <c r="G685" s="2">
        <v>2</v>
      </c>
      <c r="H685" s="2" t="s">
        <v>59</v>
      </c>
      <c r="I685" s="2">
        <v>1</v>
      </c>
      <c r="J685" s="2">
        <v>952</v>
      </c>
      <c r="K685" s="2">
        <v>3</v>
      </c>
      <c r="L685" s="2" t="s">
        <v>46</v>
      </c>
      <c r="M685" s="2">
        <v>36</v>
      </c>
      <c r="N685" s="2">
        <v>2</v>
      </c>
      <c r="O685" s="2">
        <v>1</v>
      </c>
      <c r="P685" s="2" t="s">
        <v>57</v>
      </c>
      <c r="Q685" s="2">
        <v>2</v>
      </c>
      <c r="R685" s="2" t="s">
        <v>48</v>
      </c>
      <c r="S685" s="2">
        <v>2413</v>
      </c>
      <c r="T685" s="2">
        <v>18798</v>
      </c>
      <c r="U685" s="2">
        <v>1</v>
      </c>
      <c r="V685" s="2" t="s">
        <v>42</v>
      </c>
      <c r="W685" s="2" t="s">
        <v>35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</row>
    <row r="686" spans="1:35" x14ac:dyDescent="0.25">
      <c r="A686" s="2">
        <v>40</v>
      </c>
      <c r="B686" s="2" t="s">
        <v>43</v>
      </c>
      <c r="C686" s="2" t="s">
        <v>36</v>
      </c>
      <c r="D686" s="2">
        <v>658</v>
      </c>
      <c r="E686" s="2" t="s">
        <v>37</v>
      </c>
      <c r="F686" s="2">
        <v>10</v>
      </c>
      <c r="G686" s="2">
        <v>4</v>
      </c>
      <c r="H686" s="2" t="s">
        <v>59</v>
      </c>
      <c r="I686" s="2">
        <v>1</v>
      </c>
      <c r="J686" s="2">
        <v>954</v>
      </c>
      <c r="K686" s="2">
        <v>1</v>
      </c>
      <c r="L686" s="2" t="s">
        <v>46</v>
      </c>
      <c r="M686" s="2">
        <v>67</v>
      </c>
      <c r="N686" s="2">
        <v>2</v>
      </c>
      <c r="O686" s="2">
        <v>3</v>
      </c>
      <c r="P686" s="2" t="s">
        <v>40</v>
      </c>
      <c r="Q686" s="2">
        <v>2</v>
      </c>
      <c r="R686" s="2" t="s">
        <v>52</v>
      </c>
      <c r="S686" s="2">
        <v>9705</v>
      </c>
      <c r="T686" s="2">
        <v>20652</v>
      </c>
      <c r="U686" s="2">
        <v>2</v>
      </c>
      <c r="V686" s="2" t="s">
        <v>42</v>
      </c>
      <c r="W686" s="2" t="s">
        <v>43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</row>
    <row r="687" spans="1:35" x14ac:dyDescent="0.25">
      <c r="A687" s="2">
        <v>26</v>
      </c>
      <c r="B687" s="2" t="s">
        <v>43</v>
      </c>
      <c r="C687" s="2" t="s">
        <v>44</v>
      </c>
      <c r="D687" s="2">
        <v>1283</v>
      </c>
      <c r="E687" s="2" t="s">
        <v>37</v>
      </c>
      <c r="F687" s="2">
        <v>1</v>
      </c>
      <c r="G687" s="2">
        <v>3</v>
      </c>
      <c r="H687" s="2" t="s">
        <v>51</v>
      </c>
      <c r="I687" s="2">
        <v>1</v>
      </c>
      <c r="J687" s="2">
        <v>956</v>
      </c>
      <c r="K687" s="2">
        <v>3</v>
      </c>
      <c r="L687" s="2" t="s">
        <v>46</v>
      </c>
      <c r="M687" s="2">
        <v>52</v>
      </c>
      <c r="N687" s="2">
        <v>2</v>
      </c>
      <c r="O687" s="2">
        <v>2</v>
      </c>
      <c r="P687" s="2" t="s">
        <v>40</v>
      </c>
      <c r="Q687" s="2">
        <v>1</v>
      </c>
      <c r="R687" s="2" t="s">
        <v>41</v>
      </c>
      <c r="S687" s="2">
        <v>4294</v>
      </c>
      <c r="T687" s="2">
        <v>11148</v>
      </c>
      <c r="U687" s="2">
        <v>1</v>
      </c>
      <c r="V687" s="2" t="s">
        <v>42</v>
      </c>
      <c r="W687" s="2" t="s">
        <v>43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</row>
    <row r="688" spans="1:35" x14ac:dyDescent="0.25">
      <c r="A688" s="2">
        <v>41</v>
      </c>
      <c r="B688" s="2" t="s">
        <v>43</v>
      </c>
      <c r="C688" s="2" t="s">
        <v>36</v>
      </c>
      <c r="D688" s="2">
        <v>263</v>
      </c>
      <c r="E688" s="2" t="s">
        <v>45</v>
      </c>
      <c r="F688" s="2">
        <v>6</v>
      </c>
      <c r="G688" s="2">
        <v>3</v>
      </c>
      <c r="H688" s="2" t="s">
        <v>51</v>
      </c>
      <c r="I688" s="2">
        <v>1</v>
      </c>
      <c r="J688" s="2">
        <v>957</v>
      </c>
      <c r="K688" s="2">
        <v>4</v>
      </c>
      <c r="L688" s="2" t="s">
        <v>46</v>
      </c>
      <c r="M688" s="2">
        <v>59</v>
      </c>
      <c r="N688" s="2">
        <v>3</v>
      </c>
      <c r="O688" s="2">
        <v>1</v>
      </c>
      <c r="P688" s="2" t="s">
        <v>50</v>
      </c>
      <c r="Q688" s="2">
        <v>1</v>
      </c>
      <c r="R688" s="2" t="s">
        <v>41</v>
      </c>
      <c r="S688" s="2">
        <v>4721</v>
      </c>
      <c r="T688" s="2">
        <v>3119</v>
      </c>
      <c r="U688" s="2">
        <v>2</v>
      </c>
      <c r="V688" s="2" t="s">
        <v>42</v>
      </c>
      <c r="W688" s="2" t="s">
        <v>35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</row>
    <row r="689" spans="1:35" x14ac:dyDescent="0.25">
      <c r="A689" s="2">
        <v>36</v>
      </c>
      <c r="B689" s="2" t="s">
        <v>43</v>
      </c>
      <c r="C689" s="2" t="s">
        <v>36</v>
      </c>
      <c r="D689" s="2">
        <v>938</v>
      </c>
      <c r="E689" s="2" t="s">
        <v>45</v>
      </c>
      <c r="F689" s="2">
        <v>2</v>
      </c>
      <c r="G689" s="2">
        <v>4</v>
      </c>
      <c r="H689" s="2" t="s">
        <v>51</v>
      </c>
      <c r="I689" s="2">
        <v>1</v>
      </c>
      <c r="J689" s="2">
        <v>958</v>
      </c>
      <c r="K689" s="2">
        <v>3</v>
      </c>
      <c r="L689" s="2" t="s">
        <v>46</v>
      </c>
      <c r="M689" s="2">
        <v>79</v>
      </c>
      <c r="N689" s="2">
        <v>3</v>
      </c>
      <c r="O689" s="2">
        <v>1</v>
      </c>
      <c r="P689" s="2" t="s">
        <v>50</v>
      </c>
      <c r="Q689" s="2">
        <v>3</v>
      </c>
      <c r="R689" s="2" t="s">
        <v>41</v>
      </c>
      <c r="S689" s="2">
        <v>2519</v>
      </c>
      <c r="T689" s="2">
        <v>12287</v>
      </c>
      <c r="U689" s="2">
        <v>4</v>
      </c>
      <c r="V689" s="2" t="s">
        <v>42</v>
      </c>
      <c r="W689" s="2" t="s">
        <v>43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</row>
    <row r="690" spans="1:35" x14ac:dyDescent="0.25">
      <c r="A690" s="2">
        <v>19</v>
      </c>
      <c r="B690" s="2" t="s">
        <v>35</v>
      </c>
      <c r="C690" s="2" t="s">
        <v>36</v>
      </c>
      <c r="D690" s="2">
        <v>419</v>
      </c>
      <c r="E690" s="2" t="s">
        <v>37</v>
      </c>
      <c r="F690" s="2">
        <v>21</v>
      </c>
      <c r="G690" s="2">
        <v>3</v>
      </c>
      <c r="H690" s="2" t="s">
        <v>49</v>
      </c>
      <c r="I690" s="2">
        <v>1</v>
      </c>
      <c r="J690" s="2">
        <v>959</v>
      </c>
      <c r="K690" s="2">
        <v>4</v>
      </c>
      <c r="L690" s="2" t="s">
        <v>46</v>
      </c>
      <c r="M690" s="2">
        <v>37</v>
      </c>
      <c r="N690" s="2">
        <v>2</v>
      </c>
      <c r="O690" s="2">
        <v>1</v>
      </c>
      <c r="P690" s="2" t="s">
        <v>57</v>
      </c>
      <c r="Q690" s="2">
        <v>2</v>
      </c>
      <c r="R690" s="2" t="s">
        <v>41</v>
      </c>
      <c r="S690" s="2">
        <v>2121</v>
      </c>
      <c r="T690" s="2">
        <v>9947</v>
      </c>
      <c r="U690" s="2">
        <v>1</v>
      </c>
      <c r="V690" s="2" t="s">
        <v>42</v>
      </c>
      <c r="W690" s="2" t="s">
        <v>35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</row>
    <row r="691" spans="1:35" x14ac:dyDescent="0.25">
      <c r="A691" s="2">
        <v>20</v>
      </c>
      <c r="B691" s="2" t="s">
        <v>35</v>
      </c>
      <c r="C691" s="2" t="s">
        <v>36</v>
      </c>
      <c r="D691" s="2">
        <v>129</v>
      </c>
      <c r="E691" s="2" t="s">
        <v>45</v>
      </c>
      <c r="F691" s="2">
        <v>4</v>
      </c>
      <c r="G691" s="2">
        <v>3</v>
      </c>
      <c r="H691" s="2" t="s">
        <v>60</v>
      </c>
      <c r="I691" s="2">
        <v>1</v>
      </c>
      <c r="J691" s="2">
        <v>960</v>
      </c>
      <c r="K691" s="2">
        <v>1</v>
      </c>
      <c r="L691" s="2" t="s">
        <v>46</v>
      </c>
      <c r="M691" s="2">
        <v>84</v>
      </c>
      <c r="N691" s="2">
        <v>3</v>
      </c>
      <c r="O691" s="2">
        <v>1</v>
      </c>
      <c r="P691" s="2" t="s">
        <v>50</v>
      </c>
      <c r="Q691" s="2">
        <v>1</v>
      </c>
      <c r="R691" s="2" t="s">
        <v>41</v>
      </c>
      <c r="S691" s="2">
        <v>2973</v>
      </c>
      <c r="T691" s="2">
        <v>13008</v>
      </c>
      <c r="U691" s="2">
        <v>1</v>
      </c>
      <c r="V691" s="2" t="s">
        <v>42</v>
      </c>
      <c r="W691" s="2" t="s">
        <v>43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</row>
    <row r="692" spans="1:35" x14ac:dyDescent="0.25">
      <c r="A692" s="2">
        <v>31</v>
      </c>
      <c r="B692" s="2" t="s">
        <v>43</v>
      </c>
      <c r="C692" s="2" t="s">
        <v>36</v>
      </c>
      <c r="D692" s="2">
        <v>616</v>
      </c>
      <c r="E692" s="2" t="s">
        <v>45</v>
      </c>
      <c r="F692" s="2">
        <v>12</v>
      </c>
      <c r="G692" s="2">
        <v>3</v>
      </c>
      <c r="H692" s="2" t="s">
        <v>51</v>
      </c>
      <c r="I692" s="2">
        <v>1</v>
      </c>
      <c r="J692" s="2">
        <v>961</v>
      </c>
      <c r="K692" s="2">
        <v>4</v>
      </c>
      <c r="L692" s="2" t="s">
        <v>39</v>
      </c>
      <c r="M692" s="2">
        <v>41</v>
      </c>
      <c r="N692" s="2">
        <v>3</v>
      </c>
      <c r="O692" s="2">
        <v>2</v>
      </c>
      <c r="P692" s="2" t="s">
        <v>54</v>
      </c>
      <c r="Q692" s="2">
        <v>4</v>
      </c>
      <c r="R692" s="2" t="s">
        <v>48</v>
      </c>
      <c r="S692" s="2">
        <v>5855</v>
      </c>
      <c r="T692" s="2">
        <v>17369</v>
      </c>
      <c r="U692" s="2">
        <v>0</v>
      </c>
      <c r="V692" s="2" t="s">
        <v>42</v>
      </c>
      <c r="W692" s="2" t="s">
        <v>35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</row>
    <row r="693" spans="1:35" x14ac:dyDescent="0.25">
      <c r="A693" s="2">
        <v>40</v>
      </c>
      <c r="B693" s="2" t="s">
        <v>43</v>
      </c>
      <c r="C693" s="2" t="s">
        <v>44</v>
      </c>
      <c r="D693" s="2">
        <v>1469</v>
      </c>
      <c r="E693" s="2" t="s">
        <v>45</v>
      </c>
      <c r="F693" s="2">
        <v>9</v>
      </c>
      <c r="G693" s="2">
        <v>4</v>
      </c>
      <c r="H693" s="2" t="s">
        <v>51</v>
      </c>
      <c r="I693" s="2">
        <v>1</v>
      </c>
      <c r="J693" s="2">
        <v>964</v>
      </c>
      <c r="K693" s="2">
        <v>4</v>
      </c>
      <c r="L693" s="2" t="s">
        <v>46</v>
      </c>
      <c r="M693" s="2">
        <v>35</v>
      </c>
      <c r="N693" s="2">
        <v>3</v>
      </c>
      <c r="O693" s="2">
        <v>1</v>
      </c>
      <c r="P693" s="2" t="s">
        <v>47</v>
      </c>
      <c r="Q693" s="2">
        <v>2</v>
      </c>
      <c r="R693" s="2" t="s">
        <v>52</v>
      </c>
      <c r="S693" s="2">
        <v>3617</v>
      </c>
      <c r="T693" s="2">
        <v>25063</v>
      </c>
      <c r="U693" s="2">
        <v>8</v>
      </c>
      <c r="V693" s="2" t="s">
        <v>42</v>
      </c>
      <c r="W693" s="2" t="s">
        <v>35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</row>
    <row r="694" spans="1:35" x14ac:dyDescent="0.25">
      <c r="A694" s="2">
        <v>32</v>
      </c>
      <c r="B694" s="2" t="s">
        <v>43</v>
      </c>
      <c r="C694" s="2" t="s">
        <v>36</v>
      </c>
      <c r="D694" s="2">
        <v>498</v>
      </c>
      <c r="E694" s="2" t="s">
        <v>45</v>
      </c>
      <c r="F694" s="2">
        <v>3</v>
      </c>
      <c r="G694" s="2">
        <v>4</v>
      </c>
      <c r="H694" s="2" t="s">
        <v>51</v>
      </c>
      <c r="I694" s="2">
        <v>1</v>
      </c>
      <c r="J694" s="2">
        <v>966</v>
      </c>
      <c r="K694" s="2">
        <v>3</v>
      </c>
      <c r="L694" s="2" t="s">
        <v>39</v>
      </c>
      <c r="M694" s="2">
        <v>93</v>
      </c>
      <c r="N694" s="2">
        <v>3</v>
      </c>
      <c r="O694" s="2">
        <v>2</v>
      </c>
      <c r="P694" s="2" t="s">
        <v>53</v>
      </c>
      <c r="Q694" s="2">
        <v>1</v>
      </c>
      <c r="R694" s="2" t="s">
        <v>48</v>
      </c>
      <c r="S694" s="2">
        <v>6725</v>
      </c>
      <c r="T694" s="2">
        <v>13554</v>
      </c>
      <c r="U694" s="2">
        <v>1</v>
      </c>
      <c r="V694" s="2" t="s">
        <v>42</v>
      </c>
      <c r="W694" s="2" t="s">
        <v>43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</row>
    <row r="695" spans="1:35" x14ac:dyDescent="0.25">
      <c r="A695" s="2">
        <v>36</v>
      </c>
      <c r="B695" s="2" t="s">
        <v>35</v>
      </c>
      <c r="C695" s="2" t="s">
        <v>36</v>
      </c>
      <c r="D695" s="2">
        <v>530</v>
      </c>
      <c r="E695" s="2" t="s">
        <v>37</v>
      </c>
      <c r="F695" s="2">
        <v>3</v>
      </c>
      <c r="G695" s="2">
        <v>1</v>
      </c>
      <c r="H695" s="2" t="s">
        <v>38</v>
      </c>
      <c r="I695" s="2">
        <v>1</v>
      </c>
      <c r="J695" s="2">
        <v>967</v>
      </c>
      <c r="K695" s="2">
        <v>3</v>
      </c>
      <c r="L695" s="2" t="s">
        <v>46</v>
      </c>
      <c r="M695" s="2">
        <v>51</v>
      </c>
      <c r="N695" s="2">
        <v>2</v>
      </c>
      <c r="O695" s="2">
        <v>3</v>
      </c>
      <c r="P695" s="2" t="s">
        <v>40</v>
      </c>
      <c r="Q695" s="2">
        <v>4</v>
      </c>
      <c r="R695" s="2" t="s">
        <v>48</v>
      </c>
      <c r="S695" s="2">
        <v>10325</v>
      </c>
      <c r="T695" s="2">
        <v>5518</v>
      </c>
      <c r="U695" s="2">
        <v>1</v>
      </c>
      <c r="V695" s="2" t="s">
        <v>42</v>
      </c>
      <c r="W695" s="2" t="s">
        <v>35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</row>
    <row r="696" spans="1:35" x14ac:dyDescent="0.25">
      <c r="A696" s="2">
        <v>33</v>
      </c>
      <c r="B696" s="2" t="s">
        <v>43</v>
      </c>
      <c r="C696" s="2" t="s">
        <v>36</v>
      </c>
      <c r="D696" s="2">
        <v>1069</v>
      </c>
      <c r="E696" s="2" t="s">
        <v>45</v>
      </c>
      <c r="F696" s="2">
        <v>1</v>
      </c>
      <c r="G696" s="2">
        <v>3</v>
      </c>
      <c r="H696" s="2" t="s">
        <v>38</v>
      </c>
      <c r="I696" s="2">
        <v>1</v>
      </c>
      <c r="J696" s="2">
        <v>969</v>
      </c>
      <c r="K696" s="2">
        <v>2</v>
      </c>
      <c r="L696" s="2" t="s">
        <v>39</v>
      </c>
      <c r="M696" s="2">
        <v>42</v>
      </c>
      <c r="N696" s="2">
        <v>2</v>
      </c>
      <c r="O696" s="2">
        <v>2</v>
      </c>
      <c r="P696" s="2" t="s">
        <v>54</v>
      </c>
      <c r="Q696" s="2">
        <v>4</v>
      </c>
      <c r="R696" s="2" t="s">
        <v>41</v>
      </c>
      <c r="S696" s="2">
        <v>6949</v>
      </c>
      <c r="T696" s="2">
        <v>12291</v>
      </c>
      <c r="U696" s="2">
        <v>0</v>
      </c>
      <c r="V696" s="2" t="s">
        <v>42</v>
      </c>
      <c r="W696" s="2" t="s">
        <v>43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</row>
    <row r="697" spans="1:35" x14ac:dyDescent="0.25">
      <c r="A697" s="2">
        <v>37</v>
      </c>
      <c r="B697" s="2" t="s">
        <v>35</v>
      </c>
      <c r="C697" s="2" t="s">
        <v>36</v>
      </c>
      <c r="D697" s="2">
        <v>625</v>
      </c>
      <c r="E697" s="2" t="s">
        <v>37</v>
      </c>
      <c r="F697" s="2">
        <v>1</v>
      </c>
      <c r="G697" s="2">
        <v>4</v>
      </c>
      <c r="H697" s="2" t="s">
        <v>38</v>
      </c>
      <c r="I697" s="2">
        <v>1</v>
      </c>
      <c r="J697" s="2">
        <v>970</v>
      </c>
      <c r="K697" s="2">
        <v>1</v>
      </c>
      <c r="L697" s="2" t="s">
        <v>46</v>
      </c>
      <c r="M697" s="2">
        <v>46</v>
      </c>
      <c r="N697" s="2">
        <v>2</v>
      </c>
      <c r="O697" s="2">
        <v>3</v>
      </c>
      <c r="P697" s="2" t="s">
        <v>40</v>
      </c>
      <c r="Q697" s="2">
        <v>3</v>
      </c>
      <c r="R697" s="2" t="s">
        <v>48</v>
      </c>
      <c r="S697" s="2">
        <v>10609</v>
      </c>
      <c r="T697" s="2">
        <v>14922</v>
      </c>
      <c r="U697" s="2">
        <v>5</v>
      </c>
      <c r="V697" s="2" t="s">
        <v>42</v>
      </c>
      <c r="W697" s="2" t="s">
        <v>43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</row>
    <row r="698" spans="1:35" x14ac:dyDescent="0.25">
      <c r="A698" s="2">
        <v>45</v>
      </c>
      <c r="B698" s="2" t="s">
        <v>43</v>
      </c>
      <c r="C698" s="2" t="s">
        <v>55</v>
      </c>
      <c r="D698" s="2">
        <v>805</v>
      </c>
      <c r="E698" s="2" t="s">
        <v>45</v>
      </c>
      <c r="F698" s="2">
        <v>4</v>
      </c>
      <c r="G698" s="2">
        <v>2</v>
      </c>
      <c r="H698" s="2" t="s">
        <v>38</v>
      </c>
      <c r="I698" s="2">
        <v>1</v>
      </c>
      <c r="J698" s="2">
        <v>972</v>
      </c>
      <c r="K698" s="2">
        <v>3</v>
      </c>
      <c r="L698" s="2" t="s">
        <v>46</v>
      </c>
      <c r="M698" s="2">
        <v>57</v>
      </c>
      <c r="N698" s="2">
        <v>3</v>
      </c>
      <c r="O698" s="2">
        <v>2</v>
      </c>
      <c r="P698" s="2" t="s">
        <v>50</v>
      </c>
      <c r="Q698" s="2">
        <v>2</v>
      </c>
      <c r="R698" s="2" t="s">
        <v>48</v>
      </c>
      <c r="S698" s="2">
        <v>4447</v>
      </c>
      <c r="T698" s="2">
        <v>23163</v>
      </c>
      <c r="U698" s="2">
        <v>1</v>
      </c>
      <c r="V698" s="2" t="s">
        <v>42</v>
      </c>
      <c r="W698" s="2" t="s">
        <v>43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</row>
    <row r="699" spans="1:35" x14ac:dyDescent="0.25">
      <c r="A699" s="2">
        <v>29</v>
      </c>
      <c r="B699" s="2" t="s">
        <v>43</v>
      </c>
      <c r="C699" s="2" t="s">
        <v>44</v>
      </c>
      <c r="D699" s="2">
        <v>1404</v>
      </c>
      <c r="E699" s="2" t="s">
        <v>37</v>
      </c>
      <c r="F699" s="2">
        <v>20</v>
      </c>
      <c r="G699" s="2">
        <v>3</v>
      </c>
      <c r="H699" s="2" t="s">
        <v>60</v>
      </c>
      <c r="I699" s="2">
        <v>1</v>
      </c>
      <c r="J699" s="2">
        <v>974</v>
      </c>
      <c r="K699" s="2">
        <v>3</v>
      </c>
      <c r="L699" s="2" t="s">
        <v>39</v>
      </c>
      <c r="M699" s="2">
        <v>84</v>
      </c>
      <c r="N699" s="2">
        <v>3</v>
      </c>
      <c r="O699" s="2">
        <v>1</v>
      </c>
      <c r="P699" s="2" t="s">
        <v>57</v>
      </c>
      <c r="Q699" s="2">
        <v>4</v>
      </c>
      <c r="R699" s="2" t="s">
        <v>48</v>
      </c>
      <c r="S699" s="2">
        <v>2157</v>
      </c>
      <c r="T699" s="2">
        <v>18203</v>
      </c>
      <c r="U699" s="2">
        <v>1</v>
      </c>
      <c r="V699" s="2" t="s">
        <v>42</v>
      </c>
      <c r="W699" s="2" t="s">
        <v>43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</row>
    <row r="700" spans="1:35" x14ac:dyDescent="0.25">
      <c r="A700" s="2">
        <v>35</v>
      </c>
      <c r="B700" s="2" t="s">
        <v>43</v>
      </c>
      <c r="C700" s="2" t="s">
        <v>36</v>
      </c>
      <c r="D700" s="2">
        <v>1219</v>
      </c>
      <c r="E700" s="2" t="s">
        <v>37</v>
      </c>
      <c r="F700" s="2">
        <v>18</v>
      </c>
      <c r="G700" s="2">
        <v>3</v>
      </c>
      <c r="H700" s="2" t="s">
        <v>51</v>
      </c>
      <c r="I700" s="2">
        <v>1</v>
      </c>
      <c r="J700" s="2">
        <v>975</v>
      </c>
      <c r="K700" s="2">
        <v>3</v>
      </c>
      <c r="L700" s="2" t="s">
        <v>39</v>
      </c>
      <c r="M700" s="2">
        <v>86</v>
      </c>
      <c r="N700" s="2">
        <v>3</v>
      </c>
      <c r="O700" s="2">
        <v>2</v>
      </c>
      <c r="P700" s="2" t="s">
        <v>40</v>
      </c>
      <c r="Q700" s="2">
        <v>3</v>
      </c>
      <c r="R700" s="2" t="s">
        <v>48</v>
      </c>
      <c r="S700" s="2">
        <v>4601</v>
      </c>
      <c r="T700" s="2">
        <v>6179</v>
      </c>
      <c r="U700" s="2">
        <v>1</v>
      </c>
      <c r="V700" s="2" t="s">
        <v>42</v>
      </c>
      <c r="W700" s="2" t="s">
        <v>43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</row>
    <row r="701" spans="1:35" x14ac:dyDescent="0.25">
      <c r="A701" s="2">
        <v>52</v>
      </c>
      <c r="B701" s="2" t="s">
        <v>43</v>
      </c>
      <c r="C701" s="2" t="s">
        <v>36</v>
      </c>
      <c r="D701" s="2">
        <v>1053</v>
      </c>
      <c r="E701" s="2" t="s">
        <v>45</v>
      </c>
      <c r="F701" s="2">
        <v>1</v>
      </c>
      <c r="G701" s="2">
        <v>2</v>
      </c>
      <c r="H701" s="2" t="s">
        <v>38</v>
      </c>
      <c r="I701" s="2">
        <v>1</v>
      </c>
      <c r="J701" s="2">
        <v>976</v>
      </c>
      <c r="K701" s="2">
        <v>4</v>
      </c>
      <c r="L701" s="2" t="s">
        <v>46</v>
      </c>
      <c r="M701" s="2">
        <v>70</v>
      </c>
      <c r="N701" s="2">
        <v>3</v>
      </c>
      <c r="O701" s="2">
        <v>4</v>
      </c>
      <c r="P701" s="2" t="s">
        <v>56</v>
      </c>
      <c r="Q701" s="2">
        <v>4</v>
      </c>
      <c r="R701" s="2" t="s">
        <v>48</v>
      </c>
      <c r="S701" s="2">
        <v>17099</v>
      </c>
      <c r="T701" s="2">
        <v>13829</v>
      </c>
      <c r="U701" s="2">
        <v>2</v>
      </c>
      <c r="V701" s="2" t="s">
        <v>42</v>
      </c>
      <c r="W701" s="2" t="s">
        <v>43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</row>
    <row r="702" spans="1:35" x14ac:dyDescent="0.25">
      <c r="A702" s="2">
        <v>58</v>
      </c>
      <c r="B702" s="2" t="s">
        <v>35</v>
      </c>
      <c r="C702" s="2" t="s">
        <v>36</v>
      </c>
      <c r="D702" s="2">
        <v>289</v>
      </c>
      <c r="E702" s="2" t="s">
        <v>45</v>
      </c>
      <c r="F702" s="2">
        <v>2</v>
      </c>
      <c r="G702" s="2">
        <v>3</v>
      </c>
      <c r="H702" s="2" t="s">
        <v>60</v>
      </c>
      <c r="I702" s="2">
        <v>1</v>
      </c>
      <c r="J702" s="2">
        <v>977</v>
      </c>
      <c r="K702" s="2">
        <v>4</v>
      </c>
      <c r="L702" s="2" t="s">
        <v>46</v>
      </c>
      <c r="M702" s="2">
        <v>51</v>
      </c>
      <c r="N702" s="2">
        <v>3</v>
      </c>
      <c r="O702" s="2">
        <v>1</v>
      </c>
      <c r="P702" s="2" t="s">
        <v>47</v>
      </c>
      <c r="Q702" s="2">
        <v>3</v>
      </c>
      <c r="R702" s="2" t="s">
        <v>41</v>
      </c>
      <c r="S702" s="2">
        <v>2479</v>
      </c>
      <c r="T702" s="2">
        <v>26227</v>
      </c>
      <c r="U702" s="2">
        <v>4</v>
      </c>
      <c r="V702" s="2" t="s">
        <v>42</v>
      </c>
      <c r="W702" s="2" t="s">
        <v>43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</row>
    <row r="703" spans="1:35" x14ac:dyDescent="0.25">
      <c r="A703" s="2">
        <v>53</v>
      </c>
      <c r="B703" s="2" t="s">
        <v>43</v>
      </c>
      <c r="C703" s="2" t="s">
        <v>36</v>
      </c>
      <c r="D703" s="2">
        <v>1376</v>
      </c>
      <c r="E703" s="2" t="s">
        <v>37</v>
      </c>
      <c r="F703" s="2">
        <v>2</v>
      </c>
      <c r="G703" s="2">
        <v>2</v>
      </c>
      <c r="H703" s="2" t="s">
        <v>51</v>
      </c>
      <c r="I703" s="2">
        <v>1</v>
      </c>
      <c r="J703" s="2">
        <v>981</v>
      </c>
      <c r="K703" s="2">
        <v>3</v>
      </c>
      <c r="L703" s="2" t="s">
        <v>46</v>
      </c>
      <c r="M703" s="2">
        <v>45</v>
      </c>
      <c r="N703" s="2">
        <v>3</v>
      </c>
      <c r="O703" s="2">
        <v>4</v>
      </c>
      <c r="P703" s="2" t="s">
        <v>56</v>
      </c>
      <c r="Q703" s="2">
        <v>3</v>
      </c>
      <c r="R703" s="2" t="s">
        <v>52</v>
      </c>
      <c r="S703" s="2">
        <v>14852</v>
      </c>
      <c r="T703" s="2">
        <v>13938</v>
      </c>
      <c r="U703" s="2">
        <v>6</v>
      </c>
      <c r="V703" s="2" t="s">
        <v>42</v>
      </c>
      <c r="W703" s="2" t="s">
        <v>43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</row>
    <row r="704" spans="1:35" x14ac:dyDescent="0.25">
      <c r="A704" s="2">
        <v>30</v>
      </c>
      <c r="B704" s="2" t="s">
        <v>43</v>
      </c>
      <c r="C704" s="2" t="s">
        <v>36</v>
      </c>
      <c r="D704" s="2">
        <v>231</v>
      </c>
      <c r="E704" s="2" t="s">
        <v>37</v>
      </c>
      <c r="F704" s="2">
        <v>8</v>
      </c>
      <c r="G704" s="2">
        <v>2</v>
      </c>
      <c r="H704" s="2" t="s">
        <v>49</v>
      </c>
      <c r="I704" s="2">
        <v>1</v>
      </c>
      <c r="J704" s="2">
        <v>982</v>
      </c>
      <c r="K704" s="2">
        <v>3</v>
      </c>
      <c r="L704" s="2" t="s">
        <v>46</v>
      </c>
      <c r="M704" s="2">
        <v>62</v>
      </c>
      <c r="N704" s="2">
        <v>3</v>
      </c>
      <c r="O704" s="2">
        <v>3</v>
      </c>
      <c r="P704" s="2" t="s">
        <v>40</v>
      </c>
      <c r="Q704" s="2">
        <v>3</v>
      </c>
      <c r="R704" s="2" t="s">
        <v>52</v>
      </c>
      <c r="S704" s="2">
        <v>7264</v>
      </c>
      <c r="T704" s="2">
        <v>9977</v>
      </c>
      <c r="U704" s="2">
        <v>5</v>
      </c>
      <c r="V704" s="2" t="s">
        <v>42</v>
      </c>
      <c r="W704" s="2" t="s">
        <v>43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</row>
    <row r="705" spans="1:35" x14ac:dyDescent="0.25">
      <c r="A705" s="2">
        <v>38</v>
      </c>
      <c r="B705" s="2" t="s">
        <v>43</v>
      </c>
      <c r="C705" s="2" t="s">
        <v>55</v>
      </c>
      <c r="D705" s="2">
        <v>152</v>
      </c>
      <c r="E705" s="2" t="s">
        <v>37</v>
      </c>
      <c r="F705" s="2">
        <v>10</v>
      </c>
      <c r="G705" s="2">
        <v>3</v>
      </c>
      <c r="H705" s="2" t="s">
        <v>60</v>
      </c>
      <c r="I705" s="2">
        <v>1</v>
      </c>
      <c r="J705" s="2">
        <v>983</v>
      </c>
      <c r="K705" s="2">
        <v>3</v>
      </c>
      <c r="L705" s="2" t="s">
        <v>39</v>
      </c>
      <c r="M705" s="2">
        <v>85</v>
      </c>
      <c r="N705" s="2">
        <v>3</v>
      </c>
      <c r="O705" s="2">
        <v>2</v>
      </c>
      <c r="P705" s="2" t="s">
        <v>40</v>
      </c>
      <c r="Q705" s="2">
        <v>4</v>
      </c>
      <c r="R705" s="2" t="s">
        <v>41</v>
      </c>
      <c r="S705" s="2">
        <v>5666</v>
      </c>
      <c r="T705" s="2">
        <v>19899</v>
      </c>
      <c r="U705" s="2">
        <v>1</v>
      </c>
      <c r="V705" s="2" t="s">
        <v>42</v>
      </c>
      <c r="W705" s="2" t="s">
        <v>35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</row>
    <row r="706" spans="1:35" x14ac:dyDescent="0.25">
      <c r="A706" s="2">
        <v>35</v>
      </c>
      <c r="B706" s="2" t="s">
        <v>43</v>
      </c>
      <c r="C706" s="2" t="s">
        <v>36</v>
      </c>
      <c r="D706" s="2">
        <v>882</v>
      </c>
      <c r="E706" s="2" t="s">
        <v>37</v>
      </c>
      <c r="F706" s="2">
        <v>3</v>
      </c>
      <c r="G706" s="2">
        <v>4</v>
      </c>
      <c r="H706" s="2" t="s">
        <v>38</v>
      </c>
      <c r="I706" s="2">
        <v>1</v>
      </c>
      <c r="J706" s="2">
        <v>984</v>
      </c>
      <c r="K706" s="2">
        <v>4</v>
      </c>
      <c r="L706" s="2" t="s">
        <v>46</v>
      </c>
      <c r="M706" s="2">
        <v>92</v>
      </c>
      <c r="N706" s="2">
        <v>3</v>
      </c>
      <c r="O706" s="2">
        <v>3</v>
      </c>
      <c r="P706" s="2" t="s">
        <v>40</v>
      </c>
      <c r="Q706" s="2">
        <v>4</v>
      </c>
      <c r="R706" s="2" t="s">
        <v>52</v>
      </c>
      <c r="S706" s="2">
        <v>7823</v>
      </c>
      <c r="T706" s="2">
        <v>6812</v>
      </c>
      <c r="U706" s="2">
        <v>6</v>
      </c>
      <c r="V706" s="2" t="s">
        <v>42</v>
      </c>
      <c r="W706" s="2" t="s">
        <v>43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</row>
    <row r="707" spans="1:35" x14ac:dyDescent="0.25">
      <c r="A707" s="2">
        <v>39</v>
      </c>
      <c r="B707" s="2" t="s">
        <v>43</v>
      </c>
      <c r="C707" s="2" t="s">
        <v>36</v>
      </c>
      <c r="D707" s="2">
        <v>903</v>
      </c>
      <c r="E707" s="2" t="s">
        <v>37</v>
      </c>
      <c r="F707" s="2">
        <v>2</v>
      </c>
      <c r="G707" s="2">
        <v>5</v>
      </c>
      <c r="H707" s="2" t="s">
        <v>38</v>
      </c>
      <c r="I707" s="2">
        <v>1</v>
      </c>
      <c r="J707" s="2">
        <v>985</v>
      </c>
      <c r="K707" s="2">
        <v>1</v>
      </c>
      <c r="L707" s="2" t="s">
        <v>46</v>
      </c>
      <c r="M707" s="2">
        <v>41</v>
      </c>
      <c r="N707" s="2">
        <v>4</v>
      </c>
      <c r="O707" s="2">
        <v>3</v>
      </c>
      <c r="P707" s="2" t="s">
        <v>40</v>
      </c>
      <c r="Q707" s="2">
        <v>3</v>
      </c>
      <c r="R707" s="2" t="s">
        <v>41</v>
      </c>
      <c r="S707" s="2">
        <v>7880</v>
      </c>
      <c r="T707" s="2">
        <v>2560</v>
      </c>
      <c r="U707" s="2">
        <v>0</v>
      </c>
      <c r="V707" s="2" t="s">
        <v>42</v>
      </c>
      <c r="W707" s="2" t="s">
        <v>43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</row>
    <row r="708" spans="1:35" x14ac:dyDescent="0.25">
      <c r="A708" s="2">
        <v>40</v>
      </c>
      <c r="B708" s="2" t="s">
        <v>35</v>
      </c>
      <c r="C708" s="2" t="s">
        <v>55</v>
      </c>
      <c r="D708" s="2">
        <v>1479</v>
      </c>
      <c r="E708" s="2" t="s">
        <v>37</v>
      </c>
      <c r="F708" s="2">
        <v>24</v>
      </c>
      <c r="G708" s="2">
        <v>3</v>
      </c>
      <c r="H708" s="2" t="s">
        <v>38</v>
      </c>
      <c r="I708" s="2">
        <v>1</v>
      </c>
      <c r="J708" s="2">
        <v>986</v>
      </c>
      <c r="K708" s="2">
        <v>2</v>
      </c>
      <c r="L708" s="2" t="s">
        <v>39</v>
      </c>
      <c r="M708" s="2">
        <v>100</v>
      </c>
      <c r="N708" s="2">
        <v>4</v>
      </c>
      <c r="O708" s="2">
        <v>4</v>
      </c>
      <c r="P708" s="2" t="s">
        <v>40</v>
      </c>
      <c r="Q708" s="2">
        <v>2</v>
      </c>
      <c r="R708" s="2" t="s">
        <v>41</v>
      </c>
      <c r="S708" s="2">
        <v>13194</v>
      </c>
      <c r="T708" s="2">
        <v>17071</v>
      </c>
      <c r="U708" s="2">
        <v>4</v>
      </c>
      <c r="V708" s="2" t="s">
        <v>42</v>
      </c>
      <c r="W708" s="2" t="s">
        <v>35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</row>
    <row r="709" spans="1:35" x14ac:dyDescent="0.25">
      <c r="A709" s="2">
        <v>47</v>
      </c>
      <c r="B709" s="2" t="s">
        <v>43</v>
      </c>
      <c r="C709" s="2" t="s">
        <v>44</v>
      </c>
      <c r="D709" s="2">
        <v>1379</v>
      </c>
      <c r="E709" s="2" t="s">
        <v>45</v>
      </c>
      <c r="F709" s="2">
        <v>16</v>
      </c>
      <c r="G709" s="2">
        <v>4</v>
      </c>
      <c r="H709" s="2" t="s">
        <v>51</v>
      </c>
      <c r="I709" s="2">
        <v>1</v>
      </c>
      <c r="J709" s="2">
        <v>987</v>
      </c>
      <c r="K709" s="2">
        <v>3</v>
      </c>
      <c r="L709" s="2" t="s">
        <v>46</v>
      </c>
      <c r="M709" s="2">
        <v>64</v>
      </c>
      <c r="N709" s="2">
        <v>4</v>
      </c>
      <c r="O709" s="2">
        <v>2</v>
      </c>
      <c r="P709" s="2" t="s">
        <v>53</v>
      </c>
      <c r="Q709" s="2">
        <v>3</v>
      </c>
      <c r="R709" s="2" t="s">
        <v>52</v>
      </c>
      <c r="S709" s="2">
        <v>5067</v>
      </c>
      <c r="T709" s="2">
        <v>6759</v>
      </c>
      <c r="U709" s="2">
        <v>1</v>
      </c>
      <c r="V709" s="2" t="s">
        <v>42</v>
      </c>
      <c r="W709" s="2" t="s">
        <v>35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</row>
    <row r="710" spans="1:35" x14ac:dyDescent="0.25">
      <c r="A710" s="2">
        <v>36</v>
      </c>
      <c r="B710" s="2" t="s">
        <v>43</v>
      </c>
      <c r="C710" s="2" t="s">
        <v>55</v>
      </c>
      <c r="D710" s="2">
        <v>1229</v>
      </c>
      <c r="E710" s="2" t="s">
        <v>37</v>
      </c>
      <c r="F710" s="2">
        <v>8</v>
      </c>
      <c r="G710" s="2">
        <v>4</v>
      </c>
      <c r="H710" s="2" t="s">
        <v>60</v>
      </c>
      <c r="I710" s="2">
        <v>1</v>
      </c>
      <c r="J710" s="2">
        <v>990</v>
      </c>
      <c r="K710" s="2">
        <v>1</v>
      </c>
      <c r="L710" s="2" t="s">
        <v>46</v>
      </c>
      <c r="M710" s="2">
        <v>84</v>
      </c>
      <c r="N710" s="2">
        <v>3</v>
      </c>
      <c r="O710" s="2">
        <v>2</v>
      </c>
      <c r="P710" s="2" t="s">
        <v>40</v>
      </c>
      <c r="Q710" s="2">
        <v>4</v>
      </c>
      <c r="R710" s="2" t="s">
        <v>52</v>
      </c>
      <c r="S710" s="2">
        <v>5079</v>
      </c>
      <c r="T710" s="2">
        <v>25952</v>
      </c>
      <c r="U710" s="2">
        <v>4</v>
      </c>
      <c r="V710" s="2" t="s">
        <v>42</v>
      </c>
      <c r="W710" s="2" t="s">
        <v>43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</row>
    <row r="711" spans="1:35" x14ac:dyDescent="0.25">
      <c r="A711" s="2">
        <v>31</v>
      </c>
      <c r="B711" s="2" t="s">
        <v>35</v>
      </c>
      <c r="C711" s="2" t="s">
        <v>55</v>
      </c>
      <c r="D711" s="2">
        <v>335</v>
      </c>
      <c r="E711" s="2" t="s">
        <v>45</v>
      </c>
      <c r="F711" s="2">
        <v>9</v>
      </c>
      <c r="G711" s="2">
        <v>2</v>
      </c>
      <c r="H711" s="2" t="s">
        <v>51</v>
      </c>
      <c r="I711" s="2">
        <v>1</v>
      </c>
      <c r="J711" s="2">
        <v>991</v>
      </c>
      <c r="K711" s="2">
        <v>3</v>
      </c>
      <c r="L711" s="2" t="s">
        <v>46</v>
      </c>
      <c r="M711" s="2">
        <v>46</v>
      </c>
      <c r="N711" s="2">
        <v>2</v>
      </c>
      <c r="O711" s="2">
        <v>1</v>
      </c>
      <c r="P711" s="2" t="s">
        <v>47</v>
      </c>
      <c r="Q711" s="2">
        <v>1</v>
      </c>
      <c r="R711" s="2" t="s">
        <v>41</v>
      </c>
      <c r="S711" s="2">
        <v>2321</v>
      </c>
      <c r="T711" s="2">
        <v>10322</v>
      </c>
      <c r="U711" s="2">
        <v>0</v>
      </c>
      <c r="V711" s="2" t="s">
        <v>42</v>
      </c>
      <c r="W711" s="2" t="s">
        <v>35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</row>
    <row r="712" spans="1:35" x14ac:dyDescent="0.25">
      <c r="A712" s="2">
        <v>33</v>
      </c>
      <c r="B712" s="2" t="s">
        <v>43</v>
      </c>
      <c r="C712" s="2" t="s">
        <v>55</v>
      </c>
      <c r="D712" s="2">
        <v>722</v>
      </c>
      <c r="E712" s="2" t="s">
        <v>37</v>
      </c>
      <c r="F712" s="2">
        <v>17</v>
      </c>
      <c r="G712" s="2">
        <v>3</v>
      </c>
      <c r="H712" s="2" t="s">
        <v>38</v>
      </c>
      <c r="I712" s="2">
        <v>1</v>
      </c>
      <c r="J712" s="2">
        <v>992</v>
      </c>
      <c r="K712" s="2">
        <v>4</v>
      </c>
      <c r="L712" s="2" t="s">
        <v>46</v>
      </c>
      <c r="M712" s="2">
        <v>38</v>
      </c>
      <c r="N712" s="2">
        <v>3</v>
      </c>
      <c r="O712" s="2">
        <v>4</v>
      </c>
      <c r="P712" s="2" t="s">
        <v>56</v>
      </c>
      <c r="Q712" s="2">
        <v>3</v>
      </c>
      <c r="R712" s="2" t="s">
        <v>41</v>
      </c>
      <c r="S712" s="2">
        <v>17444</v>
      </c>
      <c r="T712" s="2">
        <v>20489</v>
      </c>
      <c r="U712" s="2">
        <v>1</v>
      </c>
      <c r="V712" s="2" t="s">
        <v>42</v>
      </c>
      <c r="W712" s="2" t="s">
        <v>43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</row>
    <row r="713" spans="1:35" x14ac:dyDescent="0.25">
      <c r="A713" s="2">
        <v>29</v>
      </c>
      <c r="B713" s="2" t="s">
        <v>35</v>
      </c>
      <c r="C713" s="2" t="s">
        <v>36</v>
      </c>
      <c r="D713" s="2">
        <v>906</v>
      </c>
      <c r="E713" s="2" t="s">
        <v>45</v>
      </c>
      <c r="F713" s="2">
        <v>10</v>
      </c>
      <c r="G713" s="2">
        <v>3</v>
      </c>
      <c r="H713" s="2" t="s">
        <v>38</v>
      </c>
      <c r="I713" s="2">
        <v>1</v>
      </c>
      <c r="J713" s="2">
        <v>994</v>
      </c>
      <c r="K713" s="2">
        <v>4</v>
      </c>
      <c r="L713" s="2" t="s">
        <v>39</v>
      </c>
      <c r="M713" s="2">
        <v>92</v>
      </c>
      <c r="N713" s="2">
        <v>2</v>
      </c>
      <c r="O713" s="2">
        <v>1</v>
      </c>
      <c r="P713" s="2" t="s">
        <v>47</v>
      </c>
      <c r="Q713" s="2">
        <v>1</v>
      </c>
      <c r="R713" s="2" t="s">
        <v>41</v>
      </c>
      <c r="S713" s="2">
        <v>2404</v>
      </c>
      <c r="T713" s="2">
        <v>11479</v>
      </c>
      <c r="U713" s="2">
        <v>6</v>
      </c>
      <c r="V713" s="2" t="s">
        <v>42</v>
      </c>
      <c r="W713" s="2" t="s">
        <v>35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</row>
    <row r="714" spans="1:35" x14ac:dyDescent="0.25">
      <c r="A714" s="2">
        <v>33</v>
      </c>
      <c r="B714" s="2" t="s">
        <v>43</v>
      </c>
      <c r="C714" s="2" t="s">
        <v>36</v>
      </c>
      <c r="D714" s="2">
        <v>461</v>
      </c>
      <c r="E714" s="2" t="s">
        <v>45</v>
      </c>
      <c r="F714" s="2">
        <v>13</v>
      </c>
      <c r="G714" s="2">
        <v>1</v>
      </c>
      <c r="H714" s="2" t="s">
        <v>38</v>
      </c>
      <c r="I714" s="2">
        <v>1</v>
      </c>
      <c r="J714" s="2">
        <v>995</v>
      </c>
      <c r="K714" s="2">
        <v>2</v>
      </c>
      <c r="L714" s="2" t="s">
        <v>39</v>
      </c>
      <c r="M714" s="2">
        <v>53</v>
      </c>
      <c r="N714" s="2">
        <v>3</v>
      </c>
      <c r="O714" s="2">
        <v>1</v>
      </c>
      <c r="P714" s="2" t="s">
        <v>47</v>
      </c>
      <c r="Q714" s="2">
        <v>4</v>
      </c>
      <c r="R714" s="2" t="s">
        <v>41</v>
      </c>
      <c r="S714" s="2">
        <v>3452</v>
      </c>
      <c r="T714" s="2">
        <v>17241</v>
      </c>
      <c r="U714" s="2">
        <v>3</v>
      </c>
      <c r="V714" s="2" t="s">
        <v>42</v>
      </c>
      <c r="W714" s="2" t="s">
        <v>43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</row>
    <row r="715" spans="1:35" x14ac:dyDescent="0.25">
      <c r="A715" s="2">
        <v>45</v>
      </c>
      <c r="B715" s="2" t="s">
        <v>43</v>
      </c>
      <c r="C715" s="2" t="s">
        <v>36</v>
      </c>
      <c r="D715" s="2">
        <v>974</v>
      </c>
      <c r="E715" s="2" t="s">
        <v>45</v>
      </c>
      <c r="F715" s="2">
        <v>1</v>
      </c>
      <c r="G715" s="2">
        <v>4</v>
      </c>
      <c r="H715" s="2" t="s">
        <v>51</v>
      </c>
      <c r="I715" s="2">
        <v>1</v>
      </c>
      <c r="J715" s="2">
        <v>996</v>
      </c>
      <c r="K715" s="2">
        <v>4</v>
      </c>
      <c r="L715" s="2" t="s">
        <v>39</v>
      </c>
      <c r="M715" s="2">
        <v>91</v>
      </c>
      <c r="N715" s="2">
        <v>3</v>
      </c>
      <c r="O715" s="2">
        <v>1</v>
      </c>
      <c r="P715" s="2" t="s">
        <v>50</v>
      </c>
      <c r="Q715" s="2">
        <v>4</v>
      </c>
      <c r="R715" s="2" t="s">
        <v>52</v>
      </c>
      <c r="S715" s="2">
        <v>2270</v>
      </c>
      <c r="T715" s="2">
        <v>11005</v>
      </c>
      <c r="U715" s="2">
        <v>3</v>
      </c>
      <c r="V715" s="2" t="s">
        <v>42</v>
      </c>
      <c r="W715" s="2" t="s">
        <v>43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</row>
    <row r="716" spans="1:35" x14ac:dyDescent="0.25">
      <c r="A716" s="2">
        <v>50</v>
      </c>
      <c r="B716" s="2" t="s">
        <v>43</v>
      </c>
      <c r="C716" s="2" t="s">
        <v>36</v>
      </c>
      <c r="D716" s="2">
        <v>1126</v>
      </c>
      <c r="E716" s="2" t="s">
        <v>45</v>
      </c>
      <c r="F716" s="2">
        <v>1</v>
      </c>
      <c r="G716" s="2">
        <v>2</v>
      </c>
      <c r="H716" s="2" t="s">
        <v>51</v>
      </c>
      <c r="I716" s="2">
        <v>1</v>
      </c>
      <c r="J716" s="2">
        <v>997</v>
      </c>
      <c r="K716" s="2">
        <v>4</v>
      </c>
      <c r="L716" s="2" t="s">
        <v>46</v>
      </c>
      <c r="M716" s="2">
        <v>66</v>
      </c>
      <c r="N716" s="2">
        <v>3</v>
      </c>
      <c r="O716" s="2">
        <v>4</v>
      </c>
      <c r="P716" s="2" t="s">
        <v>58</v>
      </c>
      <c r="Q716" s="2">
        <v>4</v>
      </c>
      <c r="R716" s="2" t="s">
        <v>52</v>
      </c>
      <c r="S716" s="2">
        <v>17399</v>
      </c>
      <c r="T716" s="2">
        <v>6615</v>
      </c>
      <c r="U716" s="2">
        <v>9</v>
      </c>
      <c r="V716" s="2" t="s">
        <v>42</v>
      </c>
      <c r="W716" s="2" t="s">
        <v>43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</row>
    <row r="717" spans="1:35" x14ac:dyDescent="0.25">
      <c r="A717" s="2">
        <v>33</v>
      </c>
      <c r="B717" s="2" t="s">
        <v>43</v>
      </c>
      <c r="C717" s="2" t="s">
        <v>44</v>
      </c>
      <c r="D717" s="2">
        <v>827</v>
      </c>
      <c r="E717" s="2" t="s">
        <v>45</v>
      </c>
      <c r="F717" s="2">
        <v>1</v>
      </c>
      <c r="G717" s="2">
        <v>4</v>
      </c>
      <c r="H717" s="2" t="s">
        <v>49</v>
      </c>
      <c r="I717" s="2">
        <v>1</v>
      </c>
      <c r="J717" s="2">
        <v>998</v>
      </c>
      <c r="K717" s="2">
        <v>3</v>
      </c>
      <c r="L717" s="2" t="s">
        <v>39</v>
      </c>
      <c r="M717" s="2">
        <v>84</v>
      </c>
      <c r="N717" s="2">
        <v>4</v>
      </c>
      <c r="O717" s="2">
        <v>2</v>
      </c>
      <c r="P717" s="2" t="s">
        <v>54</v>
      </c>
      <c r="Q717" s="2">
        <v>2</v>
      </c>
      <c r="R717" s="2" t="s">
        <v>48</v>
      </c>
      <c r="S717" s="2">
        <v>5488</v>
      </c>
      <c r="T717" s="2">
        <v>20161</v>
      </c>
      <c r="U717" s="2">
        <v>1</v>
      </c>
      <c r="V717" s="2" t="s">
        <v>42</v>
      </c>
      <c r="W717" s="2" t="s">
        <v>35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</row>
    <row r="718" spans="1:35" x14ac:dyDescent="0.25">
      <c r="A718" s="2">
        <v>41</v>
      </c>
      <c r="B718" s="2" t="s">
        <v>43</v>
      </c>
      <c r="C718" s="2" t="s">
        <v>44</v>
      </c>
      <c r="D718" s="2">
        <v>840</v>
      </c>
      <c r="E718" s="2" t="s">
        <v>45</v>
      </c>
      <c r="F718" s="2">
        <v>9</v>
      </c>
      <c r="G718" s="2">
        <v>3</v>
      </c>
      <c r="H718" s="2" t="s">
        <v>51</v>
      </c>
      <c r="I718" s="2">
        <v>1</v>
      </c>
      <c r="J718" s="2">
        <v>999</v>
      </c>
      <c r="K718" s="2">
        <v>1</v>
      </c>
      <c r="L718" s="2" t="s">
        <v>46</v>
      </c>
      <c r="M718" s="2">
        <v>64</v>
      </c>
      <c r="N718" s="2">
        <v>3</v>
      </c>
      <c r="O718" s="2">
        <v>5</v>
      </c>
      <c r="P718" s="2" t="s">
        <v>58</v>
      </c>
      <c r="Q718" s="2">
        <v>3</v>
      </c>
      <c r="R718" s="2" t="s">
        <v>52</v>
      </c>
      <c r="S718" s="2">
        <v>19419</v>
      </c>
      <c r="T718" s="2">
        <v>3735</v>
      </c>
      <c r="U718" s="2">
        <v>2</v>
      </c>
      <c r="V718" s="2" t="s">
        <v>42</v>
      </c>
      <c r="W718" s="2" t="s">
        <v>43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</row>
    <row r="719" spans="1:35" x14ac:dyDescent="0.25">
      <c r="A719" s="2">
        <v>27</v>
      </c>
      <c r="B719" s="2" t="s">
        <v>43</v>
      </c>
      <c r="C719" s="2" t="s">
        <v>36</v>
      </c>
      <c r="D719" s="2">
        <v>1134</v>
      </c>
      <c r="E719" s="2" t="s">
        <v>45</v>
      </c>
      <c r="F719" s="2">
        <v>16</v>
      </c>
      <c r="G719" s="2">
        <v>4</v>
      </c>
      <c r="H719" s="2" t="s">
        <v>60</v>
      </c>
      <c r="I719" s="2">
        <v>1</v>
      </c>
      <c r="J719" s="2">
        <v>1001</v>
      </c>
      <c r="K719" s="2">
        <v>3</v>
      </c>
      <c r="L719" s="2" t="s">
        <v>39</v>
      </c>
      <c r="M719" s="2">
        <v>37</v>
      </c>
      <c r="N719" s="2">
        <v>3</v>
      </c>
      <c r="O719" s="2">
        <v>1</v>
      </c>
      <c r="P719" s="2" t="s">
        <v>50</v>
      </c>
      <c r="Q719" s="2">
        <v>2</v>
      </c>
      <c r="R719" s="2" t="s">
        <v>48</v>
      </c>
      <c r="S719" s="2">
        <v>2811</v>
      </c>
      <c r="T719" s="2">
        <v>12086</v>
      </c>
      <c r="U719" s="2">
        <v>9</v>
      </c>
      <c r="V719" s="2" t="s">
        <v>42</v>
      </c>
      <c r="W719" s="2" t="s">
        <v>43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</row>
    <row r="720" spans="1:35" x14ac:dyDescent="0.25">
      <c r="A720" s="2">
        <v>45</v>
      </c>
      <c r="B720" s="2" t="s">
        <v>43</v>
      </c>
      <c r="C720" s="2" t="s">
        <v>55</v>
      </c>
      <c r="D720" s="2">
        <v>248</v>
      </c>
      <c r="E720" s="2" t="s">
        <v>45</v>
      </c>
      <c r="F720" s="2">
        <v>23</v>
      </c>
      <c r="G720" s="2">
        <v>2</v>
      </c>
      <c r="H720" s="2" t="s">
        <v>38</v>
      </c>
      <c r="I720" s="2">
        <v>1</v>
      </c>
      <c r="J720" s="2">
        <v>1002</v>
      </c>
      <c r="K720" s="2">
        <v>4</v>
      </c>
      <c r="L720" s="2" t="s">
        <v>46</v>
      </c>
      <c r="M720" s="2">
        <v>42</v>
      </c>
      <c r="N720" s="2">
        <v>3</v>
      </c>
      <c r="O720" s="2">
        <v>2</v>
      </c>
      <c r="P720" s="2" t="s">
        <v>50</v>
      </c>
      <c r="Q720" s="2">
        <v>1</v>
      </c>
      <c r="R720" s="2" t="s">
        <v>48</v>
      </c>
      <c r="S720" s="2">
        <v>3633</v>
      </c>
      <c r="T720" s="2">
        <v>14039</v>
      </c>
      <c r="U720" s="2">
        <v>1</v>
      </c>
      <c r="V720" s="2" t="s">
        <v>42</v>
      </c>
      <c r="W720" s="2" t="s">
        <v>35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</row>
    <row r="721" spans="1:35" x14ac:dyDescent="0.25">
      <c r="A721" s="2">
        <v>47</v>
      </c>
      <c r="B721" s="2" t="s">
        <v>43</v>
      </c>
      <c r="C721" s="2" t="s">
        <v>36</v>
      </c>
      <c r="D721" s="2">
        <v>955</v>
      </c>
      <c r="E721" s="2" t="s">
        <v>37</v>
      </c>
      <c r="F721" s="2">
        <v>4</v>
      </c>
      <c r="G721" s="2">
        <v>2</v>
      </c>
      <c r="H721" s="2" t="s">
        <v>38</v>
      </c>
      <c r="I721" s="2">
        <v>1</v>
      </c>
      <c r="J721" s="2">
        <v>1003</v>
      </c>
      <c r="K721" s="2">
        <v>4</v>
      </c>
      <c r="L721" s="2" t="s">
        <v>39</v>
      </c>
      <c r="M721" s="2">
        <v>83</v>
      </c>
      <c r="N721" s="2">
        <v>3</v>
      </c>
      <c r="O721" s="2">
        <v>2</v>
      </c>
      <c r="P721" s="2" t="s">
        <v>40</v>
      </c>
      <c r="Q721" s="2">
        <v>4</v>
      </c>
      <c r="R721" s="2" t="s">
        <v>41</v>
      </c>
      <c r="S721" s="2">
        <v>4163</v>
      </c>
      <c r="T721" s="2">
        <v>8571</v>
      </c>
      <c r="U721" s="2">
        <v>1</v>
      </c>
      <c r="V721" s="2" t="s">
        <v>42</v>
      </c>
      <c r="W721" s="2" t="s">
        <v>35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</row>
    <row r="722" spans="1:35" x14ac:dyDescent="0.25">
      <c r="A722" s="2">
        <v>30</v>
      </c>
      <c r="B722" s="2" t="s">
        <v>35</v>
      </c>
      <c r="C722" s="2" t="s">
        <v>36</v>
      </c>
      <c r="D722" s="2">
        <v>138</v>
      </c>
      <c r="E722" s="2" t="s">
        <v>45</v>
      </c>
      <c r="F722" s="2">
        <v>22</v>
      </c>
      <c r="G722" s="2">
        <v>3</v>
      </c>
      <c r="H722" s="2" t="s">
        <v>38</v>
      </c>
      <c r="I722" s="2">
        <v>1</v>
      </c>
      <c r="J722" s="2">
        <v>1004</v>
      </c>
      <c r="K722" s="2">
        <v>1</v>
      </c>
      <c r="L722" s="2" t="s">
        <v>39</v>
      </c>
      <c r="M722" s="2">
        <v>48</v>
      </c>
      <c r="N722" s="2">
        <v>3</v>
      </c>
      <c r="O722" s="2">
        <v>1</v>
      </c>
      <c r="P722" s="2" t="s">
        <v>47</v>
      </c>
      <c r="Q722" s="2">
        <v>3</v>
      </c>
      <c r="R722" s="2" t="s">
        <v>48</v>
      </c>
      <c r="S722" s="2">
        <v>2132</v>
      </c>
      <c r="T722" s="2">
        <v>11539</v>
      </c>
      <c r="U722" s="2">
        <v>4</v>
      </c>
      <c r="V722" s="2" t="s">
        <v>42</v>
      </c>
      <c r="W722" s="2" t="s">
        <v>35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</row>
    <row r="723" spans="1:35" x14ac:dyDescent="0.25">
      <c r="A723" s="2">
        <v>50</v>
      </c>
      <c r="B723" s="2" t="s">
        <v>43</v>
      </c>
      <c r="C723" s="2" t="s">
        <v>36</v>
      </c>
      <c r="D723" s="2">
        <v>939</v>
      </c>
      <c r="E723" s="2" t="s">
        <v>45</v>
      </c>
      <c r="F723" s="2">
        <v>24</v>
      </c>
      <c r="G723" s="2">
        <v>3</v>
      </c>
      <c r="H723" s="2" t="s">
        <v>38</v>
      </c>
      <c r="I723" s="2">
        <v>1</v>
      </c>
      <c r="J723" s="2">
        <v>1005</v>
      </c>
      <c r="K723" s="2">
        <v>4</v>
      </c>
      <c r="L723" s="2" t="s">
        <v>46</v>
      </c>
      <c r="M723" s="2">
        <v>95</v>
      </c>
      <c r="N723" s="2">
        <v>3</v>
      </c>
      <c r="O723" s="2">
        <v>4</v>
      </c>
      <c r="P723" s="2" t="s">
        <v>53</v>
      </c>
      <c r="Q723" s="2">
        <v>3</v>
      </c>
      <c r="R723" s="2" t="s">
        <v>48</v>
      </c>
      <c r="S723" s="2">
        <v>13973</v>
      </c>
      <c r="T723" s="2">
        <v>4161</v>
      </c>
      <c r="U723" s="2">
        <v>3</v>
      </c>
      <c r="V723" s="2" t="s">
        <v>42</v>
      </c>
      <c r="W723" s="2" t="s">
        <v>35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</row>
    <row r="724" spans="1:35" x14ac:dyDescent="0.25">
      <c r="A724" s="2">
        <v>38</v>
      </c>
      <c r="B724" s="2" t="s">
        <v>43</v>
      </c>
      <c r="C724" s="2" t="s">
        <v>44</v>
      </c>
      <c r="D724" s="2">
        <v>1391</v>
      </c>
      <c r="E724" s="2" t="s">
        <v>45</v>
      </c>
      <c r="F724" s="2">
        <v>10</v>
      </c>
      <c r="G724" s="2">
        <v>1</v>
      </c>
      <c r="H724" s="2" t="s">
        <v>51</v>
      </c>
      <c r="I724" s="2">
        <v>1</v>
      </c>
      <c r="J724" s="2">
        <v>1006</v>
      </c>
      <c r="K724" s="2">
        <v>3</v>
      </c>
      <c r="L724" s="2" t="s">
        <v>46</v>
      </c>
      <c r="M724" s="2">
        <v>66</v>
      </c>
      <c r="N724" s="2">
        <v>3</v>
      </c>
      <c r="O724" s="2">
        <v>1</v>
      </c>
      <c r="P724" s="2" t="s">
        <v>47</v>
      </c>
      <c r="Q724" s="2">
        <v>3</v>
      </c>
      <c r="R724" s="2" t="s">
        <v>48</v>
      </c>
      <c r="S724" s="2">
        <v>2684</v>
      </c>
      <c r="T724" s="2">
        <v>12127</v>
      </c>
      <c r="U724" s="2">
        <v>0</v>
      </c>
      <c r="V724" s="2" t="s">
        <v>42</v>
      </c>
      <c r="W724" s="2" t="s">
        <v>43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</row>
    <row r="725" spans="1:35" x14ac:dyDescent="0.25">
      <c r="A725" s="2">
        <v>46</v>
      </c>
      <c r="B725" s="2" t="s">
        <v>43</v>
      </c>
      <c r="C725" s="2" t="s">
        <v>36</v>
      </c>
      <c r="D725" s="2">
        <v>566</v>
      </c>
      <c r="E725" s="2" t="s">
        <v>45</v>
      </c>
      <c r="F725" s="2">
        <v>7</v>
      </c>
      <c r="G725" s="2">
        <v>2</v>
      </c>
      <c r="H725" s="2" t="s">
        <v>51</v>
      </c>
      <c r="I725" s="2">
        <v>1</v>
      </c>
      <c r="J725" s="2">
        <v>1007</v>
      </c>
      <c r="K725" s="2">
        <v>4</v>
      </c>
      <c r="L725" s="2" t="s">
        <v>46</v>
      </c>
      <c r="M725" s="2">
        <v>75</v>
      </c>
      <c r="N725" s="2">
        <v>3</v>
      </c>
      <c r="O725" s="2">
        <v>3</v>
      </c>
      <c r="P725" s="2" t="s">
        <v>53</v>
      </c>
      <c r="Q725" s="2">
        <v>3</v>
      </c>
      <c r="R725" s="2" t="s">
        <v>52</v>
      </c>
      <c r="S725" s="2">
        <v>10845</v>
      </c>
      <c r="T725" s="2">
        <v>24208</v>
      </c>
      <c r="U725" s="2">
        <v>6</v>
      </c>
      <c r="V725" s="2" t="s">
        <v>42</v>
      </c>
      <c r="W725" s="2" t="s">
        <v>43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</row>
    <row r="726" spans="1:35" x14ac:dyDescent="0.25">
      <c r="A726" s="2">
        <v>24</v>
      </c>
      <c r="B726" s="2" t="s">
        <v>43</v>
      </c>
      <c r="C726" s="2" t="s">
        <v>36</v>
      </c>
      <c r="D726" s="2">
        <v>1206</v>
      </c>
      <c r="E726" s="2" t="s">
        <v>45</v>
      </c>
      <c r="F726" s="2">
        <v>17</v>
      </c>
      <c r="G726" s="2">
        <v>1</v>
      </c>
      <c r="H726" s="2" t="s">
        <v>51</v>
      </c>
      <c r="I726" s="2">
        <v>1</v>
      </c>
      <c r="J726" s="2">
        <v>1009</v>
      </c>
      <c r="K726" s="2">
        <v>4</v>
      </c>
      <c r="L726" s="2" t="s">
        <v>39</v>
      </c>
      <c r="M726" s="2">
        <v>41</v>
      </c>
      <c r="N726" s="2">
        <v>2</v>
      </c>
      <c r="O726" s="2">
        <v>2</v>
      </c>
      <c r="P726" s="2" t="s">
        <v>53</v>
      </c>
      <c r="Q726" s="2">
        <v>3</v>
      </c>
      <c r="R726" s="2" t="s">
        <v>52</v>
      </c>
      <c r="S726" s="2">
        <v>4377</v>
      </c>
      <c r="T726" s="2">
        <v>24117</v>
      </c>
      <c r="U726" s="2">
        <v>1</v>
      </c>
      <c r="V726" s="2" t="s">
        <v>42</v>
      </c>
      <c r="W726" s="2" t="s">
        <v>43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</row>
    <row r="727" spans="1:35" x14ac:dyDescent="0.25">
      <c r="A727" s="2">
        <v>35</v>
      </c>
      <c r="B727" s="2" t="s">
        <v>35</v>
      </c>
      <c r="C727" s="2" t="s">
        <v>36</v>
      </c>
      <c r="D727" s="2">
        <v>622</v>
      </c>
      <c r="E727" s="2" t="s">
        <v>45</v>
      </c>
      <c r="F727" s="2">
        <v>14</v>
      </c>
      <c r="G727" s="2">
        <v>4</v>
      </c>
      <c r="H727" s="2" t="s">
        <v>49</v>
      </c>
      <c r="I727" s="2">
        <v>1</v>
      </c>
      <c r="J727" s="2">
        <v>1010</v>
      </c>
      <c r="K727" s="2">
        <v>3</v>
      </c>
      <c r="L727" s="2" t="s">
        <v>46</v>
      </c>
      <c r="M727" s="2">
        <v>39</v>
      </c>
      <c r="N727" s="2">
        <v>2</v>
      </c>
      <c r="O727" s="2">
        <v>1</v>
      </c>
      <c r="P727" s="2" t="s">
        <v>50</v>
      </c>
      <c r="Q727" s="2">
        <v>2</v>
      </c>
      <c r="R727" s="2" t="s">
        <v>52</v>
      </c>
      <c r="S727" s="2">
        <v>3743</v>
      </c>
      <c r="T727" s="2">
        <v>10074</v>
      </c>
      <c r="U727" s="2">
        <v>1</v>
      </c>
      <c r="V727" s="2" t="s">
        <v>42</v>
      </c>
      <c r="W727" s="2" t="s">
        <v>35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</row>
    <row r="728" spans="1:35" x14ac:dyDescent="0.25">
      <c r="A728" s="2">
        <v>31</v>
      </c>
      <c r="B728" s="2" t="s">
        <v>43</v>
      </c>
      <c r="C728" s="2" t="s">
        <v>44</v>
      </c>
      <c r="D728" s="2">
        <v>853</v>
      </c>
      <c r="E728" s="2" t="s">
        <v>45</v>
      </c>
      <c r="F728" s="2">
        <v>1</v>
      </c>
      <c r="G728" s="2">
        <v>1</v>
      </c>
      <c r="H728" s="2" t="s">
        <v>38</v>
      </c>
      <c r="I728" s="2">
        <v>1</v>
      </c>
      <c r="J728" s="2">
        <v>1011</v>
      </c>
      <c r="K728" s="2">
        <v>3</v>
      </c>
      <c r="L728" s="2" t="s">
        <v>39</v>
      </c>
      <c r="M728" s="2">
        <v>96</v>
      </c>
      <c r="N728" s="2">
        <v>3</v>
      </c>
      <c r="O728" s="2">
        <v>2</v>
      </c>
      <c r="P728" s="2" t="s">
        <v>53</v>
      </c>
      <c r="Q728" s="2">
        <v>1</v>
      </c>
      <c r="R728" s="2" t="s">
        <v>48</v>
      </c>
      <c r="S728" s="2">
        <v>4148</v>
      </c>
      <c r="T728" s="2">
        <v>11275</v>
      </c>
      <c r="U728" s="2">
        <v>1</v>
      </c>
      <c r="V728" s="2" t="s">
        <v>42</v>
      </c>
      <c r="W728" s="2" t="s">
        <v>43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</row>
    <row r="729" spans="1:35" x14ac:dyDescent="0.25">
      <c r="A729" s="2">
        <v>18</v>
      </c>
      <c r="B729" s="2" t="s">
        <v>43</v>
      </c>
      <c r="C729" s="2" t="s">
        <v>55</v>
      </c>
      <c r="D729" s="2">
        <v>287</v>
      </c>
      <c r="E729" s="2" t="s">
        <v>45</v>
      </c>
      <c r="F729" s="2">
        <v>5</v>
      </c>
      <c r="G729" s="2">
        <v>2</v>
      </c>
      <c r="H729" s="2" t="s">
        <v>38</v>
      </c>
      <c r="I729" s="2">
        <v>1</v>
      </c>
      <c r="J729" s="2">
        <v>1012</v>
      </c>
      <c r="K729" s="2">
        <v>2</v>
      </c>
      <c r="L729" s="2" t="s">
        <v>46</v>
      </c>
      <c r="M729" s="2">
        <v>73</v>
      </c>
      <c r="N729" s="2">
        <v>3</v>
      </c>
      <c r="O729" s="2">
        <v>1</v>
      </c>
      <c r="P729" s="2" t="s">
        <v>47</v>
      </c>
      <c r="Q729" s="2">
        <v>4</v>
      </c>
      <c r="R729" s="2" t="s">
        <v>41</v>
      </c>
      <c r="S729" s="2">
        <v>1051</v>
      </c>
      <c r="T729" s="2">
        <v>13493</v>
      </c>
      <c r="U729" s="2">
        <v>1</v>
      </c>
      <c r="V729" s="2" t="s">
        <v>42</v>
      </c>
      <c r="W729" s="2" t="s">
        <v>43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</row>
    <row r="730" spans="1:35" x14ac:dyDescent="0.25">
      <c r="A730" s="2">
        <v>54</v>
      </c>
      <c r="B730" s="2" t="s">
        <v>43</v>
      </c>
      <c r="C730" s="2" t="s">
        <v>36</v>
      </c>
      <c r="D730" s="2">
        <v>1441</v>
      </c>
      <c r="E730" s="2" t="s">
        <v>45</v>
      </c>
      <c r="F730" s="2">
        <v>17</v>
      </c>
      <c r="G730" s="2">
        <v>3</v>
      </c>
      <c r="H730" s="2" t="s">
        <v>60</v>
      </c>
      <c r="I730" s="2">
        <v>1</v>
      </c>
      <c r="J730" s="2">
        <v>1013</v>
      </c>
      <c r="K730" s="2">
        <v>3</v>
      </c>
      <c r="L730" s="2" t="s">
        <v>39</v>
      </c>
      <c r="M730" s="2">
        <v>56</v>
      </c>
      <c r="N730" s="2">
        <v>3</v>
      </c>
      <c r="O730" s="2">
        <v>3</v>
      </c>
      <c r="P730" s="2" t="s">
        <v>53</v>
      </c>
      <c r="Q730" s="2">
        <v>3</v>
      </c>
      <c r="R730" s="2" t="s">
        <v>48</v>
      </c>
      <c r="S730" s="2">
        <v>10739</v>
      </c>
      <c r="T730" s="2">
        <v>13943</v>
      </c>
      <c r="U730" s="2">
        <v>8</v>
      </c>
      <c r="V730" s="2" t="s">
        <v>42</v>
      </c>
      <c r="W730" s="2" t="s">
        <v>43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</row>
    <row r="731" spans="1:35" x14ac:dyDescent="0.25">
      <c r="A731" s="2">
        <v>35</v>
      </c>
      <c r="B731" s="2" t="s">
        <v>43</v>
      </c>
      <c r="C731" s="2" t="s">
        <v>36</v>
      </c>
      <c r="D731" s="2">
        <v>583</v>
      </c>
      <c r="E731" s="2" t="s">
        <v>45</v>
      </c>
      <c r="F731" s="2">
        <v>25</v>
      </c>
      <c r="G731" s="2">
        <v>4</v>
      </c>
      <c r="H731" s="2" t="s">
        <v>51</v>
      </c>
      <c r="I731" s="2">
        <v>1</v>
      </c>
      <c r="J731" s="2">
        <v>1014</v>
      </c>
      <c r="K731" s="2">
        <v>3</v>
      </c>
      <c r="L731" s="2" t="s">
        <v>39</v>
      </c>
      <c r="M731" s="2">
        <v>57</v>
      </c>
      <c r="N731" s="2">
        <v>3</v>
      </c>
      <c r="O731" s="2">
        <v>3</v>
      </c>
      <c r="P731" s="2" t="s">
        <v>54</v>
      </c>
      <c r="Q731" s="2">
        <v>3</v>
      </c>
      <c r="R731" s="2" t="s">
        <v>52</v>
      </c>
      <c r="S731" s="2">
        <v>10388</v>
      </c>
      <c r="T731" s="2">
        <v>6975</v>
      </c>
      <c r="U731" s="2">
        <v>1</v>
      </c>
      <c r="V731" s="2" t="s">
        <v>42</v>
      </c>
      <c r="W731" s="2" t="s">
        <v>35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</row>
    <row r="732" spans="1:35" x14ac:dyDescent="0.25">
      <c r="A732" s="2">
        <v>30</v>
      </c>
      <c r="B732" s="2" t="s">
        <v>43</v>
      </c>
      <c r="C732" s="2" t="s">
        <v>36</v>
      </c>
      <c r="D732" s="2">
        <v>153</v>
      </c>
      <c r="E732" s="2" t="s">
        <v>45</v>
      </c>
      <c r="F732" s="2">
        <v>8</v>
      </c>
      <c r="G732" s="2">
        <v>2</v>
      </c>
      <c r="H732" s="2" t="s">
        <v>38</v>
      </c>
      <c r="I732" s="2">
        <v>1</v>
      </c>
      <c r="J732" s="2">
        <v>1015</v>
      </c>
      <c r="K732" s="2">
        <v>2</v>
      </c>
      <c r="L732" s="2" t="s">
        <v>39</v>
      </c>
      <c r="M732" s="2">
        <v>73</v>
      </c>
      <c r="N732" s="2">
        <v>4</v>
      </c>
      <c r="O732" s="2">
        <v>3</v>
      </c>
      <c r="P732" s="2" t="s">
        <v>58</v>
      </c>
      <c r="Q732" s="2">
        <v>1</v>
      </c>
      <c r="R732" s="2" t="s">
        <v>48</v>
      </c>
      <c r="S732" s="2">
        <v>11416</v>
      </c>
      <c r="T732" s="2">
        <v>17802</v>
      </c>
      <c r="U732" s="2">
        <v>0</v>
      </c>
      <c r="V732" s="2" t="s">
        <v>42</v>
      </c>
      <c r="W732" s="2" t="s">
        <v>35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</row>
    <row r="733" spans="1:35" x14ac:dyDescent="0.25">
      <c r="A733" s="2">
        <v>20</v>
      </c>
      <c r="B733" s="2" t="s">
        <v>35</v>
      </c>
      <c r="C733" s="2" t="s">
        <v>36</v>
      </c>
      <c r="D733" s="2">
        <v>1097</v>
      </c>
      <c r="E733" s="2" t="s">
        <v>45</v>
      </c>
      <c r="F733" s="2">
        <v>11</v>
      </c>
      <c r="G733" s="2">
        <v>3</v>
      </c>
      <c r="H733" s="2" t="s">
        <v>51</v>
      </c>
      <c r="I733" s="2">
        <v>1</v>
      </c>
      <c r="J733" s="2">
        <v>1016</v>
      </c>
      <c r="K733" s="2">
        <v>4</v>
      </c>
      <c r="L733" s="2" t="s">
        <v>39</v>
      </c>
      <c r="M733" s="2">
        <v>98</v>
      </c>
      <c r="N733" s="2">
        <v>2</v>
      </c>
      <c r="O733" s="2">
        <v>1</v>
      </c>
      <c r="P733" s="2" t="s">
        <v>47</v>
      </c>
      <c r="Q733" s="2">
        <v>1</v>
      </c>
      <c r="R733" s="2" t="s">
        <v>41</v>
      </c>
      <c r="S733" s="2">
        <v>2600</v>
      </c>
      <c r="T733" s="2">
        <v>18275</v>
      </c>
      <c r="U733" s="2">
        <v>1</v>
      </c>
      <c r="V733" s="2" t="s">
        <v>42</v>
      </c>
      <c r="W733" s="2" t="s">
        <v>35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</row>
    <row r="734" spans="1:35" x14ac:dyDescent="0.25">
      <c r="A734" s="2">
        <v>30</v>
      </c>
      <c r="B734" s="2" t="s">
        <v>35</v>
      </c>
      <c r="C734" s="2" t="s">
        <v>44</v>
      </c>
      <c r="D734" s="2">
        <v>109</v>
      </c>
      <c r="E734" s="2" t="s">
        <v>45</v>
      </c>
      <c r="F734" s="2">
        <v>5</v>
      </c>
      <c r="G734" s="2">
        <v>3</v>
      </c>
      <c r="H734" s="2" t="s">
        <v>51</v>
      </c>
      <c r="I734" s="2">
        <v>1</v>
      </c>
      <c r="J734" s="2">
        <v>1017</v>
      </c>
      <c r="K734" s="2">
        <v>2</v>
      </c>
      <c r="L734" s="2" t="s">
        <v>39</v>
      </c>
      <c r="M734" s="2">
        <v>60</v>
      </c>
      <c r="N734" s="2">
        <v>3</v>
      </c>
      <c r="O734" s="2">
        <v>1</v>
      </c>
      <c r="P734" s="2" t="s">
        <v>50</v>
      </c>
      <c r="Q734" s="2">
        <v>2</v>
      </c>
      <c r="R734" s="2" t="s">
        <v>41</v>
      </c>
      <c r="S734" s="2">
        <v>2422</v>
      </c>
      <c r="T734" s="2">
        <v>25725</v>
      </c>
      <c r="U734" s="2">
        <v>0</v>
      </c>
      <c r="V734" s="2" t="s">
        <v>42</v>
      </c>
      <c r="W734" s="2" t="s">
        <v>43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</row>
    <row r="735" spans="1:35" x14ac:dyDescent="0.25">
      <c r="A735" s="2">
        <v>26</v>
      </c>
      <c r="B735" s="2" t="s">
        <v>43</v>
      </c>
      <c r="C735" s="2" t="s">
        <v>36</v>
      </c>
      <c r="D735" s="2">
        <v>1066</v>
      </c>
      <c r="E735" s="2" t="s">
        <v>45</v>
      </c>
      <c r="F735" s="2">
        <v>2</v>
      </c>
      <c r="G735" s="2">
        <v>2</v>
      </c>
      <c r="H735" s="2" t="s">
        <v>51</v>
      </c>
      <c r="I735" s="2">
        <v>1</v>
      </c>
      <c r="J735" s="2">
        <v>1018</v>
      </c>
      <c r="K735" s="2">
        <v>4</v>
      </c>
      <c r="L735" s="2" t="s">
        <v>46</v>
      </c>
      <c r="M735" s="2">
        <v>32</v>
      </c>
      <c r="N735" s="2">
        <v>4</v>
      </c>
      <c r="O735" s="2">
        <v>2</v>
      </c>
      <c r="P735" s="2" t="s">
        <v>53</v>
      </c>
      <c r="Q735" s="2">
        <v>4</v>
      </c>
      <c r="R735" s="2" t="s">
        <v>48</v>
      </c>
      <c r="S735" s="2">
        <v>5472</v>
      </c>
      <c r="T735" s="2">
        <v>3334</v>
      </c>
      <c r="U735" s="2">
        <v>1</v>
      </c>
      <c r="V735" s="2" t="s">
        <v>42</v>
      </c>
      <c r="W735" s="2" t="s">
        <v>43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</row>
    <row r="736" spans="1:35" x14ac:dyDescent="0.25">
      <c r="A736" s="2">
        <v>22</v>
      </c>
      <c r="B736" s="2" t="s">
        <v>43</v>
      </c>
      <c r="C736" s="2" t="s">
        <v>36</v>
      </c>
      <c r="D736" s="2">
        <v>217</v>
      </c>
      <c r="E736" s="2" t="s">
        <v>45</v>
      </c>
      <c r="F736" s="2">
        <v>8</v>
      </c>
      <c r="G736" s="2">
        <v>1</v>
      </c>
      <c r="H736" s="2" t="s">
        <v>38</v>
      </c>
      <c r="I736" s="2">
        <v>1</v>
      </c>
      <c r="J736" s="2">
        <v>1019</v>
      </c>
      <c r="K736" s="2">
        <v>2</v>
      </c>
      <c r="L736" s="2" t="s">
        <v>46</v>
      </c>
      <c r="M736" s="2">
        <v>94</v>
      </c>
      <c r="N736" s="2">
        <v>1</v>
      </c>
      <c r="O736" s="2">
        <v>1</v>
      </c>
      <c r="P736" s="2" t="s">
        <v>50</v>
      </c>
      <c r="Q736" s="2">
        <v>1</v>
      </c>
      <c r="R736" s="2" t="s">
        <v>48</v>
      </c>
      <c r="S736" s="2">
        <v>2451</v>
      </c>
      <c r="T736" s="2">
        <v>6881</v>
      </c>
      <c r="U736" s="2">
        <v>1</v>
      </c>
      <c r="V736" s="2" t="s">
        <v>42</v>
      </c>
      <c r="W736" s="2" t="s">
        <v>43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</row>
    <row r="737" spans="1:35" x14ac:dyDescent="0.25">
      <c r="A737" s="2">
        <v>48</v>
      </c>
      <c r="B737" s="2" t="s">
        <v>43</v>
      </c>
      <c r="C737" s="2" t="s">
        <v>36</v>
      </c>
      <c r="D737" s="2">
        <v>277</v>
      </c>
      <c r="E737" s="2" t="s">
        <v>45</v>
      </c>
      <c r="F737" s="2">
        <v>6</v>
      </c>
      <c r="G737" s="2">
        <v>3</v>
      </c>
      <c r="H737" s="2" t="s">
        <v>38</v>
      </c>
      <c r="I737" s="2">
        <v>1</v>
      </c>
      <c r="J737" s="2">
        <v>1022</v>
      </c>
      <c r="K737" s="2">
        <v>1</v>
      </c>
      <c r="L737" s="2" t="s">
        <v>46</v>
      </c>
      <c r="M737" s="2">
        <v>97</v>
      </c>
      <c r="N737" s="2">
        <v>2</v>
      </c>
      <c r="O737" s="2">
        <v>2</v>
      </c>
      <c r="P737" s="2" t="s">
        <v>54</v>
      </c>
      <c r="Q737" s="2">
        <v>3</v>
      </c>
      <c r="R737" s="2" t="s">
        <v>41</v>
      </c>
      <c r="S737" s="2">
        <v>4240</v>
      </c>
      <c r="T737" s="2">
        <v>13119</v>
      </c>
      <c r="U737" s="2">
        <v>2</v>
      </c>
      <c r="V737" s="2" t="s">
        <v>42</v>
      </c>
      <c r="W737" s="2" t="s">
        <v>43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</row>
    <row r="738" spans="1:35" x14ac:dyDescent="0.25">
      <c r="A738" s="2">
        <v>48</v>
      </c>
      <c r="B738" s="2" t="s">
        <v>43</v>
      </c>
      <c r="C738" s="2" t="s">
        <v>36</v>
      </c>
      <c r="D738" s="2">
        <v>1355</v>
      </c>
      <c r="E738" s="2" t="s">
        <v>45</v>
      </c>
      <c r="F738" s="2">
        <v>4</v>
      </c>
      <c r="G738" s="2">
        <v>4</v>
      </c>
      <c r="H738" s="2" t="s">
        <v>38</v>
      </c>
      <c r="I738" s="2">
        <v>1</v>
      </c>
      <c r="J738" s="2">
        <v>1024</v>
      </c>
      <c r="K738" s="2">
        <v>3</v>
      </c>
      <c r="L738" s="2" t="s">
        <v>46</v>
      </c>
      <c r="M738" s="2">
        <v>78</v>
      </c>
      <c r="N738" s="2">
        <v>2</v>
      </c>
      <c r="O738" s="2">
        <v>3</v>
      </c>
      <c r="P738" s="2" t="s">
        <v>54</v>
      </c>
      <c r="Q738" s="2">
        <v>3</v>
      </c>
      <c r="R738" s="2" t="s">
        <v>41</v>
      </c>
      <c r="S738" s="2">
        <v>10999</v>
      </c>
      <c r="T738" s="2">
        <v>22245</v>
      </c>
      <c r="U738" s="2">
        <v>7</v>
      </c>
      <c r="V738" s="2" t="s">
        <v>42</v>
      </c>
      <c r="W738" s="2" t="s">
        <v>43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</row>
    <row r="739" spans="1:35" x14ac:dyDescent="0.25">
      <c r="A739" s="2">
        <v>41</v>
      </c>
      <c r="B739" s="2" t="s">
        <v>43</v>
      </c>
      <c r="C739" s="2" t="s">
        <v>36</v>
      </c>
      <c r="D739" s="2">
        <v>549</v>
      </c>
      <c r="E739" s="2" t="s">
        <v>45</v>
      </c>
      <c r="F739" s="2">
        <v>7</v>
      </c>
      <c r="G739" s="2">
        <v>2</v>
      </c>
      <c r="H739" s="2" t="s">
        <v>51</v>
      </c>
      <c r="I739" s="2">
        <v>1</v>
      </c>
      <c r="J739" s="2">
        <v>1025</v>
      </c>
      <c r="K739" s="2">
        <v>4</v>
      </c>
      <c r="L739" s="2" t="s">
        <v>39</v>
      </c>
      <c r="M739" s="2">
        <v>42</v>
      </c>
      <c r="N739" s="2">
        <v>3</v>
      </c>
      <c r="O739" s="2">
        <v>2</v>
      </c>
      <c r="P739" s="2" t="s">
        <v>53</v>
      </c>
      <c r="Q739" s="2">
        <v>3</v>
      </c>
      <c r="R739" s="2" t="s">
        <v>41</v>
      </c>
      <c r="S739" s="2">
        <v>5003</v>
      </c>
      <c r="T739" s="2">
        <v>23371</v>
      </c>
      <c r="U739" s="2">
        <v>6</v>
      </c>
      <c r="V739" s="2" t="s">
        <v>42</v>
      </c>
      <c r="W739" s="2" t="s">
        <v>43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</row>
    <row r="740" spans="1:35" x14ac:dyDescent="0.25">
      <c r="A740" s="2">
        <v>39</v>
      </c>
      <c r="B740" s="2" t="s">
        <v>43</v>
      </c>
      <c r="C740" s="2" t="s">
        <v>36</v>
      </c>
      <c r="D740" s="2">
        <v>466</v>
      </c>
      <c r="E740" s="2" t="s">
        <v>45</v>
      </c>
      <c r="F740" s="2">
        <v>1</v>
      </c>
      <c r="G740" s="2">
        <v>1</v>
      </c>
      <c r="H740" s="2" t="s">
        <v>38</v>
      </c>
      <c r="I740" s="2">
        <v>1</v>
      </c>
      <c r="J740" s="2">
        <v>1026</v>
      </c>
      <c r="K740" s="2">
        <v>4</v>
      </c>
      <c r="L740" s="2" t="s">
        <v>39</v>
      </c>
      <c r="M740" s="2">
        <v>65</v>
      </c>
      <c r="N740" s="2">
        <v>2</v>
      </c>
      <c r="O740" s="2">
        <v>4</v>
      </c>
      <c r="P740" s="2" t="s">
        <v>53</v>
      </c>
      <c r="Q740" s="2">
        <v>4</v>
      </c>
      <c r="R740" s="2" t="s">
        <v>48</v>
      </c>
      <c r="S740" s="2">
        <v>12742</v>
      </c>
      <c r="T740" s="2">
        <v>7060</v>
      </c>
      <c r="U740" s="2">
        <v>1</v>
      </c>
      <c r="V740" s="2" t="s">
        <v>42</v>
      </c>
      <c r="W740" s="2" t="s">
        <v>43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</row>
    <row r="741" spans="1:35" x14ac:dyDescent="0.25">
      <c r="A741" s="2">
        <v>27</v>
      </c>
      <c r="B741" s="2" t="s">
        <v>43</v>
      </c>
      <c r="C741" s="2" t="s">
        <v>36</v>
      </c>
      <c r="D741" s="2">
        <v>1055</v>
      </c>
      <c r="E741" s="2" t="s">
        <v>45</v>
      </c>
      <c r="F741" s="2">
        <v>2</v>
      </c>
      <c r="G741" s="2">
        <v>4</v>
      </c>
      <c r="H741" s="2" t="s">
        <v>38</v>
      </c>
      <c r="I741" s="2">
        <v>1</v>
      </c>
      <c r="J741" s="2">
        <v>1027</v>
      </c>
      <c r="K741" s="2">
        <v>1</v>
      </c>
      <c r="L741" s="2" t="s">
        <v>39</v>
      </c>
      <c r="M741" s="2">
        <v>47</v>
      </c>
      <c r="N741" s="2">
        <v>3</v>
      </c>
      <c r="O741" s="2">
        <v>2</v>
      </c>
      <c r="P741" s="2" t="s">
        <v>53</v>
      </c>
      <c r="Q741" s="2">
        <v>4</v>
      </c>
      <c r="R741" s="2" t="s">
        <v>48</v>
      </c>
      <c r="S741" s="2">
        <v>4227</v>
      </c>
      <c r="T741" s="2">
        <v>4658</v>
      </c>
      <c r="U741" s="2">
        <v>0</v>
      </c>
      <c r="V741" s="2" t="s">
        <v>42</v>
      </c>
      <c r="W741" s="2" t="s">
        <v>43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</row>
    <row r="742" spans="1:35" x14ac:dyDescent="0.25">
      <c r="A742" s="2">
        <v>35</v>
      </c>
      <c r="B742" s="2" t="s">
        <v>43</v>
      </c>
      <c r="C742" s="2" t="s">
        <v>36</v>
      </c>
      <c r="D742" s="2">
        <v>802</v>
      </c>
      <c r="E742" s="2" t="s">
        <v>45</v>
      </c>
      <c r="F742" s="2">
        <v>10</v>
      </c>
      <c r="G742" s="2">
        <v>3</v>
      </c>
      <c r="H742" s="2" t="s">
        <v>49</v>
      </c>
      <c r="I742" s="2">
        <v>1</v>
      </c>
      <c r="J742" s="2">
        <v>1028</v>
      </c>
      <c r="K742" s="2">
        <v>2</v>
      </c>
      <c r="L742" s="2" t="s">
        <v>46</v>
      </c>
      <c r="M742" s="2">
        <v>45</v>
      </c>
      <c r="N742" s="2">
        <v>3</v>
      </c>
      <c r="O742" s="2">
        <v>1</v>
      </c>
      <c r="P742" s="2" t="s">
        <v>50</v>
      </c>
      <c r="Q742" s="2">
        <v>4</v>
      </c>
      <c r="R742" s="2" t="s">
        <v>52</v>
      </c>
      <c r="S742" s="2">
        <v>3917</v>
      </c>
      <c r="T742" s="2">
        <v>9541</v>
      </c>
      <c r="U742" s="2">
        <v>1</v>
      </c>
      <c r="V742" s="2" t="s">
        <v>42</v>
      </c>
      <c r="W742" s="2" t="s">
        <v>43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</row>
    <row r="743" spans="1:35" x14ac:dyDescent="0.25">
      <c r="A743" s="2">
        <v>42</v>
      </c>
      <c r="B743" s="2" t="s">
        <v>43</v>
      </c>
      <c r="C743" s="2" t="s">
        <v>36</v>
      </c>
      <c r="D743" s="2">
        <v>265</v>
      </c>
      <c r="E743" s="2" t="s">
        <v>37</v>
      </c>
      <c r="F743" s="2">
        <v>5</v>
      </c>
      <c r="G743" s="2">
        <v>2</v>
      </c>
      <c r="H743" s="2" t="s">
        <v>59</v>
      </c>
      <c r="I743" s="2">
        <v>1</v>
      </c>
      <c r="J743" s="2">
        <v>1029</v>
      </c>
      <c r="K743" s="2">
        <v>4</v>
      </c>
      <c r="L743" s="2" t="s">
        <v>46</v>
      </c>
      <c r="M743" s="2">
        <v>90</v>
      </c>
      <c r="N743" s="2">
        <v>3</v>
      </c>
      <c r="O743" s="2">
        <v>5</v>
      </c>
      <c r="P743" s="2" t="s">
        <v>56</v>
      </c>
      <c r="Q743" s="2">
        <v>3</v>
      </c>
      <c r="R743" s="2" t="s">
        <v>48</v>
      </c>
      <c r="S743" s="2">
        <v>18303</v>
      </c>
      <c r="T743" s="2">
        <v>7770</v>
      </c>
      <c r="U743" s="2">
        <v>6</v>
      </c>
      <c r="V743" s="2" t="s">
        <v>42</v>
      </c>
      <c r="W743" s="2" t="s">
        <v>43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</row>
    <row r="744" spans="1:35" x14ac:dyDescent="0.25">
      <c r="A744" s="2">
        <v>50</v>
      </c>
      <c r="B744" s="2" t="s">
        <v>43</v>
      </c>
      <c r="C744" s="2" t="s">
        <v>36</v>
      </c>
      <c r="D744" s="2">
        <v>804</v>
      </c>
      <c r="E744" s="2" t="s">
        <v>45</v>
      </c>
      <c r="F744" s="2">
        <v>9</v>
      </c>
      <c r="G744" s="2">
        <v>3</v>
      </c>
      <c r="H744" s="2" t="s">
        <v>38</v>
      </c>
      <c r="I744" s="2">
        <v>1</v>
      </c>
      <c r="J744" s="2">
        <v>1030</v>
      </c>
      <c r="K744" s="2">
        <v>1</v>
      </c>
      <c r="L744" s="2" t="s">
        <v>46</v>
      </c>
      <c r="M744" s="2">
        <v>64</v>
      </c>
      <c r="N744" s="2">
        <v>3</v>
      </c>
      <c r="O744" s="2">
        <v>1</v>
      </c>
      <c r="P744" s="2" t="s">
        <v>50</v>
      </c>
      <c r="Q744" s="2">
        <v>4</v>
      </c>
      <c r="R744" s="2" t="s">
        <v>48</v>
      </c>
      <c r="S744" s="2">
        <v>2380</v>
      </c>
      <c r="T744" s="2">
        <v>20165</v>
      </c>
      <c r="U744" s="2">
        <v>4</v>
      </c>
      <c r="V744" s="2" t="s">
        <v>42</v>
      </c>
      <c r="W744" s="2" t="s">
        <v>43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</row>
    <row r="745" spans="1:35" x14ac:dyDescent="0.25">
      <c r="A745" s="2">
        <v>59</v>
      </c>
      <c r="B745" s="2" t="s">
        <v>43</v>
      </c>
      <c r="C745" s="2" t="s">
        <v>36</v>
      </c>
      <c r="D745" s="2">
        <v>715</v>
      </c>
      <c r="E745" s="2" t="s">
        <v>45</v>
      </c>
      <c r="F745" s="2">
        <v>2</v>
      </c>
      <c r="G745" s="2">
        <v>3</v>
      </c>
      <c r="H745" s="2" t="s">
        <v>38</v>
      </c>
      <c r="I745" s="2">
        <v>1</v>
      </c>
      <c r="J745" s="2">
        <v>1032</v>
      </c>
      <c r="K745" s="2">
        <v>3</v>
      </c>
      <c r="L745" s="2" t="s">
        <v>39</v>
      </c>
      <c r="M745" s="2">
        <v>69</v>
      </c>
      <c r="N745" s="2">
        <v>2</v>
      </c>
      <c r="O745" s="2">
        <v>4</v>
      </c>
      <c r="P745" s="2" t="s">
        <v>53</v>
      </c>
      <c r="Q745" s="2">
        <v>4</v>
      </c>
      <c r="R745" s="2" t="s">
        <v>41</v>
      </c>
      <c r="S745" s="2">
        <v>13726</v>
      </c>
      <c r="T745" s="2">
        <v>21829</v>
      </c>
      <c r="U745" s="2">
        <v>3</v>
      </c>
      <c r="V745" s="2" t="s">
        <v>42</v>
      </c>
      <c r="W745" s="2" t="s">
        <v>35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</row>
    <row r="746" spans="1:35" x14ac:dyDescent="0.25">
      <c r="A746" s="2">
        <v>37</v>
      </c>
      <c r="B746" s="2" t="s">
        <v>35</v>
      </c>
      <c r="C746" s="2" t="s">
        <v>36</v>
      </c>
      <c r="D746" s="2">
        <v>1141</v>
      </c>
      <c r="E746" s="2" t="s">
        <v>45</v>
      </c>
      <c r="F746" s="2">
        <v>11</v>
      </c>
      <c r="G746" s="2">
        <v>2</v>
      </c>
      <c r="H746" s="2" t="s">
        <v>51</v>
      </c>
      <c r="I746" s="2">
        <v>1</v>
      </c>
      <c r="J746" s="2">
        <v>1033</v>
      </c>
      <c r="K746" s="2">
        <v>1</v>
      </c>
      <c r="L746" s="2" t="s">
        <v>39</v>
      </c>
      <c r="M746" s="2">
        <v>61</v>
      </c>
      <c r="N746" s="2">
        <v>1</v>
      </c>
      <c r="O746" s="2">
        <v>2</v>
      </c>
      <c r="P746" s="2" t="s">
        <v>54</v>
      </c>
      <c r="Q746" s="2">
        <v>2</v>
      </c>
      <c r="R746" s="2" t="s">
        <v>48</v>
      </c>
      <c r="S746" s="2">
        <v>4777</v>
      </c>
      <c r="T746" s="2">
        <v>14382</v>
      </c>
      <c r="U746" s="2">
        <v>5</v>
      </c>
      <c r="V746" s="2" t="s">
        <v>42</v>
      </c>
      <c r="W746" s="2" t="s">
        <v>43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</row>
    <row r="747" spans="1:35" x14ac:dyDescent="0.25">
      <c r="A747" s="2">
        <v>55</v>
      </c>
      <c r="B747" s="2" t="s">
        <v>43</v>
      </c>
      <c r="C747" s="2" t="s">
        <v>44</v>
      </c>
      <c r="D747" s="2">
        <v>135</v>
      </c>
      <c r="E747" s="2" t="s">
        <v>45</v>
      </c>
      <c r="F747" s="2">
        <v>18</v>
      </c>
      <c r="G747" s="2">
        <v>4</v>
      </c>
      <c r="H747" s="2" t="s">
        <v>51</v>
      </c>
      <c r="I747" s="2">
        <v>1</v>
      </c>
      <c r="J747" s="2">
        <v>1034</v>
      </c>
      <c r="K747" s="2">
        <v>3</v>
      </c>
      <c r="L747" s="2" t="s">
        <v>46</v>
      </c>
      <c r="M747" s="2">
        <v>62</v>
      </c>
      <c r="N747" s="2">
        <v>3</v>
      </c>
      <c r="O747" s="2">
        <v>2</v>
      </c>
      <c r="P747" s="2" t="s">
        <v>54</v>
      </c>
      <c r="Q747" s="2">
        <v>2</v>
      </c>
      <c r="R747" s="2" t="s">
        <v>48</v>
      </c>
      <c r="S747" s="2">
        <v>6385</v>
      </c>
      <c r="T747" s="2">
        <v>12992</v>
      </c>
      <c r="U747" s="2">
        <v>3</v>
      </c>
      <c r="V747" s="2" t="s">
        <v>42</v>
      </c>
      <c r="W747" s="2" t="s">
        <v>35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</row>
    <row r="748" spans="1:35" x14ac:dyDescent="0.25">
      <c r="A748" s="2">
        <v>41</v>
      </c>
      <c r="B748" s="2" t="s">
        <v>43</v>
      </c>
      <c r="C748" s="2" t="s">
        <v>55</v>
      </c>
      <c r="D748" s="2">
        <v>247</v>
      </c>
      <c r="E748" s="2" t="s">
        <v>45</v>
      </c>
      <c r="F748" s="2">
        <v>7</v>
      </c>
      <c r="G748" s="2">
        <v>1</v>
      </c>
      <c r="H748" s="2" t="s">
        <v>38</v>
      </c>
      <c r="I748" s="2">
        <v>1</v>
      </c>
      <c r="J748" s="2">
        <v>1035</v>
      </c>
      <c r="K748" s="2">
        <v>2</v>
      </c>
      <c r="L748" s="2" t="s">
        <v>39</v>
      </c>
      <c r="M748" s="2">
        <v>55</v>
      </c>
      <c r="N748" s="2">
        <v>1</v>
      </c>
      <c r="O748" s="2">
        <v>5</v>
      </c>
      <c r="P748" s="2" t="s">
        <v>58</v>
      </c>
      <c r="Q748" s="2">
        <v>3</v>
      </c>
      <c r="R748" s="2" t="s">
        <v>52</v>
      </c>
      <c r="S748" s="2">
        <v>19973</v>
      </c>
      <c r="T748" s="2">
        <v>20284</v>
      </c>
      <c r="U748" s="2">
        <v>1</v>
      </c>
      <c r="V748" s="2" t="s">
        <v>42</v>
      </c>
      <c r="W748" s="2" t="s">
        <v>43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</row>
    <row r="749" spans="1:35" x14ac:dyDescent="0.25">
      <c r="A749" s="2">
        <v>38</v>
      </c>
      <c r="B749" s="2" t="s">
        <v>43</v>
      </c>
      <c r="C749" s="2" t="s">
        <v>36</v>
      </c>
      <c r="D749" s="2">
        <v>1035</v>
      </c>
      <c r="E749" s="2" t="s">
        <v>37</v>
      </c>
      <c r="F749" s="2">
        <v>3</v>
      </c>
      <c r="G749" s="2">
        <v>4</v>
      </c>
      <c r="H749" s="2" t="s">
        <v>38</v>
      </c>
      <c r="I749" s="2">
        <v>1</v>
      </c>
      <c r="J749" s="2">
        <v>1036</v>
      </c>
      <c r="K749" s="2">
        <v>2</v>
      </c>
      <c r="L749" s="2" t="s">
        <v>46</v>
      </c>
      <c r="M749" s="2">
        <v>42</v>
      </c>
      <c r="N749" s="2">
        <v>3</v>
      </c>
      <c r="O749" s="2">
        <v>2</v>
      </c>
      <c r="P749" s="2" t="s">
        <v>40</v>
      </c>
      <c r="Q749" s="2">
        <v>4</v>
      </c>
      <c r="R749" s="2" t="s">
        <v>41</v>
      </c>
      <c r="S749" s="2">
        <v>6861</v>
      </c>
      <c r="T749" s="2">
        <v>4981</v>
      </c>
      <c r="U749" s="2">
        <v>8</v>
      </c>
      <c r="V749" s="2" t="s">
        <v>42</v>
      </c>
      <c r="W749" s="2" t="s">
        <v>35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</row>
    <row r="750" spans="1:35" x14ac:dyDescent="0.25">
      <c r="A750" s="2">
        <v>26</v>
      </c>
      <c r="B750" s="2" t="s">
        <v>35</v>
      </c>
      <c r="C750" s="2" t="s">
        <v>55</v>
      </c>
      <c r="D750" s="2">
        <v>265</v>
      </c>
      <c r="E750" s="2" t="s">
        <v>37</v>
      </c>
      <c r="F750" s="2">
        <v>29</v>
      </c>
      <c r="G750" s="2">
        <v>2</v>
      </c>
      <c r="H750" s="2" t="s">
        <v>51</v>
      </c>
      <c r="I750" s="2">
        <v>1</v>
      </c>
      <c r="J750" s="2">
        <v>1037</v>
      </c>
      <c r="K750" s="2">
        <v>2</v>
      </c>
      <c r="L750" s="2" t="s">
        <v>46</v>
      </c>
      <c r="M750" s="2">
        <v>79</v>
      </c>
      <c r="N750" s="2">
        <v>1</v>
      </c>
      <c r="O750" s="2">
        <v>2</v>
      </c>
      <c r="P750" s="2" t="s">
        <v>40</v>
      </c>
      <c r="Q750" s="2">
        <v>1</v>
      </c>
      <c r="R750" s="2" t="s">
        <v>41</v>
      </c>
      <c r="S750" s="2">
        <v>4969</v>
      </c>
      <c r="T750" s="2">
        <v>21813</v>
      </c>
      <c r="U750" s="2">
        <v>8</v>
      </c>
      <c r="V750" s="2" t="s">
        <v>42</v>
      </c>
      <c r="W750" s="2" t="s">
        <v>43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</row>
    <row r="751" spans="1:35" x14ac:dyDescent="0.25">
      <c r="A751" s="2">
        <v>52</v>
      </c>
      <c r="B751" s="2" t="s">
        <v>35</v>
      </c>
      <c r="C751" s="2" t="s">
        <v>36</v>
      </c>
      <c r="D751" s="2">
        <v>266</v>
      </c>
      <c r="E751" s="2" t="s">
        <v>37</v>
      </c>
      <c r="F751" s="2">
        <v>2</v>
      </c>
      <c r="G751" s="2">
        <v>1</v>
      </c>
      <c r="H751" s="2" t="s">
        <v>59</v>
      </c>
      <c r="I751" s="2">
        <v>1</v>
      </c>
      <c r="J751" s="2">
        <v>1038</v>
      </c>
      <c r="K751" s="2">
        <v>1</v>
      </c>
      <c r="L751" s="2" t="s">
        <v>39</v>
      </c>
      <c r="M751" s="2">
        <v>57</v>
      </c>
      <c r="N751" s="2">
        <v>1</v>
      </c>
      <c r="O751" s="2">
        <v>5</v>
      </c>
      <c r="P751" s="2" t="s">
        <v>56</v>
      </c>
      <c r="Q751" s="2">
        <v>4</v>
      </c>
      <c r="R751" s="2" t="s">
        <v>48</v>
      </c>
      <c r="S751" s="2">
        <v>19845</v>
      </c>
      <c r="T751" s="2">
        <v>25846</v>
      </c>
      <c r="U751" s="2">
        <v>1</v>
      </c>
      <c r="V751" s="2" t="s">
        <v>42</v>
      </c>
      <c r="W751" s="2" t="s">
        <v>43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</row>
    <row r="752" spans="1:35" x14ac:dyDescent="0.25">
      <c r="A752" s="2">
        <v>44</v>
      </c>
      <c r="B752" s="2" t="s">
        <v>43</v>
      </c>
      <c r="C752" s="2" t="s">
        <v>36</v>
      </c>
      <c r="D752" s="2">
        <v>1448</v>
      </c>
      <c r="E752" s="2" t="s">
        <v>37</v>
      </c>
      <c r="F752" s="2">
        <v>28</v>
      </c>
      <c r="G752" s="2">
        <v>3</v>
      </c>
      <c r="H752" s="2" t="s">
        <v>51</v>
      </c>
      <c r="I752" s="2">
        <v>1</v>
      </c>
      <c r="J752" s="2">
        <v>1039</v>
      </c>
      <c r="K752" s="2">
        <v>4</v>
      </c>
      <c r="L752" s="2" t="s">
        <v>39</v>
      </c>
      <c r="M752" s="2">
        <v>53</v>
      </c>
      <c r="N752" s="2">
        <v>4</v>
      </c>
      <c r="O752" s="2">
        <v>4</v>
      </c>
      <c r="P752" s="2" t="s">
        <v>40</v>
      </c>
      <c r="Q752" s="2">
        <v>4</v>
      </c>
      <c r="R752" s="2" t="s">
        <v>48</v>
      </c>
      <c r="S752" s="2">
        <v>13320</v>
      </c>
      <c r="T752" s="2">
        <v>11737</v>
      </c>
      <c r="U752" s="2">
        <v>3</v>
      </c>
      <c r="V752" s="2" t="s">
        <v>42</v>
      </c>
      <c r="W752" s="2" t="s">
        <v>35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</row>
    <row r="753" spans="1:35" x14ac:dyDescent="0.25">
      <c r="A753" s="2">
        <v>50</v>
      </c>
      <c r="B753" s="2" t="s">
        <v>43</v>
      </c>
      <c r="C753" s="2" t="s">
        <v>55</v>
      </c>
      <c r="D753" s="2">
        <v>145</v>
      </c>
      <c r="E753" s="2" t="s">
        <v>37</v>
      </c>
      <c r="F753" s="2">
        <v>1</v>
      </c>
      <c r="G753" s="2">
        <v>3</v>
      </c>
      <c r="H753" s="2" t="s">
        <v>38</v>
      </c>
      <c r="I753" s="2">
        <v>1</v>
      </c>
      <c r="J753" s="2">
        <v>1040</v>
      </c>
      <c r="K753" s="2">
        <v>4</v>
      </c>
      <c r="L753" s="2" t="s">
        <v>39</v>
      </c>
      <c r="M753" s="2">
        <v>95</v>
      </c>
      <c r="N753" s="2">
        <v>3</v>
      </c>
      <c r="O753" s="2">
        <v>2</v>
      </c>
      <c r="P753" s="2" t="s">
        <v>40</v>
      </c>
      <c r="Q753" s="2">
        <v>3</v>
      </c>
      <c r="R753" s="2" t="s">
        <v>48</v>
      </c>
      <c r="S753" s="2">
        <v>6347</v>
      </c>
      <c r="T753" s="2">
        <v>24920</v>
      </c>
      <c r="U753" s="2">
        <v>0</v>
      </c>
      <c r="V753" s="2" t="s">
        <v>42</v>
      </c>
      <c r="W753" s="2" t="s">
        <v>43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</row>
    <row r="754" spans="1:35" x14ac:dyDescent="0.25">
      <c r="A754" s="2">
        <v>36</v>
      </c>
      <c r="B754" s="2" t="s">
        <v>35</v>
      </c>
      <c r="C754" s="2" t="s">
        <v>36</v>
      </c>
      <c r="D754" s="2">
        <v>885</v>
      </c>
      <c r="E754" s="2" t="s">
        <v>45</v>
      </c>
      <c r="F754" s="2">
        <v>16</v>
      </c>
      <c r="G754" s="2">
        <v>4</v>
      </c>
      <c r="H754" s="2" t="s">
        <v>38</v>
      </c>
      <c r="I754" s="2">
        <v>1</v>
      </c>
      <c r="J754" s="2">
        <v>1042</v>
      </c>
      <c r="K754" s="2">
        <v>3</v>
      </c>
      <c r="L754" s="2" t="s">
        <v>39</v>
      </c>
      <c r="M754" s="2">
        <v>43</v>
      </c>
      <c r="N754" s="2">
        <v>4</v>
      </c>
      <c r="O754" s="2">
        <v>1</v>
      </c>
      <c r="P754" s="2" t="s">
        <v>50</v>
      </c>
      <c r="Q754" s="2">
        <v>1</v>
      </c>
      <c r="R754" s="2" t="s">
        <v>41</v>
      </c>
      <c r="S754" s="2">
        <v>2743</v>
      </c>
      <c r="T754" s="2">
        <v>8269</v>
      </c>
      <c r="U754" s="2">
        <v>1</v>
      </c>
      <c r="V754" s="2" t="s">
        <v>42</v>
      </c>
      <c r="W754" s="2" t="s">
        <v>43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</row>
    <row r="755" spans="1:35" x14ac:dyDescent="0.25">
      <c r="A755" s="2">
        <v>39</v>
      </c>
      <c r="B755" s="2" t="s">
        <v>43</v>
      </c>
      <c r="C755" s="2" t="s">
        <v>44</v>
      </c>
      <c r="D755" s="2">
        <v>945</v>
      </c>
      <c r="E755" s="2" t="s">
        <v>45</v>
      </c>
      <c r="F755" s="2">
        <v>22</v>
      </c>
      <c r="G755" s="2">
        <v>3</v>
      </c>
      <c r="H755" s="2" t="s">
        <v>51</v>
      </c>
      <c r="I755" s="2">
        <v>1</v>
      </c>
      <c r="J755" s="2">
        <v>1043</v>
      </c>
      <c r="K755" s="2">
        <v>4</v>
      </c>
      <c r="L755" s="2" t="s">
        <v>39</v>
      </c>
      <c r="M755" s="2">
        <v>82</v>
      </c>
      <c r="N755" s="2">
        <v>3</v>
      </c>
      <c r="O755" s="2">
        <v>3</v>
      </c>
      <c r="P755" s="2" t="s">
        <v>53</v>
      </c>
      <c r="Q755" s="2">
        <v>1</v>
      </c>
      <c r="R755" s="2" t="s">
        <v>41</v>
      </c>
      <c r="S755" s="2">
        <v>10880</v>
      </c>
      <c r="T755" s="2">
        <v>5083</v>
      </c>
      <c r="U755" s="2">
        <v>1</v>
      </c>
      <c r="V755" s="2" t="s">
        <v>42</v>
      </c>
      <c r="W755" s="2" t="s">
        <v>35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</row>
    <row r="756" spans="1:35" x14ac:dyDescent="0.25">
      <c r="A756" s="2">
        <v>33</v>
      </c>
      <c r="B756" s="2" t="s">
        <v>43</v>
      </c>
      <c r="C756" s="2" t="s">
        <v>55</v>
      </c>
      <c r="D756" s="2">
        <v>1038</v>
      </c>
      <c r="E756" s="2" t="s">
        <v>37</v>
      </c>
      <c r="F756" s="2">
        <v>8</v>
      </c>
      <c r="G756" s="2">
        <v>1</v>
      </c>
      <c r="H756" s="2" t="s">
        <v>38</v>
      </c>
      <c r="I756" s="2">
        <v>1</v>
      </c>
      <c r="J756" s="2">
        <v>1044</v>
      </c>
      <c r="K756" s="2">
        <v>2</v>
      </c>
      <c r="L756" s="2" t="s">
        <v>39</v>
      </c>
      <c r="M756" s="2">
        <v>88</v>
      </c>
      <c r="N756" s="2">
        <v>2</v>
      </c>
      <c r="O756" s="2">
        <v>1</v>
      </c>
      <c r="P756" s="2" t="s">
        <v>57</v>
      </c>
      <c r="Q756" s="2">
        <v>4</v>
      </c>
      <c r="R756" s="2" t="s">
        <v>41</v>
      </c>
      <c r="S756" s="2">
        <v>2342</v>
      </c>
      <c r="T756" s="2">
        <v>21437</v>
      </c>
      <c r="U756" s="2">
        <v>0</v>
      </c>
      <c r="V756" s="2" t="s">
        <v>42</v>
      </c>
      <c r="W756" s="2" t="s">
        <v>43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</row>
    <row r="757" spans="1:35" x14ac:dyDescent="0.25">
      <c r="A757" s="2">
        <v>45</v>
      </c>
      <c r="B757" s="2" t="s">
        <v>43</v>
      </c>
      <c r="C757" s="2" t="s">
        <v>36</v>
      </c>
      <c r="D757" s="2">
        <v>1234</v>
      </c>
      <c r="E757" s="2" t="s">
        <v>37</v>
      </c>
      <c r="F757" s="2">
        <v>11</v>
      </c>
      <c r="G757" s="2">
        <v>2</v>
      </c>
      <c r="H757" s="2" t="s">
        <v>38</v>
      </c>
      <c r="I757" s="2">
        <v>1</v>
      </c>
      <c r="J757" s="2">
        <v>1045</v>
      </c>
      <c r="K757" s="2">
        <v>4</v>
      </c>
      <c r="L757" s="2" t="s">
        <v>39</v>
      </c>
      <c r="M757" s="2">
        <v>90</v>
      </c>
      <c r="N757" s="2">
        <v>3</v>
      </c>
      <c r="O757" s="2">
        <v>4</v>
      </c>
      <c r="P757" s="2" t="s">
        <v>56</v>
      </c>
      <c r="Q757" s="2">
        <v>4</v>
      </c>
      <c r="R757" s="2" t="s">
        <v>48</v>
      </c>
      <c r="S757" s="2">
        <v>17650</v>
      </c>
      <c r="T757" s="2">
        <v>5404</v>
      </c>
      <c r="U757" s="2">
        <v>3</v>
      </c>
      <c r="V757" s="2" t="s">
        <v>42</v>
      </c>
      <c r="W757" s="2" t="s">
        <v>43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</row>
    <row r="758" spans="1:35" x14ac:dyDescent="0.25">
      <c r="A758" s="2">
        <v>32</v>
      </c>
      <c r="B758" s="2" t="s">
        <v>43</v>
      </c>
      <c r="C758" s="2" t="s">
        <v>55</v>
      </c>
      <c r="D758" s="2">
        <v>1109</v>
      </c>
      <c r="E758" s="2" t="s">
        <v>45</v>
      </c>
      <c r="F758" s="2">
        <v>29</v>
      </c>
      <c r="G758" s="2">
        <v>4</v>
      </c>
      <c r="H758" s="2" t="s">
        <v>51</v>
      </c>
      <c r="I758" s="2">
        <v>1</v>
      </c>
      <c r="J758" s="2">
        <v>1046</v>
      </c>
      <c r="K758" s="2">
        <v>4</v>
      </c>
      <c r="L758" s="2" t="s">
        <v>39</v>
      </c>
      <c r="M758" s="2">
        <v>69</v>
      </c>
      <c r="N758" s="2">
        <v>3</v>
      </c>
      <c r="O758" s="2">
        <v>1</v>
      </c>
      <c r="P758" s="2" t="s">
        <v>50</v>
      </c>
      <c r="Q758" s="2">
        <v>3</v>
      </c>
      <c r="R758" s="2" t="s">
        <v>41</v>
      </c>
      <c r="S758" s="2">
        <v>4025</v>
      </c>
      <c r="T758" s="2">
        <v>11135</v>
      </c>
      <c r="U758" s="2">
        <v>9</v>
      </c>
      <c r="V758" s="2" t="s">
        <v>42</v>
      </c>
      <c r="W758" s="2" t="s">
        <v>43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</row>
    <row r="759" spans="1:35" x14ac:dyDescent="0.25">
      <c r="A759" s="2">
        <v>34</v>
      </c>
      <c r="B759" s="2" t="s">
        <v>43</v>
      </c>
      <c r="C759" s="2" t="s">
        <v>36</v>
      </c>
      <c r="D759" s="2">
        <v>216</v>
      </c>
      <c r="E759" s="2" t="s">
        <v>37</v>
      </c>
      <c r="F759" s="2">
        <v>1</v>
      </c>
      <c r="G759" s="2">
        <v>4</v>
      </c>
      <c r="H759" s="2" t="s">
        <v>59</v>
      </c>
      <c r="I759" s="2">
        <v>1</v>
      </c>
      <c r="J759" s="2">
        <v>1047</v>
      </c>
      <c r="K759" s="2">
        <v>2</v>
      </c>
      <c r="L759" s="2" t="s">
        <v>46</v>
      </c>
      <c r="M759" s="2">
        <v>75</v>
      </c>
      <c r="N759" s="2">
        <v>4</v>
      </c>
      <c r="O759" s="2">
        <v>2</v>
      </c>
      <c r="P759" s="2" t="s">
        <v>40</v>
      </c>
      <c r="Q759" s="2">
        <v>4</v>
      </c>
      <c r="R759" s="2" t="s">
        <v>52</v>
      </c>
      <c r="S759" s="2">
        <v>9725</v>
      </c>
      <c r="T759" s="2">
        <v>12278</v>
      </c>
      <c r="U759" s="2">
        <v>0</v>
      </c>
      <c r="V759" s="2" t="s">
        <v>42</v>
      </c>
      <c r="W759" s="2" t="s">
        <v>43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</row>
    <row r="760" spans="1:35" x14ac:dyDescent="0.25">
      <c r="A760" s="2">
        <v>59</v>
      </c>
      <c r="B760" s="2" t="s">
        <v>43</v>
      </c>
      <c r="C760" s="2" t="s">
        <v>36</v>
      </c>
      <c r="D760" s="2">
        <v>1089</v>
      </c>
      <c r="E760" s="2" t="s">
        <v>37</v>
      </c>
      <c r="F760" s="2">
        <v>1</v>
      </c>
      <c r="G760" s="2">
        <v>2</v>
      </c>
      <c r="H760" s="2" t="s">
        <v>60</v>
      </c>
      <c r="I760" s="2">
        <v>1</v>
      </c>
      <c r="J760" s="2">
        <v>1048</v>
      </c>
      <c r="K760" s="2">
        <v>2</v>
      </c>
      <c r="L760" s="2" t="s">
        <v>46</v>
      </c>
      <c r="M760" s="2">
        <v>66</v>
      </c>
      <c r="N760" s="2">
        <v>3</v>
      </c>
      <c r="O760" s="2">
        <v>3</v>
      </c>
      <c r="P760" s="2" t="s">
        <v>56</v>
      </c>
      <c r="Q760" s="2">
        <v>4</v>
      </c>
      <c r="R760" s="2" t="s">
        <v>48</v>
      </c>
      <c r="S760" s="2">
        <v>11904</v>
      </c>
      <c r="T760" s="2">
        <v>11038</v>
      </c>
      <c r="U760" s="2">
        <v>3</v>
      </c>
      <c r="V760" s="2" t="s">
        <v>42</v>
      </c>
      <c r="W760" s="2" t="s">
        <v>35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</row>
    <row r="761" spans="1:35" x14ac:dyDescent="0.25">
      <c r="A761" s="2">
        <v>45</v>
      </c>
      <c r="B761" s="2" t="s">
        <v>43</v>
      </c>
      <c r="C761" s="2" t="s">
        <v>36</v>
      </c>
      <c r="D761" s="2">
        <v>788</v>
      </c>
      <c r="E761" s="2" t="s">
        <v>61</v>
      </c>
      <c r="F761" s="2">
        <v>24</v>
      </c>
      <c r="G761" s="2">
        <v>4</v>
      </c>
      <c r="H761" s="2" t="s">
        <v>51</v>
      </c>
      <c r="I761" s="2">
        <v>1</v>
      </c>
      <c r="J761" s="2">
        <v>1049</v>
      </c>
      <c r="K761" s="2">
        <v>2</v>
      </c>
      <c r="L761" s="2" t="s">
        <v>46</v>
      </c>
      <c r="M761" s="2">
        <v>36</v>
      </c>
      <c r="N761" s="2">
        <v>3</v>
      </c>
      <c r="O761" s="2">
        <v>1</v>
      </c>
      <c r="P761" s="2" t="s">
        <v>61</v>
      </c>
      <c r="Q761" s="2">
        <v>2</v>
      </c>
      <c r="R761" s="2" t="s">
        <v>41</v>
      </c>
      <c r="S761" s="2">
        <v>2177</v>
      </c>
      <c r="T761" s="2">
        <v>8318</v>
      </c>
      <c r="U761" s="2">
        <v>1</v>
      </c>
      <c r="V761" s="2" t="s">
        <v>42</v>
      </c>
      <c r="W761" s="2" t="s">
        <v>43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</row>
    <row r="762" spans="1:35" x14ac:dyDescent="0.25">
      <c r="A762" s="2">
        <v>53</v>
      </c>
      <c r="B762" s="2" t="s">
        <v>43</v>
      </c>
      <c r="C762" s="2" t="s">
        <v>44</v>
      </c>
      <c r="D762" s="2">
        <v>124</v>
      </c>
      <c r="E762" s="2" t="s">
        <v>37</v>
      </c>
      <c r="F762" s="2">
        <v>2</v>
      </c>
      <c r="G762" s="2">
        <v>3</v>
      </c>
      <c r="H762" s="2" t="s">
        <v>59</v>
      </c>
      <c r="I762" s="2">
        <v>1</v>
      </c>
      <c r="J762" s="2">
        <v>1050</v>
      </c>
      <c r="K762" s="2">
        <v>3</v>
      </c>
      <c r="L762" s="2" t="s">
        <v>39</v>
      </c>
      <c r="M762" s="2">
        <v>38</v>
      </c>
      <c r="N762" s="2">
        <v>2</v>
      </c>
      <c r="O762" s="2">
        <v>3</v>
      </c>
      <c r="P762" s="2" t="s">
        <v>40</v>
      </c>
      <c r="Q762" s="2">
        <v>2</v>
      </c>
      <c r="R762" s="2" t="s">
        <v>48</v>
      </c>
      <c r="S762" s="2">
        <v>7525</v>
      </c>
      <c r="T762" s="2">
        <v>23537</v>
      </c>
      <c r="U762" s="2">
        <v>2</v>
      </c>
      <c r="V762" s="2" t="s">
        <v>42</v>
      </c>
      <c r="W762" s="2" t="s">
        <v>43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</row>
    <row r="763" spans="1:35" x14ac:dyDescent="0.25">
      <c r="A763" s="2">
        <v>36</v>
      </c>
      <c r="B763" s="2" t="s">
        <v>35</v>
      </c>
      <c r="C763" s="2" t="s">
        <v>36</v>
      </c>
      <c r="D763" s="2">
        <v>660</v>
      </c>
      <c r="E763" s="2" t="s">
        <v>45</v>
      </c>
      <c r="F763" s="2">
        <v>15</v>
      </c>
      <c r="G763" s="2">
        <v>3</v>
      </c>
      <c r="H763" s="2" t="s">
        <v>49</v>
      </c>
      <c r="I763" s="2">
        <v>1</v>
      </c>
      <c r="J763" s="2">
        <v>1052</v>
      </c>
      <c r="K763" s="2">
        <v>1</v>
      </c>
      <c r="L763" s="2" t="s">
        <v>46</v>
      </c>
      <c r="M763" s="2">
        <v>81</v>
      </c>
      <c r="N763" s="2">
        <v>3</v>
      </c>
      <c r="O763" s="2">
        <v>2</v>
      </c>
      <c r="P763" s="2" t="s">
        <v>50</v>
      </c>
      <c r="Q763" s="2">
        <v>3</v>
      </c>
      <c r="R763" s="2" t="s">
        <v>52</v>
      </c>
      <c r="S763" s="2">
        <v>4834</v>
      </c>
      <c r="T763" s="2">
        <v>7858</v>
      </c>
      <c r="U763" s="2">
        <v>7</v>
      </c>
      <c r="V763" s="2" t="s">
        <v>42</v>
      </c>
      <c r="W763" s="2" t="s">
        <v>43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</row>
    <row r="764" spans="1:35" x14ac:dyDescent="0.25">
      <c r="A764" s="2">
        <v>26</v>
      </c>
      <c r="B764" s="2" t="s">
        <v>35</v>
      </c>
      <c r="C764" s="2" t="s">
        <v>44</v>
      </c>
      <c r="D764" s="2">
        <v>342</v>
      </c>
      <c r="E764" s="2" t="s">
        <v>45</v>
      </c>
      <c r="F764" s="2">
        <v>2</v>
      </c>
      <c r="G764" s="2">
        <v>3</v>
      </c>
      <c r="H764" s="2" t="s">
        <v>38</v>
      </c>
      <c r="I764" s="2">
        <v>1</v>
      </c>
      <c r="J764" s="2">
        <v>1053</v>
      </c>
      <c r="K764" s="2">
        <v>1</v>
      </c>
      <c r="L764" s="2" t="s">
        <v>46</v>
      </c>
      <c r="M764" s="2">
        <v>57</v>
      </c>
      <c r="N764" s="2">
        <v>3</v>
      </c>
      <c r="O764" s="2">
        <v>1</v>
      </c>
      <c r="P764" s="2" t="s">
        <v>47</v>
      </c>
      <c r="Q764" s="2">
        <v>1</v>
      </c>
      <c r="R764" s="2" t="s">
        <v>48</v>
      </c>
      <c r="S764" s="2">
        <v>2042</v>
      </c>
      <c r="T764" s="2">
        <v>15346</v>
      </c>
      <c r="U764" s="2">
        <v>6</v>
      </c>
      <c r="V764" s="2" t="s">
        <v>42</v>
      </c>
      <c r="W764" s="2" t="s">
        <v>35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</row>
    <row r="765" spans="1:35" x14ac:dyDescent="0.25">
      <c r="A765" s="2">
        <v>34</v>
      </c>
      <c r="B765" s="2" t="s">
        <v>43</v>
      </c>
      <c r="C765" s="2" t="s">
        <v>36</v>
      </c>
      <c r="D765" s="2">
        <v>1333</v>
      </c>
      <c r="E765" s="2" t="s">
        <v>37</v>
      </c>
      <c r="F765" s="2">
        <v>10</v>
      </c>
      <c r="G765" s="2">
        <v>4</v>
      </c>
      <c r="H765" s="2" t="s">
        <v>38</v>
      </c>
      <c r="I765" s="2">
        <v>1</v>
      </c>
      <c r="J765" s="2">
        <v>1055</v>
      </c>
      <c r="K765" s="2">
        <v>3</v>
      </c>
      <c r="L765" s="2" t="s">
        <v>39</v>
      </c>
      <c r="M765" s="2">
        <v>87</v>
      </c>
      <c r="N765" s="2">
        <v>3</v>
      </c>
      <c r="O765" s="2">
        <v>1</v>
      </c>
      <c r="P765" s="2" t="s">
        <v>57</v>
      </c>
      <c r="Q765" s="2">
        <v>3</v>
      </c>
      <c r="R765" s="2" t="s">
        <v>48</v>
      </c>
      <c r="S765" s="2">
        <v>2220</v>
      </c>
      <c r="T765" s="2">
        <v>18410</v>
      </c>
      <c r="U765" s="2">
        <v>1</v>
      </c>
      <c r="V765" s="2" t="s">
        <v>42</v>
      </c>
      <c r="W765" s="2" t="s">
        <v>35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</row>
    <row r="766" spans="1:35" x14ac:dyDescent="0.25">
      <c r="A766" s="2">
        <v>28</v>
      </c>
      <c r="B766" s="2" t="s">
        <v>43</v>
      </c>
      <c r="C766" s="2" t="s">
        <v>36</v>
      </c>
      <c r="D766" s="2">
        <v>1144</v>
      </c>
      <c r="E766" s="2" t="s">
        <v>37</v>
      </c>
      <c r="F766" s="2">
        <v>10</v>
      </c>
      <c r="G766" s="2">
        <v>1</v>
      </c>
      <c r="H766" s="2" t="s">
        <v>51</v>
      </c>
      <c r="I766" s="2">
        <v>1</v>
      </c>
      <c r="J766" s="2">
        <v>1056</v>
      </c>
      <c r="K766" s="2">
        <v>4</v>
      </c>
      <c r="L766" s="2" t="s">
        <v>46</v>
      </c>
      <c r="M766" s="2">
        <v>74</v>
      </c>
      <c r="N766" s="2">
        <v>3</v>
      </c>
      <c r="O766" s="2">
        <v>1</v>
      </c>
      <c r="P766" s="2" t="s">
        <v>57</v>
      </c>
      <c r="Q766" s="2">
        <v>2</v>
      </c>
      <c r="R766" s="2" t="s">
        <v>48</v>
      </c>
      <c r="S766" s="2">
        <v>1052</v>
      </c>
      <c r="T766" s="2">
        <v>23384</v>
      </c>
      <c r="U766" s="2">
        <v>1</v>
      </c>
      <c r="V766" s="2" t="s">
        <v>42</v>
      </c>
      <c r="W766" s="2" t="s">
        <v>43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</row>
    <row r="767" spans="1:35" x14ac:dyDescent="0.25">
      <c r="A767" s="2">
        <v>38</v>
      </c>
      <c r="B767" s="2" t="s">
        <v>43</v>
      </c>
      <c r="C767" s="2" t="s">
        <v>44</v>
      </c>
      <c r="D767" s="2">
        <v>1186</v>
      </c>
      <c r="E767" s="2" t="s">
        <v>45</v>
      </c>
      <c r="F767" s="2">
        <v>3</v>
      </c>
      <c r="G767" s="2">
        <v>4</v>
      </c>
      <c r="H767" s="2" t="s">
        <v>49</v>
      </c>
      <c r="I767" s="2">
        <v>1</v>
      </c>
      <c r="J767" s="2">
        <v>1060</v>
      </c>
      <c r="K767" s="2">
        <v>3</v>
      </c>
      <c r="L767" s="2" t="s">
        <v>46</v>
      </c>
      <c r="M767" s="2">
        <v>44</v>
      </c>
      <c r="N767" s="2">
        <v>3</v>
      </c>
      <c r="O767" s="2">
        <v>1</v>
      </c>
      <c r="P767" s="2" t="s">
        <v>47</v>
      </c>
      <c r="Q767" s="2">
        <v>3</v>
      </c>
      <c r="R767" s="2" t="s">
        <v>48</v>
      </c>
      <c r="S767" s="2">
        <v>2821</v>
      </c>
      <c r="T767" s="2">
        <v>2997</v>
      </c>
      <c r="U767" s="2">
        <v>3</v>
      </c>
      <c r="V767" s="2" t="s">
        <v>42</v>
      </c>
      <c r="W767" s="2" t="s">
        <v>43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</row>
    <row r="768" spans="1:35" x14ac:dyDescent="0.25">
      <c r="A768" s="2">
        <v>50</v>
      </c>
      <c r="B768" s="2" t="s">
        <v>43</v>
      </c>
      <c r="C768" s="2" t="s">
        <v>36</v>
      </c>
      <c r="D768" s="2">
        <v>1464</v>
      </c>
      <c r="E768" s="2" t="s">
        <v>45</v>
      </c>
      <c r="F768" s="2">
        <v>2</v>
      </c>
      <c r="G768" s="2">
        <v>4</v>
      </c>
      <c r="H768" s="2" t="s">
        <v>51</v>
      </c>
      <c r="I768" s="2">
        <v>1</v>
      </c>
      <c r="J768" s="2">
        <v>1061</v>
      </c>
      <c r="K768" s="2">
        <v>2</v>
      </c>
      <c r="L768" s="2" t="s">
        <v>46</v>
      </c>
      <c r="M768" s="2">
        <v>62</v>
      </c>
      <c r="N768" s="2">
        <v>3</v>
      </c>
      <c r="O768" s="2">
        <v>5</v>
      </c>
      <c r="P768" s="2" t="s">
        <v>58</v>
      </c>
      <c r="Q768" s="2">
        <v>3</v>
      </c>
      <c r="R768" s="2" t="s">
        <v>48</v>
      </c>
      <c r="S768" s="2">
        <v>19237</v>
      </c>
      <c r="T768" s="2">
        <v>12853</v>
      </c>
      <c r="U768" s="2">
        <v>2</v>
      </c>
      <c r="V768" s="2" t="s">
        <v>42</v>
      </c>
      <c r="W768" s="2" t="s">
        <v>35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</row>
    <row r="769" spans="1:35" x14ac:dyDescent="0.25">
      <c r="A769" s="2">
        <v>37</v>
      </c>
      <c r="B769" s="2" t="s">
        <v>43</v>
      </c>
      <c r="C769" s="2" t="s">
        <v>36</v>
      </c>
      <c r="D769" s="2">
        <v>124</v>
      </c>
      <c r="E769" s="2" t="s">
        <v>45</v>
      </c>
      <c r="F769" s="2">
        <v>3</v>
      </c>
      <c r="G769" s="2">
        <v>3</v>
      </c>
      <c r="H769" s="2" t="s">
        <v>49</v>
      </c>
      <c r="I769" s="2">
        <v>1</v>
      </c>
      <c r="J769" s="2">
        <v>1062</v>
      </c>
      <c r="K769" s="2">
        <v>4</v>
      </c>
      <c r="L769" s="2" t="s">
        <v>39</v>
      </c>
      <c r="M769" s="2">
        <v>35</v>
      </c>
      <c r="N769" s="2">
        <v>3</v>
      </c>
      <c r="O769" s="2">
        <v>2</v>
      </c>
      <c r="P769" s="2" t="s">
        <v>54</v>
      </c>
      <c r="Q769" s="2">
        <v>2</v>
      </c>
      <c r="R769" s="2" t="s">
        <v>41</v>
      </c>
      <c r="S769" s="2">
        <v>4107</v>
      </c>
      <c r="T769" s="2">
        <v>13848</v>
      </c>
      <c r="U769" s="2">
        <v>3</v>
      </c>
      <c r="V769" s="2" t="s">
        <v>42</v>
      </c>
      <c r="W769" s="2" t="s">
        <v>43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</row>
    <row r="770" spans="1:35" x14ac:dyDescent="0.25">
      <c r="A770" s="2">
        <v>40</v>
      </c>
      <c r="B770" s="2" t="s">
        <v>43</v>
      </c>
      <c r="C770" s="2" t="s">
        <v>36</v>
      </c>
      <c r="D770" s="2">
        <v>300</v>
      </c>
      <c r="E770" s="2" t="s">
        <v>37</v>
      </c>
      <c r="F770" s="2">
        <v>26</v>
      </c>
      <c r="G770" s="2">
        <v>3</v>
      </c>
      <c r="H770" s="2" t="s">
        <v>59</v>
      </c>
      <c r="I770" s="2">
        <v>1</v>
      </c>
      <c r="J770" s="2">
        <v>1066</v>
      </c>
      <c r="K770" s="2">
        <v>3</v>
      </c>
      <c r="L770" s="2" t="s">
        <v>46</v>
      </c>
      <c r="M770" s="2">
        <v>74</v>
      </c>
      <c r="N770" s="2">
        <v>3</v>
      </c>
      <c r="O770" s="2">
        <v>2</v>
      </c>
      <c r="P770" s="2" t="s">
        <v>40</v>
      </c>
      <c r="Q770" s="2">
        <v>1</v>
      </c>
      <c r="R770" s="2" t="s">
        <v>48</v>
      </c>
      <c r="S770" s="2">
        <v>8396</v>
      </c>
      <c r="T770" s="2">
        <v>22217</v>
      </c>
      <c r="U770" s="2">
        <v>1</v>
      </c>
      <c r="V770" s="2" t="s">
        <v>42</v>
      </c>
      <c r="W770" s="2" t="s">
        <v>43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</row>
    <row r="771" spans="1:35" x14ac:dyDescent="0.25">
      <c r="A771" s="2">
        <v>26</v>
      </c>
      <c r="B771" s="2" t="s">
        <v>43</v>
      </c>
      <c r="C771" s="2" t="s">
        <v>44</v>
      </c>
      <c r="D771" s="2">
        <v>921</v>
      </c>
      <c r="E771" s="2" t="s">
        <v>45</v>
      </c>
      <c r="F771" s="2">
        <v>1</v>
      </c>
      <c r="G771" s="2">
        <v>1</v>
      </c>
      <c r="H771" s="2" t="s">
        <v>51</v>
      </c>
      <c r="I771" s="2">
        <v>1</v>
      </c>
      <c r="J771" s="2">
        <v>1068</v>
      </c>
      <c r="K771" s="2">
        <v>1</v>
      </c>
      <c r="L771" s="2" t="s">
        <v>39</v>
      </c>
      <c r="M771" s="2">
        <v>66</v>
      </c>
      <c r="N771" s="2">
        <v>2</v>
      </c>
      <c r="O771" s="2">
        <v>1</v>
      </c>
      <c r="P771" s="2" t="s">
        <v>47</v>
      </c>
      <c r="Q771" s="2">
        <v>3</v>
      </c>
      <c r="R771" s="2" t="s">
        <v>52</v>
      </c>
      <c r="S771" s="2">
        <v>2007</v>
      </c>
      <c r="T771" s="2">
        <v>25265</v>
      </c>
      <c r="U771" s="2">
        <v>1</v>
      </c>
      <c r="V771" s="2" t="s">
        <v>42</v>
      </c>
      <c r="W771" s="2" t="s">
        <v>43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</row>
    <row r="772" spans="1:35" x14ac:dyDescent="0.25">
      <c r="A772" s="2">
        <v>46</v>
      </c>
      <c r="B772" s="2" t="s">
        <v>43</v>
      </c>
      <c r="C772" s="2" t="s">
        <v>36</v>
      </c>
      <c r="D772" s="2">
        <v>430</v>
      </c>
      <c r="E772" s="2" t="s">
        <v>45</v>
      </c>
      <c r="F772" s="2">
        <v>1</v>
      </c>
      <c r="G772" s="2">
        <v>4</v>
      </c>
      <c r="H772" s="2" t="s">
        <v>51</v>
      </c>
      <c r="I772" s="2">
        <v>1</v>
      </c>
      <c r="J772" s="2">
        <v>1069</v>
      </c>
      <c r="K772" s="2">
        <v>4</v>
      </c>
      <c r="L772" s="2" t="s">
        <v>46</v>
      </c>
      <c r="M772" s="2">
        <v>40</v>
      </c>
      <c r="N772" s="2">
        <v>3</v>
      </c>
      <c r="O772" s="2">
        <v>5</v>
      </c>
      <c r="P772" s="2" t="s">
        <v>58</v>
      </c>
      <c r="Q772" s="2">
        <v>4</v>
      </c>
      <c r="R772" s="2" t="s">
        <v>52</v>
      </c>
      <c r="S772" s="2">
        <v>19627</v>
      </c>
      <c r="T772" s="2">
        <v>21445</v>
      </c>
      <c r="U772" s="2">
        <v>9</v>
      </c>
      <c r="V772" s="2" t="s">
        <v>42</v>
      </c>
      <c r="W772" s="2" t="s">
        <v>43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</row>
    <row r="773" spans="1:35" x14ac:dyDescent="0.25">
      <c r="A773" s="2">
        <v>54</v>
      </c>
      <c r="B773" s="2" t="s">
        <v>43</v>
      </c>
      <c r="C773" s="2" t="s">
        <v>36</v>
      </c>
      <c r="D773" s="2">
        <v>1082</v>
      </c>
      <c r="E773" s="2" t="s">
        <v>37</v>
      </c>
      <c r="F773" s="2">
        <v>2</v>
      </c>
      <c r="G773" s="2">
        <v>4</v>
      </c>
      <c r="H773" s="2" t="s">
        <v>38</v>
      </c>
      <c r="I773" s="2">
        <v>1</v>
      </c>
      <c r="J773" s="2">
        <v>1070</v>
      </c>
      <c r="K773" s="2">
        <v>3</v>
      </c>
      <c r="L773" s="2" t="s">
        <v>39</v>
      </c>
      <c r="M773" s="2">
        <v>41</v>
      </c>
      <c r="N773" s="2">
        <v>2</v>
      </c>
      <c r="O773" s="2">
        <v>3</v>
      </c>
      <c r="P773" s="2" t="s">
        <v>40</v>
      </c>
      <c r="Q773" s="2">
        <v>3</v>
      </c>
      <c r="R773" s="2" t="s">
        <v>48</v>
      </c>
      <c r="S773" s="2">
        <v>10686</v>
      </c>
      <c r="T773" s="2">
        <v>8392</v>
      </c>
      <c r="U773" s="2">
        <v>6</v>
      </c>
      <c r="V773" s="2" t="s">
        <v>42</v>
      </c>
      <c r="W773" s="2" t="s">
        <v>43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</row>
    <row r="774" spans="1:35" x14ac:dyDescent="0.25">
      <c r="A774" s="2">
        <v>56</v>
      </c>
      <c r="B774" s="2" t="s">
        <v>43</v>
      </c>
      <c r="C774" s="2" t="s">
        <v>44</v>
      </c>
      <c r="D774" s="2">
        <v>1240</v>
      </c>
      <c r="E774" s="2" t="s">
        <v>45</v>
      </c>
      <c r="F774" s="2">
        <v>9</v>
      </c>
      <c r="G774" s="2">
        <v>3</v>
      </c>
      <c r="H774" s="2" t="s">
        <v>51</v>
      </c>
      <c r="I774" s="2">
        <v>1</v>
      </c>
      <c r="J774" s="2">
        <v>1071</v>
      </c>
      <c r="K774" s="2">
        <v>1</v>
      </c>
      <c r="L774" s="2" t="s">
        <v>39</v>
      </c>
      <c r="M774" s="2">
        <v>63</v>
      </c>
      <c r="N774" s="2">
        <v>3</v>
      </c>
      <c r="O774" s="2">
        <v>1</v>
      </c>
      <c r="P774" s="2" t="s">
        <v>47</v>
      </c>
      <c r="Q774" s="2">
        <v>3</v>
      </c>
      <c r="R774" s="2" t="s">
        <v>48</v>
      </c>
      <c r="S774" s="2">
        <v>2942</v>
      </c>
      <c r="T774" s="2">
        <v>12154</v>
      </c>
      <c r="U774" s="2">
        <v>2</v>
      </c>
      <c r="V774" s="2" t="s">
        <v>42</v>
      </c>
      <c r="W774" s="2" t="s">
        <v>43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</row>
    <row r="775" spans="1:35" x14ac:dyDescent="0.25">
      <c r="A775" s="2">
        <v>36</v>
      </c>
      <c r="B775" s="2" t="s">
        <v>43</v>
      </c>
      <c r="C775" s="2" t="s">
        <v>36</v>
      </c>
      <c r="D775" s="2">
        <v>796</v>
      </c>
      <c r="E775" s="2" t="s">
        <v>45</v>
      </c>
      <c r="F775" s="2">
        <v>12</v>
      </c>
      <c r="G775" s="2">
        <v>5</v>
      </c>
      <c r="H775" s="2" t="s">
        <v>51</v>
      </c>
      <c r="I775" s="2">
        <v>1</v>
      </c>
      <c r="J775" s="2">
        <v>1073</v>
      </c>
      <c r="K775" s="2">
        <v>4</v>
      </c>
      <c r="L775" s="2" t="s">
        <v>39</v>
      </c>
      <c r="M775" s="2">
        <v>51</v>
      </c>
      <c r="N775" s="2">
        <v>2</v>
      </c>
      <c r="O775" s="2">
        <v>3</v>
      </c>
      <c r="P775" s="2" t="s">
        <v>53</v>
      </c>
      <c r="Q775" s="2">
        <v>4</v>
      </c>
      <c r="R775" s="2" t="s">
        <v>41</v>
      </c>
      <c r="S775" s="2">
        <v>8858</v>
      </c>
      <c r="T775" s="2">
        <v>15669</v>
      </c>
      <c r="U775" s="2">
        <v>0</v>
      </c>
      <c r="V775" s="2" t="s">
        <v>42</v>
      </c>
      <c r="W775" s="2" t="s">
        <v>43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</row>
    <row r="776" spans="1:35" x14ac:dyDescent="0.25">
      <c r="A776" s="2">
        <v>55</v>
      </c>
      <c r="B776" s="2" t="s">
        <v>43</v>
      </c>
      <c r="C776" s="2" t="s">
        <v>55</v>
      </c>
      <c r="D776" s="2">
        <v>444</v>
      </c>
      <c r="E776" s="2" t="s">
        <v>45</v>
      </c>
      <c r="F776" s="2">
        <v>2</v>
      </c>
      <c r="G776" s="2">
        <v>1</v>
      </c>
      <c r="H776" s="2" t="s">
        <v>51</v>
      </c>
      <c r="I776" s="2">
        <v>1</v>
      </c>
      <c r="J776" s="2">
        <v>1074</v>
      </c>
      <c r="K776" s="2">
        <v>3</v>
      </c>
      <c r="L776" s="2" t="s">
        <v>46</v>
      </c>
      <c r="M776" s="2">
        <v>40</v>
      </c>
      <c r="N776" s="2">
        <v>2</v>
      </c>
      <c r="O776" s="2">
        <v>4</v>
      </c>
      <c r="P776" s="2" t="s">
        <v>56</v>
      </c>
      <c r="Q776" s="2">
        <v>1</v>
      </c>
      <c r="R776" s="2" t="s">
        <v>41</v>
      </c>
      <c r="S776" s="2">
        <v>16756</v>
      </c>
      <c r="T776" s="2">
        <v>17323</v>
      </c>
      <c r="U776" s="2">
        <v>7</v>
      </c>
      <c r="V776" s="2" t="s">
        <v>42</v>
      </c>
      <c r="W776" s="2" t="s">
        <v>43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</row>
    <row r="777" spans="1:35" x14ac:dyDescent="0.25">
      <c r="A777" s="2">
        <v>43</v>
      </c>
      <c r="B777" s="2" t="s">
        <v>43</v>
      </c>
      <c r="C777" s="2" t="s">
        <v>36</v>
      </c>
      <c r="D777" s="2">
        <v>415</v>
      </c>
      <c r="E777" s="2" t="s">
        <v>37</v>
      </c>
      <c r="F777" s="2">
        <v>25</v>
      </c>
      <c r="G777" s="2">
        <v>3</v>
      </c>
      <c r="H777" s="2" t="s">
        <v>51</v>
      </c>
      <c r="I777" s="2">
        <v>1</v>
      </c>
      <c r="J777" s="2">
        <v>1076</v>
      </c>
      <c r="K777" s="2">
        <v>3</v>
      </c>
      <c r="L777" s="2" t="s">
        <v>46</v>
      </c>
      <c r="M777" s="2">
        <v>79</v>
      </c>
      <c r="N777" s="2">
        <v>2</v>
      </c>
      <c r="O777" s="2">
        <v>3</v>
      </c>
      <c r="P777" s="2" t="s">
        <v>40</v>
      </c>
      <c r="Q777" s="2">
        <v>4</v>
      </c>
      <c r="R777" s="2" t="s">
        <v>52</v>
      </c>
      <c r="S777" s="2">
        <v>10798</v>
      </c>
      <c r="T777" s="2">
        <v>5268</v>
      </c>
      <c r="U777" s="2">
        <v>5</v>
      </c>
      <c r="V777" s="2" t="s">
        <v>42</v>
      </c>
      <c r="W777" s="2" t="s">
        <v>43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</row>
    <row r="778" spans="1:35" x14ac:dyDescent="0.25">
      <c r="A778" s="2">
        <v>20</v>
      </c>
      <c r="B778" s="2" t="s">
        <v>35</v>
      </c>
      <c r="C778" s="2" t="s">
        <v>44</v>
      </c>
      <c r="D778" s="2">
        <v>769</v>
      </c>
      <c r="E778" s="2" t="s">
        <v>37</v>
      </c>
      <c r="F778" s="2">
        <v>9</v>
      </c>
      <c r="G778" s="2">
        <v>3</v>
      </c>
      <c r="H778" s="2" t="s">
        <v>59</v>
      </c>
      <c r="I778" s="2">
        <v>1</v>
      </c>
      <c r="J778" s="2">
        <v>1077</v>
      </c>
      <c r="K778" s="2">
        <v>4</v>
      </c>
      <c r="L778" s="2" t="s">
        <v>39</v>
      </c>
      <c r="M778" s="2">
        <v>54</v>
      </c>
      <c r="N778" s="2">
        <v>3</v>
      </c>
      <c r="O778" s="2">
        <v>1</v>
      </c>
      <c r="P778" s="2" t="s">
        <v>57</v>
      </c>
      <c r="Q778" s="2">
        <v>4</v>
      </c>
      <c r="R778" s="2" t="s">
        <v>41</v>
      </c>
      <c r="S778" s="2">
        <v>2323</v>
      </c>
      <c r="T778" s="2">
        <v>17205</v>
      </c>
      <c r="U778" s="2">
        <v>1</v>
      </c>
      <c r="V778" s="2" t="s">
        <v>42</v>
      </c>
      <c r="W778" s="2" t="s">
        <v>35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</row>
    <row r="779" spans="1:35" x14ac:dyDescent="0.25">
      <c r="A779" s="2">
        <v>21</v>
      </c>
      <c r="B779" s="2" t="s">
        <v>35</v>
      </c>
      <c r="C779" s="2" t="s">
        <v>36</v>
      </c>
      <c r="D779" s="2">
        <v>1334</v>
      </c>
      <c r="E779" s="2" t="s">
        <v>45</v>
      </c>
      <c r="F779" s="2">
        <v>10</v>
      </c>
      <c r="G779" s="2">
        <v>3</v>
      </c>
      <c r="H779" s="2" t="s">
        <v>38</v>
      </c>
      <c r="I779" s="2">
        <v>1</v>
      </c>
      <c r="J779" s="2">
        <v>1079</v>
      </c>
      <c r="K779" s="2">
        <v>3</v>
      </c>
      <c r="L779" s="2" t="s">
        <v>39</v>
      </c>
      <c r="M779" s="2">
        <v>36</v>
      </c>
      <c r="N779" s="2">
        <v>2</v>
      </c>
      <c r="O779" s="2">
        <v>1</v>
      </c>
      <c r="P779" s="2" t="s">
        <v>50</v>
      </c>
      <c r="Q779" s="2">
        <v>1</v>
      </c>
      <c r="R779" s="2" t="s">
        <v>41</v>
      </c>
      <c r="S779" s="2">
        <v>1416</v>
      </c>
      <c r="T779" s="2">
        <v>17258</v>
      </c>
      <c r="U779" s="2">
        <v>1</v>
      </c>
      <c r="V779" s="2" t="s">
        <v>42</v>
      </c>
      <c r="W779" s="2" t="s">
        <v>43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</row>
    <row r="780" spans="1:35" x14ac:dyDescent="0.25">
      <c r="A780" s="2">
        <v>46</v>
      </c>
      <c r="B780" s="2" t="s">
        <v>43</v>
      </c>
      <c r="C780" s="2" t="s">
        <v>36</v>
      </c>
      <c r="D780" s="2">
        <v>1003</v>
      </c>
      <c r="E780" s="2" t="s">
        <v>45</v>
      </c>
      <c r="F780" s="2">
        <v>8</v>
      </c>
      <c r="G780" s="2">
        <v>4</v>
      </c>
      <c r="H780" s="2" t="s">
        <v>38</v>
      </c>
      <c r="I780" s="2">
        <v>1</v>
      </c>
      <c r="J780" s="2">
        <v>1080</v>
      </c>
      <c r="K780" s="2">
        <v>4</v>
      </c>
      <c r="L780" s="2" t="s">
        <v>39</v>
      </c>
      <c r="M780" s="2">
        <v>74</v>
      </c>
      <c r="N780" s="2">
        <v>2</v>
      </c>
      <c r="O780" s="2">
        <v>2</v>
      </c>
      <c r="P780" s="2" t="s">
        <v>47</v>
      </c>
      <c r="Q780" s="2">
        <v>1</v>
      </c>
      <c r="R780" s="2" t="s">
        <v>52</v>
      </c>
      <c r="S780" s="2">
        <v>4615</v>
      </c>
      <c r="T780" s="2">
        <v>21029</v>
      </c>
      <c r="U780" s="2">
        <v>8</v>
      </c>
      <c r="V780" s="2" t="s">
        <v>42</v>
      </c>
      <c r="W780" s="2" t="s">
        <v>35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</row>
    <row r="781" spans="1:35" x14ac:dyDescent="0.25">
      <c r="A781" s="2">
        <v>51</v>
      </c>
      <c r="B781" s="2" t="s">
        <v>35</v>
      </c>
      <c r="C781" s="2" t="s">
        <v>36</v>
      </c>
      <c r="D781" s="2">
        <v>1323</v>
      </c>
      <c r="E781" s="2" t="s">
        <v>45</v>
      </c>
      <c r="F781" s="2">
        <v>4</v>
      </c>
      <c r="G781" s="2">
        <v>4</v>
      </c>
      <c r="H781" s="2" t="s">
        <v>38</v>
      </c>
      <c r="I781" s="2">
        <v>1</v>
      </c>
      <c r="J781" s="2">
        <v>1081</v>
      </c>
      <c r="K781" s="2">
        <v>1</v>
      </c>
      <c r="L781" s="2" t="s">
        <v>46</v>
      </c>
      <c r="M781" s="2">
        <v>34</v>
      </c>
      <c r="N781" s="2">
        <v>3</v>
      </c>
      <c r="O781" s="2">
        <v>1</v>
      </c>
      <c r="P781" s="2" t="s">
        <v>47</v>
      </c>
      <c r="Q781" s="2">
        <v>3</v>
      </c>
      <c r="R781" s="2" t="s">
        <v>48</v>
      </c>
      <c r="S781" s="2">
        <v>2461</v>
      </c>
      <c r="T781" s="2">
        <v>10332</v>
      </c>
      <c r="U781" s="2">
        <v>9</v>
      </c>
      <c r="V781" s="2" t="s">
        <v>42</v>
      </c>
      <c r="W781" s="2" t="s">
        <v>35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</row>
    <row r="782" spans="1:35" x14ac:dyDescent="0.25">
      <c r="A782" s="2">
        <v>28</v>
      </c>
      <c r="B782" s="2" t="s">
        <v>35</v>
      </c>
      <c r="C782" s="2" t="s">
        <v>55</v>
      </c>
      <c r="D782" s="2">
        <v>1366</v>
      </c>
      <c r="E782" s="2" t="s">
        <v>45</v>
      </c>
      <c r="F782" s="2">
        <v>24</v>
      </c>
      <c r="G782" s="2">
        <v>2</v>
      </c>
      <c r="H782" s="2" t="s">
        <v>60</v>
      </c>
      <c r="I782" s="2">
        <v>1</v>
      </c>
      <c r="J782" s="2">
        <v>1082</v>
      </c>
      <c r="K782" s="2">
        <v>2</v>
      </c>
      <c r="L782" s="2" t="s">
        <v>46</v>
      </c>
      <c r="M782" s="2">
        <v>72</v>
      </c>
      <c r="N782" s="2">
        <v>2</v>
      </c>
      <c r="O782" s="2">
        <v>3</v>
      </c>
      <c r="P782" s="2" t="s">
        <v>54</v>
      </c>
      <c r="Q782" s="2">
        <v>1</v>
      </c>
      <c r="R782" s="2" t="s">
        <v>41</v>
      </c>
      <c r="S782" s="2">
        <v>8722</v>
      </c>
      <c r="T782" s="2">
        <v>12355</v>
      </c>
      <c r="U782" s="2">
        <v>1</v>
      </c>
      <c r="V782" s="2" t="s">
        <v>42</v>
      </c>
      <c r="W782" s="2" t="s">
        <v>43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</row>
    <row r="783" spans="1:35" x14ac:dyDescent="0.25">
      <c r="A783" s="2">
        <v>26</v>
      </c>
      <c r="B783" s="2" t="s">
        <v>43</v>
      </c>
      <c r="C783" s="2" t="s">
        <v>36</v>
      </c>
      <c r="D783" s="2">
        <v>192</v>
      </c>
      <c r="E783" s="2" t="s">
        <v>45</v>
      </c>
      <c r="F783" s="2">
        <v>1</v>
      </c>
      <c r="G783" s="2">
        <v>2</v>
      </c>
      <c r="H783" s="2" t="s">
        <v>51</v>
      </c>
      <c r="I783" s="2">
        <v>1</v>
      </c>
      <c r="J783" s="2">
        <v>1083</v>
      </c>
      <c r="K783" s="2">
        <v>1</v>
      </c>
      <c r="L783" s="2" t="s">
        <v>46</v>
      </c>
      <c r="M783" s="2">
        <v>59</v>
      </c>
      <c r="N783" s="2">
        <v>2</v>
      </c>
      <c r="O783" s="2">
        <v>1</v>
      </c>
      <c r="P783" s="2" t="s">
        <v>50</v>
      </c>
      <c r="Q783" s="2">
        <v>1</v>
      </c>
      <c r="R783" s="2" t="s">
        <v>48</v>
      </c>
      <c r="S783" s="2">
        <v>3955</v>
      </c>
      <c r="T783" s="2">
        <v>11141</v>
      </c>
      <c r="U783" s="2">
        <v>1</v>
      </c>
      <c r="V783" s="2" t="s">
        <v>42</v>
      </c>
      <c r="W783" s="2" t="s">
        <v>43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</row>
    <row r="784" spans="1:35" x14ac:dyDescent="0.25">
      <c r="A784" s="2">
        <v>30</v>
      </c>
      <c r="B784" s="2" t="s">
        <v>43</v>
      </c>
      <c r="C784" s="2" t="s">
        <v>36</v>
      </c>
      <c r="D784" s="2">
        <v>1176</v>
      </c>
      <c r="E784" s="2" t="s">
        <v>45</v>
      </c>
      <c r="F784" s="2">
        <v>20</v>
      </c>
      <c r="G784" s="2">
        <v>3</v>
      </c>
      <c r="H784" s="2" t="s">
        <v>49</v>
      </c>
      <c r="I784" s="2">
        <v>1</v>
      </c>
      <c r="J784" s="2">
        <v>1084</v>
      </c>
      <c r="K784" s="2">
        <v>3</v>
      </c>
      <c r="L784" s="2" t="s">
        <v>46</v>
      </c>
      <c r="M784" s="2">
        <v>85</v>
      </c>
      <c r="N784" s="2">
        <v>3</v>
      </c>
      <c r="O784" s="2">
        <v>2</v>
      </c>
      <c r="P784" s="2" t="s">
        <v>53</v>
      </c>
      <c r="Q784" s="2">
        <v>1</v>
      </c>
      <c r="R784" s="2" t="s">
        <v>48</v>
      </c>
      <c r="S784" s="2">
        <v>9957</v>
      </c>
      <c r="T784" s="2">
        <v>9096</v>
      </c>
      <c r="U784" s="2">
        <v>0</v>
      </c>
      <c r="V784" s="2" t="s">
        <v>42</v>
      </c>
      <c r="W784" s="2" t="s">
        <v>43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</row>
    <row r="785" spans="1:35" x14ac:dyDescent="0.25">
      <c r="A785" s="2">
        <v>41</v>
      </c>
      <c r="B785" s="2" t="s">
        <v>43</v>
      </c>
      <c r="C785" s="2" t="s">
        <v>36</v>
      </c>
      <c r="D785" s="2">
        <v>509</v>
      </c>
      <c r="E785" s="2" t="s">
        <v>45</v>
      </c>
      <c r="F785" s="2">
        <v>7</v>
      </c>
      <c r="G785" s="2">
        <v>2</v>
      </c>
      <c r="H785" s="2" t="s">
        <v>60</v>
      </c>
      <c r="I785" s="2">
        <v>1</v>
      </c>
      <c r="J785" s="2">
        <v>1085</v>
      </c>
      <c r="K785" s="2">
        <v>2</v>
      </c>
      <c r="L785" s="2" t="s">
        <v>39</v>
      </c>
      <c r="M785" s="2">
        <v>43</v>
      </c>
      <c r="N785" s="2">
        <v>4</v>
      </c>
      <c r="O785" s="2">
        <v>1</v>
      </c>
      <c r="P785" s="2" t="s">
        <v>47</v>
      </c>
      <c r="Q785" s="2">
        <v>3</v>
      </c>
      <c r="R785" s="2" t="s">
        <v>48</v>
      </c>
      <c r="S785" s="2">
        <v>3376</v>
      </c>
      <c r="T785" s="2">
        <v>18863</v>
      </c>
      <c r="U785" s="2">
        <v>1</v>
      </c>
      <c r="V785" s="2" t="s">
        <v>42</v>
      </c>
      <c r="W785" s="2" t="s">
        <v>43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</row>
    <row r="786" spans="1:35" x14ac:dyDescent="0.25">
      <c r="A786" s="2">
        <v>38</v>
      </c>
      <c r="B786" s="2" t="s">
        <v>43</v>
      </c>
      <c r="C786" s="2" t="s">
        <v>36</v>
      </c>
      <c r="D786" s="2">
        <v>330</v>
      </c>
      <c r="E786" s="2" t="s">
        <v>45</v>
      </c>
      <c r="F786" s="2">
        <v>17</v>
      </c>
      <c r="G786" s="2">
        <v>1</v>
      </c>
      <c r="H786" s="2" t="s">
        <v>38</v>
      </c>
      <c r="I786" s="2">
        <v>1</v>
      </c>
      <c r="J786" s="2">
        <v>1088</v>
      </c>
      <c r="K786" s="2">
        <v>3</v>
      </c>
      <c r="L786" s="2" t="s">
        <v>39</v>
      </c>
      <c r="M786" s="2">
        <v>65</v>
      </c>
      <c r="N786" s="2">
        <v>2</v>
      </c>
      <c r="O786" s="2">
        <v>3</v>
      </c>
      <c r="P786" s="2" t="s">
        <v>54</v>
      </c>
      <c r="Q786" s="2">
        <v>3</v>
      </c>
      <c r="R786" s="2" t="s">
        <v>48</v>
      </c>
      <c r="S786" s="2">
        <v>8823</v>
      </c>
      <c r="T786" s="2">
        <v>24608</v>
      </c>
      <c r="U786" s="2">
        <v>0</v>
      </c>
      <c r="V786" s="2" t="s">
        <v>42</v>
      </c>
      <c r="W786" s="2" t="s">
        <v>43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</row>
    <row r="787" spans="1:35" x14ac:dyDescent="0.25">
      <c r="A787" s="2">
        <v>40</v>
      </c>
      <c r="B787" s="2" t="s">
        <v>43</v>
      </c>
      <c r="C787" s="2" t="s">
        <v>36</v>
      </c>
      <c r="D787" s="2">
        <v>1492</v>
      </c>
      <c r="E787" s="2" t="s">
        <v>45</v>
      </c>
      <c r="F787" s="2">
        <v>20</v>
      </c>
      <c r="G787" s="2">
        <v>4</v>
      </c>
      <c r="H787" s="2" t="s">
        <v>60</v>
      </c>
      <c r="I787" s="2">
        <v>1</v>
      </c>
      <c r="J787" s="2">
        <v>1092</v>
      </c>
      <c r="K787" s="2">
        <v>1</v>
      </c>
      <c r="L787" s="2" t="s">
        <v>46</v>
      </c>
      <c r="M787" s="2">
        <v>61</v>
      </c>
      <c r="N787" s="2">
        <v>3</v>
      </c>
      <c r="O787" s="2">
        <v>3</v>
      </c>
      <c r="P787" s="2" t="s">
        <v>54</v>
      </c>
      <c r="Q787" s="2">
        <v>4</v>
      </c>
      <c r="R787" s="2" t="s">
        <v>48</v>
      </c>
      <c r="S787" s="2">
        <v>10322</v>
      </c>
      <c r="T787" s="2">
        <v>26542</v>
      </c>
      <c r="U787" s="2">
        <v>4</v>
      </c>
      <c r="V787" s="2" t="s">
        <v>42</v>
      </c>
      <c r="W787" s="2" t="s">
        <v>43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</row>
    <row r="788" spans="1:35" x14ac:dyDescent="0.25">
      <c r="A788" s="2">
        <v>27</v>
      </c>
      <c r="B788" s="2" t="s">
        <v>43</v>
      </c>
      <c r="C788" s="2" t="s">
        <v>55</v>
      </c>
      <c r="D788" s="2">
        <v>1277</v>
      </c>
      <c r="E788" s="2" t="s">
        <v>45</v>
      </c>
      <c r="F788" s="2">
        <v>8</v>
      </c>
      <c r="G788" s="2">
        <v>5</v>
      </c>
      <c r="H788" s="2" t="s">
        <v>38</v>
      </c>
      <c r="I788" s="2">
        <v>1</v>
      </c>
      <c r="J788" s="2">
        <v>1094</v>
      </c>
      <c r="K788" s="2">
        <v>1</v>
      </c>
      <c r="L788" s="2" t="s">
        <v>46</v>
      </c>
      <c r="M788" s="2">
        <v>87</v>
      </c>
      <c r="N788" s="2">
        <v>1</v>
      </c>
      <c r="O788" s="2">
        <v>1</v>
      </c>
      <c r="P788" s="2" t="s">
        <v>50</v>
      </c>
      <c r="Q788" s="2">
        <v>3</v>
      </c>
      <c r="R788" s="2" t="s">
        <v>48</v>
      </c>
      <c r="S788" s="2">
        <v>4621</v>
      </c>
      <c r="T788" s="2">
        <v>5869</v>
      </c>
      <c r="U788" s="2">
        <v>1</v>
      </c>
      <c r="V788" s="2" t="s">
        <v>42</v>
      </c>
      <c r="W788" s="2" t="s">
        <v>43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</row>
    <row r="789" spans="1:35" x14ac:dyDescent="0.25">
      <c r="A789" s="2">
        <v>55</v>
      </c>
      <c r="B789" s="2" t="s">
        <v>43</v>
      </c>
      <c r="C789" s="2" t="s">
        <v>44</v>
      </c>
      <c r="D789" s="2">
        <v>1091</v>
      </c>
      <c r="E789" s="2" t="s">
        <v>45</v>
      </c>
      <c r="F789" s="2">
        <v>2</v>
      </c>
      <c r="G789" s="2">
        <v>1</v>
      </c>
      <c r="H789" s="2" t="s">
        <v>38</v>
      </c>
      <c r="I789" s="2">
        <v>1</v>
      </c>
      <c r="J789" s="2">
        <v>1096</v>
      </c>
      <c r="K789" s="2">
        <v>4</v>
      </c>
      <c r="L789" s="2" t="s">
        <v>46</v>
      </c>
      <c r="M789" s="2">
        <v>65</v>
      </c>
      <c r="N789" s="2">
        <v>3</v>
      </c>
      <c r="O789" s="2">
        <v>3</v>
      </c>
      <c r="P789" s="2" t="s">
        <v>53</v>
      </c>
      <c r="Q789" s="2">
        <v>2</v>
      </c>
      <c r="R789" s="2" t="s">
        <v>48</v>
      </c>
      <c r="S789" s="2">
        <v>10976</v>
      </c>
      <c r="T789" s="2">
        <v>15813</v>
      </c>
      <c r="U789" s="2">
        <v>3</v>
      </c>
      <c r="V789" s="2" t="s">
        <v>42</v>
      </c>
      <c r="W789" s="2" t="s">
        <v>43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</row>
    <row r="790" spans="1:35" x14ac:dyDescent="0.25">
      <c r="A790" s="2">
        <v>28</v>
      </c>
      <c r="B790" s="2" t="s">
        <v>43</v>
      </c>
      <c r="C790" s="2" t="s">
        <v>36</v>
      </c>
      <c r="D790" s="2">
        <v>857</v>
      </c>
      <c r="E790" s="2" t="s">
        <v>45</v>
      </c>
      <c r="F790" s="2">
        <v>10</v>
      </c>
      <c r="G790" s="2">
        <v>3</v>
      </c>
      <c r="H790" s="2" t="s">
        <v>49</v>
      </c>
      <c r="I790" s="2">
        <v>1</v>
      </c>
      <c r="J790" s="2">
        <v>1097</v>
      </c>
      <c r="K790" s="2">
        <v>3</v>
      </c>
      <c r="L790" s="2" t="s">
        <v>39</v>
      </c>
      <c r="M790" s="2">
        <v>59</v>
      </c>
      <c r="N790" s="2">
        <v>3</v>
      </c>
      <c r="O790" s="2">
        <v>2</v>
      </c>
      <c r="P790" s="2" t="s">
        <v>47</v>
      </c>
      <c r="Q790" s="2">
        <v>3</v>
      </c>
      <c r="R790" s="2" t="s">
        <v>41</v>
      </c>
      <c r="S790" s="2">
        <v>3660</v>
      </c>
      <c r="T790" s="2">
        <v>7909</v>
      </c>
      <c r="U790" s="2">
        <v>3</v>
      </c>
      <c r="V790" s="2" t="s">
        <v>42</v>
      </c>
      <c r="W790" s="2" t="s">
        <v>43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</row>
    <row r="791" spans="1:35" x14ac:dyDescent="0.25">
      <c r="A791" s="2">
        <v>44</v>
      </c>
      <c r="B791" s="2" t="s">
        <v>35</v>
      </c>
      <c r="C791" s="2" t="s">
        <v>36</v>
      </c>
      <c r="D791" s="2">
        <v>1376</v>
      </c>
      <c r="E791" s="2" t="s">
        <v>61</v>
      </c>
      <c r="F791" s="2">
        <v>1</v>
      </c>
      <c r="G791" s="2">
        <v>2</v>
      </c>
      <c r="H791" s="2" t="s">
        <v>51</v>
      </c>
      <c r="I791" s="2">
        <v>1</v>
      </c>
      <c r="J791" s="2">
        <v>1098</v>
      </c>
      <c r="K791" s="2">
        <v>2</v>
      </c>
      <c r="L791" s="2" t="s">
        <v>46</v>
      </c>
      <c r="M791" s="2">
        <v>91</v>
      </c>
      <c r="N791" s="2">
        <v>2</v>
      </c>
      <c r="O791" s="2">
        <v>3</v>
      </c>
      <c r="P791" s="2" t="s">
        <v>61</v>
      </c>
      <c r="Q791" s="2">
        <v>1</v>
      </c>
      <c r="R791" s="2" t="s">
        <v>48</v>
      </c>
      <c r="S791" s="2">
        <v>10482</v>
      </c>
      <c r="T791" s="2">
        <v>2326</v>
      </c>
      <c r="U791" s="2">
        <v>9</v>
      </c>
      <c r="V791" s="2" t="s">
        <v>42</v>
      </c>
      <c r="W791" s="2" t="s">
        <v>43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</row>
    <row r="792" spans="1:35" x14ac:dyDescent="0.25">
      <c r="A792" s="2">
        <v>33</v>
      </c>
      <c r="B792" s="2" t="s">
        <v>43</v>
      </c>
      <c r="C792" s="2" t="s">
        <v>36</v>
      </c>
      <c r="D792" s="2">
        <v>654</v>
      </c>
      <c r="E792" s="2" t="s">
        <v>45</v>
      </c>
      <c r="F792" s="2">
        <v>5</v>
      </c>
      <c r="G792" s="2">
        <v>3</v>
      </c>
      <c r="H792" s="2" t="s">
        <v>38</v>
      </c>
      <c r="I792" s="2">
        <v>1</v>
      </c>
      <c r="J792" s="2">
        <v>1099</v>
      </c>
      <c r="K792" s="2">
        <v>4</v>
      </c>
      <c r="L792" s="2" t="s">
        <v>46</v>
      </c>
      <c r="M792" s="2">
        <v>34</v>
      </c>
      <c r="N792" s="2">
        <v>2</v>
      </c>
      <c r="O792" s="2">
        <v>3</v>
      </c>
      <c r="P792" s="2" t="s">
        <v>54</v>
      </c>
      <c r="Q792" s="2">
        <v>4</v>
      </c>
      <c r="R792" s="2" t="s">
        <v>52</v>
      </c>
      <c r="S792" s="2">
        <v>7119</v>
      </c>
      <c r="T792" s="2">
        <v>21214</v>
      </c>
      <c r="U792" s="2">
        <v>4</v>
      </c>
      <c r="V792" s="2" t="s">
        <v>42</v>
      </c>
      <c r="W792" s="2" t="s">
        <v>43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</row>
    <row r="793" spans="1:35" x14ac:dyDescent="0.25">
      <c r="A793" s="2">
        <v>35</v>
      </c>
      <c r="B793" s="2" t="s">
        <v>35</v>
      </c>
      <c r="C793" s="2" t="s">
        <v>36</v>
      </c>
      <c r="D793" s="2">
        <v>1204</v>
      </c>
      <c r="E793" s="2" t="s">
        <v>37</v>
      </c>
      <c r="F793" s="2">
        <v>4</v>
      </c>
      <c r="G793" s="2">
        <v>3</v>
      </c>
      <c r="H793" s="2" t="s">
        <v>60</v>
      </c>
      <c r="I793" s="2">
        <v>1</v>
      </c>
      <c r="J793" s="2">
        <v>1100</v>
      </c>
      <c r="K793" s="2">
        <v>4</v>
      </c>
      <c r="L793" s="2" t="s">
        <v>46</v>
      </c>
      <c r="M793" s="2">
        <v>86</v>
      </c>
      <c r="N793" s="2">
        <v>3</v>
      </c>
      <c r="O793" s="2">
        <v>3</v>
      </c>
      <c r="P793" s="2" t="s">
        <v>40</v>
      </c>
      <c r="Q793" s="2">
        <v>1</v>
      </c>
      <c r="R793" s="2" t="s">
        <v>41</v>
      </c>
      <c r="S793" s="2">
        <v>9582</v>
      </c>
      <c r="T793" s="2">
        <v>10333</v>
      </c>
      <c r="U793" s="2">
        <v>0</v>
      </c>
      <c r="V793" s="2" t="s">
        <v>42</v>
      </c>
      <c r="W793" s="2" t="s">
        <v>35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</row>
    <row r="794" spans="1:35" x14ac:dyDescent="0.25">
      <c r="A794" s="2">
        <v>33</v>
      </c>
      <c r="B794" s="2" t="s">
        <v>35</v>
      </c>
      <c r="C794" s="2" t="s">
        <v>44</v>
      </c>
      <c r="D794" s="2">
        <v>827</v>
      </c>
      <c r="E794" s="2" t="s">
        <v>45</v>
      </c>
      <c r="F794" s="2">
        <v>29</v>
      </c>
      <c r="G794" s="2">
        <v>4</v>
      </c>
      <c r="H794" s="2" t="s">
        <v>51</v>
      </c>
      <c r="I794" s="2">
        <v>1</v>
      </c>
      <c r="J794" s="2">
        <v>1101</v>
      </c>
      <c r="K794" s="2">
        <v>1</v>
      </c>
      <c r="L794" s="2" t="s">
        <v>39</v>
      </c>
      <c r="M794" s="2">
        <v>54</v>
      </c>
      <c r="N794" s="2">
        <v>2</v>
      </c>
      <c r="O794" s="2">
        <v>2</v>
      </c>
      <c r="P794" s="2" t="s">
        <v>47</v>
      </c>
      <c r="Q794" s="2">
        <v>3</v>
      </c>
      <c r="R794" s="2" t="s">
        <v>41</v>
      </c>
      <c r="S794" s="2">
        <v>4508</v>
      </c>
      <c r="T794" s="2">
        <v>3129</v>
      </c>
      <c r="U794" s="2">
        <v>1</v>
      </c>
      <c r="V794" s="2" t="s">
        <v>42</v>
      </c>
      <c r="W794" s="2" t="s">
        <v>43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</row>
    <row r="795" spans="1:35" x14ac:dyDescent="0.25">
      <c r="A795" s="2">
        <v>28</v>
      </c>
      <c r="B795" s="2" t="s">
        <v>43</v>
      </c>
      <c r="C795" s="2" t="s">
        <v>36</v>
      </c>
      <c r="D795" s="2">
        <v>895</v>
      </c>
      <c r="E795" s="2" t="s">
        <v>45</v>
      </c>
      <c r="F795" s="2">
        <v>15</v>
      </c>
      <c r="G795" s="2">
        <v>2</v>
      </c>
      <c r="H795" s="2" t="s">
        <v>38</v>
      </c>
      <c r="I795" s="2">
        <v>1</v>
      </c>
      <c r="J795" s="2">
        <v>1102</v>
      </c>
      <c r="K795" s="2">
        <v>1</v>
      </c>
      <c r="L795" s="2" t="s">
        <v>46</v>
      </c>
      <c r="M795" s="2">
        <v>50</v>
      </c>
      <c r="N795" s="2">
        <v>3</v>
      </c>
      <c r="O795" s="2">
        <v>1</v>
      </c>
      <c r="P795" s="2" t="s">
        <v>50</v>
      </c>
      <c r="Q795" s="2">
        <v>3</v>
      </c>
      <c r="R795" s="2" t="s">
        <v>52</v>
      </c>
      <c r="S795" s="2">
        <v>2207</v>
      </c>
      <c r="T795" s="2">
        <v>22482</v>
      </c>
      <c r="U795" s="2">
        <v>1</v>
      </c>
      <c r="V795" s="2" t="s">
        <v>42</v>
      </c>
      <c r="W795" s="2" t="s">
        <v>43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</row>
    <row r="796" spans="1:35" x14ac:dyDescent="0.25">
      <c r="A796" s="2">
        <v>34</v>
      </c>
      <c r="B796" s="2" t="s">
        <v>43</v>
      </c>
      <c r="C796" s="2" t="s">
        <v>44</v>
      </c>
      <c r="D796" s="2">
        <v>618</v>
      </c>
      <c r="E796" s="2" t="s">
        <v>45</v>
      </c>
      <c r="F796" s="2">
        <v>3</v>
      </c>
      <c r="G796" s="2">
        <v>1</v>
      </c>
      <c r="H796" s="2" t="s">
        <v>38</v>
      </c>
      <c r="I796" s="2">
        <v>1</v>
      </c>
      <c r="J796" s="2">
        <v>1103</v>
      </c>
      <c r="K796" s="2">
        <v>1</v>
      </c>
      <c r="L796" s="2" t="s">
        <v>46</v>
      </c>
      <c r="M796" s="2">
        <v>45</v>
      </c>
      <c r="N796" s="2">
        <v>3</v>
      </c>
      <c r="O796" s="2">
        <v>2</v>
      </c>
      <c r="P796" s="2" t="s">
        <v>54</v>
      </c>
      <c r="Q796" s="2">
        <v>4</v>
      </c>
      <c r="R796" s="2" t="s">
        <v>41</v>
      </c>
      <c r="S796" s="2">
        <v>7756</v>
      </c>
      <c r="T796" s="2">
        <v>22266</v>
      </c>
      <c r="U796" s="2">
        <v>0</v>
      </c>
      <c r="V796" s="2" t="s">
        <v>42</v>
      </c>
      <c r="W796" s="2" t="s">
        <v>43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</row>
    <row r="797" spans="1:35" x14ac:dyDescent="0.25">
      <c r="A797" s="2">
        <v>37</v>
      </c>
      <c r="B797" s="2" t="s">
        <v>43</v>
      </c>
      <c r="C797" s="2" t="s">
        <v>36</v>
      </c>
      <c r="D797" s="2">
        <v>309</v>
      </c>
      <c r="E797" s="2" t="s">
        <v>37</v>
      </c>
      <c r="F797" s="2">
        <v>10</v>
      </c>
      <c r="G797" s="2">
        <v>4</v>
      </c>
      <c r="H797" s="2" t="s">
        <v>38</v>
      </c>
      <c r="I797" s="2">
        <v>1</v>
      </c>
      <c r="J797" s="2">
        <v>1105</v>
      </c>
      <c r="K797" s="2">
        <v>4</v>
      </c>
      <c r="L797" s="2" t="s">
        <v>39</v>
      </c>
      <c r="M797" s="2">
        <v>88</v>
      </c>
      <c r="N797" s="2">
        <v>2</v>
      </c>
      <c r="O797" s="2">
        <v>2</v>
      </c>
      <c r="P797" s="2" t="s">
        <v>40</v>
      </c>
      <c r="Q797" s="2">
        <v>4</v>
      </c>
      <c r="R797" s="2" t="s">
        <v>52</v>
      </c>
      <c r="S797" s="2">
        <v>6694</v>
      </c>
      <c r="T797" s="2">
        <v>24223</v>
      </c>
      <c r="U797" s="2">
        <v>2</v>
      </c>
      <c r="V797" s="2" t="s">
        <v>42</v>
      </c>
      <c r="W797" s="2" t="s">
        <v>35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</row>
    <row r="798" spans="1:35" x14ac:dyDescent="0.25">
      <c r="A798" s="2">
        <v>25</v>
      </c>
      <c r="B798" s="2" t="s">
        <v>35</v>
      </c>
      <c r="C798" s="2" t="s">
        <v>36</v>
      </c>
      <c r="D798" s="2">
        <v>1219</v>
      </c>
      <c r="E798" s="2" t="s">
        <v>45</v>
      </c>
      <c r="F798" s="2">
        <v>4</v>
      </c>
      <c r="G798" s="2">
        <v>1</v>
      </c>
      <c r="H798" s="2" t="s">
        <v>60</v>
      </c>
      <c r="I798" s="2">
        <v>1</v>
      </c>
      <c r="J798" s="2">
        <v>1106</v>
      </c>
      <c r="K798" s="2">
        <v>4</v>
      </c>
      <c r="L798" s="2" t="s">
        <v>46</v>
      </c>
      <c r="M798" s="2">
        <v>32</v>
      </c>
      <c r="N798" s="2">
        <v>3</v>
      </c>
      <c r="O798" s="2">
        <v>1</v>
      </c>
      <c r="P798" s="2" t="s">
        <v>50</v>
      </c>
      <c r="Q798" s="2">
        <v>4</v>
      </c>
      <c r="R798" s="2" t="s">
        <v>48</v>
      </c>
      <c r="S798" s="2">
        <v>3691</v>
      </c>
      <c r="T798" s="2">
        <v>4605</v>
      </c>
      <c r="U798" s="2">
        <v>1</v>
      </c>
      <c r="V798" s="2" t="s">
        <v>42</v>
      </c>
      <c r="W798" s="2" t="s">
        <v>35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</row>
    <row r="799" spans="1:35" x14ac:dyDescent="0.25">
      <c r="A799" s="2">
        <v>26</v>
      </c>
      <c r="B799" s="2" t="s">
        <v>35</v>
      </c>
      <c r="C799" s="2" t="s">
        <v>36</v>
      </c>
      <c r="D799" s="2">
        <v>1330</v>
      </c>
      <c r="E799" s="2" t="s">
        <v>45</v>
      </c>
      <c r="F799" s="2">
        <v>21</v>
      </c>
      <c r="G799" s="2">
        <v>3</v>
      </c>
      <c r="H799" s="2" t="s">
        <v>51</v>
      </c>
      <c r="I799" s="2">
        <v>1</v>
      </c>
      <c r="J799" s="2">
        <v>1107</v>
      </c>
      <c r="K799" s="2">
        <v>1</v>
      </c>
      <c r="L799" s="2" t="s">
        <v>46</v>
      </c>
      <c r="M799" s="2">
        <v>37</v>
      </c>
      <c r="N799" s="2">
        <v>3</v>
      </c>
      <c r="O799" s="2">
        <v>1</v>
      </c>
      <c r="P799" s="2" t="s">
        <v>50</v>
      </c>
      <c r="Q799" s="2">
        <v>3</v>
      </c>
      <c r="R799" s="2" t="s">
        <v>52</v>
      </c>
      <c r="S799" s="2">
        <v>2377</v>
      </c>
      <c r="T799" s="2">
        <v>19373</v>
      </c>
      <c r="U799" s="2">
        <v>1</v>
      </c>
      <c r="V799" s="2" t="s">
        <v>42</v>
      </c>
      <c r="W799" s="2" t="s">
        <v>43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</row>
    <row r="800" spans="1:35" x14ac:dyDescent="0.25">
      <c r="A800" s="2">
        <v>33</v>
      </c>
      <c r="B800" s="2" t="s">
        <v>35</v>
      </c>
      <c r="C800" s="2" t="s">
        <v>36</v>
      </c>
      <c r="D800" s="2">
        <v>1017</v>
      </c>
      <c r="E800" s="2" t="s">
        <v>45</v>
      </c>
      <c r="F800" s="2">
        <v>25</v>
      </c>
      <c r="G800" s="2">
        <v>3</v>
      </c>
      <c r="H800" s="2" t="s">
        <v>51</v>
      </c>
      <c r="I800" s="2">
        <v>1</v>
      </c>
      <c r="J800" s="2">
        <v>1108</v>
      </c>
      <c r="K800" s="2">
        <v>1</v>
      </c>
      <c r="L800" s="2" t="s">
        <v>46</v>
      </c>
      <c r="M800" s="2">
        <v>55</v>
      </c>
      <c r="N800" s="2">
        <v>2</v>
      </c>
      <c r="O800" s="2">
        <v>1</v>
      </c>
      <c r="P800" s="2" t="s">
        <v>47</v>
      </c>
      <c r="Q800" s="2">
        <v>2</v>
      </c>
      <c r="R800" s="2" t="s">
        <v>41</v>
      </c>
      <c r="S800" s="2">
        <v>2313</v>
      </c>
      <c r="T800" s="2">
        <v>2993</v>
      </c>
      <c r="U800" s="2">
        <v>4</v>
      </c>
      <c r="V800" s="2" t="s">
        <v>42</v>
      </c>
      <c r="W800" s="2" t="s">
        <v>35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</row>
    <row r="801" spans="1:35" x14ac:dyDescent="0.25">
      <c r="A801" s="2">
        <v>42</v>
      </c>
      <c r="B801" s="2" t="s">
        <v>43</v>
      </c>
      <c r="C801" s="2" t="s">
        <v>36</v>
      </c>
      <c r="D801" s="2">
        <v>469</v>
      </c>
      <c r="E801" s="2" t="s">
        <v>45</v>
      </c>
      <c r="F801" s="2">
        <v>2</v>
      </c>
      <c r="G801" s="2">
        <v>2</v>
      </c>
      <c r="H801" s="2" t="s">
        <v>51</v>
      </c>
      <c r="I801" s="2">
        <v>1</v>
      </c>
      <c r="J801" s="2">
        <v>1109</v>
      </c>
      <c r="K801" s="2">
        <v>4</v>
      </c>
      <c r="L801" s="2" t="s">
        <v>46</v>
      </c>
      <c r="M801" s="2">
        <v>35</v>
      </c>
      <c r="N801" s="2">
        <v>3</v>
      </c>
      <c r="O801" s="2">
        <v>4</v>
      </c>
      <c r="P801" s="2" t="s">
        <v>56</v>
      </c>
      <c r="Q801" s="2">
        <v>1</v>
      </c>
      <c r="R801" s="2" t="s">
        <v>48</v>
      </c>
      <c r="S801" s="2">
        <v>17665</v>
      </c>
      <c r="T801" s="2">
        <v>14399</v>
      </c>
      <c r="U801" s="2">
        <v>0</v>
      </c>
      <c r="V801" s="2" t="s">
        <v>42</v>
      </c>
      <c r="W801" s="2" t="s">
        <v>43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</row>
    <row r="802" spans="1:35" x14ac:dyDescent="0.25">
      <c r="A802" s="2">
        <v>28</v>
      </c>
      <c r="B802" s="2" t="s">
        <v>35</v>
      </c>
      <c r="C802" s="2" t="s">
        <v>44</v>
      </c>
      <c r="D802" s="2">
        <v>1009</v>
      </c>
      <c r="E802" s="2" t="s">
        <v>45</v>
      </c>
      <c r="F802" s="2">
        <v>1</v>
      </c>
      <c r="G802" s="2">
        <v>3</v>
      </c>
      <c r="H802" s="2" t="s">
        <v>51</v>
      </c>
      <c r="I802" s="2">
        <v>1</v>
      </c>
      <c r="J802" s="2">
        <v>1111</v>
      </c>
      <c r="K802" s="2">
        <v>1</v>
      </c>
      <c r="L802" s="2" t="s">
        <v>46</v>
      </c>
      <c r="M802" s="2">
        <v>45</v>
      </c>
      <c r="N802" s="2">
        <v>2</v>
      </c>
      <c r="O802" s="2">
        <v>1</v>
      </c>
      <c r="P802" s="2" t="s">
        <v>50</v>
      </c>
      <c r="Q802" s="2">
        <v>2</v>
      </c>
      <c r="R802" s="2" t="s">
        <v>52</v>
      </c>
      <c r="S802" s="2">
        <v>2596</v>
      </c>
      <c r="T802" s="2">
        <v>7160</v>
      </c>
      <c r="U802" s="2">
        <v>1</v>
      </c>
      <c r="V802" s="2" t="s">
        <v>42</v>
      </c>
      <c r="W802" s="2" t="s">
        <v>43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</row>
    <row r="803" spans="1:35" x14ac:dyDescent="0.25">
      <c r="A803" s="2">
        <v>50</v>
      </c>
      <c r="B803" s="2" t="s">
        <v>35</v>
      </c>
      <c r="C803" s="2" t="s">
        <v>44</v>
      </c>
      <c r="D803" s="2">
        <v>959</v>
      </c>
      <c r="E803" s="2" t="s">
        <v>37</v>
      </c>
      <c r="F803" s="2">
        <v>1</v>
      </c>
      <c r="G803" s="2">
        <v>4</v>
      </c>
      <c r="H803" s="2" t="s">
        <v>49</v>
      </c>
      <c r="I803" s="2">
        <v>1</v>
      </c>
      <c r="J803" s="2">
        <v>1113</v>
      </c>
      <c r="K803" s="2">
        <v>4</v>
      </c>
      <c r="L803" s="2" t="s">
        <v>46</v>
      </c>
      <c r="M803" s="2">
        <v>81</v>
      </c>
      <c r="N803" s="2">
        <v>3</v>
      </c>
      <c r="O803" s="2">
        <v>2</v>
      </c>
      <c r="P803" s="2" t="s">
        <v>40</v>
      </c>
      <c r="Q803" s="2">
        <v>3</v>
      </c>
      <c r="R803" s="2" t="s">
        <v>41</v>
      </c>
      <c r="S803" s="2">
        <v>4728</v>
      </c>
      <c r="T803" s="2">
        <v>17251</v>
      </c>
      <c r="U803" s="2">
        <v>3</v>
      </c>
      <c r="V803" s="2" t="s">
        <v>42</v>
      </c>
      <c r="W803" s="2" t="s">
        <v>35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</row>
    <row r="804" spans="1:35" x14ac:dyDescent="0.25">
      <c r="A804" s="2">
        <v>33</v>
      </c>
      <c r="B804" s="2" t="s">
        <v>43</v>
      </c>
      <c r="C804" s="2" t="s">
        <v>44</v>
      </c>
      <c r="D804" s="2">
        <v>970</v>
      </c>
      <c r="E804" s="2" t="s">
        <v>37</v>
      </c>
      <c r="F804" s="2">
        <v>7</v>
      </c>
      <c r="G804" s="2">
        <v>3</v>
      </c>
      <c r="H804" s="2" t="s">
        <v>38</v>
      </c>
      <c r="I804" s="2">
        <v>1</v>
      </c>
      <c r="J804" s="2">
        <v>1114</v>
      </c>
      <c r="K804" s="2">
        <v>4</v>
      </c>
      <c r="L804" s="2" t="s">
        <v>39</v>
      </c>
      <c r="M804" s="2">
        <v>30</v>
      </c>
      <c r="N804" s="2">
        <v>3</v>
      </c>
      <c r="O804" s="2">
        <v>2</v>
      </c>
      <c r="P804" s="2" t="s">
        <v>40</v>
      </c>
      <c r="Q804" s="2">
        <v>2</v>
      </c>
      <c r="R804" s="2" t="s">
        <v>48</v>
      </c>
      <c r="S804" s="2">
        <v>4302</v>
      </c>
      <c r="T804" s="2">
        <v>13401</v>
      </c>
      <c r="U804" s="2">
        <v>0</v>
      </c>
      <c r="V804" s="2" t="s">
        <v>42</v>
      </c>
      <c r="W804" s="2" t="s">
        <v>43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</row>
    <row r="805" spans="1:35" x14ac:dyDescent="0.25">
      <c r="A805" s="2">
        <v>34</v>
      </c>
      <c r="B805" s="2" t="s">
        <v>43</v>
      </c>
      <c r="C805" s="2" t="s">
        <v>55</v>
      </c>
      <c r="D805" s="2">
        <v>697</v>
      </c>
      <c r="E805" s="2" t="s">
        <v>45</v>
      </c>
      <c r="F805" s="2">
        <v>3</v>
      </c>
      <c r="G805" s="2">
        <v>4</v>
      </c>
      <c r="H805" s="2" t="s">
        <v>38</v>
      </c>
      <c r="I805" s="2">
        <v>1</v>
      </c>
      <c r="J805" s="2">
        <v>1115</v>
      </c>
      <c r="K805" s="2">
        <v>3</v>
      </c>
      <c r="L805" s="2" t="s">
        <v>46</v>
      </c>
      <c r="M805" s="2">
        <v>40</v>
      </c>
      <c r="N805" s="2">
        <v>2</v>
      </c>
      <c r="O805" s="2">
        <v>1</v>
      </c>
      <c r="P805" s="2" t="s">
        <v>47</v>
      </c>
      <c r="Q805" s="2">
        <v>4</v>
      </c>
      <c r="R805" s="2" t="s">
        <v>48</v>
      </c>
      <c r="S805" s="2">
        <v>2979</v>
      </c>
      <c r="T805" s="2">
        <v>22478</v>
      </c>
      <c r="U805" s="2">
        <v>3</v>
      </c>
      <c r="V805" s="2" t="s">
        <v>42</v>
      </c>
      <c r="W805" s="2" t="s">
        <v>43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</row>
    <row r="806" spans="1:35" x14ac:dyDescent="0.25">
      <c r="A806" s="2">
        <v>48</v>
      </c>
      <c r="B806" s="2" t="s">
        <v>43</v>
      </c>
      <c r="C806" s="2" t="s">
        <v>55</v>
      </c>
      <c r="D806" s="2">
        <v>1262</v>
      </c>
      <c r="E806" s="2" t="s">
        <v>45</v>
      </c>
      <c r="F806" s="2">
        <v>1</v>
      </c>
      <c r="G806" s="2">
        <v>4</v>
      </c>
      <c r="H806" s="2" t="s">
        <v>51</v>
      </c>
      <c r="I806" s="2">
        <v>1</v>
      </c>
      <c r="J806" s="2">
        <v>1116</v>
      </c>
      <c r="K806" s="2">
        <v>1</v>
      </c>
      <c r="L806" s="2" t="s">
        <v>46</v>
      </c>
      <c r="M806" s="2">
        <v>35</v>
      </c>
      <c r="N806" s="2">
        <v>4</v>
      </c>
      <c r="O806" s="2">
        <v>4</v>
      </c>
      <c r="P806" s="2" t="s">
        <v>56</v>
      </c>
      <c r="Q806" s="2">
        <v>4</v>
      </c>
      <c r="R806" s="2" t="s">
        <v>41</v>
      </c>
      <c r="S806" s="2">
        <v>16885</v>
      </c>
      <c r="T806" s="2">
        <v>16154</v>
      </c>
      <c r="U806" s="2">
        <v>2</v>
      </c>
      <c r="V806" s="2" t="s">
        <v>42</v>
      </c>
      <c r="W806" s="2" t="s">
        <v>43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</row>
    <row r="807" spans="1:35" x14ac:dyDescent="0.25">
      <c r="A807" s="2">
        <v>45</v>
      </c>
      <c r="B807" s="2" t="s">
        <v>43</v>
      </c>
      <c r="C807" s="2" t="s">
        <v>55</v>
      </c>
      <c r="D807" s="2">
        <v>1050</v>
      </c>
      <c r="E807" s="2" t="s">
        <v>37</v>
      </c>
      <c r="F807" s="2">
        <v>9</v>
      </c>
      <c r="G807" s="2">
        <v>4</v>
      </c>
      <c r="H807" s="2" t="s">
        <v>38</v>
      </c>
      <c r="I807" s="2">
        <v>1</v>
      </c>
      <c r="J807" s="2">
        <v>1117</v>
      </c>
      <c r="K807" s="2">
        <v>2</v>
      </c>
      <c r="L807" s="2" t="s">
        <v>39</v>
      </c>
      <c r="M807" s="2">
        <v>65</v>
      </c>
      <c r="N807" s="2">
        <v>2</v>
      </c>
      <c r="O807" s="2">
        <v>2</v>
      </c>
      <c r="P807" s="2" t="s">
        <v>40</v>
      </c>
      <c r="Q807" s="2">
        <v>3</v>
      </c>
      <c r="R807" s="2" t="s">
        <v>48</v>
      </c>
      <c r="S807" s="2">
        <v>5593</v>
      </c>
      <c r="T807" s="2">
        <v>17970</v>
      </c>
      <c r="U807" s="2">
        <v>1</v>
      </c>
      <c r="V807" s="2" t="s">
        <v>42</v>
      </c>
      <c r="W807" s="2" t="s">
        <v>43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</row>
    <row r="808" spans="1:35" x14ac:dyDescent="0.25">
      <c r="A808" s="2">
        <v>52</v>
      </c>
      <c r="B808" s="2" t="s">
        <v>43</v>
      </c>
      <c r="C808" s="2" t="s">
        <v>36</v>
      </c>
      <c r="D808" s="2">
        <v>994</v>
      </c>
      <c r="E808" s="2" t="s">
        <v>45</v>
      </c>
      <c r="F808" s="2">
        <v>7</v>
      </c>
      <c r="G808" s="2">
        <v>4</v>
      </c>
      <c r="H808" s="2" t="s">
        <v>38</v>
      </c>
      <c r="I808" s="2">
        <v>1</v>
      </c>
      <c r="J808" s="2">
        <v>1118</v>
      </c>
      <c r="K808" s="2">
        <v>2</v>
      </c>
      <c r="L808" s="2" t="s">
        <v>46</v>
      </c>
      <c r="M808" s="2">
        <v>87</v>
      </c>
      <c r="N808" s="2">
        <v>3</v>
      </c>
      <c r="O808" s="2">
        <v>3</v>
      </c>
      <c r="P808" s="2" t="s">
        <v>54</v>
      </c>
      <c r="Q808" s="2">
        <v>2</v>
      </c>
      <c r="R808" s="2" t="s">
        <v>41</v>
      </c>
      <c r="S808" s="2">
        <v>10445</v>
      </c>
      <c r="T808" s="2">
        <v>15322</v>
      </c>
      <c r="U808" s="2">
        <v>7</v>
      </c>
      <c r="V808" s="2" t="s">
        <v>42</v>
      </c>
      <c r="W808" s="2" t="s">
        <v>43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</row>
    <row r="809" spans="1:35" x14ac:dyDescent="0.25">
      <c r="A809" s="2">
        <v>38</v>
      </c>
      <c r="B809" s="2" t="s">
        <v>43</v>
      </c>
      <c r="C809" s="2" t="s">
        <v>36</v>
      </c>
      <c r="D809" s="2">
        <v>770</v>
      </c>
      <c r="E809" s="2" t="s">
        <v>37</v>
      </c>
      <c r="F809" s="2">
        <v>10</v>
      </c>
      <c r="G809" s="2">
        <v>4</v>
      </c>
      <c r="H809" s="2" t="s">
        <v>59</v>
      </c>
      <c r="I809" s="2">
        <v>1</v>
      </c>
      <c r="J809" s="2">
        <v>1119</v>
      </c>
      <c r="K809" s="2">
        <v>3</v>
      </c>
      <c r="L809" s="2" t="s">
        <v>46</v>
      </c>
      <c r="M809" s="2">
        <v>73</v>
      </c>
      <c r="N809" s="2">
        <v>2</v>
      </c>
      <c r="O809" s="2">
        <v>3</v>
      </c>
      <c r="P809" s="2" t="s">
        <v>40</v>
      </c>
      <c r="Q809" s="2">
        <v>3</v>
      </c>
      <c r="R809" s="2" t="s">
        <v>52</v>
      </c>
      <c r="S809" s="2">
        <v>8740</v>
      </c>
      <c r="T809" s="2">
        <v>5569</v>
      </c>
      <c r="U809" s="2">
        <v>0</v>
      </c>
      <c r="V809" s="2" t="s">
        <v>42</v>
      </c>
      <c r="W809" s="2" t="s">
        <v>35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</row>
    <row r="810" spans="1:35" x14ac:dyDescent="0.25">
      <c r="A810" s="2">
        <v>29</v>
      </c>
      <c r="B810" s="2" t="s">
        <v>43</v>
      </c>
      <c r="C810" s="2" t="s">
        <v>36</v>
      </c>
      <c r="D810" s="2">
        <v>1107</v>
      </c>
      <c r="E810" s="2" t="s">
        <v>45</v>
      </c>
      <c r="F810" s="2">
        <v>28</v>
      </c>
      <c r="G810" s="2">
        <v>4</v>
      </c>
      <c r="H810" s="2" t="s">
        <v>38</v>
      </c>
      <c r="I810" s="2">
        <v>1</v>
      </c>
      <c r="J810" s="2">
        <v>1120</v>
      </c>
      <c r="K810" s="2">
        <v>3</v>
      </c>
      <c r="L810" s="2" t="s">
        <v>39</v>
      </c>
      <c r="M810" s="2">
        <v>93</v>
      </c>
      <c r="N810" s="2">
        <v>3</v>
      </c>
      <c r="O810" s="2">
        <v>1</v>
      </c>
      <c r="P810" s="2" t="s">
        <v>47</v>
      </c>
      <c r="Q810" s="2">
        <v>4</v>
      </c>
      <c r="R810" s="2" t="s">
        <v>52</v>
      </c>
      <c r="S810" s="2">
        <v>2514</v>
      </c>
      <c r="T810" s="2">
        <v>26968</v>
      </c>
      <c r="U810" s="2">
        <v>4</v>
      </c>
      <c r="V810" s="2" t="s">
        <v>42</v>
      </c>
      <c r="W810" s="2" t="s">
        <v>43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</row>
    <row r="811" spans="1:35" x14ac:dyDescent="0.25">
      <c r="A811" s="2">
        <v>28</v>
      </c>
      <c r="B811" s="2" t="s">
        <v>43</v>
      </c>
      <c r="C811" s="2" t="s">
        <v>36</v>
      </c>
      <c r="D811" s="2">
        <v>950</v>
      </c>
      <c r="E811" s="2" t="s">
        <v>45</v>
      </c>
      <c r="F811" s="2">
        <v>3</v>
      </c>
      <c r="G811" s="2">
        <v>3</v>
      </c>
      <c r="H811" s="2" t="s">
        <v>51</v>
      </c>
      <c r="I811" s="2">
        <v>1</v>
      </c>
      <c r="J811" s="2">
        <v>1121</v>
      </c>
      <c r="K811" s="2">
        <v>4</v>
      </c>
      <c r="L811" s="2" t="s">
        <v>39</v>
      </c>
      <c r="M811" s="2">
        <v>93</v>
      </c>
      <c r="N811" s="2">
        <v>3</v>
      </c>
      <c r="O811" s="2">
        <v>3</v>
      </c>
      <c r="P811" s="2" t="s">
        <v>53</v>
      </c>
      <c r="Q811" s="2">
        <v>2</v>
      </c>
      <c r="R811" s="2" t="s">
        <v>52</v>
      </c>
      <c r="S811" s="2">
        <v>7655</v>
      </c>
      <c r="T811" s="2">
        <v>8039</v>
      </c>
      <c r="U811" s="2">
        <v>0</v>
      </c>
      <c r="V811" s="2" t="s">
        <v>42</v>
      </c>
      <c r="W811" s="2" t="s">
        <v>43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</row>
    <row r="812" spans="1:35" x14ac:dyDescent="0.25">
      <c r="A812" s="2">
        <v>46</v>
      </c>
      <c r="B812" s="2" t="s">
        <v>43</v>
      </c>
      <c r="C812" s="2" t="s">
        <v>36</v>
      </c>
      <c r="D812" s="2">
        <v>406</v>
      </c>
      <c r="E812" s="2" t="s">
        <v>37</v>
      </c>
      <c r="F812" s="2">
        <v>3</v>
      </c>
      <c r="G812" s="2">
        <v>1</v>
      </c>
      <c r="H812" s="2" t="s">
        <v>59</v>
      </c>
      <c r="I812" s="2">
        <v>1</v>
      </c>
      <c r="J812" s="2">
        <v>1124</v>
      </c>
      <c r="K812" s="2">
        <v>1</v>
      </c>
      <c r="L812" s="2" t="s">
        <v>46</v>
      </c>
      <c r="M812" s="2">
        <v>52</v>
      </c>
      <c r="N812" s="2">
        <v>3</v>
      </c>
      <c r="O812" s="2">
        <v>4</v>
      </c>
      <c r="P812" s="2" t="s">
        <v>56</v>
      </c>
      <c r="Q812" s="2">
        <v>3</v>
      </c>
      <c r="R812" s="2" t="s">
        <v>48</v>
      </c>
      <c r="S812" s="2">
        <v>17465</v>
      </c>
      <c r="T812" s="2">
        <v>15596</v>
      </c>
      <c r="U812" s="2">
        <v>3</v>
      </c>
      <c r="V812" s="2" t="s">
        <v>42</v>
      </c>
      <c r="W812" s="2" t="s">
        <v>43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</row>
    <row r="813" spans="1:35" x14ac:dyDescent="0.25">
      <c r="A813" s="2">
        <v>38</v>
      </c>
      <c r="B813" s="2" t="s">
        <v>43</v>
      </c>
      <c r="C813" s="2" t="s">
        <v>36</v>
      </c>
      <c r="D813" s="2">
        <v>130</v>
      </c>
      <c r="E813" s="2" t="s">
        <v>37</v>
      </c>
      <c r="F813" s="2">
        <v>2</v>
      </c>
      <c r="G813" s="2">
        <v>2</v>
      </c>
      <c r="H813" s="2" t="s">
        <v>59</v>
      </c>
      <c r="I813" s="2">
        <v>1</v>
      </c>
      <c r="J813" s="2">
        <v>1125</v>
      </c>
      <c r="K813" s="2">
        <v>4</v>
      </c>
      <c r="L813" s="2" t="s">
        <v>46</v>
      </c>
      <c r="M813" s="2">
        <v>32</v>
      </c>
      <c r="N813" s="2">
        <v>3</v>
      </c>
      <c r="O813" s="2">
        <v>3</v>
      </c>
      <c r="P813" s="2" t="s">
        <v>40</v>
      </c>
      <c r="Q813" s="2">
        <v>2</v>
      </c>
      <c r="R813" s="2" t="s">
        <v>41</v>
      </c>
      <c r="S813" s="2">
        <v>7351</v>
      </c>
      <c r="T813" s="2">
        <v>20619</v>
      </c>
      <c r="U813" s="2">
        <v>7</v>
      </c>
      <c r="V813" s="2" t="s">
        <v>42</v>
      </c>
      <c r="W813" s="2" t="s">
        <v>43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</row>
    <row r="814" spans="1:35" x14ac:dyDescent="0.25">
      <c r="A814" s="2">
        <v>43</v>
      </c>
      <c r="B814" s="2" t="s">
        <v>43</v>
      </c>
      <c r="C814" s="2" t="s">
        <v>44</v>
      </c>
      <c r="D814" s="2">
        <v>1082</v>
      </c>
      <c r="E814" s="2" t="s">
        <v>45</v>
      </c>
      <c r="F814" s="2">
        <v>27</v>
      </c>
      <c r="G814" s="2">
        <v>3</v>
      </c>
      <c r="H814" s="2" t="s">
        <v>38</v>
      </c>
      <c r="I814" s="2">
        <v>1</v>
      </c>
      <c r="J814" s="2">
        <v>1126</v>
      </c>
      <c r="K814" s="2">
        <v>3</v>
      </c>
      <c r="L814" s="2" t="s">
        <v>39</v>
      </c>
      <c r="M814" s="2">
        <v>83</v>
      </c>
      <c r="N814" s="2">
        <v>3</v>
      </c>
      <c r="O814" s="2">
        <v>3</v>
      </c>
      <c r="P814" s="2" t="s">
        <v>53</v>
      </c>
      <c r="Q814" s="2">
        <v>1</v>
      </c>
      <c r="R814" s="2" t="s">
        <v>48</v>
      </c>
      <c r="S814" s="2">
        <v>10820</v>
      </c>
      <c r="T814" s="2">
        <v>11535</v>
      </c>
      <c r="U814" s="2">
        <v>8</v>
      </c>
      <c r="V814" s="2" t="s">
        <v>42</v>
      </c>
      <c r="W814" s="2" t="s">
        <v>43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</row>
    <row r="815" spans="1:35" x14ac:dyDescent="0.25">
      <c r="A815" s="2">
        <v>39</v>
      </c>
      <c r="B815" s="2" t="s">
        <v>35</v>
      </c>
      <c r="C815" s="2" t="s">
        <v>44</v>
      </c>
      <c r="D815" s="2">
        <v>203</v>
      </c>
      <c r="E815" s="2" t="s">
        <v>45</v>
      </c>
      <c r="F815" s="2">
        <v>2</v>
      </c>
      <c r="G815" s="2">
        <v>3</v>
      </c>
      <c r="H815" s="2" t="s">
        <v>38</v>
      </c>
      <c r="I815" s="2">
        <v>1</v>
      </c>
      <c r="J815" s="2">
        <v>1127</v>
      </c>
      <c r="K815" s="2">
        <v>1</v>
      </c>
      <c r="L815" s="2" t="s">
        <v>46</v>
      </c>
      <c r="M815" s="2">
        <v>84</v>
      </c>
      <c r="N815" s="2">
        <v>3</v>
      </c>
      <c r="O815" s="2">
        <v>4</v>
      </c>
      <c r="P815" s="2" t="s">
        <v>54</v>
      </c>
      <c r="Q815" s="2">
        <v>4</v>
      </c>
      <c r="R815" s="2" t="s">
        <v>52</v>
      </c>
      <c r="S815" s="2">
        <v>12169</v>
      </c>
      <c r="T815" s="2">
        <v>13547</v>
      </c>
      <c r="U815" s="2">
        <v>7</v>
      </c>
      <c r="V815" s="2" t="s">
        <v>42</v>
      </c>
      <c r="W815" s="2" t="s">
        <v>43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</row>
    <row r="816" spans="1:35" x14ac:dyDescent="0.25">
      <c r="A816" s="2">
        <v>40</v>
      </c>
      <c r="B816" s="2" t="s">
        <v>43</v>
      </c>
      <c r="C816" s="2" t="s">
        <v>36</v>
      </c>
      <c r="D816" s="2">
        <v>1308</v>
      </c>
      <c r="E816" s="2" t="s">
        <v>45</v>
      </c>
      <c r="F816" s="2">
        <v>14</v>
      </c>
      <c r="G816" s="2">
        <v>3</v>
      </c>
      <c r="H816" s="2" t="s">
        <v>51</v>
      </c>
      <c r="I816" s="2">
        <v>1</v>
      </c>
      <c r="J816" s="2">
        <v>1128</v>
      </c>
      <c r="K816" s="2">
        <v>3</v>
      </c>
      <c r="L816" s="2" t="s">
        <v>46</v>
      </c>
      <c r="M816" s="2">
        <v>44</v>
      </c>
      <c r="N816" s="2">
        <v>2</v>
      </c>
      <c r="O816" s="2">
        <v>5</v>
      </c>
      <c r="P816" s="2" t="s">
        <v>58</v>
      </c>
      <c r="Q816" s="2">
        <v>3</v>
      </c>
      <c r="R816" s="2" t="s">
        <v>41</v>
      </c>
      <c r="S816" s="2">
        <v>19626</v>
      </c>
      <c r="T816" s="2">
        <v>17544</v>
      </c>
      <c r="U816" s="2">
        <v>1</v>
      </c>
      <c r="V816" s="2" t="s">
        <v>42</v>
      </c>
      <c r="W816" s="2" t="s">
        <v>43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</row>
    <row r="817" spans="1:35" x14ac:dyDescent="0.25">
      <c r="A817" s="2">
        <v>21</v>
      </c>
      <c r="B817" s="2" t="s">
        <v>43</v>
      </c>
      <c r="C817" s="2" t="s">
        <v>36</v>
      </c>
      <c r="D817" s="2">
        <v>984</v>
      </c>
      <c r="E817" s="2" t="s">
        <v>45</v>
      </c>
      <c r="F817" s="2">
        <v>1</v>
      </c>
      <c r="G817" s="2">
        <v>1</v>
      </c>
      <c r="H817" s="2" t="s">
        <v>60</v>
      </c>
      <c r="I817" s="2">
        <v>1</v>
      </c>
      <c r="J817" s="2">
        <v>1131</v>
      </c>
      <c r="K817" s="2">
        <v>4</v>
      </c>
      <c r="L817" s="2" t="s">
        <v>39</v>
      </c>
      <c r="M817" s="2">
        <v>70</v>
      </c>
      <c r="N817" s="2">
        <v>2</v>
      </c>
      <c r="O817" s="2">
        <v>1</v>
      </c>
      <c r="P817" s="2" t="s">
        <v>47</v>
      </c>
      <c r="Q817" s="2">
        <v>2</v>
      </c>
      <c r="R817" s="2" t="s">
        <v>41</v>
      </c>
      <c r="S817" s="2">
        <v>2070</v>
      </c>
      <c r="T817" s="2">
        <v>25326</v>
      </c>
      <c r="U817" s="2">
        <v>1</v>
      </c>
      <c r="V817" s="2" t="s">
        <v>42</v>
      </c>
      <c r="W817" s="2" t="s">
        <v>35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</row>
    <row r="818" spans="1:35" x14ac:dyDescent="0.25">
      <c r="A818" s="2">
        <v>39</v>
      </c>
      <c r="B818" s="2" t="s">
        <v>43</v>
      </c>
      <c r="C818" s="2" t="s">
        <v>55</v>
      </c>
      <c r="D818" s="2">
        <v>439</v>
      </c>
      <c r="E818" s="2" t="s">
        <v>45</v>
      </c>
      <c r="F818" s="2">
        <v>9</v>
      </c>
      <c r="G818" s="2">
        <v>3</v>
      </c>
      <c r="H818" s="2" t="s">
        <v>38</v>
      </c>
      <c r="I818" s="2">
        <v>1</v>
      </c>
      <c r="J818" s="2">
        <v>1132</v>
      </c>
      <c r="K818" s="2">
        <v>3</v>
      </c>
      <c r="L818" s="2" t="s">
        <v>46</v>
      </c>
      <c r="M818" s="2">
        <v>70</v>
      </c>
      <c r="N818" s="2">
        <v>3</v>
      </c>
      <c r="O818" s="2">
        <v>2</v>
      </c>
      <c r="P818" s="2" t="s">
        <v>50</v>
      </c>
      <c r="Q818" s="2">
        <v>2</v>
      </c>
      <c r="R818" s="2" t="s">
        <v>41</v>
      </c>
      <c r="S818" s="2">
        <v>6782</v>
      </c>
      <c r="T818" s="2">
        <v>8770</v>
      </c>
      <c r="U818" s="2">
        <v>9</v>
      </c>
      <c r="V818" s="2" t="s">
        <v>42</v>
      </c>
      <c r="W818" s="2" t="s">
        <v>43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</row>
    <row r="819" spans="1:35" x14ac:dyDescent="0.25">
      <c r="A819" s="2">
        <v>36</v>
      </c>
      <c r="B819" s="2" t="s">
        <v>43</v>
      </c>
      <c r="C819" s="2" t="s">
        <v>55</v>
      </c>
      <c r="D819" s="2">
        <v>217</v>
      </c>
      <c r="E819" s="2" t="s">
        <v>45</v>
      </c>
      <c r="F819" s="2">
        <v>18</v>
      </c>
      <c r="G819" s="2">
        <v>4</v>
      </c>
      <c r="H819" s="2" t="s">
        <v>38</v>
      </c>
      <c r="I819" s="2">
        <v>1</v>
      </c>
      <c r="J819" s="2">
        <v>1133</v>
      </c>
      <c r="K819" s="2">
        <v>1</v>
      </c>
      <c r="L819" s="2" t="s">
        <v>46</v>
      </c>
      <c r="M819" s="2">
        <v>78</v>
      </c>
      <c r="N819" s="2">
        <v>3</v>
      </c>
      <c r="O819" s="2">
        <v>2</v>
      </c>
      <c r="P819" s="2" t="s">
        <v>53</v>
      </c>
      <c r="Q819" s="2">
        <v>4</v>
      </c>
      <c r="R819" s="2" t="s">
        <v>41</v>
      </c>
      <c r="S819" s="2">
        <v>7779</v>
      </c>
      <c r="T819" s="2">
        <v>23238</v>
      </c>
      <c r="U819" s="2">
        <v>2</v>
      </c>
      <c r="V819" s="2" t="s">
        <v>42</v>
      </c>
      <c r="W819" s="2" t="s">
        <v>43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</row>
    <row r="820" spans="1:35" x14ac:dyDescent="0.25">
      <c r="A820" s="2">
        <v>31</v>
      </c>
      <c r="B820" s="2" t="s">
        <v>43</v>
      </c>
      <c r="C820" s="2" t="s">
        <v>44</v>
      </c>
      <c r="D820" s="2">
        <v>793</v>
      </c>
      <c r="E820" s="2" t="s">
        <v>37</v>
      </c>
      <c r="F820" s="2">
        <v>20</v>
      </c>
      <c r="G820" s="2">
        <v>3</v>
      </c>
      <c r="H820" s="2" t="s">
        <v>38</v>
      </c>
      <c r="I820" s="2">
        <v>1</v>
      </c>
      <c r="J820" s="2">
        <v>1135</v>
      </c>
      <c r="K820" s="2">
        <v>3</v>
      </c>
      <c r="L820" s="2" t="s">
        <v>46</v>
      </c>
      <c r="M820" s="2">
        <v>67</v>
      </c>
      <c r="N820" s="2">
        <v>4</v>
      </c>
      <c r="O820" s="2">
        <v>1</v>
      </c>
      <c r="P820" s="2" t="s">
        <v>57</v>
      </c>
      <c r="Q820" s="2">
        <v>4</v>
      </c>
      <c r="R820" s="2" t="s">
        <v>48</v>
      </c>
      <c r="S820" s="2">
        <v>2791</v>
      </c>
      <c r="T820" s="2">
        <v>21981</v>
      </c>
      <c r="U820" s="2">
        <v>0</v>
      </c>
      <c r="V820" s="2" t="s">
        <v>42</v>
      </c>
      <c r="W820" s="2" t="s">
        <v>43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</row>
    <row r="821" spans="1:35" x14ac:dyDescent="0.25">
      <c r="A821" s="2">
        <v>28</v>
      </c>
      <c r="B821" s="2" t="s">
        <v>43</v>
      </c>
      <c r="C821" s="2" t="s">
        <v>36</v>
      </c>
      <c r="D821" s="2">
        <v>1451</v>
      </c>
      <c r="E821" s="2" t="s">
        <v>45</v>
      </c>
      <c r="F821" s="2">
        <v>2</v>
      </c>
      <c r="G821" s="2">
        <v>1</v>
      </c>
      <c r="H821" s="2" t="s">
        <v>38</v>
      </c>
      <c r="I821" s="2">
        <v>1</v>
      </c>
      <c r="J821" s="2">
        <v>1136</v>
      </c>
      <c r="K821" s="2">
        <v>1</v>
      </c>
      <c r="L821" s="2" t="s">
        <v>46</v>
      </c>
      <c r="M821" s="2">
        <v>67</v>
      </c>
      <c r="N821" s="2">
        <v>2</v>
      </c>
      <c r="O821" s="2">
        <v>1</v>
      </c>
      <c r="P821" s="2" t="s">
        <v>47</v>
      </c>
      <c r="Q821" s="2">
        <v>2</v>
      </c>
      <c r="R821" s="2" t="s">
        <v>48</v>
      </c>
      <c r="S821" s="2">
        <v>3201</v>
      </c>
      <c r="T821" s="2">
        <v>19911</v>
      </c>
      <c r="U821" s="2">
        <v>0</v>
      </c>
      <c r="V821" s="2" t="s">
        <v>42</v>
      </c>
      <c r="W821" s="2" t="s">
        <v>43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</row>
    <row r="822" spans="1:35" x14ac:dyDescent="0.25">
      <c r="A822" s="2">
        <v>35</v>
      </c>
      <c r="B822" s="2" t="s">
        <v>43</v>
      </c>
      <c r="C822" s="2" t="s">
        <v>44</v>
      </c>
      <c r="D822" s="2">
        <v>1182</v>
      </c>
      <c r="E822" s="2" t="s">
        <v>37</v>
      </c>
      <c r="F822" s="2">
        <v>11</v>
      </c>
      <c r="G822" s="2">
        <v>2</v>
      </c>
      <c r="H822" s="2" t="s">
        <v>59</v>
      </c>
      <c r="I822" s="2">
        <v>1</v>
      </c>
      <c r="J822" s="2">
        <v>1137</v>
      </c>
      <c r="K822" s="2">
        <v>4</v>
      </c>
      <c r="L822" s="2" t="s">
        <v>46</v>
      </c>
      <c r="M822" s="2">
        <v>54</v>
      </c>
      <c r="N822" s="2">
        <v>3</v>
      </c>
      <c r="O822" s="2">
        <v>2</v>
      </c>
      <c r="P822" s="2" t="s">
        <v>40</v>
      </c>
      <c r="Q822" s="2">
        <v>4</v>
      </c>
      <c r="R822" s="2" t="s">
        <v>52</v>
      </c>
      <c r="S822" s="2">
        <v>4968</v>
      </c>
      <c r="T822" s="2">
        <v>18500</v>
      </c>
      <c r="U822" s="2">
        <v>1</v>
      </c>
      <c r="V822" s="2" t="s">
        <v>42</v>
      </c>
      <c r="W822" s="2" t="s">
        <v>43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</row>
    <row r="823" spans="1:35" x14ac:dyDescent="0.25">
      <c r="A823" s="2">
        <v>49</v>
      </c>
      <c r="B823" s="2" t="s">
        <v>43</v>
      </c>
      <c r="C823" s="2" t="s">
        <v>36</v>
      </c>
      <c r="D823" s="2">
        <v>174</v>
      </c>
      <c r="E823" s="2" t="s">
        <v>37</v>
      </c>
      <c r="F823" s="2">
        <v>8</v>
      </c>
      <c r="G823" s="2">
        <v>4</v>
      </c>
      <c r="H823" s="2" t="s">
        <v>60</v>
      </c>
      <c r="I823" s="2">
        <v>1</v>
      </c>
      <c r="J823" s="2">
        <v>1138</v>
      </c>
      <c r="K823" s="2">
        <v>4</v>
      </c>
      <c r="L823" s="2" t="s">
        <v>46</v>
      </c>
      <c r="M823" s="2">
        <v>56</v>
      </c>
      <c r="N823" s="2">
        <v>2</v>
      </c>
      <c r="O823" s="2">
        <v>4</v>
      </c>
      <c r="P823" s="2" t="s">
        <v>40</v>
      </c>
      <c r="Q823" s="2">
        <v>2</v>
      </c>
      <c r="R823" s="2" t="s">
        <v>48</v>
      </c>
      <c r="S823" s="2">
        <v>13120</v>
      </c>
      <c r="T823" s="2">
        <v>11879</v>
      </c>
      <c r="U823" s="2">
        <v>6</v>
      </c>
      <c r="V823" s="2" t="s">
        <v>42</v>
      </c>
      <c r="W823" s="2" t="s">
        <v>43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</row>
    <row r="824" spans="1:35" x14ac:dyDescent="0.25">
      <c r="A824" s="2">
        <v>34</v>
      </c>
      <c r="B824" s="2" t="s">
        <v>43</v>
      </c>
      <c r="C824" s="2" t="s">
        <v>44</v>
      </c>
      <c r="D824" s="2">
        <v>1003</v>
      </c>
      <c r="E824" s="2" t="s">
        <v>45</v>
      </c>
      <c r="F824" s="2">
        <v>2</v>
      </c>
      <c r="G824" s="2">
        <v>2</v>
      </c>
      <c r="H824" s="2" t="s">
        <v>38</v>
      </c>
      <c r="I824" s="2">
        <v>1</v>
      </c>
      <c r="J824" s="2">
        <v>1140</v>
      </c>
      <c r="K824" s="2">
        <v>4</v>
      </c>
      <c r="L824" s="2" t="s">
        <v>46</v>
      </c>
      <c r="M824" s="2">
        <v>95</v>
      </c>
      <c r="N824" s="2">
        <v>3</v>
      </c>
      <c r="O824" s="2">
        <v>2</v>
      </c>
      <c r="P824" s="2" t="s">
        <v>53</v>
      </c>
      <c r="Q824" s="2">
        <v>3</v>
      </c>
      <c r="R824" s="2" t="s">
        <v>41</v>
      </c>
      <c r="S824" s="2">
        <v>4033</v>
      </c>
      <c r="T824" s="2">
        <v>15834</v>
      </c>
      <c r="U824" s="2">
        <v>2</v>
      </c>
      <c r="V824" s="2" t="s">
        <v>42</v>
      </c>
      <c r="W824" s="2" t="s">
        <v>43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</row>
    <row r="825" spans="1:35" x14ac:dyDescent="0.25">
      <c r="A825" s="2">
        <v>29</v>
      </c>
      <c r="B825" s="2" t="s">
        <v>43</v>
      </c>
      <c r="C825" s="2" t="s">
        <v>44</v>
      </c>
      <c r="D825" s="2">
        <v>490</v>
      </c>
      <c r="E825" s="2" t="s">
        <v>45</v>
      </c>
      <c r="F825" s="2">
        <v>10</v>
      </c>
      <c r="G825" s="2">
        <v>3</v>
      </c>
      <c r="H825" s="2" t="s">
        <v>38</v>
      </c>
      <c r="I825" s="2">
        <v>1</v>
      </c>
      <c r="J825" s="2">
        <v>1143</v>
      </c>
      <c r="K825" s="2">
        <v>4</v>
      </c>
      <c r="L825" s="2" t="s">
        <v>39</v>
      </c>
      <c r="M825" s="2">
        <v>61</v>
      </c>
      <c r="N825" s="2">
        <v>3</v>
      </c>
      <c r="O825" s="2">
        <v>1</v>
      </c>
      <c r="P825" s="2" t="s">
        <v>47</v>
      </c>
      <c r="Q825" s="2">
        <v>2</v>
      </c>
      <c r="R825" s="2" t="s">
        <v>52</v>
      </c>
      <c r="S825" s="2">
        <v>3291</v>
      </c>
      <c r="T825" s="2">
        <v>17940</v>
      </c>
      <c r="U825" s="2">
        <v>0</v>
      </c>
      <c r="V825" s="2" t="s">
        <v>42</v>
      </c>
      <c r="W825" s="2" t="s">
        <v>43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</row>
    <row r="826" spans="1:35" x14ac:dyDescent="0.25">
      <c r="A826" s="2">
        <v>42</v>
      </c>
      <c r="B826" s="2" t="s">
        <v>43</v>
      </c>
      <c r="C826" s="2" t="s">
        <v>36</v>
      </c>
      <c r="D826" s="2">
        <v>188</v>
      </c>
      <c r="E826" s="2" t="s">
        <v>45</v>
      </c>
      <c r="F826" s="2">
        <v>29</v>
      </c>
      <c r="G826" s="2">
        <v>3</v>
      </c>
      <c r="H826" s="2" t="s">
        <v>51</v>
      </c>
      <c r="I826" s="2">
        <v>1</v>
      </c>
      <c r="J826" s="2">
        <v>1148</v>
      </c>
      <c r="K826" s="2">
        <v>2</v>
      </c>
      <c r="L826" s="2" t="s">
        <v>46</v>
      </c>
      <c r="M826" s="2">
        <v>56</v>
      </c>
      <c r="N826" s="2">
        <v>1</v>
      </c>
      <c r="O826" s="2">
        <v>2</v>
      </c>
      <c r="P826" s="2" t="s">
        <v>50</v>
      </c>
      <c r="Q826" s="2">
        <v>4</v>
      </c>
      <c r="R826" s="2" t="s">
        <v>41</v>
      </c>
      <c r="S826" s="2">
        <v>4272</v>
      </c>
      <c r="T826" s="2">
        <v>9558</v>
      </c>
      <c r="U826" s="2">
        <v>4</v>
      </c>
      <c r="V826" s="2" t="s">
        <v>42</v>
      </c>
      <c r="W826" s="2" t="s">
        <v>43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</row>
    <row r="827" spans="1:35" x14ac:dyDescent="0.25">
      <c r="A827" s="2">
        <v>29</v>
      </c>
      <c r="B827" s="2" t="s">
        <v>43</v>
      </c>
      <c r="C827" s="2" t="s">
        <v>36</v>
      </c>
      <c r="D827" s="2">
        <v>718</v>
      </c>
      <c r="E827" s="2" t="s">
        <v>45</v>
      </c>
      <c r="F827" s="2">
        <v>8</v>
      </c>
      <c r="G827" s="2">
        <v>1</v>
      </c>
      <c r="H827" s="2" t="s">
        <v>51</v>
      </c>
      <c r="I827" s="2">
        <v>1</v>
      </c>
      <c r="J827" s="2">
        <v>1150</v>
      </c>
      <c r="K827" s="2">
        <v>2</v>
      </c>
      <c r="L827" s="2" t="s">
        <v>46</v>
      </c>
      <c r="M827" s="2">
        <v>79</v>
      </c>
      <c r="N827" s="2">
        <v>2</v>
      </c>
      <c r="O827" s="2">
        <v>2</v>
      </c>
      <c r="P827" s="2" t="s">
        <v>53</v>
      </c>
      <c r="Q827" s="2">
        <v>4</v>
      </c>
      <c r="R827" s="2" t="s">
        <v>48</v>
      </c>
      <c r="S827" s="2">
        <v>5056</v>
      </c>
      <c r="T827" s="2">
        <v>17689</v>
      </c>
      <c r="U827" s="2">
        <v>1</v>
      </c>
      <c r="V827" s="2" t="s">
        <v>42</v>
      </c>
      <c r="W827" s="2" t="s">
        <v>35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</row>
    <row r="828" spans="1:35" x14ac:dyDescent="0.25">
      <c r="A828" s="2">
        <v>38</v>
      </c>
      <c r="B828" s="2" t="s">
        <v>43</v>
      </c>
      <c r="C828" s="2" t="s">
        <v>36</v>
      </c>
      <c r="D828" s="2">
        <v>433</v>
      </c>
      <c r="E828" s="2" t="s">
        <v>61</v>
      </c>
      <c r="F828" s="2">
        <v>1</v>
      </c>
      <c r="G828" s="2">
        <v>3</v>
      </c>
      <c r="H828" s="2" t="s">
        <v>61</v>
      </c>
      <c r="I828" s="2">
        <v>1</v>
      </c>
      <c r="J828" s="2">
        <v>1152</v>
      </c>
      <c r="K828" s="2">
        <v>3</v>
      </c>
      <c r="L828" s="2" t="s">
        <v>46</v>
      </c>
      <c r="M828" s="2">
        <v>37</v>
      </c>
      <c r="N828" s="2">
        <v>4</v>
      </c>
      <c r="O828" s="2">
        <v>1</v>
      </c>
      <c r="P828" s="2" t="s">
        <v>61</v>
      </c>
      <c r="Q828" s="2">
        <v>3</v>
      </c>
      <c r="R828" s="2" t="s">
        <v>48</v>
      </c>
      <c r="S828" s="2">
        <v>2844</v>
      </c>
      <c r="T828" s="2">
        <v>6004</v>
      </c>
      <c r="U828" s="2">
        <v>1</v>
      </c>
      <c r="V828" s="2" t="s">
        <v>42</v>
      </c>
      <c r="W828" s="2" t="s">
        <v>43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</row>
    <row r="829" spans="1:35" x14ac:dyDescent="0.25">
      <c r="A829" s="2">
        <v>28</v>
      </c>
      <c r="B829" s="2" t="s">
        <v>43</v>
      </c>
      <c r="C829" s="2" t="s">
        <v>44</v>
      </c>
      <c r="D829" s="2">
        <v>773</v>
      </c>
      <c r="E829" s="2" t="s">
        <v>45</v>
      </c>
      <c r="F829" s="2">
        <v>6</v>
      </c>
      <c r="G829" s="2">
        <v>3</v>
      </c>
      <c r="H829" s="2" t="s">
        <v>38</v>
      </c>
      <c r="I829" s="2">
        <v>1</v>
      </c>
      <c r="J829" s="2">
        <v>1154</v>
      </c>
      <c r="K829" s="2">
        <v>3</v>
      </c>
      <c r="L829" s="2" t="s">
        <v>46</v>
      </c>
      <c r="M829" s="2">
        <v>39</v>
      </c>
      <c r="N829" s="2">
        <v>2</v>
      </c>
      <c r="O829" s="2">
        <v>1</v>
      </c>
      <c r="P829" s="2" t="s">
        <v>47</v>
      </c>
      <c r="Q829" s="2">
        <v>3</v>
      </c>
      <c r="R829" s="2" t="s">
        <v>52</v>
      </c>
      <c r="S829" s="2">
        <v>2703</v>
      </c>
      <c r="T829" s="2">
        <v>22088</v>
      </c>
      <c r="U829" s="2">
        <v>1</v>
      </c>
      <c r="V829" s="2" t="s">
        <v>42</v>
      </c>
      <c r="W829" s="2" t="s">
        <v>35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</row>
    <row r="830" spans="1:35" x14ac:dyDescent="0.25">
      <c r="A830" s="2">
        <v>18</v>
      </c>
      <c r="B830" s="2" t="s">
        <v>35</v>
      </c>
      <c r="C830" s="2" t="s">
        <v>55</v>
      </c>
      <c r="D830" s="2">
        <v>247</v>
      </c>
      <c r="E830" s="2" t="s">
        <v>45</v>
      </c>
      <c r="F830" s="2">
        <v>8</v>
      </c>
      <c r="G830" s="2">
        <v>1</v>
      </c>
      <c r="H830" s="2" t="s">
        <v>51</v>
      </c>
      <c r="I830" s="2">
        <v>1</v>
      </c>
      <c r="J830" s="2">
        <v>1156</v>
      </c>
      <c r="K830" s="2">
        <v>3</v>
      </c>
      <c r="L830" s="2" t="s">
        <v>46</v>
      </c>
      <c r="M830" s="2">
        <v>80</v>
      </c>
      <c r="N830" s="2">
        <v>3</v>
      </c>
      <c r="O830" s="2">
        <v>1</v>
      </c>
      <c r="P830" s="2" t="s">
        <v>50</v>
      </c>
      <c r="Q830" s="2">
        <v>3</v>
      </c>
      <c r="R830" s="2" t="s">
        <v>41</v>
      </c>
      <c r="S830" s="2">
        <v>1904</v>
      </c>
      <c r="T830" s="2">
        <v>13556</v>
      </c>
      <c r="U830" s="2">
        <v>1</v>
      </c>
      <c r="V830" s="2" t="s">
        <v>42</v>
      </c>
      <c r="W830" s="2" t="s">
        <v>43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</row>
    <row r="831" spans="1:35" x14ac:dyDescent="0.25">
      <c r="A831" s="2">
        <v>33</v>
      </c>
      <c r="B831" s="2" t="s">
        <v>35</v>
      </c>
      <c r="C831" s="2" t="s">
        <v>36</v>
      </c>
      <c r="D831" s="2">
        <v>603</v>
      </c>
      <c r="E831" s="2" t="s">
        <v>37</v>
      </c>
      <c r="F831" s="2">
        <v>9</v>
      </c>
      <c r="G831" s="2">
        <v>4</v>
      </c>
      <c r="H831" s="2" t="s">
        <v>59</v>
      </c>
      <c r="I831" s="2">
        <v>1</v>
      </c>
      <c r="J831" s="2">
        <v>1157</v>
      </c>
      <c r="K831" s="2">
        <v>1</v>
      </c>
      <c r="L831" s="2" t="s">
        <v>39</v>
      </c>
      <c r="M831" s="2">
        <v>77</v>
      </c>
      <c r="N831" s="2">
        <v>3</v>
      </c>
      <c r="O831" s="2">
        <v>2</v>
      </c>
      <c r="P831" s="2" t="s">
        <v>40</v>
      </c>
      <c r="Q831" s="2">
        <v>1</v>
      </c>
      <c r="R831" s="2" t="s">
        <v>41</v>
      </c>
      <c r="S831" s="2">
        <v>8224</v>
      </c>
      <c r="T831" s="2">
        <v>18385</v>
      </c>
      <c r="U831" s="2">
        <v>0</v>
      </c>
      <c r="V831" s="2" t="s">
        <v>42</v>
      </c>
      <c r="W831" s="2" t="s">
        <v>35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</row>
    <row r="832" spans="1:35" x14ac:dyDescent="0.25">
      <c r="A832" s="2">
        <v>41</v>
      </c>
      <c r="B832" s="2" t="s">
        <v>43</v>
      </c>
      <c r="C832" s="2" t="s">
        <v>36</v>
      </c>
      <c r="D832" s="2">
        <v>167</v>
      </c>
      <c r="E832" s="2" t="s">
        <v>45</v>
      </c>
      <c r="F832" s="2">
        <v>12</v>
      </c>
      <c r="G832" s="2">
        <v>4</v>
      </c>
      <c r="H832" s="2" t="s">
        <v>38</v>
      </c>
      <c r="I832" s="2">
        <v>1</v>
      </c>
      <c r="J832" s="2">
        <v>1158</v>
      </c>
      <c r="K832" s="2">
        <v>2</v>
      </c>
      <c r="L832" s="2" t="s">
        <v>46</v>
      </c>
      <c r="M832" s="2">
        <v>46</v>
      </c>
      <c r="N832" s="2">
        <v>3</v>
      </c>
      <c r="O832" s="2">
        <v>1</v>
      </c>
      <c r="P832" s="2" t="s">
        <v>50</v>
      </c>
      <c r="Q832" s="2">
        <v>4</v>
      </c>
      <c r="R832" s="2" t="s">
        <v>48</v>
      </c>
      <c r="S832" s="2">
        <v>4766</v>
      </c>
      <c r="T832" s="2">
        <v>9051</v>
      </c>
      <c r="U832" s="2">
        <v>3</v>
      </c>
      <c r="V832" s="2" t="s">
        <v>42</v>
      </c>
      <c r="W832" s="2" t="s">
        <v>35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</row>
    <row r="833" spans="1:35" x14ac:dyDescent="0.25">
      <c r="A833" s="2">
        <v>31</v>
      </c>
      <c r="B833" s="2" t="s">
        <v>35</v>
      </c>
      <c r="C833" s="2" t="s">
        <v>44</v>
      </c>
      <c r="D833" s="2">
        <v>874</v>
      </c>
      <c r="E833" s="2" t="s">
        <v>45</v>
      </c>
      <c r="F833" s="2">
        <v>15</v>
      </c>
      <c r="G833" s="2">
        <v>3</v>
      </c>
      <c r="H833" s="2" t="s">
        <v>51</v>
      </c>
      <c r="I833" s="2">
        <v>1</v>
      </c>
      <c r="J833" s="2">
        <v>1160</v>
      </c>
      <c r="K833" s="2">
        <v>3</v>
      </c>
      <c r="L833" s="2" t="s">
        <v>46</v>
      </c>
      <c r="M833" s="2">
        <v>72</v>
      </c>
      <c r="N833" s="2">
        <v>3</v>
      </c>
      <c r="O833" s="2">
        <v>1</v>
      </c>
      <c r="P833" s="2" t="s">
        <v>50</v>
      </c>
      <c r="Q833" s="2">
        <v>3</v>
      </c>
      <c r="R833" s="2" t="s">
        <v>48</v>
      </c>
      <c r="S833" s="2">
        <v>2610</v>
      </c>
      <c r="T833" s="2">
        <v>6233</v>
      </c>
      <c r="U833" s="2">
        <v>1</v>
      </c>
      <c r="V833" s="2" t="s">
        <v>42</v>
      </c>
      <c r="W833" s="2" t="s">
        <v>43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</row>
    <row r="834" spans="1:35" x14ac:dyDescent="0.25">
      <c r="A834" s="2">
        <v>37</v>
      </c>
      <c r="B834" s="2" t="s">
        <v>43</v>
      </c>
      <c r="C834" s="2" t="s">
        <v>36</v>
      </c>
      <c r="D834" s="2">
        <v>367</v>
      </c>
      <c r="E834" s="2" t="s">
        <v>45</v>
      </c>
      <c r="F834" s="2">
        <v>25</v>
      </c>
      <c r="G834" s="2">
        <v>2</v>
      </c>
      <c r="H834" s="2" t="s">
        <v>51</v>
      </c>
      <c r="I834" s="2">
        <v>1</v>
      </c>
      <c r="J834" s="2">
        <v>1161</v>
      </c>
      <c r="K834" s="2">
        <v>3</v>
      </c>
      <c r="L834" s="2" t="s">
        <v>39</v>
      </c>
      <c r="M834" s="2">
        <v>52</v>
      </c>
      <c r="N834" s="2">
        <v>2</v>
      </c>
      <c r="O834" s="2">
        <v>2</v>
      </c>
      <c r="P834" s="2" t="s">
        <v>54</v>
      </c>
      <c r="Q834" s="2">
        <v>4</v>
      </c>
      <c r="R834" s="2" t="s">
        <v>52</v>
      </c>
      <c r="S834" s="2">
        <v>5731</v>
      </c>
      <c r="T834" s="2">
        <v>17171</v>
      </c>
      <c r="U834" s="2">
        <v>7</v>
      </c>
      <c r="V834" s="2" t="s">
        <v>42</v>
      </c>
      <c r="W834" s="2" t="s">
        <v>43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</row>
    <row r="835" spans="1:35" x14ac:dyDescent="0.25">
      <c r="A835" s="2">
        <v>27</v>
      </c>
      <c r="B835" s="2" t="s">
        <v>43</v>
      </c>
      <c r="C835" s="2" t="s">
        <v>36</v>
      </c>
      <c r="D835" s="2">
        <v>199</v>
      </c>
      <c r="E835" s="2" t="s">
        <v>45</v>
      </c>
      <c r="F835" s="2">
        <v>6</v>
      </c>
      <c r="G835" s="2">
        <v>3</v>
      </c>
      <c r="H835" s="2" t="s">
        <v>38</v>
      </c>
      <c r="I835" s="2">
        <v>1</v>
      </c>
      <c r="J835" s="2">
        <v>1162</v>
      </c>
      <c r="K835" s="2">
        <v>4</v>
      </c>
      <c r="L835" s="2" t="s">
        <v>46</v>
      </c>
      <c r="M835" s="2">
        <v>55</v>
      </c>
      <c r="N835" s="2">
        <v>2</v>
      </c>
      <c r="O835" s="2">
        <v>1</v>
      </c>
      <c r="P835" s="2" t="s">
        <v>47</v>
      </c>
      <c r="Q835" s="2">
        <v>3</v>
      </c>
      <c r="R835" s="2" t="s">
        <v>48</v>
      </c>
      <c r="S835" s="2">
        <v>2539</v>
      </c>
      <c r="T835" s="2">
        <v>7950</v>
      </c>
      <c r="U835" s="2">
        <v>1</v>
      </c>
      <c r="V835" s="2" t="s">
        <v>42</v>
      </c>
      <c r="W835" s="2" t="s">
        <v>43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</row>
    <row r="836" spans="1:35" x14ac:dyDescent="0.25">
      <c r="A836" s="2">
        <v>34</v>
      </c>
      <c r="B836" s="2" t="s">
        <v>43</v>
      </c>
      <c r="C836" s="2" t="s">
        <v>36</v>
      </c>
      <c r="D836" s="2">
        <v>1400</v>
      </c>
      <c r="E836" s="2" t="s">
        <v>37</v>
      </c>
      <c r="F836" s="2">
        <v>9</v>
      </c>
      <c r="G836" s="2">
        <v>1</v>
      </c>
      <c r="H836" s="2" t="s">
        <v>38</v>
      </c>
      <c r="I836" s="2">
        <v>1</v>
      </c>
      <c r="J836" s="2">
        <v>1163</v>
      </c>
      <c r="K836" s="2">
        <v>2</v>
      </c>
      <c r="L836" s="2" t="s">
        <v>39</v>
      </c>
      <c r="M836" s="2">
        <v>70</v>
      </c>
      <c r="N836" s="2">
        <v>3</v>
      </c>
      <c r="O836" s="2">
        <v>2</v>
      </c>
      <c r="P836" s="2" t="s">
        <v>40</v>
      </c>
      <c r="Q836" s="2">
        <v>3</v>
      </c>
      <c r="R836" s="2" t="s">
        <v>48</v>
      </c>
      <c r="S836" s="2">
        <v>5714</v>
      </c>
      <c r="T836" s="2">
        <v>5829</v>
      </c>
      <c r="U836" s="2">
        <v>1</v>
      </c>
      <c r="V836" s="2" t="s">
        <v>42</v>
      </c>
      <c r="W836" s="2" t="s">
        <v>43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</row>
    <row r="837" spans="1:35" x14ac:dyDescent="0.25">
      <c r="A837" s="2">
        <v>35</v>
      </c>
      <c r="B837" s="2" t="s">
        <v>43</v>
      </c>
      <c r="C837" s="2" t="s">
        <v>36</v>
      </c>
      <c r="D837" s="2">
        <v>528</v>
      </c>
      <c r="E837" s="2" t="s">
        <v>61</v>
      </c>
      <c r="F837" s="2">
        <v>8</v>
      </c>
      <c r="G837" s="2">
        <v>4</v>
      </c>
      <c r="H837" s="2" t="s">
        <v>60</v>
      </c>
      <c r="I837" s="2">
        <v>1</v>
      </c>
      <c r="J837" s="2">
        <v>1164</v>
      </c>
      <c r="K837" s="2">
        <v>3</v>
      </c>
      <c r="L837" s="2" t="s">
        <v>46</v>
      </c>
      <c r="M837" s="2">
        <v>100</v>
      </c>
      <c r="N837" s="2">
        <v>3</v>
      </c>
      <c r="O837" s="2">
        <v>1</v>
      </c>
      <c r="P837" s="2" t="s">
        <v>61</v>
      </c>
      <c r="Q837" s="2">
        <v>3</v>
      </c>
      <c r="R837" s="2" t="s">
        <v>41</v>
      </c>
      <c r="S837" s="2">
        <v>4323</v>
      </c>
      <c r="T837" s="2">
        <v>7108</v>
      </c>
      <c r="U837" s="2">
        <v>1</v>
      </c>
      <c r="V837" s="2" t="s">
        <v>42</v>
      </c>
      <c r="W837" s="2" t="s">
        <v>43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</row>
    <row r="838" spans="1:35" x14ac:dyDescent="0.25">
      <c r="A838" s="2">
        <v>29</v>
      </c>
      <c r="B838" s="2" t="s">
        <v>35</v>
      </c>
      <c r="C838" s="2" t="s">
        <v>36</v>
      </c>
      <c r="D838" s="2">
        <v>408</v>
      </c>
      <c r="E838" s="2" t="s">
        <v>37</v>
      </c>
      <c r="F838" s="2">
        <v>23</v>
      </c>
      <c r="G838" s="2">
        <v>1</v>
      </c>
      <c r="H838" s="2" t="s">
        <v>38</v>
      </c>
      <c r="I838" s="2">
        <v>1</v>
      </c>
      <c r="J838" s="2">
        <v>1165</v>
      </c>
      <c r="K838" s="2">
        <v>4</v>
      </c>
      <c r="L838" s="2" t="s">
        <v>39</v>
      </c>
      <c r="M838" s="2">
        <v>45</v>
      </c>
      <c r="N838" s="2">
        <v>2</v>
      </c>
      <c r="O838" s="2">
        <v>3</v>
      </c>
      <c r="P838" s="2" t="s">
        <v>40</v>
      </c>
      <c r="Q838" s="2">
        <v>1</v>
      </c>
      <c r="R838" s="2" t="s">
        <v>48</v>
      </c>
      <c r="S838" s="2">
        <v>7336</v>
      </c>
      <c r="T838" s="2">
        <v>11162</v>
      </c>
      <c r="U838" s="2">
        <v>1</v>
      </c>
      <c r="V838" s="2" t="s">
        <v>42</v>
      </c>
      <c r="W838" s="2" t="s">
        <v>43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</row>
    <row r="839" spans="1:35" x14ac:dyDescent="0.25">
      <c r="A839" s="2">
        <v>40</v>
      </c>
      <c r="B839" s="2" t="s">
        <v>43</v>
      </c>
      <c r="C839" s="2" t="s">
        <v>44</v>
      </c>
      <c r="D839" s="2">
        <v>593</v>
      </c>
      <c r="E839" s="2" t="s">
        <v>45</v>
      </c>
      <c r="F839" s="2">
        <v>9</v>
      </c>
      <c r="G839" s="2">
        <v>4</v>
      </c>
      <c r="H839" s="2" t="s">
        <v>51</v>
      </c>
      <c r="I839" s="2">
        <v>1</v>
      </c>
      <c r="J839" s="2">
        <v>1166</v>
      </c>
      <c r="K839" s="2">
        <v>2</v>
      </c>
      <c r="L839" s="2" t="s">
        <v>39</v>
      </c>
      <c r="M839" s="2">
        <v>88</v>
      </c>
      <c r="N839" s="2">
        <v>3</v>
      </c>
      <c r="O839" s="2">
        <v>3</v>
      </c>
      <c r="P839" s="2" t="s">
        <v>58</v>
      </c>
      <c r="Q839" s="2">
        <v>3</v>
      </c>
      <c r="R839" s="2" t="s">
        <v>41</v>
      </c>
      <c r="S839" s="2">
        <v>13499</v>
      </c>
      <c r="T839" s="2">
        <v>13782</v>
      </c>
      <c r="U839" s="2">
        <v>9</v>
      </c>
      <c r="V839" s="2" t="s">
        <v>42</v>
      </c>
      <c r="W839" s="2" t="s">
        <v>43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</row>
    <row r="840" spans="1:35" x14ac:dyDescent="0.25">
      <c r="A840" s="2">
        <v>42</v>
      </c>
      <c r="B840" s="2" t="s">
        <v>35</v>
      </c>
      <c r="C840" s="2" t="s">
        <v>44</v>
      </c>
      <c r="D840" s="2">
        <v>481</v>
      </c>
      <c r="E840" s="2" t="s">
        <v>37</v>
      </c>
      <c r="F840" s="2">
        <v>12</v>
      </c>
      <c r="G840" s="2">
        <v>3</v>
      </c>
      <c r="H840" s="2" t="s">
        <v>38</v>
      </c>
      <c r="I840" s="2">
        <v>1</v>
      </c>
      <c r="J840" s="2">
        <v>1167</v>
      </c>
      <c r="K840" s="2">
        <v>3</v>
      </c>
      <c r="L840" s="2" t="s">
        <v>46</v>
      </c>
      <c r="M840" s="2">
        <v>44</v>
      </c>
      <c r="N840" s="2">
        <v>3</v>
      </c>
      <c r="O840" s="2">
        <v>4</v>
      </c>
      <c r="P840" s="2" t="s">
        <v>40</v>
      </c>
      <c r="Q840" s="2">
        <v>1</v>
      </c>
      <c r="R840" s="2" t="s">
        <v>41</v>
      </c>
      <c r="S840" s="2">
        <v>13758</v>
      </c>
      <c r="T840" s="2">
        <v>2447</v>
      </c>
      <c r="U840" s="2">
        <v>0</v>
      </c>
      <c r="V840" s="2" t="s">
        <v>42</v>
      </c>
      <c r="W840" s="2" t="s">
        <v>35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</row>
    <row r="841" spans="1:35" x14ac:dyDescent="0.25">
      <c r="A841" s="2">
        <v>42</v>
      </c>
      <c r="B841" s="2" t="s">
        <v>43</v>
      </c>
      <c r="C841" s="2" t="s">
        <v>36</v>
      </c>
      <c r="D841" s="2">
        <v>647</v>
      </c>
      <c r="E841" s="2" t="s">
        <v>37</v>
      </c>
      <c r="F841" s="2">
        <v>4</v>
      </c>
      <c r="G841" s="2">
        <v>4</v>
      </c>
      <c r="H841" s="2" t="s">
        <v>59</v>
      </c>
      <c r="I841" s="2">
        <v>1</v>
      </c>
      <c r="J841" s="2">
        <v>1171</v>
      </c>
      <c r="K841" s="2">
        <v>2</v>
      </c>
      <c r="L841" s="2" t="s">
        <v>46</v>
      </c>
      <c r="M841" s="2">
        <v>45</v>
      </c>
      <c r="N841" s="2">
        <v>3</v>
      </c>
      <c r="O841" s="2">
        <v>2</v>
      </c>
      <c r="P841" s="2" t="s">
        <v>40</v>
      </c>
      <c r="Q841" s="2">
        <v>1</v>
      </c>
      <c r="R841" s="2" t="s">
        <v>41</v>
      </c>
      <c r="S841" s="2">
        <v>5155</v>
      </c>
      <c r="T841" s="2">
        <v>2253</v>
      </c>
      <c r="U841" s="2">
        <v>7</v>
      </c>
      <c r="V841" s="2" t="s">
        <v>42</v>
      </c>
      <c r="W841" s="2" t="s">
        <v>43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</row>
    <row r="842" spans="1:35" x14ac:dyDescent="0.25">
      <c r="A842" s="2">
        <v>35</v>
      </c>
      <c r="B842" s="2" t="s">
        <v>43</v>
      </c>
      <c r="C842" s="2" t="s">
        <v>36</v>
      </c>
      <c r="D842" s="2">
        <v>982</v>
      </c>
      <c r="E842" s="2" t="s">
        <v>45</v>
      </c>
      <c r="F842" s="2">
        <v>1</v>
      </c>
      <c r="G842" s="2">
        <v>4</v>
      </c>
      <c r="H842" s="2" t="s">
        <v>51</v>
      </c>
      <c r="I842" s="2">
        <v>1</v>
      </c>
      <c r="J842" s="2">
        <v>1172</v>
      </c>
      <c r="K842" s="2">
        <v>4</v>
      </c>
      <c r="L842" s="2" t="s">
        <v>46</v>
      </c>
      <c r="M842" s="2">
        <v>58</v>
      </c>
      <c r="N842" s="2">
        <v>2</v>
      </c>
      <c r="O842" s="2">
        <v>1</v>
      </c>
      <c r="P842" s="2" t="s">
        <v>50</v>
      </c>
      <c r="Q842" s="2">
        <v>3</v>
      </c>
      <c r="R842" s="2" t="s">
        <v>48</v>
      </c>
      <c r="S842" s="2">
        <v>2258</v>
      </c>
      <c r="T842" s="2">
        <v>16340</v>
      </c>
      <c r="U842" s="2">
        <v>6</v>
      </c>
      <c r="V842" s="2" t="s">
        <v>42</v>
      </c>
      <c r="W842" s="2" t="s">
        <v>43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</row>
    <row r="843" spans="1:35" x14ac:dyDescent="0.25">
      <c r="A843" s="2">
        <v>24</v>
      </c>
      <c r="B843" s="2" t="s">
        <v>43</v>
      </c>
      <c r="C843" s="2" t="s">
        <v>36</v>
      </c>
      <c r="D843" s="2">
        <v>477</v>
      </c>
      <c r="E843" s="2" t="s">
        <v>45</v>
      </c>
      <c r="F843" s="2">
        <v>24</v>
      </c>
      <c r="G843" s="2">
        <v>3</v>
      </c>
      <c r="H843" s="2" t="s">
        <v>51</v>
      </c>
      <c r="I843" s="2">
        <v>1</v>
      </c>
      <c r="J843" s="2">
        <v>1173</v>
      </c>
      <c r="K843" s="2">
        <v>4</v>
      </c>
      <c r="L843" s="2" t="s">
        <v>46</v>
      </c>
      <c r="M843" s="2">
        <v>49</v>
      </c>
      <c r="N843" s="2">
        <v>3</v>
      </c>
      <c r="O843" s="2">
        <v>1</v>
      </c>
      <c r="P843" s="2" t="s">
        <v>50</v>
      </c>
      <c r="Q843" s="2">
        <v>2</v>
      </c>
      <c r="R843" s="2" t="s">
        <v>41</v>
      </c>
      <c r="S843" s="2">
        <v>3597</v>
      </c>
      <c r="T843" s="2">
        <v>6409</v>
      </c>
      <c r="U843" s="2">
        <v>8</v>
      </c>
      <c r="V843" s="2" t="s">
        <v>42</v>
      </c>
      <c r="W843" s="2" t="s">
        <v>43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</row>
    <row r="844" spans="1:35" x14ac:dyDescent="0.25">
      <c r="A844" s="2">
        <v>28</v>
      </c>
      <c r="B844" s="2" t="s">
        <v>35</v>
      </c>
      <c r="C844" s="2" t="s">
        <v>36</v>
      </c>
      <c r="D844" s="2">
        <v>1485</v>
      </c>
      <c r="E844" s="2" t="s">
        <v>45</v>
      </c>
      <c r="F844" s="2">
        <v>12</v>
      </c>
      <c r="G844" s="2">
        <v>1</v>
      </c>
      <c r="H844" s="2" t="s">
        <v>38</v>
      </c>
      <c r="I844" s="2">
        <v>1</v>
      </c>
      <c r="J844" s="2">
        <v>1175</v>
      </c>
      <c r="K844" s="2">
        <v>3</v>
      </c>
      <c r="L844" s="2" t="s">
        <v>39</v>
      </c>
      <c r="M844" s="2">
        <v>79</v>
      </c>
      <c r="N844" s="2">
        <v>3</v>
      </c>
      <c r="O844" s="2">
        <v>1</v>
      </c>
      <c r="P844" s="2" t="s">
        <v>50</v>
      </c>
      <c r="Q844" s="2">
        <v>4</v>
      </c>
      <c r="R844" s="2" t="s">
        <v>48</v>
      </c>
      <c r="S844" s="2">
        <v>2515</v>
      </c>
      <c r="T844" s="2">
        <v>22955</v>
      </c>
      <c r="U844" s="2">
        <v>1</v>
      </c>
      <c r="V844" s="2" t="s">
        <v>42</v>
      </c>
      <c r="W844" s="2" t="s">
        <v>35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</row>
    <row r="845" spans="1:35" x14ac:dyDescent="0.25">
      <c r="A845" s="2">
        <v>26</v>
      </c>
      <c r="B845" s="2" t="s">
        <v>43</v>
      </c>
      <c r="C845" s="2" t="s">
        <v>36</v>
      </c>
      <c r="D845" s="2">
        <v>1384</v>
      </c>
      <c r="E845" s="2" t="s">
        <v>45</v>
      </c>
      <c r="F845" s="2">
        <v>3</v>
      </c>
      <c r="G845" s="2">
        <v>4</v>
      </c>
      <c r="H845" s="2" t="s">
        <v>51</v>
      </c>
      <c r="I845" s="2">
        <v>1</v>
      </c>
      <c r="J845" s="2">
        <v>1177</v>
      </c>
      <c r="K845" s="2">
        <v>1</v>
      </c>
      <c r="L845" s="2" t="s">
        <v>46</v>
      </c>
      <c r="M845" s="2">
        <v>82</v>
      </c>
      <c r="N845" s="2">
        <v>4</v>
      </c>
      <c r="O845" s="2">
        <v>1</v>
      </c>
      <c r="P845" s="2" t="s">
        <v>50</v>
      </c>
      <c r="Q845" s="2">
        <v>4</v>
      </c>
      <c r="R845" s="2" t="s">
        <v>48</v>
      </c>
      <c r="S845" s="2">
        <v>4420</v>
      </c>
      <c r="T845" s="2">
        <v>13421</v>
      </c>
      <c r="U845" s="2">
        <v>1</v>
      </c>
      <c r="V845" s="2" t="s">
        <v>42</v>
      </c>
      <c r="W845" s="2" t="s">
        <v>43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</row>
    <row r="846" spans="1:35" x14ac:dyDescent="0.25">
      <c r="A846" s="2">
        <v>30</v>
      </c>
      <c r="B846" s="2" t="s">
        <v>43</v>
      </c>
      <c r="C846" s="2" t="s">
        <v>36</v>
      </c>
      <c r="D846" s="2">
        <v>852</v>
      </c>
      <c r="E846" s="2" t="s">
        <v>37</v>
      </c>
      <c r="F846" s="2">
        <v>10</v>
      </c>
      <c r="G846" s="2">
        <v>3</v>
      </c>
      <c r="H846" s="2" t="s">
        <v>59</v>
      </c>
      <c r="I846" s="2">
        <v>1</v>
      </c>
      <c r="J846" s="2">
        <v>1179</v>
      </c>
      <c r="K846" s="2">
        <v>3</v>
      </c>
      <c r="L846" s="2" t="s">
        <v>46</v>
      </c>
      <c r="M846" s="2">
        <v>72</v>
      </c>
      <c r="N846" s="2">
        <v>2</v>
      </c>
      <c r="O846" s="2">
        <v>2</v>
      </c>
      <c r="P846" s="2" t="s">
        <v>40</v>
      </c>
      <c r="Q846" s="2">
        <v>3</v>
      </c>
      <c r="R846" s="2" t="s">
        <v>48</v>
      </c>
      <c r="S846" s="2">
        <v>6578</v>
      </c>
      <c r="T846" s="2">
        <v>2706</v>
      </c>
      <c r="U846" s="2">
        <v>1</v>
      </c>
      <c r="V846" s="2" t="s">
        <v>42</v>
      </c>
      <c r="W846" s="2" t="s">
        <v>43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</row>
    <row r="847" spans="1:35" x14ac:dyDescent="0.25">
      <c r="A847" s="2">
        <v>40</v>
      </c>
      <c r="B847" s="2" t="s">
        <v>43</v>
      </c>
      <c r="C847" s="2" t="s">
        <v>44</v>
      </c>
      <c r="D847" s="2">
        <v>902</v>
      </c>
      <c r="E847" s="2" t="s">
        <v>45</v>
      </c>
      <c r="F847" s="2">
        <v>26</v>
      </c>
      <c r="G847" s="2">
        <v>2</v>
      </c>
      <c r="H847" s="2" t="s">
        <v>51</v>
      </c>
      <c r="I847" s="2">
        <v>1</v>
      </c>
      <c r="J847" s="2">
        <v>1180</v>
      </c>
      <c r="K847" s="2">
        <v>3</v>
      </c>
      <c r="L847" s="2" t="s">
        <v>39</v>
      </c>
      <c r="M847" s="2">
        <v>92</v>
      </c>
      <c r="N847" s="2">
        <v>2</v>
      </c>
      <c r="O847" s="2">
        <v>2</v>
      </c>
      <c r="P847" s="2" t="s">
        <v>47</v>
      </c>
      <c r="Q847" s="2">
        <v>4</v>
      </c>
      <c r="R847" s="2" t="s">
        <v>48</v>
      </c>
      <c r="S847" s="2">
        <v>4422</v>
      </c>
      <c r="T847" s="2">
        <v>21203</v>
      </c>
      <c r="U847" s="2">
        <v>3</v>
      </c>
      <c r="V847" s="2" t="s">
        <v>42</v>
      </c>
      <c r="W847" s="2" t="s">
        <v>35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</row>
    <row r="848" spans="1:35" x14ac:dyDescent="0.25">
      <c r="A848" s="2">
        <v>35</v>
      </c>
      <c r="B848" s="2" t="s">
        <v>43</v>
      </c>
      <c r="C848" s="2" t="s">
        <v>36</v>
      </c>
      <c r="D848" s="2">
        <v>819</v>
      </c>
      <c r="E848" s="2" t="s">
        <v>45</v>
      </c>
      <c r="F848" s="2">
        <v>2</v>
      </c>
      <c r="G848" s="2">
        <v>3</v>
      </c>
      <c r="H848" s="2" t="s">
        <v>38</v>
      </c>
      <c r="I848" s="2">
        <v>1</v>
      </c>
      <c r="J848" s="2">
        <v>1182</v>
      </c>
      <c r="K848" s="2">
        <v>3</v>
      </c>
      <c r="L848" s="2" t="s">
        <v>46</v>
      </c>
      <c r="M848" s="2">
        <v>44</v>
      </c>
      <c r="N848" s="2">
        <v>2</v>
      </c>
      <c r="O848" s="2">
        <v>3</v>
      </c>
      <c r="P848" s="2" t="s">
        <v>53</v>
      </c>
      <c r="Q848" s="2">
        <v>2</v>
      </c>
      <c r="R848" s="2" t="s">
        <v>52</v>
      </c>
      <c r="S848" s="2">
        <v>10274</v>
      </c>
      <c r="T848" s="2">
        <v>19588</v>
      </c>
      <c r="U848" s="2">
        <v>2</v>
      </c>
      <c r="V848" s="2" t="s">
        <v>42</v>
      </c>
      <c r="W848" s="2" t="s">
        <v>43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</row>
    <row r="849" spans="1:35" x14ac:dyDescent="0.25">
      <c r="A849" s="2">
        <v>34</v>
      </c>
      <c r="B849" s="2" t="s">
        <v>43</v>
      </c>
      <c r="C849" s="2" t="s">
        <v>44</v>
      </c>
      <c r="D849" s="2">
        <v>669</v>
      </c>
      <c r="E849" s="2" t="s">
        <v>45</v>
      </c>
      <c r="F849" s="2">
        <v>1</v>
      </c>
      <c r="G849" s="2">
        <v>3</v>
      </c>
      <c r="H849" s="2" t="s">
        <v>51</v>
      </c>
      <c r="I849" s="2">
        <v>1</v>
      </c>
      <c r="J849" s="2">
        <v>1184</v>
      </c>
      <c r="K849" s="2">
        <v>4</v>
      </c>
      <c r="L849" s="2" t="s">
        <v>46</v>
      </c>
      <c r="M849" s="2">
        <v>97</v>
      </c>
      <c r="N849" s="2">
        <v>2</v>
      </c>
      <c r="O849" s="2">
        <v>2</v>
      </c>
      <c r="P849" s="2" t="s">
        <v>54</v>
      </c>
      <c r="Q849" s="2">
        <v>1</v>
      </c>
      <c r="R849" s="2" t="s">
        <v>41</v>
      </c>
      <c r="S849" s="2">
        <v>5343</v>
      </c>
      <c r="T849" s="2">
        <v>25755</v>
      </c>
      <c r="U849" s="2">
        <v>0</v>
      </c>
      <c r="V849" s="2" t="s">
        <v>42</v>
      </c>
      <c r="W849" s="2" t="s">
        <v>43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</row>
    <row r="850" spans="1:35" x14ac:dyDescent="0.25">
      <c r="A850" s="2">
        <v>35</v>
      </c>
      <c r="B850" s="2" t="s">
        <v>43</v>
      </c>
      <c r="C850" s="2" t="s">
        <v>44</v>
      </c>
      <c r="D850" s="2">
        <v>636</v>
      </c>
      <c r="E850" s="2" t="s">
        <v>45</v>
      </c>
      <c r="F850" s="2">
        <v>4</v>
      </c>
      <c r="G850" s="2">
        <v>4</v>
      </c>
      <c r="H850" s="2" t="s">
        <v>49</v>
      </c>
      <c r="I850" s="2">
        <v>1</v>
      </c>
      <c r="J850" s="2">
        <v>1185</v>
      </c>
      <c r="K850" s="2">
        <v>4</v>
      </c>
      <c r="L850" s="2" t="s">
        <v>46</v>
      </c>
      <c r="M850" s="2">
        <v>47</v>
      </c>
      <c r="N850" s="2">
        <v>2</v>
      </c>
      <c r="O850" s="2">
        <v>1</v>
      </c>
      <c r="P850" s="2" t="s">
        <v>50</v>
      </c>
      <c r="Q850" s="2">
        <v>4</v>
      </c>
      <c r="R850" s="2" t="s">
        <v>48</v>
      </c>
      <c r="S850" s="2">
        <v>2376</v>
      </c>
      <c r="T850" s="2">
        <v>26537</v>
      </c>
      <c r="U850" s="2">
        <v>1</v>
      </c>
      <c r="V850" s="2" t="s">
        <v>42</v>
      </c>
      <c r="W850" s="2" t="s">
        <v>43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</row>
    <row r="851" spans="1:35" x14ac:dyDescent="0.25">
      <c r="A851" s="2">
        <v>43</v>
      </c>
      <c r="B851" s="2" t="s">
        <v>35</v>
      </c>
      <c r="C851" s="2" t="s">
        <v>36</v>
      </c>
      <c r="D851" s="2">
        <v>1372</v>
      </c>
      <c r="E851" s="2" t="s">
        <v>37</v>
      </c>
      <c r="F851" s="2">
        <v>9</v>
      </c>
      <c r="G851" s="2">
        <v>3</v>
      </c>
      <c r="H851" s="2" t="s">
        <v>59</v>
      </c>
      <c r="I851" s="2">
        <v>1</v>
      </c>
      <c r="J851" s="2">
        <v>1188</v>
      </c>
      <c r="K851" s="2">
        <v>1</v>
      </c>
      <c r="L851" s="2" t="s">
        <v>39</v>
      </c>
      <c r="M851" s="2">
        <v>85</v>
      </c>
      <c r="N851" s="2">
        <v>1</v>
      </c>
      <c r="O851" s="2">
        <v>2</v>
      </c>
      <c r="P851" s="2" t="s">
        <v>40</v>
      </c>
      <c r="Q851" s="2">
        <v>3</v>
      </c>
      <c r="R851" s="2" t="s">
        <v>41</v>
      </c>
      <c r="S851" s="2">
        <v>5346</v>
      </c>
      <c r="T851" s="2">
        <v>9489</v>
      </c>
      <c r="U851" s="2">
        <v>8</v>
      </c>
      <c r="V851" s="2" t="s">
        <v>42</v>
      </c>
      <c r="W851" s="2" t="s">
        <v>43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</row>
    <row r="852" spans="1:35" x14ac:dyDescent="0.25">
      <c r="A852" s="2">
        <v>32</v>
      </c>
      <c r="B852" s="2" t="s">
        <v>43</v>
      </c>
      <c r="C852" s="2" t="s">
        <v>55</v>
      </c>
      <c r="D852" s="2">
        <v>862</v>
      </c>
      <c r="E852" s="2" t="s">
        <v>37</v>
      </c>
      <c r="F852" s="2">
        <v>2</v>
      </c>
      <c r="G852" s="2">
        <v>1</v>
      </c>
      <c r="H852" s="2" t="s">
        <v>38</v>
      </c>
      <c r="I852" s="2">
        <v>1</v>
      </c>
      <c r="J852" s="2">
        <v>1190</v>
      </c>
      <c r="K852" s="2">
        <v>3</v>
      </c>
      <c r="L852" s="2" t="s">
        <v>39</v>
      </c>
      <c r="M852" s="2">
        <v>76</v>
      </c>
      <c r="N852" s="2">
        <v>3</v>
      </c>
      <c r="O852" s="2">
        <v>1</v>
      </c>
      <c r="P852" s="2" t="s">
        <v>57</v>
      </c>
      <c r="Q852" s="2">
        <v>1</v>
      </c>
      <c r="R852" s="2" t="s">
        <v>52</v>
      </c>
      <c r="S852" s="2">
        <v>2827</v>
      </c>
      <c r="T852" s="2">
        <v>14947</v>
      </c>
      <c r="U852" s="2">
        <v>1</v>
      </c>
      <c r="V852" s="2" t="s">
        <v>42</v>
      </c>
      <c r="W852" s="2" t="s">
        <v>43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</row>
    <row r="853" spans="1:35" x14ac:dyDescent="0.25">
      <c r="A853" s="2">
        <v>56</v>
      </c>
      <c r="B853" s="2" t="s">
        <v>43</v>
      </c>
      <c r="C853" s="2" t="s">
        <v>36</v>
      </c>
      <c r="D853" s="2">
        <v>718</v>
      </c>
      <c r="E853" s="2" t="s">
        <v>45</v>
      </c>
      <c r="F853" s="2">
        <v>4</v>
      </c>
      <c r="G853" s="2">
        <v>4</v>
      </c>
      <c r="H853" s="2" t="s">
        <v>60</v>
      </c>
      <c r="I853" s="2">
        <v>1</v>
      </c>
      <c r="J853" s="2">
        <v>1191</v>
      </c>
      <c r="K853" s="2">
        <v>4</v>
      </c>
      <c r="L853" s="2" t="s">
        <v>39</v>
      </c>
      <c r="M853" s="2">
        <v>92</v>
      </c>
      <c r="N853" s="2">
        <v>3</v>
      </c>
      <c r="O853" s="2">
        <v>5</v>
      </c>
      <c r="P853" s="2" t="s">
        <v>56</v>
      </c>
      <c r="Q853" s="2">
        <v>1</v>
      </c>
      <c r="R853" s="2" t="s">
        <v>52</v>
      </c>
      <c r="S853" s="2">
        <v>19943</v>
      </c>
      <c r="T853" s="2">
        <v>18575</v>
      </c>
      <c r="U853" s="2">
        <v>4</v>
      </c>
      <c r="V853" s="2" t="s">
        <v>42</v>
      </c>
      <c r="W853" s="2" t="s">
        <v>43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</row>
    <row r="854" spans="1:35" x14ac:dyDescent="0.25">
      <c r="A854" s="2">
        <v>29</v>
      </c>
      <c r="B854" s="2" t="s">
        <v>43</v>
      </c>
      <c r="C854" s="2" t="s">
        <v>36</v>
      </c>
      <c r="D854" s="2">
        <v>1401</v>
      </c>
      <c r="E854" s="2" t="s">
        <v>45</v>
      </c>
      <c r="F854" s="2">
        <v>6</v>
      </c>
      <c r="G854" s="2">
        <v>1</v>
      </c>
      <c r="H854" s="2" t="s">
        <v>51</v>
      </c>
      <c r="I854" s="2">
        <v>1</v>
      </c>
      <c r="J854" s="2">
        <v>1192</v>
      </c>
      <c r="K854" s="2">
        <v>2</v>
      </c>
      <c r="L854" s="2" t="s">
        <v>39</v>
      </c>
      <c r="M854" s="2">
        <v>54</v>
      </c>
      <c r="N854" s="2">
        <v>3</v>
      </c>
      <c r="O854" s="2">
        <v>1</v>
      </c>
      <c r="P854" s="2" t="s">
        <v>50</v>
      </c>
      <c r="Q854" s="2">
        <v>4</v>
      </c>
      <c r="R854" s="2" t="s">
        <v>48</v>
      </c>
      <c r="S854" s="2">
        <v>3131</v>
      </c>
      <c r="T854" s="2">
        <v>26342</v>
      </c>
      <c r="U854" s="2">
        <v>1</v>
      </c>
      <c r="V854" s="2" t="s">
        <v>42</v>
      </c>
      <c r="W854" s="2" t="s">
        <v>43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</row>
    <row r="855" spans="1:35" x14ac:dyDescent="0.25">
      <c r="A855" s="2">
        <v>19</v>
      </c>
      <c r="B855" s="2" t="s">
        <v>43</v>
      </c>
      <c r="C855" s="2" t="s">
        <v>36</v>
      </c>
      <c r="D855" s="2">
        <v>645</v>
      </c>
      <c r="E855" s="2" t="s">
        <v>45</v>
      </c>
      <c r="F855" s="2">
        <v>9</v>
      </c>
      <c r="G855" s="2">
        <v>2</v>
      </c>
      <c r="H855" s="2" t="s">
        <v>38</v>
      </c>
      <c r="I855" s="2">
        <v>1</v>
      </c>
      <c r="J855" s="2">
        <v>1193</v>
      </c>
      <c r="K855" s="2">
        <v>3</v>
      </c>
      <c r="L855" s="2" t="s">
        <v>46</v>
      </c>
      <c r="M855" s="2">
        <v>54</v>
      </c>
      <c r="N855" s="2">
        <v>3</v>
      </c>
      <c r="O855" s="2">
        <v>1</v>
      </c>
      <c r="P855" s="2" t="s">
        <v>47</v>
      </c>
      <c r="Q855" s="2">
        <v>1</v>
      </c>
      <c r="R855" s="2" t="s">
        <v>41</v>
      </c>
      <c r="S855" s="2">
        <v>2552</v>
      </c>
      <c r="T855" s="2">
        <v>7172</v>
      </c>
      <c r="U855" s="2">
        <v>1</v>
      </c>
      <c r="V855" s="2" t="s">
        <v>42</v>
      </c>
      <c r="W855" s="2" t="s">
        <v>43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</row>
    <row r="856" spans="1:35" x14ac:dyDescent="0.25">
      <c r="A856" s="2">
        <v>45</v>
      </c>
      <c r="B856" s="2" t="s">
        <v>43</v>
      </c>
      <c r="C856" s="2" t="s">
        <v>36</v>
      </c>
      <c r="D856" s="2">
        <v>1457</v>
      </c>
      <c r="E856" s="2" t="s">
        <v>45</v>
      </c>
      <c r="F856" s="2">
        <v>7</v>
      </c>
      <c r="G856" s="2">
        <v>3</v>
      </c>
      <c r="H856" s="2" t="s">
        <v>51</v>
      </c>
      <c r="I856" s="2">
        <v>1</v>
      </c>
      <c r="J856" s="2">
        <v>1195</v>
      </c>
      <c r="K856" s="2">
        <v>1</v>
      </c>
      <c r="L856" s="2" t="s">
        <v>39</v>
      </c>
      <c r="M856" s="2">
        <v>83</v>
      </c>
      <c r="N856" s="2">
        <v>3</v>
      </c>
      <c r="O856" s="2">
        <v>1</v>
      </c>
      <c r="P856" s="2" t="s">
        <v>47</v>
      </c>
      <c r="Q856" s="2">
        <v>3</v>
      </c>
      <c r="R856" s="2" t="s">
        <v>48</v>
      </c>
      <c r="S856" s="2">
        <v>4477</v>
      </c>
      <c r="T856" s="2">
        <v>20100</v>
      </c>
      <c r="U856" s="2">
        <v>4</v>
      </c>
      <c r="V856" s="2" t="s">
        <v>42</v>
      </c>
      <c r="W856" s="2" t="s">
        <v>35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</row>
    <row r="857" spans="1:35" x14ac:dyDescent="0.25">
      <c r="A857" s="2">
        <v>37</v>
      </c>
      <c r="B857" s="2" t="s">
        <v>43</v>
      </c>
      <c r="C857" s="2" t="s">
        <v>36</v>
      </c>
      <c r="D857" s="2">
        <v>977</v>
      </c>
      <c r="E857" s="2" t="s">
        <v>45</v>
      </c>
      <c r="F857" s="2">
        <v>1</v>
      </c>
      <c r="G857" s="2">
        <v>3</v>
      </c>
      <c r="H857" s="2" t="s">
        <v>38</v>
      </c>
      <c r="I857" s="2">
        <v>1</v>
      </c>
      <c r="J857" s="2">
        <v>1196</v>
      </c>
      <c r="K857" s="2">
        <v>4</v>
      </c>
      <c r="L857" s="2" t="s">
        <v>39</v>
      </c>
      <c r="M857" s="2">
        <v>56</v>
      </c>
      <c r="N857" s="2">
        <v>2</v>
      </c>
      <c r="O857" s="2">
        <v>2</v>
      </c>
      <c r="P857" s="2" t="s">
        <v>53</v>
      </c>
      <c r="Q857" s="2">
        <v>4</v>
      </c>
      <c r="R857" s="2" t="s">
        <v>48</v>
      </c>
      <c r="S857" s="2">
        <v>6474</v>
      </c>
      <c r="T857" s="2">
        <v>9961</v>
      </c>
      <c r="U857" s="2">
        <v>1</v>
      </c>
      <c r="V857" s="2" t="s">
        <v>42</v>
      </c>
      <c r="W857" s="2" t="s">
        <v>43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</row>
    <row r="858" spans="1:35" x14ac:dyDescent="0.25">
      <c r="A858" s="2">
        <v>20</v>
      </c>
      <c r="B858" s="2" t="s">
        <v>43</v>
      </c>
      <c r="C858" s="2" t="s">
        <v>36</v>
      </c>
      <c r="D858" s="2">
        <v>805</v>
      </c>
      <c r="E858" s="2" t="s">
        <v>45</v>
      </c>
      <c r="F858" s="2">
        <v>3</v>
      </c>
      <c r="G858" s="2">
        <v>3</v>
      </c>
      <c r="H858" s="2" t="s">
        <v>38</v>
      </c>
      <c r="I858" s="2">
        <v>1</v>
      </c>
      <c r="J858" s="2">
        <v>1198</v>
      </c>
      <c r="K858" s="2">
        <v>1</v>
      </c>
      <c r="L858" s="2" t="s">
        <v>46</v>
      </c>
      <c r="M858" s="2">
        <v>87</v>
      </c>
      <c r="N858" s="2">
        <v>2</v>
      </c>
      <c r="O858" s="2">
        <v>1</v>
      </c>
      <c r="P858" s="2" t="s">
        <v>50</v>
      </c>
      <c r="Q858" s="2">
        <v>3</v>
      </c>
      <c r="R858" s="2" t="s">
        <v>41</v>
      </c>
      <c r="S858" s="2">
        <v>3033</v>
      </c>
      <c r="T858" s="2">
        <v>12828</v>
      </c>
      <c r="U858" s="2">
        <v>1</v>
      </c>
      <c r="V858" s="2" t="s">
        <v>42</v>
      </c>
      <c r="W858" s="2" t="s">
        <v>43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</row>
    <row r="859" spans="1:35" x14ac:dyDescent="0.25">
      <c r="A859" s="2">
        <v>44</v>
      </c>
      <c r="B859" s="2" t="s">
        <v>35</v>
      </c>
      <c r="C859" s="2" t="s">
        <v>36</v>
      </c>
      <c r="D859" s="2">
        <v>1097</v>
      </c>
      <c r="E859" s="2" t="s">
        <v>45</v>
      </c>
      <c r="F859" s="2">
        <v>10</v>
      </c>
      <c r="G859" s="2">
        <v>4</v>
      </c>
      <c r="H859" s="2" t="s">
        <v>38</v>
      </c>
      <c r="I859" s="2">
        <v>1</v>
      </c>
      <c r="J859" s="2">
        <v>1200</v>
      </c>
      <c r="K859" s="2">
        <v>3</v>
      </c>
      <c r="L859" s="2" t="s">
        <v>46</v>
      </c>
      <c r="M859" s="2">
        <v>96</v>
      </c>
      <c r="N859" s="2">
        <v>3</v>
      </c>
      <c r="O859" s="2">
        <v>1</v>
      </c>
      <c r="P859" s="2" t="s">
        <v>47</v>
      </c>
      <c r="Q859" s="2">
        <v>3</v>
      </c>
      <c r="R859" s="2" t="s">
        <v>41</v>
      </c>
      <c r="S859" s="2">
        <v>2936</v>
      </c>
      <c r="T859" s="2">
        <v>10826</v>
      </c>
      <c r="U859" s="2">
        <v>1</v>
      </c>
      <c r="V859" s="2" t="s">
        <v>42</v>
      </c>
      <c r="W859" s="2" t="s">
        <v>35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</row>
    <row r="860" spans="1:35" x14ac:dyDescent="0.25">
      <c r="A860" s="2">
        <v>53</v>
      </c>
      <c r="B860" s="2" t="s">
        <v>43</v>
      </c>
      <c r="C860" s="2" t="s">
        <v>36</v>
      </c>
      <c r="D860" s="2">
        <v>1223</v>
      </c>
      <c r="E860" s="2" t="s">
        <v>45</v>
      </c>
      <c r="F860" s="2">
        <v>7</v>
      </c>
      <c r="G860" s="2">
        <v>2</v>
      </c>
      <c r="H860" s="2" t="s">
        <v>51</v>
      </c>
      <c r="I860" s="2">
        <v>1</v>
      </c>
      <c r="J860" s="2">
        <v>1201</v>
      </c>
      <c r="K860" s="2">
        <v>4</v>
      </c>
      <c r="L860" s="2" t="s">
        <v>39</v>
      </c>
      <c r="M860" s="2">
        <v>50</v>
      </c>
      <c r="N860" s="2">
        <v>3</v>
      </c>
      <c r="O860" s="2">
        <v>5</v>
      </c>
      <c r="P860" s="2" t="s">
        <v>56</v>
      </c>
      <c r="Q860" s="2">
        <v>3</v>
      </c>
      <c r="R860" s="2" t="s">
        <v>52</v>
      </c>
      <c r="S860" s="2">
        <v>18606</v>
      </c>
      <c r="T860" s="2">
        <v>18640</v>
      </c>
      <c r="U860" s="2">
        <v>3</v>
      </c>
      <c r="V860" s="2" t="s">
        <v>42</v>
      </c>
      <c r="W860" s="2" t="s">
        <v>43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</row>
    <row r="861" spans="1:35" x14ac:dyDescent="0.25">
      <c r="A861" s="2">
        <v>29</v>
      </c>
      <c r="B861" s="2" t="s">
        <v>43</v>
      </c>
      <c r="C861" s="2" t="s">
        <v>36</v>
      </c>
      <c r="D861" s="2">
        <v>942</v>
      </c>
      <c r="E861" s="2" t="s">
        <v>45</v>
      </c>
      <c r="F861" s="2">
        <v>15</v>
      </c>
      <c r="G861" s="2">
        <v>1</v>
      </c>
      <c r="H861" s="2" t="s">
        <v>38</v>
      </c>
      <c r="I861" s="2">
        <v>1</v>
      </c>
      <c r="J861" s="2">
        <v>1202</v>
      </c>
      <c r="K861" s="2">
        <v>2</v>
      </c>
      <c r="L861" s="2" t="s">
        <v>39</v>
      </c>
      <c r="M861" s="2">
        <v>69</v>
      </c>
      <c r="N861" s="2">
        <v>1</v>
      </c>
      <c r="O861" s="2">
        <v>1</v>
      </c>
      <c r="P861" s="2" t="s">
        <v>47</v>
      </c>
      <c r="Q861" s="2">
        <v>4</v>
      </c>
      <c r="R861" s="2" t="s">
        <v>48</v>
      </c>
      <c r="S861" s="2">
        <v>2168</v>
      </c>
      <c r="T861" s="2">
        <v>26933</v>
      </c>
      <c r="U861" s="2">
        <v>0</v>
      </c>
      <c r="V861" s="2" t="s">
        <v>42</v>
      </c>
      <c r="W861" s="2" t="s">
        <v>35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</row>
    <row r="862" spans="1:35" x14ac:dyDescent="0.25">
      <c r="A862" s="2">
        <v>22</v>
      </c>
      <c r="B862" s="2" t="s">
        <v>35</v>
      </c>
      <c r="C862" s="2" t="s">
        <v>44</v>
      </c>
      <c r="D862" s="2">
        <v>1256</v>
      </c>
      <c r="E862" s="2" t="s">
        <v>45</v>
      </c>
      <c r="F862" s="2">
        <v>3</v>
      </c>
      <c r="G862" s="2">
        <v>4</v>
      </c>
      <c r="H862" s="2" t="s">
        <v>38</v>
      </c>
      <c r="I862" s="2">
        <v>1</v>
      </c>
      <c r="J862" s="2">
        <v>1203</v>
      </c>
      <c r="K862" s="2">
        <v>3</v>
      </c>
      <c r="L862" s="2" t="s">
        <v>46</v>
      </c>
      <c r="M862" s="2">
        <v>48</v>
      </c>
      <c r="N862" s="2">
        <v>2</v>
      </c>
      <c r="O862" s="2">
        <v>1</v>
      </c>
      <c r="P862" s="2" t="s">
        <v>47</v>
      </c>
      <c r="Q862" s="2">
        <v>4</v>
      </c>
      <c r="R862" s="2" t="s">
        <v>48</v>
      </c>
      <c r="S862" s="2">
        <v>2853</v>
      </c>
      <c r="T862" s="2">
        <v>4223</v>
      </c>
      <c r="U862" s="2">
        <v>0</v>
      </c>
      <c r="V862" s="2" t="s">
        <v>42</v>
      </c>
      <c r="W862" s="2" t="s">
        <v>35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</row>
    <row r="863" spans="1:35" x14ac:dyDescent="0.25">
      <c r="A863" s="2">
        <v>46</v>
      </c>
      <c r="B863" s="2" t="s">
        <v>43</v>
      </c>
      <c r="C863" s="2" t="s">
        <v>36</v>
      </c>
      <c r="D863" s="2">
        <v>1402</v>
      </c>
      <c r="E863" s="2" t="s">
        <v>37</v>
      </c>
      <c r="F863" s="2">
        <v>2</v>
      </c>
      <c r="G863" s="2">
        <v>3</v>
      </c>
      <c r="H863" s="2" t="s">
        <v>59</v>
      </c>
      <c r="I863" s="2">
        <v>1</v>
      </c>
      <c r="J863" s="2">
        <v>1204</v>
      </c>
      <c r="K863" s="2">
        <v>3</v>
      </c>
      <c r="L863" s="2" t="s">
        <v>39</v>
      </c>
      <c r="M863" s="2">
        <v>69</v>
      </c>
      <c r="N863" s="2">
        <v>3</v>
      </c>
      <c r="O863" s="2">
        <v>4</v>
      </c>
      <c r="P863" s="2" t="s">
        <v>56</v>
      </c>
      <c r="Q863" s="2">
        <v>1</v>
      </c>
      <c r="R863" s="2" t="s">
        <v>48</v>
      </c>
      <c r="S863" s="2">
        <v>17048</v>
      </c>
      <c r="T863" s="2">
        <v>24097</v>
      </c>
      <c r="U863" s="2">
        <v>8</v>
      </c>
      <c r="V863" s="2" t="s">
        <v>42</v>
      </c>
      <c r="W863" s="2" t="s">
        <v>43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</row>
    <row r="864" spans="1:35" x14ac:dyDescent="0.25">
      <c r="A864" s="2">
        <v>44</v>
      </c>
      <c r="B864" s="2" t="s">
        <v>43</v>
      </c>
      <c r="C864" s="2" t="s">
        <v>55</v>
      </c>
      <c r="D864" s="2">
        <v>111</v>
      </c>
      <c r="E864" s="2" t="s">
        <v>45</v>
      </c>
      <c r="F864" s="2">
        <v>17</v>
      </c>
      <c r="G864" s="2">
        <v>3</v>
      </c>
      <c r="H864" s="2" t="s">
        <v>38</v>
      </c>
      <c r="I864" s="2">
        <v>1</v>
      </c>
      <c r="J864" s="2">
        <v>1206</v>
      </c>
      <c r="K864" s="2">
        <v>4</v>
      </c>
      <c r="L864" s="2" t="s">
        <v>46</v>
      </c>
      <c r="M864" s="2">
        <v>74</v>
      </c>
      <c r="N864" s="2">
        <v>1</v>
      </c>
      <c r="O864" s="2">
        <v>1</v>
      </c>
      <c r="P864" s="2" t="s">
        <v>47</v>
      </c>
      <c r="Q864" s="2">
        <v>3</v>
      </c>
      <c r="R864" s="2" t="s">
        <v>41</v>
      </c>
      <c r="S864" s="2">
        <v>2290</v>
      </c>
      <c r="T864" s="2">
        <v>4279</v>
      </c>
      <c r="U864" s="2">
        <v>2</v>
      </c>
      <c r="V864" s="2" t="s">
        <v>42</v>
      </c>
      <c r="W864" s="2" t="s">
        <v>43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</row>
    <row r="865" spans="1:35" x14ac:dyDescent="0.25">
      <c r="A865" s="2">
        <v>33</v>
      </c>
      <c r="B865" s="2" t="s">
        <v>43</v>
      </c>
      <c r="C865" s="2" t="s">
        <v>36</v>
      </c>
      <c r="D865" s="2">
        <v>147</v>
      </c>
      <c r="E865" s="2" t="s">
        <v>61</v>
      </c>
      <c r="F865" s="2">
        <v>2</v>
      </c>
      <c r="G865" s="2">
        <v>3</v>
      </c>
      <c r="H865" s="2" t="s">
        <v>61</v>
      </c>
      <c r="I865" s="2">
        <v>1</v>
      </c>
      <c r="J865" s="2">
        <v>1207</v>
      </c>
      <c r="K865" s="2">
        <v>2</v>
      </c>
      <c r="L865" s="2" t="s">
        <v>46</v>
      </c>
      <c r="M865" s="2">
        <v>99</v>
      </c>
      <c r="N865" s="2">
        <v>3</v>
      </c>
      <c r="O865" s="2">
        <v>1</v>
      </c>
      <c r="P865" s="2" t="s">
        <v>61</v>
      </c>
      <c r="Q865" s="2">
        <v>3</v>
      </c>
      <c r="R865" s="2" t="s">
        <v>48</v>
      </c>
      <c r="S865" s="2">
        <v>3600</v>
      </c>
      <c r="T865" s="2">
        <v>8429</v>
      </c>
      <c r="U865" s="2">
        <v>1</v>
      </c>
      <c r="V865" s="2" t="s">
        <v>42</v>
      </c>
      <c r="W865" s="2" t="s">
        <v>43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</row>
    <row r="866" spans="1:35" x14ac:dyDescent="0.25">
      <c r="A866" s="2">
        <v>41</v>
      </c>
      <c r="B866" s="2" t="s">
        <v>35</v>
      </c>
      <c r="C866" s="2" t="s">
        <v>55</v>
      </c>
      <c r="D866" s="2">
        <v>906</v>
      </c>
      <c r="E866" s="2" t="s">
        <v>45</v>
      </c>
      <c r="F866" s="2">
        <v>5</v>
      </c>
      <c r="G866" s="2">
        <v>2</v>
      </c>
      <c r="H866" s="2" t="s">
        <v>38</v>
      </c>
      <c r="I866" s="2">
        <v>1</v>
      </c>
      <c r="J866" s="2">
        <v>1210</v>
      </c>
      <c r="K866" s="2">
        <v>1</v>
      </c>
      <c r="L866" s="2" t="s">
        <v>46</v>
      </c>
      <c r="M866" s="2">
        <v>95</v>
      </c>
      <c r="N866" s="2">
        <v>2</v>
      </c>
      <c r="O866" s="2">
        <v>1</v>
      </c>
      <c r="P866" s="2" t="s">
        <v>47</v>
      </c>
      <c r="Q866" s="2">
        <v>1</v>
      </c>
      <c r="R866" s="2" t="s">
        <v>52</v>
      </c>
      <c r="S866" s="2">
        <v>2107</v>
      </c>
      <c r="T866" s="2">
        <v>20293</v>
      </c>
      <c r="U866" s="2">
        <v>6</v>
      </c>
      <c r="V866" s="2" t="s">
        <v>42</v>
      </c>
      <c r="W866" s="2" t="s">
        <v>43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</row>
    <row r="867" spans="1:35" x14ac:dyDescent="0.25">
      <c r="A867" s="2">
        <v>30</v>
      </c>
      <c r="B867" s="2" t="s">
        <v>43</v>
      </c>
      <c r="C867" s="2" t="s">
        <v>36</v>
      </c>
      <c r="D867" s="2">
        <v>1329</v>
      </c>
      <c r="E867" s="2" t="s">
        <v>37</v>
      </c>
      <c r="F867" s="2">
        <v>29</v>
      </c>
      <c r="G867" s="2">
        <v>4</v>
      </c>
      <c r="H867" s="2" t="s">
        <v>38</v>
      </c>
      <c r="I867" s="2">
        <v>1</v>
      </c>
      <c r="J867" s="2">
        <v>1211</v>
      </c>
      <c r="K867" s="2">
        <v>3</v>
      </c>
      <c r="L867" s="2" t="s">
        <v>46</v>
      </c>
      <c r="M867" s="2">
        <v>61</v>
      </c>
      <c r="N867" s="2">
        <v>3</v>
      </c>
      <c r="O867" s="2">
        <v>2</v>
      </c>
      <c r="P867" s="2" t="s">
        <v>40</v>
      </c>
      <c r="Q867" s="2">
        <v>1</v>
      </c>
      <c r="R867" s="2" t="s">
        <v>52</v>
      </c>
      <c r="S867" s="2">
        <v>4115</v>
      </c>
      <c r="T867" s="2">
        <v>13192</v>
      </c>
      <c r="U867" s="2">
        <v>8</v>
      </c>
      <c r="V867" s="2" t="s">
        <v>42</v>
      </c>
      <c r="W867" s="2" t="s">
        <v>43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</row>
    <row r="868" spans="1:35" x14ac:dyDescent="0.25">
      <c r="A868" s="2">
        <v>40</v>
      </c>
      <c r="B868" s="2" t="s">
        <v>43</v>
      </c>
      <c r="C868" s="2" t="s">
        <v>44</v>
      </c>
      <c r="D868" s="2">
        <v>1184</v>
      </c>
      <c r="E868" s="2" t="s">
        <v>37</v>
      </c>
      <c r="F868" s="2">
        <v>2</v>
      </c>
      <c r="G868" s="2">
        <v>4</v>
      </c>
      <c r="H868" s="2" t="s">
        <v>51</v>
      </c>
      <c r="I868" s="2">
        <v>1</v>
      </c>
      <c r="J868" s="2">
        <v>1212</v>
      </c>
      <c r="K868" s="2">
        <v>2</v>
      </c>
      <c r="L868" s="2" t="s">
        <v>46</v>
      </c>
      <c r="M868" s="2">
        <v>62</v>
      </c>
      <c r="N868" s="2">
        <v>3</v>
      </c>
      <c r="O868" s="2">
        <v>2</v>
      </c>
      <c r="P868" s="2" t="s">
        <v>40</v>
      </c>
      <c r="Q868" s="2">
        <v>2</v>
      </c>
      <c r="R868" s="2" t="s">
        <v>48</v>
      </c>
      <c r="S868" s="2">
        <v>4327</v>
      </c>
      <c r="T868" s="2">
        <v>25440</v>
      </c>
      <c r="U868" s="2">
        <v>5</v>
      </c>
      <c r="V868" s="2" t="s">
        <v>42</v>
      </c>
      <c r="W868" s="2" t="s">
        <v>43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</row>
    <row r="869" spans="1:35" x14ac:dyDescent="0.25">
      <c r="A869" s="2">
        <v>50</v>
      </c>
      <c r="B869" s="2" t="s">
        <v>43</v>
      </c>
      <c r="C869" s="2" t="s">
        <v>44</v>
      </c>
      <c r="D869" s="2">
        <v>1421</v>
      </c>
      <c r="E869" s="2" t="s">
        <v>45</v>
      </c>
      <c r="F869" s="2">
        <v>2</v>
      </c>
      <c r="G869" s="2">
        <v>3</v>
      </c>
      <c r="H869" s="2" t="s">
        <v>51</v>
      </c>
      <c r="I869" s="2">
        <v>1</v>
      </c>
      <c r="J869" s="2">
        <v>1215</v>
      </c>
      <c r="K869" s="2">
        <v>4</v>
      </c>
      <c r="L869" s="2" t="s">
        <v>39</v>
      </c>
      <c r="M869" s="2">
        <v>30</v>
      </c>
      <c r="N869" s="2">
        <v>3</v>
      </c>
      <c r="O869" s="2">
        <v>4</v>
      </c>
      <c r="P869" s="2" t="s">
        <v>56</v>
      </c>
      <c r="Q869" s="2">
        <v>1</v>
      </c>
      <c r="R869" s="2" t="s">
        <v>48</v>
      </c>
      <c r="S869" s="2">
        <v>17856</v>
      </c>
      <c r="T869" s="2">
        <v>9490</v>
      </c>
      <c r="U869" s="2">
        <v>2</v>
      </c>
      <c r="V869" s="2" t="s">
        <v>42</v>
      </c>
      <c r="W869" s="2" t="s">
        <v>43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</row>
    <row r="870" spans="1:35" x14ac:dyDescent="0.25">
      <c r="A870" s="2">
        <v>28</v>
      </c>
      <c r="B870" s="2" t="s">
        <v>43</v>
      </c>
      <c r="C870" s="2" t="s">
        <v>36</v>
      </c>
      <c r="D870" s="2">
        <v>1179</v>
      </c>
      <c r="E870" s="2" t="s">
        <v>45</v>
      </c>
      <c r="F870" s="2">
        <v>19</v>
      </c>
      <c r="G870" s="2">
        <v>4</v>
      </c>
      <c r="H870" s="2" t="s">
        <v>51</v>
      </c>
      <c r="I870" s="2">
        <v>1</v>
      </c>
      <c r="J870" s="2">
        <v>1216</v>
      </c>
      <c r="K870" s="2">
        <v>4</v>
      </c>
      <c r="L870" s="2" t="s">
        <v>46</v>
      </c>
      <c r="M870" s="2">
        <v>78</v>
      </c>
      <c r="N870" s="2">
        <v>2</v>
      </c>
      <c r="O870" s="2">
        <v>1</v>
      </c>
      <c r="P870" s="2" t="s">
        <v>50</v>
      </c>
      <c r="Q870" s="2">
        <v>1</v>
      </c>
      <c r="R870" s="2" t="s">
        <v>48</v>
      </c>
      <c r="S870" s="2">
        <v>3196</v>
      </c>
      <c r="T870" s="2">
        <v>12449</v>
      </c>
      <c r="U870" s="2">
        <v>1</v>
      </c>
      <c r="V870" s="2" t="s">
        <v>42</v>
      </c>
      <c r="W870" s="2" t="s">
        <v>43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</row>
    <row r="871" spans="1:35" x14ac:dyDescent="0.25">
      <c r="A871" s="2">
        <v>46</v>
      </c>
      <c r="B871" s="2" t="s">
        <v>43</v>
      </c>
      <c r="C871" s="2" t="s">
        <v>36</v>
      </c>
      <c r="D871" s="2">
        <v>1450</v>
      </c>
      <c r="E871" s="2" t="s">
        <v>45</v>
      </c>
      <c r="F871" s="2">
        <v>15</v>
      </c>
      <c r="G871" s="2">
        <v>2</v>
      </c>
      <c r="H871" s="2" t="s">
        <v>38</v>
      </c>
      <c r="I871" s="2">
        <v>1</v>
      </c>
      <c r="J871" s="2">
        <v>1217</v>
      </c>
      <c r="K871" s="2">
        <v>4</v>
      </c>
      <c r="L871" s="2" t="s">
        <v>46</v>
      </c>
      <c r="M871" s="2">
        <v>52</v>
      </c>
      <c r="N871" s="2">
        <v>3</v>
      </c>
      <c r="O871" s="2">
        <v>5</v>
      </c>
      <c r="P871" s="2" t="s">
        <v>58</v>
      </c>
      <c r="Q871" s="2">
        <v>2</v>
      </c>
      <c r="R871" s="2" t="s">
        <v>48</v>
      </c>
      <c r="S871" s="2">
        <v>19081</v>
      </c>
      <c r="T871" s="2">
        <v>10849</v>
      </c>
      <c r="U871" s="2">
        <v>5</v>
      </c>
      <c r="V871" s="2" t="s">
        <v>42</v>
      </c>
      <c r="W871" s="2" t="s">
        <v>43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</row>
    <row r="872" spans="1:35" x14ac:dyDescent="0.25">
      <c r="A872" s="2">
        <v>35</v>
      </c>
      <c r="B872" s="2" t="s">
        <v>43</v>
      </c>
      <c r="C872" s="2" t="s">
        <v>36</v>
      </c>
      <c r="D872" s="2">
        <v>1361</v>
      </c>
      <c r="E872" s="2" t="s">
        <v>37</v>
      </c>
      <c r="F872" s="2">
        <v>17</v>
      </c>
      <c r="G872" s="2">
        <v>4</v>
      </c>
      <c r="H872" s="2" t="s">
        <v>38</v>
      </c>
      <c r="I872" s="2">
        <v>1</v>
      </c>
      <c r="J872" s="2">
        <v>1218</v>
      </c>
      <c r="K872" s="2">
        <v>3</v>
      </c>
      <c r="L872" s="2" t="s">
        <v>46</v>
      </c>
      <c r="M872" s="2">
        <v>94</v>
      </c>
      <c r="N872" s="2">
        <v>3</v>
      </c>
      <c r="O872" s="2">
        <v>2</v>
      </c>
      <c r="P872" s="2" t="s">
        <v>40</v>
      </c>
      <c r="Q872" s="2">
        <v>1</v>
      </c>
      <c r="R872" s="2" t="s">
        <v>48</v>
      </c>
      <c r="S872" s="2">
        <v>8966</v>
      </c>
      <c r="T872" s="2">
        <v>21026</v>
      </c>
      <c r="U872" s="2">
        <v>3</v>
      </c>
      <c r="V872" s="2" t="s">
        <v>42</v>
      </c>
      <c r="W872" s="2" t="s">
        <v>35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</row>
    <row r="873" spans="1:35" x14ac:dyDescent="0.25">
      <c r="A873" s="2">
        <v>24</v>
      </c>
      <c r="B873" s="2" t="s">
        <v>35</v>
      </c>
      <c r="C873" s="2" t="s">
        <v>36</v>
      </c>
      <c r="D873" s="2">
        <v>984</v>
      </c>
      <c r="E873" s="2" t="s">
        <v>45</v>
      </c>
      <c r="F873" s="2">
        <v>17</v>
      </c>
      <c r="G873" s="2">
        <v>2</v>
      </c>
      <c r="H873" s="2" t="s">
        <v>38</v>
      </c>
      <c r="I873" s="2">
        <v>1</v>
      </c>
      <c r="J873" s="2">
        <v>1219</v>
      </c>
      <c r="K873" s="2">
        <v>4</v>
      </c>
      <c r="L873" s="2" t="s">
        <v>39</v>
      </c>
      <c r="M873" s="2">
        <v>97</v>
      </c>
      <c r="N873" s="2">
        <v>3</v>
      </c>
      <c r="O873" s="2">
        <v>1</v>
      </c>
      <c r="P873" s="2" t="s">
        <v>50</v>
      </c>
      <c r="Q873" s="2">
        <v>2</v>
      </c>
      <c r="R873" s="2" t="s">
        <v>48</v>
      </c>
      <c r="S873" s="2">
        <v>2210</v>
      </c>
      <c r="T873" s="2">
        <v>3372</v>
      </c>
      <c r="U873" s="2">
        <v>1</v>
      </c>
      <c r="V873" s="2" t="s">
        <v>42</v>
      </c>
      <c r="W873" s="2" t="s">
        <v>43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</row>
    <row r="874" spans="1:35" x14ac:dyDescent="0.25">
      <c r="A874" s="2">
        <v>33</v>
      </c>
      <c r="B874" s="2" t="s">
        <v>43</v>
      </c>
      <c r="C874" s="2" t="s">
        <v>44</v>
      </c>
      <c r="D874" s="2">
        <v>1146</v>
      </c>
      <c r="E874" s="2" t="s">
        <v>37</v>
      </c>
      <c r="F874" s="2">
        <v>25</v>
      </c>
      <c r="G874" s="2">
        <v>3</v>
      </c>
      <c r="H874" s="2" t="s">
        <v>51</v>
      </c>
      <c r="I874" s="2">
        <v>1</v>
      </c>
      <c r="J874" s="2">
        <v>1220</v>
      </c>
      <c r="K874" s="2">
        <v>2</v>
      </c>
      <c r="L874" s="2" t="s">
        <v>39</v>
      </c>
      <c r="M874" s="2">
        <v>82</v>
      </c>
      <c r="N874" s="2">
        <v>3</v>
      </c>
      <c r="O874" s="2">
        <v>2</v>
      </c>
      <c r="P874" s="2" t="s">
        <v>40</v>
      </c>
      <c r="Q874" s="2">
        <v>3</v>
      </c>
      <c r="R874" s="2" t="s">
        <v>48</v>
      </c>
      <c r="S874" s="2">
        <v>4539</v>
      </c>
      <c r="T874" s="2">
        <v>4905</v>
      </c>
      <c r="U874" s="2">
        <v>1</v>
      </c>
      <c r="V874" s="2" t="s">
        <v>42</v>
      </c>
      <c r="W874" s="2" t="s">
        <v>43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</row>
    <row r="875" spans="1:35" x14ac:dyDescent="0.25">
      <c r="A875" s="2">
        <v>36</v>
      </c>
      <c r="B875" s="2" t="s">
        <v>43</v>
      </c>
      <c r="C875" s="2" t="s">
        <v>36</v>
      </c>
      <c r="D875" s="2">
        <v>917</v>
      </c>
      <c r="E875" s="2" t="s">
        <v>45</v>
      </c>
      <c r="F875" s="2">
        <v>6</v>
      </c>
      <c r="G875" s="2">
        <v>4</v>
      </c>
      <c r="H875" s="2" t="s">
        <v>38</v>
      </c>
      <c r="I875" s="2">
        <v>1</v>
      </c>
      <c r="J875" s="2">
        <v>1221</v>
      </c>
      <c r="K875" s="2">
        <v>3</v>
      </c>
      <c r="L875" s="2" t="s">
        <v>46</v>
      </c>
      <c r="M875" s="2">
        <v>60</v>
      </c>
      <c r="N875" s="2">
        <v>1</v>
      </c>
      <c r="O875" s="2">
        <v>1</v>
      </c>
      <c r="P875" s="2" t="s">
        <v>50</v>
      </c>
      <c r="Q875" s="2">
        <v>3</v>
      </c>
      <c r="R875" s="2" t="s">
        <v>52</v>
      </c>
      <c r="S875" s="2">
        <v>2741</v>
      </c>
      <c r="T875" s="2">
        <v>6865</v>
      </c>
      <c r="U875" s="2">
        <v>1</v>
      </c>
      <c r="V875" s="2" t="s">
        <v>42</v>
      </c>
      <c r="W875" s="2" t="s">
        <v>43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</row>
    <row r="876" spans="1:35" x14ac:dyDescent="0.25">
      <c r="A876" s="2">
        <v>30</v>
      </c>
      <c r="B876" s="2" t="s">
        <v>43</v>
      </c>
      <c r="C876" s="2" t="s">
        <v>36</v>
      </c>
      <c r="D876" s="2">
        <v>853</v>
      </c>
      <c r="E876" s="2" t="s">
        <v>45</v>
      </c>
      <c r="F876" s="2">
        <v>7</v>
      </c>
      <c r="G876" s="2">
        <v>4</v>
      </c>
      <c r="H876" s="2" t="s">
        <v>38</v>
      </c>
      <c r="I876" s="2">
        <v>1</v>
      </c>
      <c r="J876" s="2">
        <v>1224</v>
      </c>
      <c r="K876" s="2">
        <v>3</v>
      </c>
      <c r="L876" s="2" t="s">
        <v>46</v>
      </c>
      <c r="M876" s="2">
        <v>49</v>
      </c>
      <c r="N876" s="2">
        <v>3</v>
      </c>
      <c r="O876" s="2">
        <v>2</v>
      </c>
      <c r="P876" s="2" t="s">
        <v>50</v>
      </c>
      <c r="Q876" s="2">
        <v>3</v>
      </c>
      <c r="R876" s="2" t="s">
        <v>52</v>
      </c>
      <c r="S876" s="2">
        <v>3491</v>
      </c>
      <c r="T876" s="2">
        <v>11309</v>
      </c>
      <c r="U876" s="2">
        <v>1</v>
      </c>
      <c r="V876" s="2" t="s">
        <v>42</v>
      </c>
      <c r="W876" s="2" t="s">
        <v>43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</row>
    <row r="877" spans="1:35" x14ac:dyDescent="0.25">
      <c r="A877" s="2">
        <v>44</v>
      </c>
      <c r="B877" s="2" t="s">
        <v>43</v>
      </c>
      <c r="C877" s="2" t="s">
        <v>36</v>
      </c>
      <c r="D877" s="2">
        <v>200</v>
      </c>
      <c r="E877" s="2" t="s">
        <v>45</v>
      </c>
      <c r="F877" s="2">
        <v>29</v>
      </c>
      <c r="G877" s="2">
        <v>4</v>
      </c>
      <c r="H877" s="2" t="s">
        <v>49</v>
      </c>
      <c r="I877" s="2">
        <v>1</v>
      </c>
      <c r="J877" s="2">
        <v>1225</v>
      </c>
      <c r="K877" s="2">
        <v>4</v>
      </c>
      <c r="L877" s="2" t="s">
        <v>46</v>
      </c>
      <c r="M877" s="2">
        <v>32</v>
      </c>
      <c r="N877" s="2">
        <v>3</v>
      </c>
      <c r="O877" s="2">
        <v>2</v>
      </c>
      <c r="P877" s="2" t="s">
        <v>47</v>
      </c>
      <c r="Q877" s="2">
        <v>4</v>
      </c>
      <c r="R877" s="2" t="s">
        <v>41</v>
      </c>
      <c r="S877" s="2">
        <v>4541</v>
      </c>
      <c r="T877" s="2">
        <v>7744</v>
      </c>
      <c r="U877" s="2">
        <v>1</v>
      </c>
      <c r="V877" s="2" t="s">
        <v>42</v>
      </c>
      <c r="W877" s="2" t="s">
        <v>43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</row>
    <row r="878" spans="1:35" x14ac:dyDescent="0.25">
      <c r="A878" s="2">
        <v>20</v>
      </c>
      <c r="B878" s="2" t="s">
        <v>43</v>
      </c>
      <c r="C878" s="2" t="s">
        <v>36</v>
      </c>
      <c r="D878" s="2">
        <v>654</v>
      </c>
      <c r="E878" s="2" t="s">
        <v>37</v>
      </c>
      <c r="F878" s="2">
        <v>21</v>
      </c>
      <c r="G878" s="2">
        <v>3</v>
      </c>
      <c r="H878" s="2" t="s">
        <v>59</v>
      </c>
      <c r="I878" s="2">
        <v>1</v>
      </c>
      <c r="J878" s="2">
        <v>1226</v>
      </c>
      <c r="K878" s="2">
        <v>3</v>
      </c>
      <c r="L878" s="2" t="s">
        <v>46</v>
      </c>
      <c r="M878" s="2">
        <v>43</v>
      </c>
      <c r="N878" s="2">
        <v>4</v>
      </c>
      <c r="O878" s="2">
        <v>1</v>
      </c>
      <c r="P878" s="2" t="s">
        <v>57</v>
      </c>
      <c r="Q878" s="2">
        <v>4</v>
      </c>
      <c r="R878" s="2" t="s">
        <v>41</v>
      </c>
      <c r="S878" s="2">
        <v>2678</v>
      </c>
      <c r="T878" s="2">
        <v>5050</v>
      </c>
      <c r="U878" s="2">
        <v>1</v>
      </c>
      <c r="V878" s="2" t="s">
        <v>42</v>
      </c>
      <c r="W878" s="2" t="s">
        <v>43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</row>
    <row r="879" spans="1:35" x14ac:dyDescent="0.25">
      <c r="A879" s="2">
        <v>46</v>
      </c>
      <c r="B879" s="2" t="s">
        <v>43</v>
      </c>
      <c r="C879" s="2" t="s">
        <v>36</v>
      </c>
      <c r="D879" s="2">
        <v>150</v>
      </c>
      <c r="E879" s="2" t="s">
        <v>45</v>
      </c>
      <c r="F879" s="2">
        <v>2</v>
      </c>
      <c r="G879" s="2">
        <v>4</v>
      </c>
      <c r="H879" s="2" t="s">
        <v>60</v>
      </c>
      <c r="I879" s="2">
        <v>1</v>
      </c>
      <c r="J879" s="2">
        <v>1228</v>
      </c>
      <c r="K879" s="2">
        <v>4</v>
      </c>
      <c r="L879" s="2" t="s">
        <v>46</v>
      </c>
      <c r="M879" s="2">
        <v>60</v>
      </c>
      <c r="N879" s="2">
        <v>3</v>
      </c>
      <c r="O879" s="2">
        <v>2</v>
      </c>
      <c r="P879" s="2" t="s">
        <v>53</v>
      </c>
      <c r="Q879" s="2">
        <v>4</v>
      </c>
      <c r="R879" s="2" t="s">
        <v>52</v>
      </c>
      <c r="S879" s="2">
        <v>7379</v>
      </c>
      <c r="T879" s="2">
        <v>17433</v>
      </c>
      <c r="U879" s="2">
        <v>2</v>
      </c>
      <c r="V879" s="2" t="s">
        <v>42</v>
      </c>
      <c r="W879" s="2" t="s">
        <v>43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</row>
    <row r="880" spans="1:35" x14ac:dyDescent="0.25">
      <c r="A880" s="2">
        <v>42</v>
      </c>
      <c r="B880" s="2" t="s">
        <v>43</v>
      </c>
      <c r="C880" s="2" t="s">
        <v>55</v>
      </c>
      <c r="D880" s="2">
        <v>179</v>
      </c>
      <c r="E880" s="2" t="s">
        <v>61</v>
      </c>
      <c r="F880" s="2">
        <v>2</v>
      </c>
      <c r="G880" s="2">
        <v>5</v>
      </c>
      <c r="H880" s="2" t="s">
        <v>51</v>
      </c>
      <c r="I880" s="2">
        <v>1</v>
      </c>
      <c r="J880" s="2">
        <v>1231</v>
      </c>
      <c r="K880" s="2">
        <v>4</v>
      </c>
      <c r="L880" s="2" t="s">
        <v>46</v>
      </c>
      <c r="M880" s="2">
        <v>79</v>
      </c>
      <c r="N880" s="2">
        <v>4</v>
      </c>
      <c r="O880" s="2">
        <v>2</v>
      </c>
      <c r="P880" s="2" t="s">
        <v>61</v>
      </c>
      <c r="Q880" s="2">
        <v>1</v>
      </c>
      <c r="R880" s="2" t="s">
        <v>48</v>
      </c>
      <c r="S880" s="2">
        <v>6272</v>
      </c>
      <c r="T880" s="2">
        <v>12858</v>
      </c>
      <c r="U880" s="2">
        <v>7</v>
      </c>
      <c r="V880" s="2" t="s">
        <v>42</v>
      </c>
      <c r="W880" s="2" t="s">
        <v>43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</row>
    <row r="881" spans="1:35" x14ac:dyDescent="0.25">
      <c r="A881" s="2">
        <v>60</v>
      </c>
      <c r="B881" s="2" t="s">
        <v>43</v>
      </c>
      <c r="C881" s="2" t="s">
        <v>36</v>
      </c>
      <c r="D881" s="2">
        <v>696</v>
      </c>
      <c r="E881" s="2" t="s">
        <v>37</v>
      </c>
      <c r="F881" s="2">
        <v>7</v>
      </c>
      <c r="G881" s="2">
        <v>4</v>
      </c>
      <c r="H881" s="2" t="s">
        <v>59</v>
      </c>
      <c r="I881" s="2">
        <v>1</v>
      </c>
      <c r="J881" s="2">
        <v>1233</v>
      </c>
      <c r="K881" s="2">
        <v>2</v>
      </c>
      <c r="L881" s="2" t="s">
        <v>46</v>
      </c>
      <c r="M881" s="2">
        <v>52</v>
      </c>
      <c r="N881" s="2">
        <v>4</v>
      </c>
      <c r="O881" s="2">
        <v>2</v>
      </c>
      <c r="P881" s="2" t="s">
        <v>40</v>
      </c>
      <c r="Q881" s="2">
        <v>4</v>
      </c>
      <c r="R881" s="2" t="s">
        <v>52</v>
      </c>
      <c r="S881" s="2">
        <v>5220</v>
      </c>
      <c r="T881" s="2">
        <v>10893</v>
      </c>
      <c r="U881" s="2">
        <v>0</v>
      </c>
      <c r="V881" s="2" t="s">
        <v>42</v>
      </c>
      <c r="W881" s="2" t="s">
        <v>35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</row>
    <row r="882" spans="1:35" x14ac:dyDescent="0.25">
      <c r="A882" s="2">
        <v>32</v>
      </c>
      <c r="B882" s="2" t="s">
        <v>43</v>
      </c>
      <c r="C882" s="2" t="s">
        <v>44</v>
      </c>
      <c r="D882" s="2">
        <v>116</v>
      </c>
      <c r="E882" s="2" t="s">
        <v>45</v>
      </c>
      <c r="F882" s="2">
        <v>13</v>
      </c>
      <c r="G882" s="2">
        <v>3</v>
      </c>
      <c r="H882" s="2" t="s">
        <v>49</v>
      </c>
      <c r="I882" s="2">
        <v>1</v>
      </c>
      <c r="J882" s="2">
        <v>1234</v>
      </c>
      <c r="K882" s="2">
        <v>3</v>
      </c>
      <c r="L882" s="2" t="s">
        <v>39</v>
      </c>
      <c r="M882" s="2">
        <v>77</v>
      </c>
      <c r="N882" s="2">
        <v>2</v>
      </c>
      <c r="O882" s="2">
        <v>1</v>
      </c>
      <c r="P882" s="2" t="s">
        <v>50</v>
      </c>
      <c r="Q882" s="2">
        <v>2</v>
      </c>
      <c r="R882" s="2" t="s">
        <v>48</v>
      </c>
      <c r="S882" s="2">
        <v>2743</v>
      </c>
      <c r="T882" s="2">
        <v>7331</v>
      </c>
      <c r="U882" s="2">
        <v>1</v>
      </c>
      <c r="V882" s="2" t="s">
        <v>42</v>
      </c>
      <c r="W882" s="2" t="s">
        <v>43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</row>
    <row r="883" spans="1:35" x14ac:dyDescent="0.25">
      <c r="A883" s="2">
        <v>32</v>
      </c>
      <c r="B883" s="2" t="s">
        <v>43</v>
      </c>
      <c r="C883" s="2" t="s">
        <v>44</v>
      </c>
      <c r="D883" s="2">
        <v>1316</v>
      </c>
      <c r="E883" s="2" t="s">
        <v>45</v>
      </c>
      <c r="F883" s="2">
        <v>2</v>
      </c>
      <c r="G883" s="2">
        <v>2</v>
      </c>
      <c r="H883" s="2" t="s">
        <v>38</v>
      </c>
      <c r="I883" s="2">
        <v>1</v>
      </c>
      <c r="J883" s="2">
        <v>1235</v>
      </c>
      <c r="K883" s="2">
        <v>4</v>
      </c>
      <c r="L883" s="2" t="s">
        <v>39</v>
      </c>
      <c r="M883" s="2">
        <v>38</v>
      </c>
      <c r="N883" s="2">
        <v>3</v>
      </c>
      <c r="O883" s="2">
        <v>2</v>
      </c>
      <c r="P883" s="2" t="s">
        <v>47</v>
      </c>
      <c r="Q883" s="2">
        <v>3</v>
      </c>
      <c r="R883" s="2" t="s">
        <v>41</v>
      </c>
      <c r="S883" s="2">
        <v>4998</v>
      </c>
      <c r="T883" s="2">
        <v>2338</v>
      </c>
      <c r="U883" s="2">
        <v>4</v>
      </c>
      <c r="V883" s="2" t="s">
        <v>42</v>
      </c>
      <c r="W883" s="2" t="s">
        <v>35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</row>
    <row r="884" spans="1:35" x14ac:dyDescent="0.25">
      <c r="A884" s="2">
        <v>36</v>
      </c>
      <c r="B884" s="2" t="s">
        <v>43</v>
      </c>
      <c r="C884" s="2" t="s">
        <v>36</v>
      </c>
      <c r="D884" s="2">
        <v>363</v>
      </c>
      <c r="E884" s="2" t="s">
        <v>45</v>
      </c>
      <c r="F884" s="2">
        <v>1</v>
      </c>
      <c r="G884" s="2">
        <v>3</v>
      </c>
      <c r="H884" s="2" t="s">
        <v>60</v>
      </c>
      <c r="I884" s="2">
        <v>1</v>
      </c>
      <c r="J884" s="2">
        <v>1237</v>
      </c>
      <c r="K884" s="2">
        <v>3</v>
      </c>
      <c r="L884" s="2" t="s">
        <v>39</v>
      </c>
      <c r="M884" s="2">
        <v>77</v>
      </c>
      <c r="N884" s="2">
        <v>1</v>
      </c>
      <c r="O884" s="2">
        <v>3</v>
      </c>
      <c r="P884" s="2" t="s">
        <v>53</v>
      </c>
      <c r="Q884" s="2">
        <v>1</v>
      </c>
      <c r="R884" s="2" t="s">
        <v>52</v>
      </c>
      <c r="S884" s="2">
        <v>10252</v>
      </c>
      <c r="T884" s="2">
        <v>4235</v>
      </c>
      <c r="U884" s="2">
        <v>2</v>
      </c>
      <c r="V884" s="2" t="s">
        <v>42</v>
      </c>
      <c r="W884" s="2" t="s">
        <v>35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</row>
    <row r="885" spans="1:35" x14ac:dyDescent="0.25">
      <c r="A885" s="2">
        <v>33</v>
      </c>
      <c r="B885" s="2" t="s">
        <v>43</v>
      </c>
      <c r="C885" s="2" t="s">
        <v>36</v>
      </c>
      <c r="D885" s="2">
        <v>117</v>
      </c>
      <c r="E885" s="2" t="s">
        <v>45</v>
      </c>
      <c r="F885" s="2">
        <v>9</v>
      </c>
      <c r="G885" s="2">
        <v>3</v>
      </c>
      <c r="H885" s="2" t="s">
        <v>51</v>
      </c>
      <c r="I885" s="2">
        <v>1</v>
      </c>
      <c r="J885" s="2">
        <v>1238</v>
      </c>
      <c r="K885" s="2">
        <v>1</v>
      </c>
      <c r="L885" s="2" t="s">
        <v>46</v>
      </c>
      <c r="M885" s="2">
        <v>60</v>
      </c>
      <c r="N885" s="2">
        <v>3</v>
      </c>
      <c r="O885" s="2">
        <v>1</v>
      </c>
      <c r="P885" s="2" t="s">
        <v>47</v>
      </c>
      <c r="Q885" s="2">
        <v>4</v>
      </c>
      <c r="R885" s="2" t="s">
        <v>48</v>
      </c>
      <c r="S885" s="2">
        <v>2781</v>
      </c>
      <c r="T885" s="2">
        <v>6311</v>
      </c>
      <c r="U885" s="2">
        <v>0</v>
      </c>
      <c r="V885" s="2" t="s">
        <v>42</v>
      </c>
      <c r="W885" s="2" t="s">
        <v>43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</row>
    <row r="886" spans="1:35" x14ac:dyDescent="0.25">
      <c r="A886" s="2">
        <v>40</v>
      </c>
      <c r="B886" s="2" t="s">
        <v>43</v>
      </c>
      <c r="C886" s="2" t="s">
        <v>36</v>
      </c>
      <c r="D886" s="2">
        <v>107</v>
      </c>
      <c r="E886" s="2" t="s">
        <v>37</v>
      </c>
      <c r="F886" s="2">
        <v>10</v>
      </c>
      <c r="G886" s="2">
        <v>3</v>
      </c>
      <c r="H886" s="2" t="s">
        <v>60</v>
      </c>
      <c r="I886" s="2">
        <v>1</v>
      </c>
      <c r="J886" s="2">
        <v>1239</v>
      </c>
      <c r="K886" s="2">
        <v>2</v>
      </c>
      <c r="L886" s="2" t="s">
        <v>39</v>
      </c>
      <c r="M886" s="2">
        <v>84</v>
      </c>
      <c r="N886" s="2">
        <v>2</v>
      </c>
      <c r="O886" s="2">
        <v>2</v>
      </c>
      <c r="P886" s="2" t="s">
        <v>40</v>
      </c>
      <c r="Q886" s="2">
        <v>2</v>
      </c>
      <c r="R886" s="2" t="s">
        <v>52</v>
      </c>
      <c r="S886" s="2">
        <v>6852</v>
      </c>
      <c r="T886" s="2">
        <v>11591</v>
      </c>
      <c r="U886" s="2">
        <v>7</v>
      </c>
      <c r="V886" s="2" t="s">
        <v>42</v>
      </c>
      <c r="W886" s="2" t="s">
        <v>43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</row>
    <row r="887" spans="1:35" x14ac:dyDescent="0.25">
      <c r="A887" s="2">
        <v>25</v>
      </c>
      <c r="B887" s="2" t="s">
        <v>43</v>
      </c>
      <c r="C887" s="2" t="s">
        <v>36</v>
      </c>
      <c r="D887" s="2">
        <v>1356</v>
      </c>
      <c r="E887" s="2" t="s">
        <v>37</v>
      </c>
      <c r="F887" s="2">
        <v>10</v>
      </c>
      <c r="G887" s="2">
        <v>4</v>
      </c>
      <c r="H887" s="2" t="s">
        <v>38</v>
      </c>
      <c r="I887" s="2">
        <v>1</v>
      </c>
      <c r="J887" s="2">
        <v>1240</v>
      </c>
      <c r="K887" s="2">
        <v>3</v>
      </c>
      <c r="L887" s="2" t="s">
        <v>46</v>
      </c>
      <c r="M887" s="2">
        <v>57</v>
      </c>
      <c r="N887" s="2">
        <v>3</v>
      </c>
      <c r="O887" s="2">
        <v>2</v>
      </c>
      <c r="P887" s="2" t="s">
        <v>40</v>
      </c>
      <c r="Q887" s="2">
        <v>4</v>
      </c>
      <c r="R887" s="2" t="s">
        <v>41</v>
      </c>
      <c r="S887" s="2">
        <v>4950</v>
      </c>
      <c r="T887" s="2">
        <v>20623</v>
      </c>
      <c r="U887" s="2">
        <v>0</v>
      </c>
      <c r="V887" s="2" t="s">
        <v>42</v>
      </c>
      <c r="W887" s="2" t="s">
        <v>43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</row>
    <row r="888" spans="1:35" x14ac:dyDescent="0.25">
      <c r="A888" s="2">
        <v>30</v>
      </c>
      <c r="B888" s="2" t="s">
        <v>43</v>
      </c>
      <c r="C888" s="2" t="s">
        <v>36</v>
      </c>
      <c r="D888" s="2">
        <v>1465</v>
      </c>
      <c r="E888" s="2" t="s">
        <v>45</v>
      </c>
      <c r="F888" s="2">
        <v>1</v>
      </c>
      <c r="G888" s="2">
        <v>3</v>
      </c>
      <c r="H888" s="2" t="s">
        <v>51</v>
      </c>
      <c r="I888" s="2">
        <v>1</v>
      </c>
      <c r="J888" s="2">
        <v>1241</v>
      </c>
      <c r="K888" s="2">
        <v>4</v>
      </c>
      <c r="L888" s="2" t="s">
        <v>46</v>
      </c>
      <c r="M888" s="2">
        <v>63</v>
      </c>
      <c r="N888" s="2">
        <v>3</v>
      </c>
      <c r="O888" s="2">
        <v>1</v>
      </c>
      <c r="P888" s="2" t="s">
        <v>47</v>
      </c>
      <c r="Q888" s="2">
        <v>2</v>
      </c>
      <c r="R888" s="2" t="s">
        <v>48</v>
      </c>
      <c r="S888" s="2">
        <v>3579</v>
      </c>
      <c r="T888" s="2">
        <v>9369</v>
      </c>
      <c r="U888" s="2">
        <v>0</v>
      </c>
      <c r="V888" s="2" t="s">
        <v>42</v>
      </c>
      <c r="W888" s="2" t="s">
        <v>35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</row>
    <row r="889" spans="1:35" x14ac:dyDescent="0.25">
      <c r="A889" s="2">
        <v>42</v>
      </c>
      <c r="B889" s="2" t="s">
        <v>43</v>
      </c>
      <c r="C889" s="2" t="s">
        <v>44</v>
      </c>
      <c r="D889" s="2">
        <v>458</v>
      </c>
      <c r="E889" s="2" t="s">
        <v>45</v>
      </c>
      <c r="F889" s="2">
        <v>26</v>
      </c>
      <c r="G889" s="2">
        <v>5</v>
      </c>
      <c r="H889" s="2" t="s">
        <v>51</v>
      </c>
      <c r="I889" s="2">
        <v>1</v>
      </c>
      <c r="J889" s="2">
        <v>1242</v>
      </c>
      <c r="K889" s="2">
        <v>1</v>
      </c>
      <c r="L889" s="2" t="s">
        <v>39</v>
      </c>
      <c r="M889" s="2">
        <v>60</v>
      </c>
      <c r="N889" s="2">
        <v>3</v>
      </c>
      <c r="O889" s="2">
        <v>3</v>
      </c>
      <c r="P889" s="2" t="s">
        <v>58</v>
      </c>
      <c r="Q889" s="2">
        <v>1</v>
      </c>
      <c r="R889" s="2" t="s">
        <v>48</v>
      </c>
      <c r="S889" s="2">
        <v>13191</v>
      </c>
      <c r="T889" s="2">
        <v>23281</v>
      </c>
      <c r="U889" s="2">
        <v>3</v>
      </c>
      <c r="V889" s="2" t="s">
        <v>42</v>
      </c>
      <c r="W889" s="2" t="s">
        <v>35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</row>
    <row r="890" spans="1:35" x14ac:dyDescent="0.25">
      <c r="A890" s="2">
        <v>35</v>
      </c>
      <c r="B890" s="2" t="s">
        <v>43</v>
      </c>
      <c r="C890" s="2" t="s">
        <v>55</v>
      </c>
      <c r="D890" s="2">
        <v>1212</v>
      </c>
      <c r="E890" s="2" t="s">
        <v>37</v>
      </c>
      <c r="F890" s="2">
        <v>8</v>
      </c>
      <c r="G890" s="2">
        <v>2</v>
      </c>
      <c r="H890" s="2" t="s">
        <v>59</v>
      </c>
      <c r="I890" s="2">
        <v>1</v>
      </c>
      <c r="J890" s="2">
        <v>1243</v>
      </c>
      <c r="K890" s="2">
        <v>3</v>
      </c>
      <c r="L890" s="2" t="s">
        <v>39</v>
      </c>
      <c r="M890" s="2">
        <v>78</v>
      </c>
      <c r="N890" s="2">
        <v>2</v>
      </c>
      <c r="O890" s="2">
        <v>3</v>
      </c>
      <c r="P890" s="2" t="s">
        <v>40</v>
      </c>
      <c r="Q890" s="2">
        <v>4</v>
      </c>
      <c r="R890" s="2" t="s">
        <v>48</v>
      </c>
      <c r="S890" s="2">
        <v>10377</v>
      </c>
      <c r="T890" s="2">
        <v>13755</v>
      </c>
      <c r="U890" s="2">
        <v>4</v>
      </c>
      <c r="V890" s="2" t="s">
        <v>42</v>
      </c>
      <c r="W890" s="2" t="s">
        <v>35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</row>
    <row r="891" spans="1:35" x14ac:dyDescent="0.25">
      <c r="A891" s="2">
        <v>27</v>
      </c>
      <c r="B891" s="2" t="s">
        <v>43</v>
      </c>
      <c r="C891" s="2" t="s">
        <v>36</v>
      </c>
      <c r="D891" s="2">
        <v>1103</v>
      </c>
      <c r="E891" s="2" t="s">
        <v>45</v>
      </c>
      <c r="F891" s="2">
        <v>14</v>
      </c>
      <c r="G891" s="2">
        <v>3</v>
      </c>
      <c r="H891" s="2" t="s">
        <v>38</v>
      </c>
      <c r="I891" s="2">
        <v>1</v>
      </c>
      <c r="J891" s="2">
        <v>1244</v>
      </c>
      <c r="K891" s="2">
        <v>1</v>
      </c>
      <c r="L891" s="2" t="s">
        <v>46</v>
      </c>
      <c r="M891" s="2">
        <v>42</v>
      </c>
      <c r="N891" s="2">
        <v>3</v>
      </c>
      <c r="O891" s="2">
        <v>1</v>
      </c>
      <c r="P891" s="2" t="s">
        <v>47</v>
      </c>
      <c r="Q891" s="2">
        <v>1</v>
      </c>
      <c r="R891" s="2" t="s">
        <v>48</v>
      </c>
      <c r="S891" s="2">
        <v>2235</v>
      </c>
      <c r="T891" s="2">
        <v>14377</v>
      </c>
      <c r="U891" s="2">
        <v>1</v>
      </c>
      <c r="V891" s="2" t="s">
        <v>42</v>
      </c>
      <c r="W891" s="2" t="s">
        <v>35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</row>
    <row r="892" spans="1:35" x14ac:dyDescent="0.25">
      <c r="A892" s="2">
        <v>54</v>
      </c>
      <c r="B892" s="2" t="s">
        <v>43</v>
      </c>
      <c r="C892" s="2" t="s">
        <v>44</v>
      </c>
      <c r="D892" s="2">
        <v>966</v>
      </c>
      <c r="E892" s="2" t="s">
        <v>45</v>
      </c>
      <c r="F892" s="2">
        <v>1</v>
      </c>
      <c r="G892" s="2">
        <v>4</v>
      </c>
      <c r="H892" s="2" t="s">
        <v>38</v>
      </c>
      <c r="I892" s="2">
        <v>1</v>
      </c>
      <c r="J892" s="2">
        <v>1245</v>
      </c>
      <c r="K892" s="2">
        <v>4</v>
      </c>
      <c r="L892" s="2" t="s">
        <v>39</v>
      </c>
      <c r="M892" s="2">
        <v>53</v>
      </c>
      <c r="N892" s="2">
        <v>3</v>
      </c>
      <c r="O892" s="2">
        <v>3</v>
      </c>
      <c r="P892" s="2" t="s">
        <v>53</v>
      </c>
      <c r="Q892" s="2">
        <v>3</v>
      </c>
      <c r="R892" s="2" t="s">
        <v>52</v>
      </c>
      <c r="S892" s="2">
        <v>10502</v>
      </c>
      <c r="T892" s="2">
        <v>9659</v>
      </c>
      <c r="U892" s="2">
        <v>7</v>
      </c>
      <c r="V892" s="2" t="s">
        <v>42</v>
      </c>
      <c r="W892" s="2" t="s">
        <v>43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</row>
    <row r="893" spans="1:35" x14ac:dyDescent="0.25">
      <c r="A893" s="2">
        <v>44</v>
      </c>
      <c r="B893" s="2" t="s">
        <v>43</v>
      </c>
      <c r="C893" s="2" t="s">
        <v>36</v>
      </c>
      <c r="D893" s="2">
        <v>1117</v>
      </c>
      <c r="E893" s="2" t="s">
        <v>45</v>
      </c>
      <c r="F893" s="2">
        <v>2</v>
      </c>
      <c r="G893" s="2">
        <v>1</v>
      </c>
      <c r="H893" s="2" t="s">
        <v>38</v>
      </c>
      <c r="I893" s="2">
        <v>1</v>
      </c>
      <c r="J893" s="2">
        <v>1246</v>
      </c>
      <c r="K893" s="2">
        <v>1</v>
      </c>
      <c r="L893" s="2" t="s">
        <v>39</v>
      </c>
      <c r="M893" s="2">
        <v>72</v>
      </c>
      <c r="N893" s="2">
        <v>4</v>
      </c>
      <c r="O893" s="2">
        <v>1</v>
      </c>
      <c r="P893" s="2" t="s">
        <v>47</v>
      </c>
      <c r="Q893" s="2">
        <v>4</v>
      </c>
      <c r="R893" s="2" t="s">
        <v>48</v>
      </c>
      <c r="S893" s="2">
        <v>2011</v>
      </c>
      <c r="T893" s="2">
        <v>19982</v>
      </c>
      <c r="U893" s="2">
        <v>1</v>
      </c>
      <c r="V893" s="2" t="s">
        <v>42</v>
      </c>
      <c r="W893" s="2" t="s">
        <v>43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</row>
    <row r="894" spans="1:35" x14ac:dyDescent="0.25">
      <c r="A894" s="2">
        <v>19</v>
      </c>
      <c r="B894" s="2" t="s">
        <v>35</v>
      </c>
      <c r="C894" s="2" t="s">
        <v>55</v>
      </c>
      <c r="D894" s="2">
        <v>504</v>
      </c>
      <c r="E894" s="2" t="s">
        <v>45</v>
      </c>
      <c r="F894" s="2">
        <v>10</v>
      </c>
      <c r="G894" s="2">
        <v>3</v>
      </c>
      <c r="H894" s="2" t="s">
        <v>51</v>
      </c>
      <c r="I894" s="2">
        <v>1</v>
      </c>
      <c r="J894" s="2">
        <v>1248</v>
      </c>
      <c r="K894" s="2">
        <v>1</v>
      </c>
      <c r="L894" s="2" t="s">
        <v>39</v>
      </c>
      <c r="M894" s="2">
        <v>96</v>
      </c>
      <c r="N894" s="2">
        <v>2</v>
      </c>
      <c r="O894" s="2">
        <v>1</v>
      </c>
      <c r="P894" s="2" t="s">
        <v>47</v>
      </c>
      <c r="Q894" s="2">
        <v>2</v>
      </c>
      <c r="R894" s="2" t="s">
        <v>41</v>
      </c>
      <c r="S894" s="2">
        <v>1859</v>
      </c>
      <c r="T894" s="2">
        <v>6148</v>
      </c>
      <c r="U894" s="2">
        <v>1</v>
      </c>
      <c r="V894" s="2" t="s">
        <v>42</v>
      </c>
      <c r="W894" s="2" t="s">
        <v>35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</row>
    <row r="895" spans="1:35" x14ac:dyDescent="0.25">
      <c r="A895" s="2">
        <v>29</v>
      </c>
      <c r="B895" s="2" t="s">
        <v>43</v>
      </c>
      <c r="C895" s="2" t="s">
        <v>36</v>
      </c>
      <c r="D895" s="2">
        <v>1010</v>
      </c>
      <c r="E895" s="2" t="s">
        <v>45</v>
      </c>
      <c r="F895" s="2">
        <v>1</v>
      </c>
      <c r="G895" s="2">
        <v>3</v>
      </c>
      <c r="H895" s="2" t="s">
        <v>38</v>
      </c>
      <c r="I895" s="2">
        <v>1</v>
      </c>
      <c r="J895" s="2">
        <v>1249</v>
      </c>
      <c r="K895" s="2">
        <v>1</v>
      </c>
      <c r="L895" s="2" t="s">
        <v>39</v>
      </c>
      <c r="M895" s="2">
        <v>97</v>
      </c>
      <c r="N895" s="2">
        <v>3</v>
      </c>
      <c r="O895" s="2">
        <v>1</v>
      </c>
      <c r="P895" s="2" t="s">
        <v>47</v>
      </c>
      <c r="Q895" s="2">
        <v>4</v>
      </c>
      <c r="R895" s="2" t="s">
        <v>52</v>
      </c>
      <c r="S895" s="2">
        <v>3760</v>
      </c>
      <c r="T895" s="2">
        <v>5598</v>
      </c>
      <c r="U895" s="2">
        <v>1</v>
      </c>
      <c r="V895" s="2" t="s">
        <v>42</v>
      </c>
      <c r="W895" s="2" t="s">
        <v>43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</row>
    <row r="896" spans="1:35" x14ac:dyDescent="0.25">
      <c r="A896" s="2">
        <v>54</v>
      </c>
      <c r="B896" s="2" t="s">
        <v>43</v>
      </c>
      <c r="C896" s="2" t="s">
        <v>36</v>
      </c>
      <c r="D896" s="2">
        <v>685</v>
      </c>
      <c r="E896" s="2" t="s">
        <v>45</v>
      </c>
      <c r="F896" s="2">
        <v>3</v>
      </c>
      <c r="G896" s="2">
        <v>3</v>
      </c>
      <c r="H896" s="2" t="s">
        <v>38</v>
      </c>
      <c r="I896" s="2">
        <v>1</v>
      </c>
      <c r="J896" s="2">
        <v>1250</v>
      </c>
      <c r="K896" s="2">
        <v>4</v>
      </c>
      <c r="L896" s="2" t="s">
        <v>46</v>
      </c>
      <c r="M896" s="2">
        <v>85</v>
      </c>
      <c r="N896" s="2">
        <v>3</v>
      </c>
      <c r="O896" s="2">
        <v>4</v>
      </c>
      <c r="P896" s="2" t="s">
        <v>58</v>
      </c>
      <c r="Q896" s="2">
        <v>4</v>
      </c>
      <c r="R896" s="2" t="s">
        <v>48</v>
      </c>
      <c r="S896" s="2">
        <v>17779</v>
      </c>
      <c r="T896" s="2">
        <v>23474</v>
      </c>
      <c r="U896" s="2">
        <v>3</v>
      </c>
      <c r="V896" s="2" t="s">
        <v>42</v>
      </c>
      <c r="W896" s="2" t="s">
        <v>43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</row>
    <row r="897" spans="1:35" x14ac:dyDescent="0.25">
      <c r="A897" s="2">
        <v>31</v>
      </c>
      <c r="B897" s="2" t="s">
        <v>43</v>
      </c>
      <c r="C897" s="2" t="s">
        <v>36</v>
      </c>
      <c r="D897" s="2">
        <v>1332</v>
      </c>
      <c r="E897" s="2" t="s">
        <v>45</v>
      </c>
      <c r="F897" s="2">
        <v>11</v>
      </c>
      <c r="G897" s="2">
        <v>2</v>
      </c>
      <c r="H897" s="2" t="s">
        <v>51</v>
      </c>
      <c r="I897" s="2">
        <v>1</v>
      </c>
      <c r="J897" s="2">
        <v>1251</v>
      </c>
      <c r="K897" s="2">
        <v>3</v>
      </c>
      <c r="L897" s="2" t="s">
        <v>46</v>
      </c>
      <c r="M897" s="2">
        <v>80</v>
      </c>
      <c r="N897" s="2">
        <v>3</v>
      </c>
      <c r="O897" s="2">
        <v>2</v>
      </c>
      <c r="P897" s="2" t="s">
        <v>54</v>
      </c>
      <c r="Q897" s="2">
        <v>1</v>
      </c>
      <c r="R897" s="2" t="s">
        <v>48</v>
      </c>
      <c r="S897" s="2">
        <v>6833</v>
      </c>
      <c r="T897" s="2">
        <v>17089</v>
      </c>
      <c r="U897" s="2">
        <v>1</v>
      </c>
      <c r="V897" s="2" t="s">
        <v>42</v>
      </c>
      <c r="W897" s="2" t="s">
        <v>35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</row>
    <row r="898" spans="1:35" x14ac:dyDescent="0.25">
      <c r="A898" s="2">
        <v>31</v>
      </c>
      <c r="B898" s="2" t="s">
        <v>43</v>
      </c>
      <c r="C898" s="2" t="s">
        <v>36</v>
      </c>
      <c r="D898" s="2">
        <v>1062</v>
      </c>
      <c r="E898" s="2" t="s">
        <v>45</v>
      </c>
      <c r="F898" s="2">
        <v>24</v>
      </c>
      <c r="G898" s="2">
        <v>3</v>
      </c>
      <c r="H898" s="2" t="s">
        <v>51</v>
      </c>
      <c r="I898" s="2">
        <v>1</v>
      </c>
      <c r="J898" s="2">
        <v>1252</v>
      </c>
      <c r="K898" s="2">
        <v>3</v>
      </c>
      <c r="L898" s="2" t="s">
        <v>39</v>
      </c>
      <c r="M898" s="2">
        <v>96</v>
      </c>
      <c r="N898" s="2">
        <v>2</v>
      </c>
      <c r="O898" s="2">
        <v>2</v>
      </c>
      <c r="P898" s="2" t="s">
        <v>54</v>
      </c>
      <c r="Q898" s="2">
        <v>1</v>
      </c>
      <c r="R898" s="2" t="s">
        <v>41</v>
      </c>
      <c r="S898" s="2">
        <v>6812</v>
      </c>
      <c r="T898" s="2">
        <v>17198</v>
      </c>
      <c r="U898" s="2">
        <v>1</v>
      </c>
      <c r="V898" s="2" t="s">
        <v>42</v>
      </c>
      <c r="W898" s="2" t="s">
        <v>43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</row>
    <row r="899" spans="1:35" x14ac:dyDescent="0.25">
      <c r="A899" s="2">
        <v>59</v>
      </c>
      <c r="B899" s="2" t="s">
        <v>43</v>
      </c>
      <c r="C899" s="2" t="s">
        <v>36</v>
      </c>
      <c r="D899" s="2">
        <v>326</v>
      </c>
      <c r="E899" s="2" t="s">
        <v>37</v>
      </c>
      <c r="F899" s="2">
        <v>3</v>
      </c>
      <c r="G899" s="2">
        <v>3</v>
      </c>
      <c r="H899" s="2" t="s">
        <v>38</v>
      </c>
      <c r="I899" s="2">
        <v>1</v>
      </c>
      <c r="J899" s="2">
        <v>1254</v>
      </c>
      <c r="K899" s="2">
        <v>3</v>
      </c>
      <c r="L899" s="2" t="s">
        <v>39</v>
      </c>
      <c r="M899" s="2">
        <v>48</v>
      </c>
      <c r="N899" s="2">
        <v>2</v>
      </c>
      <c r="O899" s="2">
        <v>2</v>
      </c>
      <c r="P899" s="2" t="s">
        <v>40</v>
      </c>
      <c r="Q899" s="2">
        <v>4</v>
      </c>
      <c r="R899" s="2" t="s">
        <v>41</v>
      </c>
      <c r="S899" s="2">
        <v>5171</v>
      </c>
      <c r="T899" s="2">
        <v>16490</v>
      </c>
      <c r="U899" s="2">
        <v>5</v>
      </c>
      <c r="V899" s="2" t="s">
        <v>42</v>
      </c>
      <c r="W899" s="2" t="s">
        <v>43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</row>
    <row r="900" spans="1:35" x14ac:dyDescent="0.25">
      <c r="A900" s="2">
        <v>43</v>
      </c>
      <c r="B900" s="2" t="s">
        <v>43</v>
      </c>
      <c r="C900" s="2" t="s">
        <v>36</v>
      </c>
      <c r="D900" s="2">
        <v>920</v>
      </c>
      <c r="E900" s="2" t="s">
        <v>45</v>
      </c>
      <c r="F900" s="2">
        <v>3</v>
      </c>
      <c r="G900" s="2">
        <v>3</v>
      </c>
      <c r="H900" s="2" t="s">
        <v>38</v>
      </c>
      <c r="I900" s="2">
        <v>1</v>
      </c>
      <c r="J900" s="2">
        <v>1255</v>
      </c>
      <c r="K900" s="2">
        <v>3</v>
      </c>
      <c r="L900" s="2" t="s">
        <v>46</v>
      </c>
      <c r="M900" s="2">
        <v>96</v>
      </c>
      <c r="N900" s="2">
        <v>1</v>
      </c>
      <c r="O900" s="2">
        <v>5</v>
      </c>
      <c r="P900" s="2" t="s">
        <v>58</v>
      </c>
      <c r="Q900" s="2">
        <v>4</v>
      </c>
      <c r="R900" s="2" t="s">
        <v>48</v>
      </c>
      <c r="S900" s="2">
        <v>19740</v>
      </c>
      <c r="T900" s="2">
        <v>18625</v>
      </c>
      <c r="U900" s="2">
        <v>3</v>
      </c>
      <c r="V900" s="2" t="s">
        <v>42</v>
      </c>
      <c r="W900" s="2" t="s">
        <v>43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</row>
    <row r="901" spans="1:35" x14ac:dyDescent="0.25">
      <c r="A901" s="2">
        <v>49</v>
      </c>
      <c r="B901" s="2" t="s">
        <v>43</v>
      </c>
      <c r="C901" s="2" t="s">
        <v>36</v>
      </c>
      <c r="D901" s="2">
        <v>1098</v>
      </c>
      <c r="E901" s="2" t="s">
        <v>45</v>
      </c>
      <c r="F901" s="2">
        <v>4</v>
      </c>
      <c r="G901" s="2">
        <v>2</v>
      </c>
      <c r="H901" s="2" t="s">
        <v>51</v>
      </c>
      <c r="I901" s="2">
        <v>1</v>
      </c>
      <c r="J901" s="2">
        <v>1256</v>
      </c>
      <c r="K901" s="2">
        <v>1</v>
      </c>
      <c r="L901" s="2" t="s">
        <v>46</v>
      </c>
      <c r="M901" s="2">
        <v>85</v>
      </c>
      <c r="N901" s="2">
        <v>2</v>
      </c>
      <c r="O901" s="2">
        <v>5</v>
      </c>
      <c r="P901" s="2" t="s">
        <v>56</v>
      </c>
      <c r="Q901" s="2">
        <v>3</v>
      </c>
      <c r="R901" s="2" t="s">
        <v>48</v>
      </c>
      <c r="S901" s="2">
        <v>18711</v>
      </c>
      <c r="T901" s="2">
        <v>12124</v>
      </c>
      <c r="U901" s="2">
        <v>2</v>
      </c>
      <c r="V901" s="2" t="s">
        <v>42</v>
      </c>
      <c r="W901" s="2" t="s">
        <v>43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</row>
    <row r="902" spans="1:35" x14ac:dyDescent="0.25">
      <c r="A902" s="2">
        <v>36</v>
      </c>
      <c r="B902" s="2" t="s">
        <v>43</v>
      </c>
      <c r="C902" s="2" t="s">
        <v>44</v>
      </c>
      <c r="D902" s="2">
        <v>469</v>
      </c>
      <c r="E902" s="2" t="s">
        <v>45</v>
      </c>
      <c r="F902" s="2">
        <v>3</v>
      </c>
      <c r="G902" s="2">
        <v>3</v>
      </c>
      <c r="H902" s="2" t="s">
        <v>60</v>
      </c>
      <c r="I902" s="2">
        <v>1</v>
      </c>
      <c r="J902" s="2">
        <v>1257</v>
      </c>
      <c r="K902" s="2">
        <v>3</v>
      </c>
      <c r="L902" s="2" t="s">
        <v>46</v>
      </c>
      <c r="M902" s="2">
        <v>46</v>
      </c>
      <c r="N902" s="2">
        <v>3</v>
      </c>
      <c r="O902" s="2">
        <v>1</v>
      </c>
      <c r="P902" s="2" t="s">
        <v>47</v>
      </c>
      <c r="Q902" s="2">
        <v>2</v>
      </c>
      <c r="R902" s="2" t="s">
        <v>48</v>
      </c>
      <c r="S902" s="2">
        <v>3692</v>
      </c>
      <c r="T902" s="2">
        <v>9256</v>
      </c>
      <c r="U902" s="2">
        <v>1</v>
      </c>
      <c r="V902" s="2" t="s">
        <v>42</v>
      </c>
      <c r="W902" s="2" t="s">
        <v>43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</row>
    <row r="903" spans="1:35" x14ac:dyDescent="0.25">
      <c r="A903" s="2">
        <v>48</v>
      </c>
      <c r="B903" s="2" t="s">
        <v>43</v>
      </c>
      <c r="C903" s="2" t="s">
        <v>36</v>
      </c>
      <c r="D903" s="2">
        <v>969</v>
      </c>
      <c r="E903" s="2" t="s">
        <v>45</v>
      </c>
      <c r="F903" s="2">
        <v>2</v>
      </c>
      <c r="G903" s="2">
        <v>2</v>
      </c>
      <c r="H903" s="2" t="s">
        <v>60</v>
      </c>
      <c r="I903" s="2">
        <v>1</v>
      </c>
      <c r="J903" s="2">
        <v>1258</v>
      </c>
      <c r="K903" s="2">
        <v>4</v>
      </c>
      <c r="L903" s="2" t="s">
        <v>46</v>
      </c>
      <c r="M903" s="2">
        <v>76</v>
      </c>
      <c r="N903" s="2">
        <v>4</v>
      </c>
      <c r="O903" s="2">
        <v>1</v>
      </c>
      <c r="P903" s="2" t="s">
        <v>50</v>
      </c>
      <c r="Q903" s="2">
        <v>2</v>
      </c>
      <c r="R903" s="2" t="s">
        <v>41</v>
      </c>
      <c r="S903" s="2">
        <v>2559</v>
      </c>
      <c r="T903" s="2">
        <v>16620</v>
      </c>
      <c r="U903" s="2">
        <v>5</v>
      </c>
      <c r="V903" s="2" t="s">
        <v>42</v>
      </c>
      <c r="W903" s="2" t="s">
        <v>43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</row>
    <row r="904" spans="1:35" x14ac:dyDescent="0.25">
      <c r="A904" s="2">
        <v>27</v>
      </c>
      <c r="B904" s="2" t="s">
        <v>43</v>
      </c>
      <c r="C904" s="2" t="s">
        <v>36</v>
      </c>
      <c r="D904" s="2">
        <v>1167</v>
      </c>
      <c r="E904" s="2" t="s">
        <v>45</v>
      </c>
      <c r="F904" s="2">
        <v>4</v>
      </c>
      <c r="G904" s="2">
        <v>2</v>
      </c>
      <c r="H904" s="2" t="s">
        <v>38</v>
      </c>
      <c r="I904" s="2">
        <v>1</v>
      </c>
      <c r="J904" s="2">
        <v>1259</v>
      </c>
      <c r="K904" s="2">
        <v>1</v>
      </c>
      <c r="L904" s="2" t="s">
        <v>46</v>
      </c>
      <c r="M904" s="2">
        <v>76</v>
      </c>
      <c r="N904" s="2">
        <v>3</v>
      </c>
      <c r="O904" s="2">
        <v>1</v>
      </c>
      <c r="P904" s="2" t="s">
        <v>47</v>
      </c>
      <c r="Q904" s="2">
        <v>3</v>
      </c>
      <c r="R904" s="2" t="s">
        <v>52</v>
      </c>
      <c r="S904" s="2">
        <v>2517</v>
      </c>
      <c r="T904" s="2">
        <v>3208</v>
      </c>
      <c r="U904" s="2">
        <v>1</v>
      </c>
      <c r="V904" s="2" t="s">
        <v>42</v>
      </c>
      <c r="W904" s="2" t="s">
        <v>43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</row>
    <row r="905" spans="1:35" x14ac:dyDescent="0.25">
      <c r="A905" s="2">
        <v>29</v>
      </c>
      <c r="B905" s="2" t="s">
        <v>43</v>
      </c>
      <c r="C905" s="2" t="s">
        <v>36</v>
      </c>
      <c r="D905" s="2">
        <v>1329</v>
      </c>
      <c r="E905" s="2" t="s">
        <v>45</v>
      </c>
      <c r="F905" s="2">
        <v>7</v>
      </c>
      <c r="G905" s="2">
        <v>3</v>
      </c>
      <c r="H905" s="2" t="s">
        <v>38</v>
      </c>
      <c r="I905" s="2">
        <v>1</v>
      </c>
      <c r="J905" s="2">
        <v>1260</v>
      </c>
      <c r="K905" s="2">
        <v>3</v>
      </c>
      <c r="L905" s="2" t="s">
        <v>46</v>
      </c>
      <c r="M905" s="2">
        <v>82</v>
      </c>
      <c r="N905" s="2">
        <v>3</v>
      </c>
      <c r="O905" s="2">
        <v>2</v>
      </c>
      <c r="P905" s="2" t="s">
        <v>54</v>
      </c>
      <c r="Q905" s="2">
        <v>4</v>
      </c>
      <c r="R905" s="2" t="s">
        <v>52</v>
      </c>
      <c r="S905" s="2">
        <v>6623</v>
      </c>
      <c r="T905" s="2">
        <v>4204</v>
      </c>
      <c r="U905" s="2">
        <v>1</v>
      </c>
      <c r="V905" s="2" t="s">
        <v>42</v>
      </c>
      <c r="W905" s="2" t="s">
        <v>35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</row>
    <row r="906" spans="1:35" x14ac:dyDescent="0.25">
      <c r="A906" s="2">
        <v>48</v>
      </c>
      <c r="B906" s="2" t="s">
        <v>43</v>
      </c>
      <c r="C906" s="2" t="s">
        <v>36</v>
      </c>
      <c r="D906" s="2">
        <v>715</v>
      </c>
      <c r="E906" s="2" t="s">
        <v>45</v>
      </c>
      <c r="F906" s="2">
        <v>1</v>
      </c>
      <c r="G906" s="2">
        <v>3</v>
      </c>
      <c r="H906" s="2" t="s">
        <v>38</v>
      </c>
      <c r="I906" s="2">
        <v>1</v>
      </c>
      <c r="J906" s="2">
        <v>1263</v>
      </c>
      <c r="K906" s="2">
        <v>4</v>
      </c>
      <c r="L906" s="2" t="s">
        <v>46</v>
      </c>
      <c r="M906" s="2">
        <v>76</v>
      </c>
      <c r="N906" s="2">
        <v>2</v>
      </c>
      <c r="O906" s="2">
        <v>5</v>
      </c>
      <c r="P906" s="2" t="s">
        <v>58</v>
      </c>
      <c r="Q906" s="2">
        <v>4</v>
      </c>
      <c r="R906" s="2" t="s">
        <v>41</v>
      </c>
      <c r="S906" s="2">
        <v>18265</v>
      </c>
      <c r="T906" s="2">
        <v>8733</v>
      </c>
      <c r="U906" s="2">
        <v>6</v>
      </c>
      <c r="V906" s="2" t="s">
        <v>42</v>
      </c>
      <c r="W906" s="2" t="s">
        <v>43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</row>
    <row r="907" spans="1:35" x14ac:dyDescent="0.25">
      <c r="A907" s="2">
        <v>29</v>
      </c>
      <c r="B907" s="2" t="s">
        <v>43</v>
      </c>
      <c r="C907" s="2" t="s">
        <v>36</v>
      </c>
      <c r="D907" s="2">
        <v>694</v>
      </c>
      <c r="E907" s="2" t="s">
        <v>45</v>
      </c>
      <c r="F907" s="2">
        <v>1</v>
      </c>
      <c r="G907" s="2">
        <v>3</v>
      </c>
      <c r="H907" s="2" t="s">
        <v>38</v>
      </c>
      <c r="I907" s="2">
        <v>1</v>
      </c>
      <c r="J907" s="2">
        <v>1264</v>
      </c>
      <c r="K907" s="2">
        <v>4</v>
      </c>
      <c r="L907" s="2" t="s">
        <v>39</v>
      </c>
      <c r="M907" s="2">
        <v>87</v>
      </c>
      <c r="N907" s="2">
        <v>2</v>
      </c>
      <c r="O907" s="2">
        <v>4</v>
      </c>
      <c r="P907" s="2" t="s">
        <v>58</v>
      </c>
      <c r="Q907" s="2">
        <v>4</v>
      </c>
      <c r="R907" s="2" t="s">
        <v>52</v>
      </c>
      <c r="S907" s="2">
        <v>16124</v>
      </c>
      <c r="T907" s="2">
        <v>3423</v>
      </c>
      <c r="U907" s="2">
        <v>3</v>
      </c>
      <c r="V907" s="2" t="s">
        <v>42</v>
      </c>
      <c r="W907" s="2" t="s">
        <v>43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</row>
    <row r="908" spans="1:35" x14ac:dyDescent="0.25">
      <c r="A908" s="2">
        <v>34</v>
      </c>
      <c r="B908" s="2" t="s">
        <v>43</v>
      </c>
      <c r="C908" s="2" t="s">
        <v>36</v>
      </c>
      <c r="D908" s="2">
        <v>1320</v>
      </c>
      <c r="E908" s="2" t="s">
        <v>45</v>
      </c>
      <c r="F908" s="2">
        <v>20</v>
      </c>
      <c r="G908" s="2">
        <v>3</v>
      </c>
      <c r="H908" s="2" t="s">
        <v>60</v>
      </c>
      <c r="I908" s="2">
        <v>1</v>
      </c>
      <c r="J908" s="2">
        <v>1265</v>
      </c>
      <c r="K908" s="2">
        <v>3</v>
      </c>
      <c r="L908" s="2" t="s">
        <v>39</v>
      </c>
      <c r="M908" s="2">
        <v>89</v>
      </c>
      <c r="N908" s="2">
        <v>4</v>
      </c>
      <c r="O908" s="2">
        <v>1</v>
      </c>
      <c r="P908" s="2" t="s">
        <v>47</v>
      </c>
      <c r="Q908" s="2">
        <v>3</v>
      </c>
      <c r="R908" s="2" t="s">
        <v>48</v>
      </c>
      <c r="S908" s="2">
        <v>2585</v>
      </c>
      <c r="T908" s="2">
        <v>21643</v>
      </c>
      <c r="U908" s="2">
        <v>0</v>
      </c>
      <c r="V908" s="2" t="s">
        <v>42</v>
      </c>
      <c r="W908" s="2" t="s">
        <v>43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</row>
    <row r="909" spans="1:35" x14ac:dyDescent="0.25">
      <c r="A909" s="2">
        <v>44</v>
      </c>
      <c r="B909" s="2" t="s">
        <v>43</v>
      </c>
      <c r="C909" s="2" t="s">
        <v>36</v>
      </c>
      <c r="D909" s="2">
        <v>1099</v>
      </c>
      <c r="E909" s="2" t="s">
        <v>37</v>
      </c>
      <c r="F909" s="2">
        <v>5</v>
      </c>
      <c r="G909" s="2">
        <v>3</v>
      </c>
      <c r="H909" s="2" t="s">
        <v>59</v>
      </c>
      <c r="I909" s="2">
        <v>1</v>
      </c>
      <c r="J909" s="2">
        <v>1267</v>
      </c>
      <c r="K909" s="2">
        <v>2</v>
      </c>
      <c r="L909" s="2" t="s">
        <v>46</v>
      </c>
      <c r="M909" s="2">
        <v>88</v>
      </c>
      <c r="N909" s="2">
        <v>3</v>
      </c>
      <c r="O909" s="2">
        <v>5</v>
      </c>
      <c r="P909" s="2" t="s">
        <v>56</v>
      </c>
      <c r="Q909" s="2">
        <v>2</v>
      </c>
      <c r="R909" s="2" t="s">
        <v>48</v>
      </c>
      <c r="S909" s="2">
        <v>18213</v>
      </c>
      <c r="T909" s="2">
        <v>8751</v>
      </c>
      <c r="U909" s="2">
        <v>7</v>
      </c>
      <c r="V909" s="2" t="s">
        <v>42</v>
      </c>
      <c r="W909" s="2" t="s">
        <v>43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</row>
    <row r="910" spans="1:35" x14ac:dyDescent="0.25">
      <c r="A910" s="2">
        <v>33</v>
      </c>
      <c r="B910" s="2" t="s">
        <v>43</v>
      </c>
      <c r="C910" s="2" t="s">
        <v>36</v>
      </c>
      <c r="D910" s="2">
        <v>536</v>
      </c>
      <c r="E910" s="2" t="s">
        <v>37</v>
      </c>
      <c r="F910" s="2">
        <v>10</v>
      </c>
      <c r="G910" s="2">
        <v>5</v>
      </c>
      <c r="H910" s="2" t="s">
        <v>59</v>
      </c>
      <c r="I910" s="2">
        <v>1</v>
      </c>
      <c r="J910" s="2">
        <v>1268</v>
      </c>
      <c r="K910" s="2">
        <v>4</v>
      </c>
      <c r="L910" s="2" t="s">
        <v>46</v>
      </c>
      <c r="M910" s="2">
        <v>82</v>
      </c>
      <c r="N910" s="2">
        <v>4</v>
      </c>
      <c r="O910" s="2">
        <v>3</v>
      </c>
      <c r="P910" s="2" t="s">
        <v>40</v>
      </c>
      <c r="Q910" s="2">
        <v>3</v>
      </c>
      <c r="R910" s="2" t="s">
        <v>52</v>
      </c>
      <c r="S910" s="2">
        <v>8380</v>
      </c>
      <c r="T910" s="2">
        <v>21708</v>
      </c>
      <c r="U910" s="2">
        <v>0</v>
      </c>
      <c r="V910" s="2" t="s">
        <v>42</v>
      </c>
      <c r="W910" s="2" t="s">
        <v>35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</row>
    <row r="911" spans="1:35" x14ac:dyDescent="0.25">
      <c r="A911" s="2">
        <v>19</v>
      </c>
      <c r="B911" s="2" t="s">
        <v>43</v>
      </c>
      <c r="C911" s="2" t="s">
        <v>36</v>
      </c>
      <c r="D911" s="2">
        <v>265</v>
      </c>
      <c r="E911" s="2" t="s">
        <v>45</v>
      </c>
      <c r="F911" s="2">
        <v>25</v>
      </c>
      <c r="G911" s="2">
        <v>3</v>
      </c>
      <c r="H911" s="2" t="s">
        <v>38</v>
      </c>
      <c r="I911" s="2">
        <v>1</v>
      </c>
      <c r="J911" s="2">
        <v>1269</v>
      </c>
      <c r="K911" s="2">
        <v>2</v>
      </c>
      <c r="L911" s="2" t="s">
        <v>39</v>
      </c>
      <c r="M911" s="2">
        <v>57</v>
      </c>
      <c r="N911" s="2">
        <v>4</v>
      </c>
      <c r="O911" s="2">
        <v>1</v>
      </c>
      <c r="P911" s="2" t="s">
        <v>47</v>
      </c>
      <c r="Q911" s="2">
        <v>4</v>
      </c>
      <c r="R911" s="2" t="s">
        <v>41</v>
      </c>
      <c r="S911" s="2">
        <v>2994</v>
      </c>
      <c r="T911" s="2">
        <v>21221</v>
      </c>
      <c r="U911" s="2">
        <v>1</v>
      </c>
      <c r="V911" s="2" t="s">
        <v>42</v>
      </c>
      <c r="W911" s="2" t="s">
        <v>35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</row>
    <row r="912" spans="1:35" x14ac:dyDescent="0.25">
      <c r="A912" s="2">
        <v>23</v>
      </c>
      <c r="B912" s="2" t="s">
        <v>43</v>
      </c>
      <c r="C912" s="2" t="s">
        <v>36</v>
      </c>
      <c r="D912" s="2">
        <v>373</v>
      </c>
      <c r="E912" s="2" t="s">
        <v>45</v>
      </c>
      <c r="F912" s="2">
        <v>1</v>
      </c>
      <c r="G912" s="2">
        <v>2</v>
      </c>
      <c r="H912" s="2" t="s">
        <v>38</v>
      </c>
      <c r="I912" s="2">
        <v>1</v>
      </c>
      <c r="J912" s="2">
        <v>1270</v>
      </c>
      <c r="K912" s="2">
        <v>4</v>
      </c>
      <c r="L912" s="2" t="s">
        <v>46</v>
      </c>
      <c r="M912" s="2">
        <v>47</v>
      </c>
      <c r="N912" s="2">
        <v>3</v>
      </c>
      <c r="O912" s="2">
        <v>1</v>
      </c>
      <c r="P912" s="2" t="s">
        <v>47</v>
      </c>
      <c r="Q912" s="2">
        <v>3</v>
      </c>
      <c r="R912" s="2" t="s">
        <v>48</v>
      </c>
      <c r="S912" s="2">
        <v>1223</v>
      </c>
      <c r="T912" s="2">
        <v>16901</v>
      </c>
      <c r="U912" s="2">
        <v>1</v>
      </c>
      <c r="V912" s="2" t="s">
        <v>42</v>
      </c>
      <c r="W912" s="2" t="s">
        <v>43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</row>
    <row r="913" spans="1:35" x14ac:dyDescent="0.25">
      <c r="A913" s="2">
        <v>25</v>
      </c>
      <c r="B913" s="2" t="s">
        <v>35</v>
      </c>
      <c r="C913" s="2" t="s">
        <v>44</v>
      </c>
      <c r="D913" s="2">
        <v>599</v>
      </c>
      <c r="E913" s="2" t="s">
        <v>37</v>
      </c>
      <c r="F913" s="2">
        <v>24</v>
      </c>
      <c r="G913" s="2">
        <v>1</v>
      </c>
      <c r="H913" s="2" t="s">
        <v>38</v>
      </c>
      <c r="I913" s="2">
        <v>1</v>
      </c>
      <c r="J913" s="2">
        <v>1273</v>
      </c>
      <c r="K913" s="2">
        <v>3</v>
      </c>
      <c r="L913" s="2" t="s">
        <v>46</v>
      </c>
      <c r="M913" s="2">
        <v>73</v>
      </c>
      <c r="N913" s="2">
        <v>1</v>
      </c>
      <c r="O913" s="2">
        <v>1</v>
      </c>
      <c r="P913" s="2" t="s">
        <v>57</v>
      </c>
      <c r="Q913" s="2">
        <v>4</v>
      </c>
      <c r="R913" s="2" t="s">
        <v>41</v>
      </c>
      <c r="S913" s="2">
        <v>1118</v>
      </c>
      <c r="T913" s="2">
        <v>8040</v>
      </c>
      <c r="U913" s="2">
        <v>1</v>
      </c>
      <c r="V913" s="2" t="s">
        <v>42</v>
      </c>
      <c r="W913" s="2" t="s">
        <v>35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</row>
    <row r="914" spans="1:35" x14ac:dyDescent="0.25">
      <c r="A914" s="2">
        <v>26</v>
      </c>
      <c r="B914" s="2" t="s">
        <v>43</v>
      </c>
      <c r="C914" s="2" t="s">
        <v>36</v>
      </c>
      <c r="D914" s="2">
        <v>583</v>
      </c>
      <c r="E914" s="2" t="s">
        <v>45</v>
      </c>
      <c r="F914" s="2">
        <v>4</v>
      </c>
      <c r="G914" s="2">
        <v>2</v>
      </c>
      <c r="H914" s="2" t="s">
        <v>38</v>
      </c>
      <c r="I914" s="2">
        <v>1</v>
      </c>
      <c r="J914" s="2">
        <v>1275</v>
      </c>
      <c r="K914" s="2">
        <v>3</v>
      </c>
      <c r="L914" s="2" t="s">
        <v>46</v>
      </c>
      <c r="M914" s="2">
        <v>53</v>
      </c>
      <c r="N914" s="2">
        <v>3</v>
      </c>
      <c r="O914" s="2">
        <v>1</v>
      </c>
      <c r="P914" s="2" t="s">
        <v>47</v>
      </c>
      <c r="Q914" s="2">
        <v>4</v>
      </c>
      <c r="R914" s="2" t="s">
        <v>41</v>
      </c>
      <c r="S914" s="2">
        <v>2875</v>
      </c>
      <c r="T914" s="2">
        <v>9973</v>
      </c>
      <c r="U914" s="2">
        <v>1</v>
      </c>
      <c r="V914" s="2" t="s">
        <v>42</v>
      </c>
      <c r="W914" s="2" t="s">
        <v>35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</row>
    <row r="915" spans="1:35" x14ac:dyDescent="0.25">
      <c r="A915" s="2">
        <v>45</v>
      </c>
      <c r="B915" s="2" t="s">
        <v>35</v>
      </c>
      <c r="C915" s="2" t="s">
        <v>36</v>
      </c>
      <c r="D915" s="2">
        <v>1449</v>
      </c>
      <c r="E915" s="2" t="s">
        <v>37</v>
      </c>
      <c r="F915" s="2">
        <v>2</v>
      </c>
      <c r="G915" s="2">
        <v>3</v>
      </c>
      <c r="H915" s="2" t="s">
        <v>59</v>
      </c>
      <c r="I915" s="2">
        <v>1</v>
      </c>
      <c r="J915" s="2">
        <v>1277</v>
      </c>
      <c r="K915" s="2">
        <v>1</v>
      </c>
      <c r="L915" s="2" t="s">
        <v>39</v>
      </c>
      <c r="M915" s="2">
        <v>94</v>
      </c>
      <c r="N915" s="2">
        <v>1</v>
      </c>
      <c r="O915" s="2">
        <v>5</v>
      </c>
      <c r="P915" s="2" t="s">
        <v>56</v>
      </c>
      <c r="Q915" s="2">
        <v>2</v>
      </c>
      <c r="R915" s="2" t="s">
        <v>41</v>
      </c>
      <c r="S915" s="2">
        <v>18824</v>
      </c>
      <c r="T915" s="2">
        <v>2493</v>
      </c>
      <c r="U915" s="2">
        <v>2</v>
      </c>
      <c r="V915" s="2" t="s">
        <v>42</v>
      </c>
      <c r="W915" s="2" t="s">
        <v>35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</row>
    <row r="916" spans="1:35" x14ac:dyDescent="0.25">
      <c r="A916" s="2">
        <v>55</v>
      </c>
      <c r="B916" s="2" t="s">
        <v>43</v>
      </c>
      <c r="C916" s="2" t="s">
        <v>55</v>
      </c>
      <c r="D916" s="2">
        <v>177</v>
      </c>
      <c r="E916" s="2" t="s">
        <v>45</v>
      </c>
      <c r="F916" s="2">
        <v>8</v>
      </c>
      <c r="G916" s="2">
        <v>1</v>
      </c>
      <c r="H916" s="2" t="s">
        <v>51</v>
      </c>
      <c r="I916" s="2">
        <v>1</v>
      </c>
      <c r="J916" s="2">
        <v>1278</v>
      </c>
      <c r="K916" s="2">
        <v>4</v>
      </c>
      <c r="L916" s="2" t="s">
        <v>46</v>
      </c>
      <c r="M916" s="2">
        <v>37</v>
      </c>
      <c r="N916" s="2">
        <v>2</v>
      </c>
      <c r="O916" s="2">
        <v>4</v>
      </c>
      <c r="P916" s="2" t="s">
        <v>54</v>
      </c>
      <c r="Q916" s="2">
        <v>2</v>
      </c>
      <c r="R916" s="2" t="s">
        <v>52</v>
      </c>
      <c r="S916" s="2">
        <v>13577</v>
      </c>
      <c r="T916" s="2">
        <v>25592</v>
      </c>
      <c r="U916" s="2">
        <v>1</v>
      </c>
      <c r="V916" s="2" t="s">
        <v>42</v>
      </c>
      <c r="W916" s="2" t="s">
        <v>35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</row>
    <row r="917" spans="1:35" x14ac:dyDescent="0.25">
      <c r="A917" s="2">
        <v>21</v>
      </c>
      <c r="B917" s="2" t="s">
        <v>35</v>
      </c>
      <c r="C917" s="2" t="s">
        <v>44</v>
      </c>
      <c r="D917" s="2">
        <v>251</v>
      </c>
      <c r="E917" s="2" t="s">
        <v>45</v>
      </c>
      <c r="F917" s="2">
        <v>10</v>
      </c>
      <c r="G917" s="2">
        <v>2</v>
      </c>
      <c r="H917" s="2" t="s">
        <v>38</v>
      </c>
      <c r="I917" s="2">
        <v>1</v>
      </c>
      <c r="J917" s="2">
        <v>1279</v>
      </c>
      <c r="K917" s="2">
        <v>1</v>
      </c>
      <c r="L917" s="2" t="s">
        <v>39</v>
      </c>
      <c r="M917" s="2">
        <v>45</v>
      </c>
      <c r="N917" s="2">
        <v>2</v>
      </c>
      <c r="O917" s="2">
        <v>1</v>
      </c>
      <c r="P917" s="2" t="s">
        <v>50</v>
      </c>
      <c r="Q917" s="2">
        <v>3</v>
      </c>
      <c r="R917" s="2" t="s">
        <v>41</v>
      </c>
      <c r="S917" s="2">
        <v>2625</v>
      </c>
      <c r="T917" s="2">
        <v>25308</v>
      </c>
      <c r="U917" s="2">
        <v>1</v>
      </c>
      <c r="V917" s="2" t="s">
        <v>42</v>
      </c>
      <c r="W917" s="2" t="s">
        <v>43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</row>
    <row r="918" spans="1:35" x14ac:dyDescent="0.25">
      <c r="A918" s="2">
        <v>46</v>
      </c>
      <c r="B918" s="2" t="s">
        <v>43</v>
      </c>
      <c r="C918" s="2" t="s">
        <v>36</v>
      </c>
      <c r="D918" s="2">
        <v>168</v>
      </c>
      <c r="E918" s="2" t="s">
        <v>37</v>
      </c>
      <c r="F918" s="2">
        <v>4</v>
      </c>
      <c r="G918" s="2">
        <v>2</v>
      </c>
      <c r="H918" s="2" t="s">
        <v>59</v>
      </c>
      <c r="I918" s="2">
        <v>1</v>
      </c>
      <c r="J918" s="2">
        <v>1280</v>
      </c>
      <c r="K918" s="2">
        <v>4</v>
      </c>
      <c r="L918" s="2" t="s">
        <v>39</v>
      </c>
      <c r="M918" s="2">
        <v>33</v>
      </c>
      <c r="N918" s="2">
        <v>2</v>
      </c>
      <c r="O918" s="2">
        <v>5</v>
      </c>
      <c r="P918" s="2" t="s">
        <v>56</v>
      </c>
      <c r="Q918" s="2">
        <v>2</v>
      </c>
      <c r="R918" s="2" t="s">
        <v>48</v>
      </c>
      <c r="S918" s="2">
        <v>18789</v>
      </c>
      <c r="T918" s="2">
        <v>9946</v>
      </c>
      <c r="U918" s="2">
        <v>2</v>
      </c>
      <c r="V918" s="2" t="s">
        <v>42</v>
      </c>
      <c r="W918" s="2" t="s">
        <v>43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</row>
    <row r="919" spans="1:35" x14ac:dyDescent="0.25">
      <c r="A919" s="2">
        <v>34</v>
      </c>
      <c r="B919" s="2" t="s">
        <v>43</v>
      </c>
      <c r="C919" s="2" t="s">
        <v>36</v>
      </c>
      <c r="D919" s="2">
        <v>131</v>
      </c>
      <c r="E919" s="2" t="s">
        <v>37</v>
      </c>
      <c r="F919" s="2">
        <v>2</v>
      </c>
      <c r="G919" s="2">
        <v>3</v>
      </c>
      <c r="H919" s="2" t="s">
        <v>59</v>
      </c>
      <c r="I919" s="2">
        <v>1</v>
      </c>
      <c r="J919" s="2">
        <v>1281</v>
      </c>
      <c r="K919" s="2">
        <v>3</v>
      </c>
      <c r="L919" s="2" t="s">
        <v>39</v>
      </c>
      <c r="M919" s="2">
        <v>86</v>
      </c>
      <c r="N919" s="2">
        <v>3</v>
      </c>
      <c r="O919" s="2">
        <v>2</v>
      </c>
      <c r="P919" s="2" t="s">
        <v>40</v>
      </c>
      <c r="Q919" s="2">
        <v>1</v>
      </c>
      <c r="R919" s="2" t="s">
        <v>41</v>
      </c>
      <c r="S919" s="2">
        <v>4538</v>
      </c>
      <c r="T919" s="2">
        <v>6039</v>
      </c>
      <c r="U919" s="2">
        <v>0</v>
      </c>
      <c r="V919" s="2" t="s">
        <v>42</v>
      </c>
      <c r="W919" s="2" t="s">
        <v>35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</row>
    <row r="920" spans="1:35" x14ac:dyDescent="0.25">
      <c r="A920" s="2">
        <v>51</v>
      </c>
      <c r="B920" s="2" t="s">
        <v>43</v>
      </c>
      <c r="C920" s="2" t="s">
        <v>44</v>
      </c>
      <c r="D920" s="2">
        <v>237</v>
      </c>
      <c r="E920" s="2" t="s">
        <v>37</v>
      </c>
      <c r="F920" s="2">
        <v>9</v>
      </c>
      <c r="G920" s="2">
        <v>3</v>
      </c>
      <c r="H920" s="2" t="s">
        <v>38</v>
      </c>
      <c r="I920" s="2">
        <v>1</v>
      </c>
      <c r="J920" s="2">
        <v>1282</v>
      </c>
      <c r="K920" s="2">
        <v>4</v>
      </c>
      <c r="L920" s="2" t="s">
        <v>46</v>
      </c>
      <c r="M920" s="2">
        <v>83</v>
      </c>
      <c r="N920" s="2">
        <v>3</v>
      </c>
      <c r="O920" s="2">
        <v>5</v>
      </c>
      <c r="P920" s="2" t="s">
        <v>56</v>
      </c>
      <c r="Q920" s="2">
        <v>2</v>
      </c>
      <c r="R920" s="2" t="s">
        <v>52</v>
      </c>
      <c r="S920" s="2">
        <v>19847</v>
      </c>
      <c r="T920" s="2">
        <v>19196</v>
      </c>
      <c r="U920" s="2">
        <v>4</v>
      </c>
      <c r="V920" s="2" t="s">
        <v>42</v>
      </c>
      <c r="W920" s="2" t="s">
        <v>35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</row>
    <row r="921" spans="1:35" x14ac:dyDescent="0.25">
      <c r="A921" s="2">
        <v>59</v>
      </c>
      <c r="B921" s="2" t="s">
        <v>43</v>
      </c>
      <c r="C921" s="2" t="s">
        <v>36</v>
      </c>
      <c r="D921" s="2">
        <v>1429</v>
      </c>
      <c r="E921" s="2" t="s">
        <v>45</v>
      </c>
      <c r="F921" s="2">
        <v>18</v>
      </c>
      <c r="G921" s="2">
        <v>4</v>
      </c>
      <c r="H921" s="2" t="s">
        <v>51</v>
      </c>
      <c r="I921" s="2">
        <v>1</v>
      </c>
      <c r="J921" s="2">
        <v>1283</v>
      </c>
      <c r="K921" s="2">
        <v>4</v>
      </c>
      <c r="L921" s="2" t="s">
        <v>46</v>
      </c>
      <c r="M921" s="2">
        <v>67</v>
      </c>
      <c r="N921" s="2">
        <v>3</v>
      </c>
      <c r="O921" s="2">
        <v>3</v>
      </c>
      <c r="P921" s="2" t="s">
        <v>53</v>
      </c>
      <c r="Q921" s="2">
        <v>4</v>
      </c>
      <c r="R921" s="2" t="s">
        <v>41</v>
      </c>
      <c r="S921" s="2">
        <v>10512</v>
      </c>
      <c r="T921" s="2">
        <v>20002</v>
      </c>
      <c r="U921" s="2">
        <v>6</v>
      </c>
      <c r="V921" s="2" t="s">
        <v>42</v>
      </c>
      <c r="W921" s="2" t="s">
        <v>43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</row>
    <row r="922" spans="1:35" x14ac:dyDescent="0.25">
      <c r="A922" s="2">
        <v>34</v>
      </c>
      <c r="B922" s="2" t="s">
        <v>43</v>
      </c>
      <c r="C922" s="2" t="s">
        <v>44</v>
      </c>
      <c r="D922" s="2">
        <v>135</v>
      </c>
      <c r="E922" s="2" t="s">
        <v>45</v>
      </c>
      <c r="F922" s="2">
        <v>19</v>
      </c>
      <c r="G922" s="2">
        <v>3</v>
      </c>
      <c r="H922" s="2" t="s">
        <v>51</v>
      </c>
      <c r="I922" s="2">
        <v>1</v>
      </c>
      <c r="J922" s="2">
        <v>1285</v>
      </c>
      <c r="K922" s="2">
        <v>3</v>
      </c>
      <c r="L922" s="2" t="s">
        <v>39</v>
      </c>
      <c r="M922" s="2">
        <v>46</v>
      </c>
      <c r="N922" s="2">
        <v>3</v>
      </c>
      <c r="O922" s="2">
        <v>2</v>
      </c>
      <c r="P922" s="2" t="s">
        <v>50</v>
      </c>
      <c r="Q922" s="2">
        <v>2</v>
      </c>
      <c r="R922" s="2" t="s">
        <v>52</v>
      </c>
      <c r="S922" s="2">
        <v>4444</v>
      </c>
      <c r="T922" s="2">
        <v>22534</v>
      </c>
      <c r="U922" s="2">
        <v>4</v>
      </c>
      <c r="V922" s="2" t="s">
        <v>42</v>
      </c>
      <c r="W922" s="2" t="s">
        <v>43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</row>
    <row r="923" spans="1:35" x14ac:dyDescent="0.25">
      <c r="A923" s="2">
        <v>28</v>
      </c>
      <c r="B923" s="2" t="s">
        <v>43</v>
      </c>
      <c r="C923" s="2" t="s">
        <v>44</v>
      </c>
      <c r="D923" s="2">
        <v>791</v>
      </c>
      <c r="E923" s="2" t="s">
        <v>45</v>
      </c>
      <c r="F923" s="2">
        <v>1</v>
      </c>
      <c r="G923" s="2">
        <v>4</v>
      </c>
      <c r="H923" s="2" t="s">
        <v>51</v>
      </c>
      <c r="I923" s="2">
        <v>1</v>
      </c>
      <c r="J923" s="2">
        <v>1286</v>
      </c>
      <c r="K923" s="2">
        <v>4</v>
      </c>
      <c r="L923" s="2" t="s">
        <v>46</v>
      </c>
      <c r="M923" s="2">
        <v>44</v>
      </c>
      <c r="N923" s="2">
        <v>3</v>
      </c>
      <c r="O923" s="2">
        <v>1</v>
      </c>
      <c r="P923" s="2" t="s">
        <v>50</v>
      </c>
      <c r="Q923" s="2">
        <v>3</v>
      </c>
      <c r="R923" s="2" t="s">
        <v>41</v>
      </c>
      <c r="S923" s="2">
        <v>2154</v>
      </c>
      <c r="T923" s="2">
        <v>6842</v>
      </c>
      <c r="U923" s="2">
        <v>0</v>
      </c>
      <c r="V923" s="2" t="s">
        <v>42</v>
      </c>
      <c r="W923" s="2" t="s">
        <v>35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</row>
    <row r="924" spans="1:35" x14ac:dyDescent="0.25">
      <c r="A924" s="2">
        <v>44</v>
      </c>
      <c r="B924" s="2" t="s">
        <v>43</v>
      </c>
      <c r="C924" s="2" t="s">
        <v>36</v>
      </c>
      <c r="D924" s="2">
        <v>1199</v>
      </c>
      <c r="E924" s="2" t="s">
        <v>45</v>
      </c>
      <c r="F924" s="2">
        <v>4</v>
      </c>
      <c r="G924" s="2">
        <v>2</v>
      </c>
      <c r="H924" s="2" t="s">
        <v>38</v>
      </c>
      <c r="I924" s="2">
        <v>1</v>
      </c>
      <c r="J924" s="2">
        <v>1288</v>
      </c>
      <c r="K924" s="2">
        <v>3</v>
      </c>
      <c r="L924" s="2" t="s">
        <v>46</v>
      </c>
      <c r="M924" s="2">
        <v>92</v>
      </c>
      <c r="N924" s="2">
        <v>4</v>
      </c>
      <c r="O924" s="2">
        <v>5</v>
      </c>
      <c r="P924" s="2" t="s">
        <v>56</v>
      </c>
      <c r="Q924" s="2">
        <v>1</v>
      </c>
      <c r="R924" s="2" t="s">
        <v>52</v>
      </c>
      <c r="S924" s="2">
        <v>19190</v>
      </c>
      <c r="T924" s="2">
        <v>17477</v>
      </c>
      <c r="U924" s="2">
        <v>1</v>
      </c>
      <c r="V924" s="2" t="s">
        <v>42</v>
      </c>
      <c r="W924" s="2" t="s">
        <v>43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</row>
    <row r="925" spans="1:35" x14ac:dyDescent="0.25">
      <c r="A925" s="2">
        <v>34</v>
      </c>
      <c r="B925" s="2" t="s">
        <v>43</v>
      </c>
      <c r="C925" s="2" t="s">
        <v>44</v>
      </c>
      <c r="D925" s="2">
        <v>648</v>
      </c>
      <c r="E925" s="2" t="s">
        <v>61</v>
      </c>
      <c r="F925" s="2">
        <v>11</v>
      </c>
      <c r="G925" s="2">
        <v>3</v>
      </c>
      <c r="H925" s="2" t="s">
        <v>38</v>
      </c>
      <c r="I925" s="2">
        <v>1</v>
      </c>
      <c r="J925" s="2">
        <v>1289</v>
      </c>
      <c r="K925" s="2">
        <v>3</v>
      </c>
      <c r="L925" s="2" t="s">
        <v>46</v>
      </c>
      <c r="M925" s="2">
        <v>56</v>
      </c>
      <c r="N925" s="2">
        <v>2</v>
      </c>
      <c r="O925" s="2">
        <v>2</v>
      </c>
      <c r="P925" s="2" t="s">
        <v>61</v>
      </c>
      <c r="Q925" s="2">
        <v>2</v>
      </c>
      <c r="R925" s="2" t="s">
        <v>48</v>
      </c>
      <c r="S925" s="2">
        <v>4490</v>
      </c>
      <c r="T925" s="2">
        <v>21833</v>
      </c>
      <c r="U925" s="2">
        <v>4</v>
      </c>
      <c r="V925" s="2" t="s">
        <v>42</v>
      </c>
      <c r="W925" s="2" t="s">
        <v>43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</row>
    <row r="926" spans="1:35" x14ac:dyDescent="0.25">
      <c r="A926" s="2">
        <v>35</v>
      </c>
      <c r="B926" s="2" t="s">
        <v>43</v>
      </c>
      <c r="C926" s="2" t="s">
        <v>36</v>
      </c>
      <c r="D926" s="2">
        <v>735</v>
      </c>
      <c r="E926" s="2" t="s">
        <v>45</v>
      </c>
      <c r="F926" s="2">
        <v>6</v>
      </c>
      <c r="G926" s="2">
        <v>1</v>
      </c>
      <c r="H926" s="2" t="s">
        <v>38</v>
      </c>
      <c r="I926" s="2">
        <v>1</v>
      </c>
      <c r="J926" s="2">
        <v>1291</v>
      </c>
      <c r="K926" s="2">
        <v>3</v>
      </c>
      <c r="L926" s="2" t="s">
        <v>46</v>
      </c>
      <c r="M926" s="2">
        <v>66</v>
      </c>
      <c r="N926" s="2">
        <v>3</v>
      </c>
      <c r="O926" s="2">
        <v>1</v>
      </c>
      <c r="P926" s="2" t="s">
        <v>47</v>
      </c>
      <c r="Q926" s="2">
        <v>3</v>
      </c>
      <c r="R926" s="2" t="s">
        <v>48</v>
      </c>
      <c r="S926" s="2">
        <v>3506</v>
      </c>
      <c r="T926" s="2">
        <v>6020</v>
      </c>
      <c r="U926" s="2">
        <v>0</v>
      </c>
      <c r="V926" s="2" t="s">
        <v>42</v>
      </c>
      <c r="W926" s="2" t="s">
        <v>35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</row>
    <row r="927" spans="1:35" x14ac:dyDescent="0.25">
      <c r="A927" s="2">
        <v>42</v>
      </c>
      <c r="B927" s="2" t="s">
        <v>43</v>
      </c>
      <c r="C927" s="2" t="s">
        <v>36</v>
      </c>
      <c r="D927" s="2">
        <v>603</v>
      </c>
      <c r="E927" s="2" t="s">
        <v>45</v>
      </c>
      <c r="F927" s="2">
        <v>7</v>
      </c>
      <c r="G927" s="2">
        <v>4</v>
      </c>
      <c r="H927" s="2" t="s">
        <v>51</v>
      </c>
      <c r="I927" s="2">
        <v>1</v>
      </c>
      <c r="J927" s="2">
        <v>1292</v>
      </c>
      <c r="K927" s="2">
        <v>2</v>
      </c>
      <c r="L927" s="2" t="s">
        <v>39</v>
      </c>
      <c r="M927" s="2">
        <v>78</v>
      </c>
      <c r="N927" s="2">
        <v>4</v>
      </c>
      <c r="O927" s="2">
        <v>2</v>
      </c>
      <c r="P927" s="2" t="s">
        <v>47</v>
      </c>
      <c r="Q927" s="2">
        <v>2</v>
      </c>
      <c r="R927" s="2" t="s">
        <v>48</v>
      </c>
      <c r="S927" s="2">
        <v>2372</v>
      </c>
      <c r="T927" s="2">
        <v>5628</v>
      </c>
      <c r="U927" s="2">
        <v>6</v>
      </c>
      <c r="V927" s="2" t="s">
        <v>42</v>
      </c>
      <c r="W927" s="2" t="s">
        <v>35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</row>
    <row r="928" spans="1:35" x14ac:dyDescent="0.25">
      <c r="A928" s="2">
        <v>43</v>
      </c>
      <c r="B928" s="2" t="s">
        <v>43</v>
      </c>
      <c r="C928" s="2" t="s">
        <v>36</v>
      </c>
      <c r="D928" s="2">
        <v>531</v>
      </c>
      <c r="E928" s="2" t="s">
        <v>37</v>
      </c>
      <c r="F928" s="2">
        <v>4</v>
      </c>
      <c r="G928" s="2">
        <v>4</v>
      </c>
      <c r="H928" s="2" t="s">
        <v>59</v>
      </c>
      <c r="I928" s="2">
        <v>1</v>
      </c>
      <c r="J928" s="2">
        <v>1293</v>
      </c>
      <c r="K928" s="2">
        <v>4</v>
      </c>
      <c r="L928" s="2" t="s">
        <v>39</v>
      </c>
      <c r="M928" s="2">
        <v>56</v>
      </c>
      <c r="N928" s="2">
        <v>2</v>
      </c>
      <c r="O928" s="2">
        <v>3</v>
      </c>
      <c r="P928" s="2" t="s">
        <v>40</v>
      </c>
      <c r="Q928" s="2">
        <v>4</v>
      </c>
      <c r="R928" s="2" t="s">
        <v>41</v>
      </c>
      <c r="S928" s="2">
        <v>10231</v>
      </c>
      <c r="T928" s="2">
        <v>20364</v>
      </c>
      <c r="U928" s="2">
        <v>3</v>
      </c>
      <c r="V928" s="2" t="s">
        <v>42</v>
      </c>
      <c r="W928" s="2" t="s">
        <v>43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</row>
    <row r="929" spans="1:35" x14ac:dyDescent="0.25">
      <c r="A929" s="2">
        <v>36</v>
      </c>
      <c r="B929" s="2" t="s">
        <v>43</v>
      </c>
      <c r="C929" s="2" t="s">
        <v>36</v>
      </c>
      <c r="D929" s="2">
        <v>429</v>
      </c>
      <c r="E929" s="2" t="s">
        <v>45</v>
      </c>
      <c r="F929" s="2">
        <v>2</v>
      </c>
      <c r="G929" s="2">
        <v>4</v>
      </c>
      <c r="H929" s="2" t="s">
        <v>38</v>
      </c>
      <c r="I929" s="2">
        <v>1</v>
      </c>
      <c r="J929" s="2">
        <v>1294</v>
      </c>
      <c r="K929" s="2">
        <v>3</v>
      </c>
      <c r="L929" s="2" t="s">
        <v>39</v>
      </c>
      <c r="M929" s="2">
        <v>53</v>
      </c>
      <c r="N929" s="2">
        <v>3</v>
      </c>
      <c r="O929" s="2">
        <v>2</v>
      </c>
      <c r="P929" s="2" t="s">
        <v>53</v>
      </c>
      <c r="Q929" s="2">
        <v>2</v>
      </c>
      <c r="R929" s="2" t="s">
        <v>41</v>
      </c>
      <c r="S929" s="2">
        <v>5410</v>
      </c>
      <c r="T929" s="2">
        <v>2323</v>
      </c>
      <c r="U929" s="2">
        <v>9</v>
      </c>
      <c r="V929" s="2" t="s">
        <v>42</v>
      </c>
      <c r="W929" s="2" t="s">
        <v>35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</row>
    <row r="930" spans="1:35" x14ac:dyDescent="0.25">
      <c r="A930" s="2">
        <v>44</v>
      </c>
      <c r="B930" s="2" t="s">
        <v>35</v>
      </c>
      <c r="C930" s="2" t="s">
        <v>36</v>
      </c>
      <c r="D930" s="2">
        <v>621</v>
      </c>
      <c r="E930" s="2" t="s">
        <v>45</v>
      </c>
      <c r="F930" s="2">
        <v>15</v>
      </c>
      <c r="G930" s="2">
        <v>3</v>
      </c>
      <c r="H930" s="2" t="s">
        <v>51</v>
      </c>
      <c r="I930" s="2">
        <v>1</v>
      </c>
      <c r="J930" s="2">
        <v>1295</v>
      </c>
      <c r="K930" s="2">
        <v>1</v>
      </c>
      <c r="L930" s="2" t="s">
        <v>39</v>
      </c>
      <c r="M930" s="2">
        <v>73</v>
      </c>
      <c r="N930" s="2">
        <v>3</v>
      </c>
      <c r="O930" s="2">
        <v>3</v>
      </c>
      <c r="P930" s="2" t="s">
        <v>54</v>
      </c>
      <c r="Q930" s="2">
        <v>4</v>
      </c>
      <c r="R930" s="2" t="s">
        <v>48</v>
      </c>
      <c r="S930" s="2">
        <v>7978</v>
      </c>
      <c r="T930" s="2">
        <v>14075</v>
      </c>
      <c r="U930" s="2">
        <v>1</v>
      </c>
      <c r="V930" s="2" t="s">
        <v>42</v>
      </c>
      <c r="W930" s="2" t="s">
        <v>43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</row>
    <row r="931" spans="1:35" x14ac:dyDescent="0.25">
      <c r="A931" s="2">
        <v>28</v>
      </c>
      <c r="B931" s="2" t="s">
        <v>43</v>
      </c>
      <c r="C931" s="2" t="s">
        <v>44</v>
      </c>
      <c r="D931" s="2">
        <v>193</v>
      </c>
      <c r="E931" s="2" t="s">
        <v>45</v>
      </c>
      <c r="F931" s="2">
        <v>2</v>
      </c>
      <c r="G931" s="2">
        <v>3</v>
      </c>
      <c r="H931" s="2" t="s">
        <v>38</v>
      </c>
      <c r="I931" s="2">
        <v>1</v>
      </c>
      <c r="J931" s="2">
        <v>1296</v>
      </c>
      <c r="K931" s="2">
        <v>4</v>
      </c>
      <c r="L931" s="2" t="s">
        <v>46</v>
      </c>
      <c r="M931" s="2">
        <v>52</v>
      </c>
      <c r="N931" s="2">
        <v>2</v>
      </c>
      <c r="O931" s="2">
        <v>1</v>
      </c>
      <c r="P931" s="2" t="s">
        <v>50</v>
      </c>
      <c r="Q931" s="2">
        <v>4</v>
      </c>
      <c r="R931" s="2" t="s">
        <v>48</v>
      </c>
      <c r="S931" s="2">
        <v>3867</v>
      </c>
      <c r="T931" s="2">
        <v>14222</v>
      </c>
      <c r="U931" s="2">
        <v>1</v>
      </c>
      <c r="V931" s="2" t="s">
        <v>42</v>
      </c>
      <c r="W931" s="2" t="s">
        <v>35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</row>
    <row r="932" spans="1:35" x14ac:dyDescent="0.25">
      <c r="A932" s="2">
        <v>51</v>
      </c>
      <c r="B932" s="2" t="s">
        <v>43</v>
      </c>
      <c r="C932" s="2" t="s">
        <v>44</v>
      </c>
      <c r="D932" s="2">
        <v>968</v>
      </c>
      <c r="E932" s="2" t="s">
        <v>45</v>
      </c>
      <c r="F932" s="2">
        <v>6</v>
      </c>
      <c r="G932" s="2">
        <v>2</v>
      </c>
      <c r="H932" s="2" t="s">
        <v>51</v>
      </c>
      <c r="I932" s="2">
        <v>1</v>
      </c>
      <c r="J932" s="2">
        <v>1297</v>
      </c>
      <c r="K932" s="2">
        <v>2</v>
      </c>
      <c r="L932" s="2" t="s">
        <v>39</v>
      </c>
      <c r="M932" s="2">
        <v>40</v>
      </c>
      <c r="N932" s="2">
        <v>2</v>
      </c>
      <c r="O932" s="2">
        <v>1</v>
      </c>
      <c r="P932" s="2" t="s">
        <v>50</v>
      </c>
      <c r="Q932" s="2">
        <v>3</v>
      </c>
      <c r="R932" s="2" t="s">
        <v>41</v>
      </c>
      <c r="S932" s="2">
        <v>2838</v>
      </c>
      <c r="T932" s="2">
        <v>4257</v>
      </c>
      <c r="U932" s="2">
        <v>0</v>
      </c>
      <c r="V932" s="2" t="s">
        <v>42</v>
      </c>
      <c r="W932" s="2" t="s">
        <v>43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</row>
    <row r="933" spans="1:35" x14ac:dyDescent="0.25">
      <c r="A933" s="2">
        <v>30</v>
      </c>
      <c r="B933" s="2" t="s">
        <v>43</v>
      </c>
      <c r="C933" s="2" t="s">
        <v>55</v>
      </c>
      <c r="D933" s="2">
        <v>879</v>
      </c>
      <c r="E933" s="2" t="s">
        <v>45</v>
      </c>
      <c r="F933" s="2">
        <v>9</v>
      </c>
      <c r="G933" s="2">
        <v>2</v>
      </c>
      <c r="H933" s="2" t="s">
        <v>51</v>
      </c>
      <c r="I933" s="2">
        <v>1</v>
      </c>
      <c r="J933" s="2">
        <v>1298</v>
      </c>
      <c r="K933" s="2">
        <v>3</v>
      </c>
      <c r="L933" s="2" t="s">
        <v>39</v>
      </c>
      <c r="M933" s="2">
        <v>72</v>
      </c>
      <c r="N933" s="2">
        <v>3</v>
      </c>
      <c r="O933" s="2">
        <v>2</v>
      </c>
      <c r="P933" s="2" t="s">
        <v>53</v>
      </c>
      <c r="Q933" s="2">
        <v>3</v>
      </c>
      <c r="R933" s="2" t="s">
        <v>41</v>
      </c>
      <c r="S933" s="2">
        <v>4695</v>
      </c>
      <c r="T933" s="2">
        <v>12858</v>
      </c>
      <c r="U933" s="2">
        <v>7</v>
      </c>
      <c r="V933" s="2" t="s">
        <v>42</v>
      </c>
      <c r="W933" s="2" t="s">
        <v>35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</row>
    <row r="934" spans="1:35" x14ac:dyDescent="0.25">
      <c r="A934" s="2">
        <v>29</v>
      </c>
      <c r="B934" s="2" t="s">
        <v>35</v>
      </c>
      <c r="C934" s="2" t="s">
        <v>36</v>
      </c>
      <c r="D934" s="2">
        <v>806</v>
      </c>
      <c r="E934" s="2" t="s">
        <v>45</v>
      </c>
      <c r="F934" s="2">
        <v>7</v>
      </c>
      <c r="G934" s="2">
        <v>3</v>
      </c>
      <c r="H934" s="2" t="s">
        <v>60</v>
      </c>
      <c r="I934" s="2">
        <v>1</v>
      </c>
      <c r="J934" s="2">
        <v>1299</v>
      </c>
      <c r="K934" s="2">
        <v>2</v>
      </c>
      <c r="L934" s="2" t="s">
        <v>39</v>
      </c>
      <c r="M934" s="2">
        <v>39</v>
      </c>
      <c r="N934" s="2">
        <v>3</v>
      </c>
      <c r="O934" s="2">
        <v>1</v>
      </c>
      <c r="P934" s="2" t="s">
        <v>50</v>
      </c>
      <c r="Q934" s="2">
        <v>3</v>
      </c>
      <c r="R934" s="2" t="s">
        <v>52</v>
      </c>
      <c r="S934" s="2">
        <v>3339</v>
      </c>
      <c r="T934" s="2">
        <v>17285</v>
      </c>
      <c r="U934" s="2">
        <v>3</v>
      </c>
      <c r="V934" s="2" t="s">
        <v>42</v>
      </c>
      <c r="W934" s="2" t="s">
        <v>35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</row>
    <row r="935" spans="1:35" x14ac:dyDescent="0.25">
      <c r="A935" s="2">
        <v>28</v>
      </c>
      <c r="B935" s="2" t="s">
        <v>43</v>
      </c>
      <c r="C935" s="2" t="s">
        <v>36</v>
      </c>
      <c r="D935" s="2">
        <v>640</v>
      </c>
      <c r="E935" s="2" t="s">
        <v>45</v>
      </c>
      <c r="F935" s="2">
        <v>1</v>
      </c>
      <c r="G935" s="2">
        <v>3</v>
      </c>
      <c r="H935" s="2" t="s">
        <v>60</v>
      </c>
      <c r="I935" s="2">
        <v>1</v>
      </c>
      <c r="J935" s="2">
        <v>1301</v>
      </c>
      <c r="K935" s="2">
        <v>4</v>
      </c>
      <c r="L935" s="2" t="s">
        <v>46</v>
      </c>
      <c r="M935" s="2">
        <v>84</v>
      </c>
      <c r="N935" s="2">
        <v>3</v>
      </c>
      <c r="O935" s="2">
        <v>1</v>
      </c>
      <c r="P935" s="2" t="s">
        <v>47</v>
      </c>
      <c r="Q935" s="2">
        <v>1</v>
      </c>
      <c r="R935" s="2" t="s">
        <v>41</v>
      </c>
      <c r="S935" s="2">
        <v>2080</v>
      </c>
      <c r="T935" s="2">
        <v>4732</v>
      </c>
      <c r="U935" s="2">
        <v>2</v>
      </c>
      <c r="V935" s="2" t="s">
        <v>42</v>
      </c>
      <c r="W935" s="2" t="s">
        <v>43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</row>
    <row r="936" spans="1:35" x14ac:dyDescent="0.25">
      <c r="A936" s="2">
        <v>25</v>
      </c>
      <c r="B936" s="2" t="s">
        <v>43</v>
      </c>
      <c r="C936" s="2" t="s">
        <v>36</v>
      </c>
      <c r="D936" s="2">
        <v>266</v>
      </c>
      <c r="E936" s="2" t="s">
        <v>45</v>
      </c>
      <c r="F936" s="2">
        <v>1</v>
      </c>
      <c r="G936" s="2">
        <v>3</v>
      </c>
      <c r="H936" s="2" t="s">
        <v>51</v>
      </c>
      <c r="I936" s="2">
        <v>1</v>
      </c>
      <c r="J936" s="2">
        <v>1303</v>
      </c>
      <c r="K936" s="2">
        <v>4</v>
      </c>
      <c r="L936" s="2" t="s">
        <v>39</v>
      </c>
      <c r="M936" s="2">
        <v>40</v>
      </c>
      <c r="N936" s="2">
        <v>3</v>
      </c>
      <c r="O936" s="2">
        <v>1</v>
      </c>
      <c r="P936" s="2" t="s">
        <v>47</v>
      </c>
      <c r="Q936" s="2">
        <v>2</v>
      </c>
      <c r="R936" s="2" t="s">
        <v>41</v>
      </c>
      <c r="S936" s="2">
        <v>2096</v>
      </c>
      <c r="T936" s="2">
        <v>18830</v>
      </c>
      <c r="U936" s="2">
        <v>1</v>
      </c>
      <c r="V936" s="2" t="s">
        <v>42</v>
      </c>
      <c r="W936" s="2" t="s">
        <v>43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</row>
    <row r="937" spans="1:35" x14ac:dyDescent="0.25">
      <c r="A937" s="2">
        <v>32</v>
      </c>
      <c r="B937" s="2" t="s">
        <v>43</v>
      </c>
      <c r="C937" s="2" t="s">
        <v>36</v>
      </c>
      <c r="D937" s="2">
        <v>604</v>
      </c>
      <c r="E937" s="2" t="s">
        <v>37</v>
      </c>
      <c r="F937" s="2">
        <v>8</v>
      </c>
      <c r="G937" s="2">
        <v>3</v>
      </c>
      <c r="H937" s="2" t="s">
        <v>51</v>
      </c>
      <c r="I937" s="2">
        <v>1</v>
      </c>
      <c r="J937" s="2">
        <v>1304</v>
      </c>
      <c r="K937" s="2">
        <v>3</v>
      </c>
      <c r="L937" s="2" t="s">
        <v>46</v>
      </c>
      <c r="M937" s="2">
        <v>56</v>
      </c>
      <c r="N937" s="2">
        <v>4</v>
      </c>
      <c r="O937" s="2">
        <v>2</v>
      </c>
      <c r="P937" s="2" t="s">
        <v>40</v>
      </c>
      <c r="Q937" s="2">
        <v>4</v>
      </c>
      <c r="R937" s="2" t="s">
        <v>48</v>
      </c>
      <c r="S937" s="2">
        <v>6209</v>
      </c>
      <c r="T937" s="2">
        <v>11693</v>
      </c>
      <c r="U937" s="2">
        <v>1</v>
      </c>
      <c r="V937" s="2" t="s">
        <v>42</v>
      </c>
      <c r="W937" s="2" t="s">
        <v>43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</row>
    <row r="938" spans="1:35" x14ac:dyDescent="0.25">
      <c r="A938" s="2">
        <v>45</v>
      </c>
      <c r="B938" s="2" t="s">
        <v>43</v>
      </c>
      <c r="C938" s="2" t="s">
        <v>44</v>
      </c>
      <c r="D938" s="2">
        <v>364</v>
      </c>
      <c r="E938" s="2" t="s">
        <v>45</v>
      </c>
      <c r="F938" s="2">
        <v>25</v>
      </c>
      <c r="G938" s="2">
        <v>3</v>
      </c>
      <c r="H938" s="2" t="s">
        <v>51</v>
      </c>
      <c r="I938" s="2">
        <v>1</v>
      </c>
      <c r="J938" s="2">
        <v>1306</v>
      </c>
      <c r="K938" s="2">
        <v>2</v>
      </c>
      <c r="L938" s="2" t="s">
        <v>39</v>
      </c>
      <c r="M938" s="2">
        <v>83</v>
      </c>
      <c r="N938" s="2">
        <v>3</v>
      </c>
      <c r="O938" s="2">
        <v>5</v>
      </c>
      <c r="P938" s="2" t="s">
        <v>56</v>
      </c>
      <c r="Q938" s="2">
        <v>2</v>
      </c>
      <c r="R938" s="2" t="s">
        <v>41</v>
      </c>
      <c r="S938" s="2">
        <v>18061</v>
      </c>
      <c r="T938" s="2">
        <v>13035</v>
      </c>
      <c r="U938" s="2">
        <v>3</v>
      </c>
      <c r="V938" s="2" t="s">
        <v>42</v>
      </c>
      <c r="W938" s="2" t="s">
        <v>43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</row>
    <row r="939" spans="1:35" x14ac:dyDescent="0.25">
      <c r="A939" s="2">
        <v>39</v>
      </c>
      <c r="B939" s="2" t="s">
        <v>43</v>
      </c>
      <c r="C939" s="2" t="s">
        <v>36</v>
      </c>
      <c r="D939" s="2">
        <v>412</v>
      </c>
      <c r="E939" s="2" t="s">
        <v>45</v>
      </c>
      <c r="F939" s="2">
        <v>13</v>
      </c>
      <c r="G939" s="2">
        <v>4</v>
      </c>
      <c r="H939" s="2" t="s">
        <v>51</v>
      </c>
      <c r="I939" s="2">
        <v>1</v>
      </c>
      <c r="J939" s="2">
        <v>1307</v>
      </c>
      <c r="K939" s="2">
        <v>3</v>
      </c>
      <c r="L939" s="2" t="s">
        <v>39</v>
      </c>
      <c r="M939" s="2">
        <v>94</v>
      </c>
      <c r="N939" s="2">
        <v>2</v>
      </c>
      <c r="O939" s="2">
        <v>4</v>
      </c>
      <c r="P939" s="2" t="s">
        <v>56</v>
      </c>
      <c r="Q939" s="2">
        <v>2</v>
      </c>
      <c r="R939" s="2" t="s">
        <v>52</v>
      </c>
      <c r="S939" s="2">
        <v>17123</v>
      </c>
      <c r="T939" s="2">
        <v>17334</v>
      </c>
      <c r="U939" s="2">
        <v>6</v>
      </c>
      <c r="V939" s="2" t="s">
        <v>42</v>
      </c>
      <c r="W939" s="2" t="s">
        <v>35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</row>
    <row r="940" spans="1:35" x14ac:dyDescent="0.25">
      <c r="A940" s="2">
        <v>58</v>
      </c>
      <c r="B940" s="2" t="s">
        <v>43</v>
      </c>
      <c r="C940" s="2" t="s">
        <v>36</v>
      </c>
      <c r="D940" s="2">
        <v>848</v>
      </c>
      <c r="E940" s="2" t="s">
        <v>45</v>
      </c>
      <c r="F940" s="2">
        <v>23</v>
      </c>
      <c r="G940" s="2">
        <v>4</v>
      </c>
      <c r="H940" s="2" t="s">
        <v>38</v>
      </c>
      <c r="I940" s="2">
        <v>1</v>
      </c>
      <c r="J940" s="2">
        <v>1308</v>
      </c>
      <c r="K940" s="2">
        <v>1</v>
      </c>
      <c r="L940" s="2" t="s">
        <v>46</v>
      </c>
      <c r="M940" s="2">
        <v>88</v>
      </c>
      <c r="N940" s="2">
        <v>3</v>
      </c>
      <c r="O940" s="2">
        <v>1</v>
      </c>
      <c r="P940" s="2" t="s">
        <v>47</v>
      </c>
      <c r="Q940" s="2">
        <v>3</v>
      </c>
      <c r="R940" s="2" t="s">
        <v>52</v>
      </c>
      <c r="S940" s="2">
        <v>2372</v>
      </c>
      <c r="T940" s="2">
        <v>26076</v>
      </c>
      <c r="U940" s="2">
        <v>1</v>
      </c>
      <c r="V940" s="2" t="s">
        <v>42</v>
      </c>
      <c r="W940" s="2" t="s">
        <v>43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</row>
    <row r="941" spans="1:35" x14ac:dyDescent="0.25">
      <c r="A941" s="2">
        <v>32</v>
      </c>
      <c r="B941" s="2" t="s">
        <v>35</v>
      </c>
      <c r="C941" s="2" t="s">
        <v>36</v>
      </c>
      <c r="D941" s="2">
        <v>1089</v>
      </c>
      <c r="E941" s="2" t="s">
        <v>45</v>
      </c>
      <c r="F941" s="2">
        <v>7</v>
      </c>
      <c r="G941" s="2">
        <v>2</v>
      </c>
      <c r="H941" s="2" t="s">
        <v>38</v>
      </c>
      <c r="I941" s="2">
        <v>1</v>
      </c>
      <c r="J941" s="2">
        <v>1309</v>
      </c>
      <c r="K941" s="2">
        <v>4</v>
      </c>
      <c r="L941" s="2" t="s">
        <v>46</v>
      </c>
      <c r="M941" s="2">
        <v>79</v>
      </c>
      <c r="N941" s="2">
        <v>3</v>
      </c>
      <c r="O941" s="2">
        <v>2</v>
      </c>
      <c r="P941" s="2" t="s">
        <v>50</v>
      </c>
      <c r="Q941" s="2">
        <v>3</v>
      </c>
      <c r="R941" s="2" t="s">
        <v>48</v>
      </c>
      <c r="S941" s="2">
        <v>4883</v>
      </c>
      <c r="T941" s="2">
        <v>22845</v>
      </c>
      <c r="U941" s="2">
        <v>1</v>
      </c>
      <c r="V941" s="2" t="s">
        <v>42</v>
      </c>
      <c r="W941" s="2" t="s">
        <v>43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</row>
    <row r="942" spans="1:35" x14ac:dyDescent="0.25">
      <c r="A942" s="2">
        <v>39</v>
      </c>
      <c r="B942" s="2" t="s">
        <v>35</v>
      </c>
      <c r="C942" s="2" t="s">
        <v>36</v>
      </c>
      <c r="D942" s="2">
        <v>360</v>
      </c>
      <c r="E942" s="2" t="s">
        <v>45</v>
      </c>
      <c r="F942" s="2">
        <v>23</v>
      </c>
      <c r="G942" s="2">
        <v>3</v>
      </c>
      <c r="H942" s="2" t="s">
        <v>51</v>
      </c>
      <c r="I942" s="2">
        <v>1</v>
      </c>
      <c r="J942" s="2">
        <v>1310</v>
      </c>
      <c r="K942" s="2">
        <v>3</v>
      </c>
      <c r="L942" s="2" t="s">
        <v>46</v>
      </c>
      <c r="M942" s="2">
        <v>93</v>
      </c>
      <c r="N942" s="2">
        <v>3</v>
      </c>
      <c r="O942" s="2">
        <v>1</v>
      </c>
      <c r="P942" s="2" t="s">
        <v>47</v>
      </c>
      <c r="Q942" s="2">
        <v>1</v>
      </c>
      <c r="R942" s="2" t="s">
        <v>41</v>
      </c>
      <c r="S942" s="2">
        <v>3904</v>
      </c>
      <c r="T942" s="2">
        <v>22154</v>
      </c>
      <c r="U942" s="2">
        <v>0</v>
      </c>
      <c r="V942" s="2" t="s">
        <v>42</v>
      </c>
      <c r="W942" s="2" t="s">
        <v>43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</row>
    <row r="943" spans="1:35" x14ac:dyDescent="0.25">
      <c r="A943" s="2">
        <v>30</v>
      </c>
      <c r="B943" s="2" t="s">
        <v>43</v>
      </c>
      <c r="C943" s="2" t="s">
        <v>36</v>
      </c>
      <c r="D943" s="2">
        <v>1138</v>
      </c>
      <c r="E943" s="2" t="s">
        <v>45</v>
      </c>
      <c r="F943" s="2">
        <v>6</v>
      </c>
      <c r="G943" s="2">
        <v>3</v>
      </c>
      <c r="H943" s="2" t="s">
        <v>60</v>
      </c>
      <c r="I943" s="2">
        <v>1</v>
      </c>
      <c r="J943" s="2">
        <v>1311</v>
      </c>
      <c r="K943" s="2">
        <v>1</v>
      </c>
      <c r="L943" s="2" t="s">
        <v>39</v>
      </c>
      <c r="M943" s="2">
        <v>48</v>
      </c>
      <c r="N943" s="2">
        <v>2</v>
      </c>
      <c r="O943" s="2">
        <v>2</v>
      </c>
      <c r="P943" s="2" t="s">
        <v>50</v>
      </c>
      <c r="Q943" s="2">
        <v>4</v>
      </c>
      <c r="R943" s="2" t="s">
        <v>48</v>
      </c>
      <c r="S943" s="2">
        <v>4627</v>
      </c>
      <c r="T943" s="2">
        <v>23631</v>
      </c>
      <c r="U943" s="2">
        <v>0</v>
      </c>
      <c r="V943" s="2" t="s">
        <v>42</v>
      </c>
      <c r="W943" s="2" t="s">
        <v>43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</row>
    <row r="944" spans="1:35" x14ac:dyDescent="0.25">
      <c r="A944" s="2">
        <v>36</v>
      </c>
      <c r="B944" s="2" t="s">
        <v>43</v>
      </c>
      <c r="C944" s="2" t="s">
        <v>36</v>
      </c>
      <c r="D944" s="2">
        <v>325</v>
      </c>
      <c r="E944" s="2" t="s">
        <v>45</v>
      </c>
      <c r="F944" s="2">
        <v>10</v>
      </c>
      <c r="G944" s="2">
        <v>4</v>
      </c>
      <c r="H944" s="2" t="s">
        <v>60</v>
      </c>
      <c r="I944" s="2">
        <v>1</v>
      </c>
      <c r="J944" s="2">
        <v>1312</v>
      </c>
      <c r="K944" s="2">
        <v>4</v>
      </c>
      <c r="L944" s="2" t="s">
        <v>39</v>
      </c>
      <c r="M944" s="2">
        <v>63</v>
      </c>
      <c r="N944" s="2">
        <v>3</v>
      </c>
      <c r="O944" s="2">
        <v>3</v>
      </c>
      <c r="P944" s="2" t="s">
        <v>54</v>
      </c>
      <c r="Q944" s="2">
        <v>3</v>
      </c>
      <c r="R944" s="2" t="s">
        <v>48</v>
      </c>
      <c r="S944" s="2">
        <v>7094</v>
      </c>
      <c r="T944" s="2">
        <v>5747</v>
      </c>
      <c r="U944" s="2">
        <v>3</v>
      </c>
      <c r="V944" s="2" t="s">
        <v>42</v>
      </c>
      <c r="W944" s="2" t="s">
        <v>43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</row>
    <row r="945" spans="1:35" x14ac:dyDescent="0.25">
      <c r="A945" s="2">
        <v>46</v>
      </c>
      <c r="B945" s="2" t="s">
        <v>43</v>
      </c>
      <c r="C945" s="2" t="s">
        <v>36</v>
      </c>
      <c r="D945" s="2">
        <v>991</v>
      </c>
      <c r="E945" s="2" t="s">
        <v>61</v>
      </c>
      <c r="F945" s="2">
        <v>1</v>
      </c>
      <c r="G945" s="2">
        <v>2</v>
      </c>
      <c r="H945" s="2" t="s">
        <v>38</v>
      </c>
      <c r="I945" s="2">
        <v>1</v>
      </c>
      <c r="J945" s="2">
        <v>1314</v>
      </c>
      <c r="K945" s="2">
        <v>4</v>
      </c>
      <c r="L945" s="2" t="s">
        <v>39</v>
      </c>
      <c r="M945" s="2">
        <v>44</v>
      </c>
      <c r="N945" s="2">
        <v>3</v>
      </c>
      <c r="O945" s="2">
        <v>1</v>
      </c>
      <c r="P945" s="2" t="s">
        <v>61</v>
      </c>
      <c r="Q945" s="2">
        <v>1</v>
      </c>
      <c r="R945" s="2" t="s">
        <v>41</v>
      </c>
      <c r="S945" s="2">
        <v>3423</v>
      </c>
      <c r="T945" s="2">
        <v>22957</v>
      </c>
      <c r="U945" s="2">
        <v>6</v>
      </c>
      <c r="V945" s="2" t="s">
        <v>42</v>
      </c>
      <c r="W945" s="2" t="s">
        <v>43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</row>
    <row r="946" spans="1:35" x14ac:dyDescent="0.25">
      <c r="A946" s="2">
        <v>28</v>
      </c>
      <c r="B946" s="2" t="s">
        <v>43</v>
      </c>
      <c r="C946" s="2" t="s">
        <v>55</v>
      </c>
      <c r="D946" s="2">
        <v>1476</v>
      </c>
      <c r="E946" s="2" t="s">
        <v>45</v>
      </c>
      <c r="F946" s="2">
        <v>1</v>
      </c>
      <c r="G946" s="2">
        <v>3</v>
      </c>
      <c r="H946" s="2" t="s">
        <v>38</v>
      </c>
      <c r="I946" s="2">
        <v>1</v>
      </c>
      <c r="J946" s="2">
        <v>1315</v>
      </c>
      <c r="K946" s="2">
        <v>3</v>
      </c>
      <c r="L946" s="2" t="s">
        <v>39</v>
      </c>
      <c r="M946" s="2">
        <v>55</v>
      </c>
      <c r="N946" s="2">
        <v>1</v>
      </c>
      <c r="O946" s="2">
        <v>2</v>
      </c>
      <c r="P946" s="2" t="s">
        <v>50</v>
      </c>
      <c r="Q946" s="2">
        <v>4</v>
      </c>
      <c r="R946" s="2" t="s">
        <v>48</v>
      </c>
      <c r="S946" s="2">
        <v>6674</v>
      </c>
      <c r="T946" s="2">
        <v>16392</v>
      </c>
      <c r="U946" s="2">
        <v>0</v>
      </c>
      <c r="V946" s="2" t="s">
        <v>42</v>
      </c>
      <c r="W946" s="2" t="s">
        <v>43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</row>
    <row r="947" spans="1:35" x14ac:dyDescent="0.25">
      <c r="A947" s="2">
        <v>50</v>
      </c>
      <c r="B947" s="2" t="s">
        <v>43</v>
      </c>
      <c r="C947" s="2" t="s">
        <v>36</v>
      </c>
      <c r="D947" s="2">
        <v>1322</v>
      </c>
      <c r="E947" s="2" t="s">
        <v>45</v>
      </c>
      <c r="F947" s="2">
        <v>28</v>
      </c>
      <c r="G947" s="2">
        <v>3</v>
      </c>
      <c r="H947" s="2" t="s">
        <v>38</v>
      </c>
      <c r="I947" s="2">
        <v>1</v>
      </c>
      <c r="J947" s="2">
        <v>1317</v>
      </c>
      <c r="K947" s="2">
        <v>4</v>
      </c>
      <c r="L947" s="2" t="s">
        <v>39</v>
      </c>
      <c r="M947" s="2">
        <v>43</v>
      </c>
      <c r="N947" s="2">
        <v>3</v>
      </c>
      <c r="O947" s="2">
        <v>4</v>
      </c>
      <c r="P947" s="2" t="s">
        <v>58</v>
      </c>
      <c r="Q947" s="2">
        <v>1</v>
      </c>
      <c r="R947" s="2" t="s">
        <v>48</v>
      </c>
      <c r="S947" s="2">
        <v>16880</v>
      </c>
      <c r="T947" s="2">
        <v>22422</v>
      </c>
      <c r="U947" s="2">
        <v>4</v>
      </c>
      <c r="V947" s="2" t="s">
        <v>42</v>
      </c>
      <c r="W947" s="2" t="s">
        <v>35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</row>
    <row r="948" spans="1:35" x14ac:dyDescent="0.25">
      <c r="A948" s="2">
        <v>40</v>
      </c>
      <c r="B948" s="2" t="s">
        <v>35</v>
      </c>
      <c r="C948" s="2" t="s">
        <v>36</v>
      </c>
      <c r="D948" s="2">
        <v>299</v>
      </c>
      <c r="E948" s="2" t="s">
        <v>37</v>
      </c>
      <c r="F948" s="2">
        <v>25</v>
      </c>
      <c r="G948" s="2">
        <v>4</v>
      </c>
      <c r="H948" s="2" t="s">
        <v>59</v>
      </c>
      <c r="I948" s="2">
        <v>1</v>
      </c>
      <c r="J948" s="2">
        <v>1318</v>
      </c>
      <c r="K948" s="2">
        <v>4</v>
      </c>
      <c r="L948" s="2" t="s">
        <v>46</v>
      </c>
      <c r="M948" s="2">
        <v>57</v>
      </c>
      <c r="N948" s="2">
        <v>2</v>
      </c>
      <c r="O948" s="2">
        <v>3</v>
      </c>
      <c r="P948" s="2" t="s">
        <v>40</v>
      </c>
      <c r="Q948" s="2">
        <v>2</v>
      </c>
      <c r="R948" s="2" t="s">
        <v>41</v>
      </c>
      <c r="S948" s="2">
        <v>9094</v>
      </c>
      <c r="T948" s="2">
        <v>17235</v>
      </c>
      <c r="U948" s="2">
        <v>2</v>
      </c>
      <c r="V948" s="2" t="s">
        <v>42</v>
      </c>
      <c r="W948" s="2" t="s">
        <v>35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</row>
    <row r="949" spans="1:35" x14ac:dyDescent="0.25">
      <c r="A949" s="2">
        <v>52</v>
      </c>
      <c r="B949" s="2" t="s">
        <v>35</v>
      </c>
      <c r="C949" s="2" t="s">
        <v>36</v>
      </c>
      <c r="D949" s="2">
        <v>1030</v>
      </c>
      <c r="E949" s="2" t="s">
        <v>37</v>
      </c>
      <c r="F949" s="2">
        <v>5</v>
      </c>
      <c r="G949" s="2">
        <v>3</v>
      </c>
      <c r="H949" s="2" t="s">
        <v>38</v>
      </c>
      <c r="I949" s="2">
        <v>1</v>
      </c>
      <c r="J949" s="2">
        <v>1319</v>
      </c>
      <c r="K949" s="2">
        <v>2</v>
      </c>
      <c r="L949" s="2" t="s">
        <v>46</v>
      </c>
      <c r="M949" s="2">
        <v>64</v>
      </c>
      <c r="N949" s="2">
        <v>3</v>
      </c>
      <c r="O949" s="2">
        <v>3</v>
      </c>
      <c r="P949" s="2" t="s">
        <v>40</v>
      </c>
      <c r="Q949" s="2">
        <v>2</v>
      </c>
      <c r="R949" s="2" t="s">
        <v>41</v>
      </c>
      <c r="S949" s="2">
        <v>8446</v>
      </c>
      <c r="T949" s="2">
        <v>21534</v>
      </c>
      <c r="U949" s="2">
        <v>9</v>
      </c>
      <c r="V949" s="2" t="s">
        <v>42</v>
      </c>
      <c r="W949" s="2" t="s">
        <v>35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</row>
    <row r="950" spans="1:35" x14ac:dyDescent="0.25">
      <c r="A950" s="2">
        <v>30</v>
      </c>
      <c r="B950" s="2" t="s">
        <v>43</v>
      </c>
      <c r="C950" s="2" t="s">
        <v>36</v>
      </c>
      <c r="D950" s="2">
        <v>634</v>
      </c>
      <c r="E950" s="2" t="s">
        <v>45</v>
      </c>
      <c r="F950" s="2">
        <v>17</v>
      </c>
      <c r="G950" s="2">
        <v>4</v>
      </c>
      <c r="H950" s="2" t="s">
        <v>51</v>
      </c>
      <c r="I950" s="2">
        <v>1</v>
      </c>
      <c r="J950" s="2">
        <v>1321</v>
      </c>
      <c r="K950" s="2">
        <v>2</v>
      </c>
      <c r="L950" s="2" t="s">
        <v>39</v>
      </c>
      <c r="M950" s="2">
        <v>95</v>
      </c>
      <c r="N950" s="2">
        <v>3</v>
      </c>
      <c r="O950" s="2">
        <v>3</v>
      </c>
      <c r="P950" s="2" t="s">
        <v>56</v>
      </c>
      <c r="Q950" s="2">
        <v>1</v>
      </c>
      <c r="R950" s="2" t="s">
        <v>48</v>
      </c>
      <c r="S950" s="2">
        <v>11916</v>
      </c>
      <c r="T950" s="2">
        <v>25927</v>
      </c>
      <c r="U950" s="2">
        <v>1</v>
      </c>
      <c r="V950" s="2" t="s">
        <v>42</v>
      </c>
      <c r="W950" s="2" t="s">
        <v>35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</row>
    <row r="951" spans="1:35" x14ac:dyDescent="0.25">
      <c r="A951" s="2">
        <v>39</v>
      </c>
      <c r="B951" s="2" t="s">
        <v>43</v>
      </c>
      <c r="C951" s="2" t="s">
        <v>36</v>
      </c>
      <c r="D951" s="2">
        <v>524</v>
      </c>
      <c r="E951" s="2" t="s">
        <v>45</v>
      </c>
      <c r="F951" s="2">
        <v>18</v>
      </c>
      <c r="G951" s="2">
        <v>2</v>
      </c>
      <c r="H951" s="2" t="s">
        <v>38</v>
      </c>
      <c r="I951" s="2">
        <v>1</v>
      </c>
      <c r="J951" s="2">
        <v>1322</v>
      </c>
      <c r="K951" s="2">
        <v>1</v>
      </c>
      <c r="L951" s="2" t="s">
        <v>46</v>
      </c>
      <c r="M951" s="2">
        <v>32</v>
      </c>
      <c r="N951" s="2">
        <v>3</v>
      </c>
      <c r="O951" s="2">
        <v>2</v>
      </c>
      <c r="P951" s="2" t="s">
        <v>53</v>
      </c>
      <c r="Q951" s="2">
        <v>3</v>
      </c>
      <c r="R951" s="2" t="s">
        <v>41</v>
      </c>
      <c r="S951" s="2">
        <v>4534</v>
      </c>
      <c r="T951" s="2">
        <v>13352</v>
      </c>
      <c r="U951" s="2">
        <v>0</v>
      </c>
      <c r="V951" s="2" t="s">
        <v>42</v>
      </c>
      <c r="W951" s="2" t="s">
        <v>43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</row>
    <row r="952" spans="1:35" x14ac:dyDescent="0.25">
      <c r="A952" s="2">
        <v>31</v>
      </c>
      <c r="B952" s="2" t="s">
        <v>43</v>
      </c>
      <c r="C952" s="2" t="s">
        <v>55</v>
      </c>
      <c r="D952" s="2">
        <v>587</v>
      </c>
      <c r="E952" s="2" t="s">
        <v>37</v>
      </c>
      <c r="F952" s="2">
        <v>2</v>
      </c>
      <c r="G952" s="2">
        <v>4</v>
      </c>
      <c r="H952" s="2" t="s">
        <v>38</v>
      </c>
      <c r="I952" s="2">
        <v>1</v>
      </c>
      <c r="J952" s="2">
        <v>1324</v>
      </c>
      <c r="K952" s="2">
        <v>4</v>
      </c>
      <c r="L952" s="2" t="s">
        <v>39</v>
      </c>
      <c r="M952" s="2">
        <v>57</v>
      </c>
      <c r="N952" s="2">
        <v>3</v>
      </c>
      <c r="O952" s="2">
        <v>3</v>
      </c>
      <c r="P952" s="2" t="s">
        <v>40</v>
      </c>
      <c r="Q952" s="2">
        <v>3</v>
      </c>
      <c r="R952" s="2" t="s">
        <v>52</v>
      </c>
      <c r="S952" s="2">
        <v>9852</v>
      </c>
      <c r="T952" s="2">
        <v>8935</v>
      </c>
      <c r="U952" s="2">
        <v>1</v>
      </c>
      <c r="V952" s="2" t="s">
        <v>42</v>
      </c>
      <c r="W952" s="2" t="s">
        <v>35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</row>
    <row r="953" spans="1:35" x14ac:dyDescent="0.25">
      <c r="A953" s="2">
        <v>41</v>
      </c>
      <c r="B953" s="2" t="s">
        <v>43</v>
      </c>
      <c r="C953" s="2" t="s">
        <v>55</v>
      </c>
      <c r="D953" s="2">
        <v>256</v>
      </c>
      <c r="E953" s="2" t="s">
        <v>37</v>
      </c>
      <c r="F953" s="2">
        <v>10</v>
      </c>
      <c r="G953" s="2">
        <v>2</v>
      </c>
      <c r="H953" s="2" t="s">
        <v>51</v>
      </c>
      <c r="I953" s="2">
        <v>1</v>
      </c>
      <c r="J953" s="2">
        <v>1329</v>
      </c>
      <c r="K953" s="2">
        <v>3</v>
      </c>
      <c r="L953" s="2" t="s">
        <v>46</v>
      </c>
      <c r="M953" s="2">
        <v>40</v>
      </c>
      <c r="N953" s="2">
        <v>1</v>
      </c>
      <c r="O953" s="2">
        <v>2</v>
      </c>
      <c r="P953" s="2" t="s">
        <v>40</v>
      </c>
      <c r="Q953" s="2">
        <v>2</v>
      </c>
      <c r="R953" s="2" t="s">
        <v>41</v>
      </c>
      <c r="S953" s="2">
        <v>6151</v>
      </c>
      <c r="T953" s="2">
        <v>22074</v>
      </c>
      <c r="U953" s="2">
        <v>1</v>
      </c>
      <c r="V953" s="2" t="s">
        <v>42</v>
      </c>
      <c r="W953" s="2" t="s">
        <v>43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</row>
    <row r="954" spans="1:35" x14ac:dyDescent="0.25">
      <c r="A954" s="2">
        <v>31</v>
      </c>
      <c r="B954" s="2" t="s">
        <v>35</v>
      </c>
      <c r="C954" s="2" t="s">
        <v>44</v>
      </c>
      <c r="D954" s="2">
        <v>1060</v>
      </c>
      <c r="E954" s="2" t="s">
        <v>37</v>
      </c>
      <c r="F954" s="2">
        <v>1</v>
      </c>
      <c r="G954" s="2">
        <v>3</v>
      </c>
      <c r="H954" s="2" t="s">
        <v>38</v>
      </c>
      <c r="I954" s="2">
        <v>1</v>
      </c>
      <c r="J954" s="2">
        <v>1331</v>
      </c>
      <c r="K954" s="2">
        <v>4</v>
      </c>
      <c r="L954" s="2" t="s">
        <v>39</v>
      </c>
      <c r="M954" s="2">
        <v>54</v>
      </c>
      <c r="N954" s="2">
        <v>3</v>
      </c>
      <c r="O954" s="2">
        <v>1</v>
      </c>
      <c r="P954" s="2" t="s">
        <v>57</v>
      </c>
      <c r="Q954" s="2">
        <v>2</v>
      </c>
      <c r="R954" s="2" t="s">
        <v>41</v>
      </c>
      <c r="S954" s="2">
        <v>2302</v>
      </c>
      <c r="T954" s="2">
        <v>8319</v>
      </c>
      <c r="U954" s="2">
        <v>1</v>
      </c>
      <c r="V954" s="2" t="s">
        <v>42</v>
      </c>
      <c r="W954" s="2" t="s">
        <v>35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</row>
    <row r="955" spans="1:35" x14ac:dyDescent="0.25">
      <c r="A955" s="2">
        <v>44</v>
      </c>
      <c r="B955" s="2" t="s">
        <v>35</v>
      </c>
      <c r="C955" s="2" t="s">
        <v>36</v>
      </c>
      <c r="D955" s="2">
        <v>935</v>
      </c>
      <c r="E955" s="2" t="s">
        <v>45</v>
      </c>
      <c r="F955" s="2">
        <v>3</v>
      </c>
      <c r="G955" s="2">
        <v>3</v>
      </c>
      <c r="H955" s="2" t="s">
        <v>38</v>
      </c>
      <c r="I955" s="2">
        <v>1</v>
      </c>
      <c r="J955" s="2">
        <v>1333</v>
      </c>
      <c r="K955" s="2">
        <v>1</v>
      </c>
      <c r="L955" s="2" t="s">
        <v>46</v>
      </c>
      <c r="M955" s="2">
        <v>89</v>
      </c>
      <c r="N955" s="2">
        <v>3</v>
      </c>
      <c r="O955" s="2">
        <v>1</v>
      </c>
      <c r="P955" s="2" t="s">
        <v>50</v>
      </c>
      <c r="Q955" s="2">
        <v>1</v>
      </c>
      <c r="R955" s="2" t="s">
        <v>48</v>
      </c>
      <c r="S955" s="2">
        <v>2362</v>
      </c>
      <c r="T955" s="2">
        <v>14669</v>
      </c>
      <c r="U955" s="2">
        <v>4</v>
      </c>
      <c r="V955" s="2" t="s">
        <v>42</v>
      </c>
      <c r="W955" s="2" t="s">
        <v>43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</row>
    <row r="956" spans="1:35" x14ac:dyDescent="0.25">
      <c r="A956" s="2">
        <v>42</v>
      </c>
      <c r="B956" s="2" t="s">
        <v>43</v>
      </c>
      <c r="C956" s="2" t="s">
        <v>55</v>
      </c>
      <c r="D956" s="2">
        <v>495</v>
      </c>
      <c r="E956" s="2" t="s">
        <v>45</v>
      </c>
      <c r="F956" s="2">
        <v>2</v>
      </c>
      <c r="G956" s="2">
        <v>1</v>
      </c>
      <c r="H956" s="2" t="s">
        <v>38</v>
      </c>
      <c r="I956" s="2">
        <v>1</v>
      </c>
      <c r="J956" s="2">
        <v>1334</v>
      </c>
      <c r="K956" s="2">
        <v>3</v>
      </c>
      <c r="L956" s="2" t="s">
        <v>46</v>
      </c>
      <c r="M956" s="2">
        <v>37</v>
      </c>
      <c r="N956" s="2">
        <v>3</v>
      </c>
      <c r="O956" s="2">
        <v>4</v>
      </c>
      <c r="P956" s="2" t="s">
        <v>56</v>
      </c>
      <c r="Q956" s="2">
        <v>3</v>
      </c>
      <c r="R956" s="2" t="s">
        <v>48</v>
      </c>
      <c r="S956" s="2">
        <v>17861</v>
      </c>
      <c r="T956" s="2">
        <v>26582</v>
      </c>
      <c r="U956" s="2">
        <v>0</v>
      </c>
      <c r="V956" s="2" t="s">
        <v>42</v>
      </c>
      <c r="W956" s="2" t="s">
        <v>35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</row>
    <row r="957" spans="1:35" x14ac:dyDescent="0.25">
      <c r="A957" s="2">
        <v>55</v>
      </c>
      <c r="B957" s="2" t="s">
        <v>43</v>
      </c>
      <c r="C957" s="2" t="s">
        <v>36</v>
      </c>
      <c r="D957" s="2">
        <v>282</v>
      </c>
      <c r="E957" s="2" t="s">
        <v>45</v>
      </c>
      <c r="F957" s="2">
        <v>2</v>
      </c>
      <c r="G957" s="2">
        <v>2</v>
      </c>
      <c r="H957" s="2" t="s">
        <v>51</v>
      </c>
      <c r="I957" s="2">
        <v>1</v>
      </c>
      <c r="J957" s="2">
        <v>1336</v>
      </c>
      <c r="K957" s="2">
        <v>4</v>
      </c>
      <c r="L957" s="2" t="s">
        <v>39</v>
      </c>
      <c r="M957" s="2">
        <v>58</v>
      </c>
      <c r="N957" s="2">
        <v>1</v>
      </c>
      <c r="O957" s="2">
        <v>5</v>
      </c>
      <c r="P957" s="2" t="s">
        <v>56</v>
      </c>
      <c r="Q957" s="2">
        <v>3</v>
      </c>
      <c r="R957" s="2" t="s">
        <v>48</v>
      </c>
      <c r="S957" s="2">
        <v>19187</v>
      </c>
      <c r="T957" s="2">
        <v>6992</v>
      </c>
      <c r="U957" s="2">
        <v>4</v>
      </c>
      <c r="V957" s="2" t="s">
        <v>42</v>
      </c>
      <c r="W957" s="2" t="s">
        <v>43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</row>
    <row r="958" spans="1:35" x14ac:dyDescent="0.25">
      <c r="A958" s="2">
        <v>56</v>
      </c>
      <c r="B958" s="2" t="s">
        <v>43</v>
      </c>
      <c r="C958" s="2" t="s">
        <v>36</v>
      </c>
      <c r="D958" s="2">
        <v>206</v>
      </c>
      <c r="E958" s="2" t="s">
        <v>61</v>
      </c>
      <c r="F958" s="2">
        <v>8</v>
      </c>
      <c r="G958" s="2">
        <v>4</v>
      </c>
      <c r="H958" s="2" t="s">
        <v>38</v>
      </c>
      <c r="I958" s="2">
        <v>1</v>
      </c>
      <c r="J958" s="2">
        <v>1338</v>
      </c>
      <c r="K958" s="2">
        <v>4</v>
      </c>
      <c r="L958" s="2" t="s">
        <v>46</v>
      </c>
      <c r="M958" s="2">
        <v>99</v>
      </c>
      <c r="N958" s="2">
        <v>3</v>
      </c>
      <c r="O958" s="2">
        <v>5</v>
      </c>
      <c r="P958" s="2" t="s">
        <v>56</v>
      </c>
      <c r="Q958" s="2">
        <v>2</v>
      </c>
      <c r="R958" s="2" t="s">
        <v>41</v>
      </c>
      <c r="S958" s="2">
        <v>19717</v>
      </c>
      <c r="T958" s="2">
        <v>4022</v>
      </c>
      <c r="U958" s="2">
        <v>6</v>
      </c>
      <c r="V958" s="2" t="s">
        <v>42</v>
      </c>
      <c r="W958" s="2" t="s">
        <v>43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</row>
    <row r="959" spans="1:35" x14ac:dyDescent="0.25">
      <c r="A959" s="2">
        <v>40</v>
      </c>
      <c r="B959" s="2" t="s">
        <v>43</v>
      </c>
      <c r="C959" s="2" t="s">
        <v>55</v>
      </c>
      <c r="D959" s="2">
        <v>458</v>
      </c>
      <c r="E959" s="2" t="s">
        <v>45</v>
      </c>
      <c r="F959" s="2">
        <v>16</v>
      </c>
      <c r="G959" s="2">
        <v>2</v>
      </c>
      <c r="H959" s="2" t="s">
        <v>38</v>
      </c>
      <c r="I959" s="2">
        <v>1</v>
      </c>
      <c r="J959" s="2">
        <v>1340</v>
      </c>
      <c r="K959" s="2">
        <v>3</v>
      </c>
      <c r="L959" s="2" t="s">
        <v>46</v>
      </c>
      <c r="M959" s="2">
        <v>74</v>
      </c>
      <c r="N959" s="2">
        <v>3</v>
      </c>
      <c r="O959" s="2">
        <v>1</v>
      </c>
      <c r="P959" s="2" t="s">
        <v>47</v>
      </c>
      <c r="Q959" s="2">
        <v>3</v>
      </c>
      <c r="R959" s="2" t="s">
        <v>52</v>
      </c>
      <c r="S959" s="2">
        <v>3544</v>
      </c>
      <c r="T959" s="2">
        <v>8532</v>
      </c>
      <c r="U959" s="2">
        <v>9</v>
      </c>
      <c r="V959" s="2" t="s">
        <v>42</v>
      </c>
      <c r="W959" s="2" t="s">
        <v>43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</row>
    <row r="960" spans="1:35" x14ac:dyDescent="0.25">
      <c r="A960" s="2">
        <v>34</v>
      </c>
      <c r="B960" s="2" t="s">
        <v>43</v>
      </c>
      <c r="C960" s="2" t="s">
        <v>36</v>
      </c>
      <c r="D960" s="2">
        <v>943</v>
      </c>
      <c r="E960" s="2" t="s">
        <v>45</v>
      </c>
      <c r="F960" s="2">
        <v>9</v>
      </c>
      <c r="G960" s="2">
        <v>3</v>
      </c>
      <c r="H960" s="2" t="s">
        <v>38</v>
      </c>
      <c r="I960" s="2">
        <v>1</v>
      </c>
      <c r="J960" s="2">
        <v>1344</v>
      </c>
      <c r="K960" s="2">
        <v>4</v>
      </c>
      <c r="L960" s="2" t="s">
        <v>46</v>
      </c>
      <c r="M960" s="2">
        <v>86</v>
      </c>
      <c r="N960" s="2">
        <v>3</v>
      </c>
      <c r="O960" s="2">
        <v>3</v>
      </c>
      <c r="P960" s="2" t="s">
        <v>54</v>
      </c>
      <c r="Q960" s="2">
        <v>4</v>
      </c>
      <c r="R960" s="2" t="s">
        <v>52</v>
      </c>
      <c r="S960" s="2">
        <v>8500</v>
      </c>
      <c r="T960" s="2">
        <v>5494</v>
      </c>
      <c r="U960" s="2">
        <v>0</v>
      </c>
      <c r="V960" s="2" t="s">
        <v>42</v>
      </c>
      <c r="W960" s="2" t="s">
        <v>43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</row>
    <row r="961" spans="1:35" x14ac:dyDescent="0.25">
      <c r="A961" s="2">
        <v>40</v>
      </c>
      <c r="B961" s="2" t="s">
        <v>43</v>
      </c>
      <c r="C961" s="2" t="s">
        <v>36</v>
      </c>
      <c r="D961" s="2">
        <v>523</v>
      </c>
      <c r="E961" s="2" t="s">
        <v>45</v>
      </c>
      <c r="F961" s="2">
        <v>2</v>
      </c>
      <c r="G961" s="2">
        <v>3</v>
      </c>
      <c r="H961" s="2" t="s">
        <v>38</v>
      </c>
      <c r="I961" s="2">
        <v>1</v>
      </c>
      <c r="J961" s="2">
        <v>1346</v>
      </c>
      <c r="K961" s="2">
        <v>3</v>
      </c>
      <c r="L961" s="2" t="s">
        <v>46</v>
      </c>
      <c r="M961" s="2">
        <v>98</v>
      </c>
      <c r="N961" s="2">
        <v>3</v>
      </c>
      <c r="O961" s="2">
        <v>2</v>
      </c>
      <c r="P961" s="2" t="s">
        <v>47</v>
      </c>
      <c r="Q961" s="2">
        <v>4</v>
      </c>
      <c r="R961" s="2" t="s">
        <v>41</v>
      </c>
      <c r="S961" s="2">
        <v>4661</v>
      </c>
      <c r="T961" s="2">
        <v>22455</v>
      </c>
      <c r="U961" s="2">
        <v>1</v>
      </c>
      <c r="V961" s="2" t="s">
        <v>42</v>
      </c>
      <c r="W961" s="2" t="s">
        <v>43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</row>
    <row r="962" spans="1:35" x14ac:dyDescent="0.25">
      <c r="A962" s="2">
        <v>41</v>
      </c>
      <c r="B962" s="2" t="s">
        <v>43</v>
      </c>
      <c r="C962" s="2" t="s">
        <v>44</v>
      </c>
      <c r="D962" s="2">
        <v>1018</v>
      </c>
      <c r="E962" s="2" t="s">
        <v>37</v>
      </c>
      <c r="F962" s="2">
        <v>1</v>
      </c>
      <c r="G962" s="2">
        <v>3</v>
      </c>
      <c r="H962" s="2" t="s">
        <v>59</v>
      </c>
      <c r="I962" s="2">
        <v>1</v>
      </c>
      <c r="J962" s="2">
        <v>1349</v>
      </c>
      <c r="K962" s="2">
        <v>3</v>
      </c>
      <c r="L962" s="2" t="s">
        <v>39</v>
      </c>
      <c r="M962" s="2">
        <v>66</v>
      </c>
      <c r="N962" s="2">
        <v>3</v>
      </c>
      <c r="O962" s="2">
        <v>2</v>
      </c>
      <c r="P962" s="2" t="s">
        <v>40</v>
      </c>
      <c r="Q962" s="2">
        <v>1</v>
      </c>
      <c r="R962" s="2" t="s">
        <v>52</v>
      </c>
      <c r="S962" s="2">
        <v>4103</v>
      </c>
      <c r="T962" s="2">
        <v>4297</v>
      </c>
      <c r="U962" s="2">
        <v>0</v>
      </c>
      <c r="V962" s="2" t="s">
        <v>42</v>
      </c>
      <c r="W962" s="2" t="s">
        <v>43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</row>
    <row r="963" spans="1:35" x14ac:dyDescent="0.25">
      <c r="A963" s="2">
        <v>35</v>
      </c>
      <c r="B963" s="2" t="s">
        <v>43</v>
      </c>
      <c r="C963" s="2" t="s">
        <v>44</v>
      </c>
      <c r="D963" s="2">
        <v>482</v>
      </c>
      <c r="E963" s="2" t="s">
        <v>45</v>
      </c>
      <c r="F963" s="2">
        <v>4</v>
      </c>
      <c r="G963" s="2">
        <v>4</v>
      </c>
      <c r="H963" s="2" t="s">
        <v>38</v>
      </c>
      <c r="I963" s="2">
        <v>1</v>
      </c>
      <c r="J963" s="2">
        <v>1350</v>
      </c>
      <c r="K963" s="2">
        <v>3</v>
      </c>
      <c r="L963" s="2" t="s">
        <v>46</v>
      </c>
      <c r="M963" s="2">
        <v>87</v>
      </c>
      <c r="N963" s="2">
        <v>3</v>
      </c>
      <c r="O963" s="2">
        <v>2</v>
      </c>
      <c r="P963" s="2" t="s">
        <v>47</v>
      </c>
      <c r="Q963" s="2">
        <v>3</v>
      </c>
      <c r="R963" s="2" t="s">
        <v>41</v>
      </c>
      <c r="S963" s="2">
        <v>4249</v>
      </c>
      <c r="T963" s="2">
        <v>2690</v>
      </c>
      <c r="U963" s="2">
        <v>1</v>
      </c>
      <c r="V963" s="2" t="s">
        <v>42</v>
      </c>
      <c r="W963" s="2" t="s">
        <v>35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</row>
    <row r="964" spans="1:35" x14ac:dyDescent="0.25">
      <c r="A964" s="2">
        <v>51</v>
      </c>
      <c r="B964" s="2" t="s">
        <v>43</v>
      </c>
      <c r="C964" s="2" t="s">
        <v>36</v>
      </c>
      <c r="D964" s="2">
        <v>770</v>
      </c>
      <c r="E964" s="2" t="s">
        <v>61</v>
      </c>
      <c r="F964" s="2">
        <v>5</v>
      </c>
      <c r="G964" s="2">
        <v>3</v>
      </c>
      <c r="H964" s="2" t="s">
        <v>38</v>
      </c>
      <c r="I964" s="2">
        <v>1</v>
      </c>
      <c r="J964" s="2">
        <v>1352</v>
      </c>
      <c r="K964" s="2">
        <v>3</v>
      </c>
      <c r="L964" s="2" t="s">
        <v>46</v>
      </c>
      <c r="M964" s="2">
        <v>84</v>
      </c>
      <c r="N964" s="2">
        <v>3</v>
      </c>
      <c r="O964" s="2">
        <v>4</v>
      </c>
      <c r="P964" s="2" t="s">
        <v>56</v>
      </c>
      <c r="Q964" s="2">
        <v>2</v>
      </c>
      <c r="R964" s="2" t="s">
        <v>52</v>
      </c>
      <c r="S964" s="2">
        <v>14026</v>
      </c>
      <c r="T964" s="2">
        <v>17588</v>
      </c>
      <c r="U964" s="2">
        <v>1</v>
      </c>
      <c r="V964" s="2" t="s">
        <v>42</v>
      </c>
      <c r="W964" s="2" t="s">
        <v>35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</row>
    <row r="965" spans="1:35" x14ac:dyDescent="0.25">
      <c r="A965" s="2">
        <v>38</v>
      </c>
      <c r="B965" s="2" t="s">
        <v>43</v>
      </c>
      <c r="C965" s="2" t="s">
        <v>36</v>
      </c>
      <c r="D965" s="2">
        <v>1009</v>
      </c>
      <c r="E965" s="2" t="s">
        <v>37</v>
      </c>
      <c r="F965" s="2">
        <v>2</v>
      </c>
      <c r="G965" s="2">
        <v>2</v>
      </c>
      <c r="H965" s="2" t="s">
        <v>38</v>
      </c>
      <c r="I965" s="2">
        <v>1</v>
      </c>
      <c r="J965" s="2">
        <v>1355</v>
      </c>
      <c r="K965" s="2">
        <v>2</v>
      </c>
      <c r="L965" s="2" t="s">
        <v>39</v>
      </c>
      <c r="M965" s="2">
        <v>31</v>
      </c>
      <c r="N965" s="2">
        <v>3</v>
      </c>
      <c r="O965" s="2">
        <v>2</v>
      </c>
      <c r="P965" s="2" t="s">
        <v>40</v>
      </c>
      <c r="Q965" s="2">
        <v>1</v>
      </c>
      <c r="R965" s="2" t="s">
        <v>52</v>
      </c>
      <c r="S965" s="2">
        <v>6893</v>
      </c>
      <c r="T965" s="2">
        <v>19461</v>
      </c>
      <c r="U965" s="2">
        <v>3</v>
      </c>
      <c r="V965" s="2" t="s">
        <v>42</v>
      </c>
      <c r="W965" s="2" t="s">
        <v>43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</row>
    <row r="966" spans="1:35" x14ac:dyDescent="0.25">
      <c r="A966" s="2">
        <v>34</v>
      </c>
      <c r="B966" s="2" t="s">
        <v>43</v>
      </c>
      <c r="C966" s="2" t="s">
        <v>36</v>
      </c>
      <c r="D966" s="2">
        <v>507</v>
      </c>
      <c r="E966" s="2" t="s">
        <v>37</v>
      </c>
      <c r="F966" s="2">
        <v>15</v>
      </c>
      <c r="G966" s="2">
        <v>2</v>
      </c>
      <c r="H966" s="2" t="s">
        <v>51</v>
      </c>
      <c r="I966" s="2">
        <v>1</v>
      </c>
      <c r="J966" s="2">
        <v>1356</v>
      </c>
      <c r="K966" s="2">
        <v>3</v>
      </c>
      <c r="L966" s="2" t="s">
        <v>39</v>
      </c>
      <c r="M966" s="2">
        <v>66</v>
      </c>
      <c r="N966" s="2">
        <v>3</v>
      </c>
      <c r="O966" s="2">
        <v>2</v>
      </c>
      <c r="P966" s="2" t="s">
        <v>40</v>
      </c>
      <c r="Q966" s="2">
        <v>1</v>
      </c>
      <c r="R966" s="2" t="s">
        <v>41</v>
      </c>
      <c r="S966" s="2">
        <v>6125</v>
      </c>
      <c r="T966" s="2">
        <v>23553</v>
      </c>
      <c r="U966" s="2">
        <v>1</v>
      </c>
      <c r="V966" s="2" t="s">
        <v>42</v>
      </c>
      <c r="W966" s="2" t="s">
        <v>43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</row>
    <row r="967" spans="1:35" x14ac:dyDescent="0.25">
      <c r="A967" s="2">
        <v>25</v>
      </c>
      <c r="B967" s="2" t="s">
        <v>43</v>
      </c>
      <c r="C967" s="2" t="s">
        <v>36</v>
      </c>
      <c r="D967" s="2">
        <v>882</v>
      </c>
      <c r="E967" s="2" t="s">
        <v>45</v>
      </c>
      <c r="F967" s="2">
        <v>19</v>
      </c>
      <c r="G967" s="2">
        <v>1</v>
      </c>
      <c r="H967" s="2" t="s">
        <v>51</v>
      </c>
      <c r="I967" s="2">
        <v>1</v>
      </c>
      <c r="J967" s="2">
        <v>1358</v>
      </c>
      <c r="K967" s="2">
        <v>4</v>
      </c>
      <c r="L967" s="2" t="s">
        <v>46</v>
      </c>
      <c r="M967" s="2">
        <v>67</v>
      </c>
      <c r="N967" s="2">
        <v>3</v>
      </c>
      <c r="O967" s="2">
        <v>1</v>
      </c>
      <c r="P967" s="2" t="s">
        <v>50</v>
      </c>
      <c r="Q967" s="2">
        <v>4</v>
      </c>
      <c r="R967" s="2" t="s">
        <v>48</v>
      </c>
      <c r="S967" s="2">
        <v>3669</v>
      </c>
      <c r="T967" s="2">
        <v>9075</v>
      </c>
      <c r="U967" s="2">
        <v>3</v>
      </c>
      <c r="V967" s="2" t="s">
        <v>42</v>
      </c>
      <c r="W967" s="2" t="s">
        <v>43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</row>
    <row r="968" spans="1:35" x14ac:dyDescent="0.25">
      <c r="A968" s="2">
        <v>58</v>
      </c>
      <c r="B968" s="2" t="s">
        <v>35</v>
      </c>
      <c r="C968" s="2" t="s">
        <v>36</v>
      </c>
      <c r="D968" s="2">
        <v>601</v>
      </c>
      <c r="E968" s="2" t="s">
        <v>45</v>
      </c>
      <c r="F968" s="2">
        <v>7</v>
      </c>
      <c r="G968" s="2">
        <v>4</v>
      </c>
      <c r="H968" s="2" t="s">
        <v>51</v>
      </c>
      <c r="I968" s="2">
        <v>1</v>
      </c>
      <c r="J968" s="2">
        <v>1360</v>
      </c>
      <c r="K968" s="2">
        <v>3</v>
      </c>
      <c r="L968" s="2" t="s">
        <v>39</v>
      </c>
      <c r="M968" s="2">
        <v>53</v>
      </c>
      <c r="N968" s="2">
        <v>2</v>
      </c>
      <c r="O968" s="2">
        <v>3</v>
      </c>
      <c r="P968" s="2" t="s">
        <v>53</v>
      </c>
      <c r="Q968" s="2">
        <v>1</v>
      </c>
      <c r="R968" s="2" t="s">
        <v>48</v>
      </c>
      <c r="S968" s="2">
        <v>10008</v>
      </c>
      <c r="T968" s="2">
        <v>12023</v>
      </c>
      <c r="U968" s="2">
        <v>7</v>
      </c>
      <c r="V968" s="2" t="s">
        <v>42</v>
      </c>
      <c r="W968" s="2" t="s">
        <v>35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</row>
    <row r="969" spans="1:35" x14ac:dyDescent="0.25">
      <c r="A969" s="2">
        <v>40</v>
      </c>
      <c r="B969" s="2" t="s">
        <v>43</v>
      </c>
      <c r="C969" s="2" t="s">
        <v>36</v>
      </c>
      <c r="D969" s="2">
        <v>329</v>
      </c>
      <c r="E969" s="2" t="s">
        <v>45</v>
      </c>
      <c r="F969" s="2">
        <v>1</v>
      </c>
      <c r="G969" s="2">
        <v>4</v>
      </c>
      <c r="H969" s="2" t="s">
        <v>38</v>
      </c>
      <c r="I969" s="2">
        <v>1</v>
      </c>
      <c r="J969" s="2">
        <v>1361</v>
      </c>
      <c r="K969" s="2">
        <v>2</v>
      </c>
      <c r="L969" s="2" t="s">
        <v>46</v>
      </c>
      <c r="M969" s="2">
        <v>88</v>
      </c>
      <c r="N969" s="2">
        <v>3</v>
      </c>
      <c r="O969" s="2">
        <v>1</v>
      </c>
      <c r="P969" s="2" t="s">
        <v>50</v>
      </c>
      <c r="Q969" s="2">
        <v>2</v>
      </c>
      <c r="R969" s="2" t="s">
        <v>48</v>
      </c>
      <c r="S969" s="2">
        <v>2387</v>
      </c>
      <c r="T969" s="2">
        <v>6762</v>
      </c>
      <c r="U969" s="2">
        <v>3</v>
      </c>
      <c r="V969" s="2" t="s">
        <v>42</v>
      </c>
      <c r="W969" s="2" t="s">
        <v>43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</row>
    <row r="970" spans="1:35" x14ac:dyDescent="0.25">
      <c r="A970" s="2">
        <v>36</v>
      </c>
      <c r="B970" s="2" t="s">
        <v>43</v>
      </c>
      <c r="C970" s="2" t="s">
        <v>44</v>
      </c>
      <c r="D970" s="2">
        <v>607</v>
      </c>
      <c r="E970" s="2" t="s">
        <v>37</v>
      </c>
      <c r="F970" s="2">
        <v>7</v>
      </c>
      <c r="G970" s="2">
        <v>3</v>
      </c>
      <c r="H970" s="2" t="s">
        <v>59</v>
      </c>
      <c r="I970" s="2">
        <v>1</v>
      </c>
      <c r="J970" s="2">
        <v>1362</v>
      </c>
      <c r="K970" s="2">
        <v>1</v>
      </c>
      <c r="L970" s="2" t="s">
        <v>39</v>
      </c>
      <c r="M970" s="2">
        <v>83</v>
      </c>
      <c r="N970" s="2">
        <v>4</v>
      </c>
      <c r="O970" s="2">
        <v>2</v>
      </c>
      <c r="P970" s="2" t="s">
        <v>40</v>
      </c>
      <c r="Q970" s="2">
        <v>1</v>
      </c>
      <c r="R970" s="2" t="s">
        <v>48</v>
      </c>
      <c r="S970" s="2">
        <v>4639</v>
      </c>
      <c r="T970" s="2">
        <v>2261</v>
      </c>
      <c r="U970" s="2">
        <v>2</v>
      </c>
      <c r="V970" s="2" t="s">
        <v>42</v>
      </c>
      <c r="W970" s="2" t="s">
        <v>43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</row>
    <row r="971" spans="1:35" x14ac:dyDescent="0.25">
      <c r="A971" s="2">
        <v>48</v>
      </c>
      <c r="B971" s="2" t="s">
        <v>43</v>
      </c>
      <c r="C971" s="2" t="s">
        <v>36</v>
      </c>
      <c r="D971" s="2">
        <v>855</v>
      </c>
      <c r="E971" s="2" t="s">
        <v>45</v>
      </c>
      <c r="F971" s="2">
        <v>4</v>
      </c>
      <c r="G971" s="2">
        <v>3</v>
      </c>
      <c r="H971" s="2" t="s">
        <v>38</v>
      </c>
      <c r="I971" s="2">
        <v>1</v>
      </c>
      <c r="J971" s="2">
        <v>1363</v>
      </c>
      <c r="K971" s="2">
        <v>4</v>
      </c>
      <c r="L971" s="2" t="s">
        <v>46</v>
      </c>
      <c r="M971" s="2">
        <v>54</v>
      </c>
      <c r="N971" s="2">
        <v>3</v>
      </c>
      <c r="O971" s="2">
        <v>3</v>
      </c>
      <c r="P971" s="2" t="s">
        <v>53</v>
      </c>
      <c r="Q971" s="2">
        <v>4</v>
      </c>
      <c r="R971" s="2" t="s">
        <v>41</v>
      </c>
      <c r="S971" s="2">
        <v>7898</v>
      </c>
      <c r="T971" s="2">
        <v>18706</v>
      </c>
      <c r="U971" s="2">
        <v>1</v>
      </c>
      <c r="V971" s="2" t="s">
        <v>42</v>
      </c>
      <c r="W971" s="2" t="s">
        <v>43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</row>
    <row r="972" spans="1:35" x14ac:dyDescent="0.25">
      <c r="A972" s="2">
        <v>27</v>
      </c>
      <c r="B972" s="2" t="s">
        <v>43</v>
      </c>
      <c r="C972" s="2" t="s">
        <v>36</v>
      </c>
      <c r="D972" s="2">
        <v>1291</v>
      </c>
      <c r="E972" s="2" t="s">
        <v>37</v>
      </c>
      <c r="F972" s="2">
        <v>11</v>
      </c>
      <c r="G972" s="2">
        <v>3</v>
      </c>
      <c r="H972" s="2" t="s">
        <v>51</v>
      </c>
      <c r="I972" s="2">
        <v>1</v>
      </c>
      <c r="J972" s="2">
        <v>1364</v>
      </c>
      <c r="K972" s="2">
        <v>3</v>
      </c>
      <c r="L972" s="2" t="s">
        <v>39</v>
      </c>
      <c r="M972" s="2">
        <v>98</v>
      </c>
      <c r="N972" s="2">
        <v>4</v>
      </c>
      <c r="O972" s="2">
        <v>1</v>
      </c>
      <c r="P972" s="2" t="s">
        <v>57</v>
      </c>
      <c r="Q972" s="2">
        <v>4</v>
      </c>
      <c r="R972" s="2" t="s">
        <v>48</v>
      </c>
      <c r="S972" s="2">
        <v>2534</v>
      </c>
      <c r="T972" s="2">
        <v>6527</v>
      </c>
      <c r="U972" s="2">
        <v>8</v>
      </c>
      <c r="V972" s="2" t="s">
        <v>42</v>
      </c>
      <c r="W972" s="2" t="s">
        <v>43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</row>
    <row r="973" spans="1:35" x14ac:dyDescent="0.25">
      <c r="A973" s="2">
        <v>51</v>
      </c>
      <c r="B973" s="2" t="s">
        <v>43</v>
      </c>
      <c r="C973" s="2" t="s">
        <v>36</v>
      </c>
      <c r="D973" s="2">
        <v>1405</v>
      </c>
      <c r="E973" s="2" t="s">
        <v>45</v>
      </c>
      <c r="F973" s="2">
        <v>11</v>
      </c>
      <c r="G973" s="2">
        <v>2</v>
      </c>
      <c r="H973" s="2" t="s">
        <v>60</v>
      </c>
      <c r="I973" s="2">
        <v>1</v>
      </c>
      <c r="J973" s="2">
        <v>1367</v>
      </c>
      <c r="K973" s="2">
        <v>4</v>
      </c>
      <c r="L973" s="2" t="s">
        <v>39</v>
      </c>
      <c r="M973" s="2">
        <v>82</v>
      </c>
      <c r="N973" s="2">
        <v>2</v>
      </c>
      <c r="O973" s="2">
        <v>4</v>
      </c>
      <c r="P973" s="2" t="s">
        <v>53</v>
      </c>
      <c r="Q973" s="2">
        <v>2</v>
      </c>
      <c r="R973" s="2" t="s">
        <v>41</v>
      </c>
      <c r="S973" s="2">
        <v>13142</v>
      </c>
      <c r="T973" s="2">
        <v>24439</v>
      </c>
      <c r="U973" s="2">
        <v>3</v>
      </c>
      <c r="V973" s="2" t="s">
        <v>42</v>
      </c>
      <c r="W973" s="2" t="s">
        <v>43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</row>
    <row r="974" spans="1:35" x14ac:dyDescent="0.25">
      <c r="A974" s="2">
        <v>18</v>
      </c>
      <c r="B974" s="2" t="s">
        <v>43</v>
      </c>
      <c r="C974" s="2" t="s">
        <v>55</v>
      </c>
      <c r="D974" s="2">
        <v>1124</v>
      </c>
      <c r="E974" s="2" t="s">
        <v>45</v>
      </c>
      <c r="F974" s="2">
        <v>1</v>
      </c>
      <c r="G974" s="2">
        <v>3</v>
      </c>
      <c r="H974" s="2" t="s">
        <v>38</v>
      </c>
      <c r="I974" s="2">
        <v>1</v>
      </c>
      <c r="J974" s="2">
        <v>1368</v>
      </c>
      <c r="K974" s="2">
        <v>4</v>
      </c>
      <c r="L974" s="2" t="s">
        <v>39</v>
      </c>
      <c r="M974" s="2">
        <v>97</v>
      </c>
      <c r="N974" s="2">
        <v>3</v>
      </c>
      <c r="O974" s="2">
        <v>1</v>
      </c>
      <c r="P974" s="2" t="s">
        <v>50</v>
      </c>
      <c r="Q974" s="2">
        <v>4</v>
      </c>
      <c r="R974" s="2" t="s">
        <v>41</v>
      </c>
      <c r="S974" s="2">
        <v>1611</v>
      </c>
      <c r="T974" s="2">
        <v>19305</v>
      </c>
      <c r="U974" s="2">
        <v>1</v>
      </c>
      <c r="V974" s="2" t="s">
        <v>42</v>
      </c>
      <c r="W974" s="2" t="s">
        <v>43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</row>
    <row r="975" spans="1:35" x14ac:dyDescent="0.25">
      <c r="A975" s="2">
        <v>35</v>
      </c>
      <c r="B975" s="2" t="s">
        <v>43</v>
      </c>
      <c r="C975" s="2" t="s">
        <v>36</v>
      </c>
      <c r="D975" s="2">
        <v>817</v>
      </c>
      <c r="E975" s="2" t="s">
        <v>45</v>
      </c>
      <c r="F975" s="2">
        <v>1</v>
      </c>
      <c r="G975" s="2">
        <v>3</v>
      </c>
      <c r="H975" s="2" t="s">
        <v>51</v>
      </c>
      <c r="I975" s="2">
        <v>1</v>
      </c>
      <c r="J975" s="2">
        <v>1369</v>
      </c>
      <c r="K975" s="2">
        <v>4</v>
      </c>
      <c r="L975" s="2" t="s">
        <v>39</v>
      </c>
      <c r="M975" s="2">
        <v>60</v>
      </c>
      <c r="N975" s="2">
        <v>2</v>
      </c>
      <c r="O975" s="2">
        <v>2</v>
      </c>
      <c r="P975" s="2" t="s">
        <v>50</v>
      </c>
      <c r="Q975" s="2">
        <v>4</v>
      </c>
      <c r="R975" s="2" t="s">
        <v>48</v>
      </c>
      <c r="S975" s="2">
        <v>5363</v>
      </c>
      <c r="T975" s="2">
        <v>10846</v>
      </c>
      <c r="U975" s="2">
        <v>0</v>
      </c>
      <c r="V975" s="2" t="s">
        <v>42</v>
      </c>
      <c r="W975" s="2" t="s">
        <v>43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</row>
    <row r="976" spans="1:35" x14ac:dyDescent="0.25">
      <c r="A976" s="2">
        <v>27</v>
      </c>
      <c r="B976" s="2" t="s">
        <v>43</v>
      </c>
      <c r="C976" s="2" t="s">
        <v>44</v>
      </c>
      <c r="D976" s="2">
        <v>793</v>
      </c>
      <c r="E976" s="2" t="s">
        <v>37</v>
      </c>
      <c r="F976" s="2">
        <v>2</v>
      </c>
      <c r="G976" s="2">
        <v>1</v>
      </c>
      <c r="H976" s="2" t="s">
        <v>38</v>
      </c>
      <c r="I976" s="2">
        <v>1</v>
      </c>
      <c r="J976" s="2">
        <v>1371</v>
      </c>
      <c r="K976" s="2">
        <v>4</v>
      </c>
      <c r="L976" s="2" t="s">
        <v>46</v>
      </c>
      <c r="M976" s="2">
        <v>43</v>
      </c>
      <c r="N976" s="2">
        <v>1</v>
      </c>
      <c r="O976" s="2">
        <v>2</v>
      </c>
      <c r="P976" s="2" t="s">
        <v>40</v>
      </c>
      <c r="Q976" s="2">
        <v>4</v>
      </c>
      <c r="R976" s="2" t="s">
        <v>41</v>
      </c>
      <c r="S976" s="2">
        <v>5071</v>
      </c>
      <c r="T976" s="2">
        <v>20392</v>
      </c>
      <c r="U976" s="2">
        <v>3</v>
      </c>
      <c r="V976" s="2" t="s">
        <v>42</v>
      </c>
      <c r="W976" s="2" t="s">
        <v>43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</row>
    <row r="977" spans="1:35" x14ac:dyDescent="0.25">
      <c r="A977" s="2">
        <v>55</v>
      </c>
      <c r="B977" s="2" t="s">
        <v>35</v>
      </c>
      <c r="C977" s="2" t="s">
        <v>36</v>
      </c>
      <c r="D977" s="2">
        <v>267</v>
      </c>
      <c r="E977" s="2" t="s">
        <v>37</v>
      </c>
      <c r="F977" s="2">
        <v>13</v>
      </c>
      <c r="G977" s="2">
        <v>4</v>
      </c>
      <c r="H977" s="2" t="s">
        <v>59</v>
      </c>
      <c r="I977" s="2">
        <v>1</v>
      </c>
      <c r="J977" s="2">
        <v>1372</v>
      </c>
      <c r="K977" s="2">
        <v>1</v>
      </c>
      <c r="L977" s="2" t="s">
        <v>46</v>
      </c>
      <c r="M977" s="2">
        <v>85</v>
      </c>
      <c r="N977" s="2">
        <v>4</v>
      </c>
      <c r="O977" s="2">
        <v>4</v>
      </c>
      <c r="P977" s="2" t="s">
        <v>40</v>
      </c>
      <c r="Q977" s="2">
        <v>3</v>
      </c>
      <c r="R977" s="2" t="s">
        <v>41</v>
      </c>
      <c r="S977" s="2">
        <v>13695</v>
      </c>
      <c r="T977" s="2">
        <v>9277</v>
      </c>
      <c r="U977" s="2">
        <v>6</v>
      </c>
      <c r="V977" s="2" t="s">
        <v>42</v>
      </c>
      <c r="W977" s="2" t="s">
        <v>35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</row>
    <row r="978" spans="1:35" x14ac:dyDescent="0.25">
      <c r="A978" s="2">
        <v>56</v>
      </c>
      <c r="B978" s="2" t="s">
        <v>43</v>
      </c>
      <c r="C978" s="2" t="s">
        <v>36</v>
      </c>
      <c r="D978" s="2">
        <v>1369</v>
      </c>
      <c r="E978" s="2" t="s">
        <v>45</v>
      </c>
      <c r="F978" s="2">
        <v>23</v>
      </c>
      <c r="G978" s="2">
        <v>3</v>
      </c>
      <c r="H978" s="2" t="s">
        <v>38</v>
      </c>
      <c r="I978" s="2">
        <v>1</v>
      </c>
      <c r="J978" s="2">
        <v>1373</v>
      </c>
      <c r="K978" s="2">
        <v>4</v>
      </c>
      <c r="L978" s="2" t="s">
        <v>46</v>
      </c>
      <c r="M978" s="2">
        <v>68</v>
      </c>
      <c r="N978" s="2">
        <v>3</v>
      </c>
      <c r="O978" s="2">
        <v>4</v>
      </c>
      <c r="P978" s="2" t="s">
        <v>53</v>
      </c>
      <c r="Q978" s="2">
        <v>2</v>
      </c>
      <c r="R978" s="2" t="s">
        <v>48</v>
      </c>
      <c r="S978" s="2">
        <v>13402</v>
      </c>
      <c r="T978" s="2">
        <v>18235</v>
      </c>
      <c r="U978" s="2">
        <v>4</v>
      </c>
      <c r="V978" s="2" t="s">
        <v>42</v>
      </c>
      <c r="W978" s="2" t="s">
        <v>35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</row>
    <row r="979" spans="1:35" x14ac:dyDescent="0.25">
      <c r="A979" s="2">
        <v>34</v>
      </c>
      <c r="B979" s="2" t="s">
        <v>43</v>
      </c>
      <c r="C979" s="2" t="s">
        <v>55</v>
      </c>
      <c r="D979" s="2">
        <v>999</v>
      </c>
      <c r="E979" s="2" t="s">
        <v>45</v>
      </c>
      <c r="F979" s="2">
        <v>26</v>
      </c>
      <c r="G979" s="2">
        <v>1</v>
      </c>
      <c r="H979" s="2" t="s">
        <v>60</v>
      </c>
      <c r="I979" s="2">
        <v>1</v>
      </c>
      <c r="J979" s="2">
        <v>1374</v>
      </c>
      <c r="K979" s="2">
        <v>1</v>
      </c>
      <c r="L979" s="2" t="s">
        <v>39</v>
      </c>
      <c r="M979" s="2">
        <v>92</v>
      </c>
      <c r="N979" s="2">
        <v>2</v>
      </c>
      <c r="O979" s="2">
        <v>1</v>
      </c>
      <c r="P979" s="2" t="s">
        <v>47</v>
      </c>
      <c r="Q979" s="2">
        <v>3</v>
      </c>
      <c r="R979" s="2" t="s">
        <v>52</v>
      </c>
      <c r="S979" s="2">
        <v>2029</v>
      </c>
      <c r="T979" s="2">
        <v>15891</v>
      </c>
      <c r="U979" s="2">
        <v>1</v>
      </c>
      <c r="V979" s="2" t="s">
        <v>42</v>
      </c>
      <c r="W979" s="2" t="s">
        <v>43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</row>
    <row r="980" spans="1:35" x14ac:dyDescent="0.25">
      <c r="A980" s="2">
        <v>40</v>
      </c>
      <c r="B980" s="2" t="s">
        <v>43</v>
      </c>
      <c r="C980" s="2" t="s">
        <v>36</v>
      </c>
      <c r="D980" s="2">
        <v>1202</v>
      </c>
      <c r="E980" s="2" t="s">
        <v>45</v>
      </c>
      <c r="F980" s="2">
        <v>2</v>
      </c>
      <c r="G980" s="2">
        <v>1</v>
      </c>
      <c r="H980" s="2" t="s">
        <v>51</v>
      </c>
      <c r="I980" s="2">
        <v>1</v>
      </c>
      <c r="J980" s="2">
        <v>1375</v>
      </c>
      <c r="K980" s="2">
        <v>2</v>
      </c>
      <c r="L980" s="2" t="s">
        <v>39</v>
      </c>
      <c r="M980" s="2">
        <v>89</v>
      </c>
      <c r="N980" s="2">
        <v>4</v>
      </c>
      <c r="O980" s="2">
        <v>2</v>
      </c>
      <c r="P980" s="2" t="s">
        <v>54</v>
      </c>
      <c r="Q980" s="2">
        <v>3</v>
      </c>
      <c r="R980" s="2" t="s">
        <v>52</v>
      </c>
      <c r="S980" s="2">
        <v>6377</v>
      </c>
      <c r="T980" s="2">
        <v>13888</v>
      </c>
      <c r="U980" s="2">
        <v>5</v>
      </c>
      <c r="V980" s="2" t="s">
        <v>42</v>
      </c>
      <c r="W980" s="2" t="s">
        <v>43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</row>
    <row r="981" spans="1:35" x14ac:dyDescent="0.25">
      <c r="A981" s="2">
        <v>34</v>
      </c>
      <c r="B981" s="2" t="s">
        <v>43</v>
      </c>
      <c r="C981" s="2" t="s">
        <v>36</v>
      </c>
      <c r="D981" s="2">
        <v>285</v>
      </c>
      <c r="E981" s="2" t="s">
        <v>45</v>
      </c>
      <c r="F981" s="2">
        <v>29</v>
      </c>
      <c r="G981" s="2">
        <v>3</v>
      </c>
      <c r="H981" s="2" t="s">
        <v>51</v>
      </c>
      <c r="I981" s="2">
        <v>1</v>
      </c>
      <c r="J981" s="2">
        <v>1377</v>
      </c>
      <c r="K981" s="2">
        <v>2</v>
      </c>
      <c r="L981" s="2" t="s">
        <v>46</v>
      </c>
      <c r="M981" s="2">
        <v>86</v>
      </c>
      <c r="N981" s="2">
        <v>3</v>
      </c>
      <c r="O981" s="2">
        <v>2</v>
      </c>
      <c r="P981" s="2" t="s">
        <v>50</v>
      </c>
      <c r="Q981" s="2">
        <v>3</v>
      </c>
      <c r="R981" s="2" t="s">
        <v>48</v>
      </c>
      <c r="S981" s="2">
        <v>5429</v>
      </c>
      <c r="T981" s="2">
        <v>17491</v>
      </c>
      <c r="U981" s="2">
        <v>4</v>
      </c>
      <c r="V981" s="2" t="s">
        <v>42</v>
      </c>
      <c r="W981" s="2" t="s">
        <v>43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</row>
    <row r="982" spans="1:35" x14ac:dyDescent="0.25">
      <c r="A982" s="2">
        <v>31</v>
      </c>
      <c r="B982" s="2" t="s">
        <v>35</v>
      </c>
      <c r="C982" s="2" t="s">
        <v>44</v>
      </c>
      <c r="D982" s="2">
        <v>703</v>
      </c>
      <c r="E982" s="2" t="s">
        <v>37</v>
      </c>
      <c r="F982" s="2">
        <v>2</v>
      </c>
      <c r="G982" s="2">
        <v>3</v>
      </c>
      <c r="H982" s="2" t="s">
        <v>38</v>
      </c>
      <c r="I982" s="2">
        <v>1</v>
      </c>
      <c r="J982" s="2">
        <v>1379</v>
      </c>
      <c r="K982" s="2">
        <v>3</v>
      </c>
      <c r="L982" s="2" t="s">
        <v>39</v>
      </c>
      <c r="M982" s="2">
        <v>90</v>
      </c>
      <c r="N982" s="2">
        <v>2</v>
      </c>
      <c r="O982" s="2">
        <v>1</v>
      </c>
      <c r="P982" s="2" t="s">
        <v>57</v>
      </c>
      <c r="Q982" s="2">
        <v>4</v>
      </c>
      <c r="R982" s="2" t="s">
        <v>41</v>
      </c>
      <c r="S982" s="2">
        <v>2785</v>
      </c>
      <c r="T982" s="2">
        <v>11882</v>
      </c>
      <c r="U982" s="2">
        <v>7</v>
      </c>
      <c r="V982" s="2" t="s">
        <v>42</v>
      </c>
      <c r="W982" s="2" t="s">
        <v>43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</row>
    <row r="983" spans="1:35" x14ac:dyDescent="0.25">
      <c r="A983" s="2">
        <v>35</v>
      </c>
      <c r="B983" s="2" t="s">
        <v>35</v>
      </c>
      <c r="C983" s="2" t="s">
        <v>44</v>
      </c>
      <c r="D983" s="2">
        <v>662</v>
      </c>
      <c r="E983" s="2" t="s">
        <v>37</v>
      </c>
      <c r="F983" s="2">
        <v>18</v>
      </c>
      <c r="G983" s="2">
        <v>4</v>
      </c>
      <c r="H983" s="2" t="s">
        <v>59</v>
      </c>
      <c r="I983" s="2">
        <v>1</v>
      </c>
      <c r="J983" s="2">
        <v>1380</v>
      </c>
      <c r="K983" s="2">
        <v>4</v>
      </c>
      <c r="L983" s="2" t="s">
        <v>39</v>
      </c>
      <c r="M983" s="2">
        <v>67</v>
      </c>
      <c r="N983" s="2">
        <v>3</v>
      </c>
      <c r="O983" s="2">
        <v>2</v>
      </c>
      <c r="P983" s="2" t="s">
        <v>40</v>
      </c>
      <c r="Q983" s="2">
        <v>3</v>
      </c>
      <c r="R983" s="2" t="s">
        <v>48</v>
      </c>
      <c r="S983" s="2">
        <v>4614</v>
      </c>
      <c r="T983" s="2">
        <v>23288</v>
      </c>
      <c r="U983" s="2">
        <v>0</v>
      </c>
      <c r="V983" s="2" t="s">
        <v>42</v>
      </c>
      <c r="W983" s="2" t="s">
        <v>35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</row>
    <row r="984" spans="1:35" x14ac:dyDescent="0.25">
      <c r="A984" s="2">
        <v>38</v>
      </c>
      <c r="B984" s="2" t="s">
        <v>43</v>
      </c>
      <c r="C984" s="2" t="s">
        <v>44</v>
      </c>
      <c r="D984" s="2">
        <v>693</v>
      </c>
      <c r="E984" s="2" t="s">
        <v>45</v>
      </c>
      <c r="F984" s="2">
        <v>7</v>
      </c>
      <c r="G984" s="2">
        <v>3</v>
      </c>
      <c r="H984" s="2" t="s">
        <v>38</v>
      </c>
      <c r="I984" s="2">
        <v>1</v>
      </c>
      <c r="J984" s="2">
        <v>1382</v>
      </c>
      <c r="K984" s="2">
        <v>4</v>
      </c>
      <c r="L984" s="2" t="s">
        <v>46</v>
      </c>
      <c r="M984" s="2">
        <v>57</v>
      </c>
      <c r="N984" s="2">
        <v>4</v>
      </c>
      <c r="O984" s="2">
        <v>1</v>
      </c>
      <c r="P984" s="2" t="s">
        <v>47</v>
      </c>
      <c r="Q984" s="2">
        <v>3</v>
      </c>
      <c r="R984" s="2" t="s">
        <v>52</v>
      </c>
      <c r="S984" s="2">
        <v>2610</v>
      </c>
      <c r="T984" s="2">
        <v>15748</v>
      </c>
      <c r="U984" s="2">
        <v>1</v>
      </c>
      <c r="V984" s="2" t="s">
        <v>42</v>
      </c>
      <c r="W984" s="2" t="s">
        <v>43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</row>
    <row r="985" spans="1:35" x14ac:dyDescent="0.25">
      <c r="A985" s="2">
        <v>34</v>
      </c>
      <c r="B985" s="2" t="s">
        <v>43</v>
      </c>
      <c r="C985" s="2" t="s">
        <v>36</v>
      </c>
      <c r="D985" s="2">
        <v>404</v>
      </c>
      <c r="E985" s="2" t="s">
        <v>45</v>
      </c>
      <c r="F985" s="2">
        <v>2</v>
      </c>
      <c r="G985" s="2">
        <v>4</v>
      </c>
      <c r="H985" s="2" t="s">
        <v>60</v>
      </c>
      <c r="I985" s="2">
        <v>1</v>
      </c>
      <c r="J985" s="2">
        <v>1383</v>
      </c>
      <c r="K985" s="2">
        <v>3</v>
      </c>
      <c r="L985" s="2" t="s">
        <v>39</v>
      </c>
      <c r="M985" s="2">
        <v>98</v>
      </c>
      <c r="N985" s="2">
        <v>3</v>
      </c>
      <c r="O985" s="2">
        <v>2</v>
      </c>
      <c r="P985" s="2" t="s">
        <v>54</v>
      </c>
      <c r="Q985" s="2">
        <v>4</v>
      </c>
      <c r="R985" s="2" t="s">
        <v>41</v>
      </c>
      <c r="S985" s="2">
        <v>6687</v>
      </c>
      <c r="T985" s="2">
        <v>6163</v>
      </c>
      <c r="U985" s="2">
        <v>1</v>
      </c>
      <c r="V985" s="2" t="s">
        <v>42</v>
      </c>
      <c r="W985" s="2" t="s">
        <v>43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</row>
    <row r="986" spans="1:35" x14ac:dyDescent="0.25">
      <c r="A986" s="2">
        <v>28</v>
      </c>
      <c r="B986" s="2" t="s">
        <v>43</v>
      </c>
      <c r="C986" s="2" t="s">
        <v>36</v>
      </c>
      <c r="D986" s="2">
        <v>736</v>
      </c>
      <c r="E986" s="2" t="s">
        <v>37</v>
      </c>
      <c r="F986" s="2">
        <v>26</v>
      </c>
      <c r="G986" s="2">
        <v>3</v>
      </c>
      <c r="H986" s="2" t="s">
        <v>38</v>
      </c>
      <c r="I986" s="2">
        <v>1</v>
      </c>
      <c r="J986" s="2">
        <v>1387</v>
      </c>
      <c r="K986" s="2">
        <v>3</v>
      </c>
      <c r="L986" s="2" t="s">
        <v>46</v>
      </c>
      <c r="M986" s="2">
        <v>48</v>
      </c>
      <c r="N986" s="2">
        <v>2</v>
      </c>
      <c r="O986" s="2">
        <v>2</v>
      </c>
      <c r="P986" s="2" t="s">
        <v>40</v>
      </c>
      <c r="Q986" s="2">
        <v>1</v>
      </c>
      <c r="R986" s="2" t="s">
        <v>48</v>
      </c>
      <c r="S986" s="2">
        <v>4724</v>
      </c>
      <c r="T986" s="2">
        <v>24232</v>
      </c>
      <c r="U986" s="2">
        <v>1</v>
      </c>
      <c r="V986" s="2" t="s">
        <v>42</v>
      </c>
      <c r="W986" s="2" t="s">
        <v>43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</row>
    <row r="987" spans="1:35" x14ac:dyDescent="0.25">
      <c r="A987" s="2">
        <v>31</v>
      </c>
      <c r="B987" s="2" t="s">
        <v>35</v>
      </c>
      <c r="C987" s="2" t="s">
        <v>36</v>
      </c>
      <c r="D987" s="2">
        <v>330</v>
      </c>
      <c r="E987" s="2" t="s">
        <v>45</v>
      </c>
      <c r="F987" s="2">
        <v>22</v>
      </c>
      <c r="G987" s="2">
        <v>4</v>
      </c>
      <c r="H987" s="2" t="s">
        <v>51</v>
      </c>
      <c r="I987" s="2">
        <v>1</v>
      </c>
      <c r="J987" s="2">
        <v>1389</v>
      </c>
      <c r="K987" s="2">
        <v>4</v>
      </c>
      <c r="L987" s="2" t="s">
        <v>46</v>
      </c>
      <c r="M987" s="2">
        <v>98</v>
      </c>
      <c r="N987" s="2">
        <v>3</v>
      </c>
      <c r="O987" s="2">
        <v>2</v>
      </c>
      <c r="P987" s="2" t="s">
        <v>53</v>
      </c>
      <c r="Q987" s="2">
        <v>3</v>
      </c>
      <c r="R987" s="2" t="s">
        <v>48</v>
      </c>
      <c r="S987" s="2">
        <v>6179</v>
      </c>
      <c r="T987" s="2">
        <v>21057</v>
      </c>
      <c r="U987" s="2">
        <v>1</v>
      </c>
      <c r="V987" s="2" t="s">
        <v>42</v>
      </c>
      <c r="W987" s="2" t="s">
        <v>35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</row>
    <row r="988" spans="1:35" x14ac:dyDescent="0.25">
      <c r="A988" s="2">
        <v>39</v>
      </c>
      <c r="B988" s="2" t="s">
        <v>43</v>
      </c>
      <c r="C988" s="2" t="s">
        <v>36</v>
      </c>
      <c r="D988" s="2">
        <v>1498</v>
      </c>
      <c r="E988" s="2" t="s">
        <v>37</v>
      </c>
      <c r="F988" s="2">
        <v>21</v>
      </c>
      <c r="G988" s="2">
        <v>4</v>
      </c>
      <c r="H988" s="2" t="s">
        <v>38</v>
      </c>
      <c r="I988" s="2">
        <v>1</v>
      </c>
      <c r="J988" s="2">
        <v>1390</v>
      </c>
      <c r="K988" s="2">
        <v>1</v>
      </c>
      <c r="L988" s="2" t="s">
        <v>46</v>
      </c>
      <c r="M988" s="2">
        <v>44</v>
      </c>
      <c r="N988" s="2">
        <v>2</v>
      </c>
      <c r="O988" s="2">
        <v>2</v>
      </c>
      <c r="P988" s="2" t="s">
        <v>40</v>
      </c>
      <c r="Q988" s="2">
        <v>4</v>
      </c>
      <c r="R988" s="2" t="s">
        <v>48</v>
      </c>
      <c r="S988" s="2">
        <v>6120</v>
      </c>
      <c r="T988" s="2">
        <v>3567</v>
      </c>
      <c r="U988" s="2">
        <v>3</v>
      </c>
      <c r="V988" s="2" t="s">
        <v>42</v>
      </c>
      <c r="W988" s="2" t="s">
        <v>35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</row>
    <row r="989" spans="1:35" x14ac:dyDescent="0.25">
      <c r="A989" s="2">
        <v>51</v>
      </c>
      <c r="B989" s="2" t="s">
        <v>43</v>
      </c>
      <c r="C989" s="2" t="s">
        <v>44</v>
      </c>
      <c r="D989" s="2">
        <v>541</v>
      </c>
      <c r="E989" s="2" t="s">
        <v>37</v>
      </c>
      <c r="F989" s="2">
        <v>2</v>
      </c>
      <c r="G989" s="2">
        <v>3</v>
      </c>
      <c r="H989" s="2" t="s">
        <v>59</v>
      </c>
      <c r="I989" s="2">
        <v>1</v>
      </c>
      <c r="J989" s="2">
        <v>1391</v>
      </c>
      <c r="K989" s="2">
        <v>2</v>
      </c>
      <c r="L989" s="2" t="s">
        <v>46</v>
      </c>
      <c r="M989" s="2">
        <v>52</v>
      </c>
      <c r="N989" s="2">
        <v>3</v>
      </c>
      <c r="O989" s="2">
        <v>3</v>
      </c>
      <c r="P989" s="2" t="s">
        <v>40</v>
      </c>
      <c r="Q989" s="2">
        <v>2</v>
      </c>
      <c r="R989" s="2" t="s">
        <v>48</v>
      </c>
      <c r="S989" s="2">
        <v>10596</v>
      </c>
      <c r="T989" s="2">
        <v>15395</v>
      </c>
      <c r="U989" s="2">
        <v>2</v>
      </c>
      <c r="V989" s="2" t="s">
        <v>42</v>
      </c>
      <c r="W989" s="2" t="s">
        <v>43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</row>
    <row r="990" spans="1:35" x14ac:dyDescent="0.25">
      <c r="A990" s="2">
        <v>41</v>
      </c>
      <c r="B990" s="2" t="s">
        <v>43</v>
      </c>
      <c r="C990" s="2" t="s">
        <v>44</v>
      </c>
      <c r="D990" s="2">
        <v>1200</v>
      </c>
      <c r="E990" s="2" t="s">
        <v>45</v>
      </c>
      <c r="F990" s="2">
        <v>22</v>
      </c>
      <c r="G990" s="2">
        <v>3</v>
      </c>
      <c r="H990" s="2" t="s">
        <v>38</v>
      </c>
      <c r="I990" s="2">
        <v>1</v>
      </c>
      <c r="J990" s="2">
        <v>1392</v>
      </c>
      <c r="K990" s="2">
        <v>4</v>
      </c>
      <c r="L990" s="2" t="s">
        <v>39</v>
      </c>
      <c r="M990" s="2">
        <v>75</v>
      </c>
      <c r="N990" s="2">
        <v>3</v>
      </c>
      <c r="O990" s="2">
        <v>2</v>
      </c>
      <c r="P990" s="2" t="s">
        <v>47</v>
      </c>
      <c r="Q990" s="2">
        <v>4</v>
      </c>
      <c r="R990" s="2" t="s">
        <v>52</v>
      </c>
      <c r="S990" s="2">
        <v>5467</v>
      </c>
      <c r="T990" s="2">
        <v>13953</v>
      </c>
      <c r="U990" s="2">
        <v>3</v>
      </c>
      <c r="V990" s="2" t="s">
        <v>42</v>
      </c>
      <c r="W990" s="2" t="s">
        <v>35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</row>
    <row r="991" spans="1:35" x14ac:dyDescent="0.25">
      <c r="A991" s="2">
        <v>37</v>
      </c>
      <c r="B991" s="2" t="s">
        <v>43</v>
      </c>
      <c r="C991" s="2" t="s">
        <v>36</v>
      </c>
      <c r="D991" s="2">
        <v>1439</v>
      </c>
      <c r="E991" s="2" t="s">
        <v>45</v>
      </c>
      <c r="F991" s="2">
        <v>4</v>
      </c>
      <c r="G991" s="2">
        <v>1</v>
      </c>
      <c r="H991" s="2" t="s">
        <v>38</v>
      </c>
      <c r="I991" s="2">
        <v>1</v>
      </c>
      <c r="J991" s="2">
        <v>1394</v>
      </c>
      <c r="K991" s="2">
        <v>3</v>
      </c>
      <c r="L991" s="2" t="s">
        <v>46</v>
      </c>
      <c r="M991" s="2">
        <v>54</v>
      </c>
      <c r="N991" s="2">
        <v>3</v>
      </c>
      <c r="O991" s="2">
        <v>1</v>
      </c>
      <c r="P991" s="2" t="s">
        <v>47</v>
      </c>
      <c r="Q991" s="2">
        <v>3</v>
      </c>
      <c r="R991" s="2" t="s">
        <v>48</v>
      </c>
      <c r="S991" s="2">
        <v>2996</v>
      </c>
      <c r="T991" s="2">
        <v>5182</v>
      </c>
      <c r="U991" s="2">
        <v>7</v>
      </c>
      <c r="V991" s="2" t="s">
        <v>42</v>
      </c>
      <c r="W991" s="2" t="s">
        <v>35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</row>
    <row r="992" spans="1:35" x14ac:dyDescent="0.25">
      <c r="A992" s="2">
        <v>33</v>
      </c>
      <c r="B992" s="2" t="s">
        <v>43</v>
      </c>
      <c r="C992" s="2" t="s">
        <v>44</v>
      </c>
      <c r="D992" s="2">
        <v>1111</v>
      </c>
      <c r="E992" s="2" t="s">
        <v>37</v>
      </c>
      <c r="F992" s="2">
        <v>5</v>
      </c>
      <c r="G992" s="2">
        <v>1</v>
      </c>
      <c r="H992" s="2" t="s">
        <v>38</v>
      </c>
      <c r="I992" s="2">
        <v>1</v>
      </c>
      <c r="J992" s="2">
        <v>1395</v>
      </c>
      <c r="K992" s="2">
        <v>2</v>
      </c>
      <c r="L992" s="2" t="s">
        <v>46</v>
      </c>
      <c r="M992" s="2">
        <v>61</v>
      </c>
      <c r="N992" s="2">
        <v>3</v>
      </c>
      <c r="O992" s="2">
        <v>2</v>
      </c>
      <c r="P992" s="2" t="s">
        <v>40</v>
      </c>
      <c r="Q992" s="2">
        <v>4</v>
      </c>
      <c r="R992" s="2" t="s">
        <v>48</v>
      </c>
      <c r="S992" s="2">
        <v>9998</v>
      </c>
      <c r="T992" s="2">
        <v>19293</v>
      </c>
      <c r="U992" s="2">
        <v>6</v>
      </c>
      <c r="V992" s="2" t="s">
        <v>42</v>
      </c>
      <c r="W992" s="2" t="s">
        <v>43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</row>
    <row r="993" spans="1:35" x14ac:dyDescent="0.25">
      <c r="A993" s="2">
        <v>32</v>
      </c>
      <c r="B993" s="2" t="s">
        <v>43</v>
      </c>
      <c r="C993" s="2" t="s">
        <v>36</v>
      </c>
      <c r="D993" s="2">
        <v>499</v>
      </c>
      <c r="E993" s="2" t="s">
        <v>37</v>
      </c>
      <c r="F993" s="2">
        <v>2</v>
      </c>
      <c r="G993" s="2">
        <v>1</v>
      </c>
      <c r="H993" s="2" t="s">
        <v>59</v>
      </c>
      <c r="I993" s="2">
        <v>1</v>
      </c>
      <c r="J993" s="2">
        <v>1396</v>
      </c>
      <c r="K993" s="2">
        <v>3</v>
      </c>
      <c r="L993" s="2" t="s">
        <v>46</v>
      </c>
      <c r="M993" s="2">
        <v>36</v>
      </c>
      <c r="N993" s="2">
        <v>3</v>
      </c>
      <c r="O993" s="2">
        <v>2</v>
      </c>
      <c r="P993" s="2" t="s">
        <v>40</v>
      </c>
      <c r="Q993" s="2">
        <v>2</v>
      </c>
      <c r="R993" s="2" t="s">
        <v>48</v>
      </c>
      <c r="S993" s="2">
        <v>4078</v>
      </c>
      <c r="T993" s="2">
        <v>20497</v>
      </c>
      <c r="U993" s="2">
        <v>0</v>
      </c>
      <c r="V993" s="2" t="s">
        <v>42</v>
      </c>
      <c r="W993" s="2" t="s">
        <v>35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</row>
    <row r="994" spans="1:35" x14ac:dyDescent="0.25">
      <c r="A994" s="2">
        <v>39</v>
      </c>
      <c r="B994" s="2" t="s">
        <v>43</v>
      </c>
      <c r="C994" s="2" t="s">
        <v>55</v>
      </c>
      <c r="D994" s="2">
        <v>1485</v>
      </c>
      <c r="E994" s="2" t="s">
        <v>45</v>
      </c>
      <c r="F994" s="2">
        <v>25</v>
      </c>
      <c r="G994" s="2">
        <v>2</v>
      </c>
      <c r="H994" s="2" t="s">
        <v>38</v>
      </c>
      <c r="I994" s="2">
        <v>1</v>
      </c>
      <c r="J994" s="2">
        <v>1397</v>
      </c>
      <c r="K994" s="2">
        <v>3</v>
      </c>
      <c r="L994" s="2" t="s">
        <v>46</v>
      </c>
      <c r="M994" s="2">
        <v>71</v>
      </c>
      <c r="N994" s="2">
        <v>3</v>
      </c>
      <c r="O994" s="2">
        <v>3</v>
      </c>
      <c r="P994" s="2" t="s">
        <v>54</v>
      </c>
      <c r="Q994" s="2">
        <v>3</v>
      </c>
      <c r="R994" s="2" t="s">
        <v>48</v>
      </c>
      <c r="S994" s="2">
        <v>10920</v>
      </c>
      <c r="T994" s="2">
        <v>3449</v>
      </c>
      <c r="U994" s="2">
        <v>3</v>
      </c>
      <c r="V994" s="2" t="s">
        <v>42</v>
      </c>
      <c r="W994" s="2" t="s">
        <v>43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</row>
    <row r="995" spans="1:35" x14ac:dyDescent="0.25">
      <c r="A995" s="2">
        <v>25</v>
      </c>
      <c r="B995" s="2" t="s">
        <v>43</v>
      </c>
      <c r="C995" s="2" t="s">
        <v>36</v>
      </c>
      <c r="D995" s="2">
        <v>1372</v>
      </c>
      <c r="E995" s="2" t="s">
        <v>37</v>
      </c>
      <c r="F995" s="2">
        <v>18</v>
      </c>
      <c r="G995" s="2">
        <v>1</v>
      </c>
      <c r="H995" s="2" t="s">
        <v>38</v>
      </c>
      <c r="I995" s="2">
        <v>1</v>
      </c>
      <c r="J995" s="2">
        <v>1399</v>
      </c>
      <c r="K995" s="2">
        <v>1</v>
      </c>
      <c r="L995" s="2" t="s">
        <v>46</v>
      </c>
      <c r="M995" s="2">
        <v>93</v>
      </c>
      <c r="N995" s="2">
        <v>4</v>
      </c>
      <c r="O995" s="2">
        <v>2</v>
      </c>
      <c r="P995" s="2" t="s">
        <v>40</v>
      </c>
      <c r="Q995" s="2">
        <v>3</v>
      </c>
      <c r="R995" s="2" t="s">
        <v>48</v>
      </c>
      <c r="S995" s="2">
        <v>6232</v>
      </c>
      <c r="T995" s="2">
        <v>12477</v>
      </c>
      <c r="U995" s="2">
        <v>2</v>
      </c>
      <c r="V995" s="2" t="s">
        <v>42</v>
      </c>
      <c r="W995" s="2" t="s">
        <v>43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</row>
    <row r="996" spans="1:35" x14ac:dyDescent="0.25">
      <c r="A996" s="2">
        <v>52</v>
      </c>
      <c r="B996" s="2" t="s">
        <v>43</v>
      </c>
      <c r="C996" s="2" t="s">
        <v>44</v>
      </c>
      <c r="D996" s="2">
        <v>322</v>
      </c>
      <c r="E996" s="2" t="s">
        <v>45</v>
      </c>
      <c r="F996" s="2">
        <v>28</v>
      </c>
      <c r="G996" s="2">
        <v>2</v>
      </c>
      <c r="H996" s="2" t="s">
        <v>51</v>
      </c>
      <c r="I996" s="2">
        <v>1</v>
      </c>
      <c r="J996" s="2">
        <v>1401</v>
      </c>
      <c r="K996" s="2">
        <v>4</v>
      </c>
      <c r="L996" s="2" t="s">
        <v>39</v>
      </c>
      <c r="M996" s="2">
        <v>59</v>
      </c>
      <c r="N996" s="2">
        <v>4</v>
      </c>
      <c r="O996" s="2">
        <v>4</v>
      </c>
      <c r="P996" s="2" t="s">
        <v>53</v>
      </c>
      <c r="Q996" s="2">
        <v>3</v>
      </c>
      <c r="R996" s="2" t="s">
        <v>48</v>
      </c>
      <c r="S996" s="2">
        <v>13247</v>
      </c>
      <c r="T996" s="2">
        <v>9731</v>
      </c>
      <c r="U996" s="2">
        <v>2</v>
      </c>
      <c r="V996" s="2" t="s">
        <v>42</v>
      </c>
      <c r="W996" s="2" t="s">
        <v>35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</row>
    <row r="997" spans="1:35" x14ac:dyDescent="0.25">
      <c r="A997" s="2">
        <v>43</v>
      </c>
      <c r="B997" s="2" t="s">
        <v>43</v>
      </c>
      <c r="C997" s="2" t="s">
        <v>36</v>
      </c>
      <c r="D997" s="2">
        <v>930</v>
      </c>
      <c r="E997" s="2" t="s">
        <v>45</v>
      </c>
      <c r="F997" s="2">
        <v>6</v>
      </c>
      <c r="G997" s="2">
        <v>3</v>
      </c>
      <c r="H997" s="2" t="s">
        <v>51</v>
      </c>
      <c r="I997" s="2">
        <v>1</v>
      </c>
      <c r="J997" s="2">
        <v>1402</v>
      </c>
      <c r="K997" s="2">
        <v>1</v>
      </c>
      <c r="L997" s="2" t="s">
        <v>39</v>
      </c>
      <c r="M997" s="2">
        <v>73</v>
      </c>
      <c r="N997" s="2">
        <v>2</v>
      </c>
      <c r="O997" s="2">
        <v>2</v>
      </c>
      <c r="P997" s="2" t="s">
        <v>47</v>
      </c>
      <c r="Q997" s="2">
        <v>3</v>
      </c>
      <c r="R997" s="2" t="s">
        <v>41</v>
      </c>
      <c r="S997" s="2">
        <v>4081</v>
      </c>
      <c r="T997" s="2">
        <v>20003</v>
      </c>
      <c r="U997" s="2">
        <v>1</v>
      </c>
      <c r="V997" s="2" t="s">
        <v>42</v>
      </c>
      <c r="W997" s="2" t="s">
        <v>35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</row>
    <row r="998" spans="1:35" x14ac:dyDescent="0.25">
      <c r="A998" s="2">
        <v>27</v>
      </c>
      <c r="B998" s="2" t="s">
        <v>43</v>
      </c>
      <c r="C998" s="2" t="s">
        <v>36</v>
      </c>
      <c r="D998" s="2">
        <v>205</v>
      </c>
      <c r="E998" s="2" t="s">
        <v>37</v>
      </c>
      <c r="F998" s="2">
        <v>10</v>
      </c>
      <c r="G998" s="2">
        <v>3</v>
      </c>
      <c r="H998" s="2" t="s">
        <v>59</v>
      </c>
      <c r="I998" s="2">
        <v>1</v>
      </c>
      <c r="J998" s="2">
        <v>1403</v>
      </c>
      <c r="K998" s="2">
        <v>4</v>
      </c>
      <c r="L998" s="2" t="s">
        <v>39</v>
      </c>
      <c r="M998" s="2">
        <v>98</v>
      </c>
      <c r="N998" s="2">
        <v>2</v>
      </c>
      <c r="O998" s="2">
        <v>2</v>
      </c>
      <c r="P998" s="2" t="s">
        <v>40</v>
      </c>
      <c r="Q998" s="2">
        <v>4</v>
      </c>
      <c r="R998" s="2" t="s">
        <v>48</v>
      </c>
      <c r="S998" s="2">
        <v>5769</v>
      </c>
      <c r="T998" s="2">
        <v>7100</v>
      </c>
      <c r="U998" s="2">
        <v>1</v>
      </c>
      <c r="V998" s="2" t="s">
        <v>42</v>
      </c>
      <c r="W998" s="2" t="s">
        <v>35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</row>
    <row r="999" spans="1:35" x14ac:dyDescent="0.25">
      <c r="A999" s="2">
        <v>27</v>
      </c>
      <c r="B999" s="2" t="s">
        <v>35</v>
      </c>
      <c r="C999" s="2" t="s">
        <v>36</v>
      </c>
      <c r="D999" s="2">
        <v>135</v>
      </c>
      <c r="E999" s="2" t="s">
        <v>45</v>
      </c>
      <c r="F999" s="2">
        <v>17</v>
      </c>
      <c r="G999" s="2">
        <v>4</v>
      </c>
      <c r="H999" s="2" t="s">
        <v>38</v>
      </c>
      <c r="I999" s="2">
        <v>1</v>
      </c>
      <c r="J999" s="2">
        <v>1405</v>
      </c>
      <c r="K999" s="2">
        <v>4</v>
      </c>
      <c r="L999" s="2" t="s">
        <v>39</v>
      </c>
      <c r="M999" s="2">
        <v>51</v>
      </c>
      <c r="N999" s="2">
        <v>3</v>
      </c>
      <c r="O999" s="2">
        <v>1</v>
      </c>
      <c r="P999" s="2" t="s">
        <v>47</v>
      </c>
      <c r="Q999" s="2">
        <v>3</v>
      </c>
      <c r="R999" s="2" t="s">
        <v>41</v>
      </c>
      <c r="S999" s="2">
        <v>2394</v>
      </c>
      <c r="T999" s="2">
        <v>25681</v>
      </c>
      <c r="U999" s="2">
        <v>1</v>
      </c>
      <c r="V999" s="2" t="s">
        <v>42</v>
      </c>
      <c r="W999" s="2" t="s">
        <v>35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</row>
    <row r="1000" spans="1:35" x14ac:dyDescent="0.25">
      <c r="A1000" s="2">
        <v>26</v>
      </c>
      <c r="B1000" s="2" t="s">
        <v>43</v>
      </c>
      <c r="C1000" s="2" t="s">
        <v>36</v>
      </c>
      <c r="D1000" s="2">
        <v>683</v>
      </c>
      <c r="E1000" s="2" t="s">
        <v>45</v>
      </c>
      <c r="F1000" s="2">
        <v>2</v>
      </c>
      <c r="G1000" s="2">
        <v>1</v>
      </c>
      <c r="H1000" s="2" t="s">
        <v>51</v>
      </c>
      <c r="I1000" s="2">
        <v>1</v>
      </c>
      <c r="J1000" s="2">
        <v>1407</v>
      </c>
      <c r="K1000" s="2">
        <v>1</v>
      </c>
      <c r="L1000" s="2" t="s">
        <v>46</v>
      </c>
      <c r="M1000" s="2">
        <v>36</v>
      </c>
      <c r="N1000" s="2">
        <v>2</v>
      </c>
      <c r="O1000" s="2">
        <v>1</v>
      </c>
      <c r="P1000" s="2" t="s">
        <v>47</v>
      </c>
      <c r="Q1000" s="2">
        <v>4</v>
      </c>
      <c r="R1000" s="2" t="s">
        <v>41</v>
      </c>
      <c r="S1000" s="2">
        <v>3904</v>
      </c>
      <c r="T1000" s="2">
        <v>4050</v>
      </c>
      <c r="U1000" s="2">
        <v>0</v>
      </c>
      <c r="V1000" s="2" t="s">
        <v>42</v>
      </c>
      <c r="W1000" s="2" t="s">
        <v>43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</row>
    <row r="1001" spans="1:35" x14ac:dyDescent="0.25">
      <c r="A1001" s="2">
        <v>42</v>
      </c>
      <c r="B1001" s="2" t="s">
        <v>43</v>
      </c>
      <c r="C1001" s="2" t="s">
        <v>36</v>
      </c>
      <c r="D1001" s="2">
        <v>1147</v>
      </c>
      <c r="E1001" s="2" t="s">
        <v>61</v>
      </c>
      <c r="F1001" s="2">
        <v>10</v>
      </c>
      <c r="G1001" s="2">
        <v>3</v>
      </c>
      <c r="H1001" s="2" t="s">
        <v>61</v>
      </c>
      <c r="I1001" s="2">
        <v>1</v>
      </c>
      <c r="J1001" s="2">
        <v>1408</v>
      </c>
      <c r="K1001" s="2">
        <v>3</v>
      </c>
      <c r="L1001" s="2" t="s">
        <v>39</v>
      </c>
      <c r="M1001" s="2">
        <v>31</v>
      </c>
      <c r="N1001" s="2">
        <v>3</v>
      </c>
      <c r="O1001" s="2">
        <v>4</v>
      </c>
      <c r="P1001" s="2" t="s">
        <v>56</v>
      </c>
      <c r="Q1001" s="2">
        <v>1</v>
      </c>
      <c r="R1001" s="2" t="s">
        <v>48</v>
      </c>
      <c r="S1001" s="2">
        <v>16799</v>
      </c>
      <c r="T1001" s="2">
        <v>16616</v>
      </c>
      <c r="U1001" s="2">
        <v>0</v>
      </c>
      <c r="V1001" s="2" t="s">
        <v>42</v>
      </c>
      <c r="W1001" s="2" t="s">
        <v>43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</row>
    <row r="1002" spans="1:35" x14ac:dyDescent="0.25">
      <c r="A1002" s="2">
        <v>52</v>
      </c>
      <c r="B1002" s="2" t="s">
        <v>43</v>
      </c>
      <c r="C1002" s="2" t="s">
        <v>36</v>
      </c>
      <c r="D1002" s="2">
        <v>258</v>
      </c>
      <c r="E1002" s="2" t="s">
        <v>45</v>
      </c>
      <c r="F1002" s="2">
        <v>8</v>
      </c>
      <c r="G1002" s="2">
        <v>4</v>
      </c>
      <c r="H1002" s="2" t="s">
        <v>49</v>
      </c>
      <c r="I1002" s="2">
        <v>1</v>
      </c>
      <c r="J1002" s="2">
        <v>1409</v>
      </c>
      <c r="K1002" s="2">
        <v>3</v>
      </c>
      <c r="L1002" s="2" t="s">
        <v>39</v>
      </c>
      <c r="M1002" s="2">
        <v>54</v>
      </c>
      <c r="N1002" s="2">
        <v>3</v>
      </c>
      <c r="O1002" s="2">
        <v>1</v>
      </c>
      <c r="P1002" s="2" t="s">
        <v>50</v>
      </c>
      <c r="Q1002" s="2">
        <v>1</v>
      </c>
      <c r="R1002" s="2" t="s">
        <v>48</v>
      </c>
      <c r="S1002" s="2">
        <v>2950</v>
      </c>
      <c r="T1002" s="2">
        <v>17363</v>
      </c>
      <c r="U1002" s="2">
        <v>9</v>
      </c>
      <c r="V1002" s="2" t="s">
        <v>42</v>
      </c>
      <c r="W1002" s="2" t="s">
        <v>43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</row>
    <row r="1003" spans="1:35" x14ac:dyDescent="0.25">
      <c r="A1003" s="2">
        <v>37</v>
      </c>
      <c r="B1003" s="2" t="s">
        <v>43</v>
      </c>
      <c r="C1003" s="2" t="s">
        <v>36</v>
      </c>
      <c r="D1003" s="2">
        <v>1462</v>
      </c>
      <c r="E1003" s="2" t="s">
        <v>45</v>
      </c>
      <c r="F1003" s="2">
        <v>11</v>
      </c>
      <c r="G1003" s="2">
        <v>3</v>
      </c>
      <c r="H1003" s="2" t="s">
        <v>51</v>
      </c>
      <c r="I1003" s="2">
        <v>1</v>
      </c>
      <c r="J1003" s="2">
        <v>1411</v>
      </c>
      <c r="K1003" s="2">
        <v>1</v>
      </c>
      <c r="L1003" s="2" t="s">
        <v>39</v>
      </c>
      <c r="M1003" s="2">
        <v>94</v>
      </c>
      <c r="N1003" s="2">
        <v>3</v>
      </c>
      <c r="O1003" s="2">
        <v>1</v>
      </c>
      <c r="P1003" s="2" t="s">
        <v>50</v>
      </c>
      <c r="Q1003" s="2">
        <v>3</v>
      </c>
      <c r="R1003" s="2" t="s">
        <v>41</v>
      </c>
      <c r="S1003" s="2">
        <v>3629</v>
      </c>
      <c r="T1003" s="2">
        <v>19106</v>
      </c>
      <c r="U1003" s="2">
        <v>4</v>
      </c>
      <c r="V1003" s="2" t="s">
        <v>42</v>
      </c>
      <c r="W1003" s="2" t="s">
        <v>43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</row>
    <row r="1004" spans="1:35" x14ac:dyDescent="0.25">
      <c r="A1004" s="2">
        <v>35</v>
      </c>
      <c r="B1004" s="2" t="s">
        <v>43</v>
      </c>
      <c r="C1004" s="2" t="s">
        <v>44</v>
      </c>
      <c r="D1004" s="2">
        <v>200</v>
      </c>
      <c r="E1004" s="2" t="s">
        <v>45</v>
      </c>
      <c r="F1004" s="2">
        <v>18</v>
      </c>
      <c r="G1004" s="2">
        <v>2</v>
      </c>
      <c r="H1004" s="2" t="s">
        <v>38</v>
      </c>
      <c r="I1004" s="2">
        <v>1</v>
      </c>
      <c r="J1004" s="2">
        <v>1412</v>
      </c>
      <c r="K1004" s="2">
        <v>3</v>
      </c>
      <c r="L1004" s="2" t="s">
        <v>46</v>
      </c>
      <c r="M1004" s="2">
        <v>60</v>
      </c>
      <c r="N1004" s="2">
        <v>3</v>
      </c>
      <c r="O1004" s="2">
        <v>3</v>
      </c>
      <c r="P1004" s="2" t="s">
        <v>53</v>
      </c>
      <c r="Q1004" s="2">
        <v>4</v>
      </c>
      <c r="R1004" s="2" t="s">
        <v>41</v>
      </c>
      <c r="S1004" s="2">
        <v>9362</v>
      </c>
      <c r="T1004" s="2">
        <v>19944</v>
      </c>
      <c r="U1004" s="2">
        <v>2</v>
      </c>
      <c r="V1004" s="2" t="s">
        <v>42</v>
      </c>
      <c r="W1004" s="2" t="s">
        <v>43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</row>
    <row r="1005" spans="1:35" x14ac:dyDescent="0.25">
      <c r="A1005" s="2">
        <v>25</v>
      </c>
      <c r="B1005" s="2" t="s">
        <v>43</v>
      </c>
      <c r="C1005" s="2" t="s">
        <v>36</v>
      </c>
      <c r="D1005" s="2">
        <v>949</v>
      </c>
      <c r="E1005" s="2" t="s">
        <v>45</v>
      </c>
      <c r="F1005" s="2">
        <v>1</v>
      </c>
      <c r="G1005" s="2">
        <v>3</v>
      </c>
      <c r="H1005" s="2" t="s">
        <v>60</v>
      </c>
      <c r="I1005" s="2">
        <v>1</v>
      </c>
      <c r="J1005" s="2">
        <v>1415</v>
      </c>
      <c r="K1005" s="2">
        <v>1</v>
      </c>
      <c r="L1005" s="2" t="s">
        <v>46</v>
      </c>
      <c r="M1005" s="2">
        <v>81</v>
      </c>
      <c r="N1005" s="2">
        <v>3</v>
      </c>
      <c r="O1005" s="2">
        <v>1</v>
      </c>
      <c r="P1005" s="2" t="s">
        <v>50</v>
      </c>
      <c r="Q1005" s="2">
        <v>4</v>
      </c>
      <c r="R1005" s="2" t="s">
        <v>48</v>
      </c>
      <c r="S1005" s="2">
        <v>3229</v>
      </c>
      <c r="T1005" s="2">
        <v>4910</v>
      </c>
      <c r="U1005" s="2">
        <v>4</v>
      </c>
      <c r="V1005" s="2" t="s">
        <v>42</v>
      </c>
      <c r="W1005" s="2" t="s">
        <v>43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</row>
    <row r="1006" spans="1:35" x14ac:dyDescent="0.25">
      <c r="A1006" s="2">
        <v>26</v>
      </c>
      <c r="B1006" s="2" t="s">
        <v>43</v>
      </c>
      <c r="C1006" s="2" t="s">
        <v>36</v>
      </c>
      <c r="D1006" s="2">
        <v>652</v>
      </c>
      <c r="E1006" s="2" t="s">
        <v>45</v>
      </c>
      <c r="F1006" s="2">
        <v>7</v>
      </c>
      <c r="G1006" s="2">
        <v>3</v>
      </c>
      <c r="H1006" s="2" t="s">
        <v>49</v>
      </c>
      <c r="I1006" s="2">
        <v>1</v>
      </c>
      <c r="J1006" s="2">
        <v>1417</v>
      </c>
      <c r="K1006" s="2">
        <v>3</v>
      </c>
      <c r="L1006" s="2" t="s">
        <v>46</v>
      </c>
      <c r="M1006" s="2">
        <v>100</v>
      </c>
      <c r="N1006" s="2">
        <v>4</v>
      </c>
      <c r="O1006" s="2">
        <v>1</v>
      </c>
      <c r="P1006" s="2" t="s">
        <v>50</v>
      </c>
      <c r="Q1006" s="2">
        <v>1</v>
      </c>
      <c r="R1006" s="2" t="s">
        <v>41</v>
      </c>
      <c r="S1006" s="2">
        <v>3578</v>
      </c>
      <c r="T1006" s="2">
        <v>23577</v>
      </c>
      <c r="U1006" s="2">
        <v>0</v>
      </c>
      <c r="V1006" s="2" t="s">
        <v>42</v>
      </c>
      <c r="W1006" s="2" t="s">
        <v>43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</row>
    <row r="1007" spans="1:35" x14ac:dyDescent="0.25">
      <c r="A1007" s="2">
        <v>29</v>
      </c>
      <c r="B1007" s="2" t="s">
        <v>43</v>
      </c>
      <c r="C1007" s="2" t="s">
        <v>36</v>
      </c>
      <c r="D1007" s="2">
        <v>332</v>
      </c>
      <c r="E1007" s="2" t="s">
        <v>61</v>
      </c>
      <c r="F1007" s="2">
        <v>17</v>
      </c>
      <c r="G1007" s="2">
        <v>3</v>
      </c>
      <c r="H1007" s="2" t="s">
        <v>49</v>
      </c>
      <c r="I1007" s="2">
        <v>1</v>
      </c>
      <c r="J1007" s="2">
        <v>1419</v>
      </c>
      <c r="K1007" s="2">
        <v>2</v>
      </c>
      <c r="L1007" s="2" t="s">
        <v>46</v>
      </c>
      <c r="M1007" s="2">
        <v>51</v>
      </c>
      <c r="N1007" s="2">
        <v>2</v>
      </c>
      <c r="O1007" s="2">
        <v>3</v>
      </c>
      <c r="P1007" s="2" t="s">
        <v>61</v>
      </c>
      <c r="Q1007" s="2">
        <v>1</v>
      </c>
      <c r="R1007" s="2" t="s">
        <v>41</v>
      </c>
      <c r="S1007" s="2">
        <v>7988</v>
      </c>
      <c r="T1007" s="2">
        <v>9769</v>
      </c>
      <c r="U1007" s="2">
        <v>1</v>
      </c>
      <c r="V1007" s="2" t="s">
        <v>42</v>
      </c>
      <c r="W1007" s="2" t="s">
        <v>43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</row>
    <row r="1008" spans="1:35" x14ac:dyDescent="0.25">
      <c r="A1008" s="2">
        <v>49</v>
      </c>
      <c r="B1008" s="2" t="s">
        <v>35</v>
      </c>
      <c r="C1008" s="2" t="s">
        <v>44</v>
      </c>
      <c r="D1008" s="2">
        <v>1475</v>
      </c>
      <c r="E1008" s="2" t="s">
        <v>45</v>
      </c>
      <c r="F1008" s="2">
        <v>28</v>
      </c>
      <c r="G1008" s="2">
        <v>2</v>
      </c>
      <c r="H1008" s="2" t="s">
        <v>38</v>
      </c>
      <c r="I1008" s="2">
        <v>1</v>
      </c>
      <c r="J1008" s="2">
        <v>1420</v>
      </c>
      <c r="K1008" s="2">
        <v>1</v>
      </c>
      <c r="L1008" s="2" t="s">
        <v>46</v>
      </c>
      <c r="M1008" s="2">
        <v>97</v>
      </c>
      <c r="N1008" s="2">
        <v>2</v>
      </c>
      <c r="O1008" s="2">
        <v>2</v>
      </c>
      <c r="P1008" s="2" t="s">
        <v>50</v>
      </c>
      <c r="Q1008" s="2">
        <v>1</v>
      </c>
      <c r="R1008" s="2" t="s">
        <v>41</v>
      </c>
      <c r="S1008" s="2">
        <v>4284</v>
      </c>
      <c r="T1008" s="2">
        <v>22710</v>
      </c>
      <c r="U1008" s="2">
        <v>3</v>
      </c>
      <c r="V1008" s="2" t="s">
        <v>42</v>
      </c>
      <c r="W1008" s="2" t="s">
        <v>43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</row>
    <row r="1009" spans="1:35" x14ac:dyDescent="0.25">
      <c r="A1009" s="2">
        <v>29</v>
      </c>
      <c r="B1009" s="2" t="s">
        <v>35</v>
      </c>
      <c r="C1009" s="2" t="s">
        <v>44</v>
      </c>
      <c r="D1009" s="2">
        <v>337</v>
      </c>
      <c r="E1009" s="2" t="s">
        <v>45</v>
      </c>
      <c r="F1009" s="2">
        <v>14</v>
      </c>
      <c r="G1009" s="2">
        <v>1</v>
      </c>
      <c r="H1009" s="2" t="s">
        <v>49</v>
      </c>
      <c r="I1009" s="2">
        <v>1</v>
      </c>
      <c r="J1009" s="2">
        <v>1421</v>
      </c>
      <c r="K1009" s="2">
        <v>3</v>
      </c>
      <c r="L1009" s="2" t="s">
        <v>39</v>
      </c>
      <c r="M1009" s="2">
        <v>84</v>
      </c>
      <c r="N1009" s="2">
        <v>3</v>
      </c>
      <c r="O1009" s="2">
        <v>3</v>
      </c>
      <c r="P1009" s="2" t="s">
        <v>54</v>
      </c>
      <c r="Q1009" s="2">
        <v>4</v>
      </c>
      <c r="R1009" s="2" t="s">
        <v>41</v>
      </c>
      <c r="S1009" s="2">
        <v>7553</v>
      </c>
      <c r="T1009" s="2">
        <v>22930</v>
      </c>
      <c r="U1009" s="2">
        <v>0</v>
      </c>
      <c r="V1009" s="2" t="s">
        <v>42</v>
      </c>
      <c r="W1009" s="2" t="s">
        <v>35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</row>
    <row r="1010" spans="1:35" x14ac:dyDescent="0.25">
      <c r="A1010" s="2">
        <v>54</v>
      </c>
      <c r="B1010" s="2" t="s">
        <v>43</v>
      </c>
      <c r="C1010" s="2" t="s">
        <v>36</v>
      </c>
      <c r="D1010" s="2">
        <v>971</v>
      </c>
      <c r="E1010" s="2" t="s">
        <v>45</v>
      </c>
      <c r="F1010" s="2">
        <v>1</v>
      </c>
      <c r="G1010" s="2">
        <v>3</v>
      </c>
      <c r="H1010" s="2" t="s">
        <v>51</v>
      </c>
      <c r="I1010" s="2">
        <v>1</v>
      </c>
      <c r="J1010" s="2">
        <v>1422</v>
      </c>
      <c r="K1010" s="2">
        <v>4</v>
      </c>
      <c r="L1010" s="2" t="s">
        <v>39</v>
      </c>
      <c r="M1010" s="2">
        <v>54</v>
      </c>
      <c r="N1010" s="2">
        <v>3</v>
      </c>
      <c r="O1010" s="2">
        <v>4</v>
      </c>
      <c r="P1010" s="2" t="s">
        <v>58</v>
      </c>
      <c r="Q1010" s="2">
        <v>4</v>
      </c>
      <c r="R1010" s="2" t="s">
        <v>41</v>
      </c>
      <c r="S1010" s="2">
        <v>17328</v>
      </c>
      <c r="T1010" s="2">
        <v>5652</v>
      </c>
      <c r="U1010" s="2">
        <v>6</v>
      </c>
      <c r="V1010" s="2" t="s">
        <v>42</v>
      </c>
      <c r="W1010" s="2" t="s">
        <v>43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</row>
    <row r="1011" spans="1:35" x14ac:dyDescent="0.25">
      <c r="A1011" s="2">
        <v>58</v>
      </c>
      <c r="B1011" s="2" t="s">
        <v>43</v>
      </c>
      <c r="C1011" s="2" t="s">
        <v>36</v>
      </c>
      <c r="D1011" s="2">
        <v>1055</v>
      </c>
      <c r="E1011" s="2" t="s">
        <v>45</v>
      </c>
      <c r="F1011" s="2">
        <v>1</v>
      </c>
      <c r="G1011" s="2">
        <v>3</v>
      </c>
      <c r="H1011" s="2" t="s">
        <v>51</v>
      </c>
      <c r="I1011" s="2">
        <v>1</v>
      </c>
      <c r="J1011" s="2">
        <v>1423</v>
      </c>
      <c r="K1011" s="2">
        <v>4</v>
      </c>
      <c r="L1011" s="2" t="s">
        <v>39</v>
      </c>
      <c r="M1011" s="2">
        <v>76</v>
      </c>
      <c r="N1011" s="2">
        <v>3</v>
      </c>
      <c r="O1011" s="2">
        <v>5</v>
      </c>
      <c r="P1011" s="2" t="s">
        <v>58</v>
      </c>
      <c r="Q1011" s="2">
        <v>1</v>
      </c>
      <c r="R1011" s="2" t="s">
        <v>48</v>
      </c>
      <c r="S1011" s="2">
        <v>19701</v>
      </c>
      <c r="T1011" s="2">
        <v>22456</v>
      </c>
      <c r="U1011" s="2">
        <v>3</v>
      </c>
      <c r="V1011" s="2" t="s">
        <v>42</v>
      </c>
      <c r="W1011" s="2" t="s">
        <v>35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</row>
    <row r="1012" spans="1:35" x14ac:dyDescent="0.25">
      <c r="A1012" s="2">
        <v>55</v>
      </c>
      <c r="B1012" s="2" t="s">
        <v>43</v>
      </c>
      <c r="C1012" s="2" t="s">
        <v>36</v>
      </c>
      <c r="D1012" s="2">
        <v>1136</v>
      </c>
      <c r="E1012" s="2" t="s">
        <v>45</v>
      </c>
      <c r="F1012" s="2">
        <v>1</v>
      </c>
      <c r="G1012" s="2">
        <v>4</v>
      </c>
      <c r="H1012" s="2" t="s">
        <v>51</v>
      </c>
      <c r="I1012" s="2">
        <v>1</v>
      </c>
      <c r="J1012" s="2">
        <v>1424</v>
      </c>
      <c r="K1012" s="2">
        <v>2</v>
      </c>
      <c r="L1012" s="2" t="s">
        <v>46</v>
      </c>
      <c r="M1012" s="2">
        <v>81</v>
      </c>
      <c r="N1012" s="2">
        <v>4</v>
      </c>
      <c r="O1012" s="2">
        <v>4</v>
      </c>
      <c r="P1012" s="2" t="s">
        <v>58</v>
      </c>
      <c r="Q1012" s="2">
        <v>4</v>
      </c>
      <c r="R1012" s="2" t="s">
        <v>52</v>
      </c>
      <c r="S1012" s="2">
        <v>14732</v>
      </c>
      <c r="T1012" s="2">
        <v>12414</v>
      </c>
      <c r="U1012" s="2">
        <v>2</v>
      </c>
      <c r="V1012" s="2" t="s">
        <v>42</v>
      </c>
      <c r="W1012" s="2" t="s">
        <v>43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</row>
    <row r="1013" spans="1:35" x14ac:dyDescent="0.25">
      <c r="A1013" s="2">
        <v>36</v>
      </c>
      <c r="B1013" s="2" t="s">
        <v>43</v>
      </c>
      <c r="C1013" s="2" t="s">
        <v>36</v>
      </c>
      <c r="D1013" s="2">
        <v>1174</v>
      </c>
      <c r="E1013" s="2" t="s">
        <v>37</v>
      </c>
      <c r="F1013" s="2">
        <v>3</v>
      </c>
      <c r="G1013" s="2">
        <v>4</v>
      </c>
      <c r="H1013" s="2" t="s">
        <v>59</v>
      </c>
      <c r="I1013" s="2">
        <v>1</v>
      </c>
      <c r="J1013" s="2">
        <v>1425</v>
      </c>
      <c r="K1013" s="2">
        <v>1</v>
      </c>
      <c r="L1013" s="2" t="s">
        <v>39</v>
      </c>
      <c r="M1013" s="2">
        <v>99</v>
      </c>
      <c r="N1013" s="2">
        <v>3</v>
      </c>
      <c r="O1013" s="2">
        <v>2</v>
      </c>
      <c r="P1013" s="2" t="s">
        <v>40</v>
      </c>
      <c r="Q1013" s="2">
        <v>2</v>
      </c>
      <c r="R1013" s="2" t="s">
        <v>41</v>
      </c>
      <c r="S1013" s="2">
        <v>9278</v>
      </c>
      <c r="T1013" s="2">
        <v>20763</v>
      </c>
      <c r="U1013" s="2">
        <v>3</v>
      </c>
      <c r="V1013" s="2" t="s">
        <v>42</v>
      </c>
      <c r="W1013" s="2" t="s">
        <v>35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</row>
    <row r="1014" spans="1:35" x14ac:dyDescent="0.25">
      <c r="A1014" s="2">
        <v>31</v>
      </c>
      <c r="B1014" s="2" t="s">
        <v>35</v>
      </c>
      <c r="C1014" s="2" t="s">
        <v>44</v>
      </c>
      <c r="D1014" s="2">
        <v>667</v>
      </c>
      <c r="E1014" s="2" t="s">
        <v>37</v>
      </c>
      <c r="F1014" s="2">
        <v>1</v>
      </c>
      <c r="G1014" s="2">
        <v>4</v>
      </c>
      <c r="H1014" s="2" t="s">
        <v>38</v>
      </c>
      <c r="I1014" s="2">
        <v>1</v>
      </c>
      <c r="J1014" s="2">
        <v>1427</v>
      </c>
      <c r="K1014" s="2">
        <v>2</v>
      </c>
      <c r="L1014" s="2" t="s">
        <v>39</v>
      </c>
      <c r="M1014" s="2">
        <v>50</v>
      </c>
      <c r="N1014" s="2">
        <v>1</v>
      </c>
      <c r="O1014" s="2">
        <v>1</v>
      </c>
      <c r="P1014" s="2" t="s">
        <v>57</v>
      </c>
      <c r="Q1014" s="2">
        <v>3</v>
      </c>
      <c r="R1014" s="2" t="s">
        <v>41</v>
      </c>
      <c r="S1014" s="2">
        <v>1359</v>
      </c>
      <c r="T1014" s="2">
        <v>16154</v>
      </c>
      <c r="U1014" s="2">
        <v>1</v>
      </c>
      <c r="V1014" s="2" t="s">
        <v>42</v>
      </c>
      <c r="W1014" s="2" t="s">
        <v>43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</row>
    <row r="1015" spans="1:35" x14ac:dyDescent="0.25">
      <c r="A1015" s="2">
        <v>30</v>
      </c>
      <c r="B1015" s="2" t="s">
        <v>43</v>
      </c>
      <c r="C1015" s="2" t="s">
        <v>36</v>
      </c>
      <c r="D1015" s="2">
        <v>855</v>
      </c>
      <c r="E1015" s="2" t="s">
        <v>37</v>
      </c>
      <c r="F1015" s="2">
        <v>7</v>
      </c>
      <c r="G1015" s="2">
        <v>4</v>
      </c>
      <c r="H1015" s="2" t="s">
        <v>59</v>
      </c>
      <c r="I1015" s="2">
        <v>1</v>
      </c>
      <c r="J1015" s="2">
        <v>1428</v>
      </c>
      <c r="K1015" s="2">
        <v>4</v>
      </c>
      <c r="L1015" s="2" t="s">
        <v>39</v>
      </c>
      <c r="M1015" s="2">
        <v>73</v>
      </c>
      <c r="N1015" s="2">
        <v>3</v>
      </c>
      <c r="O1015" s="2">
        <v>2</v>
      </c>
      <c r="P1015" s="2" t="s">
        <v>40</v>
      </c>
      <c r="Q1015" s="2">
        <v>1</v>
      </c>
      <c r="R1015" s="2" t="s">
        <v>52</v>
      </c>
      <c r="S1015" s="2">
        <v>4779</v>
      </c>
      <c r="T1015" s="2">
        <v>12761</v>
      </c>
      <c r="U1015" s="2">
        <v>7</v>
      </c>
      <c r="V1015" s="2" t="s">
        <v>42</v>
      </c>
      <c r="W1015" s="2" t="s">
        <v>43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</row>
    <row r="1016" spans="1:35" x14ac:dyDescent="0.25">
      <c r="A1016" s="2">
        <v>31</v>
      </c>
      <c r="B1016" s="2" t="s">
        <v>43</v>
      </c>
      <c r="C1016" s="2" t="s">
        <v>36</v>
      </c>
      <c r="D1016" s="2">
        <v>182</v>
      </c>
      <c r="E1016" s="2" t="s">
        <v>45</v>
      </c>
      <c r="F1016" s="2">
        <v>8</v>
      </c>
      <c r="G1016" s="2">
        <v>5</v>
      </c>
      <c r="H1016" s="2" t="s">
        <v>38</v>
      </c>
      <c r="I1016" s="2">
        <v>1</v>
      </c>
      <c r="J1016" s="2">
        <v>1430</v>
      </c>
      <c r="K1016" s="2">
        <v>1</v>
      </c>
      <c r="L1016" s="2" t="s">
        <v>39</v>
      </c>
      <c r="M1016" s="2">
        <v>93</v>
      </c>
      <c r="N1016" s="2">
        <v>3</v>
      </c>
      <c r="O1016" s="2">
        <v>4</v>
      </c>
      <c r="P1016" s="2" t="s">
        <v>58</v>
      </c>
      <c r="Q1016" s="2">
        <v>2</v>
      </c>
      <c r="R1016" s="2" t="s">
        <v>41</v>
      </c>
      <c r="S1016" s="2">
        <v>16422</v>
      </c>
      <c r="T1016" s="2">
        <v>8847</v>
      </c>
      <c r="U1016" s="2">
        <v>3</v>
      </c>
      <c r="V1016" s="2" t="s">
        <v>42</v>
      </c>
      <c r="W1016" s="2" t="s">
        <v>43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</row>
    <row r="1017" spans="1:35" x14ac:dyDescent="0.25">
      <c r="A1017" s="2">
        <v>34</v>
      </c>
      <c r="B1017" s="2" t="s">
        <v>43</v>
      </c>
      <c r="C1017" s="2" t="s">
        <v>44</v>
      </c>
      <c r="D1017" s="2">
        <v>560</v>
      </c>
      <c r="E1017" s="2" t="s">
        <v>45</v>
      </c>
      <c r="F1017" s="2">
        <v>1</v>
      </c>
      <c r="G1017" s="2">
        <v>4</v>
      </c>
      <c r="H1017" s="2" t="s">
        <v>49</v>
      </c>
      <c r="I1017" s="2">
        <v>1</v>
      </c>
      <c r="J1017" s="2">
        <v>1431</v>
      </c>
      <c r="K1017" s="2">
        <v>4</v>
      </c>
      <c r="L1017" s="2" t="s">
        <v>46</v>
      </c>
      <c r="M1017" s="2">
        <v>91</v>
      </c>
      <c r="N1017" s="2">
        <v>3</v>
      </c>
      <c r="O1017" s="2">
        <v>1</v>
      </c>
      <c r="P1017" s="2" t="s">
        <v>47</v>
      </c>
      <c r="Q1017" s="2">
        <v>1</v>
      </c>
      <c r="R1017" s="2" t="s">
        <v>52</v>
      </c>
      <c r="S1017" s="2">
        <v>2996</v>
      </c>
      <c r="T1017" s="2">
        <v>20284</v>
      </c>
      <c r="U1017" s="2">
        <v>5</v>
      </c>
      <c r="V1017" s="2" t="s">
        <v>42</v>
      </c>
      <c r="W1017" s="2" t="s">
        <v>43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</row>
    <row r="1018" spans="1:35" x14ac:dyDescent="0.25">
      <c r="A1018" s="2">
        <v>31</v>
      </c>
      <c r="B1018" s="2" t="s">
        <v>35</v>
      </c>
      <c r="C1018" s="2" t="s">
        <v>36</v>
      </c>
      <c r="D1018" s="2">
        <v>202</v>
      </c>
      <c r="E1018" s="2" t="s">
        <v>45</v>
      </c>
      <c r="F1018" s="2">
        <v>8</v>
      </c>
      <c r="G1018" s="2">
        <v>3</v>
      </c>
      <c r="H1018" s="2" t="s">
        <v>38</v>
      </c>
      <c r="I1018" s="2">
        <v>1</v>
      </c>
      <c r="J1018" s="2">
        <v>1433</v>
      </c>
      <c r="K1018" s="2">
        <v>1</v>
      </c>
      <c r="L1018" s="2" t="s">
        <v>39</v>
      </c>
      <c r="M1018" s="2">
        <v>34</v>
      </c>
      <c r="N1018" s="2">
        <v>2</v>
      </c>
      <c r="O1018" s="2">
        <v>1</v>
      </c>
      <c r="P1018" s="2" t="s">
        <v>47</v>
      </c>
      <c r="Q1018" s="2">
        <v>2</v>
      </c>
      <c r="R1018" s="2" t="s">
        <v>41</v>
      </c>
      <c r="S1018" s="2">
        <v>1261</v>
      </c>
      <c r="T1018" s="2">
        <v>22262</v>
      </c>
      <c r="U1018" s="2">
        <v>1</v>
      </c>
      <c r="V1018" s="2" t="s">
        <v>42</v>
      </c>
      <c r="W1018" s="2" t="s">
        <v>43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</row>
    <row r="1019" spans="1:35" x14ac:dyDescent="0.25">
      <c r="A1019" s="2">
        <v>27</v>
      </c>
      <c r="B1019" s="2" t="s">
        <v>43</v>
      </c>
      <c r="C1019" s="2" t="s">
        <v>36</v>
      </c>
      <c r="D1019" s="2">
        <v>1377</v>
      </c>
      <c r="E1019" s="2" t="s">
        <v>45</v>
      </c>
      <c r="F1019" s="2">
        <v>11</v>
      </c>
      <c r="G1019" s="2">
        <v>1</v>
      </c>
      <c r="H1019" s="2" t="s">
        <v>38</v>
      </c>
      <c r="I1019" s="2">
        <v>1</v>
      </c>
      <c r="J1019" s="2">
        <v>1434</v>
      </c>
      <c r="K1019" s="2">
        <v>2</v>
      </c>
      <c r="L1019" s="2" t="s">
        <v>46</v>
      </c>
      <c r="M1019" s="2">
        <v>91</v>
      </c>
      <c r="N1019" s="2">
        <v>3</v>
      </c>
      <c r="O1019" s="2">
        <v>1</v>
      </c>
      <c r="P1019" s="2" t="s">
        <v>50</v>
      </c>
      <c r="Q1019" s="2">
        <v>1</v>
      </c>
      <c r="R1019" s="2" t="s">
        <v>48</v>
      </c>
      <c r="S1019" s="2">
        <v>2099</v>
      </c>
      <c r="T1019" s="2">
        <v>7679</v>
      </c>
      <c r="U1019" s="2">
        <v>0</v>
      </c>
      <c r="V1019" s="2" t="s">
        <v>42</v>
      </c>
      <c r="W1019" s="2" t="s">
        <v>43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</row>
    <row r="1020" spans="1:35" x14ac:dyDescent="0.25">
      <c r="A1020" s="2">
        <v>36</v>
      </c>
      <c r="B1020" s="2" t="s">
        <v>43</v>
      </c>
      <c r="C1020" s="2" t="s">
        <v>36</v>
      </c>
      <c r="D1020" s="2">
        <v>172</v>
      </c>
      <c r="E1020" s="2" t="s">
        <v>45</v>
      </c>
      <c r="F1020" s="2">
        <v>4</v>
      </c>
      <c r="G1020" s="2">
        <v>4</v>
      </c>
      <c r="H1020" s="2" t="s">
        <v>38</v>
      </c>
      <c r="I1020" s="2">
        <v>1</v>
      </c>
      <c r="J1020" s="2">
        <v>1435</v>
      </c>
      <c r="K1020" s="2">
        <v>1</v>
      </c>
      <c r="L1020" s="2" t="s">
        <v>46</v>
      </c>
      <c r="M1020" s="2">
        <v>37</v>
      </c>
      <c r="N1020" s="2">
        <v>2</v>
      </c>
      <c r="O1020" s="2">
        <v>2</v>
      </c>
      <c r="P1020" s="2" t="s">
        <v>50</v>
      </c>
      <c r="Q1020" s="2">
        <v>4</v>
      </c>
      <c r="R1020" s="2" t="s">
        <v>41</v>
      </c>
      <c r="S1020" s="2">
        <v>5810</v>
      </c>
      <c r="T1020" s="2">
        <v>22604</v>
      </c>
      <c r="U1020" s="2">
        <v>1</v>
      </c>
      <c r="V1020" s="2" t="s">
        <v>42</v>
      </c>
      <c r="W1020" s="2" t="s">
        <v>43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</row>
    <row r="1021" spans="1:35" x14ac:dyDescent="0.25">
      <c r="A1021" s="2">
        <v>36</v>
      </c>
      <c r="B1021" s="2" t="s">
        <v>43</v>
      </c>
      <c r="C1021" s="2" t="s">
        <v>36</v>
      </c>
      <c r="D1021" s="2">
        <v>329</v>
      </c>
      <c r="E1021" s="2" t="s">
        <v>37</v>
      </c>
      <c r="F1021" s="2">
        <v>16</v>
      </c>
      <c r="G1021" s="2">
        <v>4</v>
      </c>
      <c r="H1021" s="2" t="s">
        <v>59</v>
      </c>
      <c r="I1021" s="2">
        <v>1</v>
      </c>
      <c r="J1021" s="2">
        <v>1436</v>
      </c>
      <c r="K1021" s="2">
        <v>3</v>
      </c>
      <c r="L1021" s="2" t="s">
        <v>39</v>
      </c>
      <c r="M1021" s="2">
        <v>98</v>
      </c>
      <c r="N1021" s="2">
        <v>2</v>
      </c>
      <c r="O1021" s="2">
        <v>2</v>
      </c>
      <c r="P1021" s="2" t="s">
        <v>40</v>
      </c>
      <c r="Q1021" s="2">
        <v>1</v>
      </c>
      <c r="R1021" s="2" t="s">
        <v>48</v>
      </c>
      <c r="S1021" s="2">
        <v>5647</v>
      </c>
      <c r="T1021" s="2">
        <v>13494</v>
      </c>
      <c r="U1021" s="2">
        <v>4</v>
      </c>
      <c r="V1021" s="2" t="s">
        <v>42</v>
      </c>
      <c r="W1021" s="2" t="s">
        <v>43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</row>
    <row r="1022" spans="1:35" x14ac:dyDescent="0.25">
      <c r="A1022" s="2">
        <v>47</v>
      </c>
      <c r="B1022" s="2" t="s">
        <v>43</v>
      </c>
      <c r="C1022" s="2" t="s">
        <v>36</v>
      </c>
      <c r="D1022" s="2">
        <v>465</v>
      </c>
      <c r="E1022" s="2" t="s">
        <v>45</v>
      </c>
      <c r="F1022" s="2">
        <v>1</v>
      </c>
      <c r="G1022" s="2">
        <v>3</v>
      </c>
      <c r="H1022" s="2" t="s">
        <v>60</v>
      </c>
      <c r="I1022" s="2">
        <v>1</v>
      </c>
      <c r="J1022" s="2">
        <v>1438</v>
      </c>
      <c r="K1022" s="2">
        <v>1</v>
      </c>
      <c r="L1022" s="2" t="s">
        <v>46</v>
      </c>
      <c r="M1022" s="2">
        <v>74</v>
      </c>
      <c r="N1022" s="2">
        <v>3</v>
      </c>
      <c r="O1022" s="2">
        <v>1</v>
      </c>
      <c r="P1022" s="2" t="s">
        <v>47</v>
      </c>
      <c r="Q1022" s="2">
        <v>4</v>
      </c>
      <c r="R1022" s="2" t="s">
        <v>48</v>
      </c>
      <c r="S1022" s="2">
        <v>3420</v>
      </c>
      <c r="T1022" s="2">
        <v>10205</v>
      </c>
      <c r="U1022" s="2">
        <v>7</v>
      </c>
      <c r="V1022" s="2" t="s">
        <v>42</v>
      </c>
      <c r="W1022" s="2" t="s">
        <v>43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</row>
    <row r="1023" spans="1:35" x14ac:dyDescent="0.25">
      <c r="A1023" s="2">
        <v>25</v>
      </c>
      <c r="B1023" s="2" t="s">
        <v>35</v>
      </c>
      <c r="C1023" s="2" t="s">
        <v>36</v>
      </c>
      <c r="D1023" s="2">
        <v>383</v>
      </c>
      <c r="E1023" s="2" t="s">
        <v>37</v>
      </c>
      <c r="F1023" s="2">
        <v>9</v>
      </c>
      <c r="G1023" s="2">
        <v>2</v>
      </c>
      <c r="H1023" s="2" t="s">
        <v>38</v>
      </c>
      <c r="I1023" s="2">
        <v>1</v>
      </c>
      <c r="J1023" s="2">
        <v>1439</v>
      </c>
      <c r="K1023" s="2">
        <v>1</v>
      </c>
      <c r="L1023" s="2" t="s">
        <v>46</v>
      </c>
      <c r="M1023" s="2">
        <v>68</v>
      </c>
      <c r="N1023" s="2">
        <v>2</v>
      </c>
      <c r="O1023" s="2">
        <v>1</v>
      </c>
      <c r="P1023" s="2" t="s">
        <v>57</v>
      </c>
      <c r="Q1023" s="2">
        <v>1</v>
      </c>
      <c r="R1023" s="2" t="s">
        <v>48</v>
      </c>
      <c r="S1023" s="2">
        <v>4400</v>
      </c>
      <c r="T1023" s="2">
        <v>15182</v>
      </c>
      <c r="U1023" s="2">
        <v>3</v>
      </c>
      <c r="V1023" s="2" t="s">
        <v>42</v>
      </c>
      <c r="W1023" s="2" t="s">
        <v>43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</row>
    <row r="1024" spans="1:35" x14ac:dyDescent="0.25">
      <c r="A1024" s="2">
        <v>37</v>
      </c>
      <c r="B1024" s="2" t="s">
        <v>43</v>
      </c>
      <c r="C1024" s="2" t="s">
        <v>55</v>
      </c>
      <c r="D1024" s="2">
        <v>1413</v>
      </c>
      <c r="E1024" s="2" t="s">
        <v>45</v>
      </c>
      <c r="F1024" s="2">
        <v>5</v>
      </c>
      <c r="G1024" s="2">
        <v>2</v>
      </c>
      <c r="H1024" s="2" t="s">
        <v>60</v>
      </c>
      <c r="I1024" s="2">
        <v>1</v>
      </c>
      <c r="J1024" s="2">
        <v>1440</v>
      </c>
      <c r="K1024" s="2">
        <v>3</v>
      </c>
      <c r="L1024" s="2" t="s">
        <v>46</v>
      </c>
      <c r="M1024" s="2">
        <v>84</v>
      </c>
      <c r="N1024" s="2">
        <v>4</v>
      </c>
      <c r="O1024" s="2">
        <v>1</v>
      </c>
      <c r="P1024" s="2" t="s">
        <v>50</v>
      </c>
      <c r="Q1024" s="2">
        <v>3</v>
      </c>
      <c r="R1024" s="2" t="s">
        <v>41</v>
      </c>
      <c r="S1024" s="2">
        <v>3500</v>
      </c>
      <c r="T1024" s="2">
        <v>25470</v>
      </c>
      <c r="U1024" s="2">
        <v>0</v>
      </c>
      <c r="V1024" s="2" t="s">
        <v>42</v>
      </c>
      <c r="W1024" s="2" t="s">
        <v>43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</row>
    <row r="1025" spans="1:35" x14ac:dyDescent="0.25">
      <c r="A1025" s="2">
        <v>56</v>
      </c>
      <c r="B1025" s="2" t="s">
        <v>43</v>
      </c>
      <c r="C1025" s="2" t="s">
        <v>36</v>
      </c>
      <c r="D1025" s="2">
        <v>1255</v>
      </c>
      <c r="E1025" s="2" t="s">
        <v>45</v>
      </c>
      <c r="F1025" s="2">
        <v>1</v>
      </c>
      <c r="G1025" s="2">
        <v>2</v>
      </c>
      <c r="H1025" s="2" t="s">
        <v>38</v>
      </c>
      <c r="I1025" s="2">
        <v>1</v>
      </c>
      <c r="J1025" s="2">
        <v>1441</v>
      </c>
      <c r="K1025" s="2">
        <v>1</v>
      </c>
      <c r="L1025" s="2" t="s">
        <v>39</v>
      </c>
      <c r="M1025" s="2">
        <v>90</v>
      </c>
      <c r="N1025" s="2">
        <v>3</v>
      </c>
      <c r="O1025" s="2">
        <v>1</v>
      </c>
      <c r="P1025" s="2" t="s">
        <v>47</v>
      </c>
      <c r="Q1025" s="2">
        <v>1</v>
      </c>
      <c r="R1025" s="2" t="s">
        <v>48</v>
      </c>
      <c r="S1025" s="2">
        <v>2066</v>
      </c>
      <c r="T1025" s="2">
        <v>10494</v>
      </c>
      <c r="U1025" s="2">
        <v>2</v>
      </c>
      <c r="V1025" s="2" t="s">
        <v>42</v>
      </c>
      <c r="W1025" s="2" t="s">
        <v>43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</row>
    <row r="1026" spans="1:35" x14ac:dyDescent="0.25">
      <c r="A1026" s="2">
        <v>47</v>
      </c>
      <c r="B1026" s="2" t="s">
        <v>43</v>
      </c>
      <c r="C1026" s="2" t="s">
        <v>36</v>
      </c>
      <c r="D1026" s="2">
        <v>359</v>
      </c>
      <c r="E1026" s="2" t="s">
        <v>45</v>
      </c>
      <c r="F1026" s="2">
        <v>2</v>
      </c>
      <c r="G1026" s="2">
        <v>4</v>
      </c>
      <c r="H1026" s="2" t="s">
        <v>51</v>
      </c>
      <c r="I1026" s="2">
        <v>1</v>
      </c>
      <c r="J1026" s="2">
        <v>1443</v>
      </c>
      <c r="K1026" s="2">
        <v>1</v>
      </c>
      <c r="L1026" s="2" t="s">
        <v>39</v>
      </c>
      <c r="M1026" s="2">
        <v>82</v>
      </c>
      <c r="N1026" s="2">
        <v>3</v>
      </c>
      <c r="O1026" s="2">
        <v>4</v>
      </c>
      <c r="P1026" s="2" t="s">
        <v>58</v>
      </c>
      <c r="Q1026" s="2">
        <v>3</v>
      </c>
      <c r="R1026" s="2" t="s">
        <v>48</v>
      </c>
      <c r="S1026" s="2">
        <v>17169</v>
      </c>
      <c r="T1026" s="2">
        <v>26703</v>
      </c>
      <c r="U1026" s="2">
        <v>3</v>
      </c>
      <c r="V1026" s="2" t="s">
        <v>42</v>
      </c>
      <c r="W1026" s="2" t="s">
        <v>43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</row>
    <row r="1027" spans="1:35" x14ac:dyDescent="0.25">
      <c r="A1027" s="2">
        <v>24</v>
      </c>
      <c r="B1027" s="2" t="s">
        <v>43</v>
      </c>
      <c r="C1027" s="2" t="s">
        <v>36</v>
      </c>
      <c r="D1027" s="2">
        <v>1476</v>
      </c>
      <c r="E1027" s="2" t="s">
        <v>37</v>
      </c>
      <c r="F1027" s="2">
        <v>4</v>
      </c>
      <c r="G1027" s="2">
        <v>1</v>
      </c>
      <c r="H1027" s="2" t="s">
        <v>51</v>
      </c>
      <c r="I1027" s="2">
        <v>1</v>
      </c>
      <c r="J1027" s="2">
        <v>1445</v>
      </c>
      <c r="K1027" s="2">
        <v>4</v>
      </c>
      <c r="L1027" s="2" t="s">
        <v>39</v>
      </c>
      <c r="M1027" s="2">
        <v>42</v>
      </c>
      <c r="N1027" s="2">
        <v>3</v>
      </c>
      <c r="O1027" s="2">
        <v>2</v>
      </c>
      <c r="P1027" s="2" t="s">
        <v>40</v>
      </c>
      <c r="Q1027" s="2">
        <v>3</v>
      </c>
      <c r="R1027" s="2" t="s">
        <v>48</v>
      </c>
      <c r="S1027" s="2">
        <v>4162</v>
      </c>
      <c r="T1027" s="2">
        <v>15211</v>
      </c>
      <c r="U1027" s="2">
        <v>1</v>
      </c>
      <c r="V1027" s="2" t="s">
        <v>42</v>
      </c>
      <c r="W1027" s="2" t="s">
        <v>35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</row>
    <row r="1028" spans="1:35" x14ac:dyDescent="0.25">
      <c r="A1028" s="2">
        <v>32</v>
      </c>
      <c r="B1028" s="2" t="s">
        <v>43</v>
      </c>
      <c r="C1028" s="2" t="s">
        <v>36</v>
      </c>
      <c r="D1028" s="2">
        <v>601</v>
      </c>
      <c r="E1028" s="2" t="s">
        <v>37</v>
      </c>
      <c r="F1028" s="2">
        <v>7</v>
      </c>
      <c r="G1028" s="2">
        <v>5</v>
      </c>
      <c r="H1028" s="2" t="s">
        <v>59</v>
      </c>
      <c r="I1028" s="2">
        <v>1</v>
      </c>
      <c r="J1028" s="2">
        <v>1446</v>
      </c>
      <c r="K1028" s="2">
        <v>4</v>
      </c>
      <c r="L1028" s="2" t="s">
        <v>46</v>
      </c>
      <c r="M1028" s="2">
        <v>97</v>
      </c>
      <c r="N1028" s="2">
        <v>3</v>
      </c>
      <c r="O1028" s="2">
        <v>2</v>
      </c>
      <c r="P1028" s="2" t="s">
        <v>40</v>
      </c>
      <c r="Q1028" s="2">
        <v>4</v>
      </c>
      <c r="R1028" s="2" t="s">
        <v>48</v>
      </c>
      <c r="S1028" s="2">
        <v>9204</v>
      </c>
      <c r="T1028" s="2">
        <v>23343</v>
      </c>
      <c r="U1028" s="2">
        <v>4</v>
      </c>
      <c r="V1028" s="2" t="s">
        <v>42</v>
      </c>
      <c r="W1028" s="2" t="s">
        <v>43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</row>
    <row r="1029" spans="1:35" x14ac:dyDescent="0.25">
      <c r="A1029" s="2">
        <v>34</v>
      </c>
      <c r="B1029" s="2" t="s">
        <v>43</v>
      </c>
      <c r="C1029" s="2" t="s">
        <v>36</v>
      </c>
      <c r="D1029" s="2">
        <v>401</v>
      </c>
      <c r="E1029" s="2" t="s">
        <v>45</v>
      </c>
      <c r="F1029" s="2">
        <v>1</v>
      </c>
      <c r="G1029" s="2">
        <v>3</v>
      </c>
      <c r="H1029" s="2" t="s">
        <v>38</v>
      </c>
      <c r="I1029" s="2">
        <v>1</v>
      </c>
      <c r="J1029" s="2">
        <v>1447</v>
      </c>
      <c r="K1029" s="2">
        <v>4</v>
      </c>
      <c r="L1029" s="2" t="s">
        <v>39</v>
      </c>
      <c r="M1029" s="2">
        <v>86</v>
      </c>
      <c r="N1029" s="2">
        <v>2</v>
      </c>
      <c r="O1029" s="2">
        <v>1</v>
      </c>
      <c r="P1029" s="2" t="s">
        <v>50</v>
      </c>
      <c r="Q1029" s="2">
        <v>2</v>
      </c>
      <c r="R1029" s="2" t="s">
        <v>48</v>
      </c>
      <c r="S1029" s="2">
        <v>3294</v>
      </c>
      <c r="T1029" s="2">
        <v>3708</v>
      </c>
      <c r="U1029" s="2">
        <v>5</v>
      </c>
      <c r="V1029" s="2" t="s">
        <v>42</v>
      </c>
      <c r="W1029" s="2" t="s">
        <v>43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</row>
    <row r="1030" spans="1:35" x14ac:dyDescent="0.25">
      <c r="A1030" s="2">
        <v>41</v>
      </c>
      <c r="B1030" s="2" t="s">
        <v>43</v>
      </c>
      <c r="C1030" s="2" t="s">
        <v>36</v>
      </c>
      <c r="D1030" s="2">
        <v>1283</v>
      </c>
      <c r="E1030" s="2" t="s">
        <v>45</v>
      </c>
      <c r="F1030" s="2">
        <v>5</v>
      </c>
      <c r="G1030" s="2">
        <v>5</v>
      </c>
      <c r="H1030" s="2" t="s">
        <v>51</v>
      </c>
      <c r="I1030" s="2">
        <v>1</v>
      </c>
      <c r="J1030" s="2">
        <v>1448</v>
      </c>
      <c r="K1030" s="2">
        <v>2</v>
      </c>
      <c r="L1030" s="2" t="s">
        <v>46</v>
      </c>
      <c r="M1030" s="2">
        <v>90</v>
      </c>
      <c r="N1030" s="2">
        <v>4</v>
      </c>
      <c r="O1030" s="2">
        <v>1</v>
      </c>
      <c r="P1030" s="2" t="s">
        <v>47</v>
      </c>
      <c r="Q1030" s="2">
        <v>3</v>
      </c>
      <c r="R1030" s="2" t="s">
        <v>48</v>
      </c>
      <c r="S1030" s="2">
        <v>2127</v>
      </c>
      <c r="T1030" s="2">
        <v>5561</v>
      </c>
      <c r="U1030" s="2">
        <v>2</v>
      </c>
      <c r="V1030" s="2" t="s">
        <v>42</v>
      </c>
      <c r="W1030" s="2" t="s">
        <v>35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</row>
    <row r="1031" spans="1:35" x14ac:dyDescent="0.25">
      <c r="A1031" s="2">
        <v>40</v>
      </c>
      <c r="B1031" s="2" t="s">
        <v>43</v>
      </c>
      <c r="C1031" s="2" t="s">
        <v>55</v>
      </c>
      <c r="D1031" s="2">
        <v>663</v>
      </c>
      <c r="E1031" s="2" t="s">
        <v>45</v>
      </c>
      <c r="F1031" s="2">
        <v>9</v>
      </c>
      <c r="G1031" s="2">
        <v>4</v>
      </c>
      <c r="H1031" s="2" t="s">
        <v>49</v>
      </c>
      <c r="I1031" s="2">
        <v>1</v>
      </c>
      <c r="J1031" s="2">
        <v>1449</v>
      </c>
      <c r="K1031" s="2">
        <v>3</v>
      </c>
      <c r="L1031" s="2" t="s">
        <v>46</v>
      </c>
      <c r="M1031" s="2">
        <v>81</v>
      </c>
      <c r="N1031" s="2">
        <v>3</v>
      </c>
      <c r="O1031" s="2">
        <v>2</v>
      </c>
      <c r="P1031" s="2" t="s">
        <v>50</v>
      </c>
      <c r="Q1031" s="2">
        <v>3</v>
      </c>
      <c r="R1031" s="2" t="s">
        <v>52</v>
      </c>
      <c r="S1031" s="2">
        <v>3975</v>
      </c>
      <c r="T1031" s="2">
        <v>23099</v>
      </c>
      <c r="U1031" s="2">
        <v>3</v>
      </c>
      <c r="V1031" s="2" t="s">
        <v>42</v>
      </c>
      <c r="W1031" s="2" t="s">
        <v>43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</row>
    <row r="1032" spans="1:35" x14ac:dyDescent="0.25">
      <c r="A1032" s="2">
        <v>31</v>
      </c>
      <c r="B1032" s="2" t="s">
        <v>43</v>
      </c>
      <c r="C1032" s="2" t="s">
        <v>36</v>
      </c>
      <c r="D1032" s="2">
        <v>326</v>
      </c>
      <c r="E1032" s="2" t="s">
        <v>37</v>
      </c>
      <c r="F1032" s="2">
        <v>8</v>
      </c>
      <c r="G1032" s="2">
        <v>2</v>
      </c>
      <c r="H1032" s="2" t="s">
        <v>38</v>
      </c>
      <c r="I1032" s="2">
        <v>1</v>
      </c>
      <c r="J1032" s="2">
        <v>1453</v>
      </c>
      <c r="K1032" s="2">
        <v>1</v>
      </c>
      <c r="L1032" s="2" t="s">
        <v>46</v>
      </c>
      <c r="M1032" s="2">
        <v>31</v>
      </c>
      <c r="N1032" s="2">
        <v>3</v>
      </c>
      <c r="O1032" s="2">
        <v>3</v>
      </c>
      <c r="P1032" s="2" t="s">
        <v>40</v>
      </c>
      <c r="Q1032" s="2">
        <v>4</v>
      </c>
      <c r="R1032" s="2" t="s">
        <v>52</v>
      </c>
      <c r="S1032" s="2">
        <v>10793</v>
      </c>
      <c r="T1032" s="2">
        <v>8386</v>
      </c>
      <c r="U1032" s="2">
        <v>1</v>
      </c>
      <c r="V1032" s="2" t="s">
        <v>42</v>
      </c>
      <c r="W1032" s="2" t="s">
        <v>43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</row>
    <row r="1033" spans="1:35" x14ac:dyDescent="0.25">
      <c r="A1033" s="2">
        <v>46</v>
      </c>
      <c r="B1033" s="2" t="s">
        <v>35</v>
      </c>
      <c r="C1033" s="2" t="s">
        <v>36</v>
      </c>
      <c r="D1033" s="2">
        <v>377</v>
      </c>
      <c r="E1033" s="2" t="s">
        <v>37</v>
      </c>
      <c r="F1033" s="2">
        <v>9</v>
      </c>
      <c r="G1033" s="2">
        <v>3</v>
      </c>
      <c r="H1033" s="2" t="s">
        <v>59</v>
      </c>
      <c r="I1033" s="2">
        <v>1</v>
      </c>
      <c r="J1033" s="2">
        <v>1457</v>
      </c>
      <c r="K1033" s="2">
        <v>1</v>
      </c>
      <c r="L1033" s="2" t="s">
        <v>46</v>
      </c>
      <c r="M1033" s="2">
        <v>52</v>
      </c>
      <c r="N1033" s="2">
        <v>3</v>
      </c>
      <c r="O1033" s="2">
        <v>3</v>
      </c>
      <c r="P1033" s="2" t="s">
        <v>40</v>
      </c>
      <c r="Q1033" s="2">
        <v>4</v>
      </c>
      <c r="R1033" s="2" t="s">
        <v>52</v>
      </c>
      <c r="S1033" s="2">
        <v>10096</v>
      </c>
      <c r="T1033" s="2">
        <v>15986</v>
      </c>
      <c r="U1033" s="2">
        <v>4</v>
      </c>
      <c r="V1033" s="2" t="s">
        <v>42</v>
      </c>
      <c r="W1033" s="2" t="s">
        <v>43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</row>
    <row r="1034" spans="1:35" x14ac:dyDescent="0.25">
      <c r="A1034" s="2">
        <v>39</v>
      </c>
      <c r="B1034" s="2" t="s">
        <v>35</v>
      </c>
      <c r="C1034" s="2" t="s">
        <v>55</v>
      </c>
      <c r="D1034" s="2">
        <v>592</v>
      </c>
      <c r="E1034" s="2" t="s">
        <v>45</v>
      </c>
      <c r="F1034" s="2">
        <v>2</v>
      </c>
      <c r="G1034" s="2">
        <v>3</v>
      </c>
      <c r="H1034" s="2" t="s">
        <v>38</v>
      </c>
      <c r="I1034" s="2">
        <v>1</v>
      </c>
      <c r="J1034" s="2">
        <v>1458</v>
      </c>
      <c r="K1034" s="2">
        <v>1</v>
      </c>
      <c r="L1034" s="2" t="s">
        <v>39</v>
      </c>
      <c r="M1034" s="2">
        <v>54</v>
      </c>
      <c r="N1034" s="2">
        <v>2</v>
      </c>
      <c r="O1034" s="2">
        <v>1</v>
      </c>
      <c r="P1034" s="2" t="s">
        <v>50</v>
      </c>
      <c r="Q1034" s="2">
        <v>1</v>
      </c>
      <c r="R1034" s="2" t="s">
        <v>41</v>
      </c>
      <c r="S1034" s="2">
        <v>3646</v>
      </c>
      <c r="T1034" s="2">
        <v>17181</v>
      </c>
      <c r="U1034" s="2">
        <v>2</v>
      </c>
      <c r="V1034" s="2" t="s">
        <v>42</v>
      </c>
      <c r="W1034" s="2" t="s">
        <v>35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</row>
    <row r="1035" spans="1:35" x14ac:dyDescent="0.25">
      <c r="A1035" s="2">
        <v>31</v>
      </c>
      <c r="B1035" s="2" t="s">
        <v>35</v>
      </c>
      <c r="C1035" s="2" t="s">
        <v>44</v>
      </c>
      <c r="D1035" s="2">
        <v>1445</v>
      </c>
      <c r="E1035" s="2" t="s">
        <v>45</v>
      </c>
      <c r="F1035" s="2">
        <v>1</v>
      </c>
      <c r="G1035" s="2">
        <v>5</v>
      </c>
      <c r="H1035" s="2" t="s">
        <v>38</v>
      </c>
      <c r="I1035" s="2">
        <v>1</v>
      </c>
      <c r="J1035" s="2">
        <v>1459</v>
      </c>
      <c r="K1035" s="2">
        <v>3</v>
      </c>
      <c r="L1035" s="2" t="s">
        <v>39</v>
      </c>
      <c r="M1035" s="2">
        <v>100</v>
      </c>
      <c r="N1035" s="2">
        <v>4</v>
      </c>
      <c r="O1035" s="2">
        <v>3</v>
      </c>
      <c r="P1035" s="2" t="s">
        <v>53</v>
      </c>
      <c r="Q1035" s="2">
        <v>2</v>
      </c>
      <c r="R1035" s="2" t="s">
        <v>41</v>
      </c>
      <c r="S1035" s="2">
        <v>7446</v>
      </c>
      <c r="T1035" s="2">
        <v>8931</v>
      </c>
      <c r="U1035" s="2">
        <v>1</v>
      </c>
      <c r="V1035" s="2" t="s">
        <v>42</v>
      </c>
      <c r="W1035" s="2" t="s">
        <v>43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</row>
    <row r="1036" spans="1:35" x14ac:dyDescent="0.25">
      <c r="A1036" s="2">
        <v>45</v>
      </c>
      <c r="B1036" s="2" t="s">
        <v>43</v>
      </c>
      <c r="C1036" s="2" t="s">
        <v>36</v>
      </c>
      <c r="D1036" s="2">
        <v>1038</v>
      </c>
      <c r="E1036" s="2" t="s">
        <v>45</v>
      </c>
      <c r="F1036" s="2">
        <v>20</v>
      </c>
      <c r="G1036" s="2">
        <v>3</v>
      </c>
      <c r="H1036" s="2" t="s">
        <v>51</v>
      </c>
      <c r="I1036" s="2">
        <v>1</v>
      </c>
      <c r="J1036" s="2">
        <v>1460</v>
      </c>
      <c r="K1036" s="2">
        <v>2</v>
      </c>
      <c r="L1036" s="2" t="s">
        <v>46</v>
      </c>
      <c r="M1036" s="2">
        <v>95</v>
      </c>
      <c r="N1036" s="2">
        <v>1</v>
      </c>
      <c r="O1036" s="2">
        <v>3</v>
      </c>
      <c r="P1036" s="2" t="s">
        <v>54</v>
      </c>
      <c r="Q1036" s="2">
        <v>1</v>
      </c>
      <c r="R1036" s="2" t="s">
        <v>52</v>
      </c>
      <c r="S1036" s="2">
        <v>10851</v>
      </c>
      <c r="T1036" s="2">
        <v>19863</v>
      </c>
      <c r="U1036" s="2">
        <v>2</v>
      </c>
      <c r="V1036" s="2" t="s">
        <v>42</v>
      </c>
      <c r="W1036" s="2" t="s">
        <v>35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</row>
    <row r="1037" spans="1:35" x14ac:dyDescent="0.25">
      <c r="A1037" s="2">
        <v>31</v>
      </c>
      <c r="B1037" s="2" t="s">
        <v>43</v>
      </c>
      <c r="C1037" s="2" t="s">
        <v>36</v>
      </c>
      <c r="D1037" s="2">
        <v>1398</v>
      </c>
      <c r="E1037" s="2" t="s">
        <v>61</v>
      </c>
      <c r="F1037" s="2">
        <v>8</v>
      </c>
      <c r="G1037" s="2">
        <v>2</v>
      </c>
      <c r="H1037" s="2" t="s">
        <v>51</v>
      </c>
      <c r="I1037" s="2">
        <v>1</v>
      </c>
      <c r="J1037" s="2">
        <v>1461</v>
      </c>
      <c r="K1037" s="2">
        <v>4</v>
      </c>
      <c r="L1037" s="2" t="s">
        <v>39</v>
      </c>
      <c r="M1037" s="2">
        <v>96</v>
      </c>
      <c r="N1037" s="2">
        <v>4</v>
      </c>
      <c r="O1037" s="2">
        <v>1</v>
      </c>
      <c r="P1037" s="2" t="s">
        <v>61</v>
      </c>
      <c r="Q1037" s="2">
        <v>2</v>
      </c>
      <c r="R1037" s="2" t="s">
        <v>41</v>
      </c>
      <c r="S1037" s="2">
        <v>2109</v>
      </c>
      <c r="T1037" s="2">
        <v>24609</v>
      </c>
      <c r="U1037" s="2">
        <v>9</v>
      </c>
      <c r="V1037" s="2" t="s">
        <v>42</v>
      </c>
      <c r="W1037" s="2" t="s">
        <v>43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</row>
    <row r="1038" spans="1:35" x14ac:dyDescent="0.25">
      <c r="A1038" s="2">
        <v>31</v>
      </c>
      <c r="B1038" s="2" t="s">
        <v>35</v>
      </c>
      <c r="C1038" s="2" t="s">
        <v>44</v>
      </c>
      <c r="D1038" s="2">
        <v>523</v>
      </c>
      <c r="E1038" s="2" t="s">
        <v>45</v>
      </c>
      <c r="F1038" s="2">
        <v>2</v>
      </c>
      <c r="G1038" s="2">
        <v>3</v>
      </c>
      <c r="H1038" s="2" t="s">
        <v>38</v>
      </c>
      <c r="I1038" s="2">
        <v>1</v>
      </c>
      <c r="J1038" s="2">
        <v>1464</v>
      </c>
      <c r="K1038" s="2">
        <v>2</v>
      </c>
      <c r="L1038" s="2" t="s">
        <v>46</v>
      </c>
      <c r="M1038" s="2">
        <v>94</v>
      </c>
      <c r="N1038" s="2">
        <v>3</v>
      </c>
      <c r="O1038" s="2">
        <v>1</v>
      </c>
      <c r="P1038" s="2" t="s">
        <v>50</v>
      </c>
      <c r="Q1038" s="2">
        <v>4</v>
      </c>
      <c r="R1038" s="2" t="s">
        <v>48</v>
      </c>
      <c r="S1038" s="2">
        <v>3722</v>
      </c>
      <c r="T1038" s="2">
        <v>21081</v>
      </c>
      <c r="U1038" s="2">
        <v>6</v>
      </c>
      <c r="V1038" s="2" t="s">
        <v>42</v>
      </c>
      <c r="W1038" s="2" t="s">
        <v>35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</row>
    <row r="1039" spans="1:35" x14ac:dyDescent="0.25">
      <c r="A1039" s="2">
        <v>45</v>
      </c>
      <c r="B1039" s="2" t="s">
        <v>43</v>
      </c>
      <c r="C1039" s="2" t="s">
        <v>36</v>
      </c>
      <c r="D1039" s="2">
        <v>1448</v>
      </c>
      <c r="E1039" s="2" t="s">
        <v>45</v>
      </c>
      <c r="F1039" s="2">
        <v>29</v>
      </c>
      <c r="G1039" s="2">
        <v>3</v>
      </c>
      <c r="H1039" s="2" t="s">
        <v>60</v>
      </c>
      <c r="I1039" s="2">
        <v>1</v>
      </c>
      <c r="J1039" s="2">
        <v>1465</v>
      </c>
      <c r="K1039" s="2">
        <v>2</v>
      </c>
      <c r="L1039" s="2" t="s">
        <v>46</v>
      </c>
      <c r="M1039" s="2">
        <v>55</v>
      </c>
      <c r="N1039" s="2">
        <v>3</v>
      </c>
      <c r="O1039" s="2">
        <v>3</v>
      </c>
      <c r="P1039" s="2" t="s">
        <v>53</v>
      </c>
      <c r="Q1039" s="2">
        <v>4</v>
      </c>
      <c r="R1039" s="2" t="s">
        <v>48</v>
      </c>
      <c r="S1039" s="2">
        <v>9380</v>
      </c>
      <c r="T1039" s="2">
        <v>14720</v>
      </c>
      <c r="U1039" s="2">
        <v>4</v>
      </c>
      <c r="V1039" s="2" t="s">
        <v>42</v>
      </c>
      <c r="W1039" s="2" t="s">
        <v>35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</row>
    <row r="1040" spans="1:35" x14ac:dyDescent="0.25">
      <c r="A1040" s="2">
        <v>48</v>
      </c>
      <c r="B1040" s="2" t="s">
        <v>43</v>
      </c>
      <c r="C1040" s="2" t="s">
        <v>36</v>
      </c>
      <c r="D1040" s="2">
        <v>1221</v>
      </c>
      <c r="E1040" s="2" t="s">
        <v>37</v>
      </c>
      <c r="F1040" s="2">
        <v>7</v>
      </c>
      <c r="G1040" s="2">
        <v>3</v>
      </c>
      <c r="H1040" s="2" t="s">
        <v>59</v>
      </c>
      <c r="I1040" s="2">
        <v>1</v>
      </c>
      <c r="J1040" s="2">
        <v>1466</v>
      </c>
      <c r="K1040" s="2">
        <v>3</v>
      </c>
      <c r="L1040" s="2" t="s">
        <v>46</v>
      </c>
      <c r="M1040" s="2">
        <v>96</v>
      </c>
      <c r="N1040" s="2">
        <v>3</v>
      </c>
      <c r="O1040" s="2">
        <v>2</v>
      </c>
      <c r="P1040" s="2" t="s">
        <v>40</v>
      </c>
      <c r="Q1040" s="2">
        <v>1</v>
      </c>
      <c r="R1040" s="2" t="s">
        <v>52</v>
      </c>
      <c r="S1040" s="2">
        <v>5486</v>
      </c>
      <c r="T1040" s="2">
        <v>24795</v>
      </c>
      <c r="U1040" s="2">
        <v>4</v>
      </c>
      <c r="V1040" s="2" t="s">
        <v>42</v>
      </c>
      <c r="W1040" s="2" t="s">
        <v>43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</row>
    <row r="1041" spans="1:35" x14ac:dyDescent="0.25">
      <c r="A1041" s="2">
        <v>34</v>
      </c>
      <c r="B1041" s="2" t="s">
        <v>35</v>
      </c>
      <c r="C1041" s="2" t="s">
        <v>36</v>
      </c>
      <c r="D1041" s="2">
        <v>1107</v>
      </c>
      <c r="E1041" s="2" t="s">
        <v>61</v>
      </c>
      <c r="F1041" s="2">
        <v>9</v>
      </c>
      <c r="G1041" s="2">
        <v>4</v>
      </c>
      <c r="H1041" s="2" t="s">
        <v>60</v>
      </c>
      <c r="I1041" s="2">
        <v>1</v>
      </c>
      <c r="J1041" s="2">
        <v>1467</v>
      </c>
      <c r="K1041" s="2">
        <v>1</v>
      </c>
      <c r="L1041" s="2" t="s">
        <v>39</v>
      </c>
      <c r="M1041" s="2">
        <v>52</v>
      </c>
      <c r="N1041" s="2">
        <v>3</v>
      </c>
      <c r="O1041" s="2">
        <v>1</v>
      </c>
      <c r="P1041" s="2" t="s">
        <v>61</v>
      </c>
      <c r="Q1041" s="2">
        <v>3</v>
      </c>
      <c r="R1041" s="2" t="s">
        <v>48</v>
      </c>
      <c r="S1041" s="2">
        <v>2742</v>
      </c>
      <c r="T1041" s="2">
        <v>3072</v>
      </c>
      <c r="U1041" s="2">
        <v>1</v>
      </c>
      <c r="V1041" s="2" t="s">
        <v>42</v>
      </c>
      <c r="W1041" s="2" t="s">
        <v>43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</row>
    <row r="1042" spans="1:35" x14ac:dyDescent="0.25">
      <c r="A1042" s="2">
        <v>40</v>
      </c>
      <c r="B1042" s="2" t="s">
        <v>43</v>
      </c>
      <c r="C1042" s="2" t="s">
        <v>55</v>
      </c>
      <c r="D1042" s="2">
        <v>218</v>
      </c>
      <c r="E1042" s="2" t="s">
        <v>45</v>
      </c>
      <c r="F1042" s="2">
        <v>8</v>
      </c>
      <c r="G1042" s="2">
        <v>1</v>
      </c>
      <c r="H1042" s="2" t="s">
        <v>51</v>
      </c>
      <c r="I1042" s="2">
        <v>1</v>
      </c>
      <c r="J1042" s="2">
        <v>1468</v>
      </c>
      <c r="K1042" s="2">
        <v>4</v>
      </c>
      <c r="L1042" s="2" t="s">
        <v>46</v>
      </c>
      <c r="M1042" s="2">
        <v>55</v>
      </c>
      <c r="N1042" s="2">
        <v>2</v>
      </c>
      <c r="O1042" s="2">
        <v>3</v>
      </c>
      <c r="P1042" s="2" t="s">
        <v>58</v>
      </c>
      <c r="Q1042" s="2">
        <v>2</v>
      </c>
      <c r="R1042" s="2" t="s">
        <v>52</v>
      </c>
      <c r="S1042" s="2">
        <v>13757</v>
      </c>
      <c r="T1042" s="2">
        <v>25178</v>
      </c>
      <c r="U1042" s="2">
        <v>2</v>
      </c>
      <c r="V1042" s="2" t="s">
        <v>42</v>
      </c>
      <c r="W1042" s="2" t="s">
        <v>43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</row>
    <row r="1043" spans="1:35" x14ac:dyDescent="0.25">
      <c r="A1043" s="2">
        <v>28</v>
      </c>
      <c r="B1043" s="2" t="s">
        <v>43</v>
      </c>
      <c r="C1043" s="2" t="s">
        <v>36</v>
      </c>
      <c r="D1043" s="2">
        <v>866</v>
      </c>
      <c r="E1043" s="2" t="s">
        <v>37</v>
      </c>
      <c r="F1043" s="2">
        <v>5</v>
      </c>
      <c r="G1043" s="2">
        <v>3</v>
      </c>
      <c r="H1043" s="2" t="s">
        <v>51</v>
      </c>
      <c r="I1043" s="2">
        <v>1</v>
      </c>
      <c r="J1043" s="2">
        <v>1469</v>
      </c>
      <c r="K1043" s="2">
        <v>4</v>
      </c>
      <c r="L1043" s="2" t="s">
        <v>46</v>
      </c>
      <c r="M1043" s="2">
        <v>84</v>
      </c>
      <c r="N1043" s="2">
        <v>3</v>
      </c>
      <c r="O1043" s="2">
        <v>2</v>
      </c>
      <c r="P1043" s="2" t="s">
        <v>40</v>
      </c>
      <c r="Q1043" s="2">
        <v>1</v>
      </c>
      <c r="R1043" s="2" t="s">
        <v>41</v>
      </c>
      <c r="S1043" s="2">
        <v>8463</v>
      </c>
      <c r="T1043" s="2">
        <v>23490</v>
      </c>
      <c r="U1043" s="2">
        <v>0</v>
      </c>
      <c r="V1043" s="2" t="s">
        <v>42</v>
      </c>
      <c r="W1043" s="2" t="s">
        <v>43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</row>
    <row r="1044" spans="1:35" x14ac:dyDescent="0.25">
      <c r="A1044" s="2">
        <v>44</v>
      </c>
      <c r="B1044" s="2" t="s">
        <v>43</v>
      </c>
      <c r="C1044" s="2" t="s">
        <v>55</v>
      </c>
      <c r="D1044" s="2">
        <v>981</v>
      </c>
      <c r="E1044" s="2" t="s">
        <v>45</v>
      </c>
      <c r="F1044" s="2">
        <v>5</v>
      </c>
      <c r="G1044" s="2">
        <v>3</v>
      </c>
      <c r="H1044" s="2" t="s">
        <v>38</v>
      </c>
      <c r="I1044" s="2">
        <v>1</v>
      </c>
      <c r="J1044" s="2">
        <v>1471</v>
      </c>
      <c r="K1044" s="2">
        <v>3</v>
      </c>
      <c r="L1044" s="2" t="s">
        <v>46</v>
      </c>
      <c r="M1044" s="2">
        <v>90</v>
      </c>
      <c r="N1044" s="2">
        <v>2</v>
      </c>
      <c r="O1044" s="2">
        <v>1</v>
      </c>
      <c r="P1044" s="2" t="s">
        <v>50</v>
      </c>
      <c r="Q1044" s="2">
        <v>3</v>
      </c>
      <c r="R1044" s="2" t="s">
        <v>41</v>
      </c>
      <c r="S1044" s="2">
        <v>3162</v>
      </c>
      <c r="T1044" s="2">
        <v>7973</v>
      </c>
      <c r="U1044" s="2">
        <v>3</v>
      </c>
      <c r="V1044" s="2" t="s">
        <v>42</v>
      </c>
      <c r="W1044" s="2" t="s">
        <v>43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</row>
    <row r="1045" spans="1:35" x14ac:dyDescent="0.25">
      <c r="A1045" s="2">
        <v>53</v>
      </c>
      <c r="B1045" s="2" t="s">
        <v>43</v>
      </c>
      <c r="C1045" s="2" t="s">
        <v>36</v>
      </c>
      <c r="D1045" s="2">
        <v>447</v>
      </c>
      <c r="E1045" s="2" t="s">
        <v>45</v>
      </c>
      <c r="F1045" s="2">
        <v>2</v>
      </c>
      <c r="G1045" s="2">
        <v>3</v>
      </c>
      <c r="H1045" s="2" t="s">
        <v>51</v>
      </c>
      <c r="I1045" s="2">
        <v>1</v>
      </c>
      <c r="J1045" s="2">
        <v>1472</v>
      </c>
      <c r="K1045" s="2">
        <v>4</v>
      </c>
      <c r="L1045" s="2" t="s">
        <v>46</v>
      </c>
      <c r="M1045" s="2">
        <v>39</v>
      </c>
      <c r="N1045" s="2">
        <v>4</v>
      </c>
      <c r="O1045" s="2">
        <v>4</v>
      </c>
      <c r="P1045" s="2" t="s">
        <v>58</v>
      </c>
      <c r="Q1045" s="2">
        <v>2</v>
      </c>
      <c r="R1045" s="2" t="s">
        <v>41</v>
      </c>
      <c r="S1045" s="2">
        <v>16598</v>
      </c>
      <c r="T1045" s="2">
        <v>19764</v>
      </c>
      <c r="U1045" s="2">
        <v>4</v>
      </c>
      <c r="V1045" s="2" t="s">
        <v>42</v>
      </c>
      <c r="W1045" s="2" t="s">
        <v>43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</row>
    <row r="1046" spans="1:35" x14ac:dyDescent="0.25">
      <c r="A1046" s="2">
        <v>49</v>
      </c>
      <c r="B1046" s="2" t="s">
        <v>43</v>
      </c>
      <c r="C1046" s="2" t="s">
        <v>36</v>
      </c>
      <c r="D1046" s="2">
        <v>1495</v>
      </c>
      <c r="E1046" s="2" t="s">
        <v>45</v>
      </c>
      <c r="F1046" s="2">
        <v>5</v>
      </c>
      <c r="G1046" s="2">
        <v>4</v>
      </c>
      <c r="H1046" s="2" t="s">
        <v>60</v>
      </c>
      <c r="I1046" s="2">
        <v>1</v>
      </c>
      <c r="J1046" s="2">
        <v>1473</v>
      </c>
      <c r="K1046" s="2">
        <v>1</v>
      </c>
      <c r="L1046" s="2" t="s">
        <v>46</v>
      </c>
      <c r="M1046" s="2">
        <v>96</v>
      </c>
      <c r="N1046" s="2">
        <v>3</v>
      </c>
      <c r="O1046" s="2">
        <v>2</v>
      </c>
      <c r="P1046" s="2" t="s">
        <v>54</v>
      </c>
      <c r="Q1046" s="2">
        <v>3</v>
      </c>
      <c r="R1046" s="2" t="s">
        <v>48</v>
      </c>
      <c r="S1046" s="2">
        <v>6651</v>
      </c>
      <c r="T1046" s="2">
        <v>21534</v>
      </c>
      <c r="U1046" s="2">
        <v>2</v>
      </c>
      <c r="V1046" s="2" t="s">
        <v>42</v>
      </c>
      <c r="W1046" s="2" t="s">
        <v>43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</row>
    <row r="1047" spans="1:35" x14ac:dyDescent="0.25">
      <c r="A1047" s="2">
        <v>40</v>
      </c>
      <c r="B1047" s="2" t="s">
        <v>43</v>
      </c>
      <c r="C1047" s="2" t="s">
        <v>36</v>
      </c>
      <c r="D1047" s="2">
        <v>896</v>
      </c>
      <c r="E1047" s="2" t="s">
        <v>45</v>
      </c>
      <c r="F1047" s="2">
        <v>2</v>
      </c>
      <c r="G1047" s="2">
        <v>3</v>
      </c>
      <c r="H1047" s="2" t="s">
        <v>51</v>
      </c>
      <c r="I1047" s="2">
        <v>1</v>
      </c>
      <c r="J1047" s="2">
        <v>1474</v>
      </c>
      <c r="K1047" s="2">
        <v>3</v>
      </c>
      <c r="L1047" s="2" t="s">
        <v>46</v>
      </c>
      <c r="M1047" s="2">
        <v>68</v>
      </c>
      <c r="N1047" s="2">
        <v>3</v>
      </c>
      <c r="O1047" s="2">
        <v>1</v>
      </c>
      <c r="P1047" s="2" t="s">
        <v>47</v>
      </c>
      <c r="Q1047" s="2">
        <v>3</v>
      </c>
      <c r="R1047" s="2" t="s">
        <v>52</v>
      </c>
      <c r="S1047" s="2">
        <v>2345</v>
      </c>
      <c r="T1047" s="2">
        <v>8045</v>
      </c>
      <c r="U1047" s="2">
        <v>2</v>
      </c>
      <c r="V1047" s="2" t="s">
        <v>42</v>
      </c>
      <c r="W1047" s="2" t="s">
        <v>43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</row>
    <row r="1048" spans="1:35" x14ac:dyDescent="0.25">
      <c r="A1048" s="2">
        <v>44</v>
      </c>
      <c r="B1048" s="2" t="s">
        <v>43</v>
      </c>
      <c r="C1048" s="2" t="s">
        <v>36</v>
      </c>
      <c r="D1048" s="2">
        <v>1467</v>
      </c>
      <c r="E1048" s="2" t="s">
        <v>45</v>
      </c>
      <c r="F1048" s="2">
        <v>20</v>
      </c>
      <c r="G1048" s="2">
        <v>3</v>
      </c>
      <c r="H1048" s="2" t="s">
        <v>38</v>
      </c>
      <c r="I1048" s="2">
        <v>1</v>
      </c>
      <c r="J1048" s="2">
        <v>1475</v>
      </c>
      <c r="K1048" s="2">
        <v>4</v>
      </c>
      <c r="L1048" s="2" t="s">
        <v>46</v>
      </c>
      <c r="M1048" s="2">
        <v>49</v>
      </c>
      <c r="N1048" s="2">
        <v>3</v>
      </c>
      <c r="O1048" s="2">
        <v>1</v>
      </c>
      <c r="P1048" s="2" t="s">
        <v>47</v>
      </c>
      <c r="Q1048" s="2">
        <v>2</v>
      </c>
      <c r="R1048" s="2" t="s">
        <v>41</v>
      </c>
      <c r="S1048" s="2">
        <v>3420</v>
      </c>
      <c r="T1048" s="2">
        <v>21158</v>
      </c>
      <c r="U1048" s="2">
        <v>1</v>
      </c>
      <c r="V1048" s="2" t="s">
        <v>42</v>
      </c>
      <c r="W1048" s="2" t="s">
        <v>43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</row>
    <row r="1049" spans="1:35" x14ac:dyDescent="0.25">
      <c r="A1049" s="2">
        <v>33</v>
      </c>
      <c r="B1049" s="2" t="s">
        <v>43</v>
      </c>
      <c r="C1049" s="2" t="s">
        <v>44</v>
      </c>
      <c r="D1049" s="2">
        <v>430</v>
      </c>
      <c r="E1049" s="2" t="s">
        <v>37</v>
      </c>
      <c r="F1049" s="2">
        <v>7</v>
      </c>
      <c r="G1049" s="2">
        <v>3</v>
      </c>
      <c r="H1049" s="2" t="s">
        <v>51</v>
      </c>
      <c r="I1049" s="2">
        <v>1</v>
      </c>
      <c r="J1049" s="2">
        <v>1477</v>
      </c>
      <c r="K1049" s="2">
        <v>4</v>
      </c>
      <c r="L1049" s="2" t="s">
        <v>46</v>
      </c>
      <c r="M1049" s="2">
        <v>54</v>
      </c>
      <c r="N1049" s="2">
        <v>3</v>
      </c>
      <c r="O1049" s="2">
        <v>2</v>
      </c>
      <c r="P1049" s="2" t="s">
        <v>40</v>
      </c>
      <c r="Q1049" s="2">
        <v>1</v>
      </c>
      <c r="R1049" s="2" t="s">
        <v>48</v>
      </c>
      <c r="S1049" s="2">
        <v>4373</v>
      </c>
      <c r="T1049" s="2">
        <v>17456</v>
      </c>
      <c r="U1049" s="2">
        <v>0</v>
      </c>
      <c r="V1049" s="2" t="s">
        <v>42</v>
      </c>
      <c r="W1049" s="2" t="s">
        <v>43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</row>
    <row r="1050" spans="1:35" x14ac:dyDescent="0.25">
      <c r="A1050" s="2">
        <v>34</v>
      </c>
      <c r="B1050" s="2" t="s">
        <v>43</v>
      </c>
      <c r="C1050" s="2" t="s">
        <v>36</v>
      </c>
      <c r="D1050" s="2">
        <v>1326</v>
      </c>
      <c r="E1050" s="2" t="s">
        <v>37</v>
      </c>
      <c r="F1050" s="2">
        <v>3</v>
      </c>
      <c r="G1050" s="2">
        <v>3</v>
      </c>
      <c r="H1050" s="2" t="s">
        <v>49</v>
      </c>
      <c r="I1050" s="2">
        <v>1</v>
      </c>
      <c r="J1050" s="2">
        <v>1478</v>
      </c>
      <c r="K1050" s="2">
        <v>4</v>
      </c>
      <c r="L1050" s="2" t="s">
        <v>46</v>
      </c>
      <c r="M1050" s="2">
        <v>81</v>
      </c>
      <c r="N1050" s="2">
        <v>1</v>
      </c>
      <c r="O1050" s="2">
        <v>2</v>
      </c>
      <c r="P1050" s="2" t="s">
        <v>40</v>
      </c>
      <c r="Q1050" s="2">
        <v>1</v>
      </c>
      <c r="R1050" s="2" t="s">
        <v>41</v>
      </c>
      <c r="S1050" s="2">
        <v>4759</v>
      </c>
      <c r="T1050" s="2">
        <v>15891</v>
      </c>
      <c r="U1050" s="2">
        <v>3</v>
      </c>
      <c r="V1050" s="2" t="s">
        <v>42</v>
      </c>
      <c r="W1050" s="2" t="s">
        <v>43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</row>
    <row r="1051" spans="1:35" x14ac:dyDescent="0.25">
      <c r="A1051" s="2">
        <v>30</v>
      </c>
      <c r="B1051" s="2" t="s">
        <v>43</v>
      </c>
      <c r="C1051" s="2" t="s">
        <v>36</v>
      </c>
      <c r="D1051" s="2">
        <v>1358</v>
      </c>
      <c r="E1051" s="2" t="s">
        <v>37</v>
      </c>
      <c r="F1051" s="2">
        <v>16</v>
      </c>
      <c r="G1051" s="2">
        <v>1</v>
      </c>
      <c r="H1051" s="2" t="s">
        <v>38</v>
      </c>
      <c r="I1051" s="2">
        <v>1</v>
      </c>
      <c r="J1051" s="2">
        <v>1479</v>
      </c>
      <c r="K1051" s="2">
        <v>4</v>
      </c>
      <c r="L1051" s="2" t="s">
        <v>46</v>
      </c>
      <c r="M1051" s="2">
        <v>96</v>
      </c>
      <c r="N1051" s="2">
        <v>3</v>
      </c>
      <c r="O1051" s="2">
        <v>2</v>
      </c>
      <c r="P1051" s="2" t="s">
        <v>40</v>
      </c>
      <c r="Q1051" s="2">
        <v>3</v>
      </c>
      <c r="R1051" s="2" t="s">
        <v>48</v>
      </c>
      <c r="S1051" s="2">
        <v>5301</v>
      </c>
      <c r="T1051" s="2">
        <v>2939</v>
      </c>
      <c r="U1051" s="2">
        <v>8</v>
      </c>
      <c r="V1051" s="2" t="s">
        <v>42</v>
      </c>
      <c r="W1051" s="2" t="s">
        <v>43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</row>
    <row r="1052" spans="1:35" x14ac:dyDescent="0.25">
      <c r="A1052" s="2">
        <v>42</v>
      </c>
      <c r="B1052" s="2" t="s">
        <v>43</v>
      </c>
      <c r="C1052" s="2" t="s">
        <v>44</v>
      </c>
      <c r="D1052" s="2">
        <v>748</v>
      </c>
      <c r="E1052" s="2" t="s">
        <v>45</v>
      </c>
      <c r="F1052" s="2">
        <v>9</v>
      </c>
      <c r="G1052" s="2">
        <v>2</v>
      </c>
      <c r="H1052" s="2" t="s">
        <v>51</v>
      </c>
      <c r="I1052" s="2">
        <v>1</v>
      </c>
      <c r="J1052" s="2">
        <v>1480</v>
      </c>
      <c r="K1052" s="2">
        <v>1</v>
      </c>
      <c r="L1052" s="2" t="s">
        <v>39</v>
      </c>
      <c r="M1052" s="2">
        <v>74</v>
      </c>
      <c r="N1052" s="2">
        <v>3</v>
      </c>
      <c r="O1052" s="2">
        <v>1</v>
      </c>
      <c r="P1052" s="2" t="s">
        <v>50</v>
      </c>
      <c r="Q1052" s="2">
        <v>4</v>
      </c>
      <c r="R1052" s="2" t="s">
        <v>41</v>
      </c>
      <c r="S1052" s="2">
        <v>3673</v>
      </c>
      <c r="T1052" s="2">
        <v>16458</v>
      </c>
      <c r="U1052" s="2">
        <v>1</v>
      </c>
      <c r="V1052" s="2" t="s">
        <v>42</v>
      </c>
      <c r="W1052" s="2" t="s">
        <v>43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</row>
    <row r="1053" spans="1:35" x14ac:dyDescent="0.25">
      <c r="A1053" s="2">
        <v>44</v>
      </c>
      <c r="B1053" s="2" t="s">
        <v>43</v>
      </c>
      <c r="C1053" s="2" t="s">
        <v>44</v>
      </c>
      <c r="D1053" s="2">
        <v>383</v>
      </c>
      <c r="E1053" s="2" t="s">
        <v>37</v>
      </c>
      <c r="F1053" s="2">
        <v>1</v>
      </c>
      <c r="G1053" s="2">
        <v>5</v>
      </c>
      <c r="H1053" s="2" t="s">
        <v>59</v>
      </c>
      <c r="I1053" s="2">
        <v>1</v>
      </c>
      <c r="J1053" s="2">
        <v>1481</v>
      </c>
      <c r="K1053" s="2">
        <v>1</v>
      </c>
      <c r="L1053" s="2" t="s">
        <v>39</v>
      </c>
      <c r="M1053" s="2">
        <v>79</v>
      </c>
      <c r="N1053" s="2">
        <v>3</v>
      </c>
      <c r="O1053" s="2">
        <v>2</v>
      </c>
      <c r="P1053" s="2" t="s">
        <v>40</v>
      </c>
      <c r="Q1053" s="2">
        <v>3</v>
      </c>
      <c r="R1053" s="2" t="s">
        <v>48</v>
      </c>
      <c r="S1053" s="2">
        <v>4768</v>
      </c>
      <c r="T1053" s="2">
        <v>9282</v>
      </c>
      <c r="U1053" s="2">
        <v>7</v>
      </c>
      <c r="V1053" s="2" t="s">
        <v>42</v>
      </c>
      <c r="W1053" s="2" t="s">
        <v>43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</row>
    <row r="1054" spans="1:35" x14ac:dyDescent="0.25">
      <c r="A1054" s="2">
        <v>30</v>
      </c>
      <c r="B1054" s="2" t="s">
        <v>43</v>
      </c>
      <c r="C1054" s="2" t="s">
        <v>55</v>
      </c>
      <c r="D1054" s="2">
        <v>990</v>
      </c>
      <c r="E1054" s="2" t="s">
        <v>45</v>
      </c>
      <c r="F1054" s="2">
        <v>7</v>
      </c>
      <c r="G1054" s="2">
        <v>3</v>
      </c>
      <c r="H1054" s="2" t="s">
        <v>60</v>
      </c>
      <c r="I1054" s="2">
        <v>1</v>
      </c>
      <c r="J1054" s="2">
        <v>1482</v>
      </c>
      <c r="K1054" s="2">
        <v>3</v>
      </c>
      <c r="L1054" s="2" t="s">
        <v>46</v>
      </c>
      <c r="M1054" s="2">
        <v>64</v>
      </c>
      <c r="N1054" s="2">
        <v>3</v>
      </c>
      <c r="O1054" s="2">
        <v>1</v>
      </c>
      <c r="P1054" s="2" t="s">
        <v>47</v>
      </c>
      <c r="Q1054" s="2">
        <v>3</v>
      </c>
      <c r="R1054" s="2" t="s">
        <v>52</v>
      </c>
      <c r="S1054" s="2">
        <v>1274</v>
      </c>
      <c r="T1054" s="2">
        <v>7152</v>
      </c>
      <c r="U1054" s="2">
        <v>1</v>
      </c>
      <c r="V1054" s="2" t="s">
        <v>42</v>
      </c>
      <c r="W1054" s="2" t="s">
        <v>43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</row>
    <row r="1055" spans="1:35" x14ac:dyDescent="0.25">
      <c r="A1055" s="2">
        <v>57</v>
      </c>
      <c r="B1055" s="2" t="s">
        <v>43</v>
      </c>
      <c r="C1055" s="2" t="s">
        <v>36</v>
      </c>
      <c r="D1055" s="2">
        <v>405</v>
      </c>
      <c r="E1055" s="2" t="s">
        <v>45</v>
      </c>
      <c r="F1055" s="2">
        <v>1</v>
      </c>
      <c r="G1055" s="2">
        <v>2</v>
      </c>
      <c r="H1055" s="2" t="s">
        <v>38</v>
      </c>
      <c r="I1055" s="2">
        <v>1</v>
      </c>
      <c r="J1055" s="2">
        <v>1483</v>
      </c>
      <c r="K1055" s="2">
        <v>2</v>
      </c>
      <c r="L1055" s="2" t="s">
        <v>46</v>
      </c>
      <c r="M1055" s="2">
        <v>93</v>
      </c>
      <c r="N1055" s="2">
        <v>4</v>
      </c>
      <c r="O1055" s="2">
        <v>2</v>
      </c>
      <c r="P1055" s="2" t="s">
        <v>47</v>
      </c>
      <c r="Q1055" s="2">
        <v>3</v>
      </c>
      <c r="R1055" s="2" t="s">
        <v>48</v>
      </c>
      <c r="S1055" s="2">
        <v>4900</v>
      </c>
      <c r="T1055" s="2">
        <v>2721</v>
      </c>
      <c r="U1055" s="2">
        <v>0</v>
      </c>
      <c r="V1055" s="2" t="s">
        <v>42</v>
      </c>
      <c r="W1055" s="2" t="s">
        <v>43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</row>
    <row r="1056" spans="1:35" x14ac:dyDescent="0.25">
      <c r="A1056" s="2">
        <v>49</v>
      </c>
      <c r="B1056" s="2" t="s">
        <v>43</v>
      </c>
      <c r="C1056" s="2" t="s">
        <v>36</v>
      </c>
      <c r="D1056" s="2">
        <v>1490</v>
      </c>
      <c r="E1056" s="2" t="s">
        <v>45</v>
      </c>
      <c r="F1056" s="2">
        <v>7</v>
      </c>
      <c r="G1056" s="2">
        <v>4</v>
      </c>
      <c r="H1056" s="2" t="s">
        <v>38</v>
      </c>
      <c r="I1056" s="2">
        <v>1</v>
      </c>
      <c r="J1056" s="2">
        <v>1484</v>
      </c>
      <c r="K1056" s="2">
        <v>3</v>
      </c>
      <c r="L1056" s="2" t="s">
        <v>46</v>
      </c>
      <c r="M1056" s="2">
        <v>35</v>
      </c>
      <c r="N1056" s="2">
        <v>3</v>
      </c>
      <c r="O1056" s="2">
        <v>3</v>
      </c>
      <c r="P1056" s="2" t="s">
        <v>54</v>
      </c>
      <c r="Q1056" s="2">
        <v>2</v>
      </c>
      <c r="R1056" s="2" t="s">
        <v>52</v>
      </c>
      <c r="S1056" s="2">
        <v>10466</v>
      </c>
      <c r="T1056" s="2">
        <v>20948</v>
      </c>
      <c r="U1056" s="2">
        <v>3</v>
      </c>
      <c r="V1056" s="2" t="s">
        <v>42</v>
      </c>
      <c r="W1056" s="2" t="s">
        <v>43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</row>
    <row r="1057" spans="1:35" x14ac:dyDescent="0.25">
      <c r="A1057" s="2">
        <v>34</v>
      </c>
      <c r="B1057" s="2" t="s">
        <v>43</v>
      </c>
      <c r="C1057" s="2" t="s">
        <v>44</v>
      </c>
      <c r="D1057" s="2">
        <v>829</v>
      </c>
      <c r="E1057" s="2" t="s">
        <v>45</v>
      </c>
      <c r="F1057" s="2">
        <v>15</v>
      </c>
      <c r="G1057" s="2">
        <v>3</v>
      </c>
      <c r="H1057" s="2" t="s">
        <v>51</v>
      </c>
      <c r="I1057" s="2">
        <v>1</v>
      </c>
      <c r="J1057" s="2">
        <v>1485</v>
      </c>
      <c r="K1057" s="2">
        <v>2</v>
      </c>
      <c r="L1057" s="2" t="s">
        <v>46</v>
      </c>
      <c r="M1057" s="2">
        <v>71</v>
      </c>
      <c r="N1057" s="2">
        <v>3</v>
      </c>
      <c r="O1057" s="2">
        <v>4</v>
      </c>
      <c r="P1057" s="2" t="s">
        <v>58</v>
      </c>
      <c r="Q1057" s="2">
        <v>1</v>
      </c>
      <c r="R1057" s="2" t="s">
        <v>52</v>
      </c>
      <c r="S1057" s="2">
        <v>17007</v>
      </c>
      <c r="T1057" s="2">
        <v>11929</v>
      </c>
      <c r="U1057" s="2">
        <v>7</v>
      </c>
      <c r="V1057" s="2" t="s">
        <v>42</v>
      </c>
      <c r="W1057" s="2" t="s">
        <v>43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</row>
    <row r="1058" spans="1:35" x14ac:dyDescent="0.25">
      <c r="A1058" s="2">
        <v>28</v>
      </c>
      <c r="B1058" s="2" t="s">
        <v>35</v>
      </c>
      <c r="C1058" s="2" t="s">
        <v>44</v>
      </c>
      <c r="D1058" s="2">
        <v>1496</v>
      </c>
      <c r="E1058" s="2" t="s">
        <v>37</v>
      </c>
      <c r="F1058" s="2">
        <v>1</v>
      </c>
      <c r="G1058" s="2">
        <v>3</v>
      </c>
      <c r="H1058" s="2" t="s">
        <v>60</v>
      </c>
      <c r="I1058" s="2">
        <v>1</v>
      </c>
      <c r="J1058" s="2">
        <v>1486</v>
      </c>
      <c r="K1058" s="2">
        <v>1</v>
      </c>
      <c r="L1058" s="2" t="s">
        <v>46</v>
      </c>
      <c r="M1058" s="2">
        <v>92</v>
      </c>
      <c r="N1058" s="2">
        <v>3</v>
      </c>
      <c r="O1058" s="2">
        <v>1</v>
      </c>
      <c r="P1058" s="2" t="s">
        <v>57</v>
      </c>
      <c r="Q1058" s="2">
        <v>3</v>
      </c>
      <c r="R1058" s="2" t="s">
        <v>48</v>
      </c>
      <c r="S1058" s="2">
        <v>2909</v>
      </c>
      <c r="T1058" s="2">
        <v>15747</v>
      </c>
      <c r="U1058" s="2">
        <v>3</v>
      </c>
      <c r="V1058" s="2" t="s">
        <v>42</v>
      </c>
      <c r="W1058" s="2" t="s">
        <v>43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</row>
    <row r="1059" spans="1:35" x14ac:dyDescent="0.25">
      <c r="A1059" s="2">
        <v>29</v>
      </c>
      <c r="B1059" s="2" t="s">
        <v>35</v>
      </c>
      <c r="C1059" s="2" t="s">
        <v>44</v>
      </c>
      <c r="D1059" s="2">
        <v>115</v>
      </c>
      <c r="E1059" s="2" t="s">
        <v>37</v>
      </c>
      <c r="F1059" s="2">
        <v>13</v>
      </c>
      <c r="G1059" s="2">
        <v>3</v>
      </c>
      <c r="H1059" s="2" t="s">
        <v>60</v>
      </c>
      <c r="I1059" s="2">
        <v>1</v>
      </c>
      <c r="J1059" s="2">
        <v>1487</v>
      </c>
      <c r="K1059" s="2">
        <v>1</v>
      </c>
      <c r="L1059" s="2" t="s">
        <v>39</v>
      </c>
      <c r="M1059" s="2">
        <v>51</v>
      </c>
      <c r="N1059" s="2">
        <v>3</v>
      </c>
      <c r="O1059" s="2">
        <v>2</v>
      </c>
      <c r="P1059" s="2" t="s">
        <v>40</v>
      </c>
      <c r="Q1059" s="2">
        <v>2</v>
      </c>
      <c r="R1059" s="2" t="s">
        <v>41</v>
      </c>
      <c r="S1059" s="2">
        <v>5765</v>
      </c>
      <c r="T1059" s="2">
        <v>17485</v>
      </c>
      <c r="U1059" s="2">
        <v>5</v>
      </c>
      <c r="V1059" s="2" t="s">
        <v>42</v>
      </c>
      <c r="W1059" s="2" t="s">
        <v>43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</row>
    <row r="1060" spans="1:35" x14ac:dyDescent="0.25">
      <c r="A1060" s="2">
        <v>34</v>
      </c>
      <c r="B1060" s="2" t="s">
        <v>35</v>
      </c>
      <c r="C1060" s="2" t="s">
        <v>36</v>
      </c>
      <c r="D1060" s="2">
        <v>790</v>
      </c>
      <c r="E1060" s="2" t="s">
        <v>37</v>
      </c>
      <c r="F1060" s="2">
        <v>24</v>
      </c>
      <c r="G1060" s="2">
        <v>4</v>
      </c>
      <c r="H1060" s="2" t="s">
        <v>51</v>
      </c>
      <c r="I1060" s="2">
        <v>1</v>
      </c>
      <c r="J1060" s="2">
        <v>1489</v>
      </c>
      <c r="K1060" s="2">
        <v>1</v>
      </c>
      <c r="L1060" s="2" t="s">
        <v>39</v>
      </c>
      <c r="M1060" s="2">
        <v>40</v>
      </c>
      <c r="N1060" s="2">
        <v>2</v>
      </c>
      <c r="O1060" s="2">
        <v>2</v>
      </c>
      <c r="P1060" s="2" t="s">
        <v>40</v>
      </c>
      <c r="Q1060" s="2">
        <v>2</v>
      </c>
      <c r="R1060" s="2" t="s">
        <v>41</v>
      </c>
      <c r="S1060" s="2">
        <v>4599</v>
      </c>
      <c r="T1060" s="2">
        <v>7815</v>
      </c>
      <c r="U1060" s="2">
        <v>0</v>
      </c>
      <c r="V1060" s="2" t="s">
        <v>42</v>
      </c>
      <c r="W1060" s="2" t="s">
        <v>35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</row>
    <row r="1061" spans="1:35" x14ac:dyDescent="0.25">
      <c r="A1061" s="2">
        <v>35</v>
      </c>
      <c r="B1061" s="2" t="s">
        <v>43</v>
      </c>
      <c r="C1061" s="2" t="s">
        <v>36</v>
      </c>
      <c r="D1061" s="2">
        <v>660</v>
      </c>
      <c r="E1061" s="2" t="s">
        <v>37</v>
      </c>
      <c r="F1061" s="2">
        <v>7</v>
      </c>
      <c r="G1061" s="2">
        <v>1</v>
      </c>
      <c r="H1061" s="2" t="s">
        <v>38</v>
      </c>
      <c r="I1061" s="2">
        <v>1</v>
      </c>
      <c r="J1061" s="2">
        <v>1492</v>
      </c>
      <c r="K1061" s="2">
        <v>4</v>
      </c>
      <c r="L1061" s="2" t="s">
        <v>46</v>
      </c>
      <c r="M1061" s="2">
        <v>76</v>
      </c>
      <c r="N1061" s="2">
        <v>3</v>
      </c>
      <c r="O1061" s="2">
        <v>1</v>
      </c>
      <c r="P1061" s="2" t="s">
        <v>57</v>
      </c>
      <c r="Q1061" s="2">
        <v>3</v>
      </c>
      <c r="R1061" s="2" t="s">
        <v>48</v>
      </c>
      <c r="S1061" s="2">
        <v>2404</v>
      </c>
      <c r="T1061" s="2">
        <v>16192</v>
      </c>
      <c r="U1061" s="2">
        <v>1</v>
      </c>
      <c r="V1061" s="2" t="s">
        <v>42</v>
      </c>
      <c r="W1061" s="2" t="s">
        <v>43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</row>
    <row r="1062" spans="1:35" x14ac:dyDescent="0.25">
      <c r="A1062" s="2">
        <v>24</v>
      </c>
      <c r="B1062" s="2" t="s">
        <v>35</v>
      </c>
      <c r="C1062" s="2" t="s">
        <v>44</v>
      </c>
      <c r="D1062" s="2">
        <v>381</v>
      </c>
      <c r="E1062" s="2" t="s">
        <v>45</v>
      </c>
      <c r="F1062" s="2">
        <v>9</v>
      </c>
      <c r="G1062" s="2">
        <v>3</v>
      </c>
      <c r="H1062" s="2" t="s">
        <v>51</v>
      </c>
      <c r="I1062" s="2">
        <v>1</v>
      </c>
      <c r="J1062" s="2">
        <v>1494</v>
      </c>
      <c r="K1062" s="2">
        <v>2</v>
      </c>
      <c r="L1062" s="2" t="s">
        <v>46</v>
      </c>
      <c r="M1062" s="2">
        <v>89</v>
      </c>
      <c r="N1062" s="2">
        <v>3</v>
      </c>
      <c r="O1062" s="2">
        <v>1</v>
      </c>
      <c r="P1062" s="2" t="s">
        <v>50</v>
      </c>
      <c r="Q1062" s="2">
        <v>1</v>
      </c>
      <c r="R1062" s="2" t="s">
        <v>41</v>
      </c>
      <c r="S1062" s="2">
        <v>3172</v>
      </c>
      <c r="T1062" s="2">
        <v>16998</v>
      </c>
      <c r="U1062" s="2">
        <v>2</v>
      </c>
      <c r="V1062" s="2" t="s">
        <v>42</v>
      </c>
      <c r="W1062" s="2" t="s">
        <v>35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</row>
    <row r="1063" spans="1:35" x14ac:dyDescent="0.25">
      <c r="A1063" s="2">
        <v>24</v>
      </c>
      <c r="B1063" s="2" t="s">
        <v>43</v>
      </c>
      <c r="C1063" s="2" t="s">
        <v>55</v>
      </c>
      <c r="D1063" s="2">
        <v>830</v>
      </c>
      <c r="E1063" s="2" t="s">
        <v>37</v>
      </c>
      <c r="F1063" s="2">
        <v>13</v>
      </c>
      <c r="G1063" s="2">
        <v>2</v>
      </c>
      <c r="H1063" s="2" t="s">
        <v>38</v>
      </c>
      <c r="I1063" s="2">
        <v>1</v>
      </c>
      <c r="J1063" s="2">
        <v>1495</v>
      </c>
      <c r="K1063" s="2">
        <v>4</v>
      </c>
      <c r="L1063" s="2" t="s">
        <v>39</v>
      </c>
      <c r="M1063" s="2">
        <v>78</v>
      </c>
      <c r="N1063" s="2">
        <v>3</v>
      </c>
      <c r="O1063" s="2">
        <v>1</v>
      </c>
      <c r="P1063" s="2" t="s">
        <v>57</v>
      </c>
      <c r="Q1063" s="2">
        <v>2</v>
      </c>
      <c r="R1063" s="2" t="s">
        <v>48</v>
      </c>
      <c r="S1063" s="2">
        <v>2033</v>
      </c>
      <c r="T1063" s="2">
        <v>7103</v>
      </c>
      <c r="U1063" s="2">
        <v>1</v>
      </c>
      <c r="V1063" s="2" t="s">
        <v>42</v>
      </c>
      <c r="W1063" s="2" t="s">
        <v>43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</row>
    <row r="1064" spans="1:35" x14ac:dyDescent="0.25">
      <c r="A1064" s="2">
        <v>44</v>
      </c>
      <c r="B1064" s="2" t="s">
        <v>43</v>
      </c>
      <c r="C1064" s="2" t="s">
        <v>44</v>
      </c>
      <c r="D1064" s="2">
        <v>1193</v>
      </c>
      <c r="E1064" s="2" t="s">
        <v>45</v>
      </c>
      <c r="F1064" s="2">
        <v>2</v>
      </c>
      <c r="G1064" s="2">
        <v>1</v>
      </c>
      <c r="H1064" s="2" t="s">
        <v>51</v>
      </c>
      <c r="I1064" s="2">
        <v>1</v>
      </c>
      <c r="J1064" s="2">
        <v>1496</v>
      </c>
      <c r="K1064" s="2">
        <v>2</v>
      </c>
      <c r="L1064" s="2" t="s">
        <v>46</v>
      </c>
      <c r="M1064" s="2">
        <v>86</v>
      </c>
      <c r="N1064" s="2">
        <v>3</v>
      </c>
      <c r="O1064" s="2">
        <v>3</v>
      </c>
      <c r="P1064" s="2" t="s">
        <v>53</v>
      </c>
      <c r="Q1064" s="2">
        <v>3</v>
      </c>
      <c r="R1064" s="2" t="s">
        <v>41</v>
      </c>
      <c r="S1064" s="2">
        <v>10209</v>
      </c>
      <c r="T1064" s="2">
        <v>19719</v>
      </c>
      <c r="U1064" s="2">
        <v>5</v>
      </c>
      <c r="V1064" s="2" t="s">
        <v>42</v>
      </c>
      <c r="W1064" s="2" t="s">
        <v>35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</row>
    <row r="1065" spans="1:35" x14ac:dyDescent="0.25">
      <c r="A1065" s="2">
        <v>29</v>
      </c>
      <c r="B1065" s="2" t="s">
        <v>43</v>
      </c>
      <c r="C1065" s="2" t="s">
        <v>36</v>
      </c>
      <c r="D1065" s="2">
        <v>1246</v>
      </c>
      <c r="E1065" s="2" t="s">
        <v>37</v>
      </c>
      <c r="F1065" s="2">
        <v>19</v>
      </c>
      <c r="G1065" s="2">
        <v>3</v>
      </c>
      <c r="H1065" s="2" t="s">
        <v>38</v>
      </c>
      <c r="I1065" s="2">
        <v>1</v>
      </c>
      <c r="J1065" s="2">
        <v>1497</v>
      </c>
      <c r="K1065" s="2">
        <v>3</v>
      </c>
      <c r="L1065" s="2" t="s">
        <v>46</v>
      </c>
      <c r="M1065" s="2">
        <v>77</v>
      </c>
      <c r="N1065" s="2">
        <v>2</v>
      </c>
      <c r="O1065" s="2">
        <v>2</v>
      </c>
      <c r="P1065" s="2" t="s">
        <v>40</v>
      </c>
      <c r="Q1065" s="2">
        <v>3</v>
      </c>
      <c r="R1065" s="2" t="s">
        <v>52</v>
      </c>
      <c r="S1065" s="2">
        <v>8620</v>
      </c>
      <c r="T1065" s="2">
        <v>23757</v>
      </c>
      <c r="U1065" s="2">
        <v>1</v>
      </c>
      <c r="V1065" s="2" t="s">
        <v>42</v>
      </c>
      <c r="W1065" s="2" t="s">
        <v>43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</row>
    <row r="1066" spans="1:35" x14ac:dyDescent="0.25">
      <c r="A1066" s="2">
        <v>30</v>
      </c>
      <c r="B1066" s="2" t="s">
        <v>43</v>
      </c>
      <c r="C1066" s="2" t="s">
        <v>36</v>
      </c>
      <c r="D1066" s="2">
        <v>330</v>
      </c>
      <c r="E1066" s="2" t="s">
        <v>61</v>
      </c>
      <c r="F1066" s="2">
        <v>1</v>
      </c>
      <c r="G1066" s="2">
        <v>3</v>
      </c>
      <c r="H1066" s="2" t="s">
        <v>38</v>
      </c>
      <c r="I1066" s="2">
        <v>1</v>
      </c>
      <c r="J1066" s="2">
        <v>1499</v>
      </c>
      <c r="K1066" s="2">
        <v>3</v>
      </c>
      <c r="L1066" s="2" t="s">
        <v>46</v>
      </c>
      <c r="M1066" s="2">
        <v>46</v>
      </c>
      <c r="N1066" s="2">
        <v>3</v>
      </c>
      <c r="O1066" s="2">
        <v>1</v>
      </c>
      <c r="P1066" s="2" t="s">
        <v>61</v>
      </c>
      <c r="Q1066" s="2">
        <v>3</v>
      </c>
      <c r="R1066" s="2" t="s">
        <v>52</v>
      </c>
      <c r="S1066" s="2">
        <v>2064</v>
      </c>
      <c r="T1066" s="2">
        <v>15428</v>
      </c>
      <c r="U1066" s="2">
        <v>0</v>
      </c>
      <c r="V1066" s="2" t="s">
        <v>42</v>
      </c>
      <c r="W1066" s="2" t="s">
        <v>43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</row>
    <row r="1067" spans="1:35" x14ac:dyDescent="0.25">
      <c r="A1067" s="2">
        <v>55</v>
      </c>
      <c r="B1067" s="2" t="s">
        <v>43</v>
      </c>
      <c r="C1067" s="2" t="s">
        <v>36</v>
      </c>
      <c r="D1067" s="2">
        <v>1229</v>
      </c>
      <c r="E1067" s="2" t="s">
        <v>45</v>
      </c>
      <c r="F1067" s="2">
        <v>4</v>
      </c>
      <c r="G1067" s="2">
        <v>4</v>
      </c>
      <c r="H1067" s="2" t="s">
        <v>38</v>
      </c>
      <c r="I1067" s="2">
        <v>1</v>
      </c>
      <c r="J1067" s="2">
        <v>1501</v>
      </c>
      <c r="K1067" s="2">
        <v>4</v>
      </c>
      <c r="L1067" s="2" t="s">
        <v>46</v>
      </c>
      <c r="M1067" s="2">
        <v>30</v>
      </c>
      <c r="N1067" s="2">
        <v>3</v>
      </c>
      <c r="O1067" s="2">
        <v>2</v>
      </c>
      <c r="P1067" s="2" t="s">
        <v>54</v>
      </c>
      <c r="Q1067" s="2">
        <v>3</v>
      </c>
      <c r="R1067" s="2" t="s">
        <v>48</v>
      </c>
      <c r="S1067" s="2">
        <v>4035</v>
      </c>
      <c r="T1067" s="2">
        <v>16143</v>
      </c>
      <c r="U1067" s="2">
        <v>0</v>
      </c>
      <c r="V1067" s="2" t="s">
        <v>42</v>
      </c>
      <c r="W1067" s="2" t="s">
        <v>35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</row>
    <row r="1068" spans="1:35" x14ac:dyDescent="0.25">
      <c r="A1068" s="2">
        <v>33</v>
      </c>
      <c r="B1068" s="2" t="s">
        <v>43</v>
      </c>
      <c r="C1068" s="2" t="s">
        <v>36</v>
      </c>
      <c r="D1068" s="2">
        <v>1099</v>
      </c>
      <c r="E1068" s="2" t="s">
        <v>45</v>
      </c>
      <c r="F1068" s="2">
        <v>4</v>
      </c>
      <c r="G1068" s="2">
        <v>4</v>
      </c>
      <c r="H1068" s="2" t="s">
        <v>51</v>
      </c>
      <c r="I1068" s="2">
        <v>1</v>
      </c>
      <c r="J1068" s="2">
        <v>1502</v>
      </c>
      <c r="K1068" s="2">
        <v>1</v>
      </c>
      <c r="L1068" s="2" t="s">
        <v>39</v>
      </c>
      <c r="M1068" s="2">
        <v>82</v>
      </c>
      <c r="N1068" s="2">
        <v>2</v>
      </c>
      <c r="O1068" s="2">
        <v>1</v>
      </c>
      <c r="P1068" s="2" t="s">
        <v>50</v>
      </c>
      <c r="Q1068" s="2">
        <v>2</v>
      </c>
      <c r="R1068" s="2" t="s">
        <v>48</v>
      </c>
      <c r="S1068" s="2">
        <v>3838</v>
      </c>
      <c r="T1068" s="2">
        <v>8192</v>
      </c>
      <c r="U1068" s="2">
        <v>8</v>
      </c>
      <c r="V1068" s="2" t="s">
        <v>42</v>
      </c>
      <c r="W1068" s="2" t="s">
        <v>43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</row>
    <row r="1069" spans="1:35" x14ac:dyDescent="0.25">
      <c r="A1069" s="2">
        <v>47</v>
      </c>
      <c r="B1069" s="2" t="s">
        <v>43</v>
      </c>
      <c r="C1069" s="2" t="s">
        <v>36</v>
      </c>
      <c r="D1069" s="2">
        <v>571</v>
      </c>
      <c r="E1069" s="2" t="s">
        <v>37</v>
      </c>
      <c r="F1069" s="2">
        <v>14</v>
      </c>
      <c r="G1069" s="2">
        <v>3</v>
      </c>
      <c r="H1069" s="2" t="s">
        <v>51</v>
      </c>
      <c r="I1069" s="2">
        <v>1</v>
      </c>
      <c r="J1069" s="2">
        <v>1503</v>
      </c>
      <c r="K1069" s="2">
        <v>3</v>
      </c>
      <c r="L1069" s="2" t="s">
        <v>39</v>
      </c>
      <c r="M1069" s="2">
        <v>78</v>
      </c>
      <c r="N1069" s="2">
        <v>3</v>
      </c>
      <c r="O1069" s="2">
        <v>2</v>
      </c>
      <c r="P1069" s="2" t="s">
        <v>40</v>
      </c>
      <c r="Q1069" s="2">
        <v>3</v>
      </c>
      <c r="R1069" s="2" t="s">
        <v>48</v>
      </c>
      <c r="S1069" s="2">
        <v>4591</v>
      </c>
      <c r="T1069" s="2">
        <v>24200</v>
      </c>
      <c r="U1069" s="2">
        <v>3</v>
      </c>
      <c r="V1069" s="2" t="s">
        <v>42</v>
      </c>
      <c r="W1069" s="2" t="s">
        <v>35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</row>
    <row r="1070" spans="1:35" x14ac:dyDescent="0.25">
      <c r="A1070" s="2">
        <v>28</v>
      </c>
      <c r="B1070" s="2" t="s">
        <v>35</v>
      </c>
      <c r="C1070" s="2" t="s">
        <v>44</v>
      </c>
      <c r="D1070" s="2">
        <v>289</v>
      </c>
      <c r="E1070" s="2" t="s">
        <v>45</v>
      </c>
      <c r="F1070" s="2">
        <v>2</v>
      </c>
      <c r="G1070" s="2">
        <v>2</v>
      </c>
      <c r="H1070" s="2" t="s">
        <v>51</v>
      </c>
      <c r="I1070" s="2">
        <v>1</v>
      </c>
      <c r="J1070" s="2">
        <v>1504</v>
      </c>
      <c r="K1070" s="2">
        <v>3</v>
      </c>
      <c r="L1070" s="2" t="s">
        <v>46</v>
      </c>
      <c r="M1070" s="2">
        <v>38</v>
      </c>
      <c r="N1070" s="2">
        <v>2</v>
      </c>
      <c r="O1070" s="2">
        <v>1</v>
      </c>
      <c r="P1070" s="2" t="s">
        <v>50</v>
      </c>
      <c r="Q1070" s="2">
        <v>1</v>
      </c>
      <c r="R1070" s="2" t="s">
        <v>41</v>
      </c>
      <c r="S1070" s="2">
        <v>2561</v>
      </c>
      <c r="T1070" s="2">
        <v>5355</v>
      </c>
      <c r="U1070" s="2">
        <v>7</v>
      </c>
      <c r="V1070" s="2" t="s">
        <v>42</v>
      </c>
      <c r="W1070" s="2" t="s">
        <v>43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</row>
    <row r="1071" spans="1:35" x14ac:dyDescent="0.25">
      <c r="A1071" s="2">
        <v>28</v>
      </c>
      <c r="B1071" s="2" t="s">
        <v>43</v>
      </c>
      <c r="C1071" s="2" t="s">
        <v>36</v>
      </c>
      <c r="D1071" s="2">
        <v>1423</v>
      </c>
      <c r="E1071" s="2" t="s">
        <v>45</v>
      </c>
      <c r="F1071" s="2">
        <v>1</v>
      </c>
      <c r="G1071" s="2">
        <v>3</v>
      </c>
      <c r="H1071" s="2" t="s">
        <v>38</v>
      </c>
      <c r="I1071" s="2">
        <v>1</v>
      </c>
      <c r="J1071" s="2">
        <v>1506</v>
      </c>
      <c r="K1071" s="2">
        <v>1</v>
      </c>
      <c r="L1071" s="2" t="s">
        <v>46</v>
      </c>
      <c r="M1071" s="2">
        <v>72</v>
      </c>
      <c r="N1071" s="2">
        <v>2</v>
      </c>
      <c r="O1071" s="2">
        <v>1</v>
      </c>
      <c r="P1071" s="2" t="s">
        <v>47</v>
      </c>
      <c r="Q1071" s="2">
        <v>3</v>
      </c>
      <c r="R1071" s="2" t="s">
        <v>52</v>
      </c>
      <c r="S1071" s="2">
        <v>1563</v>
      </c>
      <c r="T1071" s="2">
        <v>12530</v>
      </c>
      <c r="U1071" s="2">
        <v>1</v>
      </c>
      <c r="V1071" s="2" t="s">
        <v>42</v>
      </c>
      <c r="W1071" s="2" t="s">
        <v>43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</row>
    <row r="1072" spans="1:35" x14ac:dyDescent="0.25">
      <c r="A1072" s="2">
        <v>28</v>
      </c>
      <c r="B1072" s="2" t="s">
        <v>43</v>
      </c>
      <c r="C1072" s="2" t="s">
        <v>44</v>
      </c>
      <c r="D1072" s="2">
        <v>467</v>
      </c>
      <c r="E1072" s="2" t="s">
        <v>37</v>
      </c>
      <c r="F1072" s="2">
        <v>7</v>
      </c>
      <c r="G1072" s="2">
        <v>3</v>
      </c>
      <c r="H1072" s="2" t="s">
        <v>38</v>
      </c>
      <c r="I1072" s="2">
        <v>1</v>
      </c>
      <c r="J1072" s="2">
        <v>1507</v>
      </c>
      <c r="K1072" s="2">
        <v>3</v>
      </c>
      <c r="L1072" s="2" t="s">
        <v>46</v>
      </c>
      <c r="M1072" s="2">
        <v>55</v>
      </c>
      <c r="N1072" s="2">
        <v>3</v>
      </c>
      <c r="O1072" s="2">
        <v>2</v>
      </c>
      <c r="P1072" s="2" t="s">
        <v>40</v>
      </c>
      <c r="Q1072" s="2">
        <v>1</v>
      </c>
      <c r="R1072" s="2" t="s">
        <v>41</v>
      </c>
      <c r="S1072" s="2">
        <v>4898</v>
      </c>
      <c r="T1072" s="2">
        <v>11827</v>
      </c>
      <c r="U1072" s="2">
        <v>0</v>
      </c>
      <c r="V1072" s="2" t="s">
        <v>42</v>
      </c>
      <c r="W1072" s="2" t="s">
        <v>43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</row>
    <row r="1073" spans="1:35" x14ac:dyDescent="0.25">
      <c r="A1073" s="2">
        <v>49</v>
      </c>
      <c r="B1073" s="2" t="s">
        <v>43</v>
      </c>
      <c r="C1073" s="2" t="s">
        <v>36</v>
      </c>
      <c r="D1073" s="2">
        <v>271</v>
      </c>
      <c r="E1073" s="2" t="s">
        <v>45</v>
      </c>
      <c r="F1073" s="2">
        <v>3</v>
      </c>
      <c r="G1073" s="2">
        <v>2</v>
      </c>
      <c r="H1073" s="2" t="s">
        <v>51</v>
      </c>
      <c r="I1073" s="2">
        <v>1</v>
      </c>
      <c r="J1073" s="2">
        <v>1509</v>
      </c>
      <c r="K1073" s="2">
        <v>3</v>
      </c>
      <c r="L1073" s="2" t="s">
        <v>39</v>
      </c>
      <c r="M1073" s="2">
        <v>43</v>
      </c>
      <c r="N1073" s="2">
        <v>2</v>
      </c>
      <c r="O1073" s="2">
        <v>2</v>
      </c>
      <c r="P1073" s="2" t="s">
        <v>50</v>
      </c>
      <c r="Q1073" s="2">
        <v>1</v>
      </c>
      <c r="R1073" s="2" t="s">
        <v>48</v>
      </c>
      <c r="S1073" s="2">
        <v>4789</v>
      </c>
      <c r="T1073" s="2">
        <v>23070</v>
      </c>
      <c r="U1073" s="2">
        <v>4</v>
      </c>
      <c r="V1073" s="2" t="s">
        <v>42</v>
      </c>
      <c r="W1073" s="2" t="s">
        <v>43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</row>
    <row r="1074" spans="1:35" x14ac:dyDescent="0.25">
      <c r="A1074" s="2">
        <v>29</v>
      </c>
      <c r="B1074" s="2" t="s">
        <v>43</v>
      </c>
      <c r="C1074" s="2" t="s">
        <v>44</v>
      </c>
      <c r="D1074" s="2">
        <v>410</v>
      </c>
      <c r="E1074" s="2" t="s">
        <v>45</v>
      </c>
      <c r="F1074" s="2">
        <v>2</v>
      </c>
      <c r="G1074" s="2">
        <v>1</v>
      </c>
      <c r="H1074" s="2" t="s">
        <v>38</v>
      </c>
      <c r="I1074" s="2">
        <v>1</v>
      </c>
      <c r="J1074" s="2">
        <v>1513</v>
      </c>
      <c r="K1074" s="2">
        <v>4</v>
      </c>
      <c r="L1074" s="2" t="s">
        <v>39</v>
      </c>
      <c r="M1074" s="2">
        <v>97</v>
      </c>
      <c r="N1074" s="2">
        <v>3</v>
      </c>
      <c r="O1074" s="2">
        <v>1</v>
      </c>
      <c r="P1074" s="2" t="s">
        <v>50</v>
      </c>
      <c r="Q1074" s="2">
        <v>2</v>
      </c>
      <c r="R1074" s="2" t="s">
        <v>48</v>
      </c>
      <c r="S1074" s="2">
        <v>3180</v>
      </c>
      <c r="T1074" s="2">
        <v>4668</v>
      </c>
      <c r="U1074" s="2">
        <v>0</v>
      </c>
      <c r="V1074" s="2" t="s">
        <v>42</v>
      </c>
      <c r="W1074" s="2" t="s">
        <v>43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</row>
    <row r="1075" spans="1:35" x14ac:dyDescent="0.25">
      <c r="A1075" s="2">
        <v>28</v>
      </c>
      <c r="B1075" s="2" t="s">
        <v>43</v>
      </c>
      <c r="C1075" s="2" t="s">
        <v>36</v>
      </c>
      <c r="D1075" s="2">
        <v>1083</v>
      </c>
      <c r="E1075" s="2" t="s">
        <v>45</v>
      </c>
      <c r="F1075" s="2">
        <v>29</v>
      </c>
      <c r="G1075" s="2">
        <v>1</v>
      </c>
      <c r="H1075" s="2" t="s">
        <v>38</v>
      </c>
      <c r="I1075" s="2">
        <v>1</v>
      </c>
      <c r="J1075" s="2">
        <v>1514</v>
      </c>
      <c r="K1075" s="2">
        <v>3</v>
      </c>
      <c r="L1075" s="2" t="s">
        <v>46</v>
      </c>
      <c r="M1075" s="2">
        <v>96</v>
      </c>
      <c r="N1075" s="2">
        <v>1</v>
      </c>
      <c r="O1075" s="2">
        <v>2</v>
      </c>
      <c r="P1075" s="2" t="s">
        <v>53</v>
      </c>
      <c r="Q1075" s="2">
        <v>2</v>
      </c>
      <c r="R1075" s="2" t="s">
        <v>48</v>
      </c>
      <c r="S1075" s="2">
        <v>6549</v>
      </c>
      <c r="T1075" s="2">
        <v>3173</v>
      </c>
      <c r="U1075" s="2">
        <v>1</v>
      </c>
      <c r="V1075" s="2" t="s">
        <v>42</v>
      </c>
      <c r="W1075" s="2" t="s">
        <v>43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</row>
    <row r="1076" spans="1:35" x14ac:dyDescent="0.25">
      <c r="A1076" s="2">
        <v>33</v>
      </c>
      <c r="B1076" s="2" t="s">
        <v>43</v>
      </c>
      <c r="C1076" s="2" t="s">
        <v>36</v>
      </c>
      <c r="D1076" s="2">
        <v>516</v>
      </c>
      <c r="E1076" s="2" t="s">
        <v>45</v>
      </c>
      <c r="F1076" s="2">
        <v>8</v>
      </c>
      <c r="G1076" s="2">
        <v>5</v>
      </c>
      <c r="H1076" s="2" t="s">
        <v>38</v>
      </c>
      <c r="I1076" s="2">
        <v>1</v>
      </c>
      <c r="J1076" s="2">
        <v>1515</v>
      </c>
      <c r="K1076" s="2">
        <v>4</v>
      </c>
      <c r="L1076" s="2" t="s">
        <v>46</v>
      </c>
      <c r="M1076" s="2">
        <v>69</v>
      </c>
      <c r="N1076" s="2">
        <v>3</v>
      </c>
      <c r="O1076" s="2">
        <v>2</v>
      </c>
      <c r="P1076" s="2" t="s">
        <v>54</v>
      </c>
      <c r="Q1076" s="2">
        <v>3</v>
      </c>
      <c r="R1076" s="2" t="s">
        <v>41</v>
      </c>
      <c r="S1076" s="2">
        <v>6388</v>
      </c>
      <c r="T1076" s="2">
        <v>22049</v>
      </c>
      <c r="U1076" s="2">
        <v>2</v>
      </c>
      <c r="V1076" s="2" t="s">
        <v>42</v>
      </c>
      <c r="W1076" s="2" t="s">
        <v>35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</row>
    <row r="1077" spans="1:35" x14ac:dyDescent="0.25">
      <c r="A1077" s="2">
        <v>32</v>
      </c>
      <c r="B1077" s="2" t="s">
        <v>43</v>
      </c>
      <c r="C1077" s="2" t="s">
        <v>36</v>
      </c>
      <c r="D1077" s="2">
        <v>495</v>
      </c>
      <c r="E1077" s="2" t="s">
        <v>45</v>
      </c>
      <c r="F1077" s="2">
        <v>10</v>
      </c>
      <c r="G1077" s="2">
        <v>3</v>
      </c>
      <c r="H1077" s="2" t="s">
        <v>51</v>
      </c>
      <c r="I1077" s="2">
        <v>1</v>
      </c>
      <c r="J1077" s="2">
        <v>1516</v>
      </c>
      <c r="K1077" s="2">
        <v>3</v>
      </c>
      <c r="L1077" s="2" t="s">
        <v>46</v>
      </c>
      <c r="M1077" s="2">
        <v>64</v>
      </c>
      <c r="N1077" s="2">
        <v>3</v>
      </c>
      <c r="O1077" s="2">
        <v>3</v>
      </c>
      <c r="P1077" s="2" t="s">
        <v>56</v>
      </c>
      <c r="Q1077" s="2">
        <v>4</v>
      </c>
      <c r="R1077" s="2" t="s">
        <v>41</v>
      </c>
      <c r="S1077" s="2">
        <v>11244</v>
      </c>
      <c r="T1077" s="2">
        <v>21072</v>
      </c>
      <c r="U1077" s="2">
        <v>2</v>
      </c>
      <c r="V1077" s="2" t="s">
        <v>42</v>
      </c>
      <c r="W1077" s="2" t="s">
        <v>43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</row>
    <row r="1078" spans="1:35" x14ac:dyDescent="0.25">
      <c r="A1078" s="2">
        <v>54</v>
      </c>
      <c r="B1078" s="2" t="s">
        <v>43</v>
      </c>
      <c r="C1078" s="2" t="s">
        <v>44</v>
      </c>
      <c r="D1078" s="2">
        <v>1050</v>
      </c>
      <c r="E1078" s="2" t="s">
        <v>45</v>
      </c>
      <c r="F1078" s="2">
        <v>11</v>
      </c>
      <c r="G1078" s="2">
        <v>4</v>
      </c>
      <c r="H1078" s="2" t="s">
        <v>51</v>
      </c>
      <c r="I1078" s="2">
        <v>1</v>
      </c>
      <c r="J1078" s="2">
        <v>1520</v>
      </c>
      <c r="K1078" s="2">
        <v>2</v>
      </c>
      <c r="L1078" s="2" t="s">
        <v>39</v>
      </c>
      <c r="M1078" s="2">
        <v>87</v>
      </c>
      <c r="N1078" s="2">
        <v>3</v>
      </c>
      <c r="O1078" s="2">
        <v>4</v>
      </c>
      <c r="P1078" s="2" t="s">
        <v>56</v>
      </c>
      <c r="Q1078" s="2">
        <v>4</v>
      </c>
      <c r="R1078" s="2" t="s">
        <v>52</v>
      </c>
      <c r="S1078" s="2">
        <v>16032</v>
      </c>
      <c r="T1078" s="2">
        <v>24456</v>
      </c>
      <c r="U1078" s="2">
        <v>3</v>
      </c>
      <c r="V1078" s="2" t="s">
        <v>42</v>
      </c>
      <c r="W1078" s="2" t="s">
        <v>43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</row>
    <row r="1079" spans="1:35" x14ac:dyDescent="0.25">
      <c r="A1079" s="2">
        <v>29</v>
      </c>
      <c r="B1079" s="2" t="s">
        <v>35</v>
      </c>
      <c r="C1079" s="2" t="s">
        <v>36</v>
      </c>
      <c r="D1079" s="2">
        <v>224</v>
      </c>
      <c r="E1079" s="2" t="s">
        <v>45</v>
      </c>
      <c r="F1079" s="2">
        <v>1</v>
      </c>
      <c r="G1079" s="2">
        <v>4</v>
      </c>
      <c r="H1079" s="2" t="s">
        <v>60</v>
      </c>
      <c r="I1079" s="2">
        <v>1</v>
      </c>
      <c r="J1079" s="2">
        <v>1522</v>
      </c>
      <c r="K1079" s="2">
        <v>1</v>
      </c>
      <c r="L1079" s="2" t="s">
        <v>46</v>
      </c>
      <c r="M1079" s="2">
        <v>100</v>
      </c>
      <c r="N1079" s="2">
        <v>2</v>
      </c>
      <c r="O1079" s="2">
        <v>1</v>
      </c>
      <c r="P1079" s="2" t="s">
        <v>47</v>
      </c>
      <c r="Q1079" s="2">
        <v>1</v>
      </c>
      <c r="R1079" s="2" t="s">
        <v>41</v>
      </c>
      <c r="S1079" s="2">
        <v>2362</v>
      </c>
      <c r="T1079" s="2">
        <v>7568</v>
      </c>
      <c r="U1079" s="2">
        <v>6</v>
      </c>
      <c r="V1079" s="2" t="s">
        <v>42</v>
      </c>
      <c r="W1079" s="2" t="s">
        <v>43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</row>
    <row r="1080" spans="1:35" x14ac:dyDescent="0.25">
      <c r="A1080" s="2">
        <v>44</v>
      </c>
      <c r="B1080" s="2" t="s">
        <v>43</v>
      </c>
      <c r="C1080" s="2" t="s">
        <v>36</v>
      </c>
      <c r="D1080" s="2">
        <v>136</v>
      </c>
      <c r="E1080" s="2" t="s">
        <v>45</v>
      </c>
      <c r="F1080" s="2">
        <v>28</v>
      </c>
      <c r="G1080" s="2">
        <v>3</v>
      </c>
      <c r="H1080" s="2" t="s">
        <v>38</v>
      </c>
      <c r="I1080" s="2">
        <v>1</v>
      </c>
      <c r="J1080" s="2">
        <v>1523</v>
      </c>
      <c r="K1080" s="2">
        <v>4</v>
      </c>
      <c r="L1080" s="2" t="s">
        <v>46</v>
      </c>
      <c r="M1080" s="2">
        <v>32</v>
      </c>
      <c r="N1080" s="2">
        <v>3</v>
      </c>
      <c r="O1080" s="2">
        <v>4</v>
      </c>
      <c r="P1080" s="2" t="s">
        <v>58</v>
      </c>
      <c r="Q1080" s="2">
        <v>1</v>
      </c>
      <c r="R1080" s="2" t="s">
        <v>48</v>
      </c>
      <c r="S1080" s="2">
        <v>16328</v>
      </c>
      <c r="T1080" s="2">
        <v>22074</v>
      </c>
      <c r="U1080" s="2">
        <v>3</v>
      </c>
      <c r="V1080" s="2" t="s">
        <v>42</v>
      </c>
      <c r="W1080" s="2" t="s">
        <v>43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</row>
    <row r="1081" spans="1:35" x14ac:dyDescent="0.25">
      <c r="A1081" s="2">
        <v>39</v>
      </c>
      <c r="B1081" s="2" t="s">
        <v>43</v>
      </c>
      <c r="C1081" s="2" t="s">
        <v>36</v>
      </c>
      <c r="D1081" s="2">
        <v>1089</v>
      </c>
      <c r="E1081" s="2" t="s">
        <v>45</v>
      </c>
      <c r="F1081" s="2">
        <v>6</v>
      </c>
      <c r="G1081" s="2">
        <v>3</v>
      </c>
      <c r="H1081" s="2" t="s">
        <v>38</v>
      </c>
      <c r="I1081" s="2">
        <v>1</v>
      </c>
      <c r="J1081" s="2">
        <v>1525</v>
      </c>
      <c r="K1081" s="2">
        <v>2</v>
      </c>
      <c r="L1081" s="2" t="s">
        <v>39</v>
      </c>
      <c r="M1081" s="2">
        <v>32</v>
      </c>
      <c r="N1081" s="2">
        <v>3</v>
      </c>
      <c r="O1081" s="2">
        <v>3</v>
      </c>
      <c r="P1081" s="2" t="s">
        <v>53</v>
      </c>
      <c r="Q1081" s="2">
        <v>2</v>
      </c>
      <c r="R1081" s="2" t="s">
        <v>41</v>
      </c>
      <c r="S1081" s="2">
        <v>8376</v>
      </c>
      <c r="T1081" s="2">
        <v>9150</v>
      </c>
      <c r="U1081" s="2">
        <v>4</v>
      </c>
      <c r="V1081" s="2" t="s">
        <v>42</v>
      </c>
      <c r="W1081" s="2" t="s">
        <v>43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</row>
    <row r="1082" spans="1:35" x14ac:dyDescent="0.25">
      <c r="A1082" s="2">
        <v>46</v>
      </c>
      <c r="B1082" s="2" t="s">
        <v>43</v>
      </c>
      <c r="C1082" s="2" t="s">
        <v>36</v>
      </c>
      <c r="D1082" s="2">
        <v>228</v>
      </c>
      <c r="E1082" s="2" t="s">
        <v>37</v>
      </c>
      <c r="F1082" s="2">
        <v>3</v>
      </c>
      <c r="G1082" s="2">
        <v>3</v>
      </c>
      <c r="H1082" s="2" t="s">
        <v>38</v>
      </c>
      <c r="I1082" s="2">
        <v>1</v>
      </c>
      <c r="J1082" s="2">
        <v>1527</v>
      </c>
      <c r="K1082" s="2">
        <v>3</v>
      </c>
      <c r="L1082" s="2" t="s">
        <v>39</v>
      </c>
      <c r="M1082" s="2">
        <v>51</v>
      </c>
      <c r="N1082" s="2">
        <v>3</v>
      </c>
      <c r="O1082" s="2">
        <v>4</v>
      </c>
      <c r="P1082" s="2" t="s">
        <v>56</v>
      </c>
      <c r="Q1082" s="2">
        <v>2</v>
      </c>
      <c r="R1082" s="2" t="s">
        <v>48</v>
      </c>
      <c r="S1082" s="2">
        <v>16606</v>
      </c>
      <c r="T1082" s="2">
        <v>11380</v>
      </c>
      <c r="U1082" s="2">
        <v>8</v>
      </c>
      <c r="V1082" s="2" t="s">
        <v>42</v>
      </c>
      <c r="W1082" s="2" t="s">
        <v>43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</row>
    <row r="1083" spans="1:35" x14ac:dyDescent="0.25">
      <c r="A1083" s="2">
        <v>35</v>
      </c>
      <c r="B1083" s="2" t="s">
        <v>43</v>
      </c>
      <c r="C1083" s="2" t="s">
        <v>36</v>
      </c>
      <c r="D1083" s="2">
        <v>1029</v>
      </c>
      <c r="E1083" s="2" t="s">
        <v>45</v>
      </c>
      <c r="F1083" s="2">
        <v>16</v>
      </c>
      <c r="G1083" s="2">
        <v>3</v>
      </c>
      <c r="H1083" s="2" t="s">
        <v>38</v>
      </c>
      <c r="I1083" s="2">
        <v>1</v>
      </c>
      <c r="J1083" s="2">
        <v>1529</v>
      </c>
      <c r="K1083" s="2">
        <v>4</v>
      </c>
      <c r="L1083" s="2" t="s">
        <v>39</v>
      </c>
      <c r="M1083" s="2">
        <v>91</v>
      </c>
      <c r="N1083" s="2">
        <v>2</v>
      </c>
      <c r="O1083" s="2">
        <v>3</v>
      </c>
      <c r="P1083" s="2" t="s">
        <v>54</v>
      </c>
      <c r="Q1083" s="2">
        <v>2</v>
      </c>
      <c r="R1083" s="2" t="s">
        <v>41</v>
      </c>
      <c r="S1083" s="2">
        <v>8606</v>
      </c>
      <c r="T1083" s="2">
        <v>21195</v>
      </c>
      <c r="U1083" s="2">
        <v>1</v>
      </c>
      <c r="V1083" s="2" t="s">
        <v>42</v>
      </c>
      <c r="W1083" s="2" t="s">
        <v>43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</row>
    <row r="1084" spans="1:35" x14ac:dyDescent="0.25">
      <c r="A1084" s="2">
        <v>23</v>
      </c>
      <c r="B1084" s="2" t="s">
        <v>43</v>
      </c>
      <c r="C1084" s="2" t="s">
        <v>36</v>
      </c>
      <c r="D1084" s="2">
        <v>507</v>
      </c>
      <c r="E1084" s="2" t="s">
        <v>45</v>
      </c>
      <c r="F1084" s="2">
        <v>20</v>
      </c>
      <c r="G1084" s="2">
        <v>1</v>
      </c>
      <c r="H1084" s="2" t="s">
        <v>38</v>
      </c>
      <c r="I1084" s="2">
        <v>1</v>
      </c>
      <c r="J1084" s="2">
        <v>1533</v>
      </c>
      <c r="K1084" s="2">
        <v>1</v>
      </c>
      <c r="L1084" s="2" t="s">
        <v>46</v>
      </c>
      <c r="M1084" s="2">
        <v>97</v>
      </c>
      <c r="N1084" s="2">
        <v>3</v>
      </c>
      <c r="O1084" s="2">
        <v>2</v>
      </c>
      <c r="P1084" s="2" t="s">
        <v>50</v>
      </c>
      <c r="Q1084" s="2">
        <v>3</v>
      </c>
      <c r="R1084" s="2" t="s">
        <v>41</v>
      </c>
      <c r="S1084" s="2">
        <v>2272</v>
      </c>
      <c r="T1084" s="2">
        <v>24812</v>
      </c>
      <c r="U1084" s="2">
        <v>0</v>
      </c>
      <c r="V1084" s="2" t="s">
        <v>42</v>
      </c>
      <c r="W1084" s="2" t="s">
        <v>43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</row>
    <row r="1085" spans="1:35" x14ac:dyDescent="0.25">
      <c r="A1085" s="2">
        <v>40</v>
      </c>
      <c r="B1085" s="2" t="s">
        <v>35</v>
      </c>
      <c r="C1085" s="2" t="s">
        <v>36</v>
      </c>
      <c r="D1085" s="2">
        <v>676</v>
      </c>
      <c r="E1085" s="2" t="s">
        <v>45</v>
      </c>
      <c r="F1085" s="2">
        <v>9</v>
      </c>
      <c r="G1085" s="2">
        <v>4</v>
      </c>
      <c r="H1085" s="2" t="s">
        <v>38</v>
      </c>
      <c r="I1085" s="2">
        <v>1</v>
      </c>
      <c r="J1085" s="2">
        <v>1534</v>
      </c>
      <c r="K1085" s="2">
        <v>4</v>
      </c>
      <c r="L1085" s="2" t="s">
        <v>46</v>
      </c>
      <c r="M1085" s="2">
        <v>86</v>
      </c>
      <c r="N1085" s="2">
        <v>3</v>
      </c>
      <c r="O1085" s="2">
        <v>1</v>
      </c>
      <c r="P1085" s="2" t="s">
        <v>50</v>
      </c>
      <c r="Q1085" s="2">
        <v>1</v>
      </c>
      <c r="R1085" s="2" t="s">
        <v>41</v>
      </c>
      <c r="S1085" s="2">
        <v>2018</v>
      </c>
      <c r="T1085" s="2">
        <v>21831</v>
      </c>
      <c r="U1085" s="2">
        <v>3</v>
      </c>
      <c r="V1085" s="2" t="s">
        <v>42</v>
      </c>
      <c r="W1085" s="2" t="s">
        <v>43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</row>
    <row r="1086" spans="1:35" x14ac:dyDescent="0.25">
      <c r="A1086" s="2">
        <v>34</v>
      </c>
      <c r="B1086" s="2" t="s">
        <v>43</v>
      </c>
      <c r="C1086" s="2" t="s">
        <v>36</v>
      </c>
      <c r="D1086" s="2">
        <v>971</v>
      </c>
      <c r="E1086" s="2" t="s">
        <v>37</v>
      </c>
      <c r="F1086" s="2">
        <v>1</v>
      </c>
      <c r="G1086" s="2">
        <v>3</v>
      </c>
      <c r="H1086" s="2" t="s">
        <v>60</v>
      </c>
      <c r="I1086" s="2">
        <v>1</v>
      </c>
      <c r="J1086" s="2">
        <v>1535</v>
      </c>
      <c r="K1086" s="2">
        <v>4</v>
      </c>
      <c r="L1086" s="2" t="s">
        <v>46</v>
      </c>
      <c r="M1086" s="2">
        <v>64</v>
      </c>
      <c r="N1086" s="2">
        <v>2</v>
      </c>
      <c r="O1086" s="2">
        <v>3</v>
      </c>
      <c r="P1086" s="2" t="s">
        <v>40</v>
      </c>
      <c r="Q1086" s="2">
        <v>3</v>
      </c>
      <c r="R1086" s="2" t="s">
        <v>48</v>
      </c>
      <c r="S1086" s="2">
        <v>7083</v>
      </c>
      <c r="T1086" s="2">
        <v>12288</v>
      </c>
      <c r="U1086" s="2">
        <v>1</v>
      </c>
      <c r="V1086" s="2" t="s">
        <v>42</v>
      </c>
      <c r="W1086" s="2" t="s">
        <v>35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</row>
    <row r="1087" spans="1:35" x14ac:dyDescent="0.25">
      <c r="A1087" s="2">
        <v>31</v>
      </c>
      <c r="B1087" s="2" t="s">
        <v>35</v>
      </c>
      <c r="C1087" s="2" t="s">
        <v>44</v>
      </c>
      <c r="D1087" s="2">
        <v>561</v>
      </c>
      <c r="E1087" s="2" t="s">
        <v>45</v>
      </c>
      <c r="F1087" s="2">
        <v>3</v>
      </c>
      <c r="G1087" s="2">
        <v>3</v>
      </c>
      <c r="H1087" s="2" t="s">
        <v>38</v>
      </c>
      <c r="I1087" s="2">
        <v>1</v>
      </c>
      <c r="J1087" s="2">
        <v>1537</v>
      </c>
      <c r="K1087" s="2">
        <v>4</v>
      </c>
      <c r="L1087" s="2" t="s">
        <v>39</v>
      </c>
      <c r="M1087" s="2">
        <v>33</v>
      </c>
      <c r="N1087" s="2">
        <v>3</v>
      </c>
      <c r="O1087" s="2">
        <v>1</v>
      </c>
      <c r="P1087" s="2" t="s">
        <v>47</v>
      </c>
      <c r="Q1087" s="2">
        <v>3</v>
      </c>
      <c r="R1087" s="2" t="s">
        <v>41</v>
      </c>
      <c r="S1087" s="2">
        <v>4084</v>
      </c>
      <c r="T1087" s="2">
        <v>4156</v>
      </c>
      <c r="U1087" s="2">
        <v>1</v>
      </c>
      <c r="V1087" s="2" t="s">
        <v>42</v>
      </c>
      <c r="W1087" s="2" t="s">
        <v>43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</row>
    <row r="1088" spans="1:35" x14ac:dyDescent="0.25">
      <c r="A1088" s="2">
        <v>50</v>
      </c>
      <c r="B1088" s="2" t="s">
        <v>43</v>
      </c>
      <c r="C1088" s="2" t="s">
        <v>44</v>
      </c>
      <c r="D1088" s="2">
        <v>333</v>
      </c>
      <c r="E1088" s="2" t="s">
        <v>45</v>
      </c>
      <c r="F1088" s="2">
        <v>22</v>
      </c>
      <c r="G1088" s="2">
        <v>5</v>
      </c>
      <c r="H1088" s="2" t="s">
        <v>51</v>
      </c>
      <c r="I1088" s="2">
        <v>1</v>
      </c>
      <c r="J1088" s="2">
        <v>1539</v>
      </c>
      <c r="K1088" s="2">
        <v>3</v>
      </c>
      <c r="L1088" s="2" t="s">
        <v>46</v>
      </c>
      <c r="M1088" s="2">
        <v>88</v>
      </c>
      <c r="N1088" s="2">
        <v>1</v>
      </c>
      <c r="O1088" s="2">
        <v>4</v>
      </c>
      <c r="P1088" s="2" t="s">
        <v>58</v>
      </c>
      <c r="Q1088" s="2">
        <v>4</v>
      </c>
      <c r="R1088" s="2" t="s">
        <v>41</v>
      </c>
      <c r="S1088" s="2">
        <v>14411</v>
      </c>
      <c r="T1088" s="2">
        <v>24450</v>
      </c>
      <c r="U1088" s="2">
        <v>1</v>
      </c>
      <c r="V1088" s="2" t="s">
        <v>42</v>
      </c>
      <c r="W1088" s="2" t="s">
        <v>35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</row>
    <row r="1089" spans="1:35" x14ac:dyDescent="0.25">
      <c r="A1089" s="2">
        <v>34</v>
      </c>
      <c r="B1089" s="2" t="s">
        <v>43</v>
      </c>
      <c r="C1089" s="2" t="s">
        <v>36</v>
      </c>
      <c r="D1089" s="2">
        <v>1440</v>
      </c>
      <c r="E1089" s="2" t="s">
        <v>37</v>
      </c>
      <c r="F1089" s="2">
        <v>7</v>
      </c>
      <c r="G1089" s="2">
        <v>2</v>
      </c>
      <c r="H1089" s="2" t="s">
        <v>60</v>
      </c>
      <c r="I1089" s="2">
        <v>1</v>
      </c>
      <c r="J1089" s="2">
        <v>1541</v>
      </c>
      <c r="K1089" s="2">
        <v>2</v>
      </c>
      <c r="L1089" s="2" t="s">
        <v>46</v>
      </c>
      <c r="M1089" s="2">
        <v>55</v>
      </c>
      <c r="N1089" s="2">
        <v>3</v>
      </c>
      <c r="O1089" s="2">
        <v>1</v>
      </c>
      <c r="P1089" s="2" t="s">
        <v>57</v>
      </c>
      <c r="Q1089" s="2">
        <v>3</v>
      </c>
      <c r="R1089" s="2" t="s">
        <v>48</v>
      </c>
      <c r="S1089" s="2">
        <v>2308</v>
      </c>
      <c r="T1089" s="2">
        <v>4944</v>
      </c>
      <c r="U1089" s="2">
        <v>0</v>
      </c>
      <c r="V1089" s="2" t="s">
        <v>42</v>
      </c>
      <c r="W1089" s="2" t="s">
        <v>35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</row>
    <row r="1090" spans="1:35" x14ac:dyDescent="0.25">
      <c r="A1090" s="2">
        <v>42</v>
      </c>
      <c r="B1090" s="2" t="s">
        <v>43</v>
      </c>
      <c r="C1090" s="2" t="s">
        <v>36</v>
      </c>
      <c r="D1090" s="2">
        <v>1210</v>
      </c>
      <c r="E1090" s="2" t="s">
        <v>45</v>
      </c>
      <c r="F1090" s="2">
        <v>2</v>
      </c>
      <c r="G1090" s="2">
        <v>3</v>
      </c>
      <c r="H1090" s="2" t="s">
        <v>51</v>
      </c>
      <c r="I1090" s="2">
        <v>1</v>
      </c>
      <c r="J1090" s="2">
        <v>1542</v>
      </c>
      <c r="K1090" s="2">
        <v>3</v>
      </c>
      <c r="L1090" s="2" t="s">
        <v>46</v>
      </c>
      <c r="M1090" s="2">
        <v>68</v>
      </c>
      <c r="N1090" s="2">
        <v>2</v>
      </c>
      <c r="O1090" s="2">
        <v>1</v>
      </c>
      <c r="P1090" s="2" t="s">
        <v>50</v>
      </c>
      <c r="Q1090" s="2">
        <v>2</v>
      </c>
      <c r="R1090" s="2" t="s">
        <v>48</v>
      </c>
      <c r="S1090" s="2">
        <v>4841</v>
      </c>
      <c r="T1090" s="2">
        <v>24052</v>
      </c>
      <c r="U1090" s="2">
        <v>4</v>
      </c>
      <c r="V1090" s="2" t="s">
        <v>42</v>
      </c>
      <c r="W1090" s="2" t="s">
        <v>43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</row>
    <row r="1091" spans="1:35" x14ac:dyDescent="0.25">
      <c r="A1091" s="2">
        <v>37</v>
      </c>
      <c r="B1091" s="2" t="s">
        <v>43</v>
      </c>
      <c r="C1091" s="2" t="s">
        <v>36</v>
      </c>
      <c r="D1091" s="2">
        <v>674</v>
      </c>
      <c r="E1091" s="2" t="s">
        <v>45</v>
      </c>
      <c r="F1091" s="2">
        <v>13</v>
      </c>
      <c r="G1091" s="2">
        <v>3</v>
      </c>
      <c r="H1091" s="2" t="s">
        <v>51</v>
      </c>
      <c r="I1091" s="2">
        <v>1</v>
      </c>
      <c r="J1091" s="2">
        <v>1543</v>
      </c>
      <c r="K1091" s="2">
        <v>1</v>
      </c>
      <c r="L1091" s="2" t="s">
        <v>46</v>
      </c>
      <c r="M1091" s="2">
        <v>47</v>
      </c>
      <c r="N1091" s="2">
        <v>3</v>
      </c>
      <c r="O1091" s="2">
        <v>2</v>
      </c>
      <c r="P1091" s="2" t="s">
        <v>47</v>
      </c>
      <c r="Q1091" s="2">
        <v>4</v>
      </c>
      <c r="R1091" s="2" t="s">
        <v>48</v>
      </c>
      <c r="S1091" s="2">
        <v>4285</v>
      </c>
      <c r="T1091" s="2">
        <v>3031</v>
      </c>
      <c r="U1091" s="2">
        <v>1</v>
      </c>
      <c r="V1091" s="2" t="s">
        <v>42</v>
      </c>
      <c r="W1091" s="2" t="s">
        <v>43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</row>
    <row r="1092" spans="1:35" x14ac:dyDescent="0.25">
      <c r="A1092" s="2">
        <v>29</v>
      </c>
      <c r="B1092" s="2" t="s">
        <v>43</v>
      </c>
      <c r="C1092" s="2" t="s">
        <v>36</v>
      </c>
      <c r="D1092" s="2">
        <v>441</v>
      </c>
      <c r="E1092" s="2" t="s">
        <v>45</v>
      </c>
      <c r="F1092" s="2">
        <v>8</v>
      </c>
      <c r="G1092" s="2">
        <v>1</v>
      </c>
      <c r="H1092" s="2" t="s">
        <v>49</v>
      </c>
      <c r="I1092" s="2">
        <v>1</v>
      </c>
      <c r="J1092" s="2">
        <v>1544</v>
      </c>
      <c r="K1092" s="2">
        <v>3</v>
      </c>
      <c r="L1092" s="2" t="s">
        <v>39</v>
      </c>
      <c r="M1092" s="2">
        <v>39</v>
      </c>
      <c r="N1092" s="2">
        <v>1</v>
      </c>
      <c r="O1092" s="2">
        <v>2</v>
      </c>
      <c r="P1092" s="2" t="s">
        <v>54</v>
      </c>
      <c r="Q1092" s="2">
        <v>1</v>
      </c>
      <c r="R1092" s="2" t="s">
        <v>48</v>
      </c>
      <c r="S1092" s="2">
        <v>9715</v>
      </c>
      <c r="T1092" s="2">
        <v>7288</v>
      </c>
      <c r="U1092" s="2">
        <v>3</v>
      </c>
      <c r="V1092" s="2" t="s">
        <v>42</v>
      </c>
      <c r="W1092" s="2" t="s">
        <v>43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</row>
    <row r="1093" spans="1:35" x14ac:dyDescent="0.25">
      <c r="A1093" s="2">
        <v>33</v>
      </c>
      <c r="B1093" s="2" t="s">
        <v>43</v>
      </c>
      <c r="C1093" s="2" t="s">
        <v>36</v>
      </c>
      <c r="D1093" s="2">
        <v>575</v>
      </c>
      <c r="E1093" s="2" t="s">
        <v>45</v>
      </c>
      <c r="F1093" s="2">
        <v>25</v>
      </c>
      <c r="G1093" s="2">
        <v>3</v>
      </c>
      <c r="H1093" s="2" t="s">
        <v>38</v>
      </c>
      <c r="I1093" s="2">
        <v>1</v>
      </c>
      <c r="J1093" s="2">
        <v>1545</v>
      </c>
      <c r="K1093" s="2">
        <v>4</v>
      </c>
      <c r="L1093" s="2" t="s">
        <v>46</v>
      </c>
      <c r="M1093" s="2">
        <v>44</v>
      </c>
      <c r="N1093" s="2">
        <v>2</v>
      </c>
      <c r="O1093" s="2">
        <v>2</v>
      </c>
      <c r="P1093" s="2" t="s">
        <v>53</v>
      </c>
      <c r="Q1093" s="2">
        <v>2</v>
      </c>
      <c r="R1093" s="2" t="s">
        <v>41</v>
      </c>
      <c r="S1093" s="2">
        <v>4320</v>
      </c>
      <c r="T1093" s="2">
        <v>24152</v>
      </c>
      <c r="U1093" s="2">
        <v>1</v>
      </c>
      <c r="V1093" s="2" t="s">
        <v>42</v>
      </c>
      <c r="W1093" s="2" t="s">
        <v>43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</row>
    <row r="1094" spans="1:35" x14ac:dyDescent="0.25">
      <c r="A1094" s="2">
        <v>45</v>
      </c>
      <c r="B1094" s="2" t="s">
        <v>43</v>
      </c>
      <c r="C1094" s="2" t="s">
        <v>36</v>
      </c>
      <c r="D1094" s="2">
        <v>950</v>
      </c>
      <c r="E1094" s="2" t="s">
        <v>45</v>
      </c>
      <c r="F1094" s="2">
        <v>28</v>
      </c>
      <c r="G1094" s="2">
        <v>3</v>
      </c>
      <c r="H1094" s="2" t="s">
        <v>60</v>
      </c>
      <c r="I1094" s="2">
        <v>1</v>
      </c>
      <c r="J1094" s="2">
        <v>1546</v>
      </c>
      <c r="K1094" s="2">
        <v>4</v>
      </c>
      <c r="L1094" s="2" t="s">
        <v>46</v>
      </c>
      <c r="M1094" s="2">
        <v>97</v>
      </c>
      <c r="N1094" s="2">
        <v>3</v>
      </c>
      <c r="O1094" s="2">
        <v>1</v>
      </c>
      <c r="P1094" s="2" t="s">
        <v>47</v>
      </c>
      <c r="Q1094" s="2">
        <v>4</v>
      </c>
      <c r="R1094" s="2" t="s">
        <v>48</v>
      </c>
      <c r="S1094" s="2">
        <v>2132</v>
      </c>
      <c r="T1094" s="2">
        <v>4585</v>
      </c>
      <c r="U1094" s="2">
        <v>4</v>
      </c>
      <c r="V1094" s="2" t="s">
        <v>42</v>
      </c>
      <c r="W1094" s="2" t="s">
        <v>43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</row>
    <row r="1095" spans="1:35" x14ac:dyDescent="0.25">
      <c r="A1095" s="2">
        <v>42</v>
      </c>
      <c r="B1095" s="2" t="s">
        <v>43</v>
      </c>
      <c r="C1095" s="2" t="s">
        <v>44</v>
      </c>
      <c r="D1095" s="2">
        <v>288</v>
      </c>
      <c r="E1095" s="2" t="s">
        <v>45</v>
      </c>
      <c r="F1095" s="2">
        <v>2</v>
      </c>
      <c r="G1095" s="2">
        <v>3</v>
      </c>
      <c r="H1095" s="2" t="s">
        <v>38</v>
      </c>
      <c r="I1095" s="2">
        <v>1</v>
      </c>
      <c r="J1095" s="2">
        <v>1547</v>
      </c>
      <c r="K1095" s="2">
        <v>4</v>
      </c>
      <c r="L1095" s="2" t="s">
        <v>46</v>
      </c>
      <c r="M1095" s="2">
        <v>40</v>
      </c>
      <c r="N1095" s="2">
        <v>3</v>
      </c>
      <c r="O1095" s="2">
        <v>3</v>
      </c>
      <c r="P1095" s="2" t="s">
        <v>54</v>
      </c>
      <c r="Q1095" s="2">
        <v>4</v>
      </c>
      <c r="R1095" s="2" t="s">
        <v>48</v>
      </c>
      <c r="S1095" s="2">
        <v>10124</v>
      </c>
      <c r="T1095" s="2">
        <v>18611</v>
      </c>
      <c r="U1095" s="2">
        <v>2</v>
      </c>
      <c r="V1095" s="2" t="s">
        <v>42</v>
      </c>
      <c r="W1095" s="2" t="s">
        <v>35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</row>
    <row r="1096" spans="1:35" x14ac:dyDescent="0.25">
      <c r="A1096" s="2">
        <v>40</v>
      </c>
      <c r="B1096" s="2" t="s">
        <v>43</v>
      </c>
      <c r="C1096" s="2" t="s">
        <v>36</v>
      </c>
      <c r="D1096" s="2">
        <v>1342</v>
      </c>
      <c r="E1096" s="2" t="s">
        <v>37</v>
      </c>
      <c r="F1096" s="2">
        <v>9</v>
      </c>
      <c r="G1096" s="2">
        <v>2</v>
      </c>
      <c r="H1096" s="2" t="s">
        <v>51</v>
      </c>
      <c r="I1096" s="2">
        <v>1</v>
      </c>
      <c r="J1096" s="2">
        <v>1548</v>
      </c>
      <c r="K1096" s="2">
        <v>1</v>
      </c>
      <c r="L1096" s="2" t="s">
        <v>46</v>
      </c>
      <c r="M1096" s="2">
        <v>47</v>
      </c>
      <c r="N1096" s="2">
        <v>3</v>
      </c>
      <c r="O1096" s="2">
        <v>2</v>
      </c>
      <c r="P1096" s="2" t="s">
        <v>40</v>
      </c>
      <c r="Q1096" s="2">
        <v>1</v>
      </c>
      <c r="R1096" s="2" t="s">
        <v>48</v>
      </c>
      <c r="S1096" s="2">
        <v>5473</v>
      </c>
      <c r="T1096" s="2">
        <v>19345</v>
      </c>
      <c r="U1096" s="2">
        <v>0</v>
      </c>
      <c r="V1096" s="2" t="s">
        <v>42</v>
      </c>
      <c r="W1096" s="2" t="s">
        <v>43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</row>
    <row r="1097" spans="1:35" x14ac:dyDescent="0.25">
      <c r="A1097" s="2">
        <v>33</v>
      </c>
      <c r="B1097" s="2" t="s">
        <v>43</v>
      </c>
      <c r="C1097" s="2" t="s">
        <v>36</v>
      </c>
      <c r="D1097" s="2">
        <v>589</v>
      </c>
      <c r="E1097" s="2" t="s">
        <v>45</v>
      </c>
      <c r="F1097" s="2">
        <v>28</v>
      </c>
      <c r="G1097" s="2">
        <v>4</v>
      </c>
      <c r="H1097" s="2" t="s">
        <v>38</v>
      </c>
      <c r="I1097" s="2">
        <v>1</v>
      </c>
      <c r="J1097" s="2">
        <v>1549</v>
      </c>
      <c r="K1097" s="2">
        <v>2</v>
      </c>
      <c r="L1097" s="2" t="s">
        <v>46</v>
      </c>
      <c r="M1097" s="2">
        <v>79</v>
      </c>
      <c r="N1097" s="2">
        <v>3</v>
      </c>
      <c r="O1097" s="2">
        <v>2</v>
      </c>
      <c r="P1097" s="2" t="s">
        <v>50</v>
      </c>
      <c r="Q1097" s="2">
        <v>3</v>
      </c>
      <c r="R1097" s="2" t="s">
        <v>48</v>
      </c>
      <c r="S1097" s="2">
        <v>5207</v>
      </c>
      <c r="T1097" s="2">
        <v>22949</v>
      </c>
      <c r="U1097" s="2">
        <v>1</v>
      </c>
      <c r="V1097" s="2" t="s">
        <v>42</v>
      </c>
      <c r="W1097" s="2" t="s">
        <v>35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</row>
    <row r="1098" spans="1:35" x14ac:dyDescent="0.25">
      <c r="A1098" s="2">
        <v>40</v>
      </c>
      <c r="B1098" s="2" t="s">
        <v>43</v>
      </c>
      <c r="C1098" s="2" t="s">
        <v>36</v>
      </c>
      <c r="D1098" s="2">
        <v>898</v>
      </c>
      <c r="E1098" s="2" t="s">
        <v>61</v>
      </c>
      <c r="F1098" s="2">
        <v>6</v>
      </c>
      <c r="G1098" s="2">
        <v>2</v>
      </c>
      <c r="H1098" s="2" t="s">
        <v>51</v>
      </c>
      <c r="I1098" s="2">
        <v>1</v>
      </c>
      <c r="J1098" s="2">
        <v>1550</v>
      </c>
      <c r="K1098" s="2">
        <v>3</v>
      </c>
      <c r="L1098" s="2" t="s">
        <v>46</v>
      </c>
      <c r="M1098" s="2">
        <v>38</v>
      </c>
      <c r="N1098" s="2">
        <v>3</v>
      </c>
      <c r="O1098" s="2">
        <v>4</v>
      </c>
      <c r="P1098" s="2" t="s">
        <v>56</v>
      </c>
      <c r="Q1098" s="2">
        <v>4</v>
      </c>
      <c r="R1098" s="2" t="s">
        <v>41</v>
      </c>
      <c r="S1098" s="2">
        <v>16437</v>
      </c>
      <c r="T1098" s="2">
        <v>17381</v>
      </c>
      <c r="U1098" s="2">
        <v>1</v>
      </c>
      <c r="V1098" s="2" t="s">
        <v>42</v>
      </c>
      <c r="W1098" s="2" t="s">
        <v>35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</row>
    <row r="1099" spans="1:35" x14ac:dyDescent="0.25">
      <c r="A1099" s="2">
        <v>24</v>
      </c>
      <c r="B1099" s="2" t="s">
        <v>43</v>
      </c>
      <c r="C1099" s="2" t="s">
        <v>36</v>
      </c>
      <c r="D1099" s="2">
        <v>350</v>
      </c>
      <c r="E1099" s="2" t="s">
        <v>45</v>
      </c>
      <c r="F1099" s="2">
        <v>21</v>
      </c>
      <c r="G1099" s="2">
        <v>2</v>
      </c>
      <c r="H1099" s="2" t="s">
        <v>60</v>
      </c>
      <c r="I1099" s="2">
        <v>1</v>
      </c>
      <c r="J1099" s="2">
        <v>1551</v>
      </c>
      <c r="K1099" s="2">
        <v>3</v>
      </c>
      <c r="L1099" s="2" t="s">
        <v>46</v>
      </c>
      <c r="M1099" s="2">
        <v>57</v>
      </c>
      <c r="N1099" s="2">
        <v>2</v>
      </c>
      <c r="O1099" s="2">
        <v>1</v>
      </c>
      <c r="P1099" s="2" t="s">
        <v>50</v>
      </c>
      <c r="Q1099" s="2">
        <v>1</v>
      </c>
      <c r="R1099" s="2" t="s">
        <v>52</v>
      </c>
      <c r="S1099" s="2">
        <v>2296</v>
      </c>
      <c r="T1099" s="2">
        <v>10036</v>
      </c>
      <c r="U1099" s="2">
        <v>0</v>
      </c>
      <c r="V1099" s="2" t="s">
        <v>42</v>
      </c>
      <c r="W1099" s="2" t="s">
        <v>43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</row>
    <row r="1100" spans="1:35" x14ac:dyDescent="0.25">
      <c r="A1100" s="2">
        <v>40</v>
      </c>
      <c r="B1100" s="2" t="s">
        <v>43</v>
      </c>
      <c r="C1100" s="2" t="s">
        <v>55</v>
      </c>
      <c r="D1100" s="2">
        <v>1142</v>
      </c>
      <c r="E1100" s="2" t="s">
        <v>45</v>
      </c>
      <c r="F1100" s="2">
        <v>8</v>
      </c>
      <c r="G1100" s="2">
        <v>2</v>
      </c>
      <c r="H1100" s="2" t="s">
        <v>38</v>
      </c>
      <c r="I1100" s="2">
        <v>1</v>
      </c>
      <c r="J1100" s="2">
        <v>1552</v>
      </c>
      <c r="K1100" s="2">
        <v>4</v>
      </c>
      <c r="L1100" s="2" t="s">
        <v>46</v>
      </c>
      <c r="M1100" s="2">
        <v>72</v>
      </c>
      <c r="N1100" s="2">
        <v>3</v>
      </c>
      <c r="O1100" s="2">
        <v>2</v>
      </c>
      <c r="P1100" s="2" t="s">
        <v>54</v>
      </c>
      <c r="Q1100" s="2">
        <v>4</v>
      </c>
      <c r="R1100" s="2" t="s">
        <v>52</v>
      </c>
      <c r="S1100" s="2">
        <v>4069</v>
      </c>
      <c r="T1100" s="2">
        <v>8841</v>
      </c>
      <c r="U1100" s="2">
        <v>3</v>
      </c>
      <c r="V1100" s="2" t="s">
        <v>42</v>
      </c>
      <c r="W1100" s="2" t="s">
        <v>35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</row>
    <row r="1101" spans="1:35" x14ac:dyDescent="0.25">
      <c r="A1101" s="2">
        <v>45</v>
      </c>
      <c r="B1101" s="2" t="s">
        <v>43</v>
      </c>
      <c r="C1101" s="2" t="s">
        <v>36</v>
      </c>
      <c r="D1101" s="2">
        <v>538</v>
      </c>
      <c r="E1101" s="2" t="s">
        <v>45</v>
      </c>
      <c r="F1101" s="2">
        <v>1</v>
      </c>
      <c r="G1101" s="2">
        <v>4</v>
      </c>
      <c r="H1101" s="2" t="s">
        <v>60</v>
      </c>
      <c r="I1101" s="2">
        <v>1</v>
      </c>
      <c r="J1101" s="2">
        <v>1553</v>
      </c>
      <c r="K1101" s="2">
        <v>1</v>
      </c>
      <c r="L1101" s="2" t="s">
        <v>46</v>
      </c>
      <c r="M1101" s="2">
        <v>66</v>
      </c>
      <c r="N1101" s="2">
        <v>3</v>
      </c>
      <c r="O1101" s="2">
        <v>3</v>
      </c>
      <c r="P1101" s="2" t="s">
        <v>54</v>
      </c>
      <c r="Q1101" s="2">
        <v>2</v>
      </c>
      <c r="R1101" s="2" t="s">
        <v>52</v>
      </c>
      <c r="S1101" s="2">
        <v>7441</v>
      </c>
      <c r="T1101" s="2">
        <v>20933</v>
      </c>
      <c r="U1101" s="2">
        <v>1</v>
      </c>
      <c r="V1101" s="2" t="s">
        <v>42</v>
      </c>
      <c r="W1101" s="2" t="s">
        <v>43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</row>
    <row r="1102" spans="1:35" x14ac:dyDescent="0.25">
      <c r="A1102" s="2">
        <v>35</v>
      </c>
      <c r="B1102" s="2" t="s">
        <v>43</v>
      </c>
      <c r="C1102" s="2" t="s">
        <v>36</v>
      </c>
      <c r="D1102" s="2">
        <v>1402</v>
      </c>
      <c r="E1102" s="2" t="s">
        <v>37</v>
      </c>
      <c r="F1102" s="2">
        <v>28</v>
      </c>
      <c r="G1102" s="2">
        <v>4</v>
      </c>
      <c r="H1102" s="2" t="s">
        <v>38</v>
      </c>
      <c r="I1102" s="2">
        <v>1</v>
      </c>
      <c r="J1102" s="2">
        <v>1554</v>
      </c>
      <c r="K1102" s="2">
        <v>2</v>
      </c>
      <c r="L1102" s="2" t="s">
        <v>39</v>
      </c>
      <c r="M1102" s="2">
        <v>98</v>
      </c>
      <c r="N1102" s="2">
        <v>2</v>
      </c>
      <c r="O1102" s="2">
        <v>1</v>
      </c>
      <c r="P1102" s="2" t="s">
        <v>57</v>
      </c>
      <c r="Q1102" s="2">
        <v>3</v>
      </c>
      <c r="R1102" s="2" t="s">
        <v>48</v>
      </c>
      <c r="S1102" s="2">
        <v>2430</v>
      </c>
      <c r="T1102" s="2">
        <v>26204</v>
      </c>
      <c r="U1102" s="2">
        <v>0</v>
      </c>
      <c r="V1102" s="2" t="s">
        <v>42</v>
      </c>
      <c r="W1102" s="2" t="s">
        <v>43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</row>
    <row r="1103" spans="1:35" x14ac:dyDescent="0.25">
      <c r="A1103" s="2">
        <v>32</v>
      </c>
      <c r="B1103" s="2" t="s">
        <v>43</v>
      </c>
      <c r="C1103" s="2" t="s">
        <v>36</v>
      </c>
      <c r="D1103" s="2">
        <v>824</v>
      </c>
      <c r="E1103" s="2" t="s">
        <v>45</v>
      </c>
      <c r="F1103" s="2">
        <v>5</v>
      </c>
      <c r="G1103" s="2">
        <v>2</v>
      </c>
      <c r="H1103" s="2" t="s">
        <v>38</v>
      </c>
      <c r="I1103" s="2">
        <v>1</v>
      </c>
      <c r="J1103" s="2">
        <v>1555</v>
      </c>
      <c r="K1103" s="2">
        <v>4</v>
      </c>
      <c r="L1103" s="2" t="s">
        <v>39</v>
      </c>
      <c r="M1103" s="2">
        <v>67</v>
      </c>
      <c r="N1103" s="2">
        <v>2</v>
      </c>
      <c r="O1103" s="2">
        <v>2</v>
      </c>
      <c r="P1103" s="2" t="s">
        <v>47</v>
      </c>
      <c r="Q1103" s="2">
        <v>2</v>
      </c>
      <c r="R1103" s="2" t="s">
        <v>48</v>
      </c>
      <c r="S1103" s="2">
        <v>5878</v>
      </c>
      <c r="T1103" s="2">
        <v>15624</v>
      </c>
      <c r="U1103" s="2">
        <v>3</v>
      </c>
      <c r="V1103" s="2" t="s">
        <v>42</v>
      </c>
      <c r="W1103" s="2" t="s">
        <v>43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</row>
    <row r="1104" spans="1:35" x14ac:dyDescent="0.25">
      <c r="A1104" s="2">
        <v>36</v>
      </c>
      <c r="B1104" s="2" t="s">
        <v>43</v>
      </c>
      <c r="C1104" s="2" t="s">
        <v>36</v>
      </c>
      <c r="D1104" s="2">
        <v>1157</v>
      </c>
      <c r="E1104" s="2" t="s">
        <v>37</v>
      </c>
      <c r="F1104" s="2">
        <v>2</v>
      </c>
      <c r="G1104" s="2">
        <v>4</v>
      </c>
      <c r="H1104" s="2" t="s">
        <v>38</v>
      </c>
      <c r="I1104" s="2">
        <v>1</v>
      </c>
      <c r="J1104" s="2">
        <v>1556</v>
      </c>
      <c r="K1104" s="2">
        <v>3</v>
      </c>
      <c r="L1104" s="2" t="s">
        <v>46</v>
      </c>
      <c r="M1104" s="2">
        <v>70</v>
      </c>
      <c r="N1104" s="2">
        <v>3</v>
      </c>
      <c r="O1104" s="2">
        <v>1</v>
      </c>
      <c r="P1104" s="2" t="s">
        <v>57</v>
      </c>
      <c r="Q1104" s="2">
        <v>4</v>
      </c>
      <c r="R1104" s="2" t="s">
        <v>41</v>
      </c>
      <c r="S1104" s="2">
        <v>2644</v>
      </c>
      <c r="T1104" s="2">
        <v>17001</v>
      </c>
      <c r="U1104" s="2">
        <v>3</v>
      </c>
      <c r="V1104" s="2" t="s">
        <v>42</v>
      </c>
      <c r="W1104" s="2" t="s">
        <v>35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</row>
    <row r="1105" spans="1:35" x14ac:dyDescent="0.25">
      <c r="A1105" s="2">
        <v>48</v>
      </c>
      <c r="B1105" s="2" t="s">
        <v>43</v>
      </c>
      <c r="C1105" s="2" t="s">
        <v>36</v>
      </c>
      <c r="D1105" s="2">
        <v>492</v>
      </c>
      <c r="E1105" s="2" t="s">
        <v>37</v>
      </c>
      <c r="F1105" s="2">
        <v>16</v>
      </c>
      <c r="G1105" s="2">
        <v>4</v>
      </c>
      <c r="H1105" s="2" t="s">
        <v>38</v>
      </c>
      <c r="I1105" s="2">
        <v>1</v>
      </c>
      <c r="J1105" s="2">
        <v>1557</v>
      </c>
      <c r="K1105" s="2">
        <v>3</v>
      </c>
      <c r="L1105" s="2" t="s">
        <v>39</v>
      </c>
      <c r="M1105" s="2">
        <v>96</v>
      </c>
      <c r="N1105" s="2">
        <v>3</v>
      </c>
      <c r="O1105" s="2">
        <v>2</v>
      </c>
      <c r="P1105" s="2" t="s">
        <v>40</v>
      </c>
      <c r="Q1105" s="2">
        <v>3</v>
      </c>
      <c r="R1105" s="2" t="s">
        <v>52</v>
      </c>
      <c r="S1105" s="2">
        <v>6439</v>
      </c>
      <c r="T1105" s="2">
        <v>13693</v>
      </c>
      <c r="U1105" s="2">
        <v>8</v>
      </c>
      <c r="V1105" s="2" t="s">
        <v>42</v>
      </c>
      <c r="W1105" s="2" t="s">
        <v>43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</row>
    <row r="1106" spans="1:35" x14ac:dyDescent="0.25">
      <c r="A1106" s="2">
        <v>29</v>
      </c>
      <c r="B1106" s="2" t="s">
        <v>43</v>
      </c>
      <c r="C1106" s="2" t="s">
        <v>36</v>
      </c>
      <c r="D1106" s="2">
        <v>598</v>
      </c>
      <c r="E1106" s="2" t="s">
        <v>45</v>
      </c>
      <c r="F1106" s="2">
        <v>9</v>
      </c>
      <c r="G1106" s="2">
        <v>3</v>
      </c>
      <c r="H1106" s="2" t="s">
        <v>38</v>
      </c>
      <c r="I1106" s="2">
        <v>1</v>
      </c>
      <c r="J1106" s="2">
        <v>1558</v>
      </c>
      <c r="K1106" s="2">
        <v>3</v>
      </c>
      <c r="L1106" s="2" t="s">
        <v>46</v>
      </c>
      <c r="M1106" s="2">
        <v>91</v>
      </c>
      <c r="N1106" s="2">
        <v>4</v>
      </c>
      <c r="O1106" s="2">
        <v>1</v>
      </c>
      <c r="P1106" s="2" t="s">
        <v>47</v>
      </c>
      <c r="Q1106" s="2">
        <v>3</v>
      </c>
      <c r="R1106" s="2" t="s">
        <v>48</v>
      </c>
      <c r="S1106" s="2">
        <v>2451</v>
      </c>
      <c r="T1106" s="2">
        <v>22376</v>
      </c>
      <c r="U1106" s="2">
        <v>6</v>
      </c>
      <c r="V1106" s="2" t="s">
        <v>42</v>
      </c>
      <c r="W1106" s="2" t="s">
        <v>43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</row>
    <row r="1107" spans="1:35" x14ac:dyDescent="0.25">
      <c r="A1107" s="2">
        <v>33</v>
      </c>
      <c r="B1107" s="2" t="s">
        <v>43</v>
      </c>
      <c r="C1107" s="2" t="s">
        <v>36</v>
      </c>
      <c r="D1107" s="2">
        <v>1242</v>
      </c>
      <c r="E1107" s="2" t="s">
        <v>37</v>
      </c>
      <c r="F1107" s="2">
        <v>8</v>
      </c>
      <c r="G1107" s="2">
        <v>4</v>
      </c>
      <c r="H1107" s="2" t="s">
        <v>38</v>
      </c>
      <c r="I1107" s="2">
        <v>1</v>
      </c>
      <c r="J1107" s="2">
        <v>1560</v>
      </c>
      <c r="K1107" s="2">
        <v>1</v>
      </c>
      <c r="L1107" s="2" t="s">
        <v>46</v>
      </c>
      <c r="M1107" s="2">
        <v>46</v>
      </c>
      <c r="N1107" s="2">
        <v>3</v>
      </c>
      <c r="O1107" s="2">
        <v>2</v>
      </c>
      <c r="P1107" s="2" t="s">
        <v>40</v>
      </c>
      <c r="Q1107" s="2">
        <v>1</v>
      </c>
      <c r="R1107" s="2" t="s">
        <v>48</v>
      </c>
      <c r="S1107" s="2">
        <v>6392</v>
      </c>
      <c r="T1107" s="2">
        <v>10589</v>
      </c>
      <c r="U1107" s="2">
        <v>2</v>
      </c>
      <c r="V1107" s="2" t="s">
        <v>42</v>
      </c>
      <c r="W1107" s="2" t="s">
        <v>43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</row>
    <row r="1108" spans="1:35" x14ac:dyDescent="0.25">
      <c r="A1108" s="2">
        <v>30</v>
      </c>
      <c r="B1108" s="2" t="s">
        <v>35</v>
      </c>
      <c r="C1108" s="2" t="s">
        <v>36</v>
      </c>
      <c r="D1108" s="2">
        <v>740</v>
      </c>
      <c r="E1108" s="2" t="s">
        <v>37</v>
      </c>
      <c r="F1108" s="2">
        <v>1</v>
      </c>
      <c r="G1108" s="2">
        <v>3</v>
      </c>
      <c r="H1108" s="2" t="s">
        <v>38</v>
      </c>
      <c r="I1108" s="2">
        <v>1</v>
      </c>
      <c r="J1108" s="2">
        <v>1562</v>
      </c>
      <c r="K1108" s="2">
        <v>2</v>
      </c>
      <c r="L1108" s="2" t="s">
        <v>46</v>
      </c>
      <c r="M1108" s="2">
        <v>64</v>
      </c>
      <c r="N1108" s="2">
        <v>2</v>
      </c>
      <c r="O1108" s="2">
        <v>2</v>
      </c>
      <c r="P1108" s="2" t="s">
        <v>40</v>
      </c>
      <c r="Q1108" s="2">
        <v>1</v>
      </c>
      <c r="R1108" s="2" t="s">
        <v>48</v>
      </c>
      <c r="S1108" s="2">
        <v>9714</v>
      </c>
      <c r="T1108" s="2">
        <v>5323</v>
      </c>
      <c r="U1108" s="2">
        <v>1</v>
      </c>
      <c r="V1108" s="2" t="s">
        <v>42</v>
      </c>
      <c r="W1108" s="2" t="s">
        <v>43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</row>
    <row r="1109" spans="1:35" x14ac:dyDescent="0.25">
      <c r="A1109" s="2">
        <v>38</v>
      </c>
      <c r="B1109" s="2" t="s">
        <v>43</v>
      </c>
      <c r="C1109" s="2" t="s">
        <v>44</v>
      </c>
      <c r="D1109" s="2">
        <v>888</v>
      </c>
      <c r="E1109" s="2" t="s">
        <v>61</v>
      </c>
      <c r="F1109" s="2">
        <v>10</v>
      </c>
      <c r="G1109" s="2">
        <v>4</v>
      </c>
      <c r="H1109" s="2" t="s">
        <v>61</v>
      </c>
      <c r="I1109" s="2">
        <v>1</v>
      </c>
      <c r="J1109" s="2">
        <v>1563</v>
      </c>
      <c r="K1109" s="2">
        <v>3</v>
      </c>
      <c r="L1109" s="2" t="s">
        <v>46</v>
      </c>
      <c r="M1109" s="2">
        <v>71</v>
      </c>
      <c r="N1109" s="2">
        <v>3</v>
      </c>
      <c r="O1109" s="2">
        <v>2</v>
      </c>
      <c r="P1109" s="2" t="s">
        <v>61</v>
      </c>
      <c r="Q1109" s="2">
        <v>3</v>
      </c>
      <c r="R1109" s="2" t="s">
        <v>48</v>
      </c>
      <c r="S1109" s="2">
        <v>6077</v>
      </c>
      <c r="T1109" s="2">
        <v>14814</v>
      </c>
      <c r="U1109" s="2">
        <v>3</v>
      </c>
      <c r="V1109" s="2" t="s">
        <v>42</v>
      </c>
      <c r="W1109" s="2" t="s">
        <v>43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</row>
    <row r="1110" spans="1:35" x14ac:dyDescent="0.25">
      <c r="A1110" s="2">
        <v>35</v>
      </c>
      <c r="B1110" s="2" t="s">
        <v>43</v>
      </c>
      <c r="C1110" s="2" t="s">
        <v>36</v>
      </c>
      <c r="D1110" s="2">
        <v>992</v>
      </c>
      <c r="E1110" s="2" t="s">
        <v>45</v>
      </c>
      <c r="F1110" s="2">
        <v>1</v>
      </c>
      <c r="G1110" s="2">
        <v>3</v>
      </c>
      <c r="H1110" s="2" t="s">
        <v>51</v>
      </c>
      <c r="I1110" s="2">
        <v>1</v>
      </c>
      <c r="J1110" s="2">
        <v>1564</v>
      </c>
      <c r="K1110" s="2">
        <v>4</v>
      </c>
      <c r="L1110" s="2" t="s">
        <v>46</v>
      </c>
      <c r="M1110" s="2">
        <v>68</v>
      </c>
      <c r="N1110" s="2">
        <v>2</v>
      </c>
      <c r="O1110" s="2">
        <v>1</v>
      </c>
      <c r="P1110" s="2" t="s">
        <v>50</v>
      </c>
      <c r="Q1110" s="2">
        <v>1</v>
      </c>
      <c r="R1110" s="2" t="s">
        <v>41</v>
      </c>
      <c r="S1110" s="2">
        <v>2450</v>
      </c>
      <c r="T1110" s="2">
        <v>21731</v>
      </c>
      <c r="U1110" s="2">
        <v>1</v>
      </c>
      <c r="V1110" s="2" t="s">
        <v>42</v>
      </c>
      <c r="W1110" s="2" t="s">
        <v>43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</row>
    <row r="1111" spans="1:35" x14ac:dyDescent="0.25">
      <c r="A1111" s="2">
        <v>30</v>
      </c>
      <c r="B1111" s="2" t="s">
        <v>43</v>
      </c>
      <c r="C1111" s="2" t="s">
        <v>36</v>
      </c>
      <c r="D1111" s="2">
        <v>1288</v>
      </c>
      <c r="E1111" s="2" t="s">
        <v>37</v>
      </c>
      <c r="F1111" s="2">
        <v>29</v>
      </c>
      <c r="G1111" s="2">
        <v>4</v>
      </c>
      <c r="H1111" s="2" t="s">
        <v>60</v>
      </c>
      <c r="I1111" s="2">
        <v>1</v>
      </c>
      <c r="J1111" s="2">
        <v>1568</v>
      </c>
      <c r="K1111" s="2">
        <v>3</v>
      </c>
      <c r="L1111" s="2" t="s">
        <v>46</v>
      </c>
      <c r="M1111" s="2">
        <v>33</v>
      </c>
      <c r="N1111" s="2">
        <v>3</v>
      </c>
      <c r="O1111" s="2">
        <v>3</v>
      </c>
      <c r="P1111" s="2" t="s">
        <v>40</v>
      </c>
      <c r="Q1111" s="2">
        <v>2</v>
      </c>
      <c r="R1111" s="2" t="s">
        <v>48</v>
      </c>
      <c r="S1111" s="2">
        <v>9250</v>
      </c>
      <c r="T1111" s="2">
        <v>17799</v>
      </c>
      <c r="U1111" s="2">
        <v>3</v>
      </c>
      <c r="V1111" s="2" t="s">
        <v>42</v>
      </c>
      <c r="W1111" s="2" t="s">
        <v>43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</row>
    <row r="1112" spans="1:35" x14ac:dyDescent="0.25">
      <c r="A1112" s="2">
        <v>35</v>
      </c>
      <c r="B1112" s="2" t="s">
        <v>35</v>
      </c>
      <c r="C1112" s="2" t="s">
        <v>36</v>
      </c>
      <c r="D1112" s="2">
        <v>104</v>
      </c>
      <c r="E1112" s="2" t="s">
        <v>45</v>
      </c>
      <c r="F1112" s="2">
        <v>2</v>
      </c>
      <c r="G1112" s="2">
        <v>3</v>
      </c>
      <c r="H1112" s="2" t="s">
        <v>38</v>
      </c>
      <c r="I1112" s="2">
        <v>1</v>
      </c>
      <c r="J1112" s="2">
        <v>1569</v>
      </c>
      <c r="K1112" s="2">
        <v>1</v>
      </c>
      <c r="L1112" s="2" t="s">
        <v>39</v>
      </c>
      <c r="M1112" s="2">
        <v>69</v>
      </c>
      <c r="N1112" s="2">
        <v>3</v>
      </c>
      <c r="O1112" s="2">
        <v>1</v>
      </c>
      <c r="P1112" s="2" t="s">
        <v>50</v>
      </c>
      <c r="Q1112" s="2">
        <v>1</v>
      </c>
      <c r="R1112" s="2" t="s">
        <v>52</v>
      </c>
      <c r="S1112" s="2">
        <v>2074</v>
      </c>
      <c r="T1112" s="2">
        <v>26619</v>
      </c>
      <c r="U1112" s="2">
        <v>1</v>
      </c>
      <c r="V1112" s="2" t="s">
        <v>42</v>
      </c>
      <c r="W1112" s="2" t="s">
        <v>35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</row>
    <row r="1113" spans="1:35" x14ac:dyDescent="0.25">
      <c r="A1113" s="2">
        <v>53</v>
      </c>
      <c r="B1113" s="2" t="s">
        <v>35</v>
      </c>
      <c r="C1113" s="2" t="s">
        <v>36</v>
      </c>
      <c r="D1113" s="2">
        <v>607</v>
      </c>
      <c r="E1113" s="2" t="s">
        <v>45</v>
      </c>
      <c r="F1113" s="2">
        <v>2</v>
      </c>
      <c r="G1113" s="2">
        <v>5</v>
      </c>
      <c r="H1113" s="2" t="s">
        <v>60</v>
      </c>
      <c r="I1113" s="2">
        <v>1</v>
      </c>
      <c r="J1113" s="2">
        <v>1572</v>
      </c>
      <c r="K1113" s="2">
        <v>3</v>
      </c>
      <c r="L1113" s="2" t="s">
        <v>39</v>
      </c>
      <c r="M1113" s="2">
        <v>78</v>
      </c>
      <c r="N1113" s="2">
        <v>2</v>
      </c>
      <c r="O1113" s="2">
        <v>3</v>
      </c>
      <c r="P1113" s="2" t="s">
        <v>53</v>
      </c>
      <c r="Q1113" s="2">
        <v>4</v>
      </c>
      <c r="R1113" s="2" t="s">
        <v>48</v>
      </c>
      <c r="S1113" s="2">
        <v>10169</v>
      </c>
      <c r="T1113" s="2">
        <v>14618</v>
      </c>
      <c r="U1113" s="2">
        <v>0</v>
      </c>
      <c r="V1113" s="2" t="s">
        <v>42</v>
      </c>
      <c r="W1113" s="2" t="s">
        <v>43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</row>
    <row r="1114" spans="1:35" x14ac:dyDescent="0.25">
      <c r="A1114" s="2">
        <v>38</v>
      </c>
      <c r="B1114" s="2" t="s">
        <v>35</v>
      </c>
      <c r="C1114" s="2" t="s">
        <v>36</v>
      </c>
      <c r="D1114" s="2">
        <v>903</v>
      </c>
      <c r="E1114" s="2" t="s">
        <v>45</v>
      </c>
      <c r="F1114" s="2">
        <v>2</v>
      </c>
      <c r="G1114" s="2">
        <v>3</v>
      </c>
      <c r="H1114" s="2" t="s">
        <v>51</v>
      </c>
      <c r="I1114" s="2">
        <v>1</v>
      </c>
      <c r="J1114" s="2">
        <v>1573</v>
      </c>
      <c r="K1114" s="2">
        <v>3</v>
      </c>
      <c r="L1114" s="2" t="s">
        <v>46</v>
      </c>
      <c r="M1114" s="2">
        <v>81</v>
      </c>
      <c r="N1114" s="2">
        <v>3</v>
      </c>
      <c r="O1114" s="2">
        <v>2</v>
      </c>
      <c r="P1114" s="2" t="s">
        <v>53</v>
      </c>
      <c r="Q1114" s="2">
        <v>2</v>
      </c>
      <c r="R1114" s="2" t="s">
        <v>48</v>
      </c>
      <c r="S1114" s="2">
        <v>4855</v>
      </c>
      <c r="T1114" s="2">
        <v>7653</v>
      </c>
      <c r="U1114" s="2">
        <v>4</v>
      </c>
      <c r="V1114" s="2" t="s">
        <v>42</v>
      </c>
      <c r="W1114" s="2" t="s">
        <v>43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</row>
    <row r="1115" spans="1:35" x14ac:dyDescent="0.25">
      <c r="A1115" s="2">
        <v>32</v>
      </c>
      <c r="B1115" s="2" t="s">
        <v>43</v>
      </c>
      <c r="C1115" s="2" t="s">
        <v>55</v>
      </c>
      <c r="D1115" s="2">
        <v>1200</v>
      </c>
      <c r="E1115" s="2" t="s">
        <v>45</v>
      </c>
      <c r="F1115" s="2">
        <v>1</v>
      </c>
      <c r="G1115" s="2">
        <v>4</v>
      </c>
      <c r="H1115" s="2" t="s">
        <v>60</v>
      </c>
      <c r="I1115" s="2">
        <v>1</v>
      </c>
      <c r="J1115" s="2">
        <v>1574</v>
      </c>
      <c r="K1115" s="2">
        <v>4</v>
      </c>
      <c r="L1115" s="2" t="s">
        <v>46</v>
      </c>
      <c r="M1115" s="2">
        <v>62</v>
      </c>
      <c r="N1115" s="2">
        <v>3</v>
      </c>
      <c r="O1115" s="2">
        <v>2</v>
      </c>
      <c r="P1115" s="2" t="s">
        <v>47</v>
      </c>
      <c r="Q1115" s="2">
        <v>1</v>
      </c>
      <c r="R1115" s="2" t="s">
        <v>48</v>
      </c>
      <c r="S1115" s="2">
        <v>4087</v>
      </c>
      <c r="T1115" s="2">
        <v>25174</v>
      </c>
      <c r="U1115" s="2">
        <v>4</v>
      </c>
      <c r="V1115" s="2" t="s">
        <v>42</v>
      </c>
      <c r="W1115" s="2" t="s">
        <v>43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</row>
    <row r="1116" spans="1:35" x14ac:dyDescent="0.25">
      <c r="A1116" s="2">
        <v>48</v>
      </c>
      <c r="B1116" s="2" t="s">
        <v>43</v>
      </c>
      <c r="C1116" s="2" t="s">
        <v>36</v>
      </c>
      <c r="D1116" s="2">
        <v>1108</v>
      </c>
      <c r="E1116" s="2" t="s">
        <v>45</v>
      </c>
      <c r="F1116" s="2">
        <v>15</v>
      </c>
      <c r="G1116" s="2">
        <v>4</v>
      </c>
      <c r="H1116" s="2" t="s">
        <v>49</v>
      </c>
      <c r="I1116" s="2">
        <v>1</v>
      </c>
      <c r="J1116" s="2">
        <v>1576</v>
      </c>
      <c r="K1116" s="2">
        <v>3</v>
      </c>
      <c r="L1116" s="2" t="s">
        <v>39</v>
      </c>
      <c r="M1116" s="2">
        <v>65</v>
      </c>
      <c r="N1116" s="2">
        <v>3</v>
      </c>
      <c r="O1116" s="2">
        <v>1</v>
      </c>
      <c r="P1116" s="2" t="s">
        <v>47</v>
      </c>
      <c r="Q1116" s="2">
        <v>1</v>
      </c>
      <c r="R1116" s="2" t="s">
        <v>48</v>
      </c>
      <c r="S1116" s="2">
        <v>2367</v>
      </c>
      <c r="T1116" s="2">
        <v>16530</v>
      </c>
      <c r="U1116" s="2">
        <v>8</v>
      </c>
      <c r="V1116" s="2" t="s">
        <v>42</v>
      </c>
      <c r="W1116" s="2" t="s">
        <v>43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</row>
    <row r="1117" spans="1:35" x14ac:dyDescent="0.25">
      <c r="A1117" s="2">
        <v>34</v>
      </c>
      <c r="B1117" s="2" t="s">
        <v>43</v>
      </c>
      <c r="C1117" s="2" t="s">
        <v>36</v>
      </c>
      <c r="D1117" s="2">
        <v>479</v>
      </c>
      <c r="E1117" s="2" t="s">
        <v>45</v>
      </c>
      <c r="F1117" s="2">
        <v>7</v>
      </c>
      <c r="G1117" s="2">
        <v>4</v>
      </c>
      <c r="H1117" s="2" t="s">
        <v>51</v>
      </c>
      <c r="I1117" s="2">
        <v>1</v>
      </c>
      <c r="J1117" s="2">
        <v>1577</v>
      </c>
      <c r="K1117" s="2">
        <v>1</v>
      </c>
      <c r="L1117" s="2" t="s">
        <v>46</v>
      </c>
      <c r="M1117" s="2">
        <v>35</v>
      </c>
      <c r="N1117" s="2">
        <v>3</v>
      </c>
      <c r="O1117" s="2">
        <v>1</v>
      </c>
      <c r="P1117" s="2" t="s">
        <v>47</v>
      </c>
      <c r="Q1117" s="2">
        <v>4</v>
      </c>
      <c r="R1117" s="2" t="s">
        <v>41</v>
      </c>
      <c r="S1117" s="2">
        <v>2972</v>
      </c>
      <c r="T1117" s="2">
        <v>22061</v>
      </c>
      <c r="U1117" s="2">
        <v>1</v>
      </c>
      <c r="V1117" s="2" t="s">
        <v>42</v>
      </c>
      <c r="W1117" s="2" t="s">
        <v>43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</row>
    <row r="1118" spans="1:35" x14ac:dyDescent="0.25">
      <c r="A1118" s="2">
        <v>55</v>
      </c>
      <c r="B1118" s="2" t="s">
        <v>43</v>
      </c>
      <c r="C1118" s="2" t="s">
        <v>36</v>
      </c>
      <c r="D1118" s="2">
        <v>685</v>
      </c>
      <c r="E1118" s="2" t="s">
        <v>37</v>
      </c>
      <c r="F1118" s="2">
        <v>26</v>
      </c>
      <c r="G1118" s="2">
        <v>5</v>
      </c>
      <c r="H1118" s="2" t="s">
        <v>59</v>
      </c>
      <c r="I1118" s="2">
        <v>1</v>
      </c>
      <c r="J1118" s="2">
        <v>1578</v>
      </c>
      <c r="K1118" s="2">
        <v>3</v>
      </c>
      <c r="L1118" s="2" t="s">
        <v>46</v>
      </c>
      <c r="M1118" s="2">
        <v>60</v>
      </c>
      <c r="N1118" s="2">
        <v>2</v>
      </c>
      <c r="O1118" s="2">
        <v>5</v>
      </c>
      <c r="P1118" s="2" t="s">
        <v>56</v>
      </c>
      <c r="Q1118" s="2">
        <v>4</v>
      </c>
      <c r="R1118" s="2" t="s">
        <v>48</v>
      </c>
      <c r="S1118" s="2">
        <v>19586</v>
      </c>
      <c r="T1118" s="2">
        <v>23037</v>
      </c>
      <c r="U1118" s="2">
        <v>1</v>
      </c>
      <c r="V1118" s="2" t="s">
        <v>42</v>
      </c>
      <c r="W1118" s="2" t="s">
        <v>43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</row>
    <row r="1119" spans="1:35" x14ac:dyDescent="0.25">
      <c r="A1119" s="2">
        <v>34</v>
      </c>
      <c r="B1119" s="2" t="s">
        <v>43</v>
      </c>
      <c r="C1119" s="2" t="s">
        <v>36</v>
      </c>
      <c r="D1119" s="2">
        <v>1351</v>
      </c>
      <c r="E1119" s="2" t="s">
        <v>45</v>
      </c>
      <c r="F1119" s="2">
        <v>1</v>
      </c>
      <c r="G1119" s="2">
        <v>4</v>
      </c>
      <c r="H1119" s="2" t="s">
        <v>38</v>
      </c>
      <c r="I1119" s="2">
        <v>1</v>
      </c>
      <c r="J1119" s="2">
        <v>1580</v>
      </c>
      <c r="K1119" s="2">
        <v>2</v>
      </c>
      <c r="L1119" s="2" t="s">
        <v>46</v>
      </c>
      <c r="M1119" s="2">
        <v>45</v>
      </c>
      <c r="N1119" s="2">
        <v>3</v>
      </c>
      <c r="O1119" s="2">
        <v>2</v>
      </c>
      <c r="P1119" s="2" t="s">
        <v>47</v>
      </c>
      <c r="Q1119" s="2">
        <v>4</v>
      </c>
      <c r="R1119" s="2" t="s">
        <v>48</v>
      </c>
      <c r="S1119" s="2">
        <v>5484</v>
      </c>
      <c r="T1119" s="2">
        <v>13008</v>
      </c>
      <c r="U1119" s="2">
        <v>9</v>
      </c>
      <c r="V1119" s="2" t="s">
        <v>42</v>
      </c>
      <c r="W1119" s="2" t="s">
        <v>43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</row>
    <row r="1120" spans="1:35" x14ac:dyDescent="0.25">
      <c r="A1120" s="2">
        <v>26</v>
      </c>
      <c r="B1120" s="2" t="s">
        <v>43</v>
      </c>
      <c r="C1120" s="2" t="s">
        <v>36</v>
      </c>
      <c r="D1120" s="2">
        <v>474</v>
      </c>
      <c r="E1120" s="2" t="s">
        <v>45</v>
      </c>
      <c r="F1120" s="2">
        <v>3</v>
      </c>
      <c r="G1120" s="2">
        <v>3</v>
      </c>
      <c r="H1120" s="2" t="s">
        <v>38</v>
      </c>
      <c r="I1120" s="2">
        <v>1</v>
      </c>
      <c r="J1120" s="2">
        <v>1581</v>
      </c>
      <c r="K1120" s="2">
        <v>1</v>
      </c>
      <c r="L1120" s="2" t="s">
        <v>39</v>
      </c>
      <c r="M1120" s="2">
        <v>89</v>
      </c>
      <c r="N1120" s="2">
        <v>3</v>
      </c>
      <c r="O1120" s="2">
        <v>1</v>
      </c>
      <c r="P1120" s="2" t="s">
        <v>47</v>
      </c>
      <c r="Q1120" s="2">
        <v>4</v>
      </c>
      <c r="R1120" s="2" t="s">
        <v>48</v>
      </c>
      <c r="S1120" s="2">
        <v>2061</v>
      </c>
      <c r="T1120" s="2">
        <v>11133</v>
      </c>
      <c r="U1120" s="2">
        <v>1</v>
      </c>
      <c r="V1120" s="2" t="s">
        <v>42</v>
      </c>
      <c r="W1120" s="2" t="s">
        <v>43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</row>
    <row r="1121" spans="1:35" x14ac:dyDescent="0.25">
      <c r="A1121" s="2">
        <v>38</v>
      </c>
      <c r="B1121" s="2" t="s">
        <v>43</v>
      </c>
      <c r="C1121" s="2" t="s">
        <v>36</v>
      </c>
      <c r="D1121" s="2">
        <v>1245</v>
      </c>
      <c r="E1121" s="2" t="s">
        <v>37</v>
      </c>
      <c r="F1121" s="2">
        <v>14</v>
      </c>
      <c r="G1121" s="2">
        <v>3</v>
      </c>
      <c r="H1121" s="2" t="s">
        <v>38</v>
      </c>
      <c r="I1121" s="2">
        <v>1</v>
      </c>
      <c r="J1121" s="2">
        <v>1582</v>
      </c>
      <c r="K1121" s="2">
        <v>3</v>
      </c>
      <c r="L1121" s="2" t="s">
        <v>46</v>
      </c>
      <c r="M1121" s="2">
        <v>80</v>
      </c>
      <c r="N1121" s="2">
        <v>3</v>
      </c>
      <c r="O1121" s="2">
        <v>2</v>
      </c>
      <c r="P1121" s="2" t="s">
        <v>40</v>
      </c>
      <c r="Q1121" s="2">
        <v>2</v>
      </c>
      <c r="R1121" s="2" t="s">
        <v>48</v>
      </c>
      <c r="S1121" s="2">
        <v>9924</v>
      </c>
      <c r="T1121" s="2">
        <v>12355</v>
      </c>
      <c r="U1121" s="2">
        <v>0</v>
      </c>
      <c r="V1121" s="2" t="s">
        <v>42</v>
      </c>
      <c r="W1121" s="2" t="s">
        <v>43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</row>
    <row r="1122" spans="1:35" x14ac:dyDescent="0.25">
      <c r="A1122" s="2">
        <v>38</v>
      </c>
      <c r="B1122" s="2" t="s">
        <v>43</v>
      </c>
      <c r="C1122" s="2" t="s">
        <v>36</v>
      </c>
      <c r="D1122" s="2">
        <v>437</v>
      </c>
      <c r="E1122" s="2" t="s">
        <v>37</v>
      </c>
      <c r="F1122" s="2">
        <v>16</v>
      </c>
      <c r="G1122" s="2">
        <v>3</v>
      </c>
      <c r="H1122" s="2" t="s">
        <v>38</v>
      </c>
      <c r="I1122" s="2">
        <v>1</v>
      </c>
      <c r="J1122" s="2">
        <v>1583</v>
      </c>
      <c r="K1122" s="2">
        <v>2</v>
      </c>
      <c r="L1122" s="2" t="s">
        <v>39</v>
      </c>
      <c r="M1122" s="2">
        <v>90</v>
      </c>
      <c r="N1122" s="2">
        <v>3</v>
      </c>
      <c r="O1122" s="2">
        <v>2</v>
      </c>
      <c r="P1122" s="2" t="s">
        <v>40</v>
      </c>
      <c r="Q1122" s="2">
        <v>2</v>
      </c>
      <c r="R1122" s="2" t="s">
        <v>41</v>
      </c>
      <c r="S1122" s="2">
        <v>4198</v>
      </c>
      <c r="T1122" s="2">
        <v>16379</v>
      </c>
      <c r="U1122" s="2">
        <v>2</v>
      </c>
      <c r="V1122" s="2" t="s">
        <v>42</v>
      </c>
      <c r="W1122" s="2" t="s">
        <v>43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</row>
    <row r="1123" spans="1:35" x14ac:dyDescent="0.25">
      <c r="A1123" s="2">
        <v>36</v>
      </c>
      <c r="B1123" s="2" t="s">
        <v>43</v>
      </c>
      <c r="C1123" s="2" t="s">
        <v>36</v>
      </c>
      <c r="D1123" s="2">
        <v>884</v>
      </c>
      <c r="E1123" s="2" t="s">
        <v>37</v>
      </c>
      <c r="F1123" s="2">
        <v>1</v>
      </c>
      <c r="G1123" s="2">
        <v>4</v>
      </c>
      <c r="H1123" s="2" t="s">
        <v>38</v>
      </c>
      <c r="I1123" s="2">
        <v>1</v>
      </c>
      <c r="J1123" s="2">
        <v>1585</v>
      </c>
      <c r="K1123" s="2">
        <v>2</v>
      </c>
      <c r="L1123" s="2" t="s">
        <v>39</v>
      </c>
      <c r="M1123" s="2">
        <v>73</v>
      </c>
      <c r="N1123" s="2">
        <v>3</v>
      </c>
      <c r="O1123" s="2">
        <v>2</v>
      </c>
      <c r="P1123" s="2" t="s">
        <v>40</v>
      </c>
      <c r="Q1123" s="2">
        <v>3</v>
      </c>
      <c r="R1123" s="2" t="s">
        <v>41</v>
      </c>
      <c r="S1123" s="2">
        <v>6815</v>
      </c>
      <c r="T1123" s="2">
        <v>21447</v>
      </c>
      <c r="U1123" s="2">
        <v>6</v>
      </c>
      <c r="V1123" s="2" t="s">
        <v>42</v>
      </c>
      <c r="W1123" s="2" t="s">
        <v>43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</row>
    <row r="1124" spans="1:35" x14ac:dyDescent="0.25">
      <c r="A1124" s="2">
        <v>29</v>
      </c>
      <c r="B1124" s="2" t="s">
        <v>43</v>
      </c>
      <c r="C1124" s="2" t="s">
        <v>36</v>
      </c>
      <c r="D1124" s="2">
        <v>1370</v>
      </c>
      <c r="E1124" s="2" t="s">
        <v>45</v>
      </c>
      <c r="F1124" s="2">
        <v>3</v>
      </c>
      <c r="G1124" s="2">
        <v>1</v>
      </c>
      <c r="H1124" s="2" t="s">
        <v>51</v>
      </c>
      <c r="I1124" s="2">
        <v>1</v>
      </c>
      <c r="J1124" s="2">
        <v>1586</v>
      </c>
      <c r="K1124" s="2">
        <v>2</v>
      </c>
      <c r="L1124" s="2" t="s">
        <v>46</v>
      </c>
      <c r="M1124" s="2">
        <v>87</v>
      </c>
      <c r="N1124" s="2">
        <v>3</v>
      </c>
      <c r="O1124" s="2">
        <v>1</v>
      </c>
      <c r="P1124" s="2" t="s">
        <v>50</v>
      </c>
      <c r="Q1124" s="2">
        <v>1</v>
      </c>
      <c r="R1124" s="2" t="s">
        <v>41</v>
      </c>
      <c r="S1124" s="2">
        <v>4723</v>
      </c>
      <c r="T1124" s="2">
        <v>16213</v>
      </c>
      <c r="U1124" s="2">
        <v>1</v>
      </c>
      <c r="V1124" s="2" t="s">
        <v>42</v>
      </c>
      <c r="W1124" s="2" t="s">
        <v>35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</row>
    <row r="1125" spans="1:35" x14ac:dyDescent="0.25">
      <c r="A1125" s="2">
        <v>35</v>
      </c>
      <c r="B1125" s="2" t="s">
        <v>43</v>
      </c>
      <c r="C1125" s="2" t="s">
        <v>36</v>
      </c>
      <c r="D1125" s="2">
        <v>670</v>
      </c>
      <c r="E1125" s="2" t="s">
        <v>45</v>
      </c>
      <c r="F1125" s="2">
        <v>10</v>
      </c>
      <c r="G1125" s="2">
        <v>4</v>
      </c>
      <c r="H1125" s="2" t="s">
        <v>51</v>
      </c>
      <c r="I1125" s="2">
        <v>1</v>
      </c>
      <c r="J1125" s="2">
        <v>1587</v>
      </c>
      <c r="K1125" s="2">
        <v>1</v>
      </c>
      <c r="L1125" s="2" t="s">
        <v>39</v>
      </c>
      <c r="M1125" s="2">
        <v>51</v>
      </c>
      <c r="N1125" s="2">
        <v>3</v>
      </c>
      <c r="O1125" s="2">
        <v>2</v>
      </c>
      <c r="P1125" s="2" t="s">
        <v>54</v>
      </c>
      <c r="Q1125" s="2">
        <v>3</v>
      </c>
      <c r="R1125" s="2" t="s">
        <v>41</v>
      </c>
      <c r="S1125" s="2">
        <v>6142</v>
      </c>
      <c r="T1125" s="2">
        <v>4223</v>
      </c>
      <c r="U1125" s="2">
        <v>3</v>
      </c>
      <c r="V1125" s="2" t="s">
        <v>42</v>
      </c>
      <c r="W1125" s="2" t="s">
        <v>35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</row>
    <row r="1126" spans="1:35" x14ac:dyDescent="0.25">
      <c r="A1126" s="2">
        <v>39</v>
      </c>
      <c r="B1126" s="2" t="s">
        <v>43</v>
      </c>
      <c r="C1126" s="2" t="s">
        <v>36</v>
      </c>
      <c r="D1126" s="2">
        <v>1462</v>
      </c>
      <c r="E1126" s="2" t="s">
        <v>37</v>
      </c>
      <c r="F1126" s="2">
        <v>6</v>
      </c>
      <c r="G1126" s="2">
        <v>3</v>
      </c>
      <c r="H1126" s="2" t="s">
        <v>51</v>
      </c>
      <c r="I1126" s="2">
        <v>1</v>
      </c>
      <c r="J1126" s="2">
        <v>1588</v>
      </c>
      <c r="K1126" s="2">
        <v>4</v>
      </c>
      <c r="L1126" s="2" t="s">
        <v>46</v>
      </c>
      <c r="M1126" s="2">
        <v>38</v>
      </c>
      <c r="N1126" s="2">
        <v>4</v>
      </c>
      <c r="O1126" s="2">
        <v>3</v>
      </c>
      <c r="P1126" s="2" t="s">
        <v>40</v>
      </c>
      <c r="Q1126" s="2">
        <v>3</v>
      </c>
      <c r="R1126" s="2" t="s">
        <v>48</v>
      </c>
      <c r="S1126" s="2">
        <v>8237</v>
      </c>
      <c r="T1126" s="2">
        <v>4658</v>
      </c>
      <c r="U1126" s="2">
        <v>2</v>
      </c>
      <c r="V1126" s="2" t="s">
        <v>42</v>
      </c>
      <c r="W1126" s="2" t="s">
        <v>43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</row>
    <row r="1127" spans="1:35" x14ac:dyDescent="0.25">
      <c r="A1127" s="2">
        <v>29</v>
      </c>
      <c r="B1127" s="2" t="s">
        <v>43</v>
      </c>
      <c r="C1127" s="2" t="s">
        <v>44</v>
      </c>
      <c r="D1127" s="2">
        <v>995</v>
      </c>
      <c r="E1127" s="2" t="s">
        <v>45</v>
      </c>
      <c r="F1127" s="2">
        <v>2</v>
      </c>
      <c r="G1127" s="2">
        <v>1</v>
      </c>
      <c r="H1127" s="2" t="s">
        <v>38</v>
      </c>
      <c r="I1127" s="2">
        <v>1</v>
      </c>
      <c r="J1127" s="2">
        <v>1590</v>
      </c>
      <c r="K1127" s="2">
        <v>1</v>
      </c>
      <c r="L1127" s="2" t="s">
        <v>46</v>
      </c>
      <c r="M1127" s="2">
        <v>87</v>
      </c>
      <c r="N1127" s="2">
        <v>3</v>
      </c>
      <c r="O1127" s="2">
        <v>2</v>
      </c>
      <c r="P1127" s="2" t="s">
        <v>54</v>
      </c>
      <c r="Q1127" s="2">
        <v>4</v>
      </c>
      <c r="R1127" s="2" t="s">
        <v>52</v>
      </c>
      <c r="S1127" s="2">
        <v>8853</v>
      </c>
      <c r="T1127" s="2">
        <v>24483</v>
      </c>
      <c r="U1127" s="2">
        <v>1</v>
      </c>
      <c r="V1127" s="2" t="s">
        <v>42</v>
      </c>
      <c r="W1127" s="2" t="s">
        <v>43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</row>
    <row r="1128" spans="1:35" x14ac:dyDescent="0.25">
      <c r="A1128" s="2">
        <v>50</v>
      </c>
      <c r="B1128" s="2" t="s">
        <v>43</v>
      </c>
      <c r="C1128" s="2" t="s">
        <v>36</v>
      </c>
      <c r="D1128" s="2">
        <v>264</v>
      </c>
      <c r="E1128" s="2" t="s">
        <v>37</v>
      </c>
      <c r="F1128" s="2">
        <v>9</v>
      </c>
      <c r="G1128" s="2">
        <v>3</v>
      </c>
      <c r="H1128" s="2" t="s">
        <v>59</v>
      </c>
      <c r="I1128" s="2">
        <v>1</v>
      </c>
      <c r="J1128" s="2">
        <v>1591</v>
      </c>
      <c r="K1128" s="2">
        <v>3</v>
      </c>
      <c r="L1128" s="2" t="s">
        <v>46</v>
      </c>
      <c r="M1128" s="2">
        <v>59</v>
      </c>
      <c r="N1128" s="2">
        <v>3</v>
      </c>
      <c r="O1128" s="2">
        <v>5</v>
      </c>
      <c r="P1128" s="2" t="s">
        <v>56</v>
      </c>
      <c r="Q1128" s="2">
        <v>3</v>
      </c>
      <c r="R1128" s="2" t="s">
        <v>48</v>
      </c>
      <c r="S1128" s="2">
        <v>19331</v>
      </c>
      <c r="T1128" s="2">
        <v>19519</v>
      </c>
      <c r="U1128" s="2">
        <v>4</v>
      </c>
      <c r="V1128" s="2" t="s">
        <v>42</v>
      </c>
      <c r="W1128" s="2" t="s">
        <v>35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</row>
    <row r="1129" spans="1:35" x14ac:dyDescent="0.25">
      <c r="A1129" s="2">
        <v>23</v>
      </c>
      <c r="B1129" s="2" t="s">
        <v>43</v>
      </c>
      <c r="C1129" s="2" t="s">
        <v>36</v>
      </c>
      <c r="D1129" s="2">
        <v>977</v>
      </c>
      <c r="E1129" s="2" t="s">
        <v>45</v>
      </c>
      <c r="F1129" s="2">
        <v>10</v>
      </c>
      <c r="G1129" s="2">
        <v>3</v>
      </c>
      <c r="H1129" s="2" t="s">
        <v>60</v>
      </c>
      <c r="I1129" s="2">
        <v>1</v>
      </c>
      <c r="J1129" s="2">
        <v>1592</v>
      </c>
      <c r="K1129" s="2">
        <v>4</v>
      </c>
      <c r="L1129" s="2" t="s">
        <v>46</v>
      </c>
      <c r="M1129" s="2">
        <v>45</v>
      </c>
      <c r="N1129" s="2">
        <v>4</v>
      </c>
      <c r="O1129" s="2">
        <v>1</v>
      </c>
      <c r="P1129" s="2" t="s">
        <v>47</v>
      </c>
      <c r="Q1129" s="2">
        <v>3</v>
      </c>
      <c r="R1129" s="2" t="s">
        <v>48</v>
      </c>
      <c r="S1129" s="2">
        <v>2073</v>
      </c>
      <c r="T1129" s="2">
        <v>12826</v>
      </c>
      <c r="U1129" s="2">
        <v>2</v>
      </c>
      <c r="V1129" s="2" t="s">
        <v>42</v>
      </c>
      <c r="W1129" s="2" t="s">
        <v>43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</row>
    <row r="1130" spans="1:35" x14ac:dyDescent="0.25">
      <c r="A1130" s="2">
        <v>36</v>
      </c>
      <c r="B1130" s="2" t="s">
        <v>43</v>
      </c>
      <c r="C1130" s="2" t="s">
        <v>44</v>
      </c>
      <c r="D1130" s="2">
        <v>1302</v>
      </c>
      <c r="E1130" s="2" t="s">
        <v>45</v>
      </c>
      <c r="F1130" s="2">
        <v>6</v>
      </c>
      <c r="G1130" s="2">
        <v>4</v>
      </c>
      <c r="H1130" s="2" t="s">
        <v>38</v>
      </c>
      <c r="I1130" s="2">
        <v>1</v>
      </c>
      <c r="J1130" s="2">
        <v>1594</v>
      </c>
      <c r="K1130" s="2">
        <v>1</v>
      </c>
      <c r="L1130" s="2" t="s">
        <v>46</v>
      </c>
      <c r="M1130" s="2">
        <v>80</v>
      </c>
      <c r="N1130" s="2">
        <v>4</v>
      </c>
      <c r="O1130" s="2">
        <v>2</v>
      </c>
      <c r="P1130" s="2" t="s">
        <v>50</v>
      </c>
      <c r="Q1130" s="2">
        <v>1</v>
      </c>
      <c r="R1130" s="2" t="s">
        <v>48</v>
      </c>
      <c r="S1130" s="2">
        <v>5562</v>
      </c>
      <c r="T1130" s="2">
        <v>19711</v>
      </c>
      <c r="U1130" s="2">
        <v>3</v>
      </c>
      <c r="V1130" s="2" t="s">
        <v>42</v>
      </c>
      <c r="W1130" s="2" t="s">
        <v>35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</row>
    <row r="1131" spans="1:35" x14ac:dyDescent="0.25">
      <c r="A1131" s="2">
        <v>42</v>
      </c>
      <c r="B1131" s="2" t="s">
        <v>43</v>
      </c>
      <c r="C1131" s="2" t="s">
        <v>36</v>
      </c>
      <c r="D1131" s="2">
        <v>1059</v>
      </c>
      <c r="E1131" s="2" t="s">
        <v>45</v>
      </c>
      <c r="F1131" s="2">
        <v>9</v>
      </c>
      <c r="G1131" s="2">
        <v>2</v>
      </c>
      <c r="H1131" s="2" t="s">
        <v>49</v>
      </c>
      <c r="I1131" s="2">
        <v>1</v>
      </c>
      <c r="J1131" s="2">
        <v>1595</v>
      </c>
      <c r="K1131" s="2">
        <v>4</v>
      </c>
      <c r="L1131" s="2" t="s">
        <v>46</v>
      </c>
      <c r="M1131" s="2">
        <v>93</v>
      </c>
      <c r="N1131" s="2">
        <v>2</v>
      </c>
      <c r="O1131" s="2">
        <v>5</v>
      </c>
      <c r="P1131" s="2" t="s">
        <v>56</v>
      </c>
      <c r="Q1131" s="2">
        <v>4</v>
      </c>
      <c r="R1131" s="2" t="s">
        <v>41</v>
      </c>
      <c r="S1131" s="2">
        <v>19613</v>
      </c>
      <c r="T1131" s="2">
        <v>26362</v>
      </c>
      <c r="U1131" s="2">
        <v>8</v>
      </c>
      <c r="V1131" s="2" t="s">
        <v>42</v>
      </c>
      <c r="W1131" s="2" t="s">
        <v>43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</row>
    <row r="1132" spans="1:35" x14ac:dyDescent="0.25">
      <c r="A1132" s="2">
        <v>35</v>
      </c>
      <c r="B1132" s="2" t="s">
        <v>43</v>
      </c>
      <c r="C1132" s="2" t="s">
        <v>36</v>
      </c>
      <c r="D1132" s="2">
        <v>750</v>
      </c>
      <c r="E1132" s="2" t="s">
        <v>45</v>
      </c>
      <c r="F1132" s="2">
        <v>28</v>
      </c>
      <c r="G1132" s="2">
        <v>3</v>
      </c>
      <c r="H1132" s="2" t="s">
        <v>38</v>
      </c>
      <c r="I1132" s="2">
        <v>1</v>
      </c>
      <c r="J1132" s="2">
        <v>1596</v>
      </c>
      <c r="K1132" s="2">
        <v>2</v>
      </c>
      <c r="L1132" s="2" t="s">
        <v>46</v>
      </c>
      <c r="M1132" s="2">
        <v>46</v>
      </c>
      <c r="N1132" s="2">
        <v>4</v>
      </c>
      <c r="O1132" s="2">
        <v>2</v>
      </c>
      <c r="P1132" s="2" t="s">
        <v>50</v>
      </c>
      <c r="Q1132" s="2">
        <v>3</v>
      </c>
      <c r="R1132" s="2" t="s">
        <v>48</v>
      </c>
      <c r="S1132" s="2">
        <v>3407</v>
      </c>
      <c r="T1132" s="2">
        <v>25348</v>
      </c>
      <c r="U1132" s="2">
        <v>1</v>
      </c>
      <c r="V1132" s="2" t="s">
        <v>42</v>
      </c>
      <c r="W1132" s="2" t="s">
        <v>43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</row>
    <row r="1133" spans="1:35" x14ac:dyDescent="0.25">
      <c r="A1133" s="2">
        <v>34</v>
      </c>
      <c r="B1133" s="2" t="s">
        <v>43</v>
      </c>
      <c r="C1133" s="2" t="s">
        <v>44</v>
      </c>
      <c r="D1133" s="2">
        <v>653</v>
      </c>
      <c r="E1133" s="2" t="s">
        <v>45</v>
      </c>
      <c r="F1133" s="2">
        <v>10</v>
      </c>
      <c r="G1133" s="2">
        <v>4</v>
      </c>
      <c r="H1133" s="2" t="s">
        <v>60</v>
      </c>
      <c r="I1133" s="2">
        <v>1</v>
      </c>
      <c r="J1133" s="2">
        <v>1597</v>
      </c>
      <c r="K1133" s="2">
        <v>4</v>
      </c>
      <c r="L1133" s="2" t="s">
        <v>46</v>
      </c>
      <c r="M1133" s="2">
        <v>92</v>
      </c>
      <c r="N1133" s="2">
        <v>2</v>
      </c>
      <c r="O1133" s="2">
        <v>2</v>
      </c>
      <c r="P1133" s="2" t="s">
        <v>54</v>
      </c>
      <c r="Q1133" s="2">
        <v>3</v>
      </c>
      <c r="R1133" s="2" t="s">
        <v>48</v>
      </c>
      <c r="S1133" s="2">
        <v>5063</v>
      </c>
      <c r="T1133" s="2">
        <v>15332</v>
      </c>
      <c r="U1133" s="2">
        <v>1</v>
      </c>
      <c r="V1133" s="2" t="s">
        <v>42</v>
      </c>
      <c r="W1133" s="2" t="s">
        <v>43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</row>
    <row r="1134" spans="1:35" x14ac:dyDescent="0.25">
      <c r="A1134" s="2">
        <v>40</v>
      </c>
      <c r="B1134" s="2" t="s">
        <v>43</v>
      </c>
      <c r="C1134" s="2" t="s">
        <v>36</v>
      </c>
      <c r="D1134" s="2">
        <v>118</v>
      </c>
      <c r="E1134" s="2" t="s">
        <v>37</v>
      </c>
      <c r="F1134" s="2">
        <v>14</v>
      </c>
      <c r="G1134" s="2">
        <v>2</v>
      </c>
      <c r="H1134" s="2" t="s">
        <v>38</v>
      </c>
      <c r="I1134" s="2">
        <v>1</v>
      </c>
      <c r="J1134" s="2">
        <v>1598</v>
      </c>
      <c r="K1134" s="2">
        <v>4</v>
      </c>
      <c r="L1134" s="2" t="s">
        <v>39</v>
      </c>
      <c r="M1134" s="2">
        <v>84</v>
      </c>
      <c r="N1134" s="2">
        <v>3</v>
      </c>
      <c r="O1134" s="2">
        <v>2</v>
      </c>
      <c r="P1134" s="2" t="s">
        <v>40</v>
      </c>
      <c r="Q1134" s="2">
        <v>1</v>
      </c>
      <c r="R1134" s="2" t="s">
        <v>48</v>
      </c>
      <c r="S1134" s="2">
        <v>4639</v>
      </c>
      <c r="T1134" s="2">
        <v>11262</v>
      </c>
      <c r="U1134" s="2">
        <v>1</v>
      </c>
      <c r="V1134" s="2" t="s">
        <v>42</v>
      </c>
      <c r="W1134" s="2" t="s">
        <v>43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</row>
    <row r="1135" spans="1:35" x14ac:dyDescent="0.25">
      <c r="A1135" s="2">
        <v>43</v>
      </c>
      <c r="B1135" s="2" t="s">
        <v>43</v>
      </c>
      <c r="C1135" s="2" t="s">
        <v>36</v>
      </c>
      <c r="D1135" s="2">
        <v>990</v>
      </c>
      <c r="E1135" s="2" t="s">
        <v>45</v>
      </c>
      <c r="F1135" s="2">
        <v>27</v>
      </c>
      <c r="G1135" s="2">
        <v>3</v>
      </c>
      <c r="H1135" s="2" t="s">
        <v>60</v>
      </c>
      <c r="I1135" s="2">
        <v>1</v>
      </c>
      <c r="J1135" s="2">
        <v>1599</v>
      </c>
      <c r="K1135" s="2">
        <v>4</v>
      </c>
      <c r="L1135" s="2" t="s">
        <v>46</v>
      </c>
      <c r="M1135" s="2">
        <v>87</v>
      </c>
      <c r="N1135" s="2">
        <v>4</v>
      </c>
      <c r="O1135" s="2">
        <v>1</v>
      </c>
      <c r="P1135" s="2" t="s">
        <v>50</v>
      </c>
      <c r="Q1135" s="2">
        <v>2</v>
      </c>
      <c r="R1135" s="2" t="s">
        <v>52</v>
      </c>
      <c r="S1135" s="2">
        <v>4876</v>
      </c>
      <c r="T1135" s="2">
        <v>5855</v>
      </c>
      <c r="U1135" s="2">
        <v>5</v>
      </c>
      <c r="V1135" s="2" t="s">
        <v>42</v>
      </c>
      <c r="W1135" s="2" t="s">
        <v>43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</row>
    <row r="1136" spans="1:35" x14ac:dyDescent="0.25">
      <c r="A1136" s="2">
        <v>35</v>
      </c>
      <c r="B1136" s="2" t="s">
        <v>43</v>
      </c>
      <c r="C1136" s="2" t="s">
        <v>36</v>
      </c>
      <c r="D1136" s="2">
        <v>1349</v>
      </c>
      <c r="E1136" s="2" t="s">
        <v>45</v>
      </c>
      <c r="F1136" s="2">
        <v>7</v>
      </c>
      <c r="G1136" s="2">
        <v>2</v>
      </c>
      <c r="H1136" s="2" t="s">
        <v>38</v>
      </c>
      <c r="I1136" s="2">
        <v>1</v>
      </c>
      <c r="J1136" s="2">
        <v>1601</v>
      </c>
      <c r="K1136" s="2">
        <v>3</v>
      </c>
      <c r="L1136" s="2" t="s">
        <v>46</v>
      </c>
      <c r="M1136" s="2">
        <v>63</v>
      </c>
      <c r="N1136" s="2">
        <v>2</v>
      </c>
      <c r="O1136" s="2">
        <v>1</v>
      </c>
      <c r="P1136" s="2" t="s">
        <v>50</v>
      </c>
      <c r="Q1136" s="2">
        <v>4</v>
      </c>
      <c r="R1136" s="2" t="s">
        <v>48</v>
      </c>
      <c r="S1136" s="2">
        <v>2690</v>
      </c>
      <c r="T1136" s="2">
        <v>7713</v>
      </c>
      <c r="U1136" s="2">
        <v>1</v>
      </c>
      <c r="V1136" s="2" t="s">
        <v>42</v>
      </c>
      <c r="W1136" s="2" t="s">
        <v>43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</row>
    <row r="1137" spans="1:35" x14ac:dyDescent="0.25">
      <c r="A1137" s="2">
        <v>46</v>
      </c>
      <c r="B1137" s="2" t="s">
        <v>43</v>
      </c>
      <c r="C1137" s="2" t="s">
        <v>36</v>
      </c>
      <c r="D1137" s="2">
        <v>563</v>
      </c>
      <c r="E1137" s="2" t="s">
        <v>37</v>
      </c>
      <c r="F1137" s="2">
        <v>1</v>
      </c>
      <c r="G1137" s="2">
        <v>4</v>
      </c>
      <c r="H1137" s="2" t="s">
        <v>38</v>
      </c>
      <c r="I1137" s="2">
        <v>1</v>
      </c>
      <c r="J1137" s="2">
        <v>1602</v>
      </c>
      <c r="K1137" s="2">
        <v>4</v>
      </c>
      <c r="L1137" s="2" t="s">
        <v>46</v>
      </c>
      <c r="M1137" s="2">
        <v>56</v>
      </c>
      <c r="N1137" s="2">
        <v>4</v>
      </c>
      <c r="O1137" s="2">
        <v>4</v>
      </c>
      <c r="P1137" s="2" t="s">
        <v>56</v>
      </c>
      <c r="Q1137" s="2">
        <v>1</v>
      </c>
      <c r="R1137" s="2" t="s">
        <v>41</v>
      </c>
      <c r="S1137" s="2">
        <v>17567</v>
      </c>
      <c r="T1137" s="2">
        <v>3156</v>
      </c>
      <c r="U1137" s="2">
        <v>1</v>
      </c>
      <c r="V1137" s="2" t="s">
        <v>42</v>
      </c>
      <c r="W1137" s="2" t="s">
        <v>43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</row>
    <row r="1138" spans="1:35" x14ac:dyDescent="0.25">
      <c r="A1138" s="2">
        <v>28</v>
      </c>
      <c r="B1138" s="2" t="s">
        <v>35</v>
      </c>
      <c r="C1138" s="2" t="s">
        <v>36</v>
      </c>
      <c r="D1138" s="2">
        <v>329</v>
      </c>
      <c r="E1138" s="2" t="s">
        <v>45</v>
      </c>
      <c r="F1138" s="2">
        <v>24</v>
      </c>
      <c r="G1138" s="2">
        <v>3</v>
      </c>
      <c r="H1138" s="2" t="s">
        <v>51</v>
      </c>
      <c r="I1138" s="2">
        <v>1</v>
      </c>
      <c r="J1138" s="2">
        <v>1604</v>
      </c>
      <c r="K1138" s="2">
        <v>3</v>
      </c>
      <c r="L1138" s="2" t="s">
        <v>46</v>
      </c>
      <c r="M1138" s="2">
        <v>51</v>
      </c>
      <c r="N1138" s="2">
        <v>3</v>
      </c>
      <c r="O1138" s="2">
        <v>1</v>
      </c>
      <c r="P1138" s="2" t="s">
        <v>50</v>
      </c>
      <c r="Q1138" s="2">
        <v>2</v>
      </c>
      <c r="R1138" s="2" t="s">
        <v>48</v>
      </c>
      <c r="S1138" s="2">
        <v>2408</v>
      </c>
      <c r="T1138" s="2">
        <v>7324</v>
      </c>
      <c r="U1138" s="2">
        <v>1</v>
      </c>
      <c r="V1138" s="2" t="s">
        <v>42</v>
      </c>
      <c r="W1138" s="2" t="s">
        <v>35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</row>
    <row r="1139" spans="1:35" x14ac:dyDescent="0.25">
      <c r="A1139" s="2">
        <v>22</v>
      </c>
      <c r="B1139" s="2" t="s">
        <v>43</v>
      </c>
      <c r="C1139" s="2" t="s">
        <v>55</v>
      </c>
      <c r="D1139" s="2">
        <v>457</v>
      </c>
      <c r="E1139" s="2" t="s">
        <v>45</v>
      </c>
      <c r="F1139" s="2">
        <v>26</v>
      </c>
      <c r="G1139" s="2">
        <v>2</v>
      </c>
      <c r="H1139" s="2" t="s">
        <v>49</v>
      </c>
      <c r="I1139" s="2">
        <v>1</v>
      </c>
      <c r="J1139" s="2">
        <v>1605</v>
      </c>
      <c r="K1139" s="2">
        <v>2</v>
      </c>
      <c r="L1139" s="2" t="s">
        <v>39</v>
      </c>
      <c r="M1139" s="2">
        <v>85</v>
      </c>
      <c r="N1139" s="2">
        <v>2</v>
      </c>
      <c r="O1139" s="2">
        <v>1</v>
      </c>
      <c r="P1139" s="2" t="s">
        <v>47</v>
      </c>
      <c r="Q1139" s="2">
        <v>3</v>
      </c>
      <c r="R1139" s="2" t="s">
        <v>48</v>
      </c>
      <c r="S1139" s="2">
        <v>2814</v>
      </c>
      <c r="T1139" s="2">
        <v>10293</v>
      </c>
      <c r="U1139" s="2">
        <v>1</v>
      </c>
      <c r="V1139" s="2" t="s">
        <v>42</v>
      </c>
      <c r="W1139" s="2" t="s">
        <v>35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</row>
    <row r="1140" spans="1:35" x14ac:dyDescent="0.25">
      <c r="A1140" s="2">
        <v>50</v>
      </c>
      <c r="B1140" s="2" t="s">
        <v>43</v>
      </c>
      <c r="C1140" s="2" t="s">
        <v>44</v>
      </c>
      <c r="D1140" s="2">
        <v>1234</v>
      </c>
      <c r="E1140" s="2" t="s">
        <v>45</v>
      </c>
      <c r="F1140" s="2">
        <v>20</v>
      </c>
      <c r="G1140" s="2">
        <v>5</v>
      </c>
      <c r="H1140" s="2" t="s">
        <v>51</v>
      </c>
      <c r="I1140" s="2">
        <v>1</v>
      </c>
      <c r="J1140" s="2">
        <v>1606</v>
      </c>
      <c r="K1140" s="2">
        <v>2</v>
      </c>
      <c r="L1140" s="2" t="s">
        <v>46</v>
      </c>
      <c r="M1140" s="2">
        <v>41</v>
      </c>
      <c r="N1140" s="2">
        <v>3</v>
      </c>
      <c r="O1140" s="2">
        <v>4</v>
      </c>
      <c r="P1140" s="2" t="s">
        <v>54</v>
      </c>
      <c r="Q1140" s="2">
        <v>3</v>
      </c>
      <c r="R1140" s="2" t="s">
        <v>48</v>
      </c>
      <c r="S1140" s="2">
        <v>11245</v>
      </c>
      <c r="T1140" s="2">
        <v>20689</v>
      </c>
      <c r="U1140" s="2">
        <v>2</v>
      </c>
      <c r="V1140" s="2" t="s">
        <v>42</v>
      </c>
      <c r="W1140" s="2" t="s">
        <v>35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</row>
    <row r="1141" spans="1:35" x14ac:dyDescent="0.25">
      <c r="A1141" s="2">
        <v>32</v>
      </c>
      <c r="B1141" s="2" t="s">
        <v>43</v>
      </c>
      <c r="C1141" s="2" t="s">
        <v>36</v>
      </c>
      <c r="D1141" s="2">
        <v>634</v>
      </c>
      <c r="E1141" s="2" t="s">
        <v>45</v>
      </c>
      <c r="F1141" s="2">
        <v>5</v>
      </c>
      <c r="G1141" s="2">
        <v>4</v>
      </c>
      <c r="H1141" s="2" t="s">
        <v>49</v>
      </c>
      <c r="I1141" s="2">
        <v>1</v>
      </c>
      <c r="J1141" s="2">
        <v>1607</v>
      </c>
      <c r="K1141" s="2">
        <v>2</v>
      </c>
      <c r="L1141" s="2" t="s">
        <v>39</v>
      </c>
      <c r="M1141" s="2">
        <v>35</v>
      </c>
      <c r="N1141" s="2">
        <v>4</v>
      </c>
      <c r="O1141" s="2">
        <v>1</v>
      </c>
      <c r="P1141" s="2" t="s">
        <v>47</v>
      </c>
      <c r="Q1141" s="2">
        <v>4</v>
      </c>
      <c r="R1141" s="2" t="s">
        <v>48</v>
      </c>
      <c r="S1141" s="2">
        <v>3312</v>
      </c>
      <c r="T1141" s="2">
        <v>18783</v>
      </c>
      <c r="U1141" s="2">
        <v>3</v>
      </c>
      <c r="V1141" s="2" t="s">
        <v>42</v>
      </c>
      <c r="W1141" s="2" t="s">
        <v>43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</row>
    <row r="1142" spans="1:35" x14ac:dyDescent="0.25">
      <c r="A1142" s="2">
        <v>44</v>
      </c>
      <c r="B1142" s="2" t="s">
        <v>43</v>
      </c>
      <c r="C1142" s="2" t="s">
        <v>36</v>
      </c>
      <c r="D1142" s="2">
        <v>1313</v>
      </c>
      <c r="E1142" s="2" t="s">
        <v>45</v>
      </c>
      <c r="F1142" s="2">
        <v>7</v>
      </c>
      <c r="G1142" s="2">
        <v>3</v>
      </c>
      <c r="H1142" s="2" t="s">
        <v>51</v>
      </c>
      <c r="I1142" s="2">
        <v>1</v>
      </c>
      <c r="J1142" s="2">
        <v>1608</v>
      </c>
      <c r="K1142" s="2">
        <v>2</v>
      </c>
      <c r="L1142" s="2" t="s">
        <v>39</v>
      </c>
      <c r="M1142" s="2">
        <v>31</v>
      </c>
      <c r="N1142" s="2">
        <v>3</v>
      </c>
      <c r="O1142" s="2">
        <v>5</v>
      </c>
      <c r="P1142" s="2" t="s">
        <v>58</v>
      </c>
      <c r="Q1142" s="2">
        <v>4</v>
      </c>
      <c r="R1142" s="2" t="s">
        <v>52</v>
      </c>
      <c r="S1142" s="2">
        <v>19049</v>
      </c>
      <c r="T1142" s="2">
        <v>3549</v>
      </c>
      <c r="U1142" s="2">
        <v>0</v>
      </c>
      <c r="V1142" s="2" t="s">
        <v>42</v>
      </c>
      <c r="W1142" s="2" t="s">
        <v>35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</row>
    <row r="1143" spans="1:35" x14ac:dyDescent="0.25">
      <c r="A1143" s="2">
        <v>30</v>
      </c>
      <c r="B1143" s="2" t="s">
        <v>43</v>
      </c>
      <c r="C1143" s="2" t="s">
        <v>36</v>
      </c>
      <c r="D1143" s="2">
        <v>241</v>
      </c>
      <c r="E1143" s="2" t="s">
        <v>45</v>
      </c>
      <c r="F1143" s="2">
        <v>7</v>
      </c>
      <c r="G1143" s="2">
        <v>3</v>
      </c>
      <c r="H1143" s="2" t="s">
        <v>51</v>
      </c>
      <c r="I1143" s="2">
        <v>1</v>
      </c>
      <c r="J1143" s="2">
        <v>1609</v>
      </c>
      <c r="K1143" s="2">
        <v>2</v>
      </c>
      <c r="L1143" s="2" t="s">
        <v>46</v>
      </c>
      <c r="M1143" s="2">
        <v>48</v>
      </c>
      <c r="N1143" s="2">
        <v>2</v>
      </c>
      <c r="O1143" s="2">
        <v>1</v>
      </c>
      <c r="P1143" s="2" t="s">
        <v>47</v>
      </c>
      <c r="Q1143" s="2">
        <v>2</v>
      </c>
      <c r="R1143" s="2" t="s">
        <v>48</v>
      </c>
      <c r="S1143" s="2">
        <v>2141</v>
      </c>
      <c r="T1143" s="2">
        <v>5348</v>
      </c>
      <c r="U1143" s="2">
        <v>1</v>
      </c>
      <c r="V1143" s="2" t="s">
        <v>42</v>
      </c>
      <c r="W1143" s="2" t="s">
        <v>43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</row>
    <row r="1144" spans="1:35" x14ac:dyDescent="0.25">
      <c r="A1144" s="2">
        <v>45</v>
      </c>
      <c r="B1144" s="2" t="s">
        <v>43</v>
      </c>
      <c r="C1144" s="2" t="s">
        <v>36</v>
      </c>
      <c r="D1144" s="2">
        <v>1015</v>
      </c>
      <c r="E1144" s="2" t="s">
        <v>45</v>
      </c>
      <c r="F1144" s="2">
        <v>5</v>
      </c>
      <c r="G1144" s="2">
        <v>5</v>
      </c>
      <c r="H1144" s="2" t="s">
        <v>51</v>
      </c>
      <c r="I1144" s="2">
        <v>1</v>
      </c>
      <c r="J1144" s="2">
        <v>1611</v>
      </c>
      <c r="K1144" s="2">
        <v>3</v>
      </c>
      <c r="L1144" s="2" t="s">
        <v>39</v>
      </c>
      <c r="M1144" s="2">
        <v>50</v>
      </c>
      <c r="N1144" s="2">
        <v>1</v>
      </c>
      <c r="O1144" s="2">
        <v>2</v>
      </c>
      <c r="P1144" s="2" t="s">
        <v>50</v>
      </c>
      <c r="Q1144" s="2">
        <v>1</v>
      </c>
      <c r="R1144" s="2" t="s">
        <v>41</v>
      </c>
      <c r="S1144" s="2">
        <v>5769</v>
      </c>
      <c r="T1144" s="2">
        <v>23447</v>
      </c>
      <c r="U1144" s="2">
        <v>1</v>
      </c>
      <c r="V1144" s="2" t="s">
        <v>42</v>
      </c>
      <c r="W1144" s="2" t="s">
        <v>35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</row>
    <row r="1145" spans="1:35" x14ac:dyDescent="0.25">
      <c r="A1145" s="2">
        <v>45</v>
      </c>
      <c r="B1145" s="2" t="s">
        <v>43</v>
      </c>
      <c r="C1145" s="2" t="s">
        <v>55</v>
      </c>
      <c r="D1145" s="2">
        <v>336</v>
      </c>
      <c r="E1145" s="2" t="s">
        <v>37</v>
      </c>
      <c r="F1145" s="2">
        <v>26</v>
      </c>
      <c r="G1145" s="2">
        <v>3</v>
      </c>
      <c r="H1145" s="2" t="s">
        <v>59</v>
      </c>
      <c r="I1145" s="2">
        <v>1</v>
      </c>
      <c r="J1145" s="2">
        <v>1612</v>
      </c>
      <c r="K1145" s="2">
        <v>1</v>
      </c>
      <c r="L1145" s="2" t="s">
        <v>46</v>
      </c>
      <c r="M1145" s="2">
        <v>52</v>
      </c>
      <c r="N1145" s="2">
        <v>2</v>
      </c>
      <c r="O1145" s="2">
        <v>2</v>
      </c>
      <c r="P1145" s="2" t="s">
        <v>40</v>
      </c>
      <c r="Q1145" s="2">
        <v>1</v>
      </c>
      <c r="R1145" s="2" t="s">
        <v>48</v>
      </c>
      <c r="S1145" s="2">
        <v>4385</v>
      </c>
      <c r="T1145" s="2">
        <v>24162</v>
      </c>
      <c r="U1145" s="2">
        <v>1</v>
      </c>
      <c r="V1145" s="2" t="s">
        <v>42</v>
      </c>
      <c r="W1145" s="2" t="s">
        <v>43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</row>
    <row r="1146" spans="1:35" x14ac:dyDescent="0.25">
      <c r="A1146" s="2">
        <v>31</v>
      </c>
      <c r="B1146" s="2" t="s">
        <v>43</v>
      </c>
      <c r="C1146" s="2" t="s">
        <v>44</v>
      </c>
      <c r="D1146" s="2">
        <v>715</v>
      </c>
      <c r="E1146" s="2" t="s">
        <v>37</v>
      </c>
      <c r="F1146" s="2">
        <v>2</v>
      </c>
      <c r="G1146" s="2">
        <v>4</v>
      </c>
      <c r="H1146" s="2" t="s">
        <v>49</v>
      </c>
      <c r="I1146" s="2">
        <v>1</v>
      </c>
      <c r="J1146" s="2">
        <v>1613</v>
      </c>
      <c r="K1146" s="2">
        <v>4</v>
      </c>
      <c r="L1146" s="2" t="s">
        <v>46</v>
      </c>
      <c r="M1146" s="2">
        <v>54</v>
      </c>
      <c r="N1146" s="2">
        <v>3</v>
      </c>
      <c r="O1146" s="2">
        <v>2</v>
      </c>
      <c r="P1146" s="2" t="s">
        <v>40</v>
      </c>
      <c r="Q1146" s="2">
        <v>1</v>
      </c>
      <c r="R1146" s="2" t="s">
        <v>41</v>
      </c>
      <c r="S1146" s="2">
        <v>5332</v>
      </c>
      <c r="T1146" s="2">
        <v>21602</v>
      </c>
      <c r="U1146" s="2">
        <v>7</v>
      </c>
      <c r="V1146" s="2" t="s">
        <v>42</v>
      </c>
      <c r="W1146" s="2" t="s">
        <v>43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</row>
    <row r="1147" spans="1:35" x14ac:dyDescent="0.25">
      <c r="A1147" s="2">
        <v>36</v>
      </c>
      <c r="B1147" s="2" t="s">
        <v>43</v>
      </c>
      <c r="C1147" s="2" t="s">
        <v>36</v>
      </c>
      <c r="D1147" s="2">
        <v>559</v>
      </c>
      <c r="E1147" s="2" t="s">
        <v>45</v>
      </c>
      <c r="F1147" s="2">
        <v>12</v>
      </c>
      <c r="G1147" s="2">
        <v>4</v>
      </c>
      <c r="H1147" s="2" t="s">
        <v>38</v>
      </c>
      <c r="I1147" s="2">
        <v>1</v>
      </c>
      <c r="J1147" s="2">
        <v>1614</v>
      </c>
      <c r="K1147" s="2">
        <v>3</v>
      </c>
      <c r="L1147" s="2" t="s">
        <v>39</v>
      </c>
      <c r="M1147" s="2">
        <v>76</v>
      </c>
      <c r="N1147" s="2">
        <v>3</v>
      </c>
      <c r="O1147" s="2">
        <v>2</v>
      </c>
      <c r="P1147" s="2" t="s">
        <v>53</v>
      </c>
      <c r="Q1147" s="2">
        <v>3</v>
      </c>
      <c r="R1147" s="2" t="s">
        <v>48</v>
      </c>
      <c r="S1147" s="2">
        <v>4663</v>
      </c>
      <c r="T1147" s="2">
        <v>12421</v>
      </c>
      <c r="U1147" s="2">
        <v>9</v>
      </c>
      <c r="V1147" s="2" t="s">
        <v>42</v>
      </c>
      <c r="W1147" s="2" t="s">
        <v>35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</row>
    <row r="1148" spans="1:35" x14ac:dyDescent="0.25">
      <c r="A1148" s="2">
        <v>34</v>
      </c>
      <c r="B1148" s="2" t="s">
        <v>43</v>
      </c>
      <c r="C1148" s="2" t="s">
        <v>44</v>
      </c>
      <c r="D1148" s="2">
        <v>426</v>
      </c>
      <c r="E1148" s="2" t="s">
        <v>45</v>
      </c>
      <c r="F1148" s="2">
        <v>10</v>
      </c>
      <c r="G1148" s="2">
        <v>4</v>
      </c>
      <c r="H1148" s="2" t="s">
        <v>38</v>
      </c>
      <c r="I1148" s="2">
        <v>1</v>
      </c>
      <c r="J1148" s="2">
        <v>1615</v>
      </c>
      <c r="K1148" s="2">
        <v>3</v>
      </c>
      <c r="L1148" s="2" t="s">
        <v>46</v>
      </c>
      <c r="M1148" s="2">
        <v>42</v>
      </c>
      <c r="N1148" s="2">
        <v>4</v>
      </c>
      <c r="O1148" s="2">
        <v>2</v>
      </c>
      <c r="P1148" s="2" t="s">
        <v>53</v>
      </c>
      <c r="Q1148" s="2">
        <v>4</v>
      </c>
      <c r="R1148" s="2" t="s">
        <v>52</v>
      </c>
      <c r="S1148" s="2">
        <v>4724</v>
      </c>
      <c r="T1148" s="2">
        <v>17000</v>
      </c>
      <c r="U1148" s="2">
        <v>1</v>
      </c>
      <c r="V1148" s="2" t="s">
        <v>42</v>
      </c>
      <c r="W1148" s="2" t="s">
        <v>43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</row>
    <row r="1149" spans="1:35" x14ac:dyDescent="0.25">
      <c r="A1149" s="2">
        <v>49</v>
      </c>
      <c r="B1149" s="2" t="s">
        <v>43</v>
      </c>
      <c r="C1149" s="2" t="s">
        <v>36</v>
      </c>
      <c r="D1149" s="2">
        <v>722</v>
      </c>
      <c r="E1149" s="2" t="s">
        <v>45</v>
      </c>
      <c r="F1149" s="2">
        <v>25</v>
      </c>
      <c r="G1149" s="2">
        <v>4</v>
      </c>
      <c r="H1149" s="2" t="s">
        <v>38</v>
      </c>
      <c r="I1149" s="2">
        <v>1</v>
      </c>
      <c r="J1149" s="2">
        <v>1617</v>
      </c>
      <c r="K1149" s="2">
        <v>3</v>
      </c>
      <c r="L1149" s="2" t="s">
        <v>39</v>
      </c>
      <c r="M1149" s="2">
        <v>84</v>
      </c>
      <c r="N1149" s="2">
        <v>3</v>
      </c>
      <c r="O1149" s="2">
        <v>1</v>
      </c>
      <c r="P1149" s="2" t="s">
        <v>50</v>
      </c>
      <c r="Q1149" s="2">
        <v>1</v>
      </c>
      <c r="R1149" s="2" t="s">
        <v>48</v>
      </c>
      <c r="S1149" s="2">
        <v>3211</v>
      </c>
      <c r="T1149" s="2">
        <v>22102</v>
      </c>
      <c r="U1149" s="2">
        <v>1</v>
      </c>
      <c r="V1149" s="2" t="s">
        <v>42</v>
      </c>
      <c r="W1149" s="2" t="s">
        <v>43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</row>
    <row r="1150" spans="1:35" x14ac:dyDescent="0.25">
      <c r="A1150" s="2">
        <v>39</v>
      </c>
      <c r="B1150" s="2" t="s">
        <v>43</v>
      </c>
      <c r="C1150" s="2" t="s">
        <v>36</v>
      </c>
      <c r="D1150" s="2">
        <v>1387</v>
      </c>
      <c r="E1150" s="2" t="s">
        <v>45</v>
      </c>
      <c r="F1150" s="2">
        <v>10</v>
      </c>
      <c r="G1150" s="2">
        <v>5</v>
      </c>
      <c r="H1150" s="2" t="s">
        <v>51</v>
      </c>
      <c r="I1150" s="2">
        <v>1</v>
      </c>
      <c r="J1150" s="2">
        <v>1618</v>
      </c>
      <c r="K1150" s="2">
        <v>2</v>
      </c>
      <c r="L1150" s="2" t="s">
        <v>46</v>
      </c>
      <c r="M1150" s="2">
        <v>76</v>
      </c>
      <c r="N1150" s="2">
        <v>3</v>
      </c>
      <c r="O1150" s="2">
        <v>2</v>
      </c>
      <c r="P1150" s="2" t="s">
        <v>53</v>
      </c>
      <c r="Q1150" s="2">
        <v>1</v>
      </c>
      <c r="R1150" s="2" t="s">
        <v>48</v>
      </c>
      <c r="S1150" s="2">
        <v>5377</v>
      </c>
      <c r="T1150" s="2">
        <v>3835</v>
      </c>
      <c r="U1150" s="2">
        <v>2</v>
      </c>
      <c r="V1150" s="2" t="s">
        <v>42</v>
      </c>
      <c r="W1150" s="2" t="s">
        <v>43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</row>
    <row r="1151" spans="1:35" x14ac:dyDescent="0.25">
      <c r="A1151" s="2">
        <v>27</v>
      </c>
      <c r="B1151" s="2" t="s">
        <v>43</v>
      </c>
      <c r="C1151" s="2" t="s">
        <v>36</v>
      </c>
      <c r="D1151" s="2">
        <v>1302</v>
      </c>
      <c r="E1151" s="2" t="s">
        <v>45</v>
      </c>
      <c r="F1151" s="2">
        <v>19</v>
      </c>
      <c r="G1151" s="2">
        <v>3</v>
      </c>
      <c r="H1151" s="2" t="s">
        <v>49</v>
      </c>
      <c r="I1151" s="2">
        <v>1</v>
      </c>
      <c r="J1151" s="2">
        <v>1619</v>
      </c>
      <c r="K1151" s="2">
        <v>4</v>
      </c>
      <c r="L1151" s="2" t="s">
        <v>46</v>
      </c>
      <c r="M1151" s="2">
        <v>67</v>
      </c>
      <c r="N1151" s="2">
        <v>2</v>
      </c>
      <c r="O1151" s="2">
        <v>1</v>
      </c>
      <c r="P1151" s="2" t="s">
        <v>50</v>
      </c>
      <c r="Q1151" s="2">
        <v>1</v>
      </c>
      <c r="R1151" s="2" t="s">
        <v>52</v>
      </c>
      <c r="S1151" s="2">
        <v>4066</v>
      </c>
      <c r="T1151" s="2">
        <v>16290</v>
      </c>
      <c r="U1151" s="2">
        <v>1</v>
      </c>
      <c r="V1151" s="2" t="s">
        <v>42</v>
      </c>
      <c r="W1151" s="2" t="s">
        <v>43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</row>
    <row r="1152" spans="1:35" x14ac:dyDescent="0.25">
      <c r="A1152" s="2">
        <v>35</v>
      </c>
      <c r="B1152" s="2" t="s">
        <v>43</v>
      </c>
      <c r="C1152" s="2" t="s">
        <v>36</v>
      </c>
      <c r="D1152" s="2">
        <v>819</v>
      </c>
      <c r="E1152" s="2" t="s">
        <v>45</v>
      </c>
      <c r="F1152" s="2">
        <v>18</v>
      </c>
      <c r="G1152" s="2">
        <v>5</v>
      </c>
      <c r="H1152" s="2" t="s">
        <v>38</v>
      </c>
      <c r="I1152" s="2">
        <v>1</v>
      </c>
      <c r="J1152" s="2">
        <v>1621</v>
      </c>
      <c r="K1152" s="2">
        <v>2</v>
      </c>
      <c r="L1152" s="2" t="s">
        <v>46</v>
      </c>
      <c r="M1152" s="2">
        <v>48</v>
      </c>
      <c r="N1152" s="2">
        <v>4</v>
      </c>
      <c r="O1152" s="2">
        <v>2</v>
      </c>
      <c r="P1152" s="2" t="s">
        <v>47</v>
      </c>
      <c r="Q1152" s="2">
        <v>1</v>
      </c>
      <c r="R1152" s="2" t="s">
        <v>48</v>
      </c>
      <c r="S1152" s="2">
        <v>5208</v>
      </c>
      <c r="T1152" s="2">
        <v>26312</v>
      </c>
      <c r="U1152" s="2">
        <v>1</v>
      </c>
      <c r="V1152" s="2" t="s">
        <v>42</v>
      </c>
      <c r="W1152" s="2" t="s">
        <v>43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</row>
    <row r="1153" spans="1:35" x14ac:dyDescent="0.25">
      <c r="A1153" s="2">
        <v>28</v>
      </c>
      <c r="B1153" s="2" t="s">
        <v>43</v>
      </c>
      <c r="C1153" s="2" t="s">
        <v>36</v>
      </c>
      <c r="D1153" s="2">
        <v>580</v>
      </c>
      <c r="E1153" s="2" t="s">
        <v>45</v>
      </c>
      <c r="F1153" s="2">
        <v>27</v>
      </c>
      <c r="G1153" s="2">
        <v>3</v>
      </c>
      <c r="H1153" s="2" t="s">
        <v>51</v>
      </c>
      <c r="I1153" s="2">
        <v>1</v>
      </c>
      <c r="J1153" s="2">
        <v>1622</v>
      </c>
      <c r="K1153" s="2">
        <v>2</v>
      </c>
      <c r="L1153" s="2" t="s">
        <v>39</v>
      </c>
      <c r="M1153" s="2">
        <v>39</v>
      </c>
      <c r="N1153" s="2">
        <v>1</v>
      </c>
      <c r="O1153" s="2">
        <v>2</v>
      </c>
      <c r="P1153" s="2" t="s">
        <v>53</v>
      </c>
      <c r="Q1153" s="2">
        <v>1</v>
      </c>
      <c r="R1153" s="2" t="s">
        <v>52</v>
      </c>
      <c r="S1153" s="2">
        <v>4877</v>
      </c>
      <c r="T1153" s="2">
        <v>20460</v>
      </c>
      <c r="U1153" s="2">
        <v>0</v>
      </c>
      <c r="V1153" s="2" t="s">
        <v>42</v>
      </c>
      <c r="W1153" s="2" t="s">
        <v>43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</row>
    <row r="1154" spans="1:35" x14ac:dyDescent="0.25">
      <c r="A1154" s="2">
        <v>21</v>
      </c>
      <c r="B1154" s="2" t="s">
        <v>43</v>
      </c>
      <c r="C1154" s="2" t="s">
        <v>36</v>
      </c>
      <c r="D1154" s="2">
        <v>546</v>
      </c>
      <c r="E1154" s="2" t="s">
        <v>45</v>
      </c>
      <c r="F1154" s="2">
        <v>5</v>
      </c>
      <c r="G1154" s="2">
        <v>1</v>
      </c>
      <c r="H1154" s="2" t="s">
        <v>51</v>
      </c>
      <c r="I1154" s="2">
        <v>1</v>
      </c>
      <c r="J1154" s="2">
        <v>1623</v>
      </c>
      <c r="K1154" s="2">
        <v>3</v>
      </c>
      <c r="L1154" s="2" t="s">
        <v>46</v>
      </c>
      <c r="M1154" s="2">
        <v>97</v>
      </c>
      <c r="N1154" s="2">
        <v>3</v>
      </c>
      <c r="O1154" s="2">
        <v>1</v>
      </c>
      <c r="P1154" s="2" t="s">
        <v>47</v>
      </c>
      <c r="Q1154" s="2">
        <v>4</v>
      </c>
      <c r="R1154" s="2" t="s">
        <v>41</v>
      </c>
      <c r="S1154" s="2">
        <v>3117</v>
      </c>
      <c r="T1154" s="2">
        <v>26009</v>
      </c>
      <c r="U1154" s="2">
        <v>1</v>
      </c>
      <c r="V1154" s="2" t="s">
        <v>42</v>
      </c>
      <c r="W1154" s="2" t="s">
        <v>43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</row>
    <row r="1155" spans="1:35" x14ac:dyDescent="0.25">
      <c r="A1155" s="2">
        <v>18</v>
      </c>
      <c r="B1155" s="2" t="s">
        <v>35</v>
      </c>
      <c r="C1155" s="2" t="s">
        <v>44</v>
      </c>
      <c r="D1155" s="2">
        <v>544</v>
      </c>
      <c r="E1155" s="2" t="s">
        <v>37</v>
      </c>
      <c r="F1155" s="2">
        <v>3</v>
      </c>
      <c r="G1155" s="2">
        <v>2</v>
      </c>
      <c r="H1155" s="2" t="s">
        <v>51</v>
      </c>
      <c r="I1155" s="2">
        <v>1</v>
      </c>
      <c r="J1155" s="2">
        <v>1624</v>
      </c>
      <c r="K1155" s="2">
        <v>2</v>
      </c>
      <c r="L1155" s="2" t="s">
        <v>39</v>
      </c>
      <c r="M1155" s="2">
        <v>70</v>
      </c>
      <c r="N1155" s="2">
        <v>3</v>
      </c>
      <c r="O1155" s="2">
        <v>1</v>
      </c>
      <c r="P1155" s="2" t="s">
        <v>57</v>
      </c>
      <c r="Q1155" s="2">
        <v>4</v>
      </c>
      <c r="R1155" s="2" t="s">
        <v>41</v>
      </c>
      <c r="S1155" s="2">
        <v>1569</v>
      </c>
      <c r="T1155" s="2">
        <v>18420</v>
      </c>
      <c r="U1155" s="2">
        <v>1</v>
      </c>
      <c r="V1155" s="2" t="s">
        <v>42</v>
      </c>
      <c r="W1155" s="2" t="s">
        <v>35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</row>
    <row r="1156" spans="1:35" x14ac:dyDescent="0.25">
      <c r="A1156" s="2">
        <v>47</v>
      </c>
      <c r="B1156" s="2" t="s">
        <v>43</v>
      </c>
      <c r="C1156" s="2" t="s">
        <v>36</v>
      </c>
      <c r="D1156" s="2">
        <v>1176</v>
      </c>
      <c r="E1156" s="2" t="s">
        <v>61</v>
      </c>
      <c r="F1156" s="2">
        <v>26</v>
      </c>
      <c r="G1156" s="2">
        <v>4</v>
      </c>
      <c r="H1156" s="2" t="s">
        <v>38</v>
      </c>
      <c r="I1156" s="2">
        <v>1</v>
      </c>
      <c r="J1156" s="2">
        <v>1625</v>
      </c>
      <c r="K1156" s="2">
        <v>4</v>
      </c>
      <c r="L1156" s="2" t="s">
        <v>39</v>
      </c>
      <c r="M1156" s="2">
        <v>98</v>
      </c>
      <c r="N1156" s="2">
        <v>3</v>
      </c>
      <c r="O1156" s="2">
        <v>5</v>
      </c>
      <c r="P1156" s="2" t="s">
        <v>56</v>
      </c>
      <c r="Q1156" s="2">
        <v>3</v>
      </c>
      <c r="R1156" s="2" t="s">
        <v>48</v>
      </c>
      <c r="S1156" s="2">
        <v>19658</v>
      </c>
      <c r="T1156" s="2">
        <v>5220</v>
      </c>
      <c r="U1156" s="2">
        <v>3</v>
      </c>
      <c r="V1156" s="2" t="s">
        <v>42</v>
      </c>
      <c r="W1156" s="2" t="s">
        <v>43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</row>
    <row r="1157" spans="1:35" x14ac:dyDescent="0.25">
      <c r="A1157" s="2">
        <v>39</v>
      </c>
      <c r="B1157" s="2" t="s">
        <v>43</v>
      </c>
      <c r="C1157" s="2" t="s">
        <v>36</v>
      </c>
      <c r="D1157" s="2">
        <v>170</v>
      </c>
      <c r="E1157" s="2" t="s">
        <v>45</v>
      </c>
      <c r="F1157" s="2">
        <v>3</v>
      </c>
      <c r="G1157" s="2">
        <v>2</v>
      </c>
      <c r="H1157" s="2" t="s">
        <v>51</v>
      </c>
      <c r="I1157" s="2">
        <v>1</v>
      </c>
      <c r="J1157" s="2">
        <v>1627</v>
      </c>
      <c r="K1157" s="2">
        <v>3</v>
      </c>
      <c r="L1157" s="2" t="s">
        <v>46</v>
      </c>
      <c r="M1157" s="2">
        <v>76</v>
      </c>
      <c r="N1157" s="2">
        <v>2</v>
      </c>
      <c r="O1157" s="2">
        <v>2</v>
      </c>
      <c r="P1157" s="2" t="s">
        <v>50</v>
      </c>
      <c r="Q1157" s="2">
        <v>3</v>
      </c>
      <c r="R1157" s="2" t="s">
        <v>52</v>
      </c>
      <c r="S1157" s="2">
        <v>3069</v>
      </c>
      <c r="T1157" s="2">
        <v>10302</v>
      </c>
      <c r="U1157" s="2">
        <v>0</v>
      </c>
      <c r="V1157" s="2" t="s">
        <v>42</v>
      </c>
      <c r="W1157" s="2" t="s">
        <v>43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</row>
    <row r="1158" spans="1:35" x14ac:dyDescent="0.25">
      <c r="A1158" s="2">
        <v>40</v>
      </c>
      <c r="B1158" s="2" t="s">
        <v>43</v>
      </c>
      <c r="C1158" s="2" t="s">
        <v>36</v>
      </c>
      <c r="D1158" s="2">
        <v>884</v>
      </c>
      <c r="E1158" s="2" t="s">
        <v>45</v>
      </c>
      <c r="F1158" s="2">
        <v>15</v>
      </c>
      <c r="G1158" s="2">
        <v>3</v>
      </c>
      <c r="H1158" s="2" t="s">
        <v>38</v>
      </c>
      <c r="I1158" s="2">
        <v>1</v>
      </c>
      <c r="J1158" s="2">
        <v>1628</v>
      </c>
      <c r="K1158" s="2">
        <v>1</v>
      </c>
      <c r="L1158" s="2" t="s">
        <v>39</v>
      </c>
      <c r="M1158" s="2">
        <v>80</v>
      </c>
      <c r="N1158" s="2">
        <v>2</v>
      </c>
      <c r="O1158" s="2">
        <v>3</v>
      </c>
      <c r="P1158" s="2" t="s">
        <v>53</v>
      </c>
      <c r="Q1158" s="2">
        <v>3</v>
      </c>
      <c r="R1158" s="2" t="s">
        <v>48</v>
      </c>
      <c r="S1158" s="2">
        <v>10435</v>
      </c>
      <c r="T1158" s="2">
        <v>25800</v>
      </c>
      <c r="U1158" s="2">
        <v>1</v>
      </c>
      <c r="V1158" s="2" t="s">
        <v>42</v>
      </c>
      <c r="W1158" s="2" t="s">
        <v>43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</row>
    <row r="1159" spans="1:35" x14ac:dyDescent="0.25">
      <c r="A1159" s="2">
        <v>35</v>
      </c>
      <c r="B1159" s="2" t="s">
        <v>43</v>
      </c>
      <c r="C1159" s="2" t="s">
        <v>55</v>
      </c>
      <c r="D1159" s="2">
        <v>208</v>
      </c>
      <c r="E1159" s="2" t="s">
        <v>45</v>
      </c>
      <c r="F1159" s="2">
        <v>8</v>
      </c>
      <c r="G1159" s="2">
        <v>4</v>
      </c>
      <c r="H1159" s="2" t="s">
        <v>38</v>
      </c>
      <c r="I1159" s="2">
        <v>1</v>
      </c>
      <c r="J1159" s="2">
        <v>1630</v>
      </c>
      <c r="K1159" s="2">
        <v>3</v>
      </c>
      <c r="L1159" s="2" t="s">
        <v>39</v>
      </c>
      <c r="M1159" s="2">
        <v>52</v>
      </c>
      <c r="N1159" s="2">
        <v>3</v>
      </c>
      <c r="O1159" s="2">
        <v>2</v>
      </c>
      <c r="P1159" s="2" t="s">
        <v>54</v>
      </c>
      <c r="Q1159" s="2">
        <v>3</v>
      </c>
      <c r="R1159" s="2" t="s">
        <v>48</v>
      </c>
      <c r="S1159" s="2">
        <v>4148</v>
      </c>
      <c r="T1159" s="2">
        <v>12250</v>
      </c>
      <c r="U1159" s="2">
        <v>1</v>
      </c>
      <c r="V1159" s="2" t="s">
        <v>42</v>
      </c>
      <c r="W1159" s="2" t="s">
        <v>43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</row>
    <row r="1160" spans="1:35" x14ac:dyDescent="0.25">
      <c r="A1160" s="2">
        <v>37</v>
      </c>
      <c r="B1160" s="2" t="s">
        <v>43</v>
      </c>
      <c r="C1160" s="2" t="s">
        <v>36</v>
      </c>
      <c r="D1160" s="2">
        <v>671</v>
      </c>
      <c r="E1160" s="2" t="s">
        <v>45</v>
      </c>
      <c r="F1160" s="2">
        <v>19</v>
      </c>
      <c r="G1160" s="2">
        <v>3</v>
      </c>
      <c r="H1160" s="2" t="s">
        <v>38</v>
      </c>
      <c r="I1160" s="2">
        <v>1</v>
      </c>
      <c r="J1160" s="2">
        <v>1631</v>
      </c>
      <c r="K1160" s="2">
        <v>3</v>
      </c>
      <c r="L1160" s="2" t="s">
        <v>46</v>
      </c>
      <c r="M1160" s="2">
        <v>85</v>
      </c>
      <c r="N1160" s="2">
        <v>3</v>
      </c>
      <c r="O1160" s="2">
        <v>2</v>
      </c>
      <c r="P1160" s="2" t="s">
        <v>53</v>
      </c>
      <c r="Q1160" s="2">
        <v>3</v>
      </c>
      <c r="R1160" s="2" t="s">
        <v>48</v>
      </c>
      <c r="S1160" s="2">
        <v>5768</v>
      </c>
      <c r="T1160" s="2">
        <v>26493</v>
      </c>
      <c r="U1160" s="2">
        <v>3</v>
      </c>
      <c r="V1160" s="2" t="s">
        <v>42</v>
      </c>
      <c r="W1160" s="2" t="s">
        <v>43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</row>
    <row r="1161" spans="1:35" x14ac:dyDescent="0.25">
      <c r="A1161" s="2">
        <v>39</v>
      </c>
      <c r="B1161" s="2" t="s">
        <v>43</v>
      </c>
      <c r="C1161" s="2" t="s">
        <v>44</v>
      </c>
      <c r="D1161" s="2">
        <v>711</v>
      </c>
      <c r="E1161" s="2" t="s">
        <v>45</v>
      </c>
      <c r="F1161" s="2">
        <v>4</v>
      </c>
      <c r="G1161" s="2">
        <v>3</v>
      </c>
      <c r="H1161" s="2" t="s">
        <v>51</v>
      </c>
      <c r="I1161" s="2">
        <v>1</v>
      </c>
      <c r="J1161" s="2">
        <v>1633</v>
      </c>
      <c r="K1161" s="2">
        <v>1</v>
      </c>
      <c r="L1161" s="2" t="s">
        <v>39</v>
      </c>
      <c r="M1161" s="2">
        <v>81</v>
      </c>
      <c r="N1161" s="2">
        <v>3</v>
      </c>
      <c r="O1161" s="2">
        <v>2</v>
      </c>
      <c r="P1161" s="2" t="s">
        <v>53</v>
      </c>
      <c r="Q1161" s="2">
        <v>3</v>
      </c>
      <c r="R1161" s="2" t="s">
        <v>41</v>
      </c>
      <c r="S1161" s="2">
        <v>5042</v>
      </c>
      <c r="T1161" s="2">
        <v>3140</v>
      </c>
      <c r="U1161" s="2">
        <v>0</v>
      </c>
      <c r="V1161" s="2" t="s">
        <v>42</v>
      </c>
      <c r="W1161" s="2" t="s">
        <v>43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</row>
    <row r="1162" spans="1:35" x14ac:dyDescent="0.25">
      <c r="A1162" s="2">
        <v>45</v>
      </c>
      <c r="B1162" s="2" t="s">
        <v>43</v>
      </c>
      <c r="C1162" s="2" t="s">
        <v>36</v>
      </c>
      <c r="D1162" s="2">
        <v>1329</v>
      </c>
      <c r="E1162" s="2" t="s">
        <v>45</v>
      </c>
      <c r="F1162" s="2">
        <v>2</v>
      </c>
      <c r="G1162" s="2">
        <v>2</v>
      </c>
      <c r="H1162" s="2" t="s">
        <v>49</v>
      </c>
      <c r="I1162" s="2">
        <v>1</v>
      </c>
      <c r="J1162" s="2">
        <v>1635</v>
      </c>
      <c r="K1162" s="2">
        <v>4</v>
      </c>
      <c r="L1162" s="2" t="s">
        <v>39</v>
      </c>
      <c r="M1162" s="2">
        <v>59</v>
      </c>
      <c r="N1162" s="2">
        <v>2</v>
      </c>
      <c r="O1162" s="2">
        <v>2</v>
      </c>
      <c r="P1162" s="2" t="s">
        <v>53</v>
      </c>
      <c r="Q1162" s="2">
        <v>4</v>
      </c>
      <c r="R1162" s="2" t="s">
        <v>52</v>
      </c>
      <c r="S1162" s="2">
        <v>5770</v>
      </c>
      <c r="T1162" s="2">
        <v>5388</v>
      </c>
      <c r="U1162" s="2">
        <v>1</v>
      </c>
      <c r="V1162" s="2" t="s">
        <v>42</v>
      </c>
      <c r="W1162" s="2" t="s">
        <v>43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</row>
    <row r="1163" spans="1:35" x14ac:dyDescent="0.25">
      <c r="A1163" s="2">
        <v>38</v>
      </c>
      <c r="B1163" s="2" t="s">
        <v>43</v>
      </c>
      <c r="C1163" s="2" t="s">
        <v>36</v>
      </c>
      <c r="D1163" s="2">
        <v>397</v>
      </c>
      <c r="E1163" s="2" t="s">
        <v>45</v>
      </c>
      <c r="F1163" s="2">
        <v>2</v>
      </c>
      <c r="G1163" s="2">
        <v>2</v>
      </c>
      <c r="H1163" s="2" t="s">
        <v>51</v>
      </c>
      <c r="I1163" s="2">
        <v>1</v>
      </c>
      <c r="J1163" s="2">
        <v>1638</v>
      </c>
      <c r="K1163" s="2">
        <v>4</v>
      </c>
      <c r="L1163" s="2" t="s">
        <v>39</v>
      </c>
      <c r="M1163" s="2">
        <v>54</v>
      </c>
      <c r="N1163" s="2">
        <v>2</v>
      </c>
      <c r="O1163" s="2">
        <v>3</v>
      </c>
      <c r="P1163" s="2" t="s">
        <v>53</v>
      </c>
      <c r="Q1163" s="2">
        <v>3</v>
      </c>
      <c r="R1163" s="2" t="s">
        <v>48</v>
      </c>
      <c r="S1163" s="2">
        <v>7756</v>
      </c>
      <c r="T1163" s="2">
        <v>14199</v>
      </c>
      <c r="U1163" s="2">
        <v>3</v>
      </c>
      <c r="V1163" s="2" t="s">
        <v>42</v>
      </c>
      <c r="W1163" s="2" t="s">
        <v>35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</row>
    <row r="1164" spans="1:35" x14ac:dyDescent="0.25">
      <c r="A1164" s="2">
        <v>35</v>
      </c>
      <c r="B1164" s="2" t="s">
        <v>35</v>
      </c>
      <c r="C1164" s="2" t="s">
        <v>36</v>
      </c>
      <c r="D1164" s="2">
        <v>737</v>
      </c>
      <c r="E1164" s="2" t="s">
        <v>37</v>
      </c>
      <c r="F1164" s="2">
        <v>10</v>
      </c>
      <c r="G1164" s="2">
        <v>3</v>
      </c>
      <c r="H1164" s="2" t="s">
        <v>51</v>
      </c>
      <c r="I1164" s="2">
        <v>1</v>
      </c>
      <c r="J1164" s="2">
        <v>1639</v>
      </c>
      <c r="K1164" s="2">
        <v>4</v>
      </c>
      <c r="L1164" s="2" t="s">
        <v>46</v>
      </c>
      <c r="M1164" s="2">
        <v>55</v>
      </c>
      <c r="N1164" s="2">
        <v>2</v>
      </c>
      <c r="O1164" s="2">
        <v>3</v>
      </c>
      <c r="P1164" s="2" t="s">
        <v>40</v>
      </c>
      <c r="Q1164" s="2">
        <v>1</v>
      </c>
      <c r="R1164" s="2" t="s">
        <v>48</v>
      </c>
      <c r="S1164" s="2">
        <v>10306</v>
      </c>
      <c r="T1164" s="2">
        <v>21530</v>
      </c>
      <c r="U1164" s="2">
        <v>9</v>
      </c>
      <c r="V1164" s="2" t="s">
        <v>42</v>
      </c>
      <c r="W1164" s="2" t="s">
        <v>43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</row>
    <row r="1165" spans="1:35" x14ac:dyDescent="0.25">
      <c r="A1165" s="2">
        <v>37</v>
      </c>
      <c r="B1165" s="2" t="s">
        <v>43</v>
      </c>
      <c r="C1165" s="2" t="s">
        <v>36</v>
      </c>
      <c r="D1165" s="2">
        <v>1470</v>
      </c>
      <c r="E1165" s="2" t="s">
        <v>45</v>
      </c>
      <c r="F1165" s="2">
        <v>10</v>
      </c>
      <c r="G1165" s="2">
        <v>3</v>
      </c>
      <c r="H1165" s="2" t="s">
        <v>51</v>
      </c>
      <c r="I1165" s="2">
        <v>1</v>
      </c>
      <c r="J1165" s="2">
        <v>1640</v>
      </c>
      <c r="K1165" s="2">
        <v>2</v>
      </c>
      <c r="L1165" s="2" t="s">
        <v>39</v>
      </c>
      <c r="M1165" s="2">
        <v>71</v>
      </c>
      <c r="N1165" s="2">
        <v>3</v>
      </c>
      <c r="O1165" s="2">
        <v>1</v>
      </c>
      <c r="P1165" s="2" t="s">
        <v>47</v>
      </c>
      <c r="Q1165" s="2">
        <v>2</v>
      </c>
      <c r="R1165" s="2" t="s">
        <v>48</v>
      </c>
      <c r="S1165" s="2">
        <v>3936</v>
      </c>
      <c r="T1165" s="2">
        <v>9953</v>
      </c>
      <c r="U1165" s="2">
        <v>1</v>
      </c>
      <c r="V1165" s="2" t="s">
        <v>42</v>
      </c>
      <c r="W1165" s="2" t="s">
        <v>43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</row>
    <row r="1166" spans="1:35" x14ac:dyDescent="0.25">
      <c r="A1166" s="2">
        <v>40</v>
      </c>
      <c r="B1166" s="2" t="s">
        <v>43</v>
      </c>
      <c r="C1166" s="2" t="s">
        <v>36</v>
      </c>
      <c r="D1166" s="2">
        <v>448</v>
      </c>
      <c r="E1166" s="2" t="s">
        <v>45</v>
      </c>
      <c r="F1166" s="2">
        <v>16</v>
      </c>
      <c r="G1166" s="2">
        <v>3</v>
      </c>
      <c r="H1166" s="2" t="s">
        <v>38</v>
      </c>
      <c r="I1166" s="2">
        <v>1</v>
      </c>
      <c r="J1166" s="2">
        <v>1641</v>
      </c>
      <c r="K1166" s="2">
        <v>3</v>
      </c>
      <c r="L1166" s="2" t="s">
        <v>39</v>
      </c>
      <c r="M1166" s="2">
        <v>84</v>
      </c>
      <c r="N1166" s="2">
        <v>3</v>
      </c>
      <c r="O1166" s="2">
        <v>3</v>
      </c>
      <c r="P1166" s="2" t="s">
        <v>53</v>
      </c>
      <c r="Q1166" s="2">
        <v>4</v>
      </c>
      <c r="R1166" s="2" t="s">
        <v>41</v>
      </c>
      <c r="S1166" s="2">
        <v>7945</v>
      </c>
      <c r="T1166" s="2">
        <v>19948</v>
      </c>
      <c r="U1166" s="2">
        <v>6</v>
      </c>
      <c r="V1166" s="2" t="s">
        <v>42</v>
      </c>
      <c r="W1166" s="2" t="s">
        <v>35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</row>
    <row r="1167" spans="1:35" x14ac:dyDescent="0.25">
      <c r="A1167" s="2">
        <v>44</v>
      </c>
      <c r="B1167" s="2" t="s">
        <v>43</v>
      </c>
      <c r="C1167" s="2" t="s">
        <v>44</v>
      </c>
      <c r="D1167" s="2">
        <v>602</v>
      </c>
      <c r="E1167" s="2" t="s">
        <v>61</v>
      </c>
      <c r="F1167" s="2">
        <v>1</v>
      </c>
      <c r="G1167" s="2">
        <v>5</v>
      </c>
      <c r="H1167" s="2" t="s">
        <v>61</v>
      </c>
      <c r="I1167" s="2">
        <v>1</v>
      </c>
      <c r="J1167" s="2">
        <v>1642</v>
      </c>
      <c r="K1167" s="2">
        <v>1</v>
      </c>
      <c r="L1167" s="2" t="s">
        <v>46</v>
      </c>
      <c r="M1167" s="2">
        <v>37</v>
      </c>
      <c r="N1167" s="2">
        <v>3</v>
      </c>
      <c r="O1167" s="2">
        <v>2</v>
      </c>
      <c r="P1167" s="2" t="s">
        <v>61</v>
      </c>
      <c r="Q1167" s="2">
        <v>4</v>
      </c>
      <c r="R1167" s="2" t="s">
        <v>48</v>
      </c>
      <c r="S1167" s="2">
        <v>5743</v>
      </c>
      <c r="T1167" s="2">
        <v>10503</v>
      </c>
      <c r="U1167" s="2">
        <v>4</v>
      </c>
      <c r="V1167" s="2" t="s">
        <v>42</v>
      </c>
      <c r="W1167" s="2" t="s">
        <v>35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</row>
    <row r="1168" spans="1:35" x14ac:dyDescent="0.25">
      <c r="A1168" s="2">
        <v>48</v>
      </c>
      <c r="B1168" s="2" t="s">
        <v>43</v>
      </c>
      <c r="C1168" s="2" t="s">
        <v>44</v>
      </c>
      <c r="D1168" s="2">
        <v>365</v>
      </c>
      <c r="E1168" s="2" t="s">
        <v>45</v>
      </c>
      <c r="F1168" s="2">
        <v>4</v>
      </c>
      <c r="G1168" s="2">
        <v>5</v>
      </c>
      <c r="H1168" s="2" t="s">
        <v>51</v>
      </c>
      <c r="I1168" s="2">
        <v>1</v>
      </c>
      <c r="J1168" s="2">
        <v>1644</v>
      </c>
      <c r="K1168" s="2">
        <v>3</v>
      </c>
      <c r="L1168" s="2" t="s">
        <v>46</v>
      </c>
      <c r="M1168" s="2">
        <v>89</v>
      </c>
      <c r="N1168" s="2">
        <v>2</v>
      </c>
      <c r="O1168" s="2">
        <v>4</v>
      </c>
      <c r="P1168" s="2" t="s">
        <v>56</v>
      </c>
      <c r="Q1168" s="2">
        <v>4</v>
      </c>
      <c r="R1168" s="2" t="s">
        <v>48</v>
      </c>
      <c r="S1168" s="2">
        <v>15202</v>
      </c>
      <c r="T1168" s="2">
        <v>5602</v>
      </c>
      <c r="U1168" s="2">
        <v>2</v>
      </c>
      <c r="V1168" s="2" t="s">
        <v>42</v>
      </c>
      <c r="W1168" s="2" t="s">
        <v>43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</row>
    <row r="1169" spans="1:35" x14ac:dyDescent="0.25">
      <c r="A1169" s="2">
        <v>35</v>
      </c>
      <c r="B1169" s="2" t="s">
        <v>35</v>
      </c>
      <c r="C1169" s="2" t="s">
        <v>36</v>
      </c>
      <c r="D1169" s="2">
        <v>763</v>
      </c>
      <c r="E1169" s="2" t="s">
        <v>37</v>
      </c>
      <c r="F1169" s="2">
        <v>15</v>
      </c>
      <c r="G1169" s="2">
        <v>2</v>
      </c>
      <c r="H1169" s="2" t="s">
        <v>51</v>
      </c>
      <c r="I1169" s="2">
        <v>1</v>
      </c>
      <c r="J1169" s="2">
        <v>1645</v>
      </c>
      <c r="K1169" s="2">
        <v>1</v>
      </c>
      <c r="L1169" s="2" t="s">
        <v>46</v>
      </c>
      <c r="M1169" s="2">
        <v>59</v>
      </c>
      <c r="N1169" s="2">
        <v>1</v>
      </c>
      <c r="O1169" s="2">
        <v>2</v>
      </c>
      <c r="P1169" s="2" t="s">
        <v>40</v>
      </c>
      <c r="Q1169" s="2">
        <v>4</v>
      </c>
      <c r="R1169" s="2" t="s">
        <v>52</v>
      </c>
      <c r="S1169" s="2">
        <v>5440</v>
      </c>
      <c r="T1169" s="2">
        <v>22098</v>
      </c>
      <c r="U1169" s="2">
        <v>6</v>
      </c>
      <c r="V1169" s="2" t="s">
        <v>42</v>
      </c>
      <c r="W1169" s="2" t="s">
        <v>35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</row>
    <row r="1170" spans="1:35" x14ac:dyDescent="0.25">
      <c r="A1170" s="2">
        <v>24</v>
      </c>
      <c r="B1170" s="2" t="s">
        <v>43</v>
      </c>
      <c r="C1170" s="2" t="s">
        <v>44</v>
      </c>
      <c r="D1170" s="2">
        <v>567</v>
      </c>
      <c r="E1170" s="2" t="s">
        <v>45</v>
      </c>
      <c r="F1170" s="2">
        <v>2</v>
      </c>
      <c r="G1170" s="2">
        <v>1</v>
      </c>
      <c r="H1170" s="2" t="s">
        <v>60</v>
      </c>
      <c r="I1170" s="2">
        <v>1</v>
      </c>
      <c r="J1170" s="2">
        <v>1646</v>
      </c>
      <c r="K1170" s="2">
        <v>1</v>
      </c>
      <c r="L1170" s="2" t="s">
        <v>39</v>
      </c>
      <c r="M1170" s="2">
        <v>32</v>
      </c>
      <c r="N1170" s="2">
        <v>3</v>
      </c>
      <c r="O1170" s="2">
        <v>1</v>
      </c>
      <c r="P1170" s="2" t="s">
        <v>47</v>
      </c>
      <c r="Q1170" s="2">
        <v>4</v>
      </c>
      <c r="R1170" s="2" t="s">
        <v>41</v>
      </c>
      <c r="S1170" s="2">
        <v>3760</v>
      </c>
      <c r="T1170" s="2">
        <v>17218</v>
      </c>
      <c r="U1170" s="2">
        <v>1</v>
      </c>
      <c r="V1170" s="2" t="s">
        <v>42</v>
      </c>
      <c r="W1170" s="2" t="s">
        <v>35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</row>
    <row r="1171" spans="1:35" x14ac:dyDescent="0.25">
      <c r="A1171" s="2">
        <v>27</v>
      </c>
      <c r="B1171" s="2" t="s">
        <v>43</v>
      </c>
      <c r="C1171" s="2" t="s">
        <v>36</v>
      </c>
      <c r="D1171" s="2">
        <v>486</v>
      </c>
      <c r="E1171" s="2" t="s">
        <v>45</v>
      </c>
      <c r="F1171" s="2">
        <v>8</v>
      </c>
      <c r="G1171" s="2">
        <v>3</v>
      </c>
      <c r="H1171" s="2" t="s">
        <v>51</v>
      </c>
      <c r="I1171" s="2">
        <v>1</v>
      </c>
      <c r="J1171" s="2">
        <v>1647</v>
      </c>
      <c r="K1171" s="2">
        <v>2</v>
      </c>
      <c r="L1171" s="2" t="s">
        <v>39</v>
      </c>
      <c r="M1171" s="2">
        <v>86</v>
      </c>
      <c r="N1171" s="2">
        <v>4</v>
      </c>
      <c r="O1171" s="2">
        <v>1</v>
      </c>
      <c r="P1171" s="2" t="s">
        <v>47</v>
      </c>
      <c r="Q1171" s="2">
        <v>3</v>
      </c>
      <c r="R1171" s="2" t="s">
        <v>48</v>
      </c>
      <c r="S1171" s="2">
        <v>3517</v>
      </c>
      <c r="T1171" s="2">
        <v>22490</v>
      </c>
      <c r="U1171" s="2">
        <v>7</v>
      </c>
      <c r="V1171" s="2" t="s">
        <v>42</v>
      </c>
      <c r="W1171" s="2" t="s">
        <v>43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</row>
    <row r="1172" spans="1:35" x14ac:dyDescent="0.25">
      <c r="A1172" s="2">
        <v>27</v>
      </c>
      <c r="B1172" s="2" t="s">
        <v>43</v>
      </c>
      <c r="C1172" s="2" t="s">
        <v>44</v>
      </c>
      <c r="D1172" s="2">
        <v>591</v>
      </c>
      <c r="E1172" s="2" t="s">
        <v>45</v>
      </c>
      <c r="F1172" s="2">
        <v>2</v>
      </c>
      <c r="G1172" s="2">
        <v>3</v>
      </c>
      <c r="H1172" s="2" t="s">
        <v>51</v>
      </c>
      <c r="I1172" s="2">
        <v>1</v>
      </c>
      <c r="J1172" s="2">
        <v>1648</v>
      </c>
      <c r="K1172" s="2">
        <v>4</v>
      </c>
      <c r="L1172" s="2" t="s">
        <v>46</v>
      </c>
      <c r="M1172" s="2">
        <v>87</v>
      </c>
      <c r="N1172" s="2">
        <v>3</v>
      </c>
      <c r="O1172" s="2">
        <v>1</v>
      </c>
      <c r="P1172" s="2" t="s">
        <v>47</v>
      </c>
      <c r="Q1172" s="2">
        <v>4</v>
      </c>
      <c r="R1172" s="2" t="s">
        <v>41</v>
      </c>
      <c r="S1172" s="2">
        <v>2580</v>
      </c>
      <c r="T1172" s="2">
        <v>6297</v>
      </c>
      <c r="U1172" s="2">
        <v>2</v>
      </c>
      <c r="V1172" s="2" t="s">
        <v>42</v>
      </c>
      <c r="W1172" s="2" t="s">
        <v>43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</row>
    <row r="1173" spans="1:35" x14ac:dyDescent="0.25">
      <c r="A1173" s="2">
        <v>40</v>
      </c>
      <c r="B1173" s="2" t="s">
        <v>35</v>
      </c>
      <c r="C1173" s="2" t="s">
        <v>36</v>
      </c>
      <c r="D1173" s="2">
        <v>1329</v>
      </c>
      <c r="E1173" s="2" t="s">
        <v>45</v>
      </c>
      <c r="F1173" s="2">
        <v>7</v>
      </c>
      <c r="G1173" s="2">
        <v>3</v>
      </c>
      <c r="H1173" s="2" t="s">
        <v>38</v>
      </c>
      <c r="I1173" s="2">
        <v>1</v>
      </c>
      <c r="J1173" s="2">
        <v>1649</v>
      </c>
      <c r="K1173" s="2">
        <v>1</v>
      </c>
      <c r="L1173" s="2" t="s">
        <v>46</v>
      </c>
      <c r="M1173" s="2">
        <v>73</v>
      </c>
      <c r="N1173" s="2">
        <v>3</v>
      </c>
      <c r="O1173" s="2">
        <v>1</v>
      </c>
      <c r="P1173" s="2" t="s">
        <v>50</v>
      </c>
      <c r="Q1173" s="2">
        <v>1</v>
      </c>
      <c r="R1173" s="2" t="s">
        <v>41</v>
      </c>
      <c r="S1173" s="2">
        <v>2166</v>
      </c>
      <c r="T1173" s="2">
        <v>3339</v>
      </c>
      <c r="U1173" s="2">
        <v>3</v>
      </c>
      <c r="V1173" s="2" t="s">
        <v>42</v>
      </c>
      <c r="W1173" s="2" t="s">
        <v>35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</row>
    <row r="1174" spans="1:35" x14ac:dyDescent="0.25">
      <c r="A1174" s="2">
        <v>29</v>
      </c>
      <c r="B1174" s="2" t="s">
        <v>43</v>
      </c>
      <c r="C1174" s="2" t="s">
        <v>36</v>
      </c>
      <c r="D1174" s="2">
        <v>469</v>
      </c>
      <c r="E1174" s="2" t="s">
        <v>37</v>
      </c>
      <c r="F1174" s="2">
        <v>10</v>
      </c>
      <c r="G1174" s="2">
        <v>3</v>
      </c>
      <c r="H1174" s="2" t="s">
        <v>51</v>
      </c>
      <c r="I1174" s="2">
        <v>1</v>
      </c>
      <c r="J1174" s="2">
        <v>1650</v>
      </c>
      <c r="K1174" s="2">
        <v>3</v>
      </c>
      <c r="L1174" s="2" t="s">
        <v>46</v>
      </c>
      <c r="M1174" s="2">
        <v>42</v>
      </c>
      <c r="N1174" s="2">
        <v>2</v>
      </c>
      <c r="O1174" s="2">
        <v>2</v>
      </c>
      <c r="P1174" s="2" t="s">
        <v>40</v>
      </c>
      <c r="Q1174" s="2">
        <v>3</v>
      </c>
      <c r="R1174" s="2" t="s">
        <v>41</v>
      </c>
      <c r="S1174" s="2">
        <v>5869</v>
      </c>
      <c r="T1174" s="2">
        <v>23413</v>
      </c>
      <c r="U1174" s="2">
        <v>9</v>
      </c>
      <c r="V1174" s="2" t="s">
        <v>42</v>
      </c>
      <c r="W1174" s="2" t="s">
        <v>43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</row>
    <row r="1175" spans="1:35" x14ac:dyDescent="0.25">
      <c r="A1175" s="2">
        <v>36</v>
      </c>
      <c r="B1175" s="2" t="s">
        <v>43</v>
      </c>
      <c r="C1175" s="2" t="s">
        <v>36</v>
      </c>
      <c r="D1175" s="2">
        <v>711</v>
      </c>
      <c r="E1175" s="2" t="s">
        <v>45</v>
      </c>
      <c r="F1175" s="2">
        <v>5</v>
      </c>
      <c r="G1175" s="2">
        <v>4</v>
      </c>
      <c r="H1175" s="2" t="s">
        <v>38</v>
      </c>
      <c r="I1175" s="2">
        <v>1</v>
      </c>
      <c r="J1175" s="2">
        <v>1651</v>
      </c>
      <c r="K1175" s="2">
        <v>2</v>
      </c>
      <c r="L1175" s="2" t="s">
        <v>39</v>
      </c>
      <c r="M1175" s="2">
        <v>42</v>
      </c>
      <c r="N1175" s="2">
        <v>3</v>
      </c>
      <c r="O1175" s="2">
        <v>3</v>
      </c>
      <c r="P1175" s="2" t="s">
        <v>54</v>
      </c>
      <c r="Q1175" s="2">
        <v>1</v>
      </c>
      <c r="R1175" s="2" t="s">
        <v>48</v>
      </c>
      <c r="S1175" s="2">
        <v>8008</v>
      </c>
      <c r="T1175" s="2">
        <v>22792</v>
      </c>
      <c r="U1175" s="2">
        <v>4</v>
      </c>
      <c r="V1175" s="2" t="s">
        <v>42</v>
      </c>
      <c r="W1175" s="2" t="s">
        <v>43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</row>
    <row r="1176" spans="1:35" x14ac:dyDescent="0.25">
      <c r="A1176" s="2">
        <v>25</v>
      </c>
      <c r="B1176" s="2" t="s">
        <v>43</v>
      </c>
      <c r="C1176" s="2" t="s">
        <v>44</v>
      </c>
      <c r="D1176" s="2">
        <v>772</v>
      </c>
      <c r="E1176" s="2" t="s">
        <v>45</v>
      </c>
      <c r="F1176" s="2">
        <v>2</v>
      </c>
      <c r="G1176" s="2">
        <v>1</v>
      </c>
      <c r="H1176" s="2" t="s">
        <v>38</v>
      </c>
      <c r="I1176" s="2">
        <v>1</v>
      </c>
      <c r="J1176" s="2">
        <v>1653</v>
      </c>
      <c r="K1176" s="2">
        <v>4</v>
      </c>
      <c r="L1176" s="2" t="s">
        <v>46</v>
      </c>
      <c r="M1176" s="2">
        <v>77</v>
      </c>
      <c r="N1176" s="2">
        <v>4</v>
      </c>
      <c r="O1176" s="2">
        <v>2</v>
      </c>
      <c r="P1176" s="2" t="s">
        <v>53</v>
      </c>
      <c r="Q1176" s="2">
        <v>3</v>
      </c>
      <c r="R1176" s="2" t="s">
        <v>52</v>
      </c>
      <c r="S1176" s="2">
        <v>5206</v>
      </c>
      <c r="T1176" s="2">
        <v>4973</v>
      </c>
      <c r="U1176" s="2">
        <v>1</v>
      </c>
      <c r="V1176" s="2" t="s">
        <v>42</v>
      </c>
      <c r="W1176" s="2" t="s">
        <v>43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</row>
    <row r="1177" spans="1:35" x14ac:dyDescent="0.25">
      <c r="A1177" s="2">
        <v>39</v>
      </c>
      <c r="B1177" s="2" t="s">
        <v>43</v>
      </c>
      <c r="C1177" s="2" t="s">
        <v>36</v>
      </c>
      <c r="D1177" s="2">
        <v>492</v>
      </c>
      <c r="E1177" s="2" t="s">
        <v>45</v>
      </c>
      <c r="F1177" s="2">
        <v>12</v>
      </c>
      <c r="G1177" s="2">
        <v>3</v>
      </c>
      <c r="H1177" s="2" t="s">
        <v>51</v>
      </c>
      <c r="I1177" s="2">
        <v>1</v>
      </c>
      <c r="J1177" s="2">
        <v>1654</v>
      </c>
      <c r="K1177" s="2">
        <v>4</v>
      </c>
      <c r="L1177" s="2" t="s">
        <v>46</v>
      </c>
      <c r="M1177" s="2">
        <v>66</v>
      </c>
      <c r="N1177" s="2">
        <v>3</v>
      </c>
      <c r="O1177" s="2">
        <v>2</v>
      </c>
      <c r="P1177" s="2" t="s">
        <v>53</v>
      </c>
      <c r="Q1177" s="2">
        <v>2</v>
      </c>
      <c r="R1177" s="2" t="s">
        <v>48</v>
      </c>
      <c r="S1177" s="2">
        <v>5295</v>
      </c>
      <c r="T1177" s="2">
        <v>7693</v>
      </c>
      <c r="U1177" s="2">
        <v>4</v>
      </c>
      <c r="V1177" s="2" t="s">
        <v>42</v>
      </c>
      <c r="W1177" s="2" t="s">
        <v>43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</row>
    <row r="1178" spans="1:35" x14ac:dyDescent="0.25">
      <c r="A1178" s="2">
        <v>49</v>
      </c>
      <c r="B1178" s="2" t="s">
        <v>43</v>
      </c>
      <c r="C1178" s="2" t="s">
        <v>36</v>
      </c>
      <c r="D1178" s="2">
        <v>301</v>
      </c>
      <c r="E1178" s="2" t="s">
        <v>45</v>
      </c>
      <c r="F1178" s="2">
        <v>22</v>
      </c>
      <c r="G1178" s="2">
        <v>4</v>
      </c>
      <c r="H1178" s="2" t="s">
        <v>49</v>
      </c>
      <c r="I1178" s="2">
        <v>1</v>
      </c>
      <c r="J1178" s="2">
        <v>1655</v>
      </c>
      <c r="K1178" s="2">
        <v>1</v>
      </c>
      <c r="L1178" s="2" t="s">
        <v>39</v>
      </c>
      <c r="M1178" s="2">
        <v>72</v>
      </c>
      <c r="N1178" s="2">
        <v>3</v>
      </c>
      <c r="O1178" s="2">
        <v>4</v>
      </c>
      <c r="P1178" s="2" t="s">
        <v>58</v>
      </c>
      <c r="Q1178" s="2">
        <v>2</v>
      </c>
      <c r="R1178" s="2" t="s">
        <v>48</v>
      </c>
      <c r="S1178" s="2">
        <v>16413</v>
      </c>
      <c r="T1178" s="2">
        <v>3498</v>
      </c>
      <c r="U1178" s="2">
        <v>3</v>
      </c>
      <c r="V1178" s="2" t="s">
        <v>42</v>
      </c>
      <c r="W1178" s="2" t="s">
        <v>43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</row>
    <row r="1179" spans="1:35" x14ac:dyDescent="0.25">
      <c r="A1179" s="2">
        <v>50</v>
      </c>
      <c r="B1179" s="2" t="s">
        <v>43</v>
      </c>
      <c r="C1179" s="2" t="s">
        <v>36</v>
      </c>
      <c r="D1179" s="2">
        <v>813</v>
      </c>
      <c r="E1179" s="2" t="s">
        <v>45</v>
      </c>
      <c r="F1179" s="2">
        <v>17</v>
      </c>
      <c r="G1179" s="2">
        <v>5</v>
      </c>
      <c r="H1179" s="2" t="s">
        <v>38</v>
      </c>
      <c r="I1179" s="2">
        <v>1</v>
      </c>
      <c r="J1179" s="2">
        <v>1656</v>
      </c>
      <c r="K1179" s="2">
        <v>4</v>
      </c>
      <c r="L1179" s="2" t="s">
        <v>39</v>
      </c>
      <c r="M1179" s="2">
        <v>50</v>
      </c>
      <c r="N1179" s="2">
        <v>2</v>
      </c>
      <c r="O1179" s="2">
        <v>3</v>
      </c>
      <c r="P1179" s="2" t="s">
        <v>58</v>
      </c>
      <c r="Q1179" s="2">
        <v>1</v>
      </c>
      <c r="R1179" s="2" t="s">
        <v>52</v>
      </c>
      <c r="S1179" s="2">
        <v>13269</v>
      </c>
      <c r="T1179" s="2">
        <v>21981</v>
      </c>
      <c r="U1179" s="2">
        <v>5</v>
      </c>
      <c r="V1179" s="2" t="s">
        <v>42</v>
      </c>
      <c r="W1179" s="2" t="s">
        <v>43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</row>
    <row r="1180" spans="1:35" x14ac:dyDescent="0.25">
      <c r="A1180" s="2">
        <v>20</v>
      </c>
      <c r="B1180" s="2" t="s">
        <v>43</v>
      </c>
      <c r="C1180" s="2" t="s">
        <v>36</v>
      </c>
      <c r="D1180" s="2">
        <v>1141</v>
      </c>
      <c r="E1180" s="2" t="s">
        <v>37</v>
      </c>
      <c r="F1180" s="2">
        <v>2</v>
      </c>
      <c r="G1180" s="2">
        <v>3</v>
      </c>
      <c r="H1180" s="2" t="s">
        <v>51</v>
      </c>
      <c r="I1180" s="2">
        <v>1</v>
      </c>
      <c r="J1180" s="2">
        <v>1657</v>
      </c>
      <c r="K1180" s="2">
        <v>3</v>
      </c>
      <c r="L1180" s="2" t="s">
        <v>39</v>
      </c>
      <c r="M1180" s="2">
        <v>31</v>
      </c>
      <c r="N1180" s="2">
        <v>3</v>
      </c>
      <c r="O1180" s="2">
        <v>1</v>
      </c>
      <c r="P1180" s="2" t="s">
        <v>57</v>
      </c>
      <c r="Q1180" s="2">
        <v>3</v>
      </c>
      <c r="R1180" s="2" t="s">
        <v>41</v>
      </c>
      <c r="S1180" s="2">
        <v>2783</v>
      </c>
      <c r="T1180" s="2">
        <v>13251</v>
      </c>
      <c r="U1180" s="2">
        <v>1</v>
      </c>
      <c r="V1180" s="2" t="s">
        <v>42</v>
      </c>
      <c r="W1180" s="2" t="s">
        <v>43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</row>
    <row r="1181" spans="1:35" x14ac:dyDescent="0.25">
      <c r="A1181" s="2">
        <v>34</v>
      </c>
      <c r="B1181" s="2" t="s">
        <v>43</v>
      </c>
      <c r="C1181" s="2" t="s">
        <v>36</v>
      </c>
      <c r="D1181" s="2">
        <v>1130</v>
      </c>
      <c r="E1181" s="2" t="s">
        <v>45</v>
      </c>
      <c r="F1181" s="2">
        <v>3</v>
      </c>
      <c r="G1181" s="2">
        <v>3</v>
      </c>
      <c r="H1181" s="2" t="s">
        <v>38</v>
      </c>
      <c r="I1181" s="2">
        <v>1</v>
      </c>
      <c r="J1181" s="2">
        <v>1658</v>
      </c>
      <c r="K1181" s="2">
        <v>4</v>
      </c>
      <c r="L1181" s="2" t="s">
        <v>39</v>
      </c>
      <c r="M1181" s="2">
        <v>66</v>
      </c>
      <c r="N1181" s="2">
        <v>3</v>
      </c>
      <c r="O1181" s="2">
        <v>2</v>
      </c>
      <c r="P1181" s="2" t="s">
        <v>47</v>
      </c>
      <c r="Q1181" s="2">
        <v>2</v>
      </c>
      <c r="R1181" s="2" t="s">
        <v>52</v>
      </c>
      <c r="S1181" s="2">
        <v>5433</v>
      </c>
      <c r="T1181" s="2">
        <v>19332</v>
      </c>
      <c r="U1181" s="2">
        <v>1</v>
      </c>
      <c r="V1181" s="2" t="s">
        <v>42</v>
      </c>
      <c r="W1181" s="2" t="s">
        <v>43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</row>
    <row r="1182" spans="1:35" x14ac:dyDescent="0.25">
      <c r="A1182" s="2">
        <v>36</v>
      </c>
      <c r="B1182" s="2" t="s">
        <v>43</v>
      </c>
      <c r="C1182" s="2" t="s">
        <v>36</v>
      </c>
      <c r="D1182" s="2">
        <v>311</v>
      </c>
      <c r="E1182" s="2" t="s">
        <v>45</v>
      </c>
      <c r="F1182" s="2">
        <v>7</v>
      </c>
      <c r="G1182" s="2">
        <v>3</v>
      </c>
      <c r="H1182" s="2" t="s">
        <v>38</v>
      </c>
      <c r="I1182" s="2">
        <v>1</v>
      </c>
      <c r="J1182" s="2">
        <v>1659</v>
      </c>
      <c r="K1182" s="2">
        <v>1</v>
      </c>
      <c r="L1182" s="2" t="s">
        <v>46</v>
      </c>
      <c r="M1182" s="2">
        <v>77</v>
      </c>
      <c r="N1182" s="2">
        <v>3</v>
      </c>
      <c r="O1182" s="2">
        <v>1</v>
      </c>
      <c r="P1182" s="2" t="s">
        <v>50</v>
      </c>
      <c r="Q1182" s="2">
        <v>2</v>
      </c>
      <c r="R1182" s="2" t="s">
        <v>41</v>
      </c>
      <c r="S1182" s="2">
        <v>2013</v>
      </c>
      <c r="T1182" s="2">
        <v>10950</v>
      </c>
      <c r="U1182" s="2">
        <v>2</v>
      </c>
      <c r="V1182" s="2" t="s">
        <v>42</v>
      </c>
      <c r="W1182" s="2" t="s">
        <v>43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</row>
    <row r="1183" spans="1:35" x14ac:dyDescent="0.25">
      <c r="A1183" s="2">
        <v>49</v>
      </c>
      <c r="B1183" s="2" t="s">
        <v>43</v>
      </c>
      <c r="C1183" s="2" t="s">
        <v>36</v>
      </c>
      <c r="D1183" s="2">
        <v>465</v>
      </c>
      <c r="E1183" s="2" t="s">
        <v>45</v>
      </c>
      <c r="F1183" s="2">
        <v>6</v>
      </c>
      <c r="G1183" s="2">
        <v>1</v>
      </c>
      <c r="H1183" s="2" t="s">
        <v>38</v>
      </c>
      <c r="I1183" s="2">
        <v>1</v>
      </c>
      <c r="J1183" s="2">
        <v>1661</v>
      </c>
      <c r="K1183" s="2">
        <v>3</v>
      </c>
      <c r="L1183" s="2" t="s">
        <v>39</v>
      </c>
      <c r="M1183" s="2">
        <v>41</v>
      </c>
      <c r="N1183" s="2">
        <v>2</v>
      </c>
      <c r="O1183" s="2">
        <v>4</v>
      </c>
      <c r="P1183" s="2" t="s">
        <v>54</v>
      </c>
      <c r="Q1183" s="2">
        <v>3</v>
      </c>
      <c r="R1183" s="2" t="s">
        <v>48</v>
      </c>
      <c r="S1183" s="2">
        <v>13966</v>
      </c>
      <c r="T1183" s="2">
        <v>11652</v>
      </c>
      <c r="U1183" s="2">
        <v>2</v>
      </c>
      <c r="V1183" s="2" t="s">
        <v>42</v>
      </c>
      <c r="W1183" s="2" t="s">
        <v>35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</row>
    <row r="1184" spans="1:35" x14ac:dyDescent="0.25">
      <c r="A1184" s="2">
        <v>36</v>
      </c>
      <c r="B1184" s="2" t="s">
        <v>43</v>
      </c>
      <c r="C1184" s="2" t="s">
        <v>55</v>
      </c>
      <c r="D1184" s="2">
        <v>894</v>
      </c>
      <c r="E1184" s="2" t="s">
        <v>45</v>
      </c>
      <c r="F1184" s="2">
        <v>1</v>
      </c>
      <c r="G1184" s="2">
        <v>4</v>
      </c>
      <c r="H1184" s="2" t="s">
        <v>51</v>
      </c>
      <c r="I1184" s="2">
        <v>1</v>
      </c>
      <c r="J1184" s="2">
        <v>1662</v>
      </c>
      <c r="K1184" s="2">
        <v>4</v>
      </c>
      <c r="L1184" s="2" t="s">
        <v>39</v>
      </c>
      <c r="M1184" s="2">
        <v>33</v>
      </c>
      <c r="N1184" s="2">
        <v>2</v>
      </c>
      <c r="O1184" s="2">
        <v>2</v>
      </c>
      <c r="P1184" s="2" t="s">
        <v>53</v>
      </c>
      <c r="Q1184" s="2">
        <v>3</v>
      </c>
      <c r="R1184" s="2" t="s">
        <v>48</v>
      </c>
      <c r="S1184" s="2">
        <v>4374</v>
      </c>
      <c r="T1184" s="2">
        <v>15411</v>
      </c>
      <c r="U1184" s="2">
        <v>0</v>
      </c>
      <c r="V1184" s="2" t="s">
        <v>42</v>
      </c>
      <c r="W1184" s="2" t="s">
        <v>43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</row>
    <row r="1185" spans="1:35" x14ac:dyDescent="0.25">
      <c r="A1185" s="2">
        <v>36</v>
      </c>
      <c r="B1185" s="2" t="s">
        <v>43</v>
      </c>
      <c r="C1185" s="2" t="s">
        <v>36</v>
      </c>
      <c r="D1185" s="2">
        <v>1040</v>
      </c>
      <c r="E1185" s="2" t="s">
        <v>45</v>
      </c>
      <c r="F1185" s="2">
        <v>3</v>
      </c>
      <c r="G1185" s="2">
        <v>2</v>
      </c>
      <c r="H1185" s="2" t="s">
        <v>38</v>
      </c>
      <c r="I1185" s="2">
        <v>1</v>
      </c>
      <c r="J1185" s="2">
        <v>1664</v>
      </c>
      <c r="K1185" s="2">
        <v>4</v>
      </c>
      <c r="L1185" s="2" t="s">
        <v>46</v>
      </c>
      <c r="M1185" s="2">
        <v>79</v>
      </c>
      <c r="N1185" s="2">
        <v>4</v>
      </c>
      <c r="O1185" s="2">
        <v>2</v>
      </c>
      <c r="P1185" s="2" t="s">
        <v>54</v>
      </c>
      <c r="Q1185" s="2">
        <v>1</v>
      </c>
      <c r="R1185" s="2" t="s">
        <v>52</v>
      </c>
      <c r="S1185" s="2">
        <v>6842</v>
      </c>
      <c r="T1185" s="2">
        <v>26308</v>
      </c>
      <c r="U1185" s="2">
        <v>6</v>
      </c>
      <c r="V1185" s="2" t="s">
        <v>42</v>
      </c>
      <c r="W1185" s="2" t="s">
        <v>43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</row>
    <row r="1186" spans="1:35" x14ac:dyDescent="0.25">
      <c r="A1186" s="2">
        <v>54</v>
      </c>
      <c r="B1186" s="2" t="s">
        <v>43</v>
      </c>
      <c r="C1186" s="2" t="s">
        <v>36</v>
      </c>
      <c r="D1186" s="2">
        <v>584</v>
      </c>
      <c r="E1186" s="2" t="s">
        <v>45</v>
      </c>
      <c r="F1186" s="2">
        <v>22</v>
      </c>
      <c r="G1186" s="2">
        <v>5</v>
      </c>
      <c r="H1186" s="2" t="s">
        <v>51</v>
      </c>
      <c r="I1186" s="2">
        <v>1</v>
      </c>
      <c r="J1186" s="2">
        <v>1665</v>
      </c>
      <c r="K1186" s="2">
        <v>2</v>
      </c>
      <c r="L1186" s="2" t="s">
        <v>39</v>
      </c>
      <c r="M1186" s="2">
        <v>91</v>
      </c>
      <c r="N1186" s="2">
        <v>3</v>
      </c>
      <c r="O1186" s="2">
        <v>4</v>
      </c>
      <c r="P1186" s="2" t="s">
        <v>56</v>
      </c>
      <c r="Q1186" s="2">
        <v>3</v>
      </c>
      <c r="R1186" s="2" t="s">
        <v>48</v>
      </c>
      <c r="S1186" s="2">
        <v>17426</v>
      </c>
      <c r="T1186" s="2">
        <v>18685</v>
      </c>
      <c r="U1186" s="2">
        <v>3</v>
      </c>
      <c r="V1186" s="2" t="s">
        <v>42</v>
      </c>
      <c r="W1186" s="2" t="s">
        <v>43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</row>
    <row r="1187" spans="1:35" x14ac:dyDescent="0.25">
      <c r="A1187" s="2">
        <v>43</v>
      </c>
      <c r="B1187" s="2" t="s">
        <v>43</v>
      </c>
      <c r="C1187" s="2" t="s">
        <v>36</v>
      </c>
      <c r="D1187" s="2">
        <v>1291</v>
      </c>
      <c r="E1187" s="2" t="s">
        <v>45</v>
      </c>
      <c r="F1187" s="2">
        <v>15</v>
      </c>
      <c r="G1187" s="2">
        <v>2</v>
      </c>
      <c r="H1187" s="2" t="s">
        <v>38</v>
      </c>
      <c r="I1187" s="2">
        <v>1</v>
      </c>
      <c r="J1187" s="2">
        <v>1666</v>
      </c>
      <c r="K1187" s="2">
        <v>3</v>
      </c>
      <c r="L1187" s="2" t="s">
        <v>46</v>
      </c>
      <c r="M1187" s="2">
        <v>65</v>
      </c>
      <c r="N1187" s="2">
        <v>2</v>
      </c>
      <c r="O1187" s="2">
        <v>4</v>
      </c>
      <c r="P1187" s="2" t="s">
        <v>58</v>
      </c>
      <c r="Q1187" s="2">
        <v>3</v>
      </c>
      <c r="R1187" s="2" t="s">
        <v>48</v>
      </c>
      <c r="S1187" s="2">
        <v>17603</v>
      </c>
      <c r="T1187" s="2">
        <v>3525</v>
      </c>
      <c r="U1187" s="2">
        <v>1</v>
      </c>
      <c r="V1187" s="2" t="s">
        <v>42</v>
      </c>
      <c r="W1187" s="2" t="s">
        <v>43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</row>
    <row r="1188" spans="1:35" x14ac:dyDescent="0.25">
      <c r="A1188" s="2">
        <v>35</v>
      </c>
      <c r="B1188" s="2" t="s">
        <v>35</v>
      </c>
      <c r="C1188" s="2" t="s">
        <v>44</v>
      </c>
      <c r="D1188" s="2">
        <v>880</v>
      </c>
      <c r="E1188" s="2" t="s">
        <v>37</v>
      </c>
      <c r="F1188" s="2">
        <v>12</v>
      </c>
      <c r="G1188" s="2">
        <v>4</v>
      </c>
      <c r="H1188" s="2" t="s">
        <v>49</v>
      </c>
      <c r="I1188" s="2">
        <v>1</v>
      </c>
      <c r="J1188" s="2">
        <v>1667</v>
      </c>
      <c r="K1188" s="2">
        <v>4</v>
      </c>
      <c r="L1188" s="2" t="s">
        <v>46</v>
      </c>
      <c r="M1188" s="2">
        <v>36</v>
      </c>
      <c r="N1188" s="2">
        <v>3</v>
      </c>
      <c r="O1188" s="2">
        <v>2</v>
      </c>
      <c r="P1188" s="2" t="s">
        <v>40</v>
      </c>
      <c r="Q1188" s="2">
        <v>4</v>
      </c>
      <c r="R1188" s="2" t="s">
        <v>41</v>
      </c>
      <c r="S1188" s="2">
        <v>4581</v>
      </c>
      <c r="T1188" s="2">
        <v>10414</v>
      </c>
      <c r="U1188" s="2">
        <v>3</v>
      </c>
      <c r="V1188" s="2" t="s">
        <v>42</v>
      </c>
      <c r="W1188" s="2" t="s">
        <v>35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</row>
    <row r="1189" spans="1:35" x14ac:dyDescent="0.25">
      <c r="A1189" s="2">
        <v>38</v>
      </c>
      <c r="B1189" s="2" t="s">
        <v>43</v>
      </c>
      <c r="C1189" s="2" t="s">
        <v>44</v>
      </c>
      <c r="D1189" s="2">
        <v>1189</v>
      </c>
      <c r="E1189" s="2" t="s">
        <v>45</v>
      </c>
      <c r="F1189" s="2">
        <v>1</v>
      </c>
      <c r="G1189" s="2">
        <v>3</v>
      </c>
      <c r="H1189" s="2" t="s">
        <v>38</v>
      </c>
      <c r="I1189" s="2">
        <v>1</v>
      </c>
      <c r="J1189" s="2">
        <v>1668</v>
      </c>
      <c r="K1189" s="2">
        <v>4</v>
      </c>
      <c r="L1189" s="2" t="s">
        <v>46</v>
      </c>
      <c r="M1189" s="2">
        <v>90</v>
      </c>
      <c r="N1189" s="2">
        <v>3</v>
      </c>
      <c r="O1189" s="2">
        <v>2</v>
      </c>
      <c r="P1189" s="2" t="s">
        <v>47</v>
      </c>
      <c r="Q1189" s="2">
        <v>4</v>
      </c>
      <c r="R1189" s="2" t="s">
        <v>48</v>
      </c>
      <c r="S1189" s="2">
        <v>4735</v>
      </c>
      <c r="T1189" s="2">
        <v>9867</v>
      </c>
      <c r="U1189" s="2">
        <v>7</v>
      </c>
      <c r="V1189" s="2" t="s">
        <v>42</v>
      </c>
      <c r="W1189" s="2" t="s">
        <v>43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</row>
    <row r="1190" spans="1:35" x14ac:dyDescent="0.25">
      <c r="A1190" s="2">
        <v>29</v>
      </c>
      <c r="B1190" s="2" t="s">
        <v>43</v>
      </c>
      <c r="C1190" s="2" t="s">
        <v>36</v>
      </c>
      <c r="D1190" s="2">
        <v>991</v>
      </c>
      <c r="E1190" s="2" t="s">
        <v>37</v>
      </c>
      <c r="F1190" s="2">
        <v>5</v>
      </c>
      <c r="G1190" s="2">
        <v>3</v>
      </c>
      <c r="H1190" s="2" t="s">
        <v>51</v>
      </c>
      <c r="I1190" s="2">
        <v>1</v>
      </c>
      <c r="J1190" s="2">
        <v>1669</v>
      </c>
      <c r="K1190" s="2">
        <v>1</v>
      </c>
      <c r="L1190" s="2" t="s">
        <v>46</v>
      </c>
      <c r="M1190" s="2">
        <v>43</v>
      </c>
      <c r="N1190" s="2">
        <v>2</v>
      </c>
      <c r="O1190" s="2">
        <v>2</v>
      </c>
      <c r="P1190" s="2" t="s">
        <v>40</v>
      </c>
      <c r="Q1190" s="2">
        <v>2</v>
      </c>
      <c r="R1190" s="2" t="s">
        <v>52</v>
      </c>
      <c r="S1190" s="2">
        <v>4187</v>
      </c>
      <c r="T1190" s="2">
        <v>3356</v>
      </c>
      <c r="U1190" s="2">
        <v>1</v>
      </c>
      <c r="V1190" s="2" t="s">
        <v>42</v>
      </c>
      <c r="W1190" s="2" t="s">
        <v>35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</row>
    <row r="1191" spans="1:35" x14ac:dyDescent="0.25">
      <c r="A1191" s="2">
        <v>33</v>
      </c>
      <c r="B1191" s="2" t="s">
        <v>43</v>
      </c>
      <c r="C1191" s="2" t="s">
        <v>36</v>
      </c>
      <c r="D1191" s="2">
        <v>392</v>
      </c>
      <c r="E1191" s="2" t="s">
        <v>37</v>
      </c>
      <c r="F1191" s="2">
        <v>2</v>
      </c>
      <c r="G1191" s="2">
        <v>4</v>
      </c>
      <c r="H1191" s="2" t="s">
        <v>51</v>
      </c>
      <c r="I1191" s="2">
        <v>1</v>
      </c>
      <c r="J1191" s="2">
        <v>1670</v>
      </c>
      <c r="K1191" s="2">
        <v>4</v>
      </c>
      <c r="L1191" s="2" t="s">
        <v>46</v>
      </c>
      <c r="M1191" s="2">
        <v>93</v>
      </c>
      <c r="N1191" s="2">
        <v>3</v>
      </c>
      <c r="O1191" s="2">
        <v>2</v>
      </c>
      <c r="P1191" s="2" t="s">
        <v>40</v>
      </c>
      <c r="Q1191" s="2">
        <v>4</v>
      </c>
      <c r="R1191" s="2" t="s">
        <v>52</v>
      </c>
      <c r="S1191" s="2">
        <v>5505</v>
      </c>
      <c r="T1191" s="2">
        <v>3921</v>
      </c>
      <c r="U1191" s="2">
        <v>1</v>
      </c>
      <c r="V1191" s="2" t="s">
        <v>42</v>
      </c>
      <c r="W1191" s="2" t="s">
        <v>43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</row>
    <row r="1192" spans="1:35" x14ac:dyDescent="0.25">
      <c r="A1192" s="2">
        <v>32</v>
      </c>
      <c r="B1192" s="2" t="s">
        <v>43</v>
      </c>
      <c r="C1192" s="2" t="s">
        <v>36</v>
      </c>
      <c r="D1192" s="2">
        <v>977</v>
      </c>
      <c r="E1192" s="2" t="s">
        <v>45</v>
      </c>
      <c r="F1192" s="2">
        <v>2</v>
      </c>
      <c r="G1192" s="2">
        <v>3</v>
      </c>
      <c r="H1192" s="2" t="s">
        <v>51</v>
      </c>
      <c r="I1192" s="2">
        <v>1</v>
      </c>
      <c r="J1192" s="2">
        <v>1671</v>
      </c>
      <c r="K1192" s="2">
        <v>4</v>
      </c>
      <c r="L1192" s="2" t="s">
        <v>46</v>
      </c>
      <c r="M1192" s="2">
        <v>45</v>
      </c>
      <c r="N1192" s="2">
        <v>3</v>
      </c>
      <c r="O1192" s="2">
        <v>2</v>
      </c>
      <c r="P1192" s="2" t="s">
        <v>47</v>
      </c>
      <c r="Q1192" s="2">
        <v>2</v>
      </c>
      <c r="R1192" s="2" t="s">
        <v>52</v>
      </c>
      <c r="S1192" s="2">
        <v>5470</v>
      </c>
      <c r="T1192" s="2">
        <v>25518</v>
      </c>
      <c r="U1192" s="2">
        <v>0</v>
      </c>
      <c r="V1192" s="2" t="s">
        <v>42</v>
      </c>
      <c r="W1192" s="2" t="s">
        <v>43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</row>
    <row r="1193" spans="1:35" x14ac:dyDescent="0.25">
      <c r="A1193" s="2">
        <v>31</v>
      </c>
      <c r="B1193" s="2" t="s">
        <v>43</v>
      </c>
      <c r="C1193" s="2" t="s">
        <v>36</v>
      </c>
      <c r="D1193" s="2">
        <v>1112</v>
      </c>
      <c r="E1193" s="2" t="s">
        <v>37</v>
      </c>
      <c r="F1193" s="2">
        <v>5</v>
      </c>
      <c r="G1193" s="2">
        <v>4</v>
      </c>
      <c r="H1193" s="2" t="s">
        <v>38</v>
      </c>
      <c r="I1193" s="2">
        <v>1</v>
      </c>
      <c r="J1193" s="2">
        <v>1673</v>
      </c>
      <c r="K1193" s="2">
        <v>1</v>
      </c>
      <c r="L1193" s="2" t="s">
        <v>39</v>
      </c>
      <c r="M1193" s="2">
        <v>67</v>
      </c>
      <c r="N1193" s="2">
        <v>3</v>
      </c>
      <c r="O1193" s="2">
        <v>2</v>
      </c>
      <c r="P1193" s="2" t="s">
        <v>40</v>
      </c>
      <c r="Q1193" s="2">
        <v>4</v>
      </c>
      <c r="R1193" s="2" t="s">
        <v>48</v>
      </c>
      <c r="S1193" s="2">
        <v>5476</v>
      </c>
      <c r="T1193" s="2">
        <v>22589</v>
      </c>
      <c r="U1193" s="2">
        <v>1</v>
      </c>
      <c r="V1193" s="2" t="s">
        <v>42</v>
      </c>
      <c r="W1193" s="2" t="s">
        <v>43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</row>
    <row r="1194" spans="1:35" x14ac:dyDescent="0.25">
      <c r="A1194" s="2">
        <v>49</v>
      </c>
      <c r="B1194" s="2" t="s">
        <v>43</v>
      </c>
      <c r="C1194" s="2" t="s">
        <v>36</v>
      </c>
      <c r="D1194" s="2">
        <v>464</v>
      </c>
      <c r="E1194" s="2" t="s">
        <v>45</v>
      </c>
      <c r="F1194" s="2">
        <v>16</v>
      </c>
      <c r="G1194" s="2">
        <v>3</v>
      </c>
      <c r="H1194" s="2" t="s">
        <v>51</v>
      </c>
      <c r="I1194" s="2">
        <v>1</v>
      </c>
      <c r="J1194" s="2">
        <v>1674</v>
      </c>
      <c r="K1194" s="2">
        <v>4</v>
      </c>
      <c r="L1194" s="2" t="s">
        <v>39</v>
      </c>
      <c r="M1194" s="2">
        <v>74</v>
      </c>
      <c r="N1194" s="2">
        <v>3</v>
      </c>
      <c r="O1194" s="2">
        <v>1</v>
      </c>
      <c r="P1194" s="2" t="s">
        <v>50</v>
      </c>
      <c r="Q1194" s="2">
        <v>1</v>
      </c>
      <c r="R1194" s="2" t="s">
        <v>52</v>
      </c>
      <c r="S1194" s="2">
        <v>2587</v>
      </c>
      <c r="T1194" s="2">
        <v>24941</v>
      </c>
      <c r="U1194" s="2">
        <v>4</v>
      </c>
      <c r="V1194" s="2" t="s">
        <v>42</v>
      </c>
      <c r="W1194" s="2" t="s">
        <v>35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</row>
    <row r="1195" spans="1:35" x14ac:dyDescent="0.25">
      <c r="A1195" s="2">
        <v>38</v>
      </c>
      <c r="B1195" s="2" t="s">
        <v>43</v>
      </c>
      <c r="C1195" s="2" t="s">
        <v>44</v>
      </c>
      <c r="D1195" s="2">
        <v>148</v>
      </c>
      <c r="E1195" s="2" t="s">
        <v>45</v>
      </c>
      <c r="F1195" s="2">
        <v>2</v>
      </c>
      <c r="G1195" s="2">
        <v>3</v>
      </c>
      <c r="H1195" s="2" t="s">
        <v>51</v>
      </c>
      <c r="I1195" s="2">
        <v>1</v>
      </c>
      <c r="J1195" s="2">
        <v>1675</v>
      </c>
      <c r="K1195" s="2">
        <v>4</v>
      </c>
      <c r="L1195" s="2" t="s">
        <v>39</v>
      </c>
      <c r="M1195" s="2">
        <v>42</v>
      </c>
      <c r="N1195" s="2">
        <v>2</v>
      </c>
      <c r="O1195" s="2">
        <v>1</v>
      </c>
      <c r="P1195" s="2" t="s">
        <v>50</v>
      </c>
      <c r="Q1195" s="2">
        <v>2</v>
      </c>
      <c r="R1195" s="2" t="s">
        <v>41</v>
      </c>
      <c r="S1195" s="2">
        <v>2440</v>
      </c>
      <c r="T1195" s="2">
        <v>23826</v>
      </c>
      <c r="U1195" s="2">
        <v>1</v>
      </c>
      <c r="V1195" s="2" t="s">
        <v>42</v>
      </c>
      <c r="W1195" s="2" t="s">
        <v>43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</row>
    <row r="1196" spans="1:35" x14ac:dyDescent="0.25">
      <c r="A1196" s="2">
        <v>47</v>
      </c>
      <c r="B1196" s="2" t="s">
        <v>43</v>
      </c>
      <c r="C1196" s="2" t="s">
        <v>36</v>
      </c>
      <c r="D1196" s="2">
        <v>1225</v>
      </c>
      <c r="E1196" s="2" t="s">
        <v>37</v>
      </c>
      <c r="F1196" s="2">
        <v>2</v>
      </c>
      <c r="G1196" s="2">
        <v>4</v>
      </c>
      <c r="H1196" s="2" t="s">
        <v>38</v>
      </c>
      <c r="I1196" s="2">
        <v>1</v>
      </c>
      <c r="J1196" s="2">
        <v>1676</v>
      </c>
      <c r="K1196" s="2">
        <v>2</v>
      </c>
      <c r="L1196" s="2" t="s">
        <v>39</v>
      </c>
      <c r="M1196" s="2">
        <v>47</v>
      </c>
      <c r="N1196" s="2">
        <v>4</v>
      </c>
      <c r="O1196" s="2">
        <v>4</v>
      </c>
      <c r="P1196" s="2" t="s">
        <v>56</v>
      </c>
      <c r="Q1196" s="2">
        <v>2</v>
      </c>
      <c r="R1196" s="2" t="s">
        <v>52</v>
      </c>
      <c r="S1196" s="2">
        <v>15972</v>
      </c>
      <c r="T1196" s="2">
        <v>21086</v>
      </c>
      <c r="U1196" s="2">
        <v>6</v>
      </c>
      <c r="V1196" s="2" t="s">
        <v>42</v>
      </c>
      <c r="W1196" s="2" t="s">
        <v>43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</row>
    <row r="1197" spans="1:35" x14ac:dyDescent="0.25">
      <c r="A1197" s="2">
        <v>49</v>
      </c>
      <c r="B1197" s="2" t="s">
        <v>43</v>
      </c>
      <c r="C1197" s="2" t="s">
        <v>36</v>
      </c>
      <c r="D1197" s="2">
        <v>809</v>
      </c>
      <c r="E1197" s="2" t="s">
        <v>45</v>
      </c>
      <c r="F1197" s="2">
        <v>1</v>
      </c>
      <c r="G1197" s="2">
        <v>3</v>
      </c>
      <c r="H1197" s="2" t="s">
        <v>38</v>
      </c>
      <c r="I1197" s="2">
        <v>1</v>
      </c>
      <c r="J1197" s="2">
        <v>1677</v>
      </c>
      <c r="K1197" s="2">
        <v>3</v>
      </c>
      <c r="L1197" s="2" t="s">
        <v>46</v>
      </c>
      <c r="M1197" s="2">
        <v>36</v>
      </c>
      <c r="N1197" s="2">
        <v>3</v>
      </c>
      <c r="O1197" s="2">
        <v>4</v>
      </c>
      <c r="P1197" s="2" t="s">
        <v>56</v>
      </c>
      <c r="Q1197" s="2">
        <v>3</v>
      </c>
      <c r="R1197" s="2" t="s">
        <v>41</v>
      </c>
      <c r="S1197" s="2">
        <v>15379</v>
      </c>
      <c r="T1197" s="2">
        <v>22384</v>
      </c>
      <c r="U1197" s="2">
        <v>4</v>
      </c>
      <c r="V1197" s="2" t="s">
        <v>42</v>
      </c>
      <c r="W1197" s="2" t="s">
        <v>43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</row>
    <row r="1198" spans="1:35" x14ac:dyDescent="0.25">
      <c r="A1198" s="2">
        <v>41</v>
      </c>
      <c r="B1198" s="2" t="s">
        <v>43</v>
      </c>
      <c r="C1198" s="2" t="s">
        <v>36</v>
      </c>
      <c r="D1198" s="2">
        <v>1206</v>
      </c>
      <c r="E1198" s="2" t="s">
        <v>37</v>
      </c>
      <c r="F1198" s="2">
        <v>23</v>
      </c>
      <c r="G1198" s="2">
        <v>2</v>
      </c>
      <c r="H1198" s="2" t="s">
        <v>38</v>
      </c>
      <c r="I1198" s="2">
        <v>1</v>
      </c>
      <c r="J1198" s="2">
        <v>1678</v>
      </c>
      <c r="K1198" s="2">
        <v>4</v>
      </c>
      <c r="L1198" s="2" t="s">
        <v>46</v>
      </c>
      <c r="M1198" s="2">
        <v>80</v>
      </c>
      <c r="N1198" s="2">
        <v>3</v>
      </c>
      <c r="O1198" s="2">
        <v>3</v>
      </c>
      <c r="P1198" s="2" t="s">
        <v>40</v>
      </c>
      <c r="Q1198" s="2">
        <v>3</v>
      </c>
      <c r="R1198" s="2" t="s">
        <v>41</v>
      </c>
      <c r="S1198" s="2">
        <v>7082</v>
      </c>
      <c r="T1198" s="2">
        <v>11591</v>
      </c>
      <c r="U1198" s="2">
        <v>3</v>
      </c>
      <c r="V1198" s="2" t="s">
        <v>42</v>
      </c>
      <c r="W1198" s="2" t="s">
        <v>35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</row>
    <row r="1199" spans="1:35" x14ac:dyDescent="0.25">
      <c r="A1199" s="2">
        <v>20</v>
      </c>
      <c r="B1199" s="2" t="s">
        <v>43</v>
      </c>
      <c r="C1199" s="2" t="s">
        <v>36</v>
      </c>
      <c r="D1199" s="2">
        <v>727</v>
      </c>
      <c r="E1199" s="2" t="s">
        <v>37</v>
      </c>
      <c r="F1199" s="2">
        <v>9</v>
      </c>
      <c r="G1199" s="2">
        <v>1</v>
      </c>
      <c r="H1199" s="2" t="s">
        <v>38</v>
      </c>
      <c r="I1199" s="2">
        <v>1</v>
      </c>
      <c r="J1199" s="2">
        <v>1680</v>
      </c>
      <c r="K1199" s="2">
        <v>4</v>
      </c>
      <c r="L1199" s="2" t="s">
        <v>46</v>
      </c>
      <c r="M1199" s="2">
        <v>54</v>
      </c>
      <c r="N1199" s="2">
        <v>3</v>
      </c>
      <c r="O1199" s="2">
        <v>1</v>
      </c>
      <c r="P1199" s="2" t="s">
        <v>57</v>
      </c>
      <c r="Q1199" s="2">
        <v>1</v>
      </c>
      <c r="R1199" s="2" t="s">
        <v>41</v>
      </c>
      <c r="S1199" s="2">
        <v>2728</v>
      </c>
      <c r="T1199" s="2">
        <v>21082</v>
      </c>
      <c r="U1199" s="2">
        <v>1</v>
      </c>
      <c r="V1199" s="2" t="s">
        <v>42</v>
      </c>
      <c r="W1199" s="2" t="s">
        <v>43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</row>
    <row r="1200" spans="1:35" x14ac:dyDescent="0.25">
      <c r="A1200" s="2">
        <v>33</v>
      </c>
      <c r="B1200" s="2" t="s">
        <v>43</v>
      </c>
      <c r="C1200" s="2" t="s">
        <v>55</v>
      </c>
      <c r="D1200" s="2">
        <v>530</v>
      </c>
      <c r="E1200" s="2" t="s">
        <v>37</v>
      </c>
      <c r="F1200" s="2">
        <v>16</v>
      </c>
      <c r="G1200" s="2">
        <v>3</v>
      </c>
      <c r="H1200" s="2" t="s">
        <v>38</v>
      </c>
      <c r="I1200" s="2">
        <v>1</v>
      </c>
      <c r="J1200" s="2">
        <v>1681</v>
      </c>
      <c r="K1200" s="2">
        <v>3</v>
      </c>
      <c r="L1200" s="2" t="s">
        <v>39</v>
      </c>
      <c r="M1200" s="2">
        <v>36</v>
      </c>
      <c r="N1200" s="2">
        <v>3</v>
      </c>
      <c r="O1200" s="2">
        <v>2</v>
      </c>
      <c r="P1200" s="2" t="s">
        <v>40</v>
      </c>
      <c r="Q1200" s="2">
        <v>4</v>
      </c>
      <c r="R1200" s="2" t="s">
        <v>52</v>
      </c>
      <c r="S1200" s="2">
        <v>5368</v>
      </c>
      <c r="T1200" s="2">
        <v>16130</v>
      </c>
      <c r="U1200" s="2">
        <v>1</v>
      </c>
      <c r="V1200" s="2" t="s">
        <v>42</v>
      </c>
      <c r="W1200" s="2" t="s">
        <v>35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</row>
    <row r="1201" spans="1:35" x14ac:dyDescent="0.25">
      <c r="A1201" s="2">
        <v>36</v>
      </c>
      <c r="B1201" s="2" t="s">
        <v>43</v>
      </c>
      <c r="C1201" s="2" t="s">
        <v>36</v>
      </c>
      <c r="D1201" s="2">
        <v>1351</v>
      </c>
      <c r="E1201" s="2" t="s">
        <v>45</v>
      </c>
      <c r="F1201" s="2">
        <v>26</v>
      </c>
      <c r="G1201" s="2">
        <v>4</v>
      </c>
      <c r="H1201" s="2" t="s">
        <v>38</v>
      </c>
      <c r="I1201" s="2">
        <v>1</v>
      </c>
      <c r="J1201" s="2">
        <v>1682</v>
      </c>
      <c r="K1201" s="2">
        <v>1</v>
      </c>
      <c r="L1201" s="2" t="s">
        <v>46</v>
      </c>
      <c r="M1201" s="2">
        <v>80</v>
      </c>
      <c r="N1201" s="2">
        <v>3</v>
      </c>
      <c r="O1201" s="2">
        <v>2</v>
      </c>
      <c r="P1201" s="2" t="s">
        <v>54</v>
      </c>
      <c r="Q1201" s="2">
        <v>3</v>
      </c>
      <c r="R1201" s="2" t="s">
        <v>48</v>
      </c>
      <c r="S1201" s="2">
        <v>5347</v>
      </c>
      <c r="T1201" s="2">
        <v>7419</v>
      </c>
      <c r="U1201" s="2">
        <v>6</v>
      </c>
      <c r="V1201" s="2" t="s">
        <v>42</v>
      </c>
      <c r="W1201" s="2" t="s">
        <v>43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</row>
    <row r="1202" spans="1:35" x14ac:dyDescent="0.25">
      <c r="A1202" s="2">
        <v>44</v>
      </c>
      <c r="B1202" s="2" t="s">
        <v>43</v>
      </c>
      <c r="C1202" s="2" t="s">
        <v>36</v>
      </c>
      <c r="D1202" s="2">
        <v>528</v>
      </c>
      <c r="E1202" s="2" t="s">
        <v>61</v>
      </c>
      <c r="F1202" s="2">
        <v>1</v>
      </c>
      <c r="G1202" s="2">
        <v>3</v>
      </c>
      <c r="H1202" s="2" t="s">
        <v>38</v>
      </c>
      <c r="I1202" s="2">
        <v>1</v>
      </c>
      <c r="J1202" s="2">
        <v>1683</v>
      </c>
      <c r="K1202" s="2">
        <v>3</v>
      </c>
      <c r="L1202" s="2" t="s">
        <v>39</v>
      </c>
      <c r="M1202" s="2">
        <v>44</v>
      </c>
      <c r="N1202" s="2">
        <v>3</v>
      </c>
      <c r="O1202" s="2">
        <v>1</v>
      </c>
      <c r="P1202" s="2" t="s">
        <v>61</v>
      </c>
      <c r="Q1202" s="2">
        <v>4</v>
      </c>
      <c r="R1202" s="2" t="s">
        <v>52</v>
      </c>
      <c r="S1202" s="2">
        <v>3195</v>
      </c>
      <c r="T1202" s="2">
        <v>4167</v>
      </c>
      <c r="U1202" s="2">
        <v>4</v>
      </c>
      <c r="V1202" s="2" t="s">
        <v>42</v>
      </c>
      <c r="W1202" s="2" t="s">
        <v>35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</row>
    <row r="1203" spans="1:35" x14ac:dyDescent="0.25">
      <c r="A1203" s="2">
        <v>23</v>
      </c>
      <c r="B1203" s="2" t="s">
        <v>35</v>
      </c>
      <c r="C1203" s="2" t="s">
        <v>36</v>
      </c>
      <c r="D1203" s="2">
        <v>1320</v>
      </c>
      <c r="E1203" s="2" t="s">
        <v>45</v>
      </c>
      <c r="F1203" s="2">
        <v>8</v>
      </c>
      <c r="G1203" s="2">
        <v>1</v>
      </c>
      <c r="H1203" s="2" t="s">
        <v>51</v>
      </c>
      <c r="I1203" s="2">
        <v>1</v>
      </c>
      <c r="J1203" s="2">
        <v>1684</v>
      </c>
      <c r="K1203" s="2">
        <v>4</v>
      </c>
      <c r="L1203" s="2" t="s">
        <v>46</v>
      </c>
      <c r="M1203" s="2">
        <v>93</v>
      </c>
      <c r="N1203" s="2">
        <v>2</v>
      </c>
      <c r="O1203" s="2">
        <v>1</v>
      </c>
      <c r="P1203" s="2" t="s">
        <v>50</v>
      </c>
      <c r="Q1203" s="2">
        <v>3</v>
      </c>
      <c r="R1203" s="2" t="s">
        <v>41</v>
      </c>
      <c r="S1203" s="2">
        <v>3989</v>
      </c>
      <c r="T1203" s="2">
        <v>20586</v>
      </c>
      <c r="U1203" s="2">
        <v>1</v>
      </c>
      <c r="V1203" s="2" t="s">
        <v>42</v>
      </c>
      <c r="W1203" s="2" t="s">
        <v>35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</row>
    <row r="1204" spans="1:35" x14ac:dyDescent="0.25">
      <c r="A1204" s="2">
        <v>38</v>
      </c>
      <c r="B1204" s="2" t="s">
        <v>43</v>
      </c>
      <c r="C1204" s="2" t="s">
        <v>36</v>
      </c>
      <c r="D1204" s="2">
        <v>1495</v>
      </c>
      <c r="E1204" s="2" t="s">
        <v>45</v>
      </c>
      <c r="F1204" s="2">
        <v>4</v>
      </c>
      <c r="G1204" s="2">
        <v>2</v>
      </c>
      <c r="H1204" s="2" t="s">
        <v>51</v>
      </c>
      <c r="I1204" s="2">
        <v>1</v>
      </c>
      <c r="J1204" s="2">
        <v>1687</v>
      </c>
      <c r="K1204" s="2">
        <v>4</v>
      </c>
      <c r="L1204" s="2" t="s">
        <v>39</v>
      </c>
      <c r="M1204" s="2">
        <v>87</v>
      </c>
      <c r="N1204" s="2">
        <v>3</v>
      </c>
      <c r="O1204" s="2">
        <v>1</v>
      </c>
      <c r="P1204" s="2" t="s">
        <v>50</v>
      </c>
      <c r="Q1204" s="2">
        <v>3</v>
      </c>
      <c r="R1204" s="2" t="s">
        <v>48</v>
      </c>
      <c r="S1204" s="2">
        <v>3306</v>
      </c>
      <c r="T1204" s="2">
        <v>26176</v>
      </c>
      <c r="U1204" s="2">
        <v>7</v>
      </c>
      <c r="V1204" s="2" t="s">
        <v>42</v>
      </c>
      <c r="W1204" s="2" t="s">
        <v>43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</row>
    <row r="1205" spans="1:35" x14ac:dyDescent="0.25">
      <c r="A1205" s="2">
        <v>53</v>
      </c>
      <c r="B1205" s="2" t="s">
        <v>43</v>
      </c>
      <c r="C1205" s="2" t="s">
        <v>36</v>
      </c>
      <c r="D1205" s="2">
        <v>1395</v>
      </c>
      <c r="E1205" s="2" t="s">
        <v>45</v>
      </c>
      <c r="F1205" s="2">
        <v>24</v>
      </c>
      <c r="G1205" s="2">
        <v>4</v>
      </c>
      <c r="H1205" s="2" t="s">
        <v>51</v>
      </c>
      <c r="I1205" s="2">
        <v>1</v>
      </c>
      <c r="J1205" s="2">
        <v>1689</v>
      </c>
      <c r="K1205" s="2">
        <v>2</v>
      </c>
      <c r="L1205" s="2" t="s">
        <v>46</v>
      </c>
      <c r="M1205" s="2">
        <v>48</v>
      </c>
      <c r="N1205" s="2">
        <v>4</v>
      </c>
      <c r="O1205" s="2">
        <v>3</v>
      </c>
      <c r="P1205" s="2" t="s">
        <v>54</v>
      </c>
      <c r="Q1205" s="2">
        <v>4</v>
      </c>
      <c r="R1205" s="2" t="s">
        <v>48</v>
      </c>
      <c r="S1205" s="2">
        <v>7005</v>
      </c>
      <c r="T1205" s="2">
        <v>3458</v>
      </c>
      <c r="U1205" s="2">
        <v>3</v>
      </c>
      <c r="V1205" s="2" t="s">
        <v>42</v>
      </c>
      <c r="W1205" s="2" t="s">
        <v>43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</row>
    <row r="1206" spans="1:35" x14ac:dyDescent="0.25">
      <c r="A1206" s="2">
        <v>48</v>
      </c>
      <c r="B1206" s="2" t="s">
        <v>35</v>
      </c>
      <c r="C1206" s="2" t="s">
        <v>44</v>
      </c>
      <c r="D1206" s="2">
        <v>708</v>
      </c>
      <c r="E1206" s="2" t="s">
        <v>37</v>
      </c>
      <c r="F1206" s="2">
        <v>7</v>
      </c>
      <c r="G1206" s="2">
        <v>2</v>
      </c>
      <c r="H1206" s="2" t="s">
        <v>51</v>
      </c>
      <c r="I1206" s="2">
        <v>1</v>
      </c>
      <c r="J1206" s="2">
        <v>1691</v>
      </c>
      <c r="K1206" s="2">
        <v>4</v>
      </c>
      <c r="L1206" s="2" t="s">
        <v>39</v>
      </c>
      <c r="M1206" s="2">
        <v>95</v>
      </c>
      <c r="N1206" s="2">
        <v>3</v>
      </c>
      <c r="O1206" s="2">
        <v>1</v>
      </c>
      <c r="P1206" s="2" t="s">
        <v>57</v>
      </c>
      <c r="Q1206" s="2">
        <v>3</v>
      </c>
      <c r="R1206" s="2" t="s">
        <v>48</v>
      </c>
      <c r="S1206" s="2">
        <v>2655</v>
      </c>
      <c r="T1206" s="2">
        <v>11740</v>
      </c>
      <c r="U1206" s="2">
        <v>2</v>
      </c>
      <c r="V1206" s="2" t="s">
        <v>42</v>
      </c>
      <c r="W1206" s="2" t="s">
        <v>35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</row>
    <row r="1207" spans="1:35" x14ac:dyDescent="0.25">
      <c r="A1207" s="2">
        <v>32</v>
      </c>
      <c r="B1207" s="2" t="s">
        <v>35</v>
      </c>
      <c r="C1207" s="2" t="s">
        <v>36</v>
      </c>
      <c r="D1207" s="2">
        <v>1259</v>
      </c>
      <c r="E1207" s="2" t="s">
        <v>45</v>
      </c>
      <c r="F1207" s="2">
        <v>2</v>
      </c>
      <c r="G1207" s="2">
        <v>4</v>
      </c>
      <c r="H1207" s="2" t="s">
        <v>38</v>
      </c>
      <c r="I1207" s="2">
        <v>1</v>
      </c>
      <c r="J1207" s="2">
        <v>1692</v>
      </c>
      <c r="K1207" s="2">
        <v>4</v>
      </c>
      <c r="L1207" s="2" t="s">
        <v>46</v>
      </c>
      <c r="M1207" s="2">
        <v>95</v>
      </c>
      <c r="N1207" s="2">
        <v>3</v>
      </c>
      <c r="O1207" s="2">
        <v>1</v>
      </c>
      <c r="P1207" s="2" t="s">
        <v>50</v>
      </c>
      <c r="Q1207" s="2">
        <v>2</v>
      </c>
      <c r="R1207" s="2" t="s">
        <v>41</v>
      </c>
      <c r="S1207" s="2">
        <v>1393</v>
      </c>
      <c r="T1207" s="2">
        <v>24852</v>
      </c>
      <c r="U1207" s="2">
        <v>1</v>
      </c>
      <c r="V1207" s="2" t="s">
        <v>42</v>
      </c>
      <c r="W1207" s="2" t="s">
        <v>43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</row>
    <row r="1208" spans="1:35" x14ac:dyDescent="0.25">
      <c r="A1208" s="2">
        <v>26</v>
      </c>
      <c r="B1208" s="2" t="s">
        <v>43</v>
      </c>
      <c r="C1208" s="2" t="s">
        <v>55</v>
      </c>
      <c r="D1208" s="2">
        <v>786</v>
      </c>
      <c r="E1208" s="2" t="s">
        <v>45</v>
      </c>
      <c r="F1208" s="2">
        <v>7</v>
      </c>
      <c r="G1208" s="2">
        <v>3</v>
      </c>
      <c r="H1208" s="2" t="s">
        <v>51</v>
      </c>
      <c r="I1208" s="2">
        <v>1</v>
      </c>
      <c r="J1208" s="2">
        <v>1693</v>
      </c>
      <c r="K1208" s="2">
        <v>4</v>
      </c>
      <c r="L1208" s="2" t="s">
        <v>46</v>
      </c>
      <c r="M1208" s="2">
        <v>76</v>
      </c>
      <c r="N1208" s="2">
        <v>3</v>
      </c>
      <c r="O1208" s="2">
        <v>1</v>
      </c>
      <c r="P1208" s="2" t="s">
        <v>50</v>
      </c>
      <c r="Q1208" s="2">
        <v>4</v>
      </c>
      <c r="R1208" s="2" t="s">
        <v>41</v>
      </c>
      <c r="S1208" s="2">
        <v>2570</v>
      </c>
      <c r="T1208" s="2">
        <v>11925</v>
      </c>
      <c r="U1208" s="2">
        <v>1</v>
      </c>
      <c r="V1208" s="2" t="s">
        <v>42</v>
      </c>
      <c r="W1208" s="2" t="s">
        <v>43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</row>
    <row r="1209" spans="1:35" x14ac:dyDescent="0.25">
      <c r="A1209" s="2">
        <v>55</v>
      </c>
      <c r="B1209" s="2" t="s">
        <v>43</v>
      </c>
      <c r="C1209" s="2" t="s">
        <v>36</v>
      </c>
      <c r="D1209" s="2">
        <v>1441</v>
      </c>
      <c r="E1209" s="2" t="s">
        <v>45</v>
      </c>
      <c r="F1209" s="2">
        <v>22</v>
      </c>
      <c r="G1209" s="2">
        <v>3</v>
      </c>
      <c r="H1209" s="2" t="s">
        <v>60</v>
      </c>
      <c r="I1209" s="2">
        <v>1</v>
      </c>
      <c r="J1209" s="2">
        <v>1694</v>
      </c>
      <c r="K1209" s="2">
        <v>1</v>
      </c>
      <c r="L1209" s="2" t="s">
        <v>46</v>
      </c>
      <c r="M1209" s="2">
        <v>94</v>
      </c>
      <c r="N1209" s="2">
        <v>2</v>
      </c>
      <c r="O1209" s="2">
        <v>1</v>
      </c>
      <c r="P1209" s="2" t="s">
        <v>47</v>
      </c>
      <c r="Q1209" s="2">
        <v>2</v>
      </c>
      <c r="R1209" s="2" t="s">
        <v>52</v>
      </c>
      <c r="S1209" s="2">
        <v>3537</v>
      </c>
      <c r="T1209" s="2">
        <v>23737</v>
      </c>
      <c r="U1209" s="2">
        <v>5</v>
      </c>
      <c r="V1209" s="2" t="s">
        <v>42</v>
      </c>
      <c r="W1209" s="2" t="s">
        <v>43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</row>
    <row r="1210" spans="1:35" x14ac:dyDescent="0.25">
      <c r="A1210" s="2">
        <v>34</v>
      </c>
      <c r="B1210" s="2" t="s">
        <v>43</v>
      </c>
      <c r="C1210" s="2" t="s">
        <v>36</v>
      </c>
      <c r="D1210" s="2">
        <v>1157</v>
      </c>
      <c r="E1210" s="2" t="s">
        <v>45</v>
      </c>
      <c r="F1210" s="2">
        <v>5</v>
      </c>
      <c r="G1210" s="2">
        <v>2</v>
      </c>
      <c r="H1210" s="2" t="s">
        <v>51</v>
      </c>
      <c r="I1210" s="2">
        <v>1</v>
      </c>
      <c r="J1210" s="2">
        <v>1696</v>
      </c>
      <c r="K1210" s="2">
        <v>2</v>
      </c>
      <c r="L1210" s="2" t="s">
        <v>46</v>
      </c>
      <c r="M1210" s="2">
        <v>57</v>
      </c>
      <c r="N1210" s="2">
        <v>2</v>
      </c>
      <c r="O1210" s="2">
        <v>2</v>
      </c>
      <c r="P1210" s="2" t="s">
        <v>50</v>
      </c>
      <c r="Q1210" s="2">
        <v>4</v>
      </c>
      <c r="R1210" s="2" t="s">
        <v>48</v>
      </c>
      <c r="S1210" s="2">
        <v>3986</v>
      </c>
      <c r="T1210" s="2">
        <v>11912</v>
      </c>
      <c r="U1210" s="2">
        <v>1</v>
      </c>
      <c r="V1210" s="2" t="s">
        <v>42</v>
      </c>
      <c r="W1210" s="2" t="s">
        <v>43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</row>
    <row r="1211" spans="1:35" x14ac:dyDescent="0.25">
      <c r="A1211" s="2">
        <v>60</v>
      </c>
      <c r="B1211" s="2" t="s">
        <v>43</v>
      </c>
      <c r="C1211" s="2" t="s">
        <v>36</v>
      </c>
      <c r="D1211" s="2">
        <v>370</v>
      </c>
      <c r="E1211" s="2" t="s">
        <v>45</v>
      </c>
      <c r="F1211" s="2">
        <v>1</v>
      </c>
      <c r="G1211" s="2">
        <v>4</v>
      </c>
      <c r="H1211" s="2" t="s">
        <v>51</v>
      </c>
      <c r="I1211" s="2">
        <v>1</v>
      </c>
      <c r="J1211" s="2">
        <v>1697</v>
      </c>
      <c r="K1211" s="2">
        <v>3</v>
      </c>
      <c r="L1211" s="2" t="s">
        <v>46</v>
      </c>
      <c r="M1211" s="2">
        <v>92</v>
      </c>
      <c r="N1211" s="2">
        <v>1</v>
      </c>
      <c r="O1211" s="2">
        <v>3</v>
      </c>
      <c r="P1211" s="2" t="s">
        <v>54</v>
      </c>
      <c r="Q1211" s="2">
        <v>4</v>
      </c>
      <c r="R1211" s="2" t="s">
        <v>52</v>
      </c>
      <c r="S1211" s="2">
        <v>10883</v>
      </c>
      <c r="T1211" s="2">
        <v>20467</v>
      </c>
      <c r="U1211" s="2">
        <v>3</v>
      </c>
      <c r="V1211" s="2" t="s">
        <v>42</v>
      </c>
      <c r="W1211" s="2" t="s">
        <v>43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</row>
    <row r="1212" spans="1:35" x14ac:dyDescent="0.25">
      <c r="A1212" s="2">
        <v>33</v>
      </c>
      <c r="B1212" s="2" t="s">
        <v>43</v>
      </c>
      <c r="C1212" s="2" t="s">
        <v>36</v>
      </c>
      <c r="D1212" s="2">
        <v>267</v>
      </c>
      <c r="E1212" s="2" t="s">
        <v>45</v>
      </c>
      <c r="F1212" s="2">
        <v>21</v>
      </c>
      <c r="G1212" s="2">
        <v>3</v>
      </c>
      <c r="H1212" s="2" t="s">
        <v>51</v>
      </c>
      <c r="I1212" s="2">
        <v>1</v>
      </c>
      <c r="J1212" s="2">
        <v>1698</v>
      </c>
      <c r="K1212" s="2">
        <v>2</v>
      </c>
      <c r="L1212" s="2" t="s">
        <v>46</v>
      </c>
      <c r="M1212" s="2">
        <v>79</v>
      </c>
      <c r="N1212" s="2">
        <v>4</v>
      </c>
      <c r="O1212" s="2">
        <v>1</v>
      </c>
      <c r="P1212" s="2" t="s">
        <v>50</v>
      </c>
      <c r="Q1212" s="2">
        <v>2</v>
      </c>
      <c r="R1212" s="2" t="s">
        <v>48</v>
      </c>
      <c r="S1212" s="2">
        <v>2028</v>
      </c>
      <c r="T1212" s="2">
        <v>13637</v>
      </c>
      <c r="U1212" s="2">
        <v>1</v>
      </c>
      <c r="V1212" s="2" t="s">
        <v>42</v>
      </c>
      <c r="W1212" s="2" t="s">
        <v>43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</row>
    <row r="1213" spans="1:35" x14ac:dyDescent="0.25">
      <c r="A1213" s="2">
        <v>37</v>
      </c>
      <c r="B1213" s="2" t="s">
        <v>43</v>
      </c>
      <c r="C1213" s="2" t="s">
        <v>44</v>
      </c>
      <c r="D1213" s="2">
        <v>1278</v>
      </c>
      <c r="E1213" s="2" t="s">
        <v>37</v>
      </c>
      <c r="F1213" s="2">
        <v>1</v>
      </c>
      <c r="G1213" s="2">
        <v>4</v>
      </c>
      <c r="H1213" s="2" t="s">
        <v>51</v>
      </c>
      <c r="I1213" s="2">
        <v>1</v>
      </c>
      <c r="J1213" s="2">
        <v>1700</v>
      </c>
      <c r="K1213" s="2">
        <v>3</v>
      </c>
      <c r="L1213" s="2" t="s">
        <v>46</v>
      </c>
      <c r="M1213" s="2">
        <v>31</v>
      </c>
      <c r="N1213" s="2">
        <v>1</v>
      </c>
      <c r="O1213" s="2">
        <v>2</v>
      </c>
      <c r="P1213" s="2" t="s">
        <v>40</v>
      </c>
      <c r="Q1213" s="2">
        <v>4</v>
      </c>
      <c r="R1213" s="2" t="s">
        <v>52</v>
      </c>
      <c r="S1213" s="2">
        <v>9525</v>
      </c>
      <c r="T1213" s="2">
        <v>7677</v>
      </c>
      <c r="U1213" s="2">
        <v>1</v>
      </c>
      <c r="V1213" s="2" t="s">
        <v>42</v>
      </c>
      <c r="W1213" s="2" t="s">
        <v>43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</row>
    <row r="1214" spans="1:35" x14ac:dyDescent="0.25">
      <c r="A1214" s="2">
        <v>34</v>
      </c>
      <c r="B1214" s="2" t="s">
        <v>43</v>
      </c>
      <c r="C1214" s="2" t="s">
        <v>36</v>
      </c>
      <c r="D1214" s="2">
        <v>678</v>
      </c>
      <c r="E1214" s="2" t="s">
        <v>45</v>
      </c>
      <c r="F1214" s="2">
        <v>19</v>
      </c>
      <c r="G1214" s="2">
        <v>3</v>
      </c>
      <c r="H1214" s="2" t="s">
        <v>38</v>
      </c>
      <c r="I1214" s="2">
        <v>1</v>
      </c>
      <c r="J1214" s="2">
        <v>1701</v>
      </c>
      <c r="K1214" s="2">
        <v>2</v>
      </c>
      <c r="L1214" s="2" t="s">
        <v>39</v>
      </c>
      <c r="M1214" s="2">
        <v>35</v>
      </c>
      <c r="N1214" s="2">
        <v>2</v>
      </c>
      <c r="O1214" s="2">
        <v>1</v>
      </c>
      <c r="P1214" s="2" t="s">
        <v>47</v>
      </c>
      <c r="Q1214" s="2">
        <v>4</v>
      </c>
      <c r="R1214" s="2" t="s">
        <v>48</v>
      </c>
      <c r="S1214" s="2">
        <v>2929</v>
      </c>
      <c r="T1214" s="2">
        <v>20338</v>
      </c>
      <c r="U1214" s="2">
        <v>1</v>
      </c>
      <c r="V1214" s="2" t="s">
        <v>42</v>
      </c>
      <c r="W1214" s="2" t="s">
        <v>43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</row>
    <row r="1215" spans="1:35" x14ac:dyDescent="0.25">
      <c r="A1215" s="2">
        <v>23</v>
      </c>
      <c r="B1215" s="2" t="s">
        <v>35</v>
      </c>
      <c r="C1215" s="2" t="s">
        <v>36</v>
      </c>
      <c r="D1215" s="2">
        <v>427</v>
      </c>
      <c r="E1215" s="2" t="s">
        <v>37</v>
      </c>
      <c r="F1215" s="2">
        <v>7</v>
      </c>
      <c r="G1215" s="2">
        <v>3</v>
      </c>
      <c r="H1215" s="2" t="s">
        <v>38</v>
      </c>
      <c r="I1215" s="2">
        <v>1</v>
      </c>
      <c r="J1215" s="2">
        <v>1702</v>
      </c>
      <c r="K1215" s="2">
        <v>3</v>
      </c>
      <c r="L1215" s="2" t="s">
        <v>46</v>
      </c>
      <c r="M1215" s="2">
        <v>99</v>
      </c>
      <c r="N1215" s="2">
        <v>3</v>
      </c>
      <c r="O1215" s="2">
        <v>1</v>
      </c>
      <c r="P1215" s="2" t="s">
        <v>57</v>
      </c>
      <c r="Q1215" s="2">
        <v>4</v>
      </c>
      <c r="R1215" s="2" t="s">
        <v>52</v>
      </c>
      <c r="S1215" s="2">
        <v>2275</v>
      </c>
      <c r="T1215" s="2">
        <v>25103</v>
      </c>
      <c r="U1215" s="2">
        <v>1</v>
      </c>
      <c r="V1215" s="2" t="s">
        <v>42</v>
      </c>
      <c r="W1215" s="2" t="s">
        <v>35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</row>
    <row r="1216" spans="1:35" x14ac:dyDescent="0.25">
      <c r="A1216" s="2">
        <v>44</v>
      </c>
      <c r="B1216" s="2" t="s">
        <v>43</v>
      </c>
      <c r="C1216" s="2" t="s">
        <v>36</v>
      </c>
      <c r="D1216" s="2">
        <v>921</v>
      </c>
      <c r="E1216" s="2" t="s">
        <v>45</v>
      </c>
      <c r="F1216" s="2">
        <v>2</v>
      </c>
      <c r="G1216" s="2">
        <v>3</v>
      </c>
      <c r="H1216" s="2" t="s">
        <v>38</v>
      </c>
      <c r="I1216" s="2">
        <v>1</v>
      </c>
      <c r="J1216" s="2">
        <v>1703</v>
      </c>
      <c r="K1216" s="2">
        <v>3</v>
      </c>
      <c r="L1216" s="2" t="s">
        <v>39</v>
      </c>
      <c r="M1216" s="2">
        <v>96</v>
      </c>
      <c r="N1216" s="2">
        <v>4</v>
      </c>
      <c r="O1216" s="2">
        <v>3</v>
      </c>
      <c r="P1216" s="2" t="s">
        <v>54</v>
      </c>
      <c r="Q1216" s="2">
        <v>4</v>
      </c>
      <c r="R1216" s="2" t="s">
        <v>48</v>
      </c>
      <c r="S1216" s="2">
        <v>7879</v>
      </c>
      <c r="T1216" s="2">
        <v>14810</v>
      </c>
      <c r="U1216" s="2">
        <v>1</v>
      </c>
      <c r="V1216" s="2" t="s">
        <v>42</v>
      </c>
      <c r="W1216" s="2" t="s">
        <v>35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</row>
    <row r="1217" spans="1:35" x14ac:dyDescent="0.25">
      <c r="A1217" s="2">
        <v>35</v>
      </c>
      <c r="B1217" s="2" t="s">
        <v>43</v>
      </c>
      <c r="C1217" s="2" t="s">
        <v>44</v>
      </c>
      <c r="D1217" s="2">
        <v>146</v>
      </c>
      <c r="E1217" s="2" t="s">
        <v>45</v>
      </c>
      <c r="F1217" s="2">
        <v>2</v>
      </c>
      <c r="G1217" s="2">
        <v>4</v>
      </c>
      <c r="H1217" s="2" t="s">
        <v>51</v>
      </c>
      <c r="I1217" s="2">
        <v>1</v>
      </c>
      <c r="J1217" s="2">
        <v>1704</v>
      </c>
      <c r="K1217" s="2">
        <v>1</v>
      </c>
      <c r="L1217" s="2" t="s">
        <v>46</v>
      </c>
      <c r="M1217" s="2">
        <v>79</v>
      </c>
      <c r="N1217" s="2">
        <v>2</v>
      </c>
      <c r="O1217" s="2">
        <v>1</v>
      </c>
      <c r="P1217" s="2" t="s">
        <v>47</v>
      </c>
      <c r="Q1217" s="2">
        <v>4</v>
      </c>
      <c r="R1217" s="2" t="s">
        <v>41</v>
      </c>
      <c r="S1217" s="2">
        <v>4930</v>
      </c>
      <c r="T1217" s="2">
        <v>13970</v>
      </c>
      <c r="U1217" s="2">
        <v>0</v>
      </c>
      <c r="V1217" s="2" t="s">
        <v>42</v>
      </c>
      <c r="W1217" s="2" t="s">
        <v>35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</row>
    <row r="1218" spans="1:35" x14ac:dyDescent="0.25">
      <c r="A1218" s="2">
        <v>43</v>
      </c>
      <c r="B1218" s="2" t="s">
        <v>43</v>
      </c>
      <c r="C1218" s="2" t="s">
        <v>36</v>
      </c>
      <c r="D1218" s="2">
        <v>1179</v>
      </c>
      <c r="E1218" s="2" t="s">
        <v>37</v>
      </c>
      <c r="F1218" s="2">
        <v>2</v>
      </c>
      <c r="G1218" s="2">
        <v>3</v>
      </c>
      <c r="H1218" s="2" t="s">
        <v>51</v>
      </c>
      <c r="I1218" s="2">
        <v>1</v>
      </c>
      <c r="J1218" s="2">
        <v>1706</v>
      </c>
      <c r="K1218" s="2">
        <v>4</v>
      </c>
      <c r="L1218" s="2" t="s">
        <v>46</v>
      </c>
      <c r="M1218" s="2">
        <v>73</v>
      </c>
      <c r="N1218" s="2">
        <v>3</v>
      </c>
      <c r="O1218" s="2">
        <v>2</v>
      </c>
      <c r="P1218" s="2" t="s">
        <v>40</v>
      </c>
      <c r="Q1218" s="2">
        <v>4</v>
      </c>
      <c r="R1218" s="2" t="s">
        <v>48</v>
      </c>
      <c r="S1218" s="2">
        <v>7847</v>
      </c>
      <c r="T1218" s="2">
        <v>6069</v>
      </c>
      <c r="U1218" s="2">
        <v>1</v>
      </c>
      <c r="V1218" s="2" t="s">
        <v>42</v>
      </c>
      <c r="W1218" s="2" t="s">
        <v>35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</row>
    <row r="1219" spans="1:35" x14ac:dyDescent="0.25">
      <c r="A1219" s="2">
        <v>24</v>
      </c>
      <c r="B1219" s="2" t="s">
        <v>43</v>
      </c>
      <c r="C1219" s="2" t="s">
        <v>36</v>
      </c>
      <c r="D1219" s="2">
        <v>581</v>
      </c>
      <c r="E1219" s="2" t="s">
        <v>45</v>
      </c>
      <c r="F1219" s="2">
        <v>9</v>
      </c>
      <c r="G1219" s="2">
        <v>3</v>
      </c>
      <c r="H1219" s="2" t="s">
        <v>51</v>
      </c>
      <c r="I1219" s="2">
        <v>1</v>
      </c>
      <c r="J1219" s="2">
        <v>1707</v>
      </c>
      <c r="K1219" s="2">
        <v>3</v>
      </c>
      <c r="L1219" s="2" t="s">
        <v>46</v>
      </c>
      <c r="M1219" s="2">
        <v>62</v>
      </c>
      <c r="N1219" s="2">
        <v>4</v>
      </c>
      <c r="O1219" s="2">
        <v>1</v>
      </c>
      <c r="P1219" s="2" t="s">
        <v>47</v>
      </c>
      <c r="Q1219" s="2">
        <v>3</v>
      </c>
      <c r="R1219" s="2" t="s">
        <v>48</v>
      </c>
      <c r="S1219" s="2">
        <v>4401</v>
      </c>
      <c r="T1219" s="2">
        <v>17616</v>
      </c>
      <c r="U1219" s="2">
        <v>1</v>
      </c>
      <c r="V1219" s="2" t="s">
        <v>42</v>
      </c>
      <c r="W1219" s="2" t="s">
        <v>43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</row>
    <row r="1220" spans="1:35" x14ac:dyDescent="0.25">
      <c r="A1220" s="2">
        <v>41</v>
      </c>
      <c r="B1220" s="2" t="s">
        <v>43</v>
      </c>
      <c r="C1220" s="2" t="s">
        <v>36</v>
      </c>
      <c r="D1220" s="2">
        <v>918</v>
      </c>
      <c r="E1220" s="2" t="s">
        <v>37</v>
      </c>
      <c r="F1220" s="2">
        <v>6</v>
      </c>
      <c r="G1220" s="2">
        <v>3</v>
      </c>
      <c r="H1220" s="2" t="s">
        <v>59</v>
      </c>
      <c r="I1220" s="2">
        <v>1</v>
      </c>
      <c r="J1220" s="2">
        <v>1708</v>
      </c>
      <c r="K1220" s="2">
        <v>4</v>
      </c>
      <c r="L1220" s="2" t="s">
        <v>46</v>
      </c>
      <c r="M1220" s="2">
        <v>35</v>
      </c>
      <c r="N1220" s="2">
        <v>3</v>
      </c>
      <c r="O1220" s="2">
        <v>3</v>
      </c>
      <c r="P1220" s="2" t="s">
        <v>40</v>
      </c>
      <c r="Q1220" s="2">
        <v>3</v>
      </c>
      <c r="R1220" s="2" t="s">
        <v>41</v>
      </c>
      <c r="S1220" s="2">
        <v>9241</v>
      </c>
      <c r="T1220" s="2">
        <v>15869</v>
      </c>
      <c r="U1220" s="2">
        <v>1</v>
      </c>
      <c r="V1220" s="2" t="s">
        <v>42</v>
      </c>
      <c r="W1220" s="2" t="s">
        <v>43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</row>
    <row r="1221" spans="1:35" x14ac:dyDescent="0.25">
      <c r="A1221" s="2">
        <v>29</v>
      </c>
      <c r="B1221" s="2" t="s">
        <v>43</v>
      </c>
      <c r="C1221" s="2" t="s">
        <v>36</v>
      </c>
      <c r="D1221" s="2">
        <v>1082</v>
      </c>
      <c r="E1221" s="2" t="s">
        <v>45</v>
      </c>
      <c r="F1221" s="2">
        <v>9</v>
      </c>
      <c r="G1221" s="2">
        <v>4</v>
      </c>
      <c r="H1221" s="2" t="s">
        <v>51</v>
      </c>
      <c r="I1221" s="2">
        <v>1</v>
      </c>
      <c r="J1221" s="2">
        <v>1709</v>
      </c>
      <c r="K1221" s="2">
        <v>4</v>
      </c>
      <c r="L1221" s="2" t="s">
        <v>39</v>
      </c>
      <c r="M1221" s="2">
        <v>43</v>
      </c>
      <c r="N1221" s="2">
        <v>3</v>
      </c>
      <c r="O1221" s="2">
        <v>1</v>
      </c>
      <c r="P1221" s="2" t="s">
        <v>50</v>
      </c>
      <c r="Q1221" s="2">
        <v>3</v>
      </c>
      <c r="R1221" s="2" t="s">
        <v>48</v>
      </c>
      <c r="S1221" s="2">
        <v>2974</v>
      </c>
      <c r="T1221" s="2">
        <v>25412</v>
      </c>
      <c r="U1221" s="2">
        <v>9</v>
      </c>
      <c r="V1221" s="2" t="s">
        <v>42</v>
      </c>
      <c r="W1221" s="2" t="s">
        <v>43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</row>
    <row r="1222" spans="1:35" x14ac:dyDescent="0.25">
      <c r="A1222" s="2">
        <v>36</v>
      </c>
      <c r="B1222" s="2" t="s">
        <v>43</v>
      </c>
      <c r="C1222" s="2" t="s">
        <v>36</v>
      </c>
      <c r="D1222" s="2">
        <v>530</v>
      </c>
      <c r="E1222" s="2" t="s">
        <v>37</v>
      </c>
      <c r="F1222" s="2">
        <v>2</v>
      </c>
      <c r="G1222" s="2">
        <v>4</v>
      </c>
      <c r="H1222" s="2" t="s">
        <v>38</v>
      </c>
      <c r="I1222" s="2">
        <v>1</v>
      </c>
      <c r="J1222" s="2">
        <v>1710</v>
      </c>
      <c r="K1222" s="2">
        <v>3</v>
      </c>
      <c r="L1222" s="2" t="s">
        <v>39</v>
      </c>
      <c r="M1222" s="2">
        <v>51</v>
      </c>
      <c r="N1222" s="2">
        <v>3</v>
      </c>
      <c r="O1222" s="2">
        <v>2</v>
      </c>
      <c r="P1222" s="2" t="s">
        <v>57</v>
      </c>
      <c r="Q1222" s="2">
        <v>4</v>
      </c>
      <c r="R1222" s="2" t="s">
        <v>41</v>
      </c>
      <c r="S1222" s="2">
        <v>4502</v>
      </c>
      <c r="T1222" s="2">
        <v>7439</v>
      </c>
      <c r="U1222" s="2">
        <v>3</v>
      </c>
      <c r="V1222" s="2" t="s">
        <v>42</v>
      </c>
      <c r="W1222" s="2" t="s">
        <v>43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</row>
    <row r="1223" spans="1:35" x14ac:dyDescent="0.25">
      <c r="A1223" s="2">
        <v>45</v>
      </c>
      <c r="B1223" s="2" t="s">
        <v>43</v>
      </c>
      <c r="C1223" s="2" t="s">
        <v>55</v>
      </c>
      <c r="D1223" s="2">
        <v>1238</v>
      </c>
      <c r="E1223" s="2" t="s">
        <v>45</v>
      </c>
      <c r="F1223" s="2">
        <v>1</v>
      </c>
      <c r="G1223" s="2">
        <v>1</v>
      </c>
      <c r="H1223" s="2" t="s">
        <v>38</v>
      </c>
      <c r="I1223" s="2">
        <v>1</v>
      </c>
      <c r="J1223" s="2">
        <v>1712</v>
      </c>
      <c r="K1223" s="2">
        <v>3</v>
      </c>
      <c r="L1223" s="2" t="s">
        <v>46</v>
      </c>
      <c r="M1223" s="2">
        <v>74</v>
      </c>
      <c r="N1223" s="2">
        <v>2</v>
      </c>
      <c r="O1223" s="2">
        <v>3</v>
      </c>
      <c r="P1223" s="2" t="s">
        <v>54</v>
      </c>
      <c r="Q1223" s="2">
        <v>3</v>
      </c>
      <c r="R1223" s="2" t="s">
        <v>48</v>
      </c>
      <c r="S1223" s="2">
        <v>10748</v>
      </c>
      <c r="T1223" s="2">
        <v>3395</v>
      </c>
      <c r="U1223" s="2">
        <v>3</v>
      </c>
      <c r="V1223" s="2" t="s">
        <v>42</v>
      </c>
      <c r="W1223" s="2" t="s">
        <v>43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</row>
    <row r="1224" spans="1:35" x14ac:dyDescent="0.25">
      <c r="A1224" s="2">
        <v>24</v>
      </c>
      <c r="B1224" s="2" t="s">
        <v>35</v>
      </c>
      <c r="C1224" s="2" t="s">
        <v>36</v>
      </c>
      <c r="D1224" s="2">
        <v>240</v>
      </c>
      <c r="E1224" s="2" t="s">
        <v>61</v>
      </c>
      <c r="F1224" s="2">
        <v>22</v>
      </c>
      <c r="G1224" s="2">
        <v>1</v>
      </c>
      <c r="H1224" s="2" t="s">
        <v>61</v>
      </c>
      <c r="I1224" s="2">
        <v>1</v>
      </c>
      <c r="J1224" s="2">
        <v>1714</v>
      </c>
      <c r="K1224" s="2">
        <v>4</v>
      </c>
      <c r="L1224" s="2" t="s">
        <v>46</v>
      </c>
      <c r="M1224" s="2">
        <v>58</v>
      </c>
      <c r="N1224" s="2">
        <v>1</v>
      </c>
      <c r="O1224" s="2">
        <v>1</v>
      </c>
      <c r="P1224" s="2" t="s">
        <v>61</v>
      </c>
      <c r="Q1224" s="2">
        <v>3</v>
      </c>
      <c r="R1224" s="2" t="s">
        <v>48</v>
      </c>
      <c r="S1224" s="2">
        <v>1555</v>
      </c>
      <c r="T1224" s="2">
        <v>11585</v>
      </c>
      <c r="U1224" s="2">
        <v>1</v>
      </c>
      <c r="V1224" s="2" t="s">
        <v>42</v>
      </c>
      <c r="W1224" s="2" t="s">
        <v>43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</row>
    <row r="1225" spans="1:35" x14ac:dyDescent="0.25">
      <c r="A1225" s="2">
        <v>47</v>
      </c>
      <c r="B1225" s="2" t="s">
        <v>35</v>
      </c>
      <c r="C1225" s="2" t="s">
        <v>44</v>
      </c>
      <c r="D1225" s="2">
        <v>1093</v>
      </c>
      <c r="E1225" s="2" t="s">
        <v>37</v>
      </c>
      <c r="F1225" s="2">
        <v>9</v>
      </c>
      <c r="G1225" s="2">
        <v>3</v>
      </c>
      <c r="H1225" s="2" t="s">
        <v>38</v>
      </c>
      <c r="I1225" s="2">
        <v>1</v>
      </c>
      <c r="J1225" s="2">
        <v>1716</v>
      </c>
      <c r="K1225" s="2">
        <v>3</v>
      </c>
      <c r="L1225" s="2" t="s">
        <v>46</v>
      </c>
      <c r="M1225" s="2">
        <v>82</v>
      </c>
      <c r="N1225" s="2">
        <v>1</v>
      </c>
      <c r="O1225" s="2">
        <v>4</v>
      </c>
      <c r="P1225" s="2" t="s">
        <v>40</v>
      </c>
      <c r="Q1225" s="2">
        <v>3</v>
      </c>
      <c r="R1225" s="2" t="s">
        <v>48</v>
      </c>
      <c r="S1225" s="2">
        <v>12936</v>
      </c>
      <c r="T1225" s="2">
        <v>24164</v>
      </c>
      <c r="U1225" s="2">
        <v>7</v>
      </c>
      <c r="V1225" s="2" t="s">
        <v>42</v>
      </c>
      <c r="W1225" s="2" t="s">
        <v>43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</row>
    <row r="1226" spans="1:35" x14ac:dyDescent="0.25">
      <c r="A1226" s="2">
        <v>26</v>
      </c>
      <c r="B1226" s="2" t="s">
        <v>43</v>
      </c>
      <c r="C1226" s="2" t="s">
        <v>36</v>
      </c>
      <c r="D1226" s="2">
        <v>390</v>
      </c>
      <c r="E1226" s="2" t="s">
        <v>45</v>
      </c>
      <c r="F1226" s="2">
        <v>17</v>
      </c>
      <c r="G1226" s="2">
        <v>4</v>
      </c>
      <c r="H1226" s="2" t="s">
        <v>51</v>
      </c>
      <c r="I1226" s="2">
        <v>1</v>
      </c>
      <c r="J1226" s="2">
        <v>1718</v>
      </c>
      <c r="K1226" s="2">
        <v>4</v>
      </c>
      <c r="L1226" s="2" t="s">
        <v>46</v>
      </c>
      <c r="M1226" s="2">
        <v>62</v>
      </c>
      <c r="N1226" s="2">
        <v>1</v>
      </c>
      <c r="O1226" s="2">
        <v>1</v>
      </c>
      <c r="P1226" s="2" t="s">
        <v>50</v>
      </c>
      <c r="Q1226" s="2">
        <v>3</v>
      </c>
      <c r="R1226" s="2" t="s">
        <v>48</v>
      </c>
      <c r="S1226" s="2">
        <v>2305</v>
      </c>
      <c r="T1226" s="2">
        <v>6217</v>
      </c>
      <c r="U1226" s="2">
        <v>1</v>
      </c>
      <c r="V1226" s="2" t="s">
        <v>42</v>
      </c>
      <c r="W1226" s="2" t="s">
        <v>43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</row>
    <row r="1227" spans="1:35" x14ac:dyDescent="0.25">
      <c r="A1227" s="2">
        <v>45</v>
      </c>
      <c r="B1227" s="2" t="s">
        <v>43</v>
      </c>
      <c r="C1227" s="2" t="s">
        <v>36</v>
      </c>
      <c r="D1227" s="2">
        <v>1005</v>
      </c>
      <c r="E1227" s="2" t="s">
        <v>45</v>
      </c>
      <c r="F1227" s="2">
        <v>28</v>
      </c>
      <c r="G1227" s="2">
        <v>2</v>
      </c>
      <c r="H1227" s="2" t="s">
        <v>60</v>
      </c>
      <c r="I1227" s="2">
        <v>1</v>
      </c>
      <c r="J1227" s="2">
        <v>1719</v>
      </c>
      <c r="K1227" s="2">
        <v>4</v>
      </c>
      <c r="L1227" s="2" t="s">
        <v>39</v>
      </c>
      <c r="M1227" s="2">
        <v>48</v>
      </c>
      <c r="N1227" s="2">
        <v>2</v>
      </c>
      <c r="O1227" s="2">
        <v>4</v>
      </c>
      <c r="P1227" s="2" t="s">
        <v>58</v>
      </c>
      <c r="Q1227" s="2">
        <v>2</v>
      </c>
      <c r="R1227" s="2" t="s">
        <v>41</v>
      </c>
      <c r="S1227" s="2">
        <v>16704</v>
      </c>
      <c r="T1227" s="2">
        <v>17119</v>
      </c>
      <c r="U1227" s="2">
        <v>1</v>
      </c>
      <c r="V1227" s="2" t="s">
        <v>42</v>
      </c>
      <c r="W1227" s="2" t="s">
        <v>43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</row>
    <row r="1228" spans="1:35" x14ac:dyDescent="0.25">
      <c r="A1228" s="2">
        <v>32</v>
      </c>
      <c r="B1228" s="2" t="s">
        <v>43</v>
      </c>
      <c r="C1228" s="2" t="s">
        <v>44</v>
      </c>
      <c r="D1228" s="2">
        <v>585</v>
      </c>
      <c r="E1228" s="2" t="s">
        <v>45</v>
      </c>
      <c r="F1228" s="2">
        <v>10</v>
      </c>
      <c r="G1228" s="2">
        <v>3</v>
      </c>
      <c r="H1228" s="2" t="s">
        <v>38</v>
      </c>
      <c r="I1228" s="2">
        <v>1</v>
      </c>
      <c r="J1228" s="2">
        <v>1720</v>
      </c>
      <c r="K1228" s="2">
        <v>1</v>
      </c>
      <c r="L1228" s="2" t="s">
        <v>46</v>
      </c>
      <c r="M1228" s="2">
        <v>56</v>
      </c>
      <c r="N1228" s="2">
        <v>3</v>
      </c>
      <c r="O1228" s="2">
        <v>1</v>
      </c>
      <c r="P1228" s="2" t="s">
        <v>47</v>
      </c>
      <c r="Q1228" s="2">
        <v>3</v>
      </c>
      <c r="R1228" s="2" t="s">
        <v>48</v>
      </c>
      <c r="S1228" s="2">
        <v>3433</v>
      </c>
      <c r="T1228" s="2">
        <v>17360</v>
      </c>
      <c r="U1228" s="2">
        <v>6</v>
      </c>
      <c r="V1228" s="2" t="s">
        <v>42</v>
      </c>
      <c r="W1228" s="2" t="s">
        <v>43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</row>
    <row r="1229" spans="1:35" x14ac:dyDescent="0.25">
      <c r="A1229" s="2">
        <v>31</v>
      </c>
      <c r="B1229" s="2" t="s">
        <v>43</v>
      </c>
      <c r="C1229" s="2" t="s">
        <v>36</v>
      </c>
      <c r="D1229" s="2">
        <v>741</v>
      </c>
      <c r="E1229" s="2" t="s">
        <v>45</v>
      </c>
      <c r="F1229" s="2">
        <v>2</v>
      </c>
      <c r="G1229" s="2">
        <v>4</v>
      </c>
      <c r="H1229" s="2" t="s">
        <v>38</v>
      </c>
      <c r="I1229" s="2">
        <v>1</v>
      </c>
      <c r="J1229" s="2">
        <v>1721</v>
      </c>
      <c r="K1229" s="2">
        <v>2</v>
      </c>
      <c r="L1229" s="2" t="s">
        <v>46</v>
      </c>
      <c r="M1229" s="2">
        <v>69</v>
      </c>
      <c r="N1229" s="2">
        <v>3</v>
      </c>
      <c r="O1229" s="2">
        <v>1</v>
      </c>
      <c r="P1229" s="2" t="s">
        <v>50</v>
      </c>
      <c r="Q1229" s="2">
        <v>3</v>
      </c>
      <c r="R1229" s="2" t="s">
        <v>48</v>
      </c>
      <c r="S1229" s="2">
        <v>3477</v>
      </c>
      <c r="T1229" s="2">
        <v>18103</v>
      </c>
      <c r="U1229" s="2">
        <v>1</v>
      </c>
      <c r="V1229" s="2" t="s">
        <v>42</v>
      </c>
      <c r="W1229" s="2" t="s">
        <v>43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</row>
    <row r="1230" spans="1:35" x14ac:dyDescent="0.25">
      <c r="A1230" s="2">
        <v>41</v>
      </c>
      <c r="B1230" s="2" t="s">
        <v>43</v>
      </c>
      <c r="C1230" s="2" t="s">
        <v>55</v>
      </c>
      <c r="D1230" s="2">
        <v>552</v>
      </c>
      <c r="E1230" s="2" t="s">
        <v>61</v>
      </c>
      <c r="F1230" s="2">
        <v>4</v>
      </c>
      <c r="G1230" s="2">
        <v>3</v>
      </c>
      <c r="H1230" s="2" t="s">
        <v>61</v>
      </c>
      <c r="I1230" s="2">
        <v>1</v>
      </c>
      <c r="J1230" s="2">
        <v>1722</v>
      </c>
      <c r="K1230" s="2">
        <v>3</v>
      </c>
      <c r="L1230" s="2" t="s">
        <v>46</v>
      </c>
      <c r="M1230" s="2">
        <v>60</v>
      </c>
      <c r="N1230" s="2">
        <v>1</v>
      </c>
      <c r="O1230" s="2">
        <v>2</v>
      </c>
      <c r="P1230" s="2" t="s">
        <v>61</v>
      </c>
      <c r="Q1230" s="2">
        <v>2</v>
      </c>
      <c r="R1230" s="2" t="s">
        <v>48</v>
      </c>
      <c r="S1230" s="2">
        <v>6430</v>
      </c>
      <c r="T1230" s="2">
        <v>20794</v>
      </c>
      <c r="U1230" s="2">
        <v>6</v>
      </c>
      <c r="V1230" s="2" t="s">
        <v>42</v>
      </c>
      <c r="W1230" s="2" t="s">
        <v>43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</row>
    <row r="1231" spans="1:35" x14ac:dyDescent="0.25">
      <c r="A1231" s="2">
        <v>40</v>
      </c>
      <c r="B1231" s="2" t="s">
        <v>43</v>
      </c>
      <c r="C1231" s="2" t="s">
        <v>36</v>
      </c>
      <c r="D1231" s="2">
        <v>369</v>
      </c>
      <c r="E1231" s="2" t="s">
        <v>45</v>
      </c>
      <c r="F1231" s="2">
        <v>8</v>
      </c>
      <c r="G1231" s="2">
        <v>2</v>
      </c>
      <c r="H1231" s="2" t="s">
        <v>38</v>
      </c>
      <c r="I1231" s="2">
        <v>1</v>
      </c>
      <c r="J1231" s="2">
        <v>1724</v>
      </c>
      <c r="K1231" s="2">
        <v>2</v>
      </c>
      <c r="L1231" s="2" t="s">
        <v>39</v>
      </c>
      <c r="M1231" s="2">
        <v>92</v>
      </c>
      <c r="N1231" s="2">
        <v>3</v>
      </c>
      <c r="O1231" s="2">
        <v>2</v>
      </c>
      <c r="P1231" s="2" t="s">
        <v>53</v>
      </c>
      <c r="Q1231" s="2">
        <v>1</v>
      </c>
      <c r="R1231" s="2" t="s">
        <v>48</v>
      </c>
      <c r="S1231" s="2">
        <v>6516</v>
      </c>
      <c r="T1231" s="2">
        <v>5041</v>
      </c>
      <c r="U1231" s="2">
        <v>2</v>
      </c>
      <c r="V1231" s="2" t="s">
        <v>42</v>
      </c>
      <c r="W1231" s="2" t="s">
        <v>35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</row>
    <row r="1232" spans="1:35" x14ac:dyDescent="0.25">
      <c r="A1232" s="2">
        <v>24</v>
      </c>
      <c r="B1232" s="2" t="s">
        <v>43</v>
      </c>
      <c r="C1232" s="2" t="s">
        <v>36</v>
      </c>
      <c r="D1232" s="2">
        <v>506</v>
      </c>
      <c r="E1232" s="2" t="s">
        <v>45</v>
      </c>
      <c r="F1232" s="2">
        <v>29</v>
      </c>
      <c r="G1232" s="2">
        <v>1</v>
      </c>
      <c r="H1232" s="2" t="s">
        <v>51</v>
      </c>
      <c r="I1232" s="2">
        <v>1</v>
      </c>
      <c r="J1232" s="2">
        <v>1725</v>
      </c>
      <c r="K1232" s="2">
        <v>2</v>
      </c>
      <c r="L1232" s="2" t="s">
        <v>46</v>
      </c>
      <c r="M1232" s="2">
        <v>91</v>
      </c>
      <c r="N1232" s="2">
        <v>3</v>
      </c>
      <c r="O1232" s="2">
        <v>1</v>
      </c>
      <c r="P1232" s="2" t="s">
        <v>50</v>
      </c>
      <c r="Q1232" s="2">
        <v>1</v>
      </c>
      <c r="R1232" s="2" t="s">
        <v>52</v>
      </c>
      <c r="S1232" s="2">
        <v>3907</v>
      </c>
      <c r="T1232" s="2">
        <v>3622</v>
      </c>
      <c r="U1232" s="2">
        <v>1</v>
      </c>
      <c r="V1232" s="2" t="s">
        <v>42</v>
      </c>
      <c r="W1232" s="2" t="s">
        <v>43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</row>
    <row r="1233" spans="1:35" x14ac:dyDescent="0.25">
      <c r="A1233" s="2">
        <v>46</v>
      </c>
      <c r="B1233" s="2" t="s">
        <v>43</v>
      </c>
      <c r="C1233" s="2" t="s">
        <v>36</v>
      </c>
      <c r="D1233" s="2">
        <v>717</v>
      </c>
      <c r="E1233" s="2" t="s">
        <v>45</v>
      </c>
      <c r="F1233" s="2">
        <v>13</v>
      </c>
      <c r="G1233" s="2">
        <v>4</v>
      </c>
      <c r="H1233" s="2" t="s">
        <v>38</v>
      </c>
      <c r="I1233" s="2">
        <v>1</v>
      </c>
      <c r="J1233" s="2">
        <v>1727</v>
      </c>
      <c r="K1233" s="2">
        <v>3</v>
      </c>
      <c r="L1233" s="2" t="s">
        <v>46</v>
      </c>
      <c r="M1233" s="2">
        <v>34</v>
      </c>
      <c r="N1233" s="2">
        <v>3</v>
      </c>
      <c r="O1233" s="2">
        <v>2</v>
      </c>
      <c r="P1233" s="2" t="s">
        <v>54</v>
      </c>
      <c r="Q1233" s="2">
        <v>2</v>
      </c>
      <c r="R1233" s="2" t="s">
        <v>41</v>
      </c>
      <c r="S1233" s="2">
        <v>5562</v>
      </c>
      <c r="T1233" s="2">
        <v>9697</v>
      </c>
      <c r="U1233" s="2">
        <v>6</v>
      </c>
      <c r="V1233" s="2" t="s">
        <v>42</v>
      </c>
      <c r="W1233" s="2" t="s">
        <v>43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</row>
    <row r="1234" spans="1:35" x14ac:dyDescent="0.25">
      <c r="A1234" s="2">
        <v>35</v>
      </c>
      <c r="B1234" s="2" t="s">
        <v>43</v>
      </c>
      <c r="C1234" s="2" t="s">
        <v>36</v>
      </c>
      <c r="D1234" s="2">
        <v>1370</v>
      </c>
      <c r="E1234" s="2" t="s">
        <v>45</v>
      </c>
      <c r="F1234" s="2">
        <v>27</v>
      </c>
      <c r="G1234" s="2">
        <v>4</v>
      </c>
      <c r="H1234" s="2" t="s">
        <v>38</v>
      </c>
      <c r="I1234" s="2">
        <v>1</v>
      </c>
      <c r="J1234" s="2">
        <v>1728</v>
      </c>
      <c r="K1234" s="2">
        <v>4</v>
      </c>
      <c r="L1234" s="2" t="s">
        <v>46</v>
      </c>
      <c r="M1234" s="2">
        <v>49</v>
      </c>
      <c r="N1234" s="2">
        <v>3</v>
      </c>
      <c r="O1234" s="2">
        <v>2</v>
      </c>
      <c r="P1234" s="2" t="s">
        <v>53</v>
      </c>
      <c r="Q1234" s="2">
        <v>3</v>
      </c>
      <c r="R1234" s="2" t="s">
        <v>48</v>
      </c>
      <c r="S1234" s="2">
        <v>6883</v>
      </c>
      <c r="T1234" s="2">
        <v>5151</v>
      </c>
      <c r="U1234" s="2">
        <v>2</v>
      </c>
      <c r="V1234" s="2" t="s">
        <v>42</v>
      </c>
      <c r="W1234" s="2" t="s">
        <v>43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</row>
    <row r="1235" spans="1:35" x14ac:dyDescent="0.25">
      <c r="A1235" s="2">
        <v>30</v>
      </c>
      <c r="B1235" s="2" t="s">
        <v>43</v>
      </c>
      <c r="C1235" s="2" t="s">
        <v>36</v>
      </c>
      <c r="D1235" s="2">
        <v>793</v>
      </c>
      <c r="E1235" s="2" t="s">
        <v>45</v>
      </c>
      <c r="F1235" s="2">
        <v>16</v>
      </c>
      <c r="G1235" s="2">
        <v>1</v>
      </c>
      <c r="H1235" s="2" t="s">
        <v>38</v>
      </c>
      <c r="I1235" s="2">
        <v>1</v>
      </c>
      <c r="J1235" s="2">
        <v>1729</v>
      </c>
      <c r="K1235" s="2">
        <v>2</v>
      </c>
      <c r="L1235" s="2" t="s">
        <v>46</v>
      </c>
      <c r="M1235" s="2">
        <v>33</v>
      </c>
      <c r="N1235" s="2">
        <v>3</v>
      </c>
      <c r="O1235" s="2">
        <v>1</v>
      </c>
      <c r="P1235" s="2" t="s">
        <v>47</v>
      </c>
      <c r="Q1235" s="2">
        <v>4</v>
      </c>
      <c r="R1235" s="2" t="s">
        <v>48</v>
      </c>
      <c r="S1235" s="2">
        <v>2862</v>
      </c>
      <c r="T1235" s="2">
        <v>3811</v>
      </c>
      <c r="U1235" s="2">
        <v>1</v>
      </c>
      <c r="V1235" s="2" t="s">
        <v>42</v>
      </c>
      <c r="W1235" s="2" t="s">
        <v>43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</row>
    <row r="1236" spans="1:35" x14ac:dyDescent="0.25">
      <c r="A1236" s="2">
        <v>47</v>
      </c>
      <c r="B1236" s="2" t="s">
        <v>43</v>
      </c>
      <c r="C1236" s="2" t="s">
        <v>55</v>
      </c>
      <c r="D1236" s="2">
        <v>543</v>
      </c>
      <c r="E1236" s="2" t="s">
        <v>37</v>
      </c>
      <c r="F1236" s="2">
        <v>2</v>
      </c>
      <c r="G1236" s="2">
        <v>4</v>
      </c>
      <c r="H1236" s="2" t="s">
        <v>59</v>
      </c>
      <c r="I1236" s="2">
        <v>1</v>
      </c>
      <c r="J1236" s="2">
        <v>1731</v>
      </c>
      <c r="K1236" s="2">
        <v>3</v>
      </c>
      <c r="L1236" s="2" t="s">
        <v>46</v>
      </c>
      <c r="M1236" s="2">
        <v>87</v>
      </c>
      <c r="N1236" s="2">
        <v>3</v>
      </c>
      <c r="O1236" s="2">
        <v>2</v>
      </c>
      <c r="P1236" s="2" t="s">
        <v>40</v>
      </c>
      <c r="Q1236" s="2">
        <v>2</v>
      </c>
      <c r="R1236" s="2" t="s">
        <v>48</v>
      </c>
      <c r="S1236" s="2">
        <v>4978</v>
      </c>
      <c r="T1236" s="2">
        <v>3536</v>
      </c>
      <c r="U1236" s="2">
        <v>7</v>
      </c>
      <c r="V1236" s="2" t="s">
        <v>42</v>
      </c>
      <c r="W1236" s="2" t="s">
        <v>43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</row>
    <row r="1237" spans="1:35" x14ac:dyDescent="0.25">
      <c r="A1237" s="2">
        <v>46</v>
      </c>
      <c r="B1237" s="2" t="s">
        <v>43</v>
      </c>
      <c r="C1237" s="2" t="s">
        <v>36</v>
      </c>
      <c r="D1237" s="2">
        <v>1277</v>
      </c>
      <c r="E1237" s="2" t="s">
        <v>37</v>
      </c>
      <c r="F1237" s="2">
        <v>2</v>
      </c>
      <c r="G1237" s="2">
        <v>3</v>
      </c>
      <c r="H1237" s="2" t="s">
        <v>38</v>
      </c>
      <c r="I1237" s="2">
        <v>1</v>
      </c>
      <c r="J1237" s="2">
        <v>1732</v>
      </c>
      <c r="K1237" s="2">
        <v>3</v>
      </c>
      <c r="L1237" s="2" t="s">
        <v>46</v>
      </c>
      <c r="M1237" s="2">
        <v>74</v>
      </c>
      <c r="N1237" s="2">
        <v>3</v>
      </c>
      <c r="O1237" s="2">
        <v>3</v>
      </c>
      <c r="P1237" s="2" t="s">
        <v>40</v>
      </c>
      <c r="Q1237" s="2">
        <v>4</v>
      </c>
      <c r="R1237" s="2" t="s">
        <v>52</v>
      </c>
      <c r="S1237" s="2">
        <v>10368</v>
      </c>
      <c r="T1237" s="2">
        <v>5596</v>
      </c>
      <c r="U1237" s="2">
        <v>4</v>
      </c>
      <c r="V1237" s="2" t="s">
        <v>42</v>
      </c>
      <c r="W1237" s="2" t="s">
        <v>35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</row>
    <row r="1238" spans="1:35" x14ac:dyDescent="0.25">
      <c r="A1238" s="2">
        <v>36</v>
      </c>
      <c r="B1238" s="2" t="s">
        <v>35</v>
      </c>
      <c r="C1238" s="2" t="s">
        <v>36</v>
      </c>
      <c r="D1238" s="2">
        <v>1456</v>
      </c>
      <c r="E1238" s="2" t="s">
        <v>37</v>
      </c>
      <c r="F1238" s="2">
        <v>13</v>
      </c>
      <c r="G1238" s="2">
        <v>5</v>
      </c>
      <c r="H1238" s="2" t="s">
        <v>59</v>
      </c>
      <c r="I1238" s="2">
        <v>1</v>
      </c>
      <c r="J1238" s="2">
        <v>1733</v>
      </c>
      <c r="K1238" s="2">
        <v>2</v>
      </c>
      <c r="L1238" s="2" t="s">
        <v>46</v>
      </c>
      <c r="M1238" s="2">
        <v>96</v>
      </c>
      <c r="N1238" s="2">
        <v>2</v>
      </c>
      <c r="O1238" s="2">
        <v>2</v>
      </c>
      <c r="P1238" s="2" t="s">
        <v>40</v>
      </c>
      <c r="Q1238" s="2">
        <v>1</v>
      </c>
      <c r="R1238" s="2" t="s">
        <v>52</v>
      </c>
      <c r="S1238" s="2">
        <v>6134</v>
      </c>
      <c r="T1238" s="2">
        <v>8658</v>
      </c>
      <c r="U1238" s="2">
        <v>5</v>
      </c>
      <c r="V1238" s="2" t="s">
        <v>42</v>
      </c>
      <c r="W1238" s="2" t="s">
        <v>35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</row>
    <row r="1239" spans="1:35" x14ac:dyDescent="0.25">
      <c r="A1239" s="2">
        <v>32</v>
      </c>
      <c r="B1239" s="2" t="s">
        <v>35</v>
      </c>
      <c r="C1239" s="2" t="s">
        <v>36</v>
      </c>
      <c r="D1239" s="2">
        <v>964</v>
      </c>
      <c r="E1239" s="2" t="s">
        <v>37</v>
      </c>
      <c r="F1239" s="2">
        <v>1</v>
      </c>
      <c r="G1239" s="2">
        <v>2</v>
      </c>
      <c r="H1239" s="2" t="s">
        <v>38</v>
      </c>
      <c r="I1239" s="2">
        <v>1</v>
      </c>
      <c r="J1239" s="2">
        <v>1734</v>
      </c>
      <c r="K1239" s="2">
        <v>1</v>
      </c>
      <c r="L1239" s="2" t="s">
        <v>46</v>
      </c>
      <c r="M1239" s="2">
        <v>34</v>
      </c>
      <c r="N1239" s="2">
        <v>1</v>
      </c>
      <c r="O1239" s="2">
        <v>2</v>
      </c>
      <c r="P1239" s="2" t="s">
        <v>40</v>
      </c>
      <c r="Q1239" s="2">
        <v>2</v>
      </c>
      <c r="R1239" s="2" t="s">
        <v>41</v>
      </c>
      <c r="S1239" s="2">
        <v>6735</v>
      </c>
      <c r="T1239" s="2">
        <v>12147</v>
      </c>
      <c r="U1239" s="2">
        <v>6</v>
      </c>
      <c r="V1239" s="2" t="s">
        <v>42</v>
      </c>
      <c r="W1239" s="2" t="s">
        <v>43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</row>
    <row r="1240" spans="1:35" x14ac:dyDescent="0.25">
      <c r="A1240" s="2">
        <v>23</v>
      </c>
      <c r="B1240" s="2" t="s">
        <v>43</v>
      </c>
      <c r="C1240" s="2" t="s">
        <v>36</v>
      </c>
      <c r="D1240" s="2">
        <v>160</v>
      </c>
      <c r="E1240" s="2" t="s">
        <v>45</v>
      </c>
      <c r="F1240" s="2">
        <v>4</v>
      </c>
      <c r="G1240" s="2">
        <v>1</v>
      </c>
      <c r="H1240" s="2" t="s">
        <v>51</v>
      </c>
      <c r="I1240" s="2">
        <v>1</v>
      </c>
      <c r="J1240" s="2">
        <v>1735</v>
      </c>
      <c r="K1240" s="2">
        <v>3</v>
      </c>
      <c r="L1240" s="2" t="s">
        <v>39</v>
      </c>
      <c r="M1240" s="2">
        <v>51</v>
      </c>
      <c r="N1240" s="2">
        <v>3</v>
      </c>
      <c r="O1240" s="2">
        <v>1</v>
      </c>
      <c r="P1240" s="2" t="s">
        <v>50</v>
      </c>
      <c r="Q1240" s="2">
        <v>2</v>
      </c>
      <c r="R1240" s="2" t="s">
        <v>41</v>
      </c>
      <c r="S1240" s="2">
        <v>3295</v>
      </c>
      <c r="T1240" s="2">
        <v>12862</v>
      </c>
      <c r="U1240" s="2">
        <v>1</v>
      </c>
      <c r="V1240" s="2" t="s">
        <v>42</v>
      </c>
      <c r="W1240" s="2" t="s">
        <v>43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</row>
    <row r="1241" spans="1:35" x14ac:dyDescent="0.25">
      <c r="A1241" s="2">
        <v>31</v>
      </c>
      <c r="B1241" s="2" t="s">
        <v>43</v>
      </c>
      <c r="C1241" s="2" t="s">
        <v>44</v>
      </c>
      <c r="D1241" s="2">
        <v>163</v>
      </c>
      <c r="E1241" s="2" t="s">
        <v>45</v>
      </c>
      <c r="F1241" s="2">
        <v>24</v>
      </c>
      <c r="G1241" s="2">
        <v>1</v>
      </c>
      <c r="H1241" s="2" t="s">
        <v>60</v>
      </c>
      <c r="I1241" s="2">
        <v>1</v>
      </c>
      <c r="J1241" s="2">
        <v>1736</v>
      </c>
      <c r="K1241" s="2">
        <v>4</v>
      </c>
      <c r="L1241" s="2" t="s">
        <v>39</v>
      </c>
      <c r="M1241" s="2">
        <v>30</v>
      </c>
      <c r="N1241" s="2">
        <v>3</v>
      </c>
      <c r="O1241" s="2">
        <v>2</v>
      </c>
      <c r="P1241" s="2" t="s">
        <v>53</v>
      </c>
      <c r="Q1241" s="2">
        <v>4</v>
      </c>
      <c r="R1241" s="2" t="s">
        <v>41</v>
      </c>
      <c r="S1241" s="2">
        <v>5238</v>
      </c>
      <c r="T1241" s="2">
        <v>6670</v>
      </c>
      <c r="U1241" s="2">
        <v>2</v>
      </c>
      <c r="V1241" s="2" t="s">
        <v>42</v>
      </c>
      <c r="W1241" s="2" t="s">
        <v>43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</row>
    <row r="1242" spans="1:35" x14ac:dyDescent="0.25">
      <c r="A1242" s="2">
        <v>39</v>
      </c>
      <c r="B1242" s="2" t="s">
        <v>43</v>
      </c>
      <c r="C1242" s="2" t="s">
        <v>55</v>
      </c>
      <c r="D1242" s="2">
        <v>792</v>
      </c>
      <c r="E1242" s="2" t="s">
        <v>45</v>
      </c>
      <c r="F1242" s="2">
        <v>1</v>
      </c>
      <c r="G1242" s="2">
        <v>3</v>
      </c>
      <c r="H1242" s="2" t="s">
        <v>38</v>
      </c>
      <c r="I1242" s="2">
        <v>1</v>
      </c>
      <c r="J1242" s="2">
        <v>1737</v>
      </c>
      <c r="K1242" s="2">
        <v>4</v>
      </c>
      <c r="L1242" s="2" t="s">
        <v>46</v>
      </c>
      <c r="M1242" s="2">
        <v>77</v>
      </c>
      <c r="N1242" s="2">
        <v>3</v>
      </c>
      <c r="O1242" s="2">
        <v>2</v>
      </c>
      <c r="P1242" s="2" t="s">
        <v>50</v>
      </c>
      <c r="Q1242" s="2">
        <v>4</v>
      </c>
      <c r="R1242" s="2" t="s">
        <v>48</v>
      </c>
      <c r="S1242" s="2">
        <v>6472</v>
      </c>
      <c r="T1242" s="2">
        <v>8989</v>
      </c>
      <c r="U1242" s="2">
        <v>1</v>
      </c>
      <c r="V1242" s="2" t="s">
        <v>42</v>
      </c>
      <c r="W1242" s="2" t="s">
        <v>35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</row>
    <row r="1243" spans="1:35" x14ac:dyDescent="0.25">
      <c r="A1243" s="2">
        <v>32</v>
      </c>
      <c r="B1243" s="2" t="s">
        <v>43</v>
      </c>
      <c r="C1243" s="2" t="s">
        <v>36</v>
      </c>
      <c r="D1243" s="2">
        <v>371</v>
      </c>
      <c r="E1243" s="2" t="s">
        <v>37</v>
      </c>
      <c r="F1243" s="2">
        <v>19</v>
      </c>
      <c r="G1243" s="2">
        <v>3</v>
      </c>
      <c r="H1243" s="2" t="s">
        <v>38</v>
      </c>
      <c r="I1243" s="2">
        <v>1</v>
      </c>
      <c r="J1243" s="2">
        <v>1739</v>
      </c>
      <c r="K1243" s="2">
        <v>4</v>
      </c>
      <c r="L1243" s="2" t="s">
        <v>46</v>
      </c>
      <c r="M1243" s="2">
        <v>80</v>
      </c>
      <c r="N1243" s="2">
        <v>1</v>
      </c>
      <c r="O1243" s="2">
        <v>3</v>
      </c>
      <c r="P1243" s="2" t="s">
        <v>40</v>
      </c>
      <c r="Q1243" s="2">
        <v>3</v>
      </c>
      <c r="R1243" s="2" t="s">
        <v>48</v>
      </c>
      <c r="S1243" s="2">
        <v>9610</v>
      </c>
      <c r="T1243" s="2">
        <v>3840</v>
      </c>
      <c r="U1243" s="2">
        <v>3</v>
      </c>
      <c r="V1243" s="2" t="s">
        <v>42</v>
      </c>
      <c r="W1243" s="2" t="s">
        <v>43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</row>
    <row r="1244" spans="1:35" x14ac:dyDescent="0.25">
      <c r="A1244" s="2">
        <v>40</v>
      </c>
      <c r="B1244" s="2" t="s">
        <v>43</v>
      </c>
      <c r="C1244" s="2" t="s">
        <v>36</v>
      </c>
      <c r="D1244" s="2">
        <v>611</v>
      </c>
      <c r="E1244" s="2" t="s">
        <v>37</v>
      </c>
      <c r="F1244" s="2">
        <v>7</v>
      </c>
      <c r="G1244" s="2">
        <v>4</v>
      </c>
      <c r="H1244" s="2" t="s">
        <v>51</v>
      </c>
      <c r="I1244" s="2">
        <v>1</v>
      </c>
      <c r="J1244" s="2">
        <v>1740</v>
      </c>
      <c r="K1244" s="2">
        <v>2</v>
      </c>
      <c r="L1244" s="2" t="s">
        <v>46</v>
      </c>
      <c r="M1244" s="2">
        <v>88</v>
      </c>
      <c r="N1244" s="2">
        <v>3</v>
      </c>
      <c r="O1244" s="2">
        <v>5</v>
      </c>
      <c r="P1244" s="2" t="s">
        <v>56</v>
      </c>
      <c r="Q1244" s="2">
        <v>2</v>
      </c>
      <c r="R1244" s="2" t="s">
        <v>41</v>
      </c>
      <c r="S1244" s="2">
        <v>19833</v>
      </c>
      <c r="T1244" s="2">
        <v>4349</v>
      </c>
      <c r="U1244" s="2">
        <v>1</v>
      </c>
      <c r="V1244" s="2" t="s">
        <v>42</v>
      </c>
      <c r="W1244" s="2" t="s">
        <v>43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</row>
    <row r="1245" spans="1:35" x14ac:dyDescent="0.25">
      <c r="A1245" s="2">
        <v>45</v>
      </c>
      <c r="B1245" s="2" t="s">
        <v>43</v>
      </c>
      <c r="C1245" s="2" t="s">
        <v>36</v>
      </c>
      <c r="D1245" s="2">
        <v>176</v>
      </c>
      <c r="E1245" s="2" t="s">
        <v>61</v>
      </c>
      <c r="F1245" s="2">
        <v>4</v>
      </c>
      <c r="G1245" s="2">
        <v>3</v>
      </c>
      <c r="H1245" s="2" t="s">
        <v>38</v>
      </c>
      <c r="I1245" s="2">
        <v>1</v>
      </c>
      <c r="J1245" s="2">
        <v>1744</v>
      </c>
      <c r="K1245" s="2">
        <v>3</v>
      </c>
      <c r="L1245" s="2" t="s">
        <v>39</v>
      </c>
      <c r="M1245" s="2">
        <v>56</v>
      </c>
      <c r="N1245" s="2">
        <v>1</v>
      </c>
      <c r="O1245" s="2">
        <v>3</v>
      </c>
      <c r="P1245" s="2" t="s">
        <v>61</v>
      </c>
      <c r="Q1245" s="2">
        <v>3</v>
      </c>
      <c r="R1245" s="2" t="s">
        <v>48</v>
      </c>
      <c r="S1245" s="2">
        <v>9756</v>
      </c>
      <c r="T1245" s="2">
        <v>6595</v>
      </c>
      <c r="U1245" s="2">
        <v>4</v>
      </c>
      <c r="V1245" s="2" t="s">
        <v>42</v>
      </c>
      <c r="W1245" s="2" t="s">
        <v>43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</row>
    <row r="1246" spans="1:35" x14ac:dyDescent="0.25">
      <c r="A1246" s="2">
        <v>30</v>
      </c>
      <c r="B1246" s="2" t="s">
        <v>43</v>
      </c>
      <c r="C1246" s="2" t="s">
        <v>44</v>
      </c>
      <c r="D1246" s="2">
        <v>1312</v>
      </c>
      <c r="E1246" s="2" t="s">
        <v>45</v>
      </c>
      <c r="F1246" s="2">
        <v>2</v>
      </c>
      <c r="G1246" s="2">
        <v>4</v>
      </c>
      <c r="H1246" s="2" t="s">
        <v>60</v>
      </c>
      <c r="I1246" s="2">
        <v>1</v>
      </c>
      <c r="J1246" s="2">
        <v>1745</v>
      </c>
      <c r="K1246" s="2">
        <v>4</v>
      </c>
      <c r="L1246" s="2" t="s">
        <v>39</v>
      </c>
      <c r="M1246" s="2">
        <v>78</v>
      </c>
      <c r="N1246" s="2">
        <v>2</v>
      </c>
      <c r="O1246" s="2">
        <v>1</v>
      </c>
      <c r="P1246" s="2" t="s">
        <v>47</v>
      </c>
      <c r="Q1246" s="2">
        <v>1</v>
      </c>
      <c r="R1246" s="2" t="s">
        <v>41</v>
      </c>
      <c r="S1246" s="2">
        <v>4968</v>
      </c>
      <c r="T1246" s="2">
        <v>26427</v>
      </c>
      <c r="U1246" s="2">
        <v>0</v>
      </c>
      <c r="V1246" s="2" t="s">
        <v>42</v>
      </c>
      <c r="W1246" s="2" t="s">
        <v>43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</row>
    <row r="1247" spans="1:35" x14ac:dyDescent="0.25">
      <c r="A1247" s="2">
        <v>24</v>
      </c>
      <c r="B1247" s="2" t="s">
        <v>43</v>
      </c>
      <c r="C1247" s="2" t="s">
        <v>44</v>
      </c>
      <c r="D1247" s="2">
        <v>897</v>
      </c>
      <c r="E1247" s="2" t="s">
        <v>61</v>
      </c>
      <c r="F1247" s="2">
        <v>10</v>
      </c>
      <c r="G1247" s="2">
        <v>3</v>
      </c>
      <c r="H1247" s="2" t="s">
        <v>51</v>
      </c>
      <c r="I1247" s="2">
        <v>1</v>
      </c>
      <c r="J1247" s="2">
        <v>1746</v>
      </c>
      <c r="K1247" s="2">
        <v>1</v>
      </c>
      <c r="L1247" s="2" t="s">
        <v>46</v>
      </c>
      <c r="M1247" s="2">
        <v>59</v>
      </c>
      <c r="N1247" s="2">
        <v>3</v>
      </c>
      <c r="O1247" s="2">
        <v>1</v>
      </c>
      <c r="P1247" s="2" t="s">
        <v>61</v>
      </c>
      <c r="Q1247" s="2">
        <v>4</v>
      </c>
      <c r="R1247" s="2" t="s">
        <v>48</v>
      </c>
      <c r="S1247" s="2">
        <v>2145</v>
      </c>
      <c r="T1247" s="2">
        <v>2097</v>
      </c>
      <c r="U1247" s="2">
        <v>0</v>
      </c>
      <c r="V1247" s="2" t="s">
        <v>42</v>
      </c>
      <c r="W1247" s="2" t="s">
        <v>43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</row>
    <row r="1248" spans="1:35" x14ac:dyDescent="0.25">
      <c r="A1248" s="2">
        <v>30</v>
      </c>
      <c r="B1248" s="2" t="s">
        <v>35</v>
      </c>
      <c r="C1248" s="2" t="s">
        <v>44</v>
      </c>
      <c r="D1248" s="2">
        <v>600</v>
      </c>
      <c r="E1248" s="2" t="s">
        <v>61</v>
      </c>
      <c r="F1248" s="2">
        <v>8</v>
      </c>
      <c r="G1248" s="2">
        <v>3</v>
      </c>
      <c r="H1248" s="2" t="s">
        <v>61</v>
      </c>
      <c r="I1248" s="2">
        <v>1</v>
      </c>
      <c r="J1248" s="2">
        <v>1747</v>
      </c>
      <c r="K1248" s="2">
        <v>3</v>
      </c>
      <c r="L1248" s="2" t="s">
        <v>39</v>
      </c>
      <c r="M1248" s="2">
        <v>66</v>
      </c>
      <c r="N1248" s="2">
        <v>2</v>
      </c>
      <c r="O1248" s="2">
        <v>1</v>
      </c>
      <c r="P1248" s="2" t="s">
        <v>61</v>
      </c>
      <c r="Q1248" s="2">
        <v>4</v>
      </c>
      <c r="R1248" s="2" t="s">
        <v>52</v>
      </c>
      <c r="S1248" s="2">
        <v>2180</v>
      </c>
      <c r="T1248" s="2">
        <v>9732</v>
      </c>
      <c r="U1248" s="2">
        <v>6</v>
      </c>
      <c r="V1248" s="2" t="s">
        <v>42</v>
      </c>
      <c r="W1248" s="2" t="s">
        <v>43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</row>
    <row r="1249" spans="1:35" x14ac:dyDescent="0.25">
      <c r="A1249" s="2">
        <v>31</v>
      </c>
      <c r="B1249" s="2" t="s">
        <v>43</v>
      </c>
      <c r="C1249" s="2" t="s">
        <v>36</v>
      </c>
      <c r="D1249" s="2">
        <v>1003</v>
      </c>
      <c r="E1249" s="2" t="s">
        <v>37</v>
      </c>
      <c r="F1249" s="2">
        <v>5</v>
      </c>
      <c r="G1249" s="2">
        <v>3</v>
      </c>
      <c r="H1249" s="2" t="s">
        <v>60</v>
      </c>
      <c r="I1249" s="2">
        <v>1</v>
      </c>
      <c r="J1249" s="2">
        <v>1749</v>
      </c>
      <c r="K1249" s="2">
        <v>1</v>
      </c>
      <c r="L1249" s="2" t="s">
        <v>46</v>
      </c>
      <c r="M1249" s="2">
        <v>51</v>
      </c>
      <c r="N1249" s="2">
        <v>3</v>
      </c>
      <c r="O1249" s="2">
        <v>2</v>
      </c>
      <c r="P1249" s="2" t="s">
        <v>40</v>
      </c>
      <c r="Q1249" s="2">
        <v>3</v>
      </c>
      <c r="R1249" s="2" t="s">
        <v>48</v>
      </c>
      <c r="S1249" s="2">
        <v>8346</v>
      </c>
      <c r="T1249" s="2">
        <v>20943</v>
      </c>
      <c r="U1249" s="2">
        <v>1</v>
      </c>
      <c r="V1249" s="2" t="s">
        <v>42</v>
      </c>
      <c r="W1249" s="2" t="s">
        <v>43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</row>
    <row r="1250" spans="1:35" x14ac:dyDescent="0.25">
      <c r="A1250" s="2">
        <v>27</v>
      </c>
      <c r="B1250" s="2" t="s">
        <v>43</v>
      </c>
      <c r="C1250" s="2" t="s">
        <v>36</v>
      </c>
      <c r="D1250" s="2">
        <v>1054</v>
      </c>
      <c r="E1250" s="2" t="s">
        <v>45</v>
      </c>
      <c r="F1250" s="2">
        <v>8</v>
      </c>
      <c r="G1250" s="2">
        <v>3</v>
      </c>
      <c r="H1250" s="2" t="s">
        <v>51</v>
      </c>
      <c r="I1250" s="2">
        <v>1</v>
      </c>
      <c r="J1250" s="2">
        <v>1751</v>
      </c>
      <c r="K1250" s="2">
        <v>3</v>
      </c>
      <c r="L1250" s="2" t="s">
        <v>39</v>
      </c>
      <c r="M1250" s="2">
        <v>67</v>
      </c>
      <c r="N1250" s="2">
        <v>3</v>
      </c>
      <c r="O1250" s="2">
        <v>1</v>
      </c>
      <c r="P1250" s="2" t="s">
        <v>47</v>
      </c>
      <c r="Q1250" s="2">
        <v>4</v>
      </c>
      <c r="R1250" s="2" t="s">
        <v>41</v>
      </c>
      <c r="S1250" s="2">
        <v>3445</v>
      </c>
      <c r="T1250" s="2">
        <v>6152</v>
      </c>
      <c r="U1250" s="2">
        <v>1</v>
      </c>
      <c r="V1250" s="2" t="s">
        <v>42</v>
      </c>
      <c r="W1250" s="2" t="s">
        <v>43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</row>
    <row r="1251" spans="1:35" x14ac:dyDescent="0.25">
      <c r="A1251" s="2">
        <v>29</v>
      </c>
      <c r="B1251" s="2" t="s">
        <v>35</v>
      </c>
      <c r="C1251" s="2" t="s">
        <v>36</v>
      </c>
      <c r="D1251" s="2">
        <v>428</v>
      </c>
      <c r="E1251" s="2" t="s">
        <v>37</v>
      </c>
      <c r="F1251" s="2">
        <v>9</v>
      </c>
      <c r="G1251" s="2">
        <v>3</v>
      </c>
      <c r="H1251" s="2" t="s">
        <v>59</v>
      </c>
      <c r="I1251" s="2">
        <v>1</v>
      </c>
      <c r="J1251" s="2">
        <v>1752</v>
      </c>
      <c r="K1251" s="2">
        <v>2</v>
      </c>
      <c r="L1251" s="2" t="s">
        <v>39</v>
      </c>
      <c r="M1251" s="2">
        <v>52</v>
      </c>
      <c r="N1251" s="2">
        <v>1</v>
      </c>
      <c r="O1251" s="2">
        <v>1</v>
      </c>
      <c r="P1251" s="2" t="s">
        <v>57</v>
      </c>
      <c r="Q1251" s="2">
        <v>2</v>
      </c>
      <c r="R1251" s="2" t="s">
        <v>41</v>
      </c>
      <c r="S1251" s="2">
        <v>2760</v>
      </c>
      <c r="T1251" s="2">
        <v>14630</v>
      </c>
      <c r="U1251" s="2">
        <v>1</v>
      </c>
      <c r="V1251" s="2" t="s">
        <v>42</v>
      </c>
      <c r="W1251" s="2" t="s">
        <v>43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</row>
    <row r="1252" spans="1:35" x14ac:dyDescent="0.25">
      <c r="A1252" s="2">
        <v>29</v>
      </c>
      <c r="B1252" s="2" t="s">
        <v>43</v>
      </c>
      <c r="C1252" s="2" t="s">
        <v>44</v>
      </c>
      <c r="D1252" s="2">
        <v>461</v>
      </c>
      <c r="E1252" s="2" t="s">
        <v>45</v>
      </c>
      <c r="F1252" s="2">
        <v>1</v>
      </c>
      <c r="G1252" s="2">
        <v>3</v>
      </c>
      <c r="H1252" s="2" t="s">
        <v>38</v>
      </c>
      <c r="I1252" s="2">
        <v>1</v>
      </c>
      <c r="J1252" s="2">
        <v>1753</v>
      </c>
      <c r="K1252" s="2">
        <v>4</v>
      </c>
      <c r="L1252" s="2" t="s">
        <v>46</v>
      </c>
      <c r="M1252" s="2">
        <v>70</v>
      </c>
      <c r="N1252" s="2">
        <v>4</v>
      </c>
      <c r="O1252" s="2">
        <v>2</v>
      </c>
      <c r="P1252" s="2" t="s">
        <v>54</v>
      </c>
      <c r="Q1252" s="2">
        <v>3</v>
      </c>
      <c r="R1252" s="2" t="s">
        <v>41</v>
      </c>
      <c r="S1252" s="2">
        <v>6294</v>
      </c>
      <c r="T1252" s="2">
        <v>23060</v>
      </c>
      <c r="U1252" s="2">
        <v>8</v>
      </c>
      <c r="V1252" s="2" t="s">
        <v>42</v>
      </c>
      <c r="W1252" s="2" t="s">
        <v>35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</row>
    <row r="1253" spans="1:35" x14ac:dyDescent="0.25">
      <c r="A1253" s="2">
        <v>30</v>
      </c>
      <c r="B1253" s="2" t="s">
        <v>43</v>
      </c>
      <c r="C1253" s="2" t="s">
        <v>36</v>
      </c>
      <c r="D1253" s="2">
        <v>979</v>
      </c>
      <c r="E1253" s="2" t="s">
        <v>37</v>
      </c>
      <c r="F1253" s="2">
        <v>15</v>
      </c>
      <c r="G1253" s="2">
        <v>2</v>
      </c>
      <c r="H1253" s="2" t="s">
        <v>59</v>
      </c>
      <c r="I1253" s="2">
        <v>1</v>
      </c>
      <c r="J1253" s="2">
        <v>1754</v>
      </c>
      <c r="K1253" s="2">
        <v>3</v>
      </c>
      <c r="L1253" s="2" t="s">
        <v>46</v>
      </c>
      <c r="M1253" s="2">
        <v>94</v>
      </c>
      <c r="N1253" s="2">
        <v>2</v>
      </c>
      <c r="O1253" s="2">
        <v>3</v>
      </c>
      <c r="P1253" s="2" t="s">
        <v>40</v>
      </c>
      <c r="Q1253" s="2">
        <v>1</v>
      </c>
      <c r="R1253" s="2" t="s">
        <v>52</v>
      </c>
      <c r="S1253" s="2">
        <v>7140</v>
      </c>
      <c r="T1253" s="2">
        <v>3088</v>
      </c>
      <c r="U1253" s="2">
        <v>2</v>
      </c>
      <c r="V1253" s="2" t="s">
        <v>42</v>
      </c>
      <c r="W1253" s="2" t="s">
        <v>43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</row>
    <row r="1254" spans="1:35" x14ac:dyDescent="0.25">
      <c r="A1254" s="2">
        <v>34</v>
      </c>
      <c r="B1254" s="2" t="s">
        <v>43</v>
      </c>
      <c r="C1254" s="2" t="s">
        <v>36</v>
      </c>
      <c r="D1254" s="2">
        <v>181</v>
      </c>
      <c r="E1254" s="2" t="s">
        <v>45</v>
      </c>
      <c r="F1254" s="2">
        <v>2</v>
      </c>
      <c r="G1254" s="2">
        <v>4</v>
      </c>
      <c r="H1254" s="2" t="s">
        <v>51</v>
      </c>
      <c r="I1254" s="2">
        <v>1</v>
      </c>
      <c r="J1254" s="2">
        <v>1755</v>
      </c>
      <c r="K1254" s="2">
        <v>4</v>
      </c>
      <c r="L1254" s="2" t="s">
        <v>46</v>
      </c>
      <c r="M1254" s="2">
        <v>97</v>
      </c>
      <c r="N1254" s="2">
        <v>4</v>
      </c>
      <c r="O1254" s="2">
        <v>1</v>
      </c>
      <c r="P1254" s="2" t="s">
        <v>47</v>
      </c>
      <c r="Q1254" s="2">
        <v>4</v>
      </c>
      <c r="R1254" s="2" t="s">
        <v>48</v>
      </c>
      <c r="S1254" s="2">
        <v>2932</v>
      </c>
      <c r="T1254" s="2">
        <v>5586</v>
      </c>
      <c r="U1254" s="2">
        <v>0</v>
      </c>
      <c r="V1254" s="2" t="s">
        <v>42</v>
      </c>
      <c r="W1254" s="2" t="s">
        <v>35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</row>
    <row r="1255" spans="1:35" x14ac:dyDescent="0.25">
      <c r="A1255" s="2">
        <v>33</v>
      </c>
      <c r="B1255" s="2" t="s">
        <v>43</v>
      </c>
      <c r="C1255" s="2" t="s">
        <v>55</v>
      </c>
      <c r="D1255" s="2">
        <v>1283</v>
      </c>
      <c r="E1255" s="2" t="s">
        <v>37</v>
      </c>
      <c r="F1255" s="2">
        <v>2</v>
      </c>
      <c r="G1255" s="2">
        <v>3</v>
      </c>
      <c r="H1255" s="2" t="s">
        <v>59</v>
      </c>
      <c r="I1255" s="2">
        <v>1</v>
      </c>
      <c r="J1255" s="2">
        <v>1756</v>
      </c>
      <c r="K1255" s="2">
        <v>4</v>
      </c>
      <c r="L1255" s="2" t="s">
        <v>39</v>
      </c>
      <c r="M1255" s="2">
        <v>62</v>
      </c>
      <c r="N1255" s="2">
        <v>3</v>
      </c>
      <c r="O1255" s="2">
        <v>2</v>
      </c>
      <c r="P1255" s="2" t="s">
        <v>40</v>
      </c>
      <c r="Q1255" s="2">
        <v>2</v>
      </c>
      <c r="R1255" s="2" t="s">
        <v>41</v>
      </c>
      <c r="S1255" s="2">
        <v>5147</v>
      </c>
      <c r="T1255" s="2">
        <v>10697</v>
      </c>
      <c r="U1255" s="2">
        <v>8</v>
      </c>
      <c r="V1255" s="2" t="s">
        <v>42</v>
      </c>
      <c r="W1255" s="2" t="s">
        <v>43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</row>
    <row r="1256" spans="1:35" x14ac:dyDescent="0.25">
      <c r="A1256" s="2">
        <v>49</v>
      </c>
      <c r="B1256" s="2" t="s">
        <v>43</v>
      </c>
      <c r="C1256" s="2" t="s">
        <v>36</v>
      </c>
      <c r="D1256" s="2">
        <v>1313</v>
      </c>
      <c r="E1256" s="2" t="s">
        <v>37</v>
      </c>
      <c r="F1256" s="2">
        <v>11</v>
      </c>
      <c r="G1256" s="2">
        <v>4</v>
      </c>
      <c r="H1256" s="2" t="s">
        <v>59</v>
      </c>
      <c r="I1256" s="2">
        <v>1</v>
      </c>
      <c r="J1256" s="2">
        <v>1757</v>
      </c>
      <c r="K1256" s="2">
        <v>4</v>
      </c>
      <c r="L1256" s="2" t="s">
        <v>39</v>
      </c>
      <c r="M1256" s="2">
        <v>80</v>
      </c>
      <c r="N1256" s="2">
        <v>3</v>
      </c>
      <c r="O1256" s="2">
        <v>2</v>
      </c>
      <c r="P1256" s="2" t="s">
        <v>40</v>
      </c>
      <c r="Q1256" s="2">
        <v>4</v>
      </c>
      <c r="R1256" s="2" t="s">
        <v>41</v>
      </c>
      <c r="S1256" s="2">
        <v>4507</v>
      </c>
      <c r="T1256" s="2">
        <v>8191</v>
      </c>
      <c r="U1256" s="2">
        <v>3</v>
      </c>
      <c r="V1256" s="2" t="s">
        <v>42</v>
      </c>
      <c r="W1256" s="2" t="s">
        <v>43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</row>
    <row r="1257" spans="1:35" x14ac:dyDescent="0.25">
      <c r="A1257" s="2">
        <v>33</v>
      </c>
      <c r="B1257" s="2" t="s">
        <v>35</v>
      </c>
      <c r="C1257" s="2" t="s">
        <v>36</v>
      </c>
      <c r="D1257" s="2">
        <v>211</v>
      </c>
      <c r="E1257" s="2" t="s">
        <v>37</v>
      </c>
      <c r="F1257" s="2">
        <v>16</v>
      </c>
      <c r="G1257" s="2">
        <v>3</v>
      </c>
      <c r="H1257" s="2" t="s">
        <v>38</v>
      </c>
      <c r="I1257" s="2">
        <v>1</v>
      </c>
      <c r="J1257" s="2">
        <v>1758</v>
      </c>
      <c r="K1257" s="2">
        <v>1</v>
      </c>
      <c r="L1257" s="2" t="s">
        <v>39</v>
      </c>
      <c r="M1257" s="2">
        <v>74</v>
      </c>
      <c r="N1257" s="2">
        <v>3</v>
      </c>
      <c r="O1257" s="2">
        <v>3</v>
      </c>
      <c r="P1257" s="2" t="s">
        <v>40</v>
      </c>
      <c r="Q1257" s="2">
        <v>1</v>
      </c>
      <c r="R1257" s="2" t="s">
        <v>41</v>
      </c>
      <c r="S1257" s="2">
        <v>8564</v>
      </c>
      <c r="T1257" s="2">
        <v>10092</v>
      </c>
      <c r="U1257" s="2">
        <v>2</v>
      </c>
      <c r="V1257" s="2" t="s">
        <v>42</v>
      </c>
      <c r="W1257" s="2" t="s">
        <v>35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</row>
    <row r="1258" spans="1:35" x14ac:dyDescent="0.25">
      <c r="A1258" s="2">
        <v>38</v>
      </c>
      <c r="B1258" s="2" t="s">
        <v>43</v>
      </c>
      <c r="C1258" s="2" t="s">
        <v>44</v>
      </c>
      <c r="D1258" s="2">
        <v>594</v>
      </c>
      <c r="E1258" s="2" t="s">
        <v>45</v>
      </c>
      <c r="F1258" s="2">
        <v>2</v>
      </c>
      <c r="G1258" s="2">
        <v>2</v>
      </c>
      <c r="H1258" s="2" t="s">
        <v>51</v>
      </c>
      <c r="I1258" s="2">
        <v>1</v>
      </c>
      <c r="J1258" s="2">
        <v>1760</v>
      </c>
      <c r="K1258" s="2">
        <v>3</v>
      </c>
      <c r="L1258" s="2" t="s">
        <v>39</v>
      </c>
      <c r="M1258" s="2">
        <v>75</v>
      </c>
      <c r="N1258" s="2">
        <v>2</v>
      </c>
      <c r="O1258" s="2">
        <v>1</v>
      </c>
      <c r="P1258" s="2" t="s">
        <v>50</v>
      </c>
      <c r="Q1258" s="2">
        <v>2</v>
      </c>
      <c r="R1258" s="2" t="s">
        <v>48</v>
      </c>
      <c r="S1258" s="2">
        <v>2468</v>
      </c>
      <c r="T1258" s="2">
        <v>15963</v>
      </c>
      <c r="U1258" s="2">
        <v>4</v>
      </c>
      <c r="V1258" s="2" t="s">
        <v>42</v>
      </c>
      <c r="W1258" s="2" t="s">
        <v>43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</row>
    <row r="1259" spans="1:35" x14ac:dyDescent="0.25">
      <c r="A1259" s="2">
        <v>31</v>
      </c>
      <c r="B1259" s="2" t="s">
        <v>35</v>
      </c>
      <c r="C1259" s="2" t="s">
        <v>36</v>
      </c>
      <c r="D1259" s="2">
        <v>1079</v>
      </c>
      <c r="E1259" s="2" t="s">
        <v>37</v>
      </c>
      <c r="F1259" s="2">
        <v>16</v>
      </c>
      <c r="G1259" s="2">
        <v>4</v>
      </c>
      <c r="H1259" s="2" t="s">
        <v>59</v>
      </c>
      <c r="I1259" s="2">
        <v>1</v>
      </c>
      <c r="J1259" s="2">
        <v>1761</v>
      </c>
      <c r="K1259" s="2">
        <v>1</v>
      </c>
      <c r="L1259" s="2" t="s">
        <v>46</v>
      </c>
      <c r="M1259" s="2">
        <v>70</v>
      </c>
      <c r="N1259" s="2">
        <v>3</v>
      </c>
      <c r="O1259" s="2">
        <v>3</v>
      </c>
      <c r="P1259" s="2" t="s">
        <v>40</v>
      </c>
      <c r="Q1259" s="2">
        <v>3</v>
      </c>
      <c r="R1259" s="2" t="s">
        <v>48</v>
      </c>
      <c r="S1259" s="2">
        <v>8161</v>
      </c>
      <c r="T1259" s="2">
        <v>19002</v>
      </c>
      <c r="U1259" s="2">
        <v>2</v>
      </c>
      <c r="V1259" s="2" t="s">
        <v>42</v>
      </c>
      <c r="W1259" s="2" t="s">
        <v>43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</row>
    <row r="1260" spans="1:35" x14ac:dyDescent="0.25">
      <c r="A1260" s="2">
        <v>29</v>
      </c>
      <c r="B1260" s="2" t="s">
        <v>43</v>
      </c>
      <c r="C1260" s="2" t="s">
        <v>36</v>
      </c>
      <c r="D1260" s="2">
        <v>590</v>
      </c>
      <c r="E1260" s="2" t="s">
        <v>45</v>
      </c>
      <c r="F1260" s="2">
        <v>4</v>
      </c>
      <c r="G1260" s="2">
        <v>3</v>
      </c>
      <c r="H1260" s="2" t="s">
        <v>60</v>
      </c>
      <c r="I1260" s="2">
        <v>1</v>
      </c>
      <c r="J1260" s="2">
        <v>1762</v>
      </c>
      <c r="K1260" s="2">
        <v>4</v>
      </c>
      <c r="L1260" s="2" t="s">
        <v>39</v>
      </c>
      <c r="M1260" s="2">
        <v>91</v>
      </c>
      <c r="N1260" s="2">
        <v>2</v>
      </c>
      <c r="O1260" s="2">
        <v>1</v>
      </c>
      <c r="P1260" s="2" t="s">
        <v>47</v>
      </c>
      <c r="Q1260" s="2">
        <v>1</v>
      </c>
      <c r="R1260" s="2" t="s">
        <v>52</v>
      </c>
      <c r="S1260" s="2">
        <v>2109</v>
      </c>
      <c r="T1260" s="2">
        <v>10007</v>
      </c>
      <c r="U1260" s="2">
        <v>1</v>
      </c>
      <c r="V1260" s="2" t="s">
        <v>42</v>
      </c>
      <c r="W1260" s="2" t="s">
        <v>43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</row>
    <row r="1261" spans="1:35" x14ac:dyDescent="0.25">
      <c r="A1261" s="2">
        <v>30</v>
      </c>
      <c r="B1261" s="2" t="s">
        <v>43</v>
      </c>
      <c r="C1261" s="2" t="s">
        <v>36</v>
      </c>
      <c r="D1261" s="2">
        <v>305</v>
      </c>
      <c r="E1261" s="2" t="s">
        <v>45</v>
      </c>
      <c r="F1261" s="2">
        <v>16</v>
      </c>
      <c r="G1261" s="2">
        <v>3</v>
      </c>
      <c r="H1261" s="2" t="s">
        <v>38</v>
      </c>
      <c r="I1261" s="2">
        <v>1</v>
      </c>
      <c r="J1261" s="2">
        <v>1763</v>
      </c>
      <c r="K1261" s="2">
        <v>3</v>
      </c>
      <c r="L1261" s="2" t="s">
        <v>46</v>
      </c>
      <c r="M1261" s="2">
        <v>58</v>
      </c>
      <c r="N1261" s="2">
        <v>4</v>
      </c>
      <c r="O1261" s="2">
        <v>2</v>
      </c>
      <c r="P1261" s="2" t="s">
        <v>54</v>
      </c>
      <c r="Q1261" s="2">
        <v>3</v>
      </c>
      <c r="R1261" s="2" t="s">
        <v>48</v>
      </c>
      <c r="S1261" s="2">
        <v>5294</v>
      </c>
      <c r="T1261" s="2">
        <v>9128</v>
      </c>
      <c r="U1261" s="2">
        <v>3</v>
      </c>
      <c r="V1261" s="2" t="s">
        <v>42</v>
      </c>
      <c r="W1261" s="2" t="s">
        <v>43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</row>
    <row r="1262" spans="1:35" x14ac:dyDescent="0.25">
      <c r="A1262" s="2">
        <v>32</v>
      </c>
      <c r="B1262" s="2" t="s">
        <v>43</v>
      </c>
      <c r="C1262" s="2" t="s">
        <v>55</v>
      </c>
      <c r="D1262" s="2">
        <v>953</v>
      </c>
      <c r="E1262" s="2" t="s">
        <v>45</v>
      </c>
      <c r="F1262" s="2">
        <v>5</v>
      </c>
      <c r="G1262" s="2">
        <v>4</v>
      </c>
      <c r="H1262" s="2" t="s">
        <v>60</v>
      </c>
      <c r="I1262" s="2">
        <v>1</v>
      </c>
      <c r="J1262" s="2">
        <v>1764</v>
      </c>
      <c r="K1262" s="2">
        <v>2</v>
      </c>
      <c r="L1262" s="2" t="s">
        <v>46</v>
      </c>
      <c r="M1262" s="2">
        <v>65</v>
      </c>
      <c r="N1262" s="2">
        <v>3</v>
      </c>
      <c r="O1262" s="2">
        <v>1</v>
      </c>
      <c r="P1262" s="2" t="s">
        <v>47</v>
      </c>
      <c r="Q1262" s="2">
        <v>2</v>
      </c>
      <c r="R1262" s="2" t="s">
        <v>41</v>
      </c>
      <c r="S1262" s="2">
        <v>2718</v>
      </c>
      <c r="T1262" s="2">
        <v>17674</v>
      </c>
      <c r="U1262" s="2">
        <v>2</v>
      </c>
      <c r="V1262" s="2" t="s">
        <v>42</v>
      </c>
      <c r="W1262" s="2" t="s">
        <v>43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</row>
    <row r="1263" spans="1:35" x14ac:dyDescent="0.25">
      <c r="A1263" s="2">
        <v>38</v>
      </c>
      <c r="B1263" s="2" t="s">
        <v>43</v>
      </c>
      <c r="C1263" s="2" t="s">
        <v>36</v>
      </c>
      <c r="D1263" s="2">
        <v>833</v>
      </c>
      <c r="E1263" s="2" t="s">
        <v>45</v>
      </c>
      <c r="F1263" s="2">
        <v>18</v>
      </c>
      <c r="G1263" s="2">
        <v>3</v>
      </c>
      <c r="H1263" s="2" t="s">
        <v>51</v>
      </c>
      <c r="I1263" s="2">
        <v>1</v>
      </c>
      <c r="J1263" s="2">
        <v>1766</v>
      </c>
      <c r="K1263" s="2">
        <v>2</v>
      </c>
      <c r="L1263" s="2" t="s">
        <v>46</v>
      </c>
      <c r="M1263" s="2">
        <v>60</v>
      </c>
      <c r="N1263" s="2">
        <v>1</v>
      </c>
      <c r="O1263" s="2">
        <v>2</v>
      </c>
      <c r="P1263" s="2" t="s">
        <v>54</v>
      </c>
      <c r="Q1263" s="2">
        <v>4</v>
      </c>
      <c r="R1263" s="2" t="s">
        <v>48</v>
      </c>
      <c r="S1263" s="2">
        <v>5811</v>
      </c>
      <c r="T1263" s="2">
        <v>24539</v>
      </c>
      <c r="U1263" s="2">
        <v>3</v>
      </c>
      <c r="V1263" s="2" t="s">
        <v>42</v>
      </c>
      <c r="W1263" s="2" t="s">
        <v>35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</row>
    <row r="1264" spans="1:35" x14ac:dyDescent="0.25">
      <c r="A1264" s="2">
        <v>43</v>
      </c>
      <c r="B1264" s="2" t="s">
        <v>35</v>
      </c>
      <c r="C1264" s="2" t="s">
        <v>44</v>
      </c>
      <c r="D1264" s="2">
        <v>807</v>
      </c>
      <c r="E1264" s="2" t="s">
        <v>45</v>
      </c>
      <c r="F1264" s="2">
        <v>17</v>
      </c>
      <c r="G1264" s="2">
        <v>3</v>
      </c>
      <c r="H1264" s="2" t="s">
        <v>60</v>
      </c>
      <c r="I1264" s="2">
        <v>1</v>
      </c>
      <c r="J1264" s="2">
        <v>1767</v>
      </c>
      <c r="K1264" s="2">
        <v>3</v>
      </c>
      <c r="L1264" s="2" t="s">
        <v>46</v>
      </c>
      <c r="M1264" s="2">
        <v>38</v>
      </c>
      <c r="N1264" s="2">
        <v>2</v>
      </c>
      <c r="O1264" s="2">
        <v>1</v>
      </c>
      <c r="P1264" s="2" t="s">
        <v>47</v>
      </c>
      <c r="Q1264" s="2">
        <v>3</v>
      </c>
      <c r="R1264" s="2" t="s">
        <v>48</v>
      </c>
      <c r="S1264" s="2">
        <v>2437</v>
      </c>
      <c r="T1264" s="2">
        <v>15587</v>
      </c>
      <c r="U1264" s="2">
        <v>9</v>
      </c>
      <c r="V1264" s="2" t="s">
        <v>42</v>
      </c>
      <c r="W1264" s="2" t="s">
        <v>35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</row>
    <row r="1265" spans="1:35" x14ac:dyDescent="0.25">
      <c r="A1265" s="2">
        <v>42</v>
      </c>
      <c r="B1265" s="2" t="s">
        <v>43</v>
      </c>
      <c r="C1265" s="2" t="s">
        <v>36</v>
      </c>
      <c r="D1265" s="2">
        <v>855</v>
      </c>
      <c r="E1265" s="2" t="s">
        <v>45</v>
      </c>
      <c r="F1265" s="2">
        <v>12</v>
      </c>
      <c r="G1265" s="2">
        <v>3</v>
      </c>
      <c r="H1265" s="2" t="s">
        <v>51</v>
      </c>
      <c r="I1265" s="2">
        <v>1</v>
      </c>
      <c r="J1265" s="2">
        <v>1768</v>
      </c>
      <c r="K1265" s="2">
        <v>2</v>
      </c>
      <c r="L1265" s="2" t="s">
        <v>46</v>
      </c>
      <c r="M1265" s="2">
        <v>57</v>
      </c>
      <c r="N1265" s="2">
        <v>3</v>
      </c>
      <c r="O1265" s="2">
        <v>1</v>
      </c>
      <c r="P1265" s="2" t="s">
        <v>50</v>
      </c>
      <c r="Q1265" s="2">
        <v>2</v>
      </c>
      <c r="R1265" s="2" t="s">
        <v>52</v>
      </c>
      <c r="S1265" s="2">
        <v>2766</v>
      </c>
      <c r="T1265" s="2">
        <v>8952</v>
      </c>
      <c r="U1265" s="2">
        <v>8</v>
      </c>
      <c r="V1265" s="2" t="s">
        <v>42</v>
      </c>
      <c r="W1265" s="2" t="s">
        <v>43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</row>
    <row r="1266" spans="1:35" x14ac:dyDescent="0.25">
      <c r="A1266" s="2">
        <v>55</v>
      </c>
      <c r="B1266" s="2" t="s">
        <v>43</v>
      </c>
      <c r="C1266" s="2" t="s">
        <v>36</v>
      </c>
      <c r="D1266" s="2">
        <v>478</v>
      </c>
      <c r="E1266" s="2" t="s">
        <v>45</v>
      </c>
      <c r="F1266" s="2">
        <v>2</v>
      </c>
      <c r="G1266" s="2">
        <v>3</v>
      </c>
      <c r="H1266" s="2" t="s">
        <v>51</v>
      </c>
      <c r="I1266" s="2">
        <v>1</v>
      </c>
      <c r="J1266" s="2">
        <v>1770</v>
      </c>
      <c r="K1266" s="2">
        <v>3</v>
      </c>
      <c r="L1266" s="2" t="s">
        <v>46</v>
      </c>
      <c r="M1266" s="2">
        <v>60</v>
      </c>
      <c r="N1266" s="2">
        <v>2</v>
      </c>
      <c r="O1266" s="2">
        <v>5</v>
      </c>
      <c r="P1266" s="2" t="s">
        <v>58</v>
      </c>
      <c r="Q1266" s="2">
        <v>1</v>
      </c>
      <c r="R1266" s="2" t="s">
        <v>48</v>
      </c>
      <c r="S1266" s="2">
        <v>19038</v>
      </c>
      <c r="T1266" s="2">
        <v>19805</v>
      </c>
      <c r="U1266" s="2">
        <v>8</v>
      </c>
      <c r="V1266" s="2" t="s">
        <v>42</v>
      </c>
      <c r="W1266" s="2" t="s">
        <v>43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</row>
    <row r="1267" spans="1:35" x14ac:dyDescent="0.25">
      <c r="A1267" s="2">
        <v>33</v>
      </c>
      <c r="B1267" s="2" t="s">
        <v>43</v>
      </c>
      <c r="C1267" s="2" t="s">
        <v>55</v>
      </c>
      <c r="D1267" s="2">
        <v>775</v>
      </c>
      <c r="E1267" s="2" t="s">
        <v>45</v>
      </c>
      <c r="F1267" s="2">
        <v>4</v>
      </c>
      <c r="G1267" s="2">
        <v>3</v>
      </c>
      <c r="H1267" s="2" t="s">
        <v>60</v>
      </c>
      <c r="I1267" s="2">
        <v>1</v>
      </c>
      <c r="J1267" s="2">
        <v>1771</v>
      </c>
      <c r="K1267" s="2">
        <v>4</v>
      </c>
      <c r="L1267" s="2" t="s">
        <v>46</v>
      </c>
      <c r="M1267" s="2">
        <v>90</v>
      </c>
      <c r="N1267" s="2">
        <v>3</v>
      </c>
      <c r="O1267" s="2">
        <v>2</v>
      </c>
      <c r="P1267" s="2" t="s">
        <v>47</v>
      </c>
      <c r="Q1267" s="2">
        <v>2</v>
      </c>
      <c r="R1267" s="2" t="s">
        <v>52</v>
      </c>
      <c r="S1267" s="2">
        <v>3055</v>
      </c>
      <c r="T1267" s="2">
        <v>6194</v>
      </c>
      <c r="U1267" s="2">
        <v>5</v>
      </c>
      <c r="V1267" s="2" t="s">
        <v>42</v>
      </c>
      <c r="W1267" s="2" t="s">
        <v>43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</row>
    <row r="1268" spans="1:35" x14ac:dyDescent="0.25">
      <c r="A1268" s="2">
        <v>41</v>
      </c>
      <c r="B1268" s="2" t="s">
        <v>43</v>
      </c>
      <c r="C1268" s="2" t="s">
        <v>36</v>
      </c>
      <c r="D1268" s="2">
        <v>548</v>
      </c>
      <c r="E1268" s="2" t="s">
        <v>45</v>
      </c>
      <c r="F1268" s="2">
        <v>9</v>
      </c>
      <c r="G1268" s="2">
        <v>4</v>
      </c>
      <c r="H1268" s="2" t="s">
        <v>38</v>
      </c>
      <c r="I1268" s="2">
        <v>1</v>
      </c>
      <c r="J1268" s="2">
        <v>1772</v>
      </c>
      <c r="K1268" s="2">
        <v>3</v>
      </c>
      <c r="L1268" s="2" t="s">
        <v>46</v>
      </c>
      <c r="M1268" s="2">
        <v>94</v>
      </c>
      <c r="N1268" s="2">
        <v>3</v>
      </c>
      <c r="O1268" s="2">
        <v>1</v>
      </c>
      <c r="P1268" s="2" t="s">
        <v>50</v>
      </c>
      <c r="Q1268" s="2">
        <v>1</v>
      </c>
      <c r="R1268" s="2" t="s">
        <v>52</v>
      </c>
      <c r="S1268" s="2">
        <v>2289</v>
      </c>
      <c r="T1268" s="2">
        <v>20520</v>
      </c>
      <c r="U1268" s="2">
        <v>1</v>
      </c>
      <c r="V1268" s="2" t="s">
        <v>42</v>
      </c>
      <c r="W1268" s="2" t="s">
        <v>43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</row>
    <row r="1269" spans="1:35" x14ac:dyDescent="0.25">
      <c r="A1269" s="2">
        <v>34</v>
      </c>
      <c r="B1269" s="2" t="s">
        <v>43</v>
      </c>
      <c r="C1269" s="2" t="s">
        <v>55</v>
      </c>
      <c r="D1269" s="2">
        <v>1375</v>
      </c>
      <c r="E1269" s="2" t="s">
        <v>37</v>
      </c>
      <c r="F1269" s="2">
        <v>10</v>
      </c>
      <c r="G1269" s="2">
        <v>3</v>
      </c>
      <c r="H1269" s="2" t="s">
        <v>38</v>
      </c>
      <c r="I1269" s="2">
        <v>1</v>
      </c>
      <c r="J1269" s="2">
        <v>1774</v>
      </c>
      <c r="K1269" s="2">
        <v>4</v>
      </c>
      <c r="L1269" s="2" t="s">
        <v>46</v>
      </c>
      <c r="M1269" s="2">
        <v>87</v>
      </c>
      <c r="N1269" s="2">
        <v>3</v>
      </c>
      <c r="O1269" s="2">
        <v>2</v>
      </c>
      <c r="P1269" s="2" t="s">
        <v>40</v>
      </c>
      <c r="Q1269" s="2">
        <v>3</v>
      </c>
      <c r="R1269" s="2" t="s">
        <v>52</v>
      </c>
      <c r="S1269" s="2">
        <v>4001</v>
      </c>
      <c r="T1269" s="2">
        <v>12313</v>
      </c>
      <c r="U1269" s="2">
        <v>1</v>
      </c>
      <c r="V1269" s="2" t="s">
        <v>42</v>
      </c>
      <c r="W1269" s="2" t="s">
        <v>35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</row>
    <row r="1270" spans="1:35" x14ac:dyDescent="0.25">
      <c r="A1270" s="2">
        <v>53</v>
      </c>
      <c r="B1270" s="2" t="s">
        <v>43</v>
      </c>
      <c r="C1270" s="2" t="s">
        <v>55</v>
      </c>
      <c r="D1270" s="2">
        <v>661</v>
      </c>
      <c r="E1270" s="2" t="s">
        <v>45</v>
      </c>
      <c r="F1270" s="2">
        <v>1</v>
      </c>
      <c r="G1270" s="2">
        <v>4</v>
      </c>
      <c r="H1270" s="2" t="s">
        <v>51</v>
      </c>
      <c r="I1270" s="2">
        <v>1</v>
      </c>
      <c r="J1270" s="2">
        <v>1775</v>
      </c>
      <c r="K1270" s="2">
        <v>1</v>
      </c>
      <c r="L1270" s="2" t="s">
        <v>39</v>
      </c>
      <c r="M1270" s="2">
        <v>60</v>
      </c>
      <c r="N1270" s="2">
        <v>2</v>
      </c>
      <c r="O1270" s="2">
        <v>4</v>
      </c>
      <c r="P1270" s="2" t="s">
        <v>53</v>
      </c>
      <c r="Q1270" s="2">
        <v>3</v>
      </c>
      <c r="R1270" s="2" t="s">
        <v>48</v>
      </c>
      <c r="S1270" s="2">
        <v>12965</v>
      </c>
      <c r="T1270" s="2">
        <v>22308</v>
      </c>
      <c r="U1270" s="2">
        <v>4</v>
      </c>
      <c r="V1270" s="2" t="s">
        <v>42</v>
      </c>
      <c r="W1270" s="2" t="s">
        <v>35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</row>
    <row r="1271" spans="1:35" x14ac:dyDescent="0.25">
      <c r="A1271" s="2">
        <v>43</v>
      </c>
      <c r="B1271" s="2" t="s">
        <v>43</v>
      </c>
      <c r="C1271" s="2" t="s">
        <v>36</v>
      </c>
      <c r="D1271" s="2">
        <v>244</v>
      </c>
      <c r="E1271" s="2" t="s">
        <v>61</v>
      </c>
      <c r="F1271" s="2">
        <v>2</v>
      </c>
      <c r="G1271" s="2">
        <v>3</v>
      </c>
      <c r="H1271" s="2" t="s">
        <v>38</v>
      </c>
      <c r="I1271" s="2">
        <v>1</v>
      </c>
      <c r="J1271" s="2">
        <v>1778</v>
      </c>
      <c r="K1271" s="2">
        <v>2</v>
      </c>
      <c r="L1271" s="2" t="s">
        <v>46</v>
      </c>
      <c r="M1271" s="2">
        <v>97</v>
      </c>
      <c r="N1271" s="2">
        <v>3</v>
      </c>
      <c r="O1271" s="2">
        <v>1</v>
      </c>
      <c r="P1271" s="2" t="s">
        <v>61</v>
      </c>
      <c r="Q1271" s="2">
        <v>4</v>
      </c>
      <c r="R1271" s="2" t="s">
        <v>41</v>
      </c>
      <c r="S1271" s="2">
        <v>3539</v>
      </c>
      <c r="T1271" s="2">
        <v>5033</v>
      </c>
      <c r="U1271" s="2">
        <v>0</v>
      </c>
      <c r="V1271" s="2" t="s">
        <v>42</v>
      </c>
      <c r="W1271" s="2" t="s">
        <v>43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</row>
    <row r="1272" spans="1:35" x14ac:dyDescent="0.25">
      <c r="A1272" s="2">
        <v>34</v>
      </c>
      <c r="B1272" s="2" t="s">
        <v>43</v>
      </c>
      <c r="C1272" s="2" t="s">
        <v>36</v>
      </c>
      <c r="D1272" s="2">
        <v>511</v>
      </c>
      <c r="E1272" s="2" t="s">
        <v>37</v>
      </c>
      <c r="F1272" s="2">
        <v>3</v>
      </c>
      <c r="G1272" s="2">
        <v>2</v>
      </c>
      <c r="H1272" s="2" t="s">
        <v>38</v>
      </c>
      <c r="I1272" s="2">
        <v>1</v>
      </c>
      <c r="J1272" s="2">
        <v>1779</v>
      </c>
      <c r="K1272" s="2">
        <v>4</v>
      </c>
      <c r="L1272" s="2" t="s">
        <v>39</v>
      </c>
      <c r="M1272" s="2">
        <v>32</v>
      </c>
      <c r="N1272" s="2">
        <v>1</v>
      </c>
      <c r="O1272" s="2">
        <v>2</v>
      </c>
      <c r="P1272" s="2" t="s">
        <v>40</v>
      </c>
      <c r="Q1272" s="2">
        <v>4</v>
      </c>
      <c r="R1272" s="2" t="s">
        <v>41</v>
      </c>
      <c r="S1272" s="2">
        <v>6029</v>
      </c>
      <c r="T1272" s="2">
        <v>25353</v>
      </c>
      <c r="U1272" s="2">
        <v>5</v>
      </c>
      <c r="V1272" s="2" t="s">
        <v>42</v>
      </c>
      <c r="W1272" s="2" t="s">
        <v>43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</row>
    <row r="1273" spans="1:35" x14ac:dyDescent="0.25">
      <c r="A1273" s="2">
        <v>21</v>
      </c>
      <c r="B1273" s="2" t="s">
        <v>35</v>
      </c>
      <c r="C1273" s="2" t="s">
        <v>36</v>
      </c>
      <c r="D1273" s="2">
        <v>337</v>
      </c>
      <c r="E1273" s="2" t="s">
        <v>37</v>
      </c>
      <c r="F1273" s="2">
        <v>7</v>
      </c>
      <c r="G1273" s="2">
        <v>1</v>
      </c>
      <c r="H1273" s="2" t="s">
        <v>59</v>
      </c>
      <c r="I1273" s="2">
        <v>1</v>
      </c>
      <c r="J1273" s="2">
        <v>1780</v>
      </c>
      <c r="K1273" s="2">
        <v>2</v>
      </c>
      <c r="L1273" s="2" t="s">
        <v>46</v>
      </c>
      <c r="M1273" s="2">
        <v>31</v>
      </c>
      <c r="N1273" s="2">
        <v>3</v>
      </c>
      <c r="O1273" s="2">
        <v>1</v>
      </c>
      <c r="P1273" s="2" t="s">
        <v>57</v>
      </c>
      <c r="Q1273" s="2">
        <v>2</v>
      </c>
      <c r="R1273" s="2" t="s">
        <v>41</v>
      </c>
      <c r="S1273" s="2">
        <v>2679</v>
      </c>
      <c r="T1273" s="2">
        <v>4567</v>
      </c>
      <c r="U1273" s="2">
        <v>1</v>
      </c>
      <c r="V1273" s="2" t="s">
        <v>42</v>
      </c>
      <c r="W1273" s="2" t="s">
        <v>43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</row>
    <row r="1274" spans="1:35" x14ac:dyDescent="0.25">
      <c r="A1274" s="2">
        <v>38</v>
      </c>
      <c r="B1274" s="2" t="s">
        <v>43</v>
      </c>
      <c r="C1274" s="2" t="s">
        <v>36</v>
      </c>
      <c r="D1274" s="2">
        <v>1153</v>
      </c>
      <c r="E1274" s="2" t="s">
        <v>45</v>
      </c>
      <c r="F1274" s="2">
        <v>6</v>
      </c>
      <c r="G1274" s="2">
        <v>2</v>
      </c>
      <c r="H1274" s="2" t="s">
        <v>49</v>
      </c>
      <c r="I1274" s="2">
        <v>1</v>
      </c>
      <c r="J1274" s="2">
        <v>1782</v>
      </c>
      <c r="K1274" s="2">
        <v>4</v>
      </c>
      <c r="L1274" s="2" t="s">
        <v>39</v>
      </c>
      <c r="M1274" s="2">
        <v>40</v>
      </c>
      <c r="N1274" s="2">
        <v>2</v>
      </c>
      <c r="O1274" s="2">
        <v>1</v>
      </c>
      <c r="P1274" s="2" t="s">
        <v>50</v>
      </c>
      <c r="Q1274" s="2">
        <v>3</v>
      </c>
      <c r="R1274" s="2" t="s">
        <v>48</v>
      </c>
      <c r="S1274" s="2">
        <v>3702</v>
      </c>
      <c r="T1274" s="2">
        <v>16376</v>
      </c>
      <c r="U1274" s="2">
        <v>1</v>
      </c>
      <c r="V1274" s="2" t="s">
        <v>42</v>
      </c>
      <c r="W1274" s="2" t="s">
        <v>43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</row>
    <row r="1275" spans="1:35" x14ac:dyDescent="0.25">
      <c r="A1275" s="2">
        <v>22</v>
      </c>
      <c r="B1275" s="2" t="s">
        <v>35</v>
      </c>
      <c r="C1275" s="2" t="s">
        <v>36</v>
      </c>
      <c r="D1275" s="2">
        <v>1294</v>
      </c>
      <c r="E1275" s="2" t="s">
        <v>45</v>
      </c>
      <c r="F1275" s="2">
        <v>8</v>
      </c>
      <c r="G1275" s="2">
        <v>1</v>
      </c>
      <c r="H1275" s="2" t="s">
        <v>51</v>
      </c>
      <c r="I1275" s="2">
        <v>1</v>
      </c>
      <c r="J1275" s="2">
        <v>1783</v>
      </c>
      <c r="K1275" s="2">
        <v>3</v>
      </c>
      <c r="L1275" s="2" t="s">
        <v>39</v>
      </c>
      <c r="M1275" s="2">
        <v>79</v>
      </c>
      <c r="N1275" s="2">
        <v>3</v>
      </c>
      <c r="O1275" s="2">
        <v>1</v>
      </c>
      <c r="P1275" s="2" t="s">
        <v>50</v>
      </c>
      <c r="Q1275" s="2">
        <v>1</v>
      </c>
      <c r="R1275" s="2" t="s">
        <v>48</v>
      </c>
      <c r="S1275" s="2">
        <v>2398</v>
      </c>
      <c r="T1275" s="2">
        <v>15999</v>
      </c>
      <c r="U1275" s="2">
        <v>1</v>
      </c>
      <c r="V1275" s="2" t="s">
        <v>42</v>
      </c>
      <c r="W1275" s="2" t="s">
        <v>35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</row>
    <row r="1276" spans="1:35" x14ac:dyDescent="0.25">
      <c r="A1276" s="2">
        <v>31</v>
      </c>
      <c r="B1276" s="2" t="s">
        <v>43</v>
      </c>
      <c r="C1276" s="2" t="s">
        <v>36</v>
      </c>
      <c r="D1276" s="2">
        <v>196</v>
      </c>
      <c r="E1276" s="2" t="s">
        <v>37</v>
      </c>
      <c r="F1276" s="2">
        <v>29</v>
      </c>
      <c r="G1276" s="2">
        <v>4</v>
      </c>
      <c r="H1276" s="2" t="s">
        <v>59</v>
      </c>
      <c r="I1276" s="2">
        <v>1</v>
      </c>
      <c r="J1276" s="2">
        <v>1784</v>
      </c>
      <c r="K1276" s="2">
        <v>1</v>
      </c>
      <c r="L1276" s="2" t="s">
        <v>39</v>
      </c>
      <c r="M1276" s="2">
        <v>91</v>
      </c>
      <c r="N1276" s="2">
        <v>2</v>
      </c>
      <c r="O1276" s="2">
        <v>2</v>
      </c>
      <c r="P1276" s="2" t="s">
        <v>40</v>
      </c>
      <c r="Q1276" s="2">
        <v>4</v>
      </c>
      <c r="R1276" s="2" t="s">
        <v>48</v>
      </c>
      <c r="S1276" s="2">
        <v>5468</v>
      </c>
      <c r="T1276" s="2">
        <v>13402</v>
      </c>
      <c r="U1276" s="2">
        <v>1</v>
      </c>
      <c r="V1276" s="2" t="s">
        <v>42</v>
      </c>
      <c r="W1276" s="2" t="s">
        <v>43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</row>
    <row r="1277" spans="1:35" x14ac:dyDescent="0.25">
      <c r="A1277" s="2">
        <v>51</v>
      </c>
      <c r="B1277" s="2" t="s">
        <v>43</v>
      </c>
      <c r="C1277" s="2" t="s">
        <v>36</v>
      </c>
      <c r="D1277" s="2">
        <v>942</v>
      </c>
      <c r="E1277" s="2" t="s">
        <v>45</v>
      </c>
      <c r="F1277" s="2">
        <v>3</v>
      </c>
      <c r="G1277" s="2">
        <v>3</v>
      </c>
      <c r="H1277" s="2" t="s">
        <v>60</v>
      </c>
      <c r="I1277" s="2">
        <v>1</v>
      </c>
      <c r="J1277" s="2">
        <v>1786</v>
      </c>
      <c r="K1277" s="2">
        <v>1</v>
      </c>
      <c r="L1277" s="2" t="s">
        <v>39</v>
      </c>
      <c r="M1277" s="2">
        <v>53</v>
      </c>
      <c r="N1277" s="2">
        <v>3</v>
      </c>
      <c r="O1277" s="2">
        <v>3</v>
      </c>
      <c r="P1277" s="2" t="s">
        <v>56</v>
      </c>
      <c r="Q1277" s="2">
        <v>3</v>
      </c>
      <c r="R1277" s="2" t="s">
        <v>48</v>
      </c>
      <c r="S1277" s="2">
        <v>13116</v>
      </c>
      <c r="T1277" s="2">
        <v>22984</v>
      </c>
      <c r="U1277" s="2">
        <v>2</v>
      </c>
      <c r="V1277" s="2" t="s">
        <v>42</v>
      </c>
      <c r="W1277" s="2" t="s">
        <v>43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</row>
    <row r="1278" spans="1:35" x14ac:dyDescent="0.25">
      <c r="A1278" s="2">
        <v>37</v>
      </c>
      <c r="B1278" s="2" t="s">
        <v>43</v>
      </c>
      <c r="C1278" s="2" t="s">
        <v>36</v>
      </c>
      <c r="D1278" s="2">
        <v>589</v>
      </c>
      <c r="E1278" s="2" t="s">
        <v>37</v>
      </c>
      <c r="F1278" s="2">
        <v>9</v>
      </c>
      <c r="G1278" s="2">
        <v>2</v>
      </c>
      <c r="H1278" s="2" t="s">
        <v>59</v>
      </c>
      <c r="I1278" s="2">
        <v>1</v>
      </c>
      <c r="J1278" s="2">
        <v>1787</v>
      </c>
      <c r="K1278" s="2">
        <v>2</v>
      </c>
      <c r="L1278" s="2" t="s">
        <v>46</v>
      </c>
      <c r="M1278" s="2">
        <v>46</v>
      </c>
      <c r="N1278" s="2">
        <v>2</v>
      </c>
      <c r="O1278" s="2">
        <v>2</v>
      </c>
      <c r="P1278" s="2" t="s">
        <v>40</v>
      </c>
      <c r="Q1278" s="2">
        <v>2</v>
      </c>
      <c r="R1278" s="2" t="s">
        <v>48</v>
      </c>
      <c r="S1278" s="2">
        <v>4189</v>
      </c>
      <c r="T1278" s="2">
        <v>8800</v>
      </c>
      <c r="U1278" s="2">
        <v>1</v>
      </c>
      <c r="V1278" s="2" t="s">
        <v>42</v>
      </c>
      <c r="W1278" s="2" t="s">
        <v>43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</row>
    <row r="1279" spans="1:35" x14ac:dyDescent="0.25">
      <c r="A1279" s="2">
        <v>46</v>
      </c>
      <c r="B1279" s="2" t="s">
        <v>43</v>
      </c>
      <c r="C1279" s="2" t="s">
        <v>36</v>
      </c>
      <c r="D1279" s="2">
        <v>734</v>
      </c>
      <c r="E1279" s="2" t="s">
        <v>45</v>
      </c>
      <c r="F1279" s="2">
        <v>2</v>
      </c>
      <c r="G1279" s="2">
        <v>4</v>
      </c>
      <c r="H1279" s="2" t="s">
        <v>51</v>
      </c>
      <c r="I1279" s="2">
        <v>1</v>
      </c>
      <c r="J1279" s="2">
        <v>1789</v>
      </c>
      <c r="K1279" s="2">
        <v>3</v>
      </c>
      <c r="L1279" s="2" t="s">
        <v>46</v>
      </c>
      <c r="M1279" s="2">
        <v>46</v>
      </c>
      <c r="N1279" s="2">
        <v>3</v>
      </c>
      <c r="O1279" s="2">
        <v>5</v>
      </c>
      <c r="P1279" s="2" t="s">
        <v>58</v>
      </c>
      <c r="Q1279" s="2">
        <v>4</v>
      </c>
      <c r="R1279" s="2" t="s">
        <v>52</v>
      </c>
      <c r="S1279" s="2">
        <v>19328</v>
      </c>
      <c r="T1279" s="2">
        <v>14218</v>
      </c>
      <c r="U1279" s="2">
        <v>7</v>
      </c>
      <c r="V1279" s="2" t="s">
        <v>42</v>
      </c>
      <c r="W1279" s="2" t="s">
        <v>35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</row>
    <row r="1280" spans="1:35" x14ac:dyDescent="0.25">
      <c r="A1280" s="2">
        <v>36</v>
      </c>
      <c r="B1280" s="2" t="s">
        <v>43</v>
      </c>
      <c r="C1280" s="2" t="s">
        <v>36</v>
      </c>
      <c r="D1280" s="2">
        <v>1383</v>
      </c>
      <c r="E1280" s="2" t="s">
        <v>45</v>
      </c>
      <c r="F1280" s="2">
        <v>10</v>
      </c>
      <c r="G1280" s="2">
        <v>3</v>
      </c>
      <c r="H1280" s="2" t="s">
        <v>38</v>
      </c>
      <c r="I1280" s="2">
        <v>1</v>
      </c>
      <c r="J1280" s="2">
        <v>1790</v>
      </c>
      <c r="K1280" s="2">
        <v>4</v>
      </c>
      <c r="L1280" s="2" t="s">
        <v>46</v>
      </c>
      <c r="M1280" s="2">
        <v>90</v>
      </c>
      <c r="N1280" s="2">
        <v>3</v>
      </c>
      <c r="O1280" s="2">
        <v>3</v>
      </c>
      <c r="P1280" s="2" t="s">
        <v>54</v>
      </c>
      <c r="Q1280" s="2">
        <v>1</v>
      </c>
      <c r="R1280" s="2" t="s">
        <v>48</v>
      </c>
      <c r="S1280" s="2">
        <v>8321</v>
      </c>
      <c r="T1280" s="2">
        <v>25949</v>
      </c>
      <c r="U1280" s="2">
        <v>7</v>
      </c>
      <c r="V1280" s="2" t="s">
        <v>42</v>
      </c>
      <c r="W1280" s="2" t="s">
        <v>35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</row>
    <row r="1281" spans="1:35" x14ac:dyDescent="0.25">
      <c r="A1281" s="2">
        <v>44</v>
      </c>
      <c r="B1281" s="2" t="s">
        <v>35</v>
      </c>
      <c r="C1281" s="2" t="s">
        <v>44</v>
      </c>
      <c r="D1281" s="2">
        <v>429</v>
      </c>
      <c r="E1281" s="2" t="s">
        <v>45</v>
      </c>
      <c r="F1281" s="2">
        <v>1</v>
      </c>
      <c r="G1281" s="2">
        <v>2</v>
      </c>
      <c r="H1281" s="2" t="s">
        <v>51</v>
      </c>
      <c r="I1281" s="2">
        <v>1</v>
      </c>
      <c r="J1281" s="2">
        <v>1792</v>
      </c>
      <c r="K1281" s="2">
        <v>3</v>
      </c>
      <c r="L1281" s="2" t="s">
        <v>46</v>
      </c>
      <c r="M1281" s="2">
        <v>99</v>
      </c>
      <c r="N1281" s="2">
        <v>3</v>
      </c>
      <c r="O1281" s="2">
        <v>1</v>
      </c>
      <c r="P1281" s="2" t="s">
        <v>47</v>
      </c>
      <c r="Q1281" s="2">
        <v>2</v>
      </c>
      <c r="R1281" s="2" t="s">
        <v>52</v>
      </c>
      <c r="S1281" s="2">
        <v>2342</v>
      </c>
      <c r="T1281" s="2">
        <v>11092</v>
      </c>
      <c r="U1281" s="2">
        <v>1</v>
      </c>
      <c r="V1281" s="2" t="s">
        <v>42</v>
      </c>
      <c r="W1281" s="2" t="s">
        <v>35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</row>
    <row r="1282" spans="1:35" x14ac:dyDescent="0.25">
      <c r="A1282" s="2">
        <v>37</v>
      </c>
      <c r="B1282" s="2" t="s">
        <v>43</v>
      </c>
      <c r="C1282" s="2" t="s">
        <v>36</v>
      </c>
      <c r="D1282" s="2">
        <v>1239</v>
      </c>
      <c r="E1282" s="2" t="s">
        <v>61</v>
      </c>
      <c r="F1282" s="2">
        <v>8</v>
      </c>
      <c r="G1282" s="2">
        <v>2</v>
      </c>
      <c r="H1282" s="2" t="s">
        <v>49</v>
      </c>
      <c r="I1282" s="2">
        <v>1</v>
      </c>
      <c r="J1282" s="2">
        <v>1794</v>
      </c>
      <c r="K1282" s="2">
        <v>3</v>
      </c>
      <c r="L1282" s="2" t="s">
        <v>46</v>
      </c>
      <c r="M1282" s="2">
        <v>89</v>
      </c>
      <c r="N1282" s="2">
        <v>3</v>
      </c>
      <c r="O1282" s="2">
        <v>2</v>
      </c>
      <c r="P1282" s="2" t="s">
        <v>61</v>
      </c>
      <c r="Q1282" s="2">
        <v>2</v>
      </c>
      <c r="R1282" s="2" t="s">
        <v>52</v>
      </c>
      <c r="S1282" s="2">
        <v>4071</v>
      </c>
      <c r="T1282" s="2">
        <v>12832</v>
      </c>
      <c r="U1282" s="2">
        <v>2</v>
      </c>
      <c r="V1282" s="2" t="s">
        <v>42</v>
      </c>
      <c r="W1282" s="2" t="s">
        <v>43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</row>
    <row r="1283" spans="1:35" x14ac:dyDescent="0.25">
      <c r="A1283" s="2">
        <v>35</v>
      </c>
      <c r="B1283" s="2" t="s">
        <v>35</v>
      </c>
      <c r="C1283" s="2" t="s">
        <v>36</v>
      </c>
      <c r="D1283" s="2">
        <v>303</v>
      </c>
      <c r="E1283" s="2" t="s">
        <v>37</v>
      </c>
      <c r="F1283" s="2">
        <v>27</v>
      </c>
      <c r="G1283" s="2">
        <v>3</v>
      </c>
      <c r="H1283" s="2" t="s">
        <v>38</v>
      </c>
      <c r="I1283" s="2">
        <v>1</v>
      </c>
      <c r="J1283" s="2">
        <v>1797</v>
      </c>
      <c r="K1283" s="2">
        <v>3</v>
      </c>
      <c r="L1283" s="2" t="s">
        <v>46</v>
      </c>
      <c r="M1283" s="2">
        <v>84</v>
      </c>
      <c r="N1283" s="2">
        <v>3</v>
      </c>
      <c r="O1283" s="2">
        <v>2</v>
      </c>
      <c r="P1283" s="2" t="s">
        <v>40</v>
      </c>
      <c r="Q1283" s="2">
        <v>4</v>
      </c>
      <c r="R1283" s="2" t="s">
        <v>41</v>
      </c>
      <c r="S1283" s="2">
        <v>5813</v>
      </c>
      <c r="T1283" s="2">
        <v>13492</v>
      </c>
      <c r="U1283" s="2">
        <v>1</v>
      </c>
      <c r="V1283" s="2" t="s">
        <v>42</v>
      </c>
      <c r="W1283" s="2" t="s">
        <v>35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</row>
    <row r="1284" spans="1:35" x14ac:dyDescent="0.25">
      <c r="A1284" s="2">
        <v>33</v>
      </c>
      <c r="B1284" s="2" t="s">
        <v>43</v>
      </c>
      <c r="C1284" s="2" t="s">
        <v>36</v>
      </c>
      <c r="D1284" s="2">
        <v>867</v>
      </c>
      <c r="E1284" s="2" t="s">
        <v>45</v>
      </c>
      <c r="F1284" s="2">
        <v>8</v>
      </c>
      <c r="G1284" s="2">
        <v>4</v>
      </c>
      <c r="H1284" s="2" t="s">
        <v>38</v>
      </c>
      <c r="I1284" s="2">
        <v>1</v>
      </c>
      <c r="J1284" s="2">
        <v>1798</v>
      </c>
      <c r="K1284" s="2">
        <v>4</v>
      </c>
      <c r="L1284" s="2" t="s">
        <v>46</v>
      </c>
      <c r="M1284" s="2">
        <v>90</v>
      </c>
      <c r="N1284" s="2">
        <v>4</v>
      </c>
      <c r="O1284" s="2">
        <v>1</v>
      </c>
      <c r="P1284" s="2" t="s">
        <v>47</v>
      </c>
      <c r="Q1284" s="2">
        <v>1</v>
      </c>
      <c r="R1284" s="2" t="s">
        <v>48</v>
      </c>
      <c r="S1284" s="2">
        <v>3143</v>
      </c>
      <c r="T1284" s="2">
        <v>6076</v>
      </c>
      <c r="U1284" s="2">
        <v>6</v>
      </c>
      <c r="V1284" s="2" t="s">
        <v>42</v>
      </c>
      <c r="W1284" s="2" t="s">
        <v>43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</row>
    <row r="1285" spans="1:35" x14ac:dyDescent="0.25">
      <c r="A1285" s="2">
        <v>28</v>
      </c>
      <c r="B1285" s="2" t="s">
        <v>43</v>
      </c>
      <c r="C1285" s="2" t="s">
        <v>36</v>
      </c>
      <c r="D1285" s="2">
        <v>1181</v>
      </c>
      <c r="E1285" s="2" t="s">
        <v>45</v>
      </c>
      <c r="F1285" s="2">
        <v>1</v>
      </c>
      <c r="G1285" s="2">
        <v>3</v>
      </c>
      <c r="H1285" s="2" t="s">
        <v>38</v>
      </c>
      <c r="I1285" s="2">
        <v>1</v>
      </c>
      <c r="J1285" s="2">
        <v>1799</v>
      </c>
      <c r="K1285" s="2">
        <v>3</v>
      </c>
      <c r="L1285" s="2" t="s">
        <v>46</v>
      </c>
      <c r="M1285" s="2">
        <v>82</v>
      </c>
      <c r="N1285" s="2">
        <v>3</v>
      </c>
      <c r="O1285" s="2">
        <v>1</v>
      </c>
      <c r="P1285" s="2" t="s">
        <v>47</v>
      </c>
      <c r="Q1285" s="2">
        <v>4</v>
      </c>
      <c r="R1285" s="2" t="s">
        <v>48</v>
      </c>
      <c r="S1285" s="2">
        <v>2044</v>
      </c>
      <c r="T1285" s="2">
        <v>5531</v>
      </c>
      <c r="U1285" s="2">
        <v>1</v>
      </c>
      <c r="V1285" s="2" t="s">
        <v>42</v>
      </c>
      <c r="W1285" s="2" t="s">
        <v>43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</row>
    <row r="1286" spans="1:35" x14ac:dyDescent="0.25">
      <c r="A1286" s="2">
        <v>39</v>
      </c>
      <c r="B1286" s="2" t="s">
        <v>43</v>
      </c>
      <c r="C1286" s="2" t="s">
        <v>36</v>
      </c>
      <c r="D1286" s="2">
        <v>1253</v>
      </c>
      <c r="E1286" s="2" t="s">
        <v>45</v>
      </c>
      <c r="F1286" s="2">
        <v>10</v>
      </c>
      <c r="G1286" s="2">
        <v>1</v>
      </c>
      <c r="H1286" s="2" t="s">
        <v>51</v>
      </c>
      <c r="I1286" s="2">
        <v>1</v>
      </c>
      <c r="J1286" s="2">
        <v>1800</v>
      </c>
      <c r="K1286" s="2">
        <v>3</v>
      </c>
      <c r="L1286" s="2" t="s">
        <v>46</v>
      </c>
      <c r="M1286" s="2">
        <v>65</v>
      </c>
      <c r="N1286" s="2">
        <v>3</v>
      </c>
      <c r="O1286" s="2">
        <v>3</v>
      </c>
      <c r="P1286" s="2" t="s">
        <v>58</v>
      </c>
      <c r="Q1286" s="2">
        <v>3</v>
      </c>
      <c r="R1286" s="2" t="s">
        <v>41</v>
      </c>
      <c r="S1286" s="2">
        <v>13464</v>
      </c>
      <c r="T1286" s="2">
        <v>7914</v>
      </c>
      <c r="U1286" s="2">
        <v>7</v>
      </c>
      <c r="V1286" s="2" t="s">
        <v>42</v>
      </c>
      <c r="W1286" s="2" t="s">
        <v>43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</row>
    <row r="1287" spans="1:35" x14ac:dyDescent="0.25">
      <c r="A1287" s="2">
        <v>46</v>
      </c>
      <c r="B1287" s="2" t="s">
        <v>43</v>
      </c>
      <c r="C1287" s="2" t="s">
        <v>55</v>
      </c>
      <c r="D1287" s="2">
        <v>849</v>
      </c>
      <c r="E1287" s="2" t="s">
        <v>37</v>
      </c>
      <c r="F1287" s="2">
        <v>26</v>
      </c>
      <c r="G1287" s="2">
        <v>2</v>
      </c>
      <c r="H1287" s="2" t="s">
        <v>38</v>
      </c>
      <c r="I1287" s="2">
        <v>1</v>
      </c>
      <c r="J1287" s="2">
        <v>1801</v>
      </c>
      <c r="K1287" s="2">
        <v>2</v>
      </c>
      <c r="L1287" s="2" t="s">
        <v>46</v>
      </c>
      <c r="M1287" s="2">
        <v>98</v>
      </c>
      <c r="N1287" s="2">
        <v>2</v>
      </c>
      <c r="O1287" s="2">
        <v>2</v>
      </c>
      <c r="P1287" s="2" t="s">
        <v>40</v>
      </c>
      <c r="Q1287" s="2">
        <v>2</v>
      </c>
      <c r="R1287" s="2" t="s">
        <v>41</v>
      </c>
      <c r="S1287" s="2">
        <v>7991</v>
      </c>
      <c r="T1287" s="2">
        <v>25166</v>
      </c>
      <c r="U1287" s="2">
        <v>8</v>
      </c>
      <c r="V1287" s="2" t="s">
        <v>42</v>
      </c>
      <c r="W1287" s="2" t="s">
        <v>43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</row>
    <row r="1288" spans="1:35" x14ac:dyDescent="0.25">
      <c r="A1288" s="2">
        <v>40</v>
      </c>
      <c r="B1288" s="2" t="s">
        <v>43</v>
      </c>
      <c r="C1288" s="2" t="s">
        <v>36</v>
      </c>
      <c r="D1288" s="2">
        <v>616</v>
      </c>
      <c r="E1288" s="2" t="s">
        <v>45</v>
      </c>
      <c r="F1288" s="2">
        <v>2</v>
      </c>
      <c r="G1288" s="2">
        <v>2</v>
      </c>
      <c r="H1288" s="2" t="s">
        <v>38</v>
      </c>
      <c r="I1288" s="2">
        <v>1</v>
      </c>
      <c r="J1288" s="2">
        <v>1802</v>
      </c>
      <c r="K1288" s="2">
        <v>3</v>
      </c>
      <c r="L1288" s="2" t="s">
        <v>39</v>
      </c>
      <c r="M1288" s="2">
        <v>99</v>
      </c>
      <c r="N1288" s="2">
        <v>3</v>
      </c>
      <c r="O1288" s="2">
        <v>1</v>
      </c>
      <c r="P1288" s="2" t="s">
        <v>50</v>
      </c>
      <c r="Q1288" s="2">
        <v>1</v>
      </c>
      <c r="R1288" s="2" t="s">
        <v>48</v>
      </c>
      <c r="S1288" s="2">
        <v>3377</v>
      </c>
      <c r="T1288" s="2">
        <v>25605</v>
      </c>
      <c r="U1288" s="2">
        <v>4</v>
      </c>
      <c r="V1288" s="2" t="s">
        <v>42</v>
      </c>
      <c r="W1288" s="2" t="s">
        <v>43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</row>
    <row r="1289" spans="1:35" x14ac:dyDescent="0.25">
      <c r="A1289" s="2">
        <v>42</v>
      </c>
      <c r="B1289" s="2" t="s">
        <v>43</v>
      </c>
      <c r="C1289" s="2" t="s">
        <v>36</v>
      </c>
      <c r="D1289" s="2">
        <v>1128</v>
      </c>
      <c r="E1289" s="2" t="s">
        <v>45</v>
      </c>
      <c r="F1289" s="2">
        <v>13</v>
      </c>
      <c r="G1289" s="2">
        <v>3</v>
      </c>
      <c r="H1289" s="2" t="s">
        <v>51</v>
      </c>
      <c r="I1289" s="2">
        <v>1</v>
      </c>
      <c r="J1289" s="2">
        <v>1803</v>
      </c>
      <c r="K1289" s="2">
        <v>2</v>
      </c>
      <c r="L1289" s="2" t="s">
        <v>46</v>
      </c>
      <c r="M1289" s="2">
        <v>95</v>
      </c>
      <c r="N1289" s="2">
        <v>4</v>
      </c>
      <c r="O1289" s="2">
        <v>2</v>
      </c>
      <c r="P1289" s="2" t="s">
        <v>54</v>
      </c>
      <c r="Q1289" s="2">
        <v>1</v>
      </c>
      <c r="R1289" s="2" t="s">
        <v>48</v>
      </c>
      <c r="S1289" s="2">
        <v>5538</v>
      </c>
      <c r="T1289" s="2">
        <v>5696</v>
      </c>
      <c r="U1289" s="2">
        <v>5</v>
      </c>
      <c r="V1289" s="2" t="s">
        <v>42</v>
      </c>
      <c r="W1289" s="2" t="s">
        <v>43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</row>
    <row r="1290" spans="1:35" x14ac:dyDescent="0.25">
      <c r="A1290" s="2">
        <v>35</v>
      </c>
      <c r="B1290" s="2" t="s">
        <v>43</v>
      </c>
      <c r="C1290" s="2" t="s">
        <v>55</v>
      </c>
      <c r="D1290" s="2">
        <v>1180</v>
      </c>
      <c r="E1290" s="2" t="s">
        <v>45</v>
      </c>
      <c r="F1290" s="2">
        <v>2</v>
      </c>
      <c r="G1290" s="2">
        <v>2</v>
      </c>
      <c r="H1290" s="2" t="s">
        <v>51</v>
      </c>
      <c r="I1290" s="2">
        <v>1</v>
      </c>
      <c r="J1290" s="2">
        <v>1804</v>
      </c>
      <c r="K1290" s="2">
        <v>2</v>
      </c>
      <c r="L1290" s="2" t="s">
        <v>46</v>
      </c>
      <c r="M1290" s="2">
        <v>90</v>
      </c>
      <c r="N1290" s="2">
        <v>3</v>
      </c>
      <c r="O1290" s="2">
        <v>2</v>
      </c>
      <c r="P1290" s="2" t="s">
        <v>53</v>
      </c>
      <c r="Q1290" s="2">
        <v>4</v>
      </c>
      <c r="R1290" s="2" t="s">
        <v>52</v>
      </c>
      <c r="S1290" s="2">
        <v>5762</v>
      </c>
      <c r="T1290" s="2">
        <v>24442</v>
      </c>
      <c r="U1290" s="2">
        <v>2</v>
      </c>
      <c r="V1290" s="2" t="s">
        <v>42</v>
      </c>
      <c r="W1290" s="2" t="s">
        <v>43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</row>
    <row r="1291" spans="1:35" x14ac:dyDescent="0.25">
      <c r="A1291" s="2">
        <v>38</v>
      </c>
      <c r="B1291" s="2" t="s">
        <v>43</v>
      </c>
      <c r="C1291" s="2" t="s">
        <v>55</v>
      </c>
      <c r="D1291" s="2">
        <v>1336</v>
      </c>
      <c r="E1291" s="2" t="s">
        <v>61</v>
      </c>
      <c r="F1291" s="2">
        <v>2</v>
      </c>
      <c r="G1291" s="2">
        <v>3</v>
      </c>
      <c r="H1291" s="2" t="s">
        <v>61</v>
      </c>
      <c r="I1291" s="2">
        <v>1</v>
      </c>
      <c r="J1291" s="2">
        <v>1805</v>
      </c>
      <c r="K1291" s="2">
        <v>1</v>
      </c>
      <c r="L1291" s="2" t="s">
        <v>46</v>
      </c>
      <c r="M1291" s="2">
        <v>100</v>
      </c>
      <c r="N1291" s="2">
        <v>3</v>
      </c>
      <c r="O1291" s="2">
        <v>1</v>
      </c>
      <c r="P1291" s="2" t="s">
        <v>61</v>
      </c>
      <c r="Q1291" s="2">
        <v>2</v>
      </c>
      <c r="R1291" s="2" t="s">
        <v>52</v>
      </c>
      <c r="S1291" s="2">
        <v>2592</v>
      </c>
      <c r="T1291" s="2">
        <v>7129</v>
      </c>
      <c r="U1291" s="2">
        <v>5</v>
      </c>
      <c r="V1291" s="2" t="s">
        <v>42</v>
      </c>
      <c r="W1291" s="2" t="s">
        <v>43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</row>
    <row r="1292" spans="1:35" x14ac:dyDescent="0.25">
      <c r="A1292" s="2">
        <v>34</v>
      </c>
      <c r="B1292" s="2" t="s">
        <v>35</v>
      </c>
      <c r="C1292" s="2" t="s">
        <v>44</v>
      </c>
      <c r="D1292" s="2">
        <v>234</v>
      </c>
      <c r="E1292" s="2" t="s">
        <v>45</v>
      </c>
      <c r="F1292" s="2">
        <v>9</v>
      </c>
      <c r="G1292" s="2">
        <v>4</v>
      </c>
      <c r="H1292" s="2" t="s">
        <v>38</v>
      </c>
      <c r="I1292" s="2">
        <v>1</v>
      </c>
      <c r="J1292" s="2">
        <v>1807</v>
      </c>
      <c r="K1292" s="2">
        <v>4</v>
      </c>
      <c r="L1292" s="2" t="s">
        <v>46</v>
      </c>
      <c r="M1292" s="2">
        <v>93</v>
      </c>
      <c r="N1292" s="2">
        <v>3</v>
      </c>
      <c r="O1292" s="2">
        <v>2</v>
      </c>
      <c r="P1292" s="2" t="s">
        <v>50</v>
      </c>
      <c r="Q1292" s="2">
        <v>1</v>
      </c>
      <c r="R1292" s="2" t="s">
        <v>48</v>
      </c>
      <c r="S1292" s="2">
        <v>5346</v>
      </c>
      <c r="T1292" s="2">
        <v>6208</v>
      </c>
      <c r="U1292" s="2">
        <v>4</v>
      </c>
      <c r="V1292" s="2" t="s">
        <v>42</v>
      </c>
      <c r="W1292" s="2" t="s">
        <v>43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</row>
    <row r="1293" spans="1:35" x14ac:dyDescent="0.25">
      <c r="A1293" s="2">
        <v>37</v>
      </c>
      <c r="B1293" s="2" t="s">
        <v>35</v>
      </c>
      <c r="C1293" s="2" t="s">
        <v>36</v>
      </c>
      <c r="D1293" s="2">
        <v>370</v>
      </c>
      <c r="E1293" s="2" t="s">
        <v>45</v>
      </c>
      <c r="F1293" s="2">
        <v>10</v>
      </c>
      <c r="G1293" s="2">
        <v>4</v>
      </c>
      <c r="H1293" s="2" t="s">
        <v>51</v>
      </c>
      <c r="I1293" s="2">
        <v>1</v>
      </c>
      <c r="J1293" s="2">
        <v>1809</v>
      </c>
      <c r="K1293" s="2">
        <v>4</v>
      </c>
      <c r="L1293" s="2" t="s">
        <v>46</v>
      </c>
      <c r="M1293" s="2">
        <v>58</v>
      </c>
      <c r="N1293" s="2">
        <v>3</v>
      </c>
      <c r="O1293" s="2">
        <v>2</v>
      </c>
      <c r="P1293" s="2" t="s">
        <v>53</v>
      </c>
      <c r="Q1293" s="2">
        <v>1</v>
      </c>
      <c r="R1293" s="2" t="s">
        <v>41</v>
      </c>
      <c r="S1293" s="2">
        <v>4213</v>
      </c>
      <c r="T1293" s="2">
        <v>4992</v>
      </c>
      <c r="U1293" s="2">
        <v>1</v>
      </c>
      <c r="V1293" s="2" t="s">
        <v>42</v>
      </c>
      <c r="W1293" s="2" t="s">
        <v>43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</row>
    <row r="1294" spans="1:35" x14ac:dyDescent="0.25">
      <c r="A1294" s="2">
        <v>39</v>
      </c>
      <c r="B1294" s="2" t="s">
        <v>43</v>
      </c>
      <c r="C1294" s="2" t="s">
        <v>44</v>
      </c>
      <c r="D1294" s="2">
        <v>766</v>
      </c>
      <c r="E1294" s="2" t="s">
        <v>37</v>
      </c>
      <c r="F1294" s="2">
        <v>20</v>
      </c>
      <c r="G1294" s="2">
        <v>3</v>
      </c>
      <c r="H1294" s="2" t="s">
        <v>38</v>
      </c>
      <c r="I1294" s="2">
        <v>1</v>
      </c>
      <c r="J1294" s="2">
        <v>1812</v>
      </c>
      <c r="K1294" s="2">
        <v>3</v>
      </c>
      <c r="L1294" s="2" t="s">
        <v>46</v>
      </c>
      <c r="M1294" s="2">
        <v>83</v>
      </c>
      <c r="N1294" s="2">
        <v>3</v>
      </c>
      <c r="O1294" s="2">
        <v>2</v>
      </c>
      <c r="P1294" s="2" t="s">
        <v>40</v>
      </c>
      <c r="Q1294" s="2">
        <v>4</v>
      </c>
      <c r="R1294" s="2" t="s">
        <v>52</v>
      </c>
      <c r="S1294" s="2">
        <v>4127</v>
      </c>
      <c r="T1294" s="2">
        <v>19188</v>
      </c>
      <c r="U1294" s="2">
        <v>2</v>
      </c>
      <c r="V1294" s="2" t="s">
        <v>42</v>
      </c>
      <c r="W1294" s="2" t="s">
        <v>43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</row>
    <row r="1295" spans="1:35" x14ac:dyDescent="0.25">
      <c r="A1295" s="2">
        <v>43</v>
      </c>
      <c r="B1295" s="2" t="s">
        <v>43</v>
      </c>
      <c r="C1295" s="2" t="s">
        <v>55</v>
      </c>
      <c r="D1295" s="2">
        <v>343</v>
      </c>
      <c r="E1295" s="2" t="s">
        <v>45</v>
      </c>
      <c r="F1295" s="2">
        <v>9</v>
      </c>
      <c r="G1295" s="2">
        <v>3</v>
      </c>
      <c r="H1295" s="2" t="s">
        <v>38</v>
      </c>
      <c r="I1295" s="2">
        <v>1</v>
      </c>
      <c r="J1295" s="2">
        <v>1813</v>
      </c>
      <c r="K1295" s="2">
        <v>1</v>
      </c>
      <c r="L1295" s="2" t="s">
        <v>46</v>
      </c>
      <c r="M1295" s="2">
        <v>52</v>
      </c>
      <c r="N1295" s="2">
        <v>3</v>
      </c>
      <c r="O1295" s="2">
        <v>1</v>
      </c>
      <c r="P1295" s="2" t="s">
        <v>47</v>
      </c>
      <c r="Q1295" s="2">
        <v>3</v>
      </c>
      <c r="R1295" s="2" t="s">
        <v>41</v>
      </c>
      <c r="S1295" s="2">
        <v>2438</v>
      </c>
      <c r="T1295" s="2">
        <v>24978</v>
      </c>
      <c r="U1295" s="2">
        <v>4</v>
      </c>
      <c r="V1295" s="2" t="s">
        <v>42</v>
      </c>
      <c r="W1295" s="2" t="s">
        <v>43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</row>
    <row r="1296" spans="1:35" x14ac:dyDescent="0.25">
      <c r="A1296" s="2">
        <v>41</v>
      </c>
      <c r="B1296" s="2" t="s">
        <v>43</v>
      </c>
      <c r="C1296" s="2" t="s">
        <v>36</v>
      </c>
      <c r="D1296" s="2">
        <v>447</v>
      </c>
      <c r="E1296" s="2" t="s">
        <v>45</v>
      </c>
      <c r="F1296" s="2">
        <v>5</v>
      </c>
      <c r="G1296" s="2">
        <v>3</v>
      </c>
      <c r="H1296" s="2" t="s">
        <v>38</v>
      </c>
      <c r="I1296" s="2">
        <v>1</v>
      </c>
      <c r="J1296" s="2">
        <v>1814</v>
      </c>
      <c r="K1296" s="2">
        <v>2</v>
      </c>
      <c r="L1296" s="2" t="s">
        <v>46</v>
      </c>
      <c r="M1296" s="2">
        <v>85</v>
      </c>
      <c r="N1296" s="2">
        <v>4</v>
      </c>
      <c r="O1296" s="2">
        <v>2</v>
      </c>
      <c r="P1296" s="2" t="s">
        <v>54</v>
      </c>
      <c r="Q1296" s="2">
        <v>2</v>
      </c>
      <c r="R1296" s="2" t="s">
        <v>41</v>
      </c>
      <c r="S1296" s="2">
        <v>6870</v>
      </c>
      <c r="T1296" s="2">
        <v>15530</v>
      </c>
      <c r="U1296" s="2">
        <v>3</v>
      </c>
      <c r="V1296" s="2" t="s">
        <v>42</v>
      </c>
      <c r="W1296" s="2" t="s">
        <v>43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</row>
    <row r="1297" spans="1:35" x14ac:dyDescent="0.25">
      <c r="A1297" s="2">
        <v>41</v>
      </c>
      <c r="B1297" s="2" t="s">
        <v>43</v>
      </c>
      <c r="C1297" s="2" t="s">
        <v>36</v>
      </c>
      <c r="D1297" s="2">
        <v>796</v>
      </c>
      <c r="E1297" s="2" t="s">
        <v>37</v>
      </c>
      <c r="F1297" s="2">
        <v>4</v>
      </c>
      <c r="G1297" s="2">
        <v>1</v>
      </c>
      <c r="H1297" s="2" t="s">
        <v>59</v>
      </c>
      <c r="I1297" s="2">
        <v>1</v>
      </c>
      <c r="J1297" s="2">
        <v>1815</v>
      </c>
      <c r="K1297" s="2">
        <v>3</v>
      </c>
      <c r="L1297" s="2" t="s">
        <v>39</v>
      </c>
      <c r="M1297" s="2">
        <v>81</v>
      </c>
      <c r="N1297" s="2">
        <v>3</v>
      </c>
      <c r="O1297" s="2">
        <v>3</v>
      </c>
      <c r="P1297" s="2" t="s">
        <v>40</v>
      </c>
      <c r="Q1297" s="2">
        <v>3</v>
      </c>
      <c r="R1297" s="2" t="s">
        <v>52</v>
      </c>
      <c r="S1297" s="2">
        <v>10447</v>
      </c>
      <c r="T1297" s="2">
        <v>26458</v>
      </c>
      <c r="U1297" s="2">
        <v>0</v>
      </c>
      <c r="V1297" s="2" t="s">
        <v>42</v>
      </c>
      <c r="W1297" s="2" t="s">
        <v>35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</row>
    <row r="1298" spans="1:35" x14ac:dyDescent="0.25">
      <c r="A1298" s="2">
        <v>30</v>
      </c>
      <c r="B1298" s="2" t="s">
        <v>43</v>
      </c>
      <c r="C1298" s="2" t="s">
        <v>36</v>
      </c>
      <c r="D1298" s="2">
        <v>1092</v>
      </c>
      <c r="E1298" s="2" t="s">
        <v>45</v>
      </c>
      <c r="F1298" s="2">
        <v>10</v>
      </c>
      <c r="G1298" s="2">
        <v>3</v>
      </c>
      <c r="H1298" s="2" t="s">
        <v>51</v>
      </c>
      <c r="I1298" s="2">
        <v>1</v>
      </c>
      <c r="J1298" s="2">
        <v>1816</v>
      </c>
      <c r="K1298" s="2">
        <v>1</v>
      </c>
      <c r="L1298" s="2" t="s">
        <v>39</v>
      </c>
      <c r="M1298" s="2">
        <v>64</v>
      </c>
      <c r="N1298" s="2">
        <v>3</v>
      </c>
      <c r="O1298" s="2">
        <v>3</v>
      </c>
      <c r="P1298" s="2" t="s">
        <v>53</v>
      </c>
      <c r="Q1298" s="2">
        <v>3</v>
      </c>
      <c r="R1298" s="2" t="s">
        <v>41</v>
      </c>
      <c r="S1298" s="2">
        <v>9667</v>
      </c>
      <c r="T1298" s="2">
        <v>2739</v>
      </c>
      <c r="U1298" s="2">
        <v>9</v>
      </c>
      <c r="V1298" s="2" t="s">
        <v>42</v>
      </c>
      <c r="W1298" s="2" t="s">
        <v>43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</row>
    <row r="1299" spans="1:35" x14ac:dyDescent="0.25">
      <c r="A1299" s="2">
        <v>26</v>
      </c>
      <c r="B1299" s="2" t="s">
        <v>35</v>
      </c>
      <c r="C1299" s="2" t="s">
        <v>36</v>
      </c>
      <c r="D1299" s="2">
        <v>920</v>
      </c>
      <c r="E1299" s="2" t="s">
        <v>61</v>
      </c>
      <c r="F1299" s="2">
        <v>20</v>
      </c>
      <c r="G1299" s="2">
        <v>2</v>
      </c>
      <c r="H1299" s="2" t="s">
        <v>51</v>
      </c>
      <c r="I1299" s="2">
        <v>1</v>
      </c>
      <c r="J1299" s="2">
        <v>1818</v>
      </c>
      <c r="K1299" s="2">
        <v>4</v>
      </c>
      <c r="L1299" s="2" t="s">
        <v>39</v>
      </c>
      <c r="M1299" s="2">
        <v>69</v>
      </c>
      <c r="N1299" s="2">
        <v>3</v>
      </c>
      <c r="O1299" s="2">
        <v>1</v>
      </c>
      <c r="P1299" s="2" t="s">
        <v>61</v>
      </c>
      <c r="Q1299" s="2">
        <v>2</v>
      </c>
      <c r="R1299" s="2" t="s">
        <v>48</v>
      </c>
      <c r="S1299" s="2">
        <v>2148</v>
      </c>
      <c r="T1299" s="2">
        <v>6889</v>
      </c>
      <c r="U1299" s="2">
        <v>0</v>
      </c>
      <c r="V1299" s="2" t="s">
        <v>42</v>
      </c>
      <c r="W1299" s="2" t="s">
        <v>35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</row>
    <row r="1300" spans="1:35" x14ac:dyDescent="0.25">
      <c r="A1300" s="2">
        <v>46</v>
      </c>
      <c r="B1300" s="2" t="s">
        <v>35</v>
      </c>
      <c r="C1300" s="2" t="s">
        <v>36</v>
      </c>
      <c r="D1300" s="2">
        <v>261</v>
      </c>
      <c r="E1300" s="2" t="s">
        <v>45</v>
      </c>
      <c r="F1300" s="2">
        <v>21</v>
      </c>
      <c r="G1300" s="2">
        <v>2</v>
      </c>
      <c r="H1300" s="2" t="s">
        <v>51</v>
      </c>
      <c r="I1300" s="2">
        <v>1</v>
      </c>
      <c r="J1300" s="2">
        <v>1821</v>
      </c>
      <c r="K1300" s="2">
        <v>4</v>
      </c>
      <c r="L1300" s="2" t="s">
        <v>39</v>
      </c>
      <c r="M1300" s="2">
        <v>66</v>
      </c>
      <c r="N1300" s="2">
        <v>3</v>
      </c>
      <c r="O1300" s="2">
        <v>2</v>
      </c>
      <c r="P1300" s="2" t="s">
        <v>54</v>
      </c>
      <c r="Q1300" s="2">
        <v>2</v>
      </c>
      <c r="R1300" s="2" t="s">
        <v>48</v>
      </c>
      <c r="S1300" s="2">
        <v>8926</v>
      </c>
      <c r="T1300" s="2">
        <v>10842</v>
      </c>
      <c r="U1300" s="2">
        <v>4</v>
      </c>
      <c r="V1300" s="2" t="s">
        <v>42</v>
      </c>
      <c r="W1300" s="2" t="s">
        <v>43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</row>
    <row r="1301" spans="1:35" x14ac:dyDescent="0.25">
      <c r="A1301" s="2">
        <v>40</v>
      </c>
      <c r="B1301" s="2" t="s">
        <v>43</v>
      </c>
      <c r="C1301" s="2" t="s">
        <v>36</v>
      </c>
      <c r="D1301" s="2">
        <v>1194</v>
      </c>
      <c r="E1301" s="2" t="s">
        <v>45</v>
      </c>
      <c r="F1301" s="2">
        <v>1</v>
      </c>
      <c r="G1301" s="2">
        <v>3</v>
      </c>
      <c r="H1301" s="2" t="s">
        <v>38</v>
      </c>
      <c r="I1301" s="2">
        <v>1</v>
      </c>
      <c r="J1301" s="2">
        <v>1822</v>
      </c>
      <c r="K1301" s="2">
        <v>3</v>
      </c>
      <c r="L1301" s="2" t="s">
        <v>39</v>
      </c>
      <c r="M1301" s="2">
        <v>52</v>
      </c>
      <c r="N1301" s="2">
        <v>3</v>
      </c>
      <c r="O1301" s="2">
        <v>2</v>
      </c>
      <c r="P1301" s="2" t="s">
        <v>54</v>
      </c>
      <c r="Q1301" s="2">
        <v>4</v>
      </c>
      <c r="R1301" s="2" t="s">
        <v>52</v>
      </c>
      <c r="S1301" s="2">
        <v>6513</v>
      </c>
      <c r="T1301" s="2">
        <v>9060</v>
      </c>
      <c r="U1301" s="2">
        <v>4</v>
      </c>
      <c r="V1301" s="2" t="s">
        <v>42</v>
      </c>
      <c r="W1301" s="2" t="s">
        <v>43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</row>
    <row r="1302" spans="1:35" x14ac:dyDescent="0.25">
      <c r="A1302" s="2">
        <v>34</v>
      </c>
      <c r="B1302" s="2" t="s">
        <v>43</v>
      </c>
      <c r="C1302" s="2" t="s">
        <v>36</v>
      </c>
      <c r="D1302" s="2">
        <v>810</v>
      </c>
      <c r="E1302" s="2" t="s">
        <v>37</v>
      </c>
      <c r="F1302" s="2">
        <v>8</v>
      </c>
      <c r="G1302" s="2">
        <v>2</v>
      </c>
      <c r="H1302" s="2" t="s">
        <v>60</v>
      </c>
      <c r="I1302" s="2">
        <v>1</v>
      </c>
      <c r="J1302" s="2">
        <v>1823</v>
      </c>
      <c r="K1302" s="2">
        <v>2</v>
      </c>
      <c r="L1302" s="2" t="s">
        <v>46</v>
      </c>
      <c r="M1302" s="2">
        <v>92</v>
      </c>
      <c r="N1302" s="2">
        <v>4</v>
      </c>
      <c r="O1302" s="2">
        <v>2</v>
      </c>
      <c r="P1302" s="2" t="s">
        <v>40</v>
      </c>
      <c r="Q1302" s="2">
        <v>3</v>
      </c>
      <c r="R1302" s="2" t="s">
        <v>48</v>
      </c>
      <c r="S1302" s="2">
        <v>6799</v>
      </c>
      <c r="T1302" s="2">
        <v>22128</v>
      </c>
      <c r="U1302" s="2">
        <v>1</v>
      </c>
      <c r="V1302" s="2" t="s">
        <v>42</v>
      </c>
      <c r="W1302" s="2" t="s">
        <v>43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</row>
    <row r="1303" spans="1:35" x14ac:dyDescent="0.25">
      <c r="A1303" s="2">
        <v>58</v>
      </c>
      <c r="B1303" s="2" t="s">
        <v>43</v>
      </c>
      <c r="C1303" s="2" t="s">
        <v>55</v>
      </c>
      <c r="D1303" s="2">
        <v>350</v>
      </c>
      <c r="E1303" s="2" t="s">
        <v>37</v>
      </c>
      <c r="F1303" s="2">
        <v>2</v>
      </c>
      <c r="G1303" s="2">
        <v>3</v>
      </c>
      <c r="H1303" s="2" t="s">
        <v>51</v>
      </c>
      <c r="I1303" s="2">
        <v>1</v>
      </c>
      <c r="J1303" s="2">
        <v>1824</v>
      </c>
      <c r="K1303" s="2">
        <v>2</v>
      </c>
      <c r="L1303" s="2" t="s">
        <v>46</v>
      </c>
      <c r="M1303" s="2">
        <v>52</v>
      </c>
      <c r="N1303" s="2">
        <v>3</v>
      </c>
      <c r="O1303" s="2">
        <v>4</v>
      </c>
      <c r="P1303" s="2" t="s">
        <v>56</v>
      </c>
      <c r="Q1303" s="2">
        <v>2</v>
      </c>
      <c r="R1303" s="2" t="s">
        <v>52</v>
      </c>
      <c r="S1303" s="2">
        <v>16291</v>
      </c>
      <c r="T1303" s="2">
        <v>22577</v>
      </c>
      <c r="U1303" s="2">
        <v>4</v>
      </c>
      <c r="V1303" s="2" t="s">
        <v>42</v>
      </c>
      <c r="W1303" s="2" t="s">
        <v>43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</row>
    <row r="1304" spans="1:35" x14ac:dyDescent="0.25">
      <c r="A1304" s="2">
        <v>35</v>
      </c>
      <c r="B1304" s="2" t="s">
        <v>43</v>
      </c>
      <c r="C1304" s="2" t="s">
        <v>36</v>
      </c>
      <c r="D1304" s="2">
        <v>185</v>
      </c>
      <c r="E1304" s="2" t="s">
        <v>45</v>
      </c>
      <c r="F1304" s="2">
        <v>23</v>
      </c>
      <c r="G1304" s="2">
        <v>4</v>
      </c>
      <c r="H1304" s="2" t="s">
        <v>51</v>
      </c>
      <c r="I1304" s="2">
        <v>1</v>
      </c>
      <c r="J1304" s="2">
        <v>1826</v>
      </c>
      <c r="K1304" s="2">
        <v>2</v>
      </c>
      <c r="L1304" s="2" t="s">
        <v>46</v>
      </c>
      <c r="M1304" s="2">
        <v>91</v>
      </c>
      <c r="N1304" s="2">
        <v>1</v>
      </c>
      <c r="O1304" s="2">
        <v>1</v>
      </c>
      <c r="P1304" s="2" t="s">
        <v>50</v>
      </c>
      <c r="Q1304" s="2">
        <v>3</v>
      </c>
      <c r="R1304" s="2" t="s">
        <v>48</v>
      </c>
      <c r="S1304" s="2">
        <v>2705</v>
      </c>
      <c r="T1304" s="2">
        <v>9696</v>
      </c>
      <c r="U1304" s="2">
        <v>0</v>
      </c>
      <c r="V1304" s="2" t="s">
        <v>42</v>
      </c>
      <c r="W1304" s="2" t="s">
        <v>43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</row>
    <row r="1305" spans="1:35" x14ac:dyDescent="0.25">
      <c r="A1305" s="2">
        <v>47</v>
      </c>
      <c r="B1305" s="2" t="s">
        <v>43</v>
      </c>
      <c r="C1305" s="2" t="s">
        <v>36</v>
      </c>
      <c r="D1305" s="2">
        <v>1001</v>
      </c>
      <c r="E1305" s="2" t="s">
        <v>45</v>
      </c>
      <c r="F1305" s="2">
        <v>4</v>
      </c>
      <c r="G1305" s="2">
        <v>3</v>
      </c>
      <c r="H1305" s="2" t="s">
        <v>38</v>
      </c>
      <c r="I1305" s="2">
        <v>1</v>
      </c>
      <c r="J1305" s="2">
        <v>1827</v>
      </c>
      <c r="K1305" s="2">
        <v>3</v>
      </c>
      <c r="L1305" s="2" t="s">
        <v>39</v>
      </c>
      <c r="M1305" s="2">
        <v>92</v>
      </c>
      <c r="N1305" s="2">
        <v>2</v>
      </c>
      <c r="O1305" s="2">
        <v>3</v>
      </c>
      <c r="P1305" s="2" t="s">
        <v>53</v>
      </c>
      <c r="Q1305" s="2">
        <v>2</v>
      </c>
      <c r="R1305" s="2" t="s">
        <v>52</v>
      </c>
      <c r="S1305" s="2">
        <v>10333</v>
      </c>
      <c r="T1305" s="2">
        <v>19271</v>
      </c>
      <c r="U1305" s="2">
        <v>8</v>
      </c>
      <c r="V1305" s="2" t="s">
        <v>42</v>
      </c>
      <c r="W1305" s="2" t="s">
        <v>35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</row>
    <row r="1306" spans="1:35" x14ac:dyDescent="0.25">
      <c r="A1306" s="2">
        <v>40</v>
      </c>
      <c r="B1306" s="2" t="s">
        <v>43</v>
      </c>
      <c r="C1306" s="2" t="s">
        <v>36</v>
      </c>
      <c r="D1306" s="2">
        <v>750</v>
      </c>
      <c r="E1306" s="2" t="s">
        <v>45</v>
      </c>
      <c r="F1306" s="2">
        <v>12</v>
      </c>
      <c r="G1306" s="2">
        <v>3</v>
      </c>
      <c r="H1306" s="2" t="s">
        <v>38</v>
      </c>
      <c r="I1306" s="2">
        <v>1</v>
      </c>
      <c r="J1306" s="2">
        <v>1829</v>
      </c>
      <c r="K1306" s="2">
        <v>2</v>
      </c>
      <c r="L1306" s="2" t="s">
        <v>39</v>
      </c>
      <c r="M1306" s="2">
        <v>47</v>
      </c>
      <c r="N1306" s="2">
        <v>3</v>
      </c>
      <c r="O1306" s="2">
        <v>2</v>
      </c>
      <c r="P1306" s="2" t="s">
        <v>54</v>
      </c>
      <c r="Q1306" s="2">
        <v>1</v>
      </c>
      <c r="R1306" s="2" t="s">
        <v>52</v>
      </c>
      <c r="S1306" s="2">
        <v>4448</v>
      </c>
      <c r="T1306" s="2">
        <v>10748</v>
      </c>
      <c r="U1306" s="2">
        <v>2</v>
      </c>
      <c r="V1306" s="2" t="s">
        <v>42</v>
      </c>
      <c r="W1306" s="2" t="s">
        <v>43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</row>
    <row r="1307" spans="1:35" x14ac:dyDescent="0.25">
      <c r="A1307" s="2">
        <v>54</v>
      </c>
      <c r="B1307" s="2" t="s">
        <v>43</v>
      </c>
      <c r="C1307" s="2" t="s">
        <v>36</v>
      </c>
      <c r="D1307" s="2">
        <v>431</v>
      </c>
      <c r="E1307" s="2" t="s">
        <v>45</v>
      </c>
      <c r="F1307" s="2">
        <v>7</v>
      </c>
      <c r="G1307" s="2">
        <v>4</v>
      </c>
      <c r="H1307" s="2" t="s">
        <v>51</v>
      </c>
      <c r="I1307" s="2">
        <v>1</v>
      </c>
      <c r="J1307" s="2">
        <v>1830</v>
      </c>
      <c r="K1307" s="2">
        <v>4</v>
      </c>
      <c r="L1307" s="2" t="s">
        <v>39</v>
      </c>
      <c r="M1307" s="2">
        <v>68</v>
      </c>
      <c r="N1307" s="2">
        <v>3</v>
      </c>
      <c r="O1307" s="2">
        <v>2</v>
      </c>
      <c r="P1307" s="2" t="s">
        <v>47</v>
      </c>
      <c r="Q1307" s="2">
        <v>4</v>
      </c>
      <c r="R1307" s="2" t="s">
        <v>48</v>
      </c>
      <c r="S1307" s="2">
        <v>6854</v>
      </c>
      <c r="T1307" s="2">
        <v>15696</v>
      </c>
      <c r="U1307" s="2">
        <v>4</v>
      </c>
      <c r="V1307" s="2" t="s">
        <v>42</v>
      </c>
      <c r="W1307" s="2" t="s">
        <v>43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</row>
    <row r="1308" spans="1:35" x14ac:dyDescent="0.25">
      <c r="A1308" s="2">
        <v>31</v>
      </c>
      <c r="B1308" s="2" t="s">
        <v>43</v>
      </c>
      <c r="C1308" s="2" t="s">
        <v>44</v>
      </c>
      <c r="D1308" s="2">
        <v>1125</v>
      </c>
      <c r="E1308" s="2" t="s">
        <v>37</v>
      </c>
      <c r="F1308" s="2">
        <v>7</v>
      </c>
      <c r="G1308" s="2">
        <v>4</v>
      </c>
      <c r="H1308" s="2" t="s">
        <v>59</v>
      </c>
      <c r="I1308" s="2">
        <v>1</v>
      </c>
      <c r="J1308" s="2">
        <v>1833</v>
      </c>
      <c r="K1308" s="2">
        <v>1</v>
      </c>
      <c r="L1308" s="2" t="s">
        <v>39</v>
      </c>
      <c r="M1308" s="2">
        <v>68</v>
      </c>
      <c r="N1308" s="2">
        <v>3</v>
      </c>
      <c r="O1308" s="2">
        <v>3</v>
      </c>
      <c r="P1308" s="2" t="s">
        <v>40</v>
      </c>
      <c r="Q1308" s="2">
        <v>1</v>
      </c>
      <c r="R1308" s="2" t="s">
        <v>48</v>
      </c>
      <c r="S1308" s="2">
        <v>9637</v>
      </c>
      <c r="T1308" s="2">
        <v>8277</v>
      </c>
      <c r="U1308" s="2">
        <v>2</v>
      </c>
      <c r="V1308" s="2" t="s">
        <v>42</v>
      </c>
      <c r="W1308" s="2" t="s">
        <v>43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</row>
    <row r="1309" spans="1:35" x14ac:dyDescent="0.25">
      <c r="A1309" s="2">
        <v>28</v>
      </c>
      <c r="B1309" s="2" t="s">
        <v>43</v>
      </c>
      <c r="C1309" s="2" t="s">
        <v>36</v>
      </c>
      <c r="D1309" s="2">
        <v>1217</v>
      </c>
      <c r="E1309" s="2" t="s">
        <v>45</v>
      </c>
      <c r="F1309" s="2">
        <v>1</v>
      </c>
      <c r="G1309" s="2">
        <v>3</v>
      </c>
      <c r="H1309" s="2" t="s">
        <v>51</v>
      </c>
      <c r="I1309" s="2">
        <v>1</v>
      </c>
      <c r="J1309" s="2">
        <v>1834</v>
      </c>
      <c r="K1309" s="2">
        <v>3</v>
      </c>
      <c r="L1309" s="2" t="s">
        <v>39</v>
      </c>
      <c r="M1309" s="2">
        <v>67</v>
      </c>
      <c r="N1309" s="2">
        <v>3</v>
      </c>
      <c r="O1309" s="2">
        <v>1</v>
      </c>
      <c r="P1309" s="2" t="s">
        <v>47</v>
      </c>
      <c r="Q1309" s="2">
        <v>1</v>
      </c>
      <c r="R1309" s="2" t="s">
        <v>48</v>
      </c>
      <c r="S1309" s="2">
        <v>3591</v>
      </c>
      <c r="T1309" s="2">
        <v>12719</v>
      </c>
      <c r="U1309" s="2">
        <v>1</v>
      </c>
      <c r="V1309" s="2" t="s">
        <v>42</v>
      </c>
      <c r="W1309" s="2" t="s">
        <v>43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</row>
    <row r="1310" spans="1:35" x14ac:dyDescent="0.25">
      <c r="A1310" s="2">
        <v>38</v>
      </c>
      <c r="B1310" s="2" t="s">
        <v>43</v>
      </c>
      <c r="C1310" s="2" t="s">
        <v>36</v>
      </c>
      <c r="D1310" s="2">
        <v>723</v>
      </c>
      <c r="E1310" s="2" t="s">
        <v>37</v>
      </c>
      <c r="F1310" s="2">
        <v>2</v>
      </c>
      <c r="G1310" s="2">
        <v>4</v>
      </c>
      <c r="H1310" s="2" t="s">
        <v>59</v>
      </c>
      <c r="I1310" s="2">
        <v>1</v>
      </c>
      <c r="J1310" s="2">
        <v>1835</v>
      </c>
      <c r="K1310" s="2">
        <v>2</v>
      </c>
      <c r="L1310" s="2" t="s">
        <v>39</v>
      </c>
      <c r="M1310" s="2">
        <v>77</v>
      </c>
      <c r="N1310" s="2">
        <v>1</v>
      </c>
      <c r="O1310" s="2">
        <v>2</v>
      </c>
      <c r="P1310" s="2" t="s">
        <v>57</v>
      </c>
      <c r="Q1310" s="2">
        <v>4</v>
      </c>
      <c r="R1310" s="2" t="s">
        <v>48</v>
      </c>
      <c r="S1310" s="2">
        <v>5405</v>
      </c>
      <c r="T1310" s="2">
        <v>4244</v>
      </c>
      <c r="U1310" s="2">
        <v>2</v>
      </c>
      <c r="V1310" s="2" t="s">
        <v>42</v>
      </c>
      <c r="W1310" s="2" t="s">
        <v>35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</row>
    <row r="1311" spans="1:35" x14ac:dyDescent="0.25">
      <c r="A1311" s="2">
        <v>26</v>
      </c>
      <c r="B1311" s="2" t="s">
        <v>43</v>
      </c>
      <c r="C1311" s="2" t="s">
        <v>36</v>
      </c>
      <c r="D1311" s="2">
        <v>572</v>
      </c>
      <c r="E1311" s="2" t="s">
        <v>37</v>
      </c>
      <c r="F1311" s="2">
        <v>10</v>
      </c>
      <c r="G1311" s="2">
        <v>3</v>
      </c>
      <c r="H1311" s="2" t="s">
        <v>51</v>
      </c>
      <c r="I1311" s="2">
        <v>1</v>
      </c>
      <c r="J1311" s="2">
        <v>1836</v>
      </c>
      <c r="K1311" s="2">
        <v>3</v>
      </c>
      <c r="L1311" s="2" t="s">
        <v>46</v>
      </c>
      <c r="M1311" s="2">
        <v>46</v>
      </c>
      <c r="N1311" s="2">
        <v>3</v>
      </c>
      <c r="O1311" s="2">
        <v>2</v>
      </c>
      <c r="P1311" s="2" t="s">
        <v>40</v>
      </c>
      <c r="Q1311" s="2">
        <v>4</v>
      </c>
      <c r="R1311" s="2" t="s">
        <v>41</v>
      </c>
      <c r="S1311" s="2">
        <v>4684</v>
      </c>
      <c r="T1311" s="2">
        <v>9125</v>
      </c>
      <c r="U1311" s="2">
        <v>1</v>
      </c>
      <c r="V1311" s="2" t="s">
        <v>42</v>
      </c>
      <c r="W1311" s="2" t="s">
        <v>43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</row>
    <row r="1312" spans="1:35" x14ac:dyDescent="0.25">
      <c r="A1312" s="2">
        <v>58</v>
      </c>
      <c r="B1312" s="2" t="s">
        <v>43</v>
      </c>
      <c r="C1312" s="2" t="s">
        <v>44</v>
      </c>
      <c r="D1312" s="2">
        <v>1216</v>
      </c>
      <c r="E1312" s="2" t="s">
        <v>45</v>
      </c>
      <c r="F1312" s="2">
        <v>15</v>
      </c>
      <c r="G1312" s="2">
        <v>4</v>
      </c>
      <c r="H1312" s="2" t="s">
        <v>38</v>
      </c>
      <c r="I1312" s="2">
        <v>1</v>
      </c>
      <c r="J1312" s="2">
        <v>1837</v>
      </c>
      <c r="K1312" s="2">
        <v>1</v>
      </c>
      <c r="L1312" s="2" t="s">
        <v>46</v>
      </c>
      <c r="M1312" s="2">
        <v>87</v>
      </c>
      <c r="N1312" s="2">
        <v>3</v>
      </c>
      <c r="O1312" s="2">
        <v>4</v>
      </c>
      <c r="P1312" s="2" t="s">
        <v>58</v>
      </c>
      <c r="Q1312" s="2">
        <v>3</v>
      </c>
      <c r="R1312" s="2" t="s">
        <v>48</v>
      </c>
      <c r="S1312" s="2">
        <v>15787</v>
      </c>
      <c r="T1312" s="2">
        <v>21624</v>
      </c>
      <c r="U1312" s="2">
        <v>2</v>
      </c>
      <c r="V1312" s="2" t="s">
        <v>42</v>
      </c>
      <c r="W1312" s="2" t="s">
        <v>35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</row>
    <row r="1313" spans="1:35" x14ac:dyDescent="0.25">
      <c r="A1313" s="2">
        <v>18</v>
      </c>
      <c r="B1313" s="2" t="s">
        <v>43</v>
      </c>
      <c r="C1313" s="2" t="s">
        <v>55</v>
      </c>
      <c r="D1313" s="2">
        <v>1431</v>
      </c>
      <c r="E1313" s="2" t="s">
        <v>45</v>
      </c>
      <c r="F1313" s="2">
        <v>14</v>
      </c>
      <c r="G1313" s="2">
        <v>3</v>
      </c>
      <c r="H1313" s="2" t="s">
        <v>51</v>
      </c>
      <c r="I1313" s="2">
        <v>1</v>
      </c>
      <c r="J1313" s="2">
        <v>1839</v>
      </c>
      <c r="K1313" s="2">
        <v>2</v>
      </c>
      <c r="L1313" s="2" t="s">
        <v>39</v>
      </c>
      <c r="M1313" s="2">
        <v>33</v>
      </c>
      <c r="N1313" s="2">
        <v>3</v>
      </c>
      <c r="O1313" s="2">
        <v>1</v>
      </c>
      <c r="P1313" s="2" t="s">
        <v>47</v>
      </c>
      <c r="Q1313" s="2">
        <v>3</v>
      </c>
      <c r="R1313" s="2" t="s">
        <v>41</v>
      </c>
      <c r="S1313" s="2">
        <v>1514</v>
      </c>
      <c r="T1313" s="2">
        <v>8018</v>
      </c>
      <c r="U1313" s="2">
        <v>1</v>
      </c>
      <c r="V1313" s="2" t="s">
        <v>42</v>
      </c>
      <c r="W1313" s="2" t="s">
        <v>43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</row>
    <row r="1314" spans="1:35" x14ac:dyDescent="0.25">
      <c r="A1314" s="2">
        <v>31</v>
      </c>
      <c r="B1314" s="2" t="s">
        <v>35</v>
      </c>
      <c r="C1314" s="2" t="s">
        <v>36</v>
      </c>
      <c r="D1314" s="2">
        <v>359</v>
      </c>
      <c r="E1314" s="2" t="s">
        <v>61</v>
      </c>
      <c r="F1314" s="2">
        <v>18</v>
      </c>
      <c r="G1314" s="2">
        <v>5</v>
      </c>
      <c r="H1314" s="2" t="s">
        <v>61</v>
      </c>
      <c r="I1314" s="2">
        <v>1</v>
      </c>
      <c r="J1314" s="2">
        <v>1842</v>
      </c>
      <c r="K1314" s="2">
        <v>4</v>
      </c>
      <c r="L1314" s="2" t="s">
        <v>46</v>
      </c>
      <c r="M1314" s="2">
        <v>89</v>
      </c>
      <c r="N1314" s="2">
        <v>4</v>
      </c>
      <c r="O1314" s="2">
        <v>1</v>
      </c>
      <c r="P1314" s="2" t="s">
        <v>61</v>
      </c>
      <c r="Q1314" s="2">
        <v>1</v>
      </c>
      <c r="R1314" s="2" t="s">
        <v>48</v>
      </c>
      <c r="S1314" s="2">
        <v>2956</v>
      </c>
      <c r="T1314" s="2">
        <v>21495</v>
      </c>
      <c r="U1314" s="2">
        <v>0</v>
      </c>
      <c r="V1314" s="2" t="s">
        <v>42</v>
      </c>
      <c r="W1314" s="2" t="s">
        <v>43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</row>
    <row r="1315" spans="1:35" x14ac:dyDescent="0.25">
      <c r="A1315" s="2">
        <v>29</v>
      </c>
      <c r="B1315" s="2" t="s">
        <v>35</v>
      </c>
      <c r="C1315" s="2" t="s">
        <v>36</v>
      </c>
      <c r="D1315" s="2">
        <v>350</v>
      </c>
      <c r="E1315" s="2" t="s">
        <v>61</v>
      </c>
      <c r="F1315" s="2">
        <v>13</v>
      </c>
      <c r="G1315" s="2">
        <v>3</v>
      </c>
      <c r="H1315" s="2" t="s">
        <v>61</v>
      </c>
      <c r="I1315" s="2">
        <v>1</v>
      </c>
      <c r="J1315" s="2">
        <v>1844</v>
      </c>
      <c r="K1315" s="2">
        <v>1</v>
      </c>
      <c r="L1315" s="2" t="s">
        <v>46</v>
      </c>
      <c r="M1315" s="2">
        <v>56</v>
      </c>
      <c r="N1315" s="2">
        <v>2</v>
      </c>
      <c r="O1315" s="2">
        <v>1</v>
      </c>
      <c r="P1315" s="2" t="s">
        <v>61</v>
      </c>
      <c r="Q1315" s="2">
        <v>1</v>
      </c>
      <c r="R1315" s="2" t="s">
        <v>52</v>
      </c>
      <c r="S1315" s="2">
        <v>2335</v>
      </c>
      <c r="T1315" s="2">
        <v>3157</v>
      </c>
      <c r="U1315" s="2">
        <v>4</v>
      </c>
      <c r="V1315" s="2" t="s">
        <v>42</v>
      </c>
      <c r="W1315" s="2" t="s">
        <v>35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</row>
    <row r="1316" spans="1:35" x14ac:dyDescent="0.25">
      <c r="A1316" s="2">
        <v>45</v>
      </c>
      <c r="B1316" s="2" t="s">
        <v>43</v>
      </c>
      <c r="C1316" s="2" t="s">
        <v>55</v>
      </c>
      <c r="D1316" s="2">
        <v>589</v>
      </c>
      <c r="E1316" s="2" t="s">
        <v>37</v>
      </c>
      <c r="F1316" s="2">
        <v>2</v>
      </c>
      <c r="G1316" s="2">
        <v>4</v>
      </c>
      <c r="H1316" s="2" t="s">
        <v>38</v>
      </c>
      <c r="I1316" s="2">
        <v>1</v>
      </c>
      <c r="J1316" s="2">
        <v>1845</v>
      </c>
      <c r="K1316" s="2">
        <v>3</v>
      </c>
      <c r="L1316" s="2" t="s">
        <v>39</v>
      </c>
      <c r="M1316" s="2">
        <v>67</v>
      </c>
      <c r="N1316" s="2">
        <v>3</v>
      </c>
      <c r="O1316" s="2">
        <v>2</v>
      </c>
      <c r="P1316" s="2" t="s">
        <v>40</v>
      </c>
      <c r="Q1316" s="2">
        <v>3</v>
      </c>
      <c r="R1316" s="2" t="s">
        <v>48</v>
      </c>
      <c r="S1316" s="2">
        <v>5154</v>
      </c>
      <c r="T1316" s="2">
        <v>19665</v>
      </c>
      <c r="U1316" s="2">
        <v>4</v>
      </c>
      <c r="V1316" s="2" t="s">
        <v>42</v>
      </c>
      <c r="W1316" s="2" t="s">
        <v>43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</row>
    <row r="1317" spans="1:35" x14ac:dyDescent="0.25">
      <c r="A1317" s="2">
        <v>36</v>
      </c>
      <c r="B1317" s="2" t="s">
        <v>43</v>
      </c>
      <c r="C1317" s="2" t="s">
        <v>36</v>
      </c>
      <c r="D1317" s="2">
        <v>430</v>
      </c>
      <c r="E1317" s="2" t="s">
        <v>45</v>
      </c>
      <c r="F1317" s="2">
        <v>2</v>
      </c>
      <c r="G1317" s="2">
        <v>4</v>
      </c>
      <c r="H1317" s="2" t="s">
        <v>49</v>
      </c>
      <c r="I1317" s="2">
        <v>1</v>
      </c>
      <c r="J1317" s="2">
        <v>1847</v>
      </c>
      <c r="K1317" s="2">
        <v>4</v>
      </c>
      <c r="L1317" s="2" t="s">
        <v>39</v>
      </c>
      <c r="M1317" s="2">
        <v>73</v>
      </c>
      <c r="N1317" s="2">
        <v>3</v>
      </c>
      <c r="O1317" s="2">
        <v>2</v>
      </c>
      <c r="P1317" s="2" t="s">
        <v>47</v>
      </c>
      <c r="Q1317" s="2">
        <v>2</v>
      </c>
      <c r="R1317" s="2" t="s">
        <v>48</v>
      </c>
      <c r="S1317" s="2">
        <v>6962</v>
      </c>
      <c r="T1317" s="2">
        <v>19573</v>
      </c>
      <c r="U1317" s="2">
        <v>4</v>
      </c>
      <c r="V1317" s="2" t="s">
        <v>42</v>
      </c>
      <c r="W1317" s="2" t="s">
        <v>35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</row>
    <row r="1318" spans="1:35" x14ac:dyDescent="0.25">
      <c r="A1318" s="2">
        <v>43</v>
      </c>
      <c r="B1318" s="2" t="s">
        <v>43</v>
      </c>
      <c r="C1318" s="2" t="s">
        <v>44</v>
      </c>
      <c r="D1318" s="2">
        <v>1422</v>
      </c>
      <c r="E1318" s="2" t="s">
        <v>37</v>
      </c>
      <c r="F1318" s="2">
        <v>2</v>
      </c>
      <c r="G1318" s="2">
        <v>4</v>
      </c>
      <c r="H1318" s="2" t="s">
        <v>38</v>
      </c>
      <c r="I1318" s="2">
        <v>1</v>
      </c>
      <c r="J1318" s="2">
        <v>1849</v>
      </c>
      <c r="K1318" s="2">
        <v>1</v>
      </c>
      <c r="L1318" s="2" t="s">
        <v>46</v>
      </c>
      <c r="M1318" s="2">
        <v>92</v>
      </c>
      <c r="N1318" s="2">
        <v>3</v>
      </c>
      <c r="O1318" s="2">
        <v>2</v>
      </c>
      <c r="P1318" s="2" t="s">
        <v>40</v>
      </c>
      <c r="Q1318" s="2">
        <v>4</v>
      </c>
      <c r="R1318" s="2" t="s">
        <v>48</v>
      </c>
      <c r="S1318" s="2">
        <v>5675</v>
      </c>
      <c r="T1318" s="2">
        <v>19246</v>
      </c>
      <c r="U1318" s="2">
        <v>1</v>
      </c>
      <c r="V1318" s="2" t="s">
        <v>42</v>
      </c>
      <c r="W1318" s="2" t="s">
        <v>43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</row>
    <row r="1319" spans="1:35" x14ac:dyDescent="0.25">
      <c r="A1319" s="2">
        <v>27</v>
      </c>
      <c r="B1319" s="2" t="s">
        <v>43</v>
      </c>
      <c r="C1319" s="2" t="s">
        <v>44</v>
      </c>
      <c r="D1319" s="2">
        <v>1297</v>
      </c>
      <c r="E1319" s="2" t="s">
        <v>45</v>
      </c>
      <c r="F1319" s="2">
        <v>5</v>
      </c>
      <c r="G1319" s="2">
        <v>2</v>
      </c>
      <c r="H1319" s="2" t="s">
        <v>38</v>
      </c>
      <c r="I1319" s="2">
        <v>1</v>
      </c>
      <c r="J1319" s="2">
        <v>1850</v>
      </c>
      <c r="K1319" s="2">
        <v>4</v>
      </c>
      <c r="L1319" s="2" t="s">
        <v>39</v>
      </c>
      <c r="M1319" s="2">
        <v>53</v>
      </c>
      <c r="N1319" s="2">
        <v>3</v>
      </c>
      <c r="O1319" s="2">
        <v>1</v>
      </c>
      <c r="P1319" s="2" t="s">
        <v>50</v>
      </c>
      <c r="Q1319" s="2">
        <v>4</v>
      </c>
      <c r="R1319" s="2" t="s">
        <v>41</v>
      </c>
      <c r="S1319" s="2">
        <v>2379</v>
      </c>
      <c r="T1319" s="2">
        <v>19826</v>
      </c>
      <c r="U1319" s="2">
        <v>0</v>
      </c>
      <c r="V1319" s="2" t="s">
        <v>42</v>
      </c>
      <c r="W1319" s="2" t="s">
        <v>35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</row>
    <row r="1320" spans="1:35" x14ac:dyDescent="0.25">
      <c r="A1320" s="2">
        <v>29</v>
      </c>
      <c r="B1320" s="2" t="s">
        <v>43</v>
      </c>
      <c r="C1320" s="2" t="s">
        <v>44</v>
      </c>
      <c r="D1320" s="2">
        <v>574</v>
      </c>
      <c r="E1320" s="2" t="s">
        <v>45</v>
      </c>
      <c r="F1320" s="2">
        <v>20</v>
      </c>
      <c r="G1320" s="2">
        <v>1</v>
      </c>
      <c r="H1320" s="2" t="s">
        <v>51</v>
      </c>
      <c r="I1320" s="2">
        <v>1</v>
      </c>
      <c r="J1320" s="2">
        <v>1852</v>
      </c>
      <c r="K1320" s="2">
        <v>4</v>
      </c>
      <c r="L1320" s="2" t="s">
        <v>46</v>
      </c>
      <c r="M1320" s="2">
        <v>40</v>
      </c>
      <c r="N1320" s="2">
        <v>3</v>
      </c>
      <c r="O1320" s="2">
        <v>1</v>
      </c>
      <c r="P1320" s="2" t="s">
        <v>50</v>
      </c>
      <c r="Q1320" s="2">
        <v>4</v>
      </c>
      <c r="R1320" s="2" t="s">
        <v>48</v>
      </c>
      <c r="S1320" s="2">
        <v>3812</v>
      </c>
      <c r="T1320" s="2">
        <v>7003</v>
      </c>
      <c r="U1320" s="2">
        <v>1</v>
      </c>
      <c r="V1320" s="2" t="s">
        <v>42</v>
      </c>
      <c r="W1320" s="2" t="s">
        <v>43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</row>
    <row r="1321" spans="1:35" x14ac:dyDescent="0.25">
      <c r="A1321" s="2">
        <v>32</v>
      </c>
      <c r="B1321" s="2" t="s">
        <v>43</v>
      </c>
      <c r="C1321" s="2" t="s">
        <v>44</v>
      </c>
      <c r="D1321" s="2">
        <v>1318</v>
      </c>
      <c r="E1321" s="2" t="s">
        <v>37</v>
      </c>
      <c r="F1321" s="2">
        <v>10</v>
      </c>
      <c r="G1321" s="2">
        <v>4</v>
      </c>
      <c r="H1321" s="2" t="s">
        <v>59</v>
      </c>
      <c r="I1321" s="2">
        <v>1</v>
      </c>
      <c r="J1321" s="2">
        <v>1853</v>
      </c>
      <c r="K1321" s="2">
        <v>4</v>
      </c>
      <c r="L1321" s="2" t="s">
        <v>46</v>
      </c>
      <c r="M1321" s="2">
        <v>79</v>
      </c>
      <c r="N1321" s="2">
        <v>3</v>
      </c>
      <c r="O1321" s="2">
        <v>2</v>
      </c>
      <c r="P1321" s="2" t="s">
        <v>40</v>
      </c>
      <c r="Q1321" s="2">
        <v>4</v>
      </c>
      <c r="R1321" s="2" t="s">
        <v>41</v>
      </c>
      <c r="S1321" s="2">
        <v>4648</v>
      </c>
      <c r="T1321" s="2">
        <v>26075</v>
      </c>
      <c r="U1321" s="2">
        <v>8</v>
      </c>
      <c r="V1321" s="2" t="s">
        <v>42</v>
      </c>
      <c r="W1321" s="2" t="s">
        <v>43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</row>
    <row r="1322" spans="1:35" x14ac:dyDescent="0.25">
      <c r="A1322" s="2">
        <v>42</v>
      </c>
      <c r="B1322" s="2" t="s">
        <v>43</v>
      </c>
      <c r="C1322" s="2" t="s">
        <v>55</v>
      </c>
      <c r="D1322" s="2">
        <v>355</v>
      </c>
      <c r="E1322" s="2" t="s">
        <v>45</v>
      </c>
      <c r="F1322" s="2">
        <v>10</v>
      </c>
      <c r="G1322" s="2">
        <v>4</v>
      </c>
      <c r="H1322" s="2" t="s">
        <v>60</v>
      </c>
      <c r="I1322" s="2">
        <v>1</v>
      </c>
      <c r="J1322" s="2">
        <v>1854</v>
      </c>
      <c r="K1322" s="2">
        <v>3</v>
      </c>
      <c r="L1322" s="2" t="s">
        <v>46</v>
      </c>
      <c r="M1322" s="2">
        <v>38</v>
      </c>
      <c r="N1322" s="2">
        <v>3</v>
      </c>
      <c r="O1322" s="2">
        <v>1</v>
      </c>
      <c r="P1322" s="2" t="s">
        <v>47</v>
      </c>
      <c r="Q1322" s="2">
        <v>3</v>
      </c>
      <c r="R1322" s="2" t="s">
        <v>48</v>
      </c>
      <c r="S1322" s="2">
        <v>2936</v>
      </c>
      <c r="T1322" s="2">
        <v>6161</v>
      </c>
      <c r="U1322" s="2">
        <v>3</v>
      </c>
      <c r="V1322" s="2" t="s">
        <v>42</v>
      </c>
      <c r="W1322" s="2" t="s">
        <v>43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</row>
    <row r="1323" spans="1:35" x14ac:dyDescent="0.25">
      <c r="A1323" s="2">
        <v>47</v>
      </c>
      <c r="B1323" s="2" t="s">
        <v>43</v>
      </c>
      <c r="C1323" s="2" t="s">
        <v>36</v>
      </c>
      <c r="D1323" s="2">
        <v>207</v>
      </c>
      <c r="E1323" s="2" t="s">
        <v>45</v>
      </c>
      <c r="F1323" s="2">
        <v>9</v>
      </c>
      <c r="G1323" s="2">
        <v>4</v>
      </c>
      <c r="H1323" s="2" t="s">
        <v>38</v>
      </c>
      <c r="I1323" s="2">
        <v>1</v>
      </c>
      <c r="J1323" s="2">
        <v>1856</v>
      </c>
      <c r="K1323" s="2">
        <v>2</v>
      </c>
      <c r="L1323" s="2" t="s">
        <v>39</v>
      </c>
      <c r="M1323" s="2">
        <v>64</v>
      </c>
      <c r="N1323" s="2">
        <v>3</v>
      </c>
      <c r="O1323" s="2">
        <v>1</v>
      </c>
      <c r="P1323" s="2" t="s">
        <v>50</v>
      </c>
      <c r="Q1323" s="2">
        <v>3</v>
      </c>
      <c r="R1323" s="2" t="s">
        <v>41</v>
      </c>
      <c r="S1323" s="2">
        <v>2105</v>
      </c>
      <c r="T1323" s="2">
        <v>5411</v>
      </c>
      <c r="U1323" s="2">
        <v>4</v>
      </c>
      <c r="V1323" s="2" t="s">
        <v>42</v>
      </c>
      <c r="W1323" s="2" t="s">
        <v>43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</row>
    <row r="1324" spans="1:35" x14ac:dyDescent="0.25">
      <c r="A1324" s="2">
        <v>46</v>
      </c>
      <c r="B1324" s="2" t="s">
        <v>43</v>
      </c>
      <c r="C1324" s="2" t="s">
        <v>36</v>
      </c>
      <c r="D1324" s="2">
        <v>706</v>
      </c>
      <c r="E1324" s="2" t="s">
        <v>45</v>
      </c>
      <c r="F1324" s="2">
        <v>2</v>
      </c>
      <c r="G1324" s="2">
        <v>2</v>
      </c>
      <c r="H1324" s="2" t="s">
        <v>38</v>
      </c>
      <c r="I1324" s="2">
        <v>1</v>
      </c>
      <c r="J1324" s="2">
        <v>1857</v>
      </c>
      <c r="K1324" s="2">
        <v>4</v>
      </c>
      <c r="L1324" s="2" t="s">
        <v>46</v>
      </c>
      <c r="M1324" s="2">
        <v>82</v>
      </c>
      <c r="N1324" s="2">
        <v>3</v>
      </c>
      <c r="O1324" s="2">
        <v>3</v>
      </c>
      <c r="P1324" s="2" t="s">
        <v>53</v>
      </c>
      <c r="Q1324" s="2">
        <v>4</v>
      </c>
      <c r="R1324" s="2" t="s">
        <v>52</v>
      </c>
      <c r="S1324" s="2">
        <v>8578</v>
      </c>
      <c r="T1324" s="2">
        <v>19989</v>
      </c>
      <c r="U1324" s="2">
        <v>3</v>
      </c>
      <c r="V1324" s="2" t="s">
        <v>42</v>
      </c>
      <c r="W1324" s="2" t="s">
        <v>43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</row>
    <row r="1325" spans="1:35" x14ac:dyDescent="0.25">
      <c r="A1325" s="2">
        <v>28</v>
      </c>
      <c r="B1325" s="2" t="s">
        <v>43</v>
      </c>
      <c r="C1325" s="2" t="s">
        <v>55</v>
      </c>
      <c r="D1325" s="2">
        <v>280</v>
      </c>
      <c r="E1325" s="2" t="s">
        <v>61</v>
      </c>
      <c r="F1325" s="2">
        <v>1</v>
      </c>
      <c r="G1325" s="2">
        <v>2</v>
      </c>
      <c r="H1325" s="2" t="s">
        <v>38</v>
      </c>
      <c r="I1325" s="2">
        <v>1</v>
      </c>
      <c r="J1325" s="2">
        <v>1858</v>
      </c>
      <c r="K1325" s="2">
        <v>3</v>
      </c>
      <c r="L1325" s="2" t="s">
        <v>46</v>
      </c>
      <c r="M1325" s="2">
        <v>43</v>
      </c>
      <c r="N1325" s="2">
        <v>3</v>
      </c>
      <c r="O1325" s="2">
        <v>1</v>
      </c>
      <c r="P1325" s="2" t="s">
        <v>61</v>
      </c>
      <c r="Q1325" s="2">
        <v>4</v>
      </c>
      <c r="R1325" s="2" t="s">
        <v>52</v>
      </c>
      <c r="S1325" s="2">
        <v>2706</v>
      </c>
      <c r="T1325" s="2">
        <v>10494</v>
      </c>
      <c r="U1325" s="2">
        <v>1</v>
      </c>
      <c r="V1325" s="2" t="s">
        <v>42</v>
      </c>
      <c r="W1325" s="2" t="s">
        <v>43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</row>
    <row r="1326" spans="1:35" x14ac:dyDescent="0.25">
      <c r="A1326" s="2">
        <v>29</v>
      </c>
      <c r="B1326" s="2" t="s">
        <v>43</v>
      </c>
      <c r="C1326" s="2" t="s">
        <v>36</v>
      </c>
      <c r="D1326" s="2">
        <v>726</v>
      </c>
      <c r="E1326" s="2" t="s">
        <v>45</v>
      </c>
      <c r="F1326" s="2">
        <v>29</v>
      </c>
      <c r="G1326" s="2">
        <v>1</v>
      </c>
      <c r="H1326" s="2" t="s">
        <v>38</v>
      </c>
      <c r="I1326" s="2">
        <v>1</v>
      </c>
      <c r="J1326" s="2">
        <v>1859</v>
      </c>
      <c r="K1326" s="2">
        <v>4</v>
      </c>
      <c r="L1326" s="2" t="s">
        <v>46</v>
      </c>
      <c r="M1326" s="2">
        <v>93</v>
      </c>
      <c r="N1326" s="2">
        <v>1</v>
      </c>
      <c r="O1326" s="2">
        <v>2</v>
      </c>
      <c r="P1326" s="2" t="s">
        <v>54</v>
      </c>
      <c r="Q1326" s="2">
        <v>3</v>
      </c>
      <c r="R1326" s="2" t="s">
        <v>52</v>
      </c>
      <c r="S1326" s="2">
        <v>6384</v>
      </c>
      <c r="T1326" s="2">
        <v>21143</v>
      </c>
      <c r="U1326" s="2">
        <v>8</v>
      </c>
      <c r="V1326" s="2" t="s">
        <v>42</v>
      </c>
      <c r="W1326" s="2" t="s">
        <v>43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</row>
    <row r="1327" spans="1:35" x14ac:dyDescent="0.25">
      <c r="A1327" s="2">
        <v>42</v>
      </c>
      <c r="B1327" s="2" t="s">
        <v>43</v>
      </c>
      <c r="C1327" s="2" t="s">
        <v>36</v>
      </c>
      <c r="D1327" s="2">
        <v>1142</v>
      </c>
      <c r="E1327" s="2" t="s">
        <v>45</v>
      </c>
      <c r="F1327" s="2">
        <v>8</v>
      </c>
      <c r="G1327" s="2">
        <v>3</v>
      </c>
      <c r="H1327" s="2" t="s">
        <v>38</v>
      </c>
      <c r="I1327" s="2">
        <v>1</v>
      </c>
      <c r="J1327" s="2">
        <v>1860</v>
      </c>
      <c r="K1327" s="2">
        <v>4</v>
      </c>
      <c r="L1327" s="2" t="s">
        <v>46</v>
      </c>
      <c r="M1327" s="2">
        <v>81</v>
      </c>
      <c r="N1327" s="2">
        <v>3</v>
      </c>
      <c r="O1327" s="2">
        <v>1</v>
      </c>
      <c r="P1327" s="2" t="s">
        <v>50</v>
      </c>
      <c r="Q1327" s="2">
        <v>3</v>
      </c>
      <c r="R1327" s="2" t="s">
        <v>41</v>
      </c>
      <c r="S1327" s="2">
        <v>3968</v>
      </c>
      <c r="T1327" s="2">
        <v>13624</v>
      </c>
      <c r="U1327" s="2">
        <v>4</v>
      </c>
      <c r="V1327" s="2" t="s">
        <v>42</v>
      </c>
      <c r="W1327" s="2" t="s">
        <v>43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</row>
    <row r="1328" spans="1:35" x14ac:dyDescent="0.25">
      <c r="A1328" s="2">
        <v>32</v>
      </c>
      <c r="B1328" s="2" t="s">
        <v>35</v>
      </c>
      <c r="C1328" s="2" t="s">
        <v>36</v>
      </c>
      <c r="D1328" s="2">
        <v>414</v>
      </c>
      <c r="E1328" s="2" t="s">
        <v>37</v>
      </c>
      <c r="F1328" s="2">
        <v>2</v>
      </c>
      <c r="G1328" s="2">
        <v>4</v>
      </c>
      <c r="H1328" s="2" t="s">
        <v>59</v>
      </c>
      <c r="I1328" s="2">
        <v>1</v>
      </c>
      <c r="J1328" s="2">
        <v>1862</v>
      </c>
      <c r="K1328" s="2">
        <v>3</v>
      </c>
      <c r="L1328" s="2" t="s">
        <v>46</v>
      </c>
      <c r="M1328" s="2">
        <v>82</v>
      </c>
      <c r="N1328" s="2">
        <v>2</v>
      </c>
      <c r="O1328" s="2">
        <v>2</v>
      </c>
      <c r="P1328" s="2" t="s">
        <v>40</v>
      </c>
      <c r="Q1328" s="2">
        <v>2</v>
      </c>
      <c r="R1328" s="2" t="s">
        <v>41</v>
      </c>
      <c r="S1328" s="2">
        <v>9907</v>
      </c>
      <c r="T1328" s="2">
        <v>26186</v>
      </c>
      <c r="U1328" s="2">
        <v>7</v>
      </c>
      <c r="V1328" s="2" t="s">
        <v>42</v>
      </c>
      <c r="W1328" s="2" t="s">
        <v>35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</row>
    <row r="1329" spans="1:35" x14ac:dyDescent="0.25">
      <c r="A1329" s="2">
        <v>46</v>
      </c>
      <c r="B1329" s="2" t="s">
        <v>43</v>
      </c>
      <c r="C1329" s="2" t="s">
        <v>36</v>
      </c>
      <c r="D1329" s="2">
        <v>1319</v>
      </c>
      <c r="E1329" s="2" t="s">
        <v>37</v>
      </c>
      <c r="F1329" s="2">
        <v>3</v>
      </c>
      <c r="G1329" s="2">
        <v>3</v>
      </c>
      <c r="H1329" s="2" t="s">
        <v>60</v>
      </c>
      <c r="I1329" s="2">
        <v>1</v>
      </c>
      <c r="J1329" s="2">
        <v>1863</v>
      </c>
      <c r="K1329" s="2">
        <v>1</v>
      </c>
      <c r="L1329" s="2" t="s">
        <v>39</v>
      </c>
      <c r="M1329" s="2">
        <v>45</v>
      </c>
      <c r="N1329" s="2">
        <v>4</v>
      </c>
      <c r="O1329" s="2">
        <v>4</v>
      </c>
      <c r="P1329" s="2" t="s">
        <v>40</v>
      </c>
      <c r="Q1329" s="2">
        <v>1</v>
      </c>
      <c r="R1329" s="2" t="s">
        <v>52</v>
      </c>
      <c r="S1329" s="2">
        <v>13225</v>
      </c>
      <c r="T1329" s="2">
        <v>7739</v>
      </c>
      <c r="U1329" s="2">
        <v>2</v>
      </c>
      <c r="V1329" s="2" t="s">
        <v>42</v>
      </c>
      <c r="W1329" s="2" t="s">
        <v>43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</row>
    <row r="1330" spans="1:35" x14ac:dyDescent="0.25">
      <c r="A1330" s="2">
        <v>27</v>
      </c>
      <c r="B1330" s="2" t="s">
        <v>43</v>
      </c>
      <c r="C1330" s="2" t="s">
        <v>36</v>
      </c>
      <c r="D1330" s="2">
        <v>728</v>
      </c>
      <c r="E1330" s="2" t="s">
        <v>37</v>
      </c>
      <c r="F1330" s="2">
        <v>23</v>
      </c>
      <c r="G1330" s="2">
        <v>1</v>
      </c>
      <c r="H1330" s="2" t="s">
        <v>51</v>
      </c>
      <c r="I1330" s="2">
        <v>1</v>
      </c>
      <c r="J1330" s="2">
        <v>1864</v>
      </c>
      <c r="K1330" s="2">
        <v>2</v>
      </c>
      <c r="L1330" s="2" t="s">
        <v>39</v>
      </c>
      <c r="M1330" s="2">
        <v>36</v>
      </c>
      <c r="N1330" s="2">
        <v>2</v>
      </c>
      <c r="O1330" s="2">
        <v>2</v>
      </c>
      <c r="P1330" s="2" t="s">
        <v>57</v>
      </c>
      <c r="Q1330" s="2">
        <v>3</v>
      </c>
      <c r="R1330" s="2" t="s">
        <v>48</v>
      </c>
      <c r="S1330" s="2">
        <v>3540</v>
      </c>
      <c r="T1330" s="2">
        <v>7018</v>
      </c>
      <c r="U1330" s="2">
        <v>1</v>
      </c>
      <c r="V1330" s="2" t="s">
        <v>42</v>
      </c>
      <c r="W1330" s="2" t="s">
        <v>43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</row>
    <row r="1331" spans="1:35" x14ac:dyDescent="0.25">
      <c r="A1331" s="2">
        <v>29</v>
      </c>
      <c r="B1331" s="2" t="s">
        <v>43</v>
      </c>
      <c r="C1331" s="2" t="s">
        <v>36</v>
      </c>
      <c r="D1331" s="2">
        <v>352</v>
      </c>
      <c r="E1331" s="2" t="s">
        <v>61</v>
      </c>
      <c r="F1331" s="2">
        <v>6</v>
      </c>
      <c r="G1331" s="2">
        <v>1</v>
      </c>
      <c r="H1331" s="2" t="s">
        <v>51</v>
      </c>
      <c r="I1331" s="2">
        <v>1</v>
      </c>
      <c r="J1331" s="2">
        <v>1865</v>
      </c>
      <c r="K1331" s="2">
        <v>4</v>
      </c>
      <c r="L1331" s="2" t="s">
        <v>46</v>
      </c>
      <c r="M1331" s="2">
        <v>87</v>
      </c>
      <c r="N1331" s="2">
        <v>2</v>
      </c>
      <c r="O1331" s="2">
        <v>1</v>
      </c>
      <c r="P1331" s="2" t="s">
        <v>61</v>
      </c>
      <c r="Q1331" s="2">
        <v>2</v>
      </c>
      <c r="R1331" s="2" t="s">
        <v>48</v>
      </c>
      <c r="S1331" s="2">
        <v>2804</v>
      </c>
      <c r="T1331" s="2">
        <v>15434</v>
      </c>
      <c r="U1331" s="2">
        <v>1</v>
      </c>
      <c r="V1331" s="2" t="s">
        <v>42</v>
      </c>
      <c r="W1331" s="2" t="s">
        <v>43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</row>
    <row r="1332" spans="1:35" x14ac:dyDescent="0.25">
      <c r="A1332" s="2">
        <v>43</v>
      </c>
      <c r="B1332" s="2" t="s">
        <v>43</v>
      </c>
      <c r="C1332" s="2" t="s">
        <v>36</v>
      </c>
      <c r="D1332" s="2">
        <v>823</v>
      </c>
      <c r="E1332" s="2" t="s">
        <v>45</v>
      </c>
      <c r="F1332" s="2">
        <v>6</v>
      </c>
      <c r="G1332" s="2">
        <v>3</v>
      </c>
      <c r="H1332" s="2" t="s">
        <v>51</v>
      </c>
      <c r="I1332" s="2">
        <v>1</v>
      </c>
      <c r="J1332" s="2">
        <v>1866</v>
      </c>
      <c r="K1332" s="2">
        <v>1</v>
      </c>
      <c r="L1332" s="2" t="s">
        <v>39</v>
      </c>
      <c r="M1332" s="2">
        <v>81</v>
      </c>
      <c r="N1332" s="2">
        <v>2</v>
      </c>
      <c r="O1332" s="2">
        <v>5</v>
      </c>
      <c r="P1332" s="2" t="s">
        <v>56</v>
      </c>
      <c r="Q1332" s="2">
        <v>3</v>
      </c>
      <c r="R1332" s="2" t="s">
        <v>48</v>
      </c>
      <c r="S1332" s="2">
        <v>19392</v>
      </c>
      <c r="T1332" s="2">
        <v>22539</v>
      </c>
      <c r="U1332" s="2">
        <v>7</v>
      </c>
      <c r="V1332" s="2" t="s">
        <v>42</v>
      </c>
      <c r="W1332" s="2" t="s">
        <v>43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</row>
    <row r="1333" spans="1:35" x14ac:dyDescent="0.25">
      <c r="A1333" s="2">
        <v>48</v>
      </c>
      <c r="B1333" s="2" t="s">
        <v>43</v>
      </c>
      <c r="C1333" s="2" t="s">
        <v>36</v>
      </c>
      <c r="D1333" s="2">
        <v>1224</v>
      </c>
      <c r="E1333" s="2" t="s">
        <v>45</v>
      </c>
      <c r="F1333" s="2">
        <v>10</v>
      </c>
      <c r="G1333" s="2">
        <v>3</v>
      </c>
      <c r="H1333" s="2" t="s">
        <v>38</v>
      </c>
      <c r="I1333" s="2">
        <v>1</v>
      </c>
      <c r="J1333" s="2">
        <v>1867</v>
      </c>
      <c r="K1333" s="2">
        <v>4</v>
      </c>
      <c r="L1333" s="2" t="s">
        <v>46</v>
      </c>
      <c r="M1333" s="2">
        <v>91</v>
      </c>
      <c r="N1333" s="2">
        <v>2</v>
      </c>
      <c r="O1333" s="2">
        <v>5</v>
      </c>
      <c r="P1333" s="2" t="s">
        <v>58</v>
      </c>
      <c r="Q1333" s="2">
        <v>2</v>
      </c>
      <c r="R1333" s="2" t="s">
        <v>48</v>
      </c>
      <c r="S1333" s="2">
        <v>19665</v>
      </c>
      <c r="T1333" s="2">
        <v>13583</v>
      </c>
      <c r="U1333" s="2">
        <v>4</v>
      </c>
      <c r="V1333" s="2" t="s">
        <v>42</v>
      </c>
      <c r="W1333" s="2" t="s">
        <v>43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</row>
    <row r="1334" spans="1:35" x14ac:dyDescent="0.25">
      <c r="A1334" s="2">
        <v>29</v>
      </c>
      <c r="B1334" s="2" t="s">
        <v>35</v>
      </c>
      <c r="C1334" s="2" t="s">
        <v>44</v>
      </c>
      <c r="D1334" s="2">
        <v>459</v>
      </c>
      <c r="E1334" s="2" t="s">
        <v>45</v>
      </c>
      <c r="F1334" s="2">
        <v>24</v>
      </c>
      <c r="G1334" s="2">
        <v>2</v>
      </c>
      <c r="H1334" s="2" t="s">
        <v>38</v>
      </c>
      <c r="I1334" s="2">
        <v>1</v>
      </c>
      <c r="J1334" s="2">
        <v>1868</v>
      </c>
      <c r="K1334" s="2">
        <v>4</v>
      </c>
      <c r="L1334" s="2" t="s">
        <v>46</v>
      </c>
      <c r="M1334" s="2">
        <v>73</v>
      </c>
      <c r="N1334" s="2">
        <v>2</v>
      </c>
      <c r="O1334" s="2">
        <v>1</v>
      </c>
      <c r="P1334" s="2" t="s">
        <v>47</v>
      </c>
      <c r="Q1334" s="2">
        <v>4</v>
      </c>
      <c r="R1334" s="2" t="s">
        <v>41</v>
      </c>
      <c r="S1334" s="2">
        <v>2439</v>
      </c>
      <c r="T1334" s="2">
        <v>14753</v>
      </c>
      <c r="U1334" s="2">
        <v>1</v>
      </c>
      <c r="V1334" s="2" t="s">
        <v>42</v>
      </c>
      <c r="W1334" s="2" t="s">
        <v>35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</row>
    <row r="1335" spans="1:35" x14ac:dyDescent="0.25">
      <c r="A1335" s="2">
        <v>46</v>
      </c>
      <c r="B1335" s="2" t="s">
        <v>35</v>
      </c>
      <c r="C1335" s="2" t="s">
        <v>36</v>
      </c>
      <c r="D1335" s="2">
        <v>1254</v>
      </c>
      <c r="E1335" s="2" t="s">
        <v>37</v>
      </c>
      <c r="F1335" s="2">
        <v>10</v>
      </c>
      <c r="G1335" s="2">
        <v>3</v>
      </c>
      <c r="H1335" s="2" t="s">
        <v>38</v>
      </c>
      <c r="I1335" s="2">
        <v>1</v>
      </c>
      <c r="J1335" s="2">
        <v>1869</v>
      </c>
      <c r="K1335" s="2">
        <v>3</v>
      </c>
      <c r="L1335" s="2" t="s">
        <v>39</v>
      </c>
      <c r="M1335" s="2">
        <v>64</v>
      </c>
      <c r="N1335" s="2">
        <v>3</v>
      </c>
      <c r="O1335" s="2">
        <v>3</v>
      </c>
      <c r="P1335" s="2" t="s">
        <v>40</v>
      </c>
      <c r="Q1335" s="2">
        <v>2</v>
      </c>
      <c r="R1335" s="2" t="s">
        <v>48</v>
      </c>
      <c r="S1335" s="2">
        <v>7314</v>
      </c>
      <c r="T1335" s="2">
        <v>14011</v>
      </c>
      <c r="U1335" s="2">
        <v>5</v>
      </c>
      <c r="V1335" s="2" t="s">
        <v>42</v>
      </c>
      <c r="W1335" s="2" t="s">
        <v>43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</row>
    <row r="1336" spans="1:35" x14ac:dyDescent="0.25">
      <c r="A1336" s="2">
        <v>27</v>
      </c>
      <c r="B1336" s="2" t="s">
        <v>43</v>
      </c>
      <c r="C1336" s="2" t="s">
        <v>44</v>
      </c>
      <c r="D1336" s="2">
        <v>1131</v>
      </c>
      <c r="E1336" s="2" t="s">
        <v>45</v>
      </c>
      <c r="F1336" s="2">
        <v>15</v>
      </c>
      <c r="G1336" s="2">
        <v>3</v>
      </c>
      <c r="H1336" s="2" t="s">
        <v>38</v>
      </c>
      <c r="I1336" s="2">
        <v>1</v>
      </c>
      <c r="J1336" s="2">
        <v>1870</v>
      </c>
      <c r="K1336" s="2">
        <v>4</v>
      </c>
      <c r="L1336" s="2" t="s">
        <v>39</v>
      </c>
      <c r="M1336" s="2">
        <v>77</v>
      </c>
      <c r="N1336" s="2">
        <v>2</v>
      </c>
      <c r="O1336" s="2">
        <v>1</v>
      </c>
      <c r="P1336" s="2" t="s">
        <v>47</v>
      </c>
      <c r="Q1336" s="2">
        <v>1</v>
      </c>
      <c r="R1336" s="2" t="s">
        <v>48</v>
      </c>
      <c r="S1336" s="2">
        <v>4774</v>
      </c>
      <c r="T1336" s="2">
        <v>23844</v>
      </c>
      <c r="U1336" s="2">
        <v>0</v>
      </c>
      <c r="V1336" s="2" t="s">
        <v>42</v>
      </c>
      <c r="W1336" s="2" t="s">
        <v>43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</row>
    <row r="1337" spans="1:35" x14ac:dyDescent="0.25">
      <c r="A1337" s="2">
        <v>39</v>
      </c>
      <c r="B1337" s="2" t="s">
        <v>43</v>
      </c>
      <c r="C1337" s="2" t="s">
        <v>36</v>
      </c>
      <c r="D1337" s="2">
        <v>835</v>
      </c>
      <c r="E1337" s="2" t="s">
        <v>45</v>
      </c>
      <c r="F1337" s="2">
        <v>19</v>
      </c>
      <c r="G1337" s="2">
        <v>4</v>
      </c>
      <c r="H1337" s="2" t="s">
        <v>49</v>
      </c>
      <c r="I1337" s="2">
        <v>1</v>
      </c>
      <c r="J1337" s="2">
        <v>1871</v>
      </c>
      <c r="K1337" s="2">
        <v>4</v>
      </c>
      <c r="L1337" s="2" t="s">
        <v>46</v>
      </c>
      <c r="M1337" s="2">
        <v>41</v>
      </c>
      <c r="N1337" s="2">
        <v>3</v>
      </c>
      <c r="O1337" s="2">
        <v>2</v>
      </c>
      <c r="P1337" s="2" t="s">
        <v>47</v>
      </c>
      <c r="Q1337" s="2">
        <v>4</v>
      </c>
      <c r="R1337" s="2" t="s">
        <v>52</v>
      </c>
      <c r="S1337" s="2">
        <v>3902</v>
      </c>
      <c r="T1337" s="2">
        <v>5141</v>
      </c>
      <c r="U1337" s="2">
        <v>8</v>
      </c>
      <c r="V1337" s="2" t="s">
        <v>42</v>
      </c>
      <c r="W1337" s="2" t="s">
        <v>43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</row>
    <row r="1338" spans="1:35" x14ac:dyDescent="0.25">
      <c r="A1338" s="2">
        <v>55</v>
      </c>
      <c r="B1338" s="2" t="s">
        <v>43</v>
      </c>
      <c r="C1338" s="2" t="s">
        <v>36</v>
      </c>
      <c r="D1338" s="2">
        <v>836</v>
      </c>
      <c r="E1338" s="2" t="s">
        <v>45</v>
      </c>
      <c r="F1338" s="2">
        <v>2</v>
      </c>
      <c r="G1338" s="2">
        <v>4</v>
      </c>
      <c r="H1338" s="2" t="s">
        <v>60</v>
      </c>
      <c r="I1338" s="2">
        <v>1</v>
      </c>
      <c r="J1338" s="2">
        <v>1873</v>
      </c>
      <c r="K1338" s="2">
        <v>2</v>
      </c>
      <c r="L1338" s="2" t="s">
        <v>46</v>
      </c>
      <c r="M1338" s="2">
        <v>98</v>
      </c>
      <c r="N1338" s="2">
        <v>2</v>
      </c>
      <c r="O1338" s="2">
        <v>1</v>
      </c>
      <c r="P1338" s="2" t="s">
        <v>47</v>
      </c>
      <c r="Q1338" s="2">
        <v>4</v>
      </c>
      <c r="R1338" s="2" t="s">
        <v>48</v>
      </c>
      <c r="S1338" s="2">
        <v>2662</v>
      </c>
      <c r="T1338" s="2">
        <v>7975</v>
      </c>
      <c r="U1338" s="2">
        <v>8</v>
      </c>
      <c r="V1338" s="2" t="s">
        <v>42</v>
      </c>
      <c r="W1338" s="2" t="s">
        <v>43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</row>
    <row r="1339" spans="1:35" x14ac:dyDescent="0.25">
      <c r="A1339" s="2">
        <v>28</v>
      </c>
      <c r="B1339" s="2" t="s">
        <v>43</v>
      </c>
      <c r="C1339" s="2" t="s">
        <v>36</v>
      </c>
      <c r="D1339" s="2">
        <v>1172</v>
      </c>
      <c r="E1339" s="2" t="s">
        <v>37</v>
      </c>
      <c r="F1339" s="2">
        <v>3</v>
      </c>
      <c r="G1339" s="2">
        <v>3</v>
      </c>
      <c r="H1339" s="2" t="s">
        <v>51</v>
      </c>
      <c r="I1339" s="2">
        <v>1</v>
      </c>
      <c r="J1339" s="2">
        <v>1875</v>
      </c>
      <c r="K1339" s="2">
        <v>2</v>
      </c>
      <c r="L1339" s="2" t="s">
        <v>39</v>
      </c>
      <c r="M1339" s="2">
        <v>78</v>
      </c>
      <c r="N1339" s="2">
        <v>3</v>
      </c>
      <c r="O1339" s="2">
        <v>1</v>
      </c>
      <c r="P1339" s="2" t="s">
        <v>57</v>
      </c>
      <c r="Q1339" s="2">
        <v>2</v>
      </c>
      <c r="R1339" s="2" t="s">
        <v>48</v>
      </c>
      <c r="S1339" s="2">
        <v>2856</v>
      </c>
      <c r="T1339" s="2">
        <v>3692</v>
      </c>
      <c r="U1339" s="2">
        <v>1</v>
      </c>
      <c r="V1339" s="2" t="s">
        <v>42</v>
      </c>
      <c r="W1339" s="2" t="s">
        <v>43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</row>
    <row r="1340" spans="1:35" x14ac:dyDescent="0.25">
      <c r="A1340" s="2">
        <v>30</v>
      </c>
      <c r="B1340" s="2" t="s">
        <v>35</v>
      </c>
      <c r="C1340" s="2" t="s">
        <v>36</v>
      </c>
      <c r="D1340" s="2">
        <v>945</v>
      </c>
      <c r="E1340" s="2" t="s">
        <v>37</v>
      </c>
      <c r="F1340" s="2">
        <v>9</v>
      </c>
      <c r="G1340" s="2">
        <v>3</v>
      </c>
      <c r="H1340" s="2" t="s">
        <v>51</v>
      </c>
      <c r="I1340" s="2">
        <v>1</v>
      </c>
      <c r="J1340" s="2">
        <v>1876</v>
      </c>
      <c r="K1340" s="2">
        <v>2</v>
      </c>
      <c r="L1340" s="2" t="s">
        <v>46</v>
      </c>
      <c r="M1340" s="2">
        <v>89</v>
      </c>
      <c r="N1340" s="2">
        <v>3</v>
      </c>
      <c r="O1340" s="2">
        <v>1</v>
      </c>
      <c r="P1340" s="2" t="s">
        <v>57</v>
      </c>
      <c r="Q1340" s="2">
        <v>4</v>
      </c>
      <c r="R1340" s="2" t="s">
        <v>41</v>
      </c>
      <c r="S1340" s="2">
        <v>1081</v>
      </c>
      <c r="T1340" s="2">
        <v>16019</v>
      </c>
      <c r="U1340" s="2">
        <v>1</v>
      </c>
      <c r="V1340" s="2" t="s">
        <v>42</v>
      </c>
      <c r="W1340" s="2" t="s">
        <v>43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</row>
    <row r="1341" spans="1:35" x14ac:dyDescent="0.25">
      <c r="A1341" s="2">
        <v>22</v>
      </c>
      <c r="B1341" s="2" t="s">
        <v>35</v>
      </c>
      <c r="C1341" s="2" t="s">
        <v>36</v>
      </c>
      <c r="D1341" s="2">
        <v>391</v>
      </c>
      <c r="E1341" s="2" t="s">
        <v>45</v>
      </c>
      <c r="F1341" s="2">
        <v>7</v>
      </c>
      <c r="G1341" s="2">
        <v>1</v>
      </c>
      <c r="H1341" s="2" t="s">
        <v>38</v>
      </c>
      <c r="I1341" s="2">
        <v>1</v>
      </c>
      <c r="J1341" s="2">
        <v>1878</v>
      </c>
      <c r="K1341" s="2">
        <v>4</v>
      </c>
      <c r="L1341" s="2" t="s">
        <v>46</v>
      </c>
      <c r="M1341" s="2">
        <v>75</v>
      </c>
      <c r="N1341" s="2">
        <v>3</v>
      </c>
      <c r="O1341" s="2">
        <v>1</v>
      </c>
      <c r="P1341" s="2" t="s">
        <v>47</v>
      </c>
      <c r="Q1341" s="2">
        <v>2</v>
      </c>
      <c r="R1341" s="2" t="s">
        <v>41</v>
      </c>
      <c r="S1341" s="2">
        <v>2472</v>
      </c>
      <c r="T1341" s="2">
        <v>26092</v>
      </c>
      <c r="U1341" s="2">
        <v>1</v>
      </c>
      <c r="V1341" s="2" t="s">
        <v>42</v>
      </c>
      <c r="W1341" s="2" t="s">
        <v>35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</row>
    <row r="1342" spans="1:35" x14ac:dyDescent="0.25">
      <c r="A1342" s="2">
        <v>36</v>
      </c>
      <c r="B1342" s="2" t="s">
        <v>43</v>
      </c>
      <c r="C1342" s="2" t="s">
        <v>36</v>
      </c>
      <c r="D1342" s="2">
        <v>1266</v>
      </c>
      <c r="E1342" s="2" t="s">
        <v>37</v>
      </c>
      <c r="F1342" s="2">
        <v>10</v>
      </c>
      <c r="G1342" s="2">
        <v>4</v>
      </c>
      <c r="H1342" s="2" t="s">
        <v>60</v>
      </c>
      <c r="I1342" s="2">
        <v>1</v>
      </c>
      <c r="J1342" s="2">
        <v>1880</v>
      </c>
      <c r="K1342" s="2">
        <v>2</v>
      </c>
      <c r="L1342" s="2" t="s">
        <v>39</v>
      </c>
      <c r="M1342" s="2">
        <v>63</v>
      </c>
      <c r="N1342" s="2">
        <v>2</v>
      </c>
      <c r="O1342" s="2">
        <v>2</v>
      </c>
      <c r="P1342" s="2" t="s">
        <v>40</v>
      </c>
      <c r="Q1342" s="2">
        <v>3</v>
      </c>
      <c r="R1342" s="2" t="s">
        <v>48</v>
      </c>
      <c r="S1342" s="2">
        <v>5673</v>
      </c>
      <c r="T1342" s="2">
        <v>6060</v>
      </c>
      <c r="U1342" s="2">
        <v>1</v>
      </c>
      <c r="V1342" s="2" t="s">
        <v>42</v>
      </c>
      <c r="W1342" s="2" t="s">
        <v>35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</row>
    <row r="1343" spans="1:35" x14ac:dyDescent="0.25">
      <c r="A1343" s="2">
        <v>31</v>
      </c>
      <c r="B1343" s="2" t="s">
        <v>43</v>
      </c>
      <c r="C1343" s="2" t="s">
        <v>36</v>
      </c>
      <c r="D1343" s="2">
        <v>311</v>
      </c>
      <c r="E1343" s="2" t="s">
        <v>45</v>
      </c>
      <c r="F1343" s="2">
        <v>20</v>
      </c>
      <c r="G1343" s="2">
        <v>3</v>
      </c>
      <c r="H1343" s="2" t="s">
        <v>38</v>
      </c>
      <c r="I1343" s="2">
        <v>1</v>
      </c>
      <c r="J1343" s="2">
        <v>1881</v>
      </c>
      <c r="K1343" s="2">
        <v>2</v>
      </c>
      <c r="L1343" s="2" t="s">
        <v>46</v>
      </c>
      <c r="M1343" s="2">
        <v>89</v>
      </c>
      <c r="N1343" s="2">
        <v>3</v>
      </c>
      <c r="O1343" s="2">
        <v>2</v>
      </c>
      <c r="P1343" s="2" t="s">
        <v>50</v>
      </c>
      <c r="Q1343" s="2">
        <v>3</v>
      </c>
      <c r="R1343" s="2" t="s">
        <v>52</v>
      </c>
      <c r="S1343" s="2">
        <v>4197</v>
      </c>
      <c r="T1343" s="2">
        <v>18624</v>
      </c>
      <c r="U1343" s="2">
        <v>1</v>
      </c>
      <c r="V1343" s="2" t="s">
        <v>42</v>
      </c>
      <c r="W1343" s="2" t="s">
        <v>43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</row>
    <row r="1344" spans="1:35" x14ac:dyDescent="0.25">
      <c r="A1344" s="2">
        <v>34</v>
      </c>
      <c r="B1344" s="2" t="s">
        <v>43</v>
      </c>
      <c r="C1344" s="2" t="s">
        <v>36</v>
      </c>
      <c r="D1344" s="2">
        <v>1480</v>
      </c>
      <c r="E1344" s="2" t="s">
        <v>37</v>
      </c>
      <c r="F1344" s="2">
        <v>4</v>
      </c>
      <c r="G1344" s="2">
        <v>3</v>
      </c>
      <c r="H1344" s="2" t="s">
        <v>38</v>
      </c>
      <c r="I1344" s="2">
        <v>1</v>
      </c>
      <c r="J1344" s="2">
        <v>1882</v>
      </c>
      <c r="K1344" s="2">
        <v>3</v>
      </c>
      <c r="L1344" s="2" t="s">
        <v>46</v>
      </c>
      <c r="M1344" s="2">
        <v>64</v>
      </c>
      <c r="N1344" s="2">
        <v>3</v>
      </c>
      <c r="O1344" s="2">
        <v>3</v>
      </c>
      <c r="P1344" s="2" t="s">
        <v>40</v>
      </c>
      <c r="Q1344" s="2">
        <v>4</v>
      </c>
      <c r="R1344" s="2" t="s">
        <v>48</v>
      </c>
      <c r="S1344" s="2">
        <v>9713</v>
      </c>
      <c r="T1344" s="2">
        <v>24444</v>
      </c>
      <c r="U1344" s="2">
        <v>2</v>
      </c>
      <c r="V1344" s="2" t="s">
        <v>42</v>
      </c>
      <c r="W1344" s="2" t="s">
        <v>35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</row>
    <row r="1345" spans="1:35" x14ac:dyDescent="0.25">
      <c r="A1345" s="2">
        <v>29</v>
      </c>
      <c r="B1345" s="2" t="s">
        <v>43</v>
      </c>
      <c r="C1345" s="2" t="s">
        <v>36</v>
      </c>
      <c r="D1345" s="2">
        <v>592</v>
      </c>
      <c r="E1345" s="2" t="s">
        <v>45</v>
      </c>
      <c r="F1345" s="2">
        <v>7</v>
      </c>
      <c r="G1345" s="2">
        <v>3</v>
      </c>
      <c r="H1345" s="2" t="s">
        <v>38</v>
      </c>
      <c r="I1345" s="2">
        <v>1</v>
      </c>
      <c r="J1345" s="2">
        <v>1883</v>
      </c>
      <c r="K1345" s="2">
        <v>4</v>
      </c>
      <c r="L1345" s="2" t="s">
        <v>46</v>
      </c>
      <c r="M1345" s="2">
        <v>59</v>
      </c>
      <c r="N1345" s="2">
        <v>3</v>
      </c>
      <c r="O1345" s="2">
        <v>1</v>
      </c>
      <c r="P1345" s="2" t="s">
        <v>50</v>
      </c>
      <c r="Q1345" s="2">
        <v>1</v>
      </c>
      <c r="R1345" s="2" t="s">
        <v>41</v>
      </c>
      <c r="S1345" s="2">
        <v>2062</v>
      </c>
      <c r="T1345" s="2">
        <v>19384</v>
      </c>
      <c r="U1345" s="2">
        <v>3</v>
      </c>
      <c r="V1345" s="2" t="s">
        <v>42</v>
      </c>
      <c r="W1345" s="2" t="s">
        <v>43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</row>
    <row r="1346" spans="1:35" x14ac:dyDescent="0.25">
      <c r="A1346" s="2">
        <v>37</v>
      </c>
      <c r="B1346" s="2" t="s">
        <v>43</v>
      </c>
      <c r="C1346" s="2" t="s">
        <v>36</v>
      </c>
      <c r="D1346" s="2">
        <v>783</v>
      </c>
      <c r="E1346" s="2" t="s">
        <v>45</v>
      </c>
      <c r="F1346" s="2">
        <v>7</v>
      </c>
      <c r="G1346" s="2">
        <v>4</v>
      </c>
      <c r="H1346" s="2" t="s">
        <v>51</v>
      </c>
      <c r="I1346" s="2">
        <v>1</v>
      </c>
      <c r="J1346" s="2">
        <v>1885</v>
      </c>
      <c r="K1346" s="2">
        <v>4</v>
      </c>
      <c r="L1346" s="2" t="s">
        <v>46</v>
      </c>
      <c r="M1346" s="2">
        <v>78</v>
      </c>
      <c r="N1346" s="2">
        <v>3</v>
      </c>
      <c r="O1346" s="2">
        <v>2</v>
      </c>
      <c r="P1346" s="2" t="s">
        <v>47</v>
      </c>
      <c r="Q1346" s="2">
        <v>1</v>
      </c>
      <c r="R1346" s="2" t="s">
        <v>48</v>
      </c>
      <c r="S1346" s="2">
        <v>4284</v>
      </c>
      <c r="T1346" s="2">
        <v>13588</v>
      </c>
      <c r="U1346" s="2">
        <v>5</v>
      </c>
      <c r="V1346" s="2" t="s">
        <v>42</v>
      </c>
      <c r="W1346" s="2" t="s">
        <v>35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</row>
    <row r="1347" spans="1:35" x14ac:dyDescent="0.25">
      <c r="A1347" s="2">
        <v>35</v>
      </c>
      <c r="B1347" s="2" t="s">
        <v>43</v>
      </c>
      <c r="C1347" s="2" t="s">
        <v>36</v>
      </c>
      <c r="D1347" s="2">
        <v>219</v>
      </c>
      <c r="E1347" s="2" t="s">
        <v>45</v>
      </c>
      <c r="F1347" s="2">
        <v>16</v>
      </c>
      <c r="G1347" s="2">
        <v>2</v>
      </c>
      <c r="H1347" s="2" t="s">
        <v>49</v>
      </c>
      <c r="I1347" s="2">
        <v>1</v>
      </c>
      <c r="J1347" s="2">
        <v>1886</v>
      </c>
      <c r="K1347" s="2">
        <v>4</v>
      </c>
      <c r="L1347" s="2" t="s">
        <v>39</v>
      </c>
      <c r="M1347" s="2">
        <v>44</v>
      </c>
      <c r="N1347" s="2">
        <v>2</v>
      </c>
      <c r="O1347" s="2">
        <v>2</v>
      </c>
      <c r="P1347" s="2" t="s">
        <v>53</v>
      </c>
      <c r="Q1347" s="2">
        <v>2</v>
      </c>
      <c r="R1347" s="2" t="s">
        <v>48</v>
      </c>
      <c r="S1347" s="2">
        <v>4788</v>
      </c>
      <c r="T1347" s="2">
        <v>25388</v>
      </c>
      <c r="U1347" s="2">
        <v>0</v>
      </c>
      <c r="V1347" s="2" t="s">
        <v>42</v>
      </c>
      <c r="W1347" s="2" t="s">
        <v>35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</row>
    <row r="1348" spans="1:35" x14ac:dyDescent="0.25">
      <c r="A1348" s="2">
        <v>45</v>
      </c>
      <c r="B1348" s="2" t="s">
        <v>43</v>
      </c>
      <c r="C1348" s="2" t="s">
        <v>36</v>
      </c>
      <c r="D1348" s="2">
        <v>556</v>
      </c>
      <c r="E1348" s="2" t="s">
        <v>45</v>
      </c>
      <c r="F1348" s="2">
        <v>25</v>
      </c>
      <c r="G1348" s="2">
        <v>2</v>
      </c>
      <c r="H1348" s="2" t="s">
        <v>38</v>
      </c>
      <c r="I1348" s="2">
        <v>1</v>
      </c>
      <c r="J1348" s="2">
        <v>1888</v>
      </c>
      <c r="K1348" s="2">
        <v>2</v>
      </c>
      <c r="L1348" s="2" t="s">
        <v>39</v>
      </c>
      <c r="M1348" s="2">
        <v>93</v>
      </c>
      <c r="N1348" s="2">
        <v>2</v>
      </c>
      <c r="O1348" s="2">
        <v>2</v>
      </c>
      <c r="P1348" s="2" t="s">
        <v>53</v>
      </c>
      <c r="Q1348" s="2">
        <v>4</v>
      </c>
      <c r="R1348" s="2" t="s">
        <v>48</v>
      </c>
      <c r="S1348" s="2">
        <v>5906</v>
      </c>
      <c r="T1348" s="2">
        <v>23888</v>
      </c>
      <c r="U1348" s="2">
        <v>0</v>
      </c>
      <c r="V1348" s="2" t="s">
        <v>42</v>
      </c>
      <c r="W1348" s="2" t="s">
        <v>43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</row>
    <row r="1349" spans="1:35" x14ac:dyDescent="0.25">
      <c r="A1349" s="2">
        <v>36</v>
      </c>
      <c r="B1349" s="2" t="s">
        <v>43</v>
      </c>
      <c r="C1349" s="2" t="s">
        <v>44</v>
      </c>
      <c r="D1349" s="2">
        <v>1213</v>
      </c>
      <c r="E1349" s="2" t="s">
        <v>61</v>
      </c>
      <c r="F1349" s="2">
        <v>2</v>
      </c>
      <c r="G1349" s="2">
        <v>1</v>
      </c>
      <c r="H1349" s="2" t="s">
        <v>61</v>
      </c>
      <c r="I1349" s="2">
        <v>1</v>
      </c>
      <c r="J1349" s="2">
        <v>1890</v>
      </c>
      <c r="K1349" s="2">
        <v>2</v>
      </c>
      <c r="L1349" s="2" t="s">
        <v>46</v>
      </c>
      <c r="M1349" s="2">
        <v>94</v>
      </c>
      <c r="N1349" s="2">
        <v>2</v>
      </c>
      <c r="O1349" s="2">
        <v>2</v>
      </c>
      <c r="P1349" s="2" t="s">
        <v>61</v>
      </c>
      <c r="Q1349" s="2">
        <v>4</v>
      </c>
      <c r="R1349" s="2" t="s">
        <v>41</v>
      </c>
      <c r="S1349" s="2">
        <v>3886</v>
      </c>
      <c r="T1349" s="2">
        <v>4223</v>
      </c>
      <c r="U1349" s="2">
        <v>1</v>
      </c>
      <c r="V1349" s="2" t="s">
        <v>42</v>
      </c>
      <c r="W1349" s="2" t="s">
        <v>43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</row>
    <row r="1350" spans="1:35" x14ac:dyDescent="0.25">
      <c r="A1350" s="2">
        <v>40</v>
      </c>
      <c r="B1350" s="2" t="s">
        <v>43</v>
      </c>
      <c r="C1350" s="2" t="s">
        <v>36</v>
      </c>
      <c r="D1350" s="2">
        <v>1137</v>
      </c>
      <c r="E1350" s="2" t="s">
        <v>45</v>
      </c>
      <c r="F1350" s="2">
        <v>1</v>
      </c>
      <c r="G1350" s="2">
        <v>4</v>
      </c>
      <c r="H1350" s="2" t="s">
        <v>38</v>
      </c>
      <c r="I1350" s="2">
        <v>1</v>
      </c>
      <c r="J1350" s="2">
        <v>1892</v>
      </c>
      <c r="K1350" s="2">
        <v>1</v>
      </c>
      <c r="L1350" s="2" t="s">
        <v>46</v>
      </c>
      <c r="M1350" s="2">
        <v>98</v>
      </c>
      <c r="N1350" s="2">
        <v>3</v>
      </c>
      <c r="O1350" s="2">
        <v>4</v>
      </c>
      <c r="P1350" s="2" t="s">
        <v>56</v>
      </c>
      <c r="Q1350" s="2">
        <v>1</v>
      </c>
      <c r="R1350" s="2" t="s">
        <v>52</v>
      </c>
      <c r="S1350" s="2">
        <v>16823</v>
      </c>
      <c r="T1350" s="2">
        <v>18991</v>
      </c>
      <c r="U1350" s="2">
        <v>2</v>
      </c>
      <c r="V1350" s="2" t="s">
        <v>42</v>
      </c>
      <c r="W1350" s="2" t="s">
        <v>43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</row>
    <row r="1351" spans="1:35" x14ac:dyDescent="0.25">
      <c r="A1351" s="2">
        <v>26</v>
      </c>
      <c r="B1351" s="2" t="s">
        <v>43</v>
      </c>
      <c r="C1351" s="2" t="s">
        <v>36</v>
      </c>
      <c r="D1351" s="2">
        <v>482</v>
      </c>
      <c r="E1351" s="2" t="s">
        <v>45</v>
      </c>
      <c r="F1351" s="2">
        <v>1</v>
      </c>
      <c r="G1351" s="2">
        <v>2</v>
      </c>
      <c r="H1351" s="2" t="s">
        <v>38</v>
      </c>
      <c r="I1351" s="2">
        <v>1</v>
      </c>
      <c r="J1351" s="2">
        <v>1893</v>
      </c>
      <c r="K1351" s="2">
        <v>2</v>
      </c>
      <c r="L1351" s="2" t="s">
        <v>39</v>
      </c>
      <c r="M1351" s="2">
        <v>90</v>
      </c>
      <c r="N1351" s="2">
        <v>2</v>
      </c>
      <c r="O1351" s="2">
        <v>1</v>
      </c>
      <c r="P1351" s="2" t="s">
        <v>47</v>
      </c>
      <c r="Q1351" s="2">
        <v>3</v>
      </c>
      <c r="R1351" s="2" t="s">
        <v>48</v>
      </c>
      <c r="S1351" s="2">
        <v>2933</v>
      </c>
      <c r="T1351" s="2">
        <v>14908</v>
      </c>
      <c r="U1351" s="2">
        <v>1</v>
      </c>
      <c r="V1351" s="2" t="s">
        <v>42</v>
      </c>
      <c r="W1351" s="2" t="s">
        <v>35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</row>
    <row r="1352" spans="1:35" x14ac:dyDescent="0.25">
      <c r="A1352" s="2">
        <v>27</v>
      </c>
      <c r="B1352" s="2" t="s">
        <v>43</v>
      </c>
      <c r="C1352" s="2" t="s">
        <v>36</v>
      </c>
      <c r="D1352" s="2">
        <v>511</v>
      </c>
      <c r="E1352" s="2" t="s">
        <v>37</v>
      </c>
      <c r="F1352" s="2">
        <v>2</v>
      </c>
      <c r="G1352" s="2">
        <v>2</v>
      </c>
      <c r="H1352" s="2" t="s">
        <v>51</v>
      </c>
      <c r="I1352" s="2">
        <v>1</v>
      </c>
      <c r="J1352" s="2">
        <v>1898</v>
      </c>
      <c r="K1352" s="2">
        <v>1</v>
      </c>
      <c r="L1352" s="2" t="s">
        <v>39</v>
      </c>
      <c r="M1352" s="2">
        <v>89</v>
      </c>
      <c r="N1352" s="2">
        <v>4</v>
      </c>
      <c r="O1352" s="2">
        <v>2</v>
      </c>
      <c r="P1352" s="2" t="s">
        <v>40</v>
      </c>
      <c r="Q1352" s="2">
        <v>3</v>
      </c>
      <c r="R1352" s="2" t="s">
        <v>41</v>
      </c>
      <c r="S1352" s="2">
        <v>6500</v>
      </c>
      <c r="T1352" s="2">
        <v>26997</v>
      </c>
      <c r="U1352" s="2">
        <v>0</v>
      </c>
      <c r="V1352" s="2" t="s">
        <v>42</v>
      </c>
      <c r="W1352" s="2" t="s">
        <v>43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</row>
    <row r="1353" spans="1:35" x14ac:dyDescent="0.25">
      <c r="A1353" s="2">
        <v>48</v>
      </c>
      <c r="B1353" s="2" t="s">
        <v>43</v>
      </c>
      <c r="C1353" s="2" t="s">
        <v>44</v>
      </c>
      <c r="D1353" s="2">
        <v>117</v>
      </c>
      <c r="E1353" s="2" t="s">
        <v>45</v>
      </c>
      <c r="F1353" s="2">
        <v>22</v>
      </c>
      <c r="G1353" s="2">
        <v>3</v>
      </c>
      <c r="H1353" s="2" t="s">
        <v>51</v>
      </c>
      <c r="I1353" s="2">
        <v>1</v>
      </c>
      <c r="J1353" s="2">
        <v>1900</v>
      </c>
      <c r="K1353" s="2">
        <v>4</v>
      </c>
      <c r="L1353" s="2" t="s">
        <v>39</v>
      </c>
      <c r="M1353" s="2">
        <v>58</v>
      </c>
      <c r="N1353" s="2">
        <v>3</v>
      </c>
      <c r="O1353" s="2">
        <v>4</v>
      </c>
      <c r="P1353" s="2" t="s">
        <v>56</v>
      </c>
      <c r="Q1353" s="2">
        <v>4</v>
      </c>
      <c r="R1353" s="2" t="s">
        <v>52</v>
      </c>
      <c r="S1353" s="2">
        <v>17174</v>
      </c>
      <c r="T1353" s="2">
        <v>2437</v>
      </c>
      <c r="U1353" s="2">
        <v>3</v>
      </c>
      <c r="V1353" s="2" t="s">
        <v>42</v>
      </c>
      <c r="W1353" s="2" t="s">
        <v>43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</row>
    <row r="1354" spans="1:35" x14ac:dyDescent="0.25">
      <c r="A1354" s="2">
        <v>44</v>
      </c>
      <c r="B1354" s="2" t="s">
        <v>43</v>
      </c>
      <c r="C1354" s="2" t="s">
        <v>36</v>
      </c>
      <c r="D1354" s="2">
        <v>170</v>
      </c>
      <c r="E1354" s="2" t="s">
        <v>45</v>
      </c>
      <c r="F1354" s="2">
        <v>1</v>
      </c>
      <c r="G1354" s="2">
        <v>4</v>
      </c>
      <c r="H1354" s="2" t="s">
        <v>38</v>
      </c>
      <c r="I1354" s="2">
        <v>1</v>
      </c>
      <c r="J1354" s="2">
        <v>1903</v>
      </c>
      <c r="K1354" s="2">
        <v>2</v>
      </c>
      <c r="L1354" s="2" t="s">
        <v>46</v>
      </c>
      <c r="M1354" s="2">
        <v>78</v>
      </c>
      <c r="N1354" s="2">
        <v>4</v>
      </c>
      <c r="O1354" s="2">
        <v>2</v>
      </c>
      <c r="P1354" s="2" t="s">
        <v>54</v>
      </c>
      <c r="Q1354" s="2">
        <v>1</v>
      </c>
      <c r="R1354" s="2" t="s">
        <v>48</v>
      </c>
      <c r="S1354" s="2">
        <v>5033</v>
      </c>
      <c r="T1354" s="2">
        <v>9364</v>
      </c>
      <c r="U1354" s="2">
        <v>2</v>
      </c>
      <c r="V1354" s="2" t="s">
        <v>42</v>
      </c>
      <c r="W1354" s="2" t="s">
        <v>43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</row>
    <row r="1355" spans="1:35" x14ac:dyDescent="0.25">
      <c r="A1355" s="2">
        <v>34</v>
      </c>
      <c r="B1355" s="2" t="s">
        <v>35</v>
      </c>
      <c r="C1355" s="2" t="s">
        <v>55</v>
      </c>
      <c r="D1355" s="2">
        <v>967</v>
      </c>
      <c r="E1355" s="2" t="s">
        <v>45</v>
      </c>
      <c r="F1355" s="2">
        <v>16</v>
      </c>
      <c r="G1355" s="2">
        <v>4</v>
      </c>
      <c r="H1355" s="2" t="s">
        <v>60</v>
      </c>
      <c r="I1355" s="2">
        <v>1</v>
      </c>
      <c r="J1355" s="2">
        <v>1905</v>
      </c>
      <c r="K1355" s="2">
        <v>4</v>
      </c>
      <c r="L1355" s="2" t="s">
        <v>46</v>
      </c>
      <c r="M1355" s="2">
        <v>85</v>
      </c>
      <c r="N1355" s="2">
        <v>1</v>
      </c>
      <c r="O1355" s="2">
        <v>1</v>
      </c>
      <c r="P1355" s="2" t="s">
        <v>47</v>
      </c>
      <c r="Q1355" s="2">
        <v>1</v>
      </c>
      <c r="R1355" s="2" t="s">
        <v>48</v>
      </c>
      <c r="S1355" s="2">
        <v>2307</v>
      </c>
      <c r="T1355" s="2">
        <v>14460</v>
      </c>
      <c r="U1355" s="2">
        <v>1</v>
      </c>
      <c r="V1355" s="2" t="s">
        <v>42</v>
      </c>
      <c r="W1355" s="2" t="s">
        <v>35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</row>
    <row r="1356" spans="1:35" x14ac:dyDescent="0.25">
      <c r="A1356" s="2">
        <v>56</v>
      </c>
      <c r="B1356" s="2" t="s">
        <v>35</v>
      </c>
      <c r="C1356" s="2" t="s">
        <v>36</v>
      </c>
      <c r="D1356" s="2">
        <v>1162</v>
      </c>
      <c r="E1356" s="2" t="s">
        <v>45</v>
      </c>
      <c r="F1356" s="2">
        <v>24</v>
      </c>
      <c r="G1356" s="2">
        <v>2</v>
      </c>
      <c r="H1356" s="2" t="s">
        <v>38</v>
      </c>
      <c r="I1356" s="2">
        <v>1</v>
      </c>
      <c r="J1356" s="2">
        <v>1907</v>
      </c>
      <c r="K1356" s="2">
        <v>1</v>
      </c>
      <c r="L1356" s="2" t="s">
        <v>46</v>
      </c>
      <c r="M1356" s="2">
        <v>97</v>
      </c>
      <c r="N1356" s="2">
        <v>3</v>
      </c>
      <c r="O1356" s="2">
        <v>1</v>
      </c>
      <c r="P1356" s="2" t="s">
        <v>50</v>
      </c>
      <c r="Q1356" s="2">
        <v>4</v>
      </c>
      <c r="R1356" s="2" t="s">
        <v>41</v>
      </c>
      <c r="S1356" s="2">
        <v>2587</v>
      </c>
      <c r="T1356" s="2">
        <v>10261</v>
      </c>
      <c r="U1356" s="2">
        <v>1</v>
      </c>
      <c r="V1356" s="2" t="s">
        <v>42</v>
      </c>
      <c r="W1356" s="2" t="s">
        <v>43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</row>
    <row r="1357" spans="1:35" x14ac:dyDescent="0.25">
      <c r="A1357" s="2">
        <v>36</v>
      </c>
      <c r="B1357" s="2" t="s">
        <v>43</v>
      </c>
      <c r="C1357" s="2" t="s">
        <v>36</v>
      </c>
      <c r="D1357" s="2">
        <v>335</v>
      </c>
      <c r="E1357" s="2" t="s">
        <v>37</v>
      </c>
      <c r="F1357" s="2">
        <v>17</v>
      </c>
      <c r="G1357" s="2">
        <v>2</v>
      </c>
      <c r="H1357" s="2" t="s">
        <v>59</v>
      </c>
      <c r="I1357" s="2">
        <v>1</v>
      </c>
      <c r="J1357" s="2">
        <v>1908</v>
      </c>
      <c r="K1357" s="2">
        <v>3</v>
      </c>
      <c r="L1357" s="2" t="s">
        <v>46</v>
      </c>
      <c r="M1357" s="2">
        <v>33</v>
      </c>
      <c r="N1357" s="2">
        <v>2</v>
      </c>
      <c r="O1357" s="2">
        <v>2</v>
      </c>
      <c r="P1357" s="2" t="s">
        <v>40</v>
      </c>
      <c r="Q1357" s="2">
        <v>2</v>
      </c>
      <c r="R1357" s="2" t="s">
        <v>48</v>
      </c>
      <c r="S1357" s="2">
        <v>5507</v>
      </c>
      <c r="T1357" s="2">
        <v>16822</v>
      </c>
      <c r="U1357" s="2">
        <v>2</v>
      </c>
      <c r="V1357" s="2" t="s">
        <v>42</v>
      </c>
      <c r="W1357" s="2" t="s">
        <v>43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</row>
    <row r="1358" spans="1:35" x14ac:dyDescent="0.25">
      <c r="A1358" s="2">
        <v>41</v>
      </c>
      <c r="B1358" s="2" t="s">
        <v>43</v>
      </c>
      <c r="C1358" s="2" t="s">
        <v>36</v>
      </c>
      <c r="D1358" s="2">
        <v>337</v>
      </c>
      <c r="E1358" s="2" t="s">
        <v>37</v>
      </c>
      <c r="F1358" s="2">
        <v>8</v>
      </c>
      <c r="G1358" s="2">
        <v>3</v>
      </c>
      <c r="H1358" s="2" t="s">
        <v>59</v>
      </c>
      <c r="I1358" s="2">
        <v>1</v>
      </c>
      <c r="J1358" s="2">
        <v>1909</v>
      </c>
      <c r="K1358" s="2">
        <v>3</v>
      </c>
      <c r="L1358" s="2" t="s">
        <v>39</v>
      </c>
      <c r="M1358" s="2">
        <v>54</v>
      </c>
      <c r="N1358" s="2">
        <v>3</v>
      </c>
      <c r="O1358" s="2">
        <v>2</v>
      </c>
      <c r="P1358" s="2" t="s">
        <v>40</v>
      </c>
      <c r="Q1358" s="2">
        <v>2</v>
      </c>
      <c r="R1358" s="2" t="s">
        <v>48</v>
      </c>
      <c r="S1358" s="2">
        <v>4393</v>
      </c>
      <c r="T1358" s="2">
        <v>26841</v>
      </c>
      <c r="U1358" s="2">
        <v>5</v>
      </c>
      <c r="V1358" s="2" t="s">
        <v>42</v>
      </c>
      <c r="W1358" s="2" t="s">
        <v>43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</row>
    <row r="1359" spans="1:35" x14ac:dyDescent="0.25">
      <c r="A1359" s="2">
        <v>42</v>
      </c>
      <c r="B1359" s="2" t="s">
        <v>43</v>
      </c>
      <c r="C1359" s="2" t="s">
        <v>36</v>
      </c>
      <c r="D1359" s="2">
        <v>1396</v>
      </c>
      <c r="E1359" s="2" t="s">
        <v>45</v>
      </c>
      <c r="F1359" s="2">
        <v>6</v>
      </c>
      <c r="G1359" s="2">
        <v>3</v>
      </c>
      <c r="H1359" s="2" t="s">
        <v>51</v>
      </c>
      <c r="I1359" s="2">
        <v>1</v>
      </c>
      <c r="J1359" s="2">
        <v>1911</v>
      </c>
      <c r="K1359" s="2">
        <v>3</v>
      </c>
      <c r="L1359" s="2" t="s">
        <v>46</v>
      </c>
      <c r="M1359" s="2">
        <v>83</v>
      </c>
      <c r="N1359" s="2">
        <v>3</v>
      </c>
      <c r="O1359" s="2">
        <v>3</v>
      </c>
      <c r="P1359" s="2" t="s">
        <v>58</v>
      </c>
      <c r="Q1359" s="2">
        <v>1</v>
      </c>
      <c r="R1359" s="2" t="s">
        <v>48</v>
      </c>
      <c r="S1359" s="2">
        <v>13348</v>
      </c>
      <c r="T1359" s="2">
        <v>14842</v>
      </c>
      <c r="U1359" s="2">
        <v>9</v>
      </c>
      <c r="V1359" s="2" t="s">
        <v>42</v>
      </c>
      <c r="W1359" s="2" t="s">
        <v>43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</row>
    <row r="1360" spans="1:35" x14ac:dyDescent="0.25">
      <c r="A1360" s="2">
        <v>31</v>
      </c>
      <c r="B1360" s="2" t="s">
        <v>43</v>
      </c>
      <c r="C1360" s="2" t="s">
        <v>36</v>
      </c>
      <c r="D1360" s="2">
        <v>1079</v>
      </c>
      <c r="E1360" s="2" t="s">
        <v>37</v>
      </c>
      <c r="F1360" s="2">
        <v>10</v>
      </c>
      <c r="G1360" s="2">
        <v>2</v>
      </c>
      <c r="H1360" s="2" t="s">
        <v>51</v>
      </c>
      <c r="I1360" s="2">
        <v>1</v>
      </c>
      <c r="J1360" s="2">
        <v>1912</v>
      </c>
      <c r="K1360" s="2">
        <v>3</v>
      </c>
      <c r="L1360" s="2" t="s">
        <v>39</v>
      </c>
      <c r="M1360" s="2">
        <v>86</v>
      </c>
      <c r="N1360" s="2">
        <v>3</v>
      </c>
      <c r="O1360" s="2">
        <v>2</v>
      </c>
      <c r="P1360" s="2" t="s">
        <v>40</v>
      </c>
      <c r="Q1360" s="2">
        <v>4</v>
      </c>
      <c r="R1360" s="2" t="s">
        <v>52</v>
      </c>
      <c r="S1360" s="2">
        <v>6583</v>
      </c>
      <c r="T1360" s="2">
        <v>20115</v>
      </c>
      <c r="U1360" s="2">
        <v>2</v>
      </c>
      <c r="V1360" s="2" t="s">
        <v>42</v>
      </c>
      <c r="W1360" s="2" t="s">
        <v>35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</row>
    <row r="1361" spans="1:35" x14ac:dyDescent="0.25">
      <c r="A1361" s="2">
        <v>34</v>
      </c>
      <c r="B1361" s="2" t="s">
        <v>43</v>
      </c>
      <c r="C1361" s="2" t="s">
        <v>36</v>
      </c>
      <c r="D1361" s="2">
        <v>735</v>
      </c>
      <c r="E1361" s="2" t="s">
        <v>37</v>
      </c>
      <c r="F1361" s="2">
        <v>3</v>
      </c>
      <c r="G1361" s="2">
        <v>1</v>
      </c>
      <c r="H1361" s="2" t="s">
        <v>51</v>
      </c>
      <c r="I1361" s="2">
        <v>1</v>
      </c>
      <c r="J1361" s="2">
        <v>1915</v>
      </c>
      <c r="K1361" s="2">
        <v>4</v>
      </c>
      <c r="L1361" s="2" t="s">
        <v>39</v>
      </c>
      <c r="M1361" s="2">
        <v>75</v>
      </c>
      <c r="N1361" s="2">
        <v>2</v>
      </c>
      <c r="O1361" s="2">
        <v>2</v>
      </c>
      <c r="P1361" s="2" t="s">
        <v>40</v>
      </c>
      <c r="Q1361" s="2">
        <v>4</v>
      </c>
      <c r="R1361" s="2" t="s">
        <v>48</v>
      </c>
      <c r="S1361" s="2">
        <v>8103</v>
      </c>
      <c r="T1361" s="2">
        <v>16495</v>
      </c>
      <c r="U1361" s="2">
        <v>3</v>
      </c>
      <c r="V1361" s="2" t="s">
        <v>42</v>
      </c>
      <c r="W1361" s="2" t="s">
        <v>35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</row>
    <row r="1362" spans="1:35" x14ac:dyDescent="0.25">
      <c r="A1362" s="2">
        <v>31</v>
      </c>
      <c r="B1362" s="2" t="s">
        <v>43</v>
      </c>
      <c r="C1362" s="2" t="s">
        <v>36</v>
      </c>
      <c r="D1362" s="2">
        <v>471</v>
      </c>
      <c r="E1362" s="2" t="s">
        <v>45</v>
      </c>
      <c r="F1362" s="2">
        <v>4</v>
      </c>
      <c r="G1362" s="2">
        <v>3</v>
      </c>
      <c r="H1362" s="2" t="s">
        <v>51</v>
      </c>
      <c r="I1362" s="2">
        <v>1</v>
      </c>
      <c r="J1362" s="2">
        <v>1916</v>
      </c>
      <c r="K1362" s="2">
        <v>1</v>
      </c>
      <c r="L1362" s="2" t="s">
        <v>39</v>
      </c>
      <c r="M1362" s="2">
        <v>62</v>
      </c>
      <c r="N1362" s="2">
        <v>4</v>
      </c>
      <c r="O1362" s="2">
        <v>1</v>
      </c>
      <c r="P1362" s="2" t="s">
        <v>50</v>
      </c>
      <c r="Q1362" s="2">
        <v>3</v>
      </c>
      <c r="R1362" s="2" t="s">
        <v>52</v>
      </c>
      <c r="S1362" s="2">
        <v>3978</v>
      </c>
      <c r="T1362" s="2">
        <v>16031</v>
      </c>
      <c r="U1362" s="2">
        <v>8</v>
      </c>
      <c r="V1362" s="2" t="s">
        <v>42</v>
      </c>
      <c r="W1362" s="2" t="s">
        <v>43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</row>
    <row r="1363" spans="1:35" x14ac:dyDescent="0.25">
      <c r="A1363" s="2">
        <v>26</v>
      </c>
      <c r="B1363" s="2" t="s">
        <v>43</v>
      </c>
      <c r="C1363" s="2" t="s">
        <v>44</v>
      </c>
      <c r="D1363" s="2">
        <v>1096</v>
      </c>
      <c r="E1363" s="2" t="s">
        <v>45</v>
      </c>
      <c r="F1363" s="2">
        <v>6</v>
      </c>
      <c r="G1363" s="2">
        <v>3</v>
      </c>
      <c r="H1363" s="2" t="s">
        <v>49</v>
      </c>
      <c r="I1363" s="2">
        <v>1</v>
      </c>
      <c r="J1363" s="2">
        <v>1918</v>
      </c>
      <c r="K1363" s="2">
        <v>3</v>
      </c>
      <c r="L1363" s="2" t="s">
        <v>46</v>
      </c>
      <c r="M1363" s="2">
        <v>61</v>
      </c>
      <c r="N1363" s="2">
        <v>4</v>
      </c>
      <c r="O1363" s="2">
        <v>1</v>
      </c>
      <c r="P1363" s="2" t="s">
        <v>50</v>
      </c>
      <c r="Q1363" s="2">
        <v>4</v>
      </c>
      <c r="R1363" s="2" t="s">
        <v>48</v>
      </c>
      <c r="S1363" s="2">
        <v>2544</v>
      </c>
      <c r="T1363" s="2">
        <v>7102</v>
      </c>
      <c r="U1363" s="2">
        <v>0</v>
      </c>
      <c r="V1363" s="2" t="s">
        <v>42</v>
      </c>
      <c r="W1363" s="2" t="s">
        <v>43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</row>
    <row r="1364" spans="1:35" x14ac:dyDescent="0.25">
      <c r="A1364" s="2">
        <v>45</v>
      </c>
      <c r="B1364" s="2" t="s">
        <v>43</v>
      </c>
      <c r="C1364" s="2" t="s">
        <v>44</v>
      </c>
      <c r="D1364" s="2">
        <v>1297</v>
      </c>
      <c r="E1364" s="2" t="s">
        <v>45</v>
      </c>
      <c r="F1364" s="2">
        <v>1</v>
      </c>
      <c r="G1364" s="2">
        <v>4</v>
      </c>
      <c r="H1364" s="2" t="s">
        <v>51</v>
      </c>
      <c r="I1364" s="2">
        <v>1</v>
      </c>
      <c r="J1364" s="2">
        <v>1922</v>
      </c>
      <c r="K1364" s="2">
        <v>2</v>
      </c>
      <c r="L1364" s="2" t="s">
        <v>46</v>
      </c>
      <c r="M1364" s="2">
        <v>44</v>
      </c>
      <c r="N1364" s="2">
        <v>3</v>
      </c>
      <c r="O1364" s="2">
        <v>2</v>
      </c>
      <c r="P1364" s="2" t="s">
        <v>54</v>
      </c>
      <c r="Q1364" s="2">
        <v>3</v>
      </c>
      <c r="R1364" s="2" t="s">
        <v>41</v>
      </c>
      <c r="S1364" s="2">
        <v>5399</v>
      </c>
      <c r="T1364" s="2">
        <v>14511</v>
      </c>
      <c r="U1364" s="2">
        <v>4</v>
      </c>
      <c r="V1364" s="2" t="s">
        <v>42</v>
      </c>
      <c r="W1364" s="2" t="s">
        <v>43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</row>
    <row r="1365" spans="1:35" x14ac:dyDescent="0.25">
      <c r="A1365" s="2">
        <v>33</v>
      </c>
      <c r="B1365" s="2" t="s">
        <v>43</v>
      </c>
      <c r="C1365" s="2" t="s">
        <v>36</v>
      </c>
      <c r="D1365" s="2">
        <v>217</v>
      </c>
      <c r="E1365" s="2" t="s">
        <v>37</v>
      </c>
      <c r="F1365" s="2">
        <v>10</v>
      </c>
      <c r="G1365" s="2">
        <v>4</v>
      </c>
      <c r="H1365" s="2" t="s">
        <v>59</v>
      </c>
      <c r="I1365" s="2">
        <v>1</v>
      </c>
      <c r="J1365" s="2">
        <v>1924</v>
      </c>
      <c r="K1365" s="2">
        <v>2</v>
      </c>
      <c r="L1365" s="2" t="s">
        <v>46</v>
      </c>
      <c r="M1365" s="2">
        <v>43</v>
      </c>
      <c r="N1365" s="2">
        <v>3</v>
      </c>
      <c r="O1365" s="2">
        <v>2</v>
      </c>
      <c r="P1365" s="2" t="s">
        <v>40</v>
      </c>
      <c r="Q1365" s="2">
        <v>3</v>
      </c>
      <c r="R1365" s="2" t="s">
        <v>41</v>
      </c>
      <c r="S1365" s="2">
        <v>5487</v>
      </c>
      <c r="T1365" s="2">
        <v>10410</v>
      </c>
      <c r="U1365" s="2">
        <v>1</v>
      </c>
      <c r="V1365" s="2" t="s">
        <v>42</v>
      </c>
      <c r="W1365" s="2" t="s">
        <v>43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</row>
    <row r="1366" spans="1:35" x14ac:dyDescent="0.25">
      <c r="A1366" s="2">
        <v>28</v>
      </c>
      <c r="B1366" s="2" t="s">
        <v>43</v>
      </c>
      <c r="C1366" s="2" t="s">
        <v>44</v>
      </c>
      <c r="D1366" s="2">
        <v>783</v>
      </c>
      <c r="E1366" s="2" t="s">
        <v>37</v>
      </c>
      <c r="F1366" s="2">
        <v>1</v>
      </c>
      <c r="G1366" s="2">
        <v>2</v>
      </c>
      <c r="H1366" s="2" t="s">
        <v>38</v>
      </c>
      <c r="I1366" s="2">
        <v>1</v>
      </c>
      <c r="J1366" s="2">
        <v>1927</v>
      </c>
      <c r="K1366" s="2">
        <v>3</v>
      </c>
      <c r="L1366" s="2" t="s">
        <v>46</v>
      </c>
      <c r="M1366" s="2">
        <v>42</v>
      </c>
      <c r="N1366" s="2">
        <v>2</v>
      </c>
      <c r="O1366" s="2">
        <v>2</v>
      </c>
      <c r="P1366" s="2" t="s">
        <v>40</v>
      </c>
      <c r="Q1366" s="2">
        <v>4</v>
      </c>
      <c r="R1366" s="2" t="s">
        <v>48</v>
      </c>
      <c r="S1366" s="2">
        <v>6834</v>
      </c>
      <c r="T1366" s="2">
        <v>19255</v>
      </c>
      <c r="U1366" s="2">
        <v>1</v>
      </c>
      <c r="V1366" s="2" t="s">
        <v>42</v>
      </c>
      <c r="W1366" s="2" t="s">
        <v>35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</row>
    <row r="1367" spans="1:35" x14ac:dyDescent="0.25">
      <c r="A1367" s="2">
        <v>29</v>
      </c>
      <c r="B1367" s="2" t="s">
        <v>35</v>
      </c>
      <c r="C1367" s="2" t="s">
        <v>44</v>
      </c>
      <c r="D1367" s="2">
        <v>746</v>
      </c>
      <c r="E1367" s="2" t="s">
        <v>37</v>
      </c>
      <c r="F1367" s="2">
        <v>24</v>
      </c>
      <c r="G1367" s="2">
        <v>3</v>
      </c>
      <c r="H1367" s="2" t="s">
        <v>60</v>
      </c>
      <c r="I1367" s="2">
        <v>1</v>
      </c>
      <c r="J1367" s="2">
        <v>1928</v>
      </c>
      <c r="K1367" s="2">
        <v>3</v>
      </c>
      <c r="L1367" s="2" t="s">
        <v>46</v>
      </c>
      <c r="M1367" s="2">
        <v>45</v>
      </c>
      <c r="N1367" s="2">
        <v>4</v>
      </c>
      <c r="O1367" s="2">
        <v>1</v>
      </c>
      <c r="P1367" s="2" t="s">
        <v>57</v>
      </c>
      <c r="Q1367" s="2">
        <v>1</v>
      </c>
      <c r="R1367" s="2" t="s">
        <v>41</v>
      </c>
      <c r="S1367" s="2">
        <v>1091</v>
      </c>
      <c r="T1367" s="2">
        <v>10642</v>
      </c>
      <c r="U1367" s="2">
        <v>1</v>
      </c>
      <c r="V1367" s="2" t="s">
        <v>42</v>
      </c>
      <c r="W1367" s="2" t="s">
        <v>43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</row>
    <row r="1368" spans="1:35" x14ac:dyDescent="0.25">
      <c r="A1368" s="2">
        <v>39</v>
      </c>
      <c r="B1368" s="2" t="s">
        <v>43</v>
      </c>
      <c r="C1368" s="2" t="s">
        <v>55</v>
      </c>
      <c r="D1368" s="2">
        <v>1251</v>
      </c>
      <c r="E1368" s="2" t="s">
        <v>37</v>
      </c>
      <c r="F1368" s="2">
        <v>21</v>
      </c>
      <c r="G1368" s="2">
        <v>4</v>
      </c>
      <c r="H1368" s="2" t="s">
        <v>38</v>
      </c>
      <c r="I1368" s="2">
        <v>1</v>
      </c>
      <c r="J1368" s="2">
        <v>1929</v>
      </c>
      <c r="K1368" s="2">
        <v>1</v>
      </c>
      <c r="L1368" s="2" t="s">
        <v>39</v>
      </c>
      <c r="M1368" s="2">
        <v>32</v>
      </c>
      <c r="N1368" s="2">
        <v>1</v>
      </c>
      <c r="O1368" s="2">
        <v>2</v>
      </c>
      <c r="P1368" s="2" t="s">
        <v>40</v>
      </c>
      <c r="Q1368" s="2">
        <v>3</v>
      </c>
      <c r="R1368" s="2" t="s">
        <v>48</v>
      </c>
      <c r="S1368" s="2">
        <v>5736</v>
      </c>
      <c r="T1368" s="2">
        <v>3987</v>
      </c>
      <c r="U1368" s="2">
        <v>6</v>
      </c>
      <c r="V1368" s="2" t="s">
        <v>42</v>
      </c>
      <c r="W1368" s="2" t="s">
        <v>43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</row>
    <row r="1369" spans="1:35" x14ac:dyDescent="0.25">
      <c r="A1369" s="2">
        <v>27</v>
      </c>
      <c r="B1369" s="2" t="s">
        <v>43</v>
      </c>
      <c r="C1369" s="2" t="s">
        <v>36</v>
      </c>
      <c r="D1369" s="2">
        <v>1354</v>
      </c>
      <c r="E1369" s="2" t="s">
        <v>45</v>
      </c>
      <c r="F1369" s="2">
        <v>2</v>
      </c>
      <c r="G1369" s="2">
        <v>4</v>
      </c>
      <c r="H1369" s="2" t="s">
        <v>60</v>
      </c>
      <c r="I1369" s="2">
        <v>1</v>
      </c>
      <c r="J1369" s="2">
        <v>1931</v>
      </c>
      <c r="K1369" s="2">
        <v>2</v>
      </c>
      <c r="L1369" s="2" t="s">
        <v>46</v>
      </c>
      <c r="M1369" s="2">
        <v>41</v>
      </c>
      <c r="N1369" s="2">
        <v>3</v>
      </c>
      <c r="O1369" s="2">
        <v>1</v>
      </c>
      <c r="P1369" s="2" t="s">
        <v>47</v>
      </c>
      <c r="Q1369" s="2">
        <v>2</v>
      </c>
      <c r="R1369" s="2" t="s">
        <v>48</v>
      </c>
      <c r="S1369" s="2">
        <v>2226</v>
      </c>
      <c r="T1369" s="2">
        <v>6073</v>
      </c>
      <c r="U1369" s="2">
        <v>1</v>
      </c>
      <c r="V1369" s="2" t="s">
        <v>42</v>
      </c>
      <c r="W1369" s="2" t="s">
        <v>43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</row>
    <row r="1370" spans="1:35" x14ac:dyDescent="0.25">
      <c r="A1370" s="2">
        <v>34</v>
      </c>
      <c r="B1370" s="2" t="s">
        <v>43</v>
      </c>
      <c r="C1370" s="2" t="s">
        <v>44</v>
      </c>
      <c r="D1370" s="2">
        <v>735</v>
      </c>
      <c r="E1370" s="2" t="s">
        <v>45</v>
      </c>
      <c r="F1370" s="2">
        <v>22</v>
      </c>
      <c r="G1370" s="2">
        <v>4</v>
      </c>
      <c r="H1370" s="2" t="s">
        <v>49</v>
      </c>
      <c r="I1370" s="2">
        <v>1</v>
      </c>
      <c r="J1370" s="2">
        <v>1932</v>
      </c>
      <c r="K1370" s="2">
        <v>3</v>
      </c>
      <c r="L1370" s="2" t="s">
        <v>46</v>
      </c>
      <c r="M1370" s="2">
        <v>86</v>
      </c>
      <c r="N1370" s="2">
        <v>2</v>
      </c>
      <c r="O1370" s="2">
        <v>2</v>
      </c>
      <c r="P1370" s="2" t="s">
        <v>47</v>
      </c>
      <c r="Q1370" s="2">
        <v>4</v>
      </c>
      <c r="R1370" s="2" t="s">
        <v>48</v>
      </c>
      <c r="S1370" s="2">
        <v>5747</v>
      </c>
      <c r="T1370" s="2">
        <v>26496</v>
      </c>
      <c r="U1370" s="2">
        <v>1</v>
      </c>
      <c r="V1370" s="2" t="s">
        <v>42</v>
      </c>
      <c r="W1370" s="2" t="s">
        <v>35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</row>
    <row r="1371" spans="1:35" x14ac:dyDescent="0.25">
      <c r="A1371" s="2">
        <v>28</v>
      </c>
      <c r="B1371" s="2" t="s">
        <v>35</v>
      </c>
      <c r="C1371" s="2" t="s">
        <v>36</v>
      </c>
      <c r="D1371" s="2">
        <v>1475</v>
      </c>
      <c r="E1371" s="2" t="s">
        <v>37</v>
      </c>
      <c r="F1371" s="2">
        <v>13</v>
      </c>
      <c r="G1371" s="2">
        <v>2</v>
      </c>
      <c r="H1371" s="2" t="s">
        <v>59</v>
      </c>
      <c r="I1371" s="2">
        <v>1</v>
      </c>
      <c r="J1371" s="2">
        <v>1933</v>
      </c>
      <c r="K1371" s="2">
        <v>4</v>
      </c>
      <c r="L1371" s="2" t="s">
        <v>39</v>
      </c>
      <c r="M1371" s="2">
        <v>84</v>
      </c>
      <c r="N1371" s="2">
        <v>3</v>
      </c>
      <c r="O1371" s="2">
        <v>2</v>
      </c>
      <c r="P1371" s="2" t="s">
        <v>40</v>
      </c>
      <c r="Q1371" s="2">
        <v>3</v>
      </c>
      <c r="R1371" s="2" t="s">
        <v>41</v>
      </c>
      <c r="S1371" s="2">
        <v>9854</v>
      </c>
      <c r="T1371" s="2">
        <v>23352</v>
      </c>
      <c r="U1371" s="2">
        <v>3</v>
      </c>
      <c r="V1371" s="2" t="s">
        <v>42</v>
      </c>
      <c r="W1371" s="2" t="s">
        <v>35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</row>
    <row r="1372" spans="1:35" x14ac:dyDescent="0.25">
      <c r="A1372" s="2">
        <v>47</v>
      </c>
      <c r="B1372" s="2" t="s">
        <v>43</v>
      </c>
      <c r="C1372" s="2" t="s">
        <v>55</v>
      </c>
      <c r="D1372" s="2">
        <v>1169</v>
      </c>
      <c r="E1372" s="2" t="s">
        <v>45</v>
      </c>
      <c r="F1372" s="2">
        <v>14</v>
      </c>
      <c r="G1372" s="2">
        <v>4</v>
      </c>
      <c r="H1372" s="2" t="s">
        <v>60</v>
      </c>
      <c r="I1372" s="2">
        <v>1</v>
      </c>
      <c r="J1372" s="2">
        <v>1934</v>
      </c>
      <c r="K1372" s="2">
        <v>3</v>
      </c>
      <c r="L1372" s="2" t="s">
        <v>46</v>
      </c>
      <c r="M1372" s="2">
        <v>64</v>
      </c>
      <c r="N1372" s="2">
        <v>3</v>
      </c>
      <c r="O1372" s="2">
        <v>2</v>
      </c>
      <c r="P1372" s="2" t="s">
        <v>47</v>
      </c>
      <c r="Q1372" s="2">
        <v>2</v>
      </c>
      <c r="R1372" s="2" t="s">
        <v>48</v>
      </c>
      <c r="S1372" s="2">
        <v>5467</v>
      </c>
      <c r="T1372" s="2">
        <v>2125</v>
      </c>
      <c r="U1372" s="2">
        <v>8</v>
      </c>
      <c r="V1372" s="2" t="s">
        <v>42</v>
      </c>
      <c r="W1372" s="2" t="s">
        <v>43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</row>
    <row r="1373" spans="1:35" x14ac:dyDescent="0.25">
      <c r="A1373" s="2">
        <v>56</v>
      </c>
      <c r="B1373" s="2" t="s">
        <v>43</v>
      </c>
      <c r="C1373" s="2" t="s">
        <v>36</v>
      </c>
      <c r="D1373" s="2">
        <v>1443</v>
      </c>
      <c r="E1373" s="2" t="s">
        <v>37</v>
      </c>
      <c r="F1373" s="2">
        <v>11</v>
      </c>
      <c r="G1373" s="2">
        <v>5</v>
      </c>
      <c r="H1373" s="2" t="s">
        <v>59</v>
      </c>
      <c r="I1373" s="2">
        <v>1</v>
      </c>
      <c r="J1373" s="2">
        <v>1935</v>
      </c>
      <c r="K1373" s="2">
        <v>4</v>
      </c>
      <c r="L1373" s="2" t="s">
        <v>39</v>
      </c>
      <c r="M1373" s="2">
        <v>89</v>
      </c>
      <c r="N1373" s="2">
        <v>2</v>
      </c>
      <c r="O1373" s="2">
        <v>2</v>
      </c>
      <c r="P1373" s="2" t="s">
        <v>40</v>
      </c>
      <c r="Q1373" s="2">
        <v>1</v>
      </c>
      <c r="R1373" s="2" t="s">
        <v>48</v>
      </c>
      <c r="S1373" s="2">
        <v>5380</v>
      </c>
      <c r="T1373" s="2">
        <v>20328</v>
      </c>
      <c r="U1373" s="2">
        <v>4</v>
      </c>
      <c r="V1373" s="2" t="s">
        <v>42</v>
      </c>
      <c r="W1373" s="2" t="s">
        <v>43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</row>
    <row r="1374" spans="1:35" x14ac:dyDescent="0.25">
      <c r="A1374" s="2">
        <v>39</v>
      </c>
      <c r="B1374" s="2" t="s">
        <v>43</v>
      </c>
      <c r="C1374" s="2" t="s">
        <v>36</v>
      </c>
      <c r="D1374" s="2">
        <v>867</v>
      </c>
      <c r="E1374" s="2" t="s">
        <v>45</v>
      </c>
      <c r="F1374" s="2">
        <v>9</v>
      </c>
      <c r="G1374" s="2">
        <v>2</v>
      </c>
      <c r="H1374" s="2" t="s">
        <v>51</v>
      </c>
      <c r="I1374" s="2">
        <v>1</v>
      </c>
      <c r="J1374" s="2">
        <v>1936</v>
      </c>
      <c r="K1374" s="2">
        <v>1</v>
      </c>
      <c r="L1374" s="2" t="s">
        <v>46</v>
      </c>
      <c r="M1374" s="2">
        <v>87</v>
      </c>
      <c r="N1374" s="2">
        <v>3</v>
      </c>
      <c r="O1374" s="2">
        <v>2</v>
      </c>
      <c r="P1374" s="2" t="s">
        <v>53</v>
      </c>
      <c r="Q1374" s="2">
        <v>1</v>
      </c>
      <c r="R1374" s="2" t="s">
        <v>48</v>
      </c>
      <c r="S1374" s="2">
        <v>5151</v>
      </c>
      <c r="T1374" s="2">
        <v>12315</v>
      </c>
      <c r="U1374" s="2">
        <v>1</v>
      </c>
      <c r="V1374" s="2" t="s">
        <v>42</v>
      </c>
      <c r="W1374" s="2" t="s">
        <v>43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</row>
    <row r="1375" spans="1:35" x14ac:dyDescent="0.25">
      <c r="A1375" s="2">
        <v>38</v>
      </c>
      <c r="B1375" s="2" t="s">
        <v>43</v>
      </c>
      <c r="C1375" s="2" t="s">
        <v>44</v>
      </c>
      <c r="D1375" s="2">
        <v>1394</v>
      </c>
      <c r="E1375" s="2" t="s">
        <v>45</v>
      </c>
      <c r="F1375" s="2">
        <v>8</v>
      </c>
      <c r="G1375" s="2">
        <v>3</v>
      </c>
      <c r="H1375" s="2" t="s">
        <v>51</v>
      </c>
      <c r="I1375" s="2">
        <v>1</v>
      </c>
      <c r="J1375" s="2">
        <v>1937</v>
      </c>
      <c r="K1375" s="2">
        <v>4</v>
      </c>
      <c r="L1375" s="2" t="s">
        <v>39</v>
      </c>
      <c r="M1375" s="2">
        <v>58</v>
      </c>
      <c r="N1375" s="2">
        <v>2</v>
      </c>
      <c r="O1375" s="2">
        <v>2</v>
      </c>
      <c r="P1375" s="2" t="s">
        <v>47</v>
      </c>
      <c r="Q1375" s="2">
        <v>2</v>
      </c>
      <c r="R1375" s="2" t="s">
        <v>52</v>
      </c>
      <c r="S1375" s="2">
        <v>2133</v>
      </c>
      <c r="T1375" s="2">
        <v>18115</v>
      </c>
      <c r="U1375" s="2">
        <v>1</v>
      </c>
      <c r="V1375" s="2" t="s">
        <v>42</v>
      </c>
      <c r="W1375" s="2" t="s">
        <v>35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</row>
    <row r="1376" spans="1:35" x14ac:dyDescent="0.25">
      <c r="A1376" s="2">
        <v>58</v>
      </c>
      <c r="B1376" s="2" t="s">
        <v>43</v>
      </c>
      <c r="C1376" s="2" t="s">
        <v>36</v>
      </c>
      <c r="D1376" s="2">
        <v>605</v>
      </c>
      <c r="E1376" s="2" t="s">
        <v>37</v>
      </c>
      <c r="F1376" s="2">
        <v>21</v>
      </c>
      <c r="G1376" s="2">
        <v>3</v>
      </c>
      <c r="H1376" s="2" t="s">
        <v>38</v>
      </c>
      <c r="I1376" s="2">
        <v>1</v>
      </c>
      <c r="J1376" s="2">
        <v>1938</v>
      </c>
      <c r="K1376" s="2">
        <v>4</v>
      </c>
      <c r="L1376" s="2" t="s">
        <v>39</v>
      </c>
      <c r="M1376" s="2">
        <v>72</v>
      </c>
      <c r="N1376" s="2">
        <v>3</v>
      </c>
      <c r="O1376" s="2">
        <v>4</v>
      </c>
      <c r="P1376" s="2" t="s">
        <v>56</v>
      </c>
      <c r="Q1376" s="2">
        <v>4</v>
      </c>
      <c r="R1376" s="2" t="s">
        <v>48</v>
      </c>
      <c r="S1376" s="2">
        <v>17875</v>
      </c>
      <c r="T1376" s="2">
        <v>11761</v>
      </c>
      <c r="U1376" s="2">
        <v>4</v>
      </c>
      <c r="V1376" s="2" t="s">
        <v>42</v>
      </c>
      <c r="W1376" s="2" t="s">
        <v>35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</row>
    <row r="1377" spans="1:35" x14ac:dyDescent="0.25">
      <c r="A1377" s="2">
        <v>32</v>
      </c>
      <c r="B1377" s="2" t="s">
        <v>35</v>
      </c>
      <c r="C1377" s="2" t="s">
        <v>44</v>
      </c>
      <c r="D1377" s="2">
        <v>238</v>
      </c>
      <c r="E1377" s="2" t="s">
        <v>45</v>
      </c>
      <c r="F1377" s="2">
        <v>5</v>
      </c>
      <c r="G1377" s="2">
        <v>2</v>
      </c>
      <c r="H1377" s="2" t="s">
        <v>38</v>
      </c>
      <c r="I1377" s="2">
        <v>1</v>
      </c>
      <c r="J1377" s="2">
        <v>1939</v>
      </c>
      <c r="K1377" s="2">
        <v>1</v>
      </c>
      <c r="L1377" s="2" t="s">
        <v>39</v>
      </c>
      <c r="M1377" s="2">
        <v>47</v>
      </c>
      <c r="N1377" s="2">
        <v>4</v>
      </c>
      <c r="O1377" s="2">
        <v>1</v>
      </c>
      <c r="P1377" s="2" t="s">
        <v>47</v>
      </c>
      <c r="Q1377" s="2">
        <v>3</v>
      </c>
      <c r="R1377" s="2" t="s">
        <v>41</v>
      </c>
      <c r="S1377" s="2">
        <v>2432</v>
      </c>
      <c r="T1377" s="2">
        <v>15318</v>
      </c>
      <c r="U1377" s="2">
        <v>3</v>
      </c>
      <c r="V1377" s="2" t="s">
        <v>42</v>
      </c>
      <c r="W1377" s="2" t="s">
        <v>35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</row>
    <row r="1378" spans="1:35" x14ac:dyDescent="0.25">
      <c r="A1378" s="2">
        <v>38</v>
      </c>
      <c r="B1378" s="2" t="s">
        <v>43</v>
      </c>
      <c r="C1378" s="2" t="s">
        <v>36</v>
      </c>
      <c r="D1378" s="2">
        <v>1206</v>
      </c>
      <c r="E1378" s="2" t="s">
        <v>45</v>
      </c>
      <c r="F1378" s="2">
        <v>9</v>
      </c>
      <c r="G1378" s="2">
        <v>2</v>
      </c>
      <c r="H1378" s="2" t="s">
        <v>38</v>
      </c>
      <c r="I1378" s="2">
        <v>1</v>
      </c>
      <c r="J1378" s="2">
        <v>1940</v>
      </c>
      <c r="K1378" s="2">
        <v>2</v>
      </c>
      <c r="L1378" s="2" t="s">
        <v>46</v>
      </c>
      <c r="M1378" s="2">
        <v>71</v>
      </c>
      <c r="N1378" s="2">
        <v>3</v>
      </c>
      <c r="O1378" s="2">
        <v>1</v>
      </c>
      <c r="P1378" s="2" t="s">
        <v>47</v>
      </c>
      <c r="Q1378" s="2">
        <v>4</v>
      </c>
      <c r="R1378" s="2" t="s">
        <v>52</v>
      </c>
      <c r="S1378" s="2">
        <v>4771</v>
      </c>
      <c r="T1378" s="2">
        <v>14293</v>
      </c>
      <c r="U1378" s="2">
        <v>2</v>
      </c>
      <c r="V1378" s="2" t="s">
        <v>42</v>
      </c>
      <c r="W1378" s="2" t="s">
        <v>43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</row>
    <row r="1379" spans="1:35" x14ac:dyDescent="0.25">
      <c r="A1379" s="2">
        <v>49</v>
      </c>
      <c r="B1379" s="2" t="s">
        <v>43</v>
      </c>
      <c r="C1379" s="2" t="s">
        <v>44</v>
      </c>
      <c r="D1379" s="2">
        <v>1064</v>
      </c>
      <c r="E1379" s="2" t="s">
        <v>45</v>
      </c>
      <c r="F1379" s="2">
        <v>2</v>
      </c>
      <c r="G1379" s="2">
        <v>1</v>
      </c>
      <c r="H1379" s="2" t="s">
        <v>38</v>
      </c>
      <c r="I1379" s="2">
        <v>1</v>
      </c>
      <c r="J1379" s="2">
        <v>1941</v>
      </c>
      <c r="K1379" s="2">
        <v>2</v>
      </c>
      <c r="L1379" s="2" t="s">
        <v>46</v>
      </c>
      <c r="M1379" s="2">
        <v>42</v>
      </c>
      <c r="N1379" s="2">
        <v>3</v>
      </c>
      <c r="O1379" s="2">
        <v>5</v>
      </c>
      <c r="P1379" s="2" t="s">
        <v>58</v>
      </c>
      <c r="Q1379" s="2">
        <v>4</v>
      </c>
      <c r="R1379" s="2" t="s">
        <v>48</v>
      </c>
      <c r="S1379" s="2">
        <v>19161</v>
      </c>
      <c r="T1379" s="2">
        <v>13738</v>
      </c>
      <c r="U1379" s="2">
        <v>3</v>
      </c>
      <c r="V1379" s="2" t="s">
        <v>42</v>
      </c>
      <c r="W1379" s="2" t="s">
        <v>43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</row>
    <row r="1380" spans="1:35" x14ac:dyDescent="0.25">
      <c r="A1380" s="2">
        <v>42</v>
      </c>
      <c r="B1380" s="2" t="s">
        <v>43</v>
      </c>
      <c r="C1380" s="2" t="s">
        <v>36</v>
      </c>
      <c r="D1380" s="2">
        <v>419</v>
      </c>
      <c r="E1380" s="2" t="s">
        <v>37</v>
      </c>
      <c r="F1380" s="2">
        <v>12</v>
      </c>
      <c r="G1380" s="2">
        <v>4</v>
      </c>
      <c r="H1380" s="2" t="s">
        <v>59</v>
      </c>
      <c r="I1380" s="2">
        <v>1</v>
      </c>
      <c r="J1380" s="2">
        <v>1943</v>
      </c>
      <c r="K1380" s="2">
        <v>2</v>
      </c>
      <c r="L1380" s="2" t="s">
        <v>46</v>
      </c>
      <c r="M1380" s="2">
        <v>77</v>
      </c>
      <c r="N1380" s="2">
        <v>3</v>
      </c>
      <c r="O1380" s="2">
        <v>2</v>
      </c>
      <c r="P1380" s="2" t="s">
        <v>40</v>
      </c>
      <c r="Q1380" s="2">
        <v>4</v>
      </c>
      <c r="R1380" s="2" t="s">
        <v>52</v>
      </c>
      <c r="S1380" s="2">
        <v>5087</v>
      </c>
      <c r="T1380" s="2">
        <v>2900</v>
      </c>
      <c r="U1380" s="2">
        <v>3</v>
      </c>
      <c r="V1380" s="2" t="s">
        <v>42</v>
      </c>
      <c r="W1380" s="2" t="s">
        <v>35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</row>
    <row r="1381" spans="1:35" x14ac:dyDescent="0.25">
      <c r="A1381" s="2">
        <v>27</v>
      </c>
      <c r="B1381" s="2" t="s">
        <v>35</v>
      </c>
      <c r="C1381" s="2" t="s">
        <v>44</v>
      </c>
      <c r="D1381" s="2">
        <v>1337</v>
      </c>
      <c r="E1381" s="2" t="s">
        <v>61</v>
      </c>
      <c r="F1381" s="2">
        <v>22</v>
      </c>
      <c r="G1381" s="2">
        <v>3</v>
      </c>
      <c r="H1381" s="2" t="s">
        <v>61</v>
      </c>
      <c r="I1381" s="2">
        <v>1</v>
      </c>
      <c r="J1381" s="2">
        <v>1944</v>
      </c>
      <c r="K1381" s="2">
        <v>1</v>
      </c>
      <c r="L1381" s="2" t="s">
        <v>39</v>
      </c>
      <c r="M1381" s="2">
        <v>58</v>
      </c>
      <c r="N1381" s="2">
        <v>2</v>
      </c>
      <c r="O1381" s="2">
        <v>1</v>
      </c>
      <c r="P1381" s="2" t="s">
        <v>61</v>
      </c>
      <c r="Q1381" s="2">
        <v>2</v>
      </c>
      <c r="R1381" s="2" t="s">
        <v>48</v>
      </c>
      <c r="S1381" s="2">
        <v>2863</v>
      </c>
      <c r="T1381" s="2">
        <v>19555</v>
      </c>
      <c r="U1381" s="2">
        <v>1</v>
      </c>
      <c r="V1381" s="2" t="s">
        <v>42</v>
      </c>
      <c r="W1381" s="2" t="s">
        <v>43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</row>
    <row r="1382" spans="1:35" x14ac:dyDescent="0.25">
      <c r="A1382" s="2">
        <v>35</v>
      </c>
      <c r="B1382" s="2" t="s">
        <v>43</v>
      </c>
      <c r="C1382" s="2" t="s">
        <v>36</v>
      </c>
      <c r="D1382" s="2">
        <v>682</v>
      </c>
      <c r="E1382" s="2" t="s">
        <v>37</v>
      </c>
      <c r="F1382" s="2">
        <v>18</v>
      </c>
      <c r="G1382" s="2">
        <v>4</v>
      </c>
      <c r="H1382" s="2" t="s">
        <v>51</v>
      </c>
      <c r="I1382" s="2">
        <v>1</v>
      </c>
      <c r="J1382" s="2">
        <v>1945</v>
      </c>
      <c r="K1382" s="2">
        <v>2</v>
      </c>
      <c r="L1382" s="2" t="s">
        <v>46</v>
      </c>
      <c r="M1382" s="2">
        <v>71</v>
      </c>
      <c r="N1382" s="2">
        <v>3</v>
      </c>
      <c r="O1382" s="2">
        <v>2</v>
      </c>
      <c r="P1382" s="2" t="s">
        <v>40</v>
      </c>
      <c r="Q1382" s="2">
        <v>1</v>
      </c>
      <c r="R1382" s="2" t="s">
        <v>48</v>
      </c>
      <c r="S1382" s="2">
        <v>5561</v>
      </c>
      <c r="T1382" s="2">
        <v>15975</v>
      </c>
      <c r="U1382" s="2">
        <v>0</v>
      </c>
      <c r="V1382" s="2" t="s">
        <v>42</v>
      </c>
      <c r="W1382" s="2" t="s">
        <v>43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</row>
    <row r="1383" spans="1:35" x14ac:dyDescent="0.25">
      <c r="A1383" s="2">
        <v>28</v>
      </c>
      <c r="B1383" s="2" t="s">
        <v>43</v>
      </c>
      <c r="C1383" s="2" t="s">
        <v>55</v>
      </c>
      <c r="D1383" s="2">
        <v>1103</v>
      </c>
      <c r="E1383" s="2" t="s">
        <v>45</v>
      </c>
      <c r="F1383" s="2">
        <v>16</v>
      </c>
      <c r="G1383" s="2">
        <v>3</v>
      </c>
      <c r="H1383" s="2" t="s">
        <v>51</v>
      </c>
      <c r="I1383" s="2">
        <v>1</v>
      </c>
      <c r="J1383" s="2">
        <v>1947</v>
      </c>
      <c r="K1383" s="2">
        <v>3</v>
      </c>
      <c r="L1383" s="2" t="s">
        <v>46</v>
      </c>
      <c r="M1383" s="2">
        <v>49</v>
      </c>
      <c r="N1383" s="2">
        <v>3</v>
      </c>
      <c r="O1383" s="2">
        <v>1</v>
      </c>
      <c r="P1383" s="2" t="s">
        <v>47</v>
      </c>
      <c r="Q1383" s="2">
        <v>3</v>
      </c>
      <c r="R1383" s="2" t="s">
        <v>41</v>
      </c>
      <c r="S1383" s="2">
        <v>2144</v>
      </c>
      <c r="T1383" s="2">
        <v>2122</v>
      </c>
      <c r="U1383" s="2">
        <v>1</v>
      </c>
      <c r="V1383" s="2" t="s">
        <v>42</v>
      </c>
      <c r="W1383" s="2" t="s">
        <v>43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</row>
    <row r="1384" spans="1:35" x14ac:dyDescent="0.25">
      <c r="A1384" s="2">
        <v>31</v>
      </c>
      <c r="B1384" s="2" t="s">
        <v>43</v>
      </c>
      <c r="C1384" s="2" t="s">
        <v>55</v>
      </c>
      <c r="D1384" s="2">
        <v>976</v>
      </c>
      <c r="E1384" s="2" t="s">
        <v>45</v>
      </c>
      <c r="F1384" s="2">
        <v>3</v>
      </c>
      <c r="G1384" s="2">
        <v>2</v>
      </c>
      <c r="H1384" s="2" t="s">
        <v>51</v>
      </c>
      <c r="I1384" s="2">
        <v>1</v>
      </c>
      <c r="J1384" s="2">
        <v>1948</v>
      </c>
      <c r="K1384" s="2">
        <v>3</v>
      </c>
      <c r="L1384" s="2" t="s">
        <v>46</v>
      </c>
      <c r="M1384" s="2">
        <v>48</v>
      </c>
      <c r="N1384" s="2">
        <v>3</v>
      </c>
      <c r="O1384" s="2">
        <v>1</v>
      </c>
      <c r="P1384" s="2" t="s">
        <v>47</v>
      </c>
      <c r="Q1384" s="2">
        <v>1</v>
      </c>
      <c r="R1384" s="2" t="s">
        <v>52</v>
      </c>
      <c r="S1384" s="2">
        <v>3065</v>
      </c>
      <c r="T1384" s="2">
        <v>3995</v>
      </c>
      <c r="U1384" s="2">
        <v>1</v>
      </c>
      <c r="V1384" s="2" t="s">
        <v>42</v>
      </c>
      <c r="W1384" s="2" t="s">
        <v>35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</row>
    <row r="1385" spans="1:35" x14ac:dyDescent="0.25">
      <c r="A1385" s="2">
        <v>36</v>
      </c>
      <c r="B1385" s="2" t="s">
        <v>43</v>
      </c>
      <c r="C1385" s="2" t="s">
        <v>55</v>
      </c>
      <c r="D1385" s="2">
        <v>1351</v>
      </c>
      <c r="E1385" s="2" t="s">
        <v>45</v>
      </c>
      <c r="F1385" s="2">
        <v>9</v>
      </c>
      <c r="G1385" s="2">
        <v>4</v>
      </c>
      <c r="H1385" s="2" t="s">
        <v>38</v>
      </c>
      <c r="I1385" s="2">
        <v>1</v>
      </c>
      <c r="J1385" s="2">
        <v>1949</v>
      </c>
      <c r="K1385" s="2">
        <v>1</v>
      </c>
      <c r="L1385" s="2" t="s">
        <v>46</v>
      </c>
      <c r="M1385" s="2">
        <v>66</v>
      </c>
      <c r="N1385" s="2">
        <v>4</v>
      </c>
      <c r="O1385" s="2">
        <v>1</v>
      </c>
      <c r="P1385" s="2" t="s">
        <v>50</v>
      </c>
      <c r="Q1385" s="2">
        <v>2</v>
      </c>
      <c r="R1385" s="2" t="s">
        <v>48</v>
      </c>
      <c r="S1385" s="2">
        <v>2810</v>
      </c>
      <c r="T1385" s="2">
        <v>9238</v>
      </c>
      <c r="U1385" s="2">
        <v>1</v>
      </c>
      <c r="V1385" s="2" t="s">
        <v>42</v>
      </c>
      <c r="W1385" s="2" t="s">
        <v>43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</row>
    <row r="1386" spans="1:35" x14ac:dyDescent="0.25">
      <c r="A1386" s="2">
        <v>34</v>
      </c>
      <c r="B1386" s="2" t="s">
        <v>43</v>
      </c>
      <c r="C1386" s="2" t="s">
        <v>36</v>
      </c>
      <c r="D1386" s="2">
        <v>937</v>
      </c>
      <c r="E1386" s="2" t="s">
        <v>37</v>
      </c>
      <c r="F1386" s="2">
        <v>1</v>
      </c>
      <c r="G1386" s="2">
        <v>3</v>
      </c>
      <c r="H1386" s="2" t="s">
        <v>59</v>
      </c>
      <c r="I1386" s="2">
        <v>1</v>
      </c>
      <c r="J1386" s="2">
        <v>1950</v>
      </c>
      <c r="K1386" s="2">
        <v>1</v>
      </c>
      <c r="L1386" s="2" t="s">
        <v>46</v>
      </c>
      <c r="M1386" s="2">
        <v>32</v>
      </c>
      <c r="N1386" s="2">
        <v>3</v>
      </c>
      <c r="O1386" s="2">
        <v>3</v>
      </c>
      <c r="P1386" s="2" t="s">
        <v>40</v>
      </c>
      <c r="Q1386" s="2">
        <v>4</v>
      </c>
      <c r="R1386" s="2" t="s">
        <v>41</v>
      </c>
      <c r="S1386" s="2">
        <v>9888</v>
      </c>
      <c r="T1386" s="2">
        <v>6770</v>
      </c>
      <c r="U1386" s="2">
        <v>1</v>
      </c>
      <c r="V1386" s="2" t="s">
        <v>42</v>
      </c>
      <c r="W1386" s="2" t="s">
        <v>43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</row>
    <row r="1387" spans="1:35" x14ac:dyDescent="0.25">
      <c r="A1387" s="2">
        <v>34</v>
      </c>
      <c r="B1387" s="2" t="s">
        <v>43</v>
      </c>
      <c r="C1387" s="2" t="s">
        <v>36</v>
      </c>
      <c r="D1387" s="2">
        <v>1239</v>
      </c>
      <c r="E1387" s="2" t="s">
        <v>37</v>
      </c>
      <c r="F1387" s="2">
        <v>13</v>
      </c>
      <c r="G1387" s="2">
        <v>4</v>
      </c>
      <c r="H1387" s="2" t="s">
        <v>51</v>
      </c>
      <c r="I1387" s="2">
        <v>1</v>
      </c>
      <c r="J1387" s="2">
        <v>1951</v>
      </c>
      <c r="K1387" s="2">
        <v>4</v>
      </c>
      <c r="L1387" s="2" t="s">
        <v>46</v>
      </c>
      <c r="M1387" s="2">
        <v>39</v>
      </c>
      <c r="N1387" s="2">
        <v>3</v>
      </c>
      <c r="O1387" s="2">
        <v>3</v>
      </c>
      <c r="P1387" s="2" t="s">
        <v>40</v>
      </c>
      <c r="Q1387" s="2">
        <v>3</v>
      </c>
      <c r="R1387" s="2" t="s">
        <v>52</v>
      </c>
      <c r="S1387" s="2">
        <v>8628</v>
      </c>
      <c r="T1387" s="2">
        <v>22914</v>
      </c>
      <c r="U1387" s="2">
        <v>1</v>
      </c>
      <c r="V1387" s="2" t="s">
        <v>42</v>
      </c>
      <c r="W1387" s="2" t="s">
        <v>43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</row>
    <row r="1388" spans="1:35" x14ac:dyDescent="0.25">
      <c r="A1388" s="2">
        <v>26</v>
      </c>
      <c r="B1388" s="2" t="s">
        <v>43</v>
      </c>
      <c r="C1388" s="2" t="s">
        <v>36</v>
      </c>
      <c r="D1388" s="2">
        <v>157</v>
      </c>
      <c r="E1388" s="2" t="s">
        <v>45</v>
      </c>
      <c r="F1388" s="2">
        <v>1</v>
      </c>
      <c r="G1388" s="2">
        <v>3</v>
      </c>
      <c r="H1388" s="2" t="s">
        <v>51</v>
      </c>
      <c r="I1388" s="2">
        <v>1</v>
      </c>
      <c r="J1388" s="2">
        <v>1952</v>
      </c>
      <c r="K1388" s="2">
        <v>3</v>
      </c>
      <c r="L1388" s="2" t="s">
        <v>46</v>
      </c>
      <c r="M1388" s="2">
        <v>95</v>
      </c>
      <c r="N1388" s="2">
        <v>3</v>
      </c>
      <c r="O1388" s="2">
        <v>1</v>
      </c>
      <c r="P1388" s="2" t="s">
        <v>50</v>
      </c>
      <c r="Q1388" s="2">
        <v>1</v>
      </c>
      <c r="R1388" s="2" t="s">
        <v>41</v>
      </c>
      <c r="S1388" s="2">
        <v>2867</v>
      </c>
      <c r="T1388" s="2">
        <v>20006</v>
      </c>
      <c r="U1388" s="2">
        <v>0</v>
      </c>
      <c r="V1388" s="2" t="s">
        <v>42</v>
      </c>
      <c r="W1388" s="2" t="s">
        <v>43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</row>
    <row r="1389" spans="1:35" x14ac:dyDescent="0.25">
      <c r="A1389" s="2">
        <v>29</v>
      </c>
      <c r="B1389" s="2" t="s">
        <v>43</v>
      </c>
      <c r="C1389" s="2" t="s">
        <v>36</v>
      </c>
      <c r="D1389" s="2">
        <v>136</v>
      </c>
      <c r="E1389" s="2" t="s">
        <v>45</v>
      </c>
      <c r="F1389" s="2">
        <v>1</v>
      </c>
      <c r="G1389" s="2">
        <v>3</v>
      </c>
      <c r="H1389" s="2" t="s">
        <v>38</v>
      </c>
      <c r="I1389" s="2">
        <v>1</v>
      </c>
      <c r="J1389" s="2">
        <v>1954</v>
      </c>
      <c r="K1389" s="2">
        <v>1</v>
      </c>
      <c r="L1389" s="2" t="s">
        <v>46</v>
      </c>
      <c r="M1389" s="2">
        <v>89</v>
      </c>
      <c r="N1389" s="2">
        <v>3</v>
      </c>
      <c r="O1389" s="2">
        <v>2</v>
      </c>
      <c r="P1389" s="2" t="s">
        <v>54</v>
      </c>
      <c r="Q1389" s="2">
        <v>1</v>
      </c>
      <c r="R1389" s="2" t="s">
        <v>48</v>
      </c>
      <c r="S1389" s="2">
        <v>5373</v>
      </c>
      <c r="T1389" s="2">
        <v>6225</v>
      </c>
      <c r="U1389" s="2">
        <v>0</v>
      </c>
      <c r="V1389" s="2" t="s">
        <v>42</v>
      </c>
      <c r="W1389" s="2" t="s">
        <v>43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</row>
    <row r="1390" spans="1:35" x14ac:dyDescent="0.25">
      <c r="A1390" s="2">
        <v>32</v>
      </c>
      <c r="B1390" s="2" t="s">
        <v>43</v>
      </c>
      <c r="C1390" s="2" t="s">
        <v>55</v>
      </c>
      <c r="D1390" s="2">
        <v>1146</v>
      </c>
      <c r="E1390" s="2" t="s">
        <v>45</v>
      </c>
      <c r="F1390" s="2">
        <v>15</v>
      </c>
      <c r="G1390" s="2">
        <v>4</v>
      </c>
      <c r="H1390" s="2" t="s">
        <v>51</v>
      </c>
      <c r="I1390" s="2">
        <v>1</v>
      </c>
      <c r="J1390" s="2">
        <v>1955</v>
      </c>
      <c r="K1390" s="2">
        <v>3</v>
      </c>
      <c r="L1390" s="2" t="s">
        <v>39</v>
      </c>
      <c r="M1390" s="2">
        <v>34</v>
      </c>
      <c r="N1390" s="2">
        <v>3</v>
      </c>
      <c r="O1390" s="2">
        <v>2</v>
      </c>
      <c r="P1390" s="2" t="s">
        <v>54</v>
      </c>
      <c r="Q1390" s="2">
        <v>4</v>
      </c>
      <c r="R1390" s="2" t="s">
        <v>52</v>
      </c>
      <c r="S1390" s="2">
        <v>6667</v>
      </c>
      <c r="T1390" s="2">
        <v>16542</v>
      </c>
      <c r="U1390" s="2">
        <v>5</v>
      </c>
      <c r="V1390" s="2" t="s">
        <v>42</v>
      </c>
      <c r="W1390" s="2" t="s">
        <v>43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</row>
    <row r="1391" spans="1:35" x14ac:dyDescent="0.25">
      <c r="A1391" s="2">
        <v>31</v>
      </c>
      <c r="B1391" s="2" t="s">
        <v>43</v>
      </c>
      <c r="C1391" s="2" t="s">
        <v>44</v>
      </c>
      <c r="D1391" s="2">
        <v>1125</v>
      </c>
      <c r="E1391" s="2" t="s">
        <v>45</v>
      </c>
      <c r="F1391" s="2">
        <v>1</v>
      </c>
      <c r="G1391" s="2">
        <v>3</v>
      </c>
      <c r="H1391" s="2" t="s">
        <v>38</v>
      </c>
      <c r="I1391" s="2">
        <v>1</v>
      </c>
      <c r="J1391" s="2">
        <v>1956</v>
      </c>
      <c r="K1391" s="2">
        <v>4</v>
      </c>
      <c r="L1391" s="2" t="s">
        <v>46</v>
      </c>
      <c r="M1391" s="2">
        <v>48</v>
      </c>
      <c r="N1391" s="2">
        <v>1</v>
      </c>
      <c r="O1391" s="2">
        <v>2</v>
      </c>
      <c r="P1391" s="2" t="s">
        <v>47</v>
      </c>
      <c r="Q1391" s="2">
        <v>1</v>
      </c>
      <c r="R1391" s="2" t="s">
        <v>48</v>
      </c>
      <c r="S1391" s="2">
        <v>5003</v>
      </c>
      <c r="T1391" s="2">
        <v>5771</v>
      </c>
      <c r="U1391" s="2">
        <v>1</v>
      </c>
      <c r="V1391" s="2" t="s">
        <v>42</v>
      </c>
      <c r="W1391" s="2" t="s">
        <v>43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</row>
    <row r="1392" spans="1:35" x14ac:dyDescent="0.25">
      <c r="A1392" s="2">
        <v>28</v>
      </c>
      <c r="B1392" s="2" t="s">
        <v>35</v>
      </c>
      <c r="C1392" s="2" t="s">
        <v>36</v>
      </c>
      <c r="D1392" s="2">
        <v>1404</v>
      </c>
      <c r="E1392" s="2" t="s">
        <v>45</v>
      </c>
      <c r="F1392" s="2">
        <v>17</v>
      </c>
      <c r="G1392" s="2">
        <v>3</v>
      </c>
      <c r="H1392" s="2" t="s">
        <v>60</v>
      </c>
      <c r="I1392" s="2">
        <v>1</v>
      </c>
      <c r="J1392" s="2">
        <v>1960</v>
      </c>
      <c r="K1392" s="2">
        <v>3</v>
      </c>
      <c r="L1392" s="2" t="s">
        <v>46</v>
      </c>
      <c r="M1392" s="2">
        <v>32</v>
      </c>
      <c r="N1392" s="2">
        <v>2</v>
      </c>
      <c r="O1392" s="2">
        <v>1</v>
      </c>
      <c r="P1392" s="2" t="s">
        <v>50</v>
      </c>
      <c r="Q1392" s="2">
        <v>4</v>
      </c>
      <c r="R1392" s="2" t="s">
        <v>52</v>
      </c>
      <c r="S1392" s="2">
        <v>2367</v>
      </c>
      <c r="T1392" s="2">
        <v>18779</v>
      </c>
      <c r="U1392" s="2">
        <v>5</v>
      </c>
      <c r="V1392" s="2" t="s">
        <v>42</v>
      </c>
      <c r="W1392" s="2" t="s">
        <v>43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</row>
    <row r="1393" spans="1:35" x14ac:dyDescent="0.25">
      <c r="A1393" s="2">
        <v>38</v>
      </c>
      <c r="B1393" s="2" t="s">
        <v>43</v>
      </c>
      <c r="C1393" s="2" t="s">
        <v>36</v>
      </c>
      <c r="D1393" s="2">
        <v>1404</v>
      </c>
      <c r="E1393" s="2" t="s">
        <v>37</v>
      </c>
      <c r="F1393" s="2">
        <v>1</v>
      </c>
      <c r="G1393" s="2">
        <v>3</v>
      </c>
      <c r="H1393" s="2" t="s">
        <v>38</v>
      </c>
      <c r="I1393" s="2">
        <v>1</v>
      </c>
      <c r="J1393" s="2">
        <v>1961</v>
      </c>
      <c r="K1393" s="2">
        <v>1</v>
      </c>
      <c r="L1393" s="2" t="s">
        <v>46</v>
      </c>
      <c r="M1393" s="2">
        <v>59</v>
      </c>
      <c r="N1393" s="2">
        <v>2</v>
      </c>
      <c r="O1393" s="2">
        <v>1</v>
      </c>
      <c r="P1393" s="2" t="s">
        <v>57</v>
      </c>
      <c r="Q1393" s="2">
        <v>1</v>
      </c>
      <c r="R1393" s="2" t="s">
        <v>41</v>
      </c>
      <c r="S1393" s="2">
        <v>2858</v>
      </c>
      <c r="T1393" s="2">
        <v>11473</v>
      </c>
      <c r="U1393" s="2">
        <v>4</v>
      </c>
      <c r="V1393" s="2" t="s">
        <v>42</v>
      </c>
      <c r="W1393" s="2" t="s">
        <v>43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</row>
    <row r="1394" spans="1:35" x14ac:dyDescent="0.25">
      <c r="A1394" s="2">
        <v>35</v>
      </c>
      <c r="B1394" s="2" t="s">
        <v>43</v>
      </c>
      <c r="C1394" s="2" t="s">
        <v>36</v>
      </c>
      <c r="D1394" s="2">
        <v>1224</v>
      </c>
      <c r="E1394" s="2" t="s">
        <v>37</v>
      </c>
      <c r="F1394" s="2">
        <v>7</v>
      </c>
      <c r="G1394" s="2">
        <v>4</v>
      </c>
      <c r="H1394" s="2" t="s">
        <v>38</v>
      </c>
      <c r="I1394" s="2">
        <v>1</v>
      </c>
      <c r="J1394" s="2">
        <v>1962</v>
      </c>
      <c r="K1394" s="2">
        <v>3</v>
      </c>
      <c r="L1394" s="2" t="s">
        <v>39</v>
      </c>
      <c r="M1394" s="2">
        <v>55</v>
      </c>
      <c r="N1394" s="2">
        <v>3</v>
      </c>
      <c r="O1394" s="2">
        <v>2</v>
      </c>
      <c r="P1394" s="2" t="s">
        <v>40</v>
      </c>
      <c r="Q1394" s="2">
        <v>4</v>
      </c>
      <c r="R1394" s="2" t="s">
        <v>48</v>
      </c>
      <c r="S1394" s="2">
        <v>5204</v>
      </c>
      <c r="T1394" s="2">
        <v>13586</v>
      </c>
      <c r="U1394" s="2">
        <v>1</v>
      </c>
      <c r="V1394" s="2" t="s">
        <v>42</v>
      </c>
      <c r="W1394" s="2" t="s">
        <v>35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</row>
    <row r="1395" spans="1:35" x14ac:dyDescent="0.25">
      <c r="A1395" s="2">
        <v>27</v>
      </c>
      <c r="B1395" s="2" t="s">
        <v>43</v>
      </c>
      <c r="C1395" s="2" t="s">
        <v>36</v>
      </c>
      <c r="D1395" s="2">
        <v>954</v>
      </c>
      <c r="E1395" s="2" t="s">
        <v>37</v>
      </c>
      <c r="F1395" s="2">
        <v>9</v>
      </c>
      <c r="G1395" s="2">
        <v>3</v>
      </c>
      <c r="H1395" s="2" t="s">
        <v>59</v>
      </c>
      <c r="I1395" s="2">
        <v>1</v>
      </c>
      <c r="J1395" s="2">
        <v>1965</v>
      </c>
      <c r="K1395" s="2">
        <v>4</v>
      </c>
      <c r="L1395" s="2" t="s">
        <v>46</v>
      </c>
      <c r="M1395" s="2">
        <v>44</v>
      </c>
      <c r="N1395" s="2">
        <v>3</v>
      </c>
      <c r="O1395" s="2">
        <v>2</v>
      </c>
      <c r="P1395" s="2" t="s">
        <v>40</v>
      </c>
      <c r="Q1395" s="2">
        <v>4</v>
      </c>
      <c r="R1395" s="2" t="s">
        <v>41</v>
      </c>
      <c r="S1395" s="2">
        <v>4105</v>
      </c>
      <c r="T1395" s="2">
        <v>5099</v>
      </c>
      <c r="U1395" s="2">
        <v>1</v>
      </c>
      <c r="V1395" s="2" t="s">
        <v>42</v>
      </c>
      <c r="W1395" s="2" t="s">
        <v>43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</row>
    <row r="1396" spans="1:35" x14ac:dyDescent="0.25">
      <c r="A1396" s="2">
        <v>32</v>
      </c>
      <c r="B1396" s="2" t="s">
        <v>43</v>
      </c>
      <c r="C1396" s="2" t="s">
        <v>36</v>
      </c>
      <c r="D1396" s="2">
        <v>1373</v>
      </c>
      <c r="E1396" s="2" t="s">
        <v>45</v>
      </c>
      <c r="F1396" s="2">
        <v>5</v>
      </c>
      <c r="G1396" s="2">
        <v>4</v>
      </c>
      <c r="H1396" s="2" t="s">
        <v>38</v>
      </c>
      <c r="I1396" s="2">
        <v>1</v>
      </c>
      <c r="J1396" s="2">
        <v>1966</v>
      </c>
      <c r="K1396" s="2">
        <v>4</v>
      </c>
      <c r="L1396" s="2" t="s">
        <v>46</v>
      </c>
      <c r="M1396" s="2">
        <v>56</v>
      </c>
      <c r="N1396" s="2">
        <v>2</v>
      </c>
      <c r="O1396" s="2">
        <v>2</v>
      </c>
      <c r="P1396" s="2" t="s">
        <v>53</v>
      </c>
      <c r="Q1396" s="2">
        <v>4</v>
      </c>
      <c r="R1396" s="2" t="s">
        <v>41</v>
      </c>
      <c r="S1396" s="2">
        <v>9679</v>
      </c>
      <c r="T1396" s="2">
        <v>10138</v>
      </c>
      <c r="U1396" s="2">
        <v>8</v>
      </c>
      <c r="V1396" s="2" t="s">
        <v>42</v>
      </c>
      <c r="W1396" s="2" t="s">
        <v>43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</row>
    <row r="1397" spans="1:35" x14ac:dyDescent="0.25">
      <c r="A1397" s="2">
        <v>31</v>
      </c>
      <c r="B1397" s="2" t="s">
        <v>35</v>
      </c>
      <c r="C1397" s="2" t="s">
        <v>44</v>
      </c>
      <c r="D1397" s="2">
        <v>754</v>
      </c>
      <c r="E1397" s="2" t="s">
        <v>37</v>
      </c>
      <c r="F1397" s="2">
        <v>26</v>
      </c>
      <c r="G1397" s="2">
        <v>4</v>
      </c>
      <c r="H1397" s="2" t="s">
        <v>59</v>
      </c>
      <c r="I1397" s="2">
        <v>1</v>
      </c>
      <c r="J1397" s="2">
        <v>1967</v>
      </c>
      <c r="K1397" s="2">
        <v>1</v>
      </c>
      <c r="L1397" s="2" t="s">
        <v>46</v>
      </c>
      <c r="M1397" s="2">
        <v>63</v>
      </c>
      <c r="N1397" s="2">
        <v>3</v>
      </c>
      <c r="O1397" s="2">
        <v>2</v>
      </c>
      <c r="P1397" s="2" t="s">
        <v>40</v>
      </c>
      <c r="Q1397" s="2">
        <v>4</v>
      </c>
      <c r="R1397" s="2" t="s">
        <v>48</v>
      </c>
      <c r="S1397" s="2">
        <v>5617</v>
      </c>
      <c r="T1397" s="2">
        <v>21075</v>
      </c>
      <c r="U1397" s="2">
        <v>1</v>
      </c>
      <c r="V1397" s="2" t="s">
        <v>42</v>
      </c>
      <c r="W1397" s="2" t="s">
        <v>35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</row>
    <row r="1398" spans="1:35" x14ac:dyDescent="0.25">
      <c r="A1398" s="2">
        <v>53</v>
      </c>
      <c r="B1398" s="2" t="s">
        <v>35</v>
      </c>
      <c r="C1398" s="2" t="s">
        <v>36</v>
      </c>
      <c r="D1398" s="2">
        <v>1168</v>
      </c>
      <c r="E1398" s="2" t="s">
        <v>37</v>
      </c>
      <c r="F1398" s="2">
        <v>24</v>
      </c>
      <c r="G1398" s="2">
        <v>4</v>
      </c>
      <c r="H1398" s="2" t="s">
        <v>38</v>
      </c>
      <c r="I1398" s="2">
        <v>1</v>
      </c>
      <c r="J1398" s="2">
        <v>1968</v>
      </c>
      <c r="K1398" s="2">
        <v>1</v>
      </c>
      <c r="L1398" s="2" t="s">
        <v>46</v>
      </c>
      <c r="M1398" s="2">
        <v>66</v>
      </c>
      <c r="N1398" s="2">
        <v>3</v>
      </c>
      <c r="O1398" s="2">
        <v>3</v>
      </c>
      <c r="P1398" s="2" t="s">
        <v>40</v>
      </c>
      <c r="Q1398" s="2">
        <v>1</v>
      </c>
      <c r="R1398" s="2" t="s">
        <v>41</v>
      </c>
      <c r="S1398" s="2">
        <v>10448</v>
      </c>
      <c r="T1398" s="2">
        <v>5843</v>
      </c>
      <c r="U1398" s="2">
        <v>6</v>
      </c>
      <c r="V1398" s="2" t="s">
        <v>42</v>
      </c>
      <c r="W1398" s="2" t="s">
        <v>35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</row>
    <row r="1399" spans="1:35" x14ac:dyDescent="0.25">
      <c r="A1399" s="2">
        <v>54</v>
      </c>
      <c r="B1399" s="2" t="s">
        <v>43</v>
      </c>
      <c r="C1399" s="2" t="s">
        <v>36</v>
      </c>
      <c r="D1399" s="2">
        <v>155</v>
      </c>
      <c r="E1399" s="2" t="s">
        <v>45</v>
      </c>
      <c r="F1399" s="2">
        <v>9</v>
      </c>
      <c r="G1399" s="2">
        <v>2</v>
      </c>
      <c r="H1399" s="2" t="s">
        <v>38</v>
      </c>
      <c r="I1399" s="2">
        <v>1</v>
      </c>
      <c r="J1399" s="2">
        <v>1969</v>
      </c>
      <c r="K1399" s="2">
        <v>1</v>
      </c>
      <c r="L1399" s="2" t="s">
        <v>39</v>
      </c>
      <c r="M1399" s="2">
        <v>67</v>
      </c>
      <c r="N1399" s="2">
        <v>3</v>
      </c>
      <c r="O1399" s="2">
        <v>2</v>
      </c>
      <c r="P1399" s="2" t="s">
        <v>47</v>
      </c>
      <c r="Q1399" s="2">
        <v>3</v>
      </c>
      <c r="R1399" s="2" t="s">
        <v>48</v>
      </c>
      <c r="S1399" s="2">
        <v>2897</v>
      </c>
      <c r="T1399" s="2">
        <v>22474</v>
      </c>
      <c r="U1399" s="2">
        <v>3</v>
      </c>
      <c r="V1399" s="2" t="s">
        <v>42</v>
      </c>
      <c r="W1399" s="2" t="s">
        <v>43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</row>
    <row r="1400" spans="1:35" x14ac:dyDescent="0.25">
      <c r="A1400" s="2">
        <v>33</v>
      </c>
      <c r="B1400" s="2" t="s">
        <v>43</v>
      </c>
      <c r="C1400" s="2" t="s">
        <v>44</v>
      </c>
      <c r="D1400" s="2">
        <v>1303</v>
      </c>
      <c r="E1400" s="2" t="s">
        <v>45</v>
      </c>
      <c r="F1400" s="2">
        <v>7</v>
      </c>
      <c r="G1400" s="2">
        <v>2</v>
      </c>
      <c r="H1400" s="2" t="s">
        <v>38</v>
      </c>
      <c r="I1400" s="2">
        <v>1</v>
      </c>
      <c r="J1400" s="2">
        <v>1970</v>
      </c>
      <c r="K1400" s="2">
        <v>4</v>
      </c>
      <c r="L1400" s="2" t="s">
        <v>46</v>
      </c>
      <c r="M1400" s="2">
        <v>36</v>
      </c>
      <c r="N1400" s="2">
        <v>3</v>
      </c>
      <c r="O1400" s="2">
        <v>2</v>
      </c>
      <c r="P1400" s="2" t="s">
        <v>54</v>
      </c>
      <c r="Q1400" s="2">
        <v>3</v>
      </c>
      <c r="R1400" s="2" t="s">
        <v>52</v>
      </c>
      <c r="S1400" s="2">
        <v>5968</v>
      </c>
      <c r="T1400" s="2">
        <v>18079</v>
      </c>
      <c r="U1400" s="2">
        <v>1</v>
      </c>
      <c r="V1400" s="2" t="s">
        <v>42</v>
      </c>
      <c r="W1400" s="2" t="s">
        <v>43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</row>
    <row r="1401" spans="1:35" x14ac:dyDescent="0.25">
      <c r="A1401" s="2">
        <v>43</v>
      </c>
      <c r="B1401" s="2" t="s">
        <v>43</v>
      </c>
      <c r="C1401" s="2" t="s">
        <v>36</v>
      </c>
      <c r="D1401" s="2">
        <v>574</v>
      </c>
      <c r="E1401" s="2" t="s">
        <v>45</v>
      </c>
      <c r="F1401" s="2">
        <v>11</v>
      </c>
      <c r="G1401" s="2">
        <v>3</v>
      </c>
      <c r="H1401" s="2" t="s">
        <v>38</v>
      </c>
      <c r="I1401" s="2">
        <v>1</v>
      </c>
      <c r="J1401" s="2">
        <v>1971</v>
      </c>
      <c r="K1401" s="2">
        <v>1</v>
      </c>
      <c r="L1401" s="2" t="s">
        <v>46</v>
      </c>
      <c r="M1401" s="2">
        <v>30</v>
      </c>
      <c r="N1401" s="2">
        <v>3</v>
      </c>
      <c r="O1401" s="2">
        <v>3</v>
      </c>
      <c r="P1401" s="2" t="s">
        <v>54</v>
      </c>
      <c r="Q1401" s="2">
        <v>3</v>
      </c>
      <c r="R1401" s="2" t="s">
        <v>48</v>
      </c>
      <c r="S1401" s="2">
        <v>7510</v>
      </c>
      <c r="T1401" s="2">
        <v>16873</v>
      </c>
      <c r="U1401" s="2">
        <v>1</v>
      </c>
      <c r="V1401" s="2" t="s">
        <v>42</v>
      </c>
      <c r="W1401" s="2" t="s">
        <v>43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</row>
    <row r="1402" spans="1:35" x14ac:dyDescent="0.25">
      <c r="A1402" s="2">
        <v>38</v>
      </c>
      <c r="B1402" s="2" t="s">
        <v>43</v>
      </c>
      <c r="C1402" s="2" t="s">
        <v>44</v>
      </c>
      <c r="D1402" s="2">
        <v>1444</v>
      </c>
      <c r="E1402" s="2" t="s">
        <v>61</v>
      </c>
      <c r="F1402" s="2">
        <v>1</v>
      </c>
      <c r="G1402" s="2">
        <v>4</v>
      </c>
      <c r="H1402" s="2" t="s">
        <v>49</v>
      </c>
      <c r="I1402" s="2">
        <v>1</v>
      </c>
      <c r="J1402" s="2">
        <v>1972</v>
      </c>
      <c r="K1402" s="2">
        <v>4</v>
      </c>
      <c r="L1402" s="2" t="s">
        <v>46</v>
      </c>
      <c r="M1402" s="2">
        <v>88</v>
      </c>
      <c r="N1402" s="2">
        <v>3</v>
      </c>
      <c r="O1402" s="2">
        <v>1</v>
      </c>
      <c r="P1402" s="2" t="s">
        <v>61</v>
      </c>
      <c r="Q1402" s="2">
        <v>2</v>
      </c>
      <c r="R1402" s="2" t="s">
        <v>48</v>
      </c>
      <c r="S1402" s="2">
        <v>2991</v>
      </c>
      <c r="T1402" s="2">
        <v>5224</v>
      </c>
      <c r="U1402" s="2">
        <v>0</v>
      </c>
      <c r="V1402" s="2" t="s">
        <v>42</v>
      </c>
      <c r="W1402" s="2" t="s">
        <v>35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</row>
    <row r="1403" spans="1:35" x14ac:dyDescent="0.25">
      <c r="A1403" s="2">
        <v>55</v>
      </c>
      <c r="B1403" s="2" t="s">
        <v>43</v>
      </c>
      <c r="C1403" s="2" t="s">
        <v>36</v>
      </c>
      <c r="D1403" s="2">
        <v>189</v>
      </c>
      <c r="E1403" s="2" t="s">
        <v>61</v>
      </c>
      <c r="F1403" s="2">
        <v>26</v>
      </c>
      <c r="G1403" s="2">
        <v>4</v>
      </c>
      <c r="H1403" s="2" t="s">
        <v>61</v>
      </c>
      <c r="I1403" s="2">
        <v>1</v>
      </c>
      <c r="J1403" s="2">
        <v>1973</v>
      </c>
      <c r="K1403" s="2">
        <v>3</v>
      </c>
      <c r="L1403" s="2" t="s">
        <v>46</v>
      </c>
      <c r="M1403" s="2">
        <v>71</v>
      </c>
      <c r="N1403" s="2">
        <v>4</v>
      </c>
      <c r="O1403" s="2">
        <v>5</v>
      </c>
      <c r="P1403" s="2" t="s">
        <v>56</v>
      </c>
      <c r="Q1403" s="2">
        <v>2</v>
      </c>
      <c r="R1403" s="2" t="s">
        <v>48</v>
      </c>
      <c r="S1403" s="2">
        <v>19636</v>
      </c>
      <c r="T1403" s="2">
        <v>25811</v>
      </c>
      <c r="U1403" s="2">
        <v>4</v>
      </c>
      <c r="V1403" s="2" t="s">
        <v>42</v>
      </c>
      <c r="W1403" s="2" t="s">
        <v>35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</row>
    <row r="1404" spans="1:35" x14ac:dyDescent="0.25">
      <c r="A1404" s="2">
        <v>31</v>
      </c>
      <c r="B1404" s="2" t="s">
        <v>43</v>
      </c>
      <c r="C1404" s="2" t="s">
        <v>36</v>
      </c>
      <c r="D1404" s="2">
        <v>1276</v>
      </c>
      <c r="E1404" s="2" t="s">
        <v>45</v>
      </c>
      <c r="F1404" s="2">
        <v>2</v>
      </c>
      <c r="G1404" s="2">
        <v>1</v>
      </c>
      <c r="H1404" s="2" t="s">
        <v>51</v>
      </c>
      <c r="I1404" s="2">
        <v>1</v>
      </c>
      <c r="J1404" s="2">
        <v>1974</v>
      </c>
      <c r="K1404" s="2">
        <v>4</v>
      </c>
      <c r="L1404" s="2" t="s">
        <v>39</v>
      </c>
      <c r="M1404" s="2">
        <v>59</v>
      </c>
      <c r="N1404" s="2">
        <v>1</v>
      </c>
      <c r="O1404" s="2">
        <v>1</v>
      </c>
      <c r="P1404" s="2" t="s">
        <v>50</v>
      </c>
      <c r="Q1404" s="2">
        <v>4</v>
      </c>
      <c r="R1404" s="2" t="s">
        <v>52</v>
      </c>
      <c r="S1404" s="2">
        <v>1129</v>
      </c>
      <c r="T1404" s="2">
        <v>17536</v>
      </c>
      <c r="U1404" s="2">
        <v>1</v>
      </c>
      <c r="V1404" s="2" t="s">
        <v>42</v>
      </c>
      <c r="W1404" s="2" t="s">
        <v>35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</row>
    <row r="1405" spans="1:35" x14ac:dyDescent="0.25">
      <c r="A1405" s="2">
        <v>39</v>
      </c>
      <c r="B1405" s="2" t="s">
        <v>43</v>
      </c>
      <c r="C1405" s="2" t="s">
        <v>36</v>
      </c>
      <c r="D1405" s="2">
        <v>119</v>
      </c>
      <c r="E1405" s="2" t="s">
        <v>37</v>
      </c>
      <c r="F1405" s="2">
        <v>15</v>
      </c>
      <c r="G1405" s="2">
        <v>4</v>
      </c>
      <c r="H1405" s="2" t="s">
        <v>59</v>
      </c>
      <c r="I1405" s="2">
        <v>1</v>
      </c>
      <c r="J1405" s="2">
        <v>1975</v>
      </c>
      <c r="K1405" s="2">
        <v>2</v>
      </c>
      <c r="L1405" s="2" t="s">
        <v>46</v>
      </c>
      <c r="M1405" s="2">
        <v>77</v>
      </c>
      <c r="N1405" s="2">
        <v>3</v>
      </c>
      <c r="O1405" s="2">
        <v>4</v>
      </c>
      <c r="P1405" s="2" t="s">
        <v>40</v>
      </c>
      <c r="Q1405" s="2">
        <v>1</v>
      </c>
      <c r="R1405" s="2" t="s">
        <v>41</v>
      </c>
      <c r="S1405" s="2">
        <v>13341</v>
      </c>
      <c r="T1405" s="2">
        <v>25098</v>
      </c>
      <c r="U1405" s="2">
        <v>0</v>
      </c>
      <c r="V1405" s="2" t="s">
        <v>42</v>
      </c>
      <c r="W1405" s="2" t="s">
        <v>43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</row>
    <row r="1406" spans="1:35" x14ac:dyDescent="0.25">
      <c r="A1406" s="2">
        <v>42</v>
      </c>
      <c r="B1406" s="2" t="s">
        <v>43</v>
      </c>
      <c r="C1406" s="2" t="s">
        <v>55</v>
      </c>
      <c r="D1406" s="2">
        <v>335</v>
      </c>
      <c r="E1406" s="2" t="s">
        <v>45</v>
      </c>
      <c r="F1406" s="2">
        <v>23</v>
      </c>
      <c r="G1406" s="2">
        <v>2</v>
      </c>
      <c r="H1406" s="2" t="s">
        <v>38</v>
      </c>
      <c r="I1406" s="2">
        <v>1</v>
      </c>
      <c r="J1406" s="2">
        <v>1976</v>
      </c>
      <c r="K1406" s="2">
        <v>4</v>
      </c>
      <c r="L1406" s="2" t="s">
        <v>46</v>
      </c>
      <c r="M1406" s="2">
        <v>37</v>
      </c>
      <c r="N1406" s="2">
        <v>2</v>
      </c>
      <c r="O1406" s="2">
        <v>2</v>
      </c>
      <c r="P1406" s="2" t="s">
        <v>47</v>
      </c>
      <c r="Q1406" s="2">
        <v>3</v>
      </c>
      <c r="R1406" s="2" t="s">
        <v>41</v>
      </c>
      <c r="S1406" s="2">
        <v>4332</v>
      </c>
      <c r="T1406" s="2">
        <v>14811</v>
      </c>
      <c r="U1406" s="2">
        <v>1</v>
      </c>
      <c r="V1406" s="2" t="s">
        <v>42</v>
      </c>
      <c r="W1406" s="2" t="s">
        <v>43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</row>
    <row r="1407" spans="1:35" x14ac:dyDescent="0.25">
      <c r="A1407" s="2">
        <v>31</v>
      </c>
      <c r="B1407" s="2" t="s">
        <v>43</v>
      </c>
      <c r="C1407" s="2" t="s">
        <v>55</v>
      </c>
      <c r="D1407" s="2">
        <v>697</v>
      </c>
      <c r="E1407" s="2" t="s">
        <v>45</v>
      </c>
      <c r="F1407" s="2">
        <v>10</v>
      </c>
      <c r="G1407" s="2">
        <v>3</v>
      </c>
      <c r="H1407" s="2" t="s">
        <v>51</v>
      </c>
      <c r="I1407" s="2">
        <v>1</v>
      </c>
      <c r="J1407" s="2">
        <v>1979</v>
      </c>
      <c r="K1407" s="2">
        <v>3</v>
      </c>
      <c r="L1407" s="2" t="s">
        <v>39</v>
      </c>
      <c r="M1407" s="2">
        <v>40</v>
      </c>
      <c r="N1407" s="2">
        <v>3</v>
      </c>
      <c r="O1407" s="2">
        <v>3</v>
      </c>
      <c r="P1407" s="2" t="s">
        <v>58</v>
      </c>
      <c r="Q1407" s="2">
        <v>3</v>
      </c>
      <c r="R1407" s="2" t="s">
        <v>48</v>
      </c>
      <c r="S1407" s="2">
        <v>11031</v>
      </c>
      <c r="T1407" s="2">
        <v>26862</v>
      </c>
      <c r="U1407" s="2">
        <v>4</v>
      </c>
      <c r="V1407" s="2" t="s">
        <v>42</v>
      </c>
      <c r="W1407" s="2" t="s">
        <v>43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</row>
    <row r="1408" spans="1:35" x14ac:dyDescent="0.25">
      <c r="A1408" s="2">
        <v>54</v>
      </c>
      <c r="B1408" s="2" t="s">
        <v>43</v>
      </c>
      <c r="C1408" s="2" t="s">
        <v>36</v>
      </c>
      <c r="D1408" s="2">
        <v>157</v>
      </c>
      <c r="E1408" s="2" t="s">
        <v>45</v>
      </c>
      <c r="F1408" s="2">
        <v>10</v>
      </c>
      <c r="G1408" s="2">
        <v>3</v>
      </c>
      <c r="H1408" s="2" t="s">
        <v>51</v>
      </c>
      <c r="I1408" s="2">
        <v>1</v>
      </c>
      <c r="J1408" s="2">
        <v>1980</v>
      </c>
      <c r="K1408" s="2">
        <v>3</v>
      </c>
      <c r="L1408" s="2" t="s">
        <v>39</v>
      </c>
      <c r="M1408" s="2">
        <v>77</v>
      </c>
      <c r="N1408" s="2">
        <v>3</v>
      </c>
      <c r="O1408" s="2">
        <v>2</v>
      </c>
      <c r="P1408" s="2" t="s">
        <v>53</v>
      </c>
      <c r="Q1408" s="2">
        <v>1</v>
      </c>
      <c r="R1408" s="2" t="s">
        <v>41</v>
      </c>
      <c r="S1408" s="2">
        <v>4440</v>
      </c>
      <c r="T1408" s="2">
        <v>25198</v>
      </c>
      <c r="U1408" s="2">
        <v>6</v>
      </c>
      <c r="V1408" s="2" t="s">
        <v>42</v>
      </c>
      <c r="W1408" s="2" t="s">
        <v>35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</row>
    <row r="1409" spans="1:35" x14ac:dyDescent="0.25">
      <c r="A1409" s="2">
        <v>24</v>
      </c>
      <c r="B1409" s="2" t="s">
        <v>43</v>
      </c>
      <c r="C1409" s="2" t="s">
        <v>36</v>
      </c>
      <c r="D1409" s="2">
        <v>771</v>
      </c>
      <c r="E1409" s="2" t="s">
        <v>45</v>
      </c>
      <c r="F1409" s="2">
        <v>1</v>
      </c>
      <c r="G1409" s="2">
        <v>2</v>
      </c>
      <c r="H1409" s="2" t="s">
        <v>38</v>
      </c>
      <c r="I1409" s="2">
        <v>1</v>
      </c>
      <c r="J1409" s="2">
        <v>1981</v>
      </c>
      <c r="K1409" s="2">
        <v>2</v>
      </c>
      <c r="L1409" s="2" t="s">
        <v>46</v>
      </c>
      <c r="M1409" s="2">
        <v>45</v>
      </c>
      <c r="N1409" s="2">
        <v>2</v>
      </c>
      <c r="O1409" s="2">
        <v>2</v>
      </c>
      <c r="P1409" s="2" t="s">
        <v>54</v>
      </c>
      <c r="Q1409" s="2">
        <v>3</v>
      </c>
      <c r="R1409" s="2" t="s">
        <v>41</v>
      </c>
      <c r="S1409" s="2">
        <v>4617</v>
      </c>
      <c r="T1409" s="2">
        <v>14120</v>
      </c>
      <c r="U1409" s="2">
        <v>1</v>
      </c>
      <c r="V1409" s="2" t="s">
        <v>42</v>
      </c>
      <c r="W1409" s="2" t="s">
        <v>43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</row>
    <row r="1410" spans="1:35" x14ac:dyDescent="0.25">
      <c r="A1410" s="2">
        <v>23</v>
      </c>
      <c r="B1410" s="2" t="s">
        <v>43</v>
      </c>
      <c r="C1410" s="2" t="s">
        <v>36</v>
      </c>
      <c r="D1410" s="2">
        <v>571</v>
      </c>
      <c r="E1410" s="2" t="s">
        <v>45</v>
      </c>
      <c r="F1410" s="2">
        <v>12</v>
      </c>
      <c r="G1410" s="2">
        <v>2</v>
      </c>
      <c r="H1410" s="2" t="s">
        <v>49</v>
      </c>
      <c r="I1410" s="2">
        <v>1</v>
      </c>
      <c r="J1410" s="2">
        <v>1982</v>
      </c>
      <c r="K1410" s="2">
        <v>4</v>
      </c>
      <c r="L1410" s="2" t="s">
        <v>46</v>
      </c>
      <c r="M1410" s="2">
        <v>78</v>
      </c>
      <c r="N1410" s="2">
        <v>3</v>
      </c>
      <c r="O1410" s="2">
        <v>1</v>
      </c>
      <c r="P1410" s="2" t="s">
        <v>50</v>
      </c>
      <c r="Q1410" s="2">
        <v>4</v>
      </c>
      <c r="R1410" s="2" t="s">
        <v>41</v>
      </c>
      <c r="S1410" s="2">
        <v>2647</v>
      </c>
      <c r="T1410" s="2">
        <v>13672</v>
      </c>
      <c r="U1410" s="2">
        <v>1</v>
      </c>
      <c r="V1410" s="2" t="s">
        <v>42</v>
      </c>
      <c r="W1410" s="2" t="s">
        <v>43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</row>
    <row r="1411" spans="1:35" x14ac:dyDescent="0.25">
      <c r="A1411" s="2">
        <v>40</v>
      </c>
      <c r="B1411" s="2" t="s">
        <v>43</v>
      </c>
      <c r="C1411" s="2" t="s">
        <v>44</v>
      </c>
      <c r="D1411" s="2">
        <v>692</v>
      </c>
      <c r="E1411" s="2" t="s">
        <v>45</v>
      </c>
      <c r="F1411" s="2">
        <v>11</v>
      </c>
      <c r="G1411" s="2">
        <v>3</v>
      </c>
      <c r="H1411" s="2" t="s">
        <v>60</v>
      </c>
      <c r="I1411" s="2">
        <v>1</v>
      </c>
      <c r="J1411" s="2">
        <v>1985</v>
      </c>
      <c r="K1411" s="2">
        <v>4</v>
      </c>
      <c r="L1411" s="2" t="s">
        <v>39</v>
      </c>
      <c r="M1411" s="2">
        <v>73</v>
      </c>
      <c r="N1411" s="2">
        <v>3</v>
      </c>
      <c r="O1411" s="2">
        <v>2</v>
      </c>
      <c r="P1411" s="2" t="s">
        <v>50</v>
      </c>
      <c r="Q1411" s="2">
        <v>3</v>
      </c>
      <c r="R1411" s="2" t="s">
        <v>48</v>
      </c>
      <c r="S1411" s="2">
        <v>6323</v>
      </c>
      <c r="T1411" s="2">
        <v>26849</v>
      </c>
      <c r="U1411" s="2">
        <v>1</v>
      </c>
      <c r="V1411" s="2" t="s">
        <v>42</v>
      </c>
      <c r="W1411" s="2" t="s">
        <v>43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</row>
    <row r="1412" spans="1:35" x14ac:dyDescent="0.25">
      <c r="A1412" s="2">
        <v>40</v>
      </c>
      <c r="B1412" s="2" t="s">
        <v>43</v>
      </c>
      <c r="C1412" s="2" t="s">
        <v>36</v>
      </c>
      <c r="D1412" s="2">
        <v>444</v>
      </c>
      <c r="E1412" s="2" t="s">
        <v>37</v>
      </c>
      <c r="F1412" s="2">
        <v>2</v>
      </c>
      <c r="G1412" s="2">
        <v>2</v>
      </c>
      <c r="H1412" s="2" t="s">
        <v>59</v>
      </c>
      <c r="I1412" s="2">
        <v>1</v>
      </c>
      <c r="J1412" s="2">
        <v>1986</v>
      </c>
      <c r="K1412" s="2">
        <v>2</v>
      </c>
      <c r="L1412" s="2" t="s">
        <v>39</v>
      </c>
      <c r="M1412" s="2">
        <v>92</v>
      </c>
      <c r="N1412" s="2">
        <v>3</v>
      </c>
      <c r="O1412" s="2">
        <v>2</v>
      </c>
      <c r="P1412" s="2" t="s">
        <v>40</v>
      </c>
      <c r="Q1412" s="2">
        <v>2</v>
      </c>
      <c r="R1412" s="2" t="s">
        <v>48</v>
      </c>
      <c r="S1412" s="2">
        <v>5677</v>
      </c>
      <c r="T1412" s="2">
        <v>4258</v>
      </c>
      <c r="U1412" s="2">
        <v>3</v>
      </c>
      <c r="V1412" s="2" t="s">
        <v>42</v>
      </c>
      <c r="W1412" s="2" t="s">
        <v>43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</row>
    <row r="1413" spans="1:35" x14ac:dyDescent="0.25">
      <c r="A1413" s="2">
        <v>25</v>
      </c>
      <c r="B1413" s="2" t="s">
        <v>43</v>
      </c>
      <c r="C1413" s="2" t="s">
        <v>36</v>
      </c>
      <c r="D1413" s="2">
        <v>309</v>
      </c>
      <c r="E1413" s="2" t="s">
        <v>61</v>
      </c>
      <c r="F1413" s="2">
        <v>2</v>
      </c>
      <c r="G1413" s="2">
        <v>3</v>
      </c>
      <c r="H1413" s="2" t="s">
        <v>61</v>
      </c>
      <c r="I1413" s="2">
        <v>1</v>
      </c>
      <c r="J1413" s="2">
        <v>1987</v>
      </c>
      <c r="K1413" s="2">
        <v>3</v>
      </c>
      <c r="L1413" s="2" t="s">
        <v>39</v>
      </c>
      <c r="M1413" s="2">
        <v>82</v>
      </c>
      <c r="N1413" s="2">
        <v>3</v>
      </c>
      <c r="O1413" s="2">
        <v>1</v>
      </c>
      <c r="P1413" s="2" t="s">
        <v>61</v>
      </c>
      <c r="Q1413" s="2">
        <v>2</v>
      </c>
      <c r="R1413" s="2" t="s">
        <v>48</v>
      </c>
      <c r="S1413" s="2">
        <v>2187</v>
      </c>
      <c r="T1413" s="2">
        <v>19655</v>
      </c>
      <c r="U1413" s="2">
        <v>4</v>
      </c>
      <c r="V1413" s="2" t="s">
        <v>42</v>
      </c>
      <c r="W1413" s="2" t="s">
        <v>43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</row>
    <row r="1414" spans="1:35" x14ac:dyDescent="0.25">
      <c r="A1414" s="2">
        <v>30</v>
      </c>
      <c r="B1414" s="2" t="s">
        <v>43</v>
      </c>
      <c r="C1414" s="2" t="s">
        <v>36</v>
      </c>
      <c r="D1414" s="2">
        <v>911</v>
      </c>
      <c r="E1414" s="2" t="s">
        <v>45</v>
      </c>
      <c r="F1414" s="2">
        <v>1</v>
      </c>
      <c r="G1414" s="2">
        <v>2</v>
      </c>
      <c r="H1414" s="2" t="s">
        <v>51</v>
      </c>
      <c r="I1414" s="2">
        <v>1</v>
      </c>
      <c r="J1414" s="2">
        <v>1989</v>
      </c>
      <c r="K1414" s="2">
        <v>4</v>
      </c>
      <c r="L1414" s="2" t="s">
        <v>46</v>
      </c>
      <c r="M1414" s="2">
        <v>76</v>
      </c>
      <c r="N1414" s="2">
        <v>3</v>
      </c>
      <c r="O1414" s="2">
        <v>1</v>
      </c>
      <c r="P1414" s="2" t="s">
        <v>50</v>
      </c>
      <c r="Q1414" s="2">
        <v>2</v>
      </c>
      <c r="R1414" s="2" t="s">
        <v>48</v>
      </c>
      <c r="S1414" s="2">
        <v>3748</v>
      </c>
      <c r="T1414" s="2">
        <v>4077</v>
      </c>
      <c r="U1414" s="2">
        <v>1</v>
      </c>
      <c r="V1414" s="2" t="s">
        <v>42</v>
      </c>
      <c r="W1414" s="2" t="s">
        <v>43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</row>
    <row r="1415" spans="1:35" x14ac:dyDescent="0.25">
      <c r="A1415" s="2">
        <v>25</v>
      </c>
      <c r="B1415" s="2" t="s">
        <v>43</v>
      </c>
      <c r="C1415" s="2" t="s">
        <v>36</v>
      </c>
      <c r="D1415" s="2">
        <v>977</v>
      </c>
      <c r="E1415" s="2" t="s">
        <v>45</v>
      </c>
      <c r="F1415" s="2">
        <v>2</v>
      </c>
      <c r="G1415" s="2">
        <v>1</v>
      </c>
      <c r="H1415" s="2" t="s">
        <v>49</v>
      </c>
      <c r="I1415" s="2">
        <v>1</v>
      </c>
      <c r="J1415" s="2">
        <v>1992</v>
      </c>
      <c r="K1415" s="2">
        <v>4</v>
      </c>
      <c r="L1415" s="2" t="s">
        <v>46</v>
      </c>
      <c r="M1415" s="2">
        <v>57</v>
      </c>
      <c r="N1415" s="2">
        <v>3</v>
      </c>
      <c r="O1415" s="2">
        <v>1</v>
      </c>
      <c r="P1415" s="2" t="s">
        <v>50</v>
      </c>
      <c r="Q1415" s="2">
        <v>3</v>
      </c>
      <c r="R1415" s="2" t="s">
        <v>52</v>
      </c>
      <c r="S1415" s="2">
        <v>3977</v>
      </c>
      <c r="T1415" s="2">
        <v>7298</v>
      </c>
      <c r="U1415" s="2">
        <v>6</v>
      </c>
      <c r="V1415" s="2" t="s">
        <v>42</v>
      </c>
      <c r="W1415" s="2" t="s">
        <v>35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</row>
    <row r="1416" spans="1:35" x14ac:dyDescent="0.25">
      <c r="A1416" s="2">
        <v>47</v>
      </c>
      <c r="B1416" s="2" t="s">
        <v>43</v>
      </c>
      <c r="C1416" s="2" t="s">
        <v>36</v>
      </c>
      <c r="D1416" s="2">
        <v>1180</v>
      </c>
      <c r="E1416" s="2" t="s">
        <v>45</v>
      </c>
      <c r="F1416" s="2">
        <v>25</v>
      </c>
      <c r="G1416" s="2">
        <v>3</v>
      </c>
      <c r="H1416" s="2" t="s">
        <v>51</v>
      </c>
      <c r="I1416" s="2">
        <v>1</v>
      </c>
      <c r="J1416" s="2">
        <v>1993</v>
      </c>
      <c r="K1416" s="2">
        <v>1</v>
      </c>
      <c r="L1416" s="2" t="s">
        <v>46</v>
      </c>
      <c r="M1416" s="2">
        <v>84</v>
      </c>
      <c r="N1416" s="2">
        <v>3</v>
      </c>
      <c r="O1416" s="2">
        <v>3</v>
      </c>
      <c r="P1416" s="2" t="s">
        <v>54</v>
      </c>
      <c r="Q1416" s="2">
        <v>3</v>
      </c>
      <c r="R1416" s="2" t="s">
        <v>41</v>
      </c>
      <c r="S1416" s="2">
        <v>8633</v>
      </c>
      <c r="T1416" s="2">
        <v>13084</v>
      </c>
      <c r="U1416" s="2">
        <v>2</v>
      </c>
      <c r="V1416" s="2" t="s">
        <v>42</v>
      </c>
      <c r="W1416" s="2" t="s">
        <v>43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</row>
    <row r="1417" spans="1:35" x14ac:dyDescent="0.25">
      <c r="A1417" s="2">
        <v>33</v>
      </c>
      <c r="B1417" s="2" t="s">
        <v>43</v>
      </c>
      <c r="C1417" s="2" t="s">
        <v>55</v>
      </c>
      <c r="D1417" s="2">
        <v>1313</v>
      </c>
      <c r="E1417" s="2" t="s">
        <v>45</v>
      </c>
      <c r="F1417" s="2">
        <v>1</v>
      </c>
      <c r="G1417" s="2">
        <v>2</v>
      </c>
      <c r="H1417" s="2" t="s">
        <v>51</v>
      </c>
      <c r="I1417" s="2">
        <v>1</v>
      </c>
      <c r="J1417" s="2">
        <v>1994</v>
      </c>
      <c r="K1417" s="2">
        <v>2</v>
      </c>
      <c r="L1417" s="2" t="s">
        <v>46</v>
      </c>
      <c r="M1417" s="2">
        <v>59</v>
      </c>
      <c r="N1417" s="2">
        <v>2</v>
      </c>
      <c r="O1417" s="2">
        <v>1</v>
      </c>
      <c r="P1417" s="2" t="s">
        <v>50</v>
      </c>
      <c r="Q1417" s="2">
        <v>3</v>
      </c>
      <c r="R1417" s="2" t="s">
        <v>52</v>
      </c>
      <c r="S1417" s="2">
        <v>2008</v>
      </c>
      <c r="T1417" s="2">
        <v>20439</v>
      </c>
      <c r="U1417" s="2">
        <v>1</v>
      </c>
      <c r="V1417" s="2" t="s">
        <v>42</v>
      </c>
      <c r="W1417" s="2" t="s">
        <v>43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</row>
    <row r="1418" spans="1:35" x14ac:dyDescent="0.25">
      <c r="A1418" s="2">
        <v>38</v>
      </c>
      <c r="B1418" s="2" t="s">
        <v>43</v>
      </c>
      <c r="C1418" s="2" t="s">
        <v>36</v>
      </c>
      <c r="D1418" s="2">
        <v>1321</v>
      </c>
      <c r="E1418" s="2" t="s">
        <v>37</v>
      </c>
      <c r="F1418" s="2">
        <v>1</v>
      </c>
      <c r="G1418" s="2">
        <v>4</v>
      </c>
      <c r="H1418" s="2" t="s">
        <v>38</v>
      </c>
      <c r="I1418" s="2">
        <v>1</v>
      </c>
      <c r="J1418" s="2">
        <v>1995</v>
      </c>
      <c r="K1418" s="2">
        <v>4</v>
      </c>
      <c r="L1418" s="2" t="s">
        <v>46</v>
      </c>
      <c r="M1418" s="2">
        <v>86</v>
      </c>
      <c r="N1418" s="2">
        <v>3</v>
      </c>
      <c r="O1418" s="2">
        <v>2</v>
      </c>
      <c r="P1418" s="2" t="s">
        <v>40</v>
      </c>
      <c r="Q1418" s="2">
        <v>2</v>
      </c>
      <c r="R1418" s="2" t="s">
        <v>48</v>
      </c>
      <c r="S1418" s="2">
        <v>4440</v>
      </c>
      <c r="T1418" s="2">
        <v>7636</v>
      </c>
      <c r="U1418" s="2">
        <v>0</v>
      </c>
      <c r="V1418" s="2" t="s">
        <v>42</v>
      </c>
      <c r="W1418" s="2" t="s">
        <v>43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</row>
    <row r="1419" spans="1:35" x14ac:dyDescent="0.25">
      <c r="A1419" s="2">
        <v>31</v>
      </c>
      <c r="B1419" s="2" t="s">
        <v>43</v>
      </c>
      <c r="C1419" s="2" t="s">
        <v>36</v>
      </c>
      <c r="D1419" s="2">
        <v>1154</v>
      </c>
      <c r="E1419" s="2" t="s">
        <v>37</v>
      </c>
      <c r="F1419" s="2">
        <v>2</v>
      </c>
      <c r="G1419" s="2">
        <v>2</v>
      </c>
      <c r="H1419" s="2" t="s">
        <v>38</v>
      </c>
      <c r="I1419" s="2">
        <v>1</v>
      </c>
      <c r="J1419" s="2">
        <v>1996</v>
      </c>
      <c r="K1419" s="2">
        <v>1</v>
      </c>
      <c r="L1419" s="2" t="s">
        <v>46</v>
      </c>
      <c r="M1419" s="2">
        <v>54</v>
      </c>
      <c r="N1419" s="2">
        <v>3</v>
      </c>
      <c r="O1419" s="2">
        <v>1</v>
      </c>
      <c r="P1419" s="2" t="s">
        <v>57</v>
      </c>
      <c r="Q1419" s="2">
        <v>3</v>
      </c>
      <c r="R1419" s="2" t="s">
        <v>48</v>
      </c>
      <c r="S1419" s="2">
        <v>3067</v>
      </c>
      <c r="T1419" s="2">
        <v>6393</v>
      </c>
      <c r="U1419" s="2">
        <v>0</v>
      </c>
      <c r="V1419" s="2" t="s">
        <v>42</v>
      </c>
      <c r="W1419" s="2" t="s">
        <v>43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</row>
    <row r="1420" spans="1:35" x14ac:dyDescent="0.25">
      <c r="A1420" s="2">
        <v>38</v>
      </c>
      <c r="B1420" s="2" t="s">
        <v>43</v>
      </c>
      <c r="C1420" s="2" t="s">
        <v>44</v>
      </c>
      <c r="D1420" s="2">
        <v>508</v>
      </c>
      <c r="E1420" s="2" t="s">
        <v>45</v>
      </c>
      <c r="F1420" s="2">
        <v>6</v>
      </c>
      <c r="G1420" s="2">
        <v>4</v>
      </c>
      <c r="H1420" s="2" t="s">
        <v>38</v>
      </c>
      <c r="I1420" s="2">
        <v>1</v>
      </c>
      <c r="J1420" s="2">
        <v>1997</v>
      </c>
      <c r="K1420" s="2">
        <v>1</v>
      </c>
      <c r="L1420" s="2" t="s">
        <v>46</v>
      </c>
      <c r="M1420" s="2">
        <v>72</v>
      </c>
      <c r="N1420" s="2">
        <v>2</v>
      </c>
      <c r="O1420" s="2">
        <v>2</v>
      </c>
      <c r="P1420" s="2" t="s">
        <v>53</v>
      </c>
      <c r="Q1420" s="2">
        <v>3</v>
      </c>
      <c r="R1420" s="2" t="s">
        <v>48</v>
      </c>
      <c r="S1420" s="2">
        <v>5321</v>
      </c>
      <c r="T1420" s="2">
        <v>14284</v>
      </c>
      <c r="U1420" s="2">
        <v>2</v>
      </c>
      <c r="V1420" s="2" t="s">
        <v>42</v>
      </c>
      <c r="W1420" s="2" t="s">
        <v>43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</row>
    <row r="1421" spans="1:35" x14ac:dyDescent="0.25">
      <c r="A1421" s="2">
        <v>42</v>
      </c>
      <c r="B1421" s="2" t="s">
        <v>43</v>
      </c>
      <c r="C1421" s="2" t="s">
        <v>36</v>
      </c>
      <c r="D1421" s="2">
        <v>557</v>
      </c>
      <c r="E1421" s="2" t="s">
        <v>45</v>
      </c>
      <c r="F1421" s="2">
        <v>18</v>
      </c>
      <c r="G1421" s="2">
        <v>4</v>
      </c>
      <c r="H1421" s="2" t="s">
        <v>38</v>
      </c>
      <c r="I1421" s="2">
        <v>1</v>
      </c>
      <c r="J1421" s="2">
        <v>1998</v>
      </c>
      <c r="K1421" s="2">
        <v>4</v>
      </c>
      <c r="L1421" s="2" t="s">
        <v>46</v>
      </c>
      <c r="M1421" s="2">
        <v>35</v>
      </c>
      <c r="N1421" s="2">
        <v>3</v>
      </c>
      <c r="O1421" s="2">
        <v>2</v>
      </c>
      <c r="P1421" s="2" t="s">
        <v>47</v>
      </c>
      <c r="Q1421" s="2">
        <v>1</v>
      </c>
      <c r="R1421" s="2" t="s">
        <v>52</v>
      </c>
      <c r="S1421" s="2">
        <v>5410</v>
      </c>
      <c r="T1421" s="2">
        <v>11189</v>
      </c>
      <c r="U1421" s="2">
        <v>6</v>
      </c>
      <c r="V1421" s="2" t="s">
        <v>42</v>
      </c>
      <c r="W1421" s="2" t="s">
        <v>35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</row>
    <row r="1422" spans="1:35" x14ac:dyDescent="0.25">
      <c r="A1422" s="2">
        <v>41</v>
      </c>
      <c r="B1422" s="2" t="s">
        <v>43</v>
      </c>
      <c r="C1422" s="2" t="s">
        <v>36</v>
      </c>
      <c r="D1422" s="2">
        <v>642</v>
      </c>
      <c r="E1422" s="2" t="s">
        <v>45</v>
      </c>
      <c r="F1422" s="2">
        <v>1</v>
      </c>
      <c r="G1422" s="2">
        <v>3</v>
      </c>
      <c r="H1422" s="2" t="s">
        <v>38</v>
      </c>
      <c r="I1422" s="2">
        <v>1</v>
      </c>
      <c r="J1422" s="2">
        <v>1999</v>
      </c>
      <c r="K1422" s="2">
        <v>4</v>
      </c>
      <c r="L1422" s="2" t="s">
        <v>46</v>
      </c>
      <c r="M1422" s="2">
        <v>76</v>
      </c>
      <c r="N1422" s="2">
        <v>3</v>
      </c>
      <c r="O1422" s="2">
        <v>1</v>
      </c>
      <c r="P1422" s="2" t="s">
        <v>47</v>
      </c>
      <c r="Q1422" s="2">
        <v>4</v>
      </c>
      <c r="R1422" s="2" t="s">
        <v>48</v>
      </c>
      <c r="S1422" s="2">
        <v>2782</v>
      </c>
      <c r="T1422" s="2">
        <v>21412</v>
      </c>
      <c r="U1422" s="2">
        <v>3</v>
      </c>
      <c r="V1422" s="2" t="s">
        <v>42</v>
      </c>
      <c r="W1422" s="2" t="s">
        <v>43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</row>
    <row r="1423" spans="1:35" x14ac:dyDescent="0.25">
      <c r="A1423" s="2">
        <v>47</v>
      </c>
      <c r="B1423" s="2" t="s">
        <v>43</v>
      </c>
      <c r="C1423" s="2" t="s">
        <v>55</v>
      </c>
      <c r="D1423" s="2">
        <v>1162</v>
      </c>
      <c r="E1423" s="2" t="s">
        <v>45</v>
      </c>
      <c r="F1423" s="2">
        <v>1</v>
      </c>
      <c r="G1423" s="2">
        <v>1</v>
      </c>
      <c r="H1423" s="2" t="s">
        <v>51</v>
      </c>
      <c r="I1423" s="2">
        <v>1</v>
      </c>
      <c r="J1423" s="2">
        <v>2000</v>
      </c>
      <c r="K1423" s="2">
        <v>3</v>
      </c>
      <c r="L1423" s="2" t="s">
        <v>39</v>
      </c>
      <c r="M1423" s="2">
        <v>98</v>
      </c>
      <c r="N1423" s="2">
        <v>3</v>
      </c>
      <c r="O1423" s="2">
        <v>3</v>
      </c>
      <c r="P1423" s="2" t="s">
        <v>58</v>
      </c>
      <c r="Q1423" s="2">
        <v>2</v>
      </c>
      <c r="R1423" s="2" t="s">
        <v>48</v>
      </c>
      <c r="S1423" s="2">
        <v>11957</v>
      </c>
      <c r="T1423" s="2">
        <v>17231</v>
      </c>
      <c r="U1423" s="2">
        <v>0</v>
      </c>
      <c r="V1423" s="2" t="s">
        <v>42</v>
      </c>
      <c r="W1423" s="2" t="s">
        <v>43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</row>
    <row r="1424" spans="1:35" x14ac:dyDescent="0.25">
      <c r="A1424" s="2">
        <v>35</v>
      </c>
      <c r="B1424" s="2" t="s">
        <v>43</v>
      </c>
      <c r="C1424" s="2" t="s">
        <v>36</v>
      </c>
      <c r="D1424" s="2">
        <v>1490</v>
      </c>
      <c r="E1424" s="2" t="s">
        <v>45</v>
      </c>
      <c r="F1424" s="2">
        <v>11</v>
      </c>
      <c r="G1424" s="2">
        <v>4</v>
      </c>
      <c r="H1424" s="2" t="s">
        <v>51</v>
      </c>
      <c r="I1424" s="2">
        <v>1</v>
      </c>
      <c r="J1424" s="2">
        <v>2003</v>
      </c>
      <c r="K1424" s="2">
        <v>4</v>
      </c>
      <c r="L1424" s="2" t="s">
        <v>46</v>
      </c>
      <c r="M1424" s="2">
        <v>43</v>
      </c>
      <c r="N1424" s="2">
        <v>3</v>
      </c>
      <c r="O1424" s="2">
        <v>1</v>
      </c>
      <c r="P1424" s="2" t="s">
        <v>50</v>
      </c>
      <c r="Q1424" s="2">
        <v>3</v>
      </c>
      <c r="R1424" s="2" t="s">
        <v>48</v>
      </c>
      <c r="S1424" s="2">
        <v>2660</v>
      </c>
      <c r="T1424" s="2">
        <v>20232</v>
      </c>
      <c r="U1424" s="2">
        <v>7</v>
      </c>
      <c r="V1424" s="2" t="s">
        <v>42</v>
      </c>
      <c r="W1424" s="2" t="s">
        <v>35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</row>
    <row r="1425" spans="1:35" x14ac:dyDescent="0.25">
      <c r="A1425" s="2">
        <v>22</v>
      </c>
      <c r="B1425" s="2" t="s">
        <v>43</v>
      </c>
      <c r="C1425" s="2" t="s">
        <v>36</v>
      </c>
      <c r="D1425" s="2">
        <v>581</v>
      </c>
      <c r="E1425" s="2" t="s">
        <v>45</v>
      </c>
      <c r="F1425" s="2">
        <v>1</v>
      </c>
      <c r="G1425" s="2">
        <v>2</v>
      </c>
      <c r="H1425" s="2" t="s">
        <v>38</v>
      </c>
      <c r="I1425" s="2">
        <v>1</v>
      </c>
      <c r="J1425" s="2">
        <v>2007</v>
      </c>
      <c r="K1425" s="2">
        <v>4</v>
      </c>
      <c r="L1425" s="2" t="s">
        <v>46</v>
      </c>
      <c r="M1425" s="2">
        <v>63</v>
      </c>
      <c r="N1425" s="2">
        <v>3</v>
      </c>
      <c r="O1425" s="2">
        <v>1</v>
      </c>
      <c r="P1425" s="2" t="s">
        <v>47</v>
      </c>
      <c r="Q1425" s="2">
        <v>3</v>
      </c>
      <c r="R1425" s="2" t="s">
        <v>41</v>
      </c>
      <c r="S1425" s="2">
        <v>3375</v>
      </c>
      <c r="T1425" s="2">
        <v>17624</v>
      </c>
      <c r="U1425" s="2">
        <v>0</v>
      </c>
      <c r="V1425" s="2" t="s">
        <v>42</v>
      </c>
      <c r="W1425" s="2" t="s">
        <v>43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</row>
    <row r="1426" spans="1:35" x14ac:dyDescent="0.25">
      <c r="A1426" s="2">
        <v>35</v>
      </c>
      <c r="B1426" s="2" t="s">
        <v>43</v>
      </c>
      <c r="C1426" s="2" t="s">
        <v>36</v>
      </c>
      <c r="D1426" s="2">
        <v>1395</v>
      </c>
      <c r="E1426" s="2" t="s">
        <v>45</v>
      </c>
      <c r="F1426" s="2">
        <v>9</v>
      </c>
      <c r="G1426" s="2">
        <v>4</v>
      </c>
      <c r="H1426" s="2" t="s">
        <v>51</v>
      </c>
      <c r="I1426" s="2">
        <v>1</v>
      </c>
      <c r="J1426" s="2">
        <v>2008</v>
      </c>
      <c r="K1426" s="2">
        <v>2</v>
      </c>
      <c r="L1426" s="2" t="s">
        <v>46</v>
      </c>
      <c r="M1426" s="2">
        <v>48</v>
      </c>
      <c r="N1426" s="2">
        <v>3</v>
      </c>
      <c r="O1426" s="2">
        <v>2</v>
      </c>
      <c r="P1426" s="2" t="s">
        <v>47</v>
      </c>
      <c r="Q1426" s="2">
        <v>3</v>
      </c>
      <c r="R1426" s="2" t="s">
        <v>41</v>
      </c>
      <c r="S1426" s="2">
        <v>5098</v>
      </c>
      <c r="T1426" s="2">
        <v>18698</v>
      </c>
      <c r="U1426" s="2">
        <v>1</v>
      </c>
      <c r="V1426" s="2" t="s">
        <v>42</v>
      </c>
      <c r="W1426" s="2" t="s">
        <v>43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</row>
    <row r="1427" spans="1:35" x14ac:dyDescent="0.25">
      <c r="A1427" s="2">
        <v>33</v>
      </c>
      <c r="B1427" s="2" t="s">
        <v>43</v>
      </c>
      <c r="C1427" s="2" t="s">
        <v>36</v>
      </c>
      <c r="D1427" s="2">
        <v>501</v>
      </c>
      <c r="E1427" s="2" t="s">
        <v>45</v>
      </c>
      <c r="F1427" s="2">
        <v>15</v>
      </c>
      <c r="G1427" s="2">
        <v>2</v>
      </c>
      <c r="H1427" s="2" t="s">
        <v>51</v>
      </c>
      <c r="I1427" s="2">
        <v>1</v>
      </c>
      <c r="J1427" s="2">
        <v>2009</v>
      </c>
      <c r="K1427" s="2">
        <v>2</v>
      </c>
      <c r="L1427" s="2" t="s">
        <v>39</v>
      </c>
      <c r="M1427" s="2">
        <v>95</v>
      </c>
      <c r="N1427" s="2">
        <v>3</v>
      </c>
      <c r="O1427" s="2">
        <v>2</v>
      </c>
      <c r="P1427" s="2" t="s">
        <v>54</v>
      </c>
      <c r="Q1427" s="2">
        <v>4</v>
      </c>
      <c r="R1427" s="2" t="s">
        <v>48</v>
      </c>
      <c r="S1427" s="2">
        <v>4878</v>
      </c>
      <c r="T1427" s="2">
        <v>21653</v>
      </c>
      <c r="U1427" s="2">
        <v>0</v>
      </c>
      <c r="V1427" s="2" t="s">
        <v>42</v>
      </c>
      <c r="W1427" s="2" t="s">
        <v>35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</row>
    <row r="1428" spans="1:35" x14ac:dyDescent="0.25">
      <c r="A1428" s="2">
        <v>32</v>
      </c>
      <c r="B1428" s="2" t="s">
        <v>43</v>
      </c>
      <c r="C1428" s="2" t="s">
        <v>36</v>
      </c>
      <c r="D1428" s="2">
        <v>267</v>
      </c>
      <c r="E1428" s="2" t="s">
        <v>45</v>
      </c>
      <c r="F1428" s="2">
        <v>29</v>
      </c>
      <c r="G1428" s="2">
        <v>4</v>
      </c>
      <c r="H1428" s="2" t="s">
        <v>38</v>
      </c>
      <c r="I1428" s="2">
        <v>1</v>
      </c>
      <c r="J1428" s="2">
        <v>2010</v>
      </c>
      <c r="K1428" s="2">
        <v>3</v>
      </c>
      <c r="L1428" s="2" t="s">
        <v>39</v>
      </c>
      <c r="M1428" s="2">
        <v>49</v>
      </c>
      <c r="N1428" s="2">
        <v>2</v>
      </c>
      <c r="O1428" s="2">
        <v>1</v>
      </c>
      <c r="P1428" s="2" t="s">
        <v>50</v>
      </c>
      <c r="Q1428" s="2">
        <v>2</v>
      </c>
      <c r="R1428" s="2" t="s">
        <v>41</v>
      </c>
      <c r="S1428" s="2">
        <v>2837</v>
      </c>
      <c r="T1428" s="2">
        <v>15919</v>
      </c>
      <c r="U1428" s="2">
        <v>1</v>
      </c>
      <c r="V1428" s="2" t="s">
        <v>42</v>
      </c>
      <c r="W1428" s="2" t="s">
        <v>43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</row>
    <row r="1429" spans="1:35" x14ac:dyDescent="0.25">
      <c r="A1429" s="2">
        <v>40</v>
      </c>
      <c r="B1429" s="2" t="s">
        <v>43</v>
      </c>
      <c r="C1429" s="2" t="s">
        <v>36</v>
      </c>
      <c r="D1429" s="2">
        <v>543</v>
      </c>
      <c r="E1429" s="2" t="s">
        <v>45</v>
      </c>
      <c r="F1429" s="2">
        <v>1</v>
      </c>
      <c r="G1429" s="2">
        <v>4</v>
      </c>
      <c r="H1429" s="2" t="s">
        <v>38</v>
      </c>
      <c r="I1429" s="2">
        <v>1</v>
      </c>
      <c r="J1429" s="2">
        <v>2012</v>
      </c>
      <c r="K1429" s="2">
        <v>1</v>
      </c>
      <c r="L1429" s="2" t="s">
        <v>46</v>
      </c>
      <c r="M1429" s="2">
        <v>83</v>
      </c>
      <c r="N1429" s="2">
        <v>3</v>
      </c>
      <c r="O1429" s="2">
        <v>1</v>
      </c>
      <c r="P1429" s="2" t="s">
        <v>50</v>
      </c>
      <c r="Q1429" s="2">
        <v>4</v>
      </c>
      <c r="R1429" s="2" t="s">
        <v>48</v>
      </c>
      <c r="S1429" s="2">
        <v>2406</v>
      </c>
      <c r="T1429" s="2">
        <v>4060</v>
      </c>
      <c r="U1429" s="2">
        <v>8</v>
      </c>
      <c r="V1429" s="2" t="s">
        <v>42</v>
      </c>
      <c r="W1429" s="2" t="s">
        <v>43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</row>
    <row r="1430" spans="1:35" x14ac:dyDescent="0.25">
      <c r="A1430" s="2">
        <v>32</v>
      </c>
      <c r="B1430" s="2" t="s">
        <v>43</v>
      </c>
      <c r="C1430" s="2" t="s">
        <v>36</v>
      </c>
      <c r="D1430" s="2">
        <v>234</v>
      </c>
      <c r="E1430" s="2" t="s">
        <v>37</v>
      </c>
      <c r="F1430" s="2">
        <v>1</v>
      </c>
      <c r="G1430" s="2">
        <v>4</v>
      </c>
      <c r="H1430" s="2" t="s">
        <v>51</v>
      </c>
      <c r="I1430" s="2">
        <v>1</v>
      </c>
      <c r="J1430" s="2">
        <v>2013</v>
      </c>
      <c r="K1430" s="2">
        <v>2</v>
      </c>
      <c r="L1430" s="2" t="s">
        <v>46</v>
      </c>
      <c r="M1430" s="2">
        <v>68</v>
      </c>
      <c r="N1430" s="2">
        <v>2</v>
      </c>
      <c r="O1430" s="2">
        <v>1</v>
      </c>
      <c r="P1430" s="2" t="s">
        <v>57</v>
      </c>
      <c r="Q1430" s="2">
        <v>2</v>
      </c>
      <c r="R1430" s="2" t="s">
        <v>48</v>
      </c>
      <c r="S1430" s="2">
        <v>2269</v>
      </c>
      <c r="T1430" s="2">
        <v>18024</v>
      </c>
      <c r="U1430" s="2">
        <v>0</v>
      </c>
      <c r="V1430" s="2" t="s">
        <v>42</v>
      </c>
      <c r="W1430" s="2" t="s">
        <v>43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</row>
    <row r="1431" spans="1:35" x14ac:dyDescent="0.25">
      <c r="A1431" s="2">
        <v>39</v>
      </c>
      <c r="B1431" s="2" t="s">
        <v>43</v>
      </c>
      <c r="C1431" s="2" t="s">
        <v>36</v>
      </c>
      <c r="D1431" s="2">
        <v>116</v>
      </c>
      <c r="E1431" s="2" t="s">
        <v>45</v>
      </c>
      <c r="F1431" s="2">
        <v>24</v>
      </c>
      <c r="G1431" s="2">
        <v>1</v>
      </c>
      <c r="H1431" s="2" t="s">
        <v>38</v>
      </c>
      <c r="I1431" s="2">
        <v>1</v>
      </c>
      <c r="J1431" s="2">
        <v>2014</v>
      </c>
      <c r="K1431" s="2">
        <v>1</v>
      </c>
      <c r="L1431" s="2" t="s">
        <v>46</v>
      </c>
      <c r="M1431" s="2">
        <v>52</v>
      </c>
      <c r="N1431" s="2">
        <v>3</v>
      </c>
      <c r="O1431" s="2">
        <v>2</v>
      </c>
      <c r="P1431" s="2" t="s">
        <v>47</v>
      </c>
      <c r="Q1431" s="2">
        <v>4</v>
      </c>
      <c r="R1431" s="2" t="s">
        <v>41</v>
      </c>
      <c r="S1431" s="2">
        <v>4108</v>
      </c>
      <c r="T1431" s="2">
        <v>5340</v>
      </c>
      <c r="U1431" s="2">
        <v>7</v>
      </c>
      <c r="V1431" s="2" t="s">
        <v>42</v>
      </c>
      <c r="W1431" s="2" t="s">
        <v>43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</row>
    <row r="1432" spans="1:35" x14ac:dyDescent="0.25">
      <c r="A1432" s="2">
        <v>38</v>
      </c>
      <c r="B1432" s="2" t="s">
        <v>43</v>
      </c>
      <c r="C1432" s="2" t="s">
        <v>36</v>
      </c>
      <c r="D1432" s="2">
        <v>201</v>
      </c>
      <c r="E1432" s="2" t="s">
        <v>45</v>
      </c>
      <c r="F1432" s="2">
        <v>10</v>
      </c>
      <c r="G1432" s="2">
        <v>3</v>
      </c>
      <c r="H1432" s="2" t="s">
        <v>51</v>
      </c>
      <c r="I1432" s="2">
        <v>1</v>
      </c>
      <c r="J1432" s="2">
        <v>2015</v>
      </c>
      <c r="K1432" s="2">
        <v>2</v>
      </c>
      <c r="L1432" s="2" t="s">
        <v>39</v>
      </c>
      <c r="M1432" s="2">
        <v>99</v>
      </c>
      <c r="N1432" s="2">
        <v>1</v>
      </c>
      <c r="O1432" s="2">
        <v>3</v>
      </c>
      <c r="P1432" s="2" t="s">
        <v>58</v>
      </c>
      <c r="Q1432" s="2">
        <v>3</v>
      </c>
      <c r="R1432" s="2" t="s">
        <v>48</v>
      </c>
      <c r="S1432" s="2">
        <v>13206</v>
      </c>
      <c r="T1432" s="2">
        <v>3376</v>
      </c>
      <c r="U1432" s="2">
        <v>3</v>
      </c>
      <c r="V1432" s="2" t="s">
        <v>42</v>
      </c>
      <c r="W1432" s="2" t="s">
        <v>43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</row>
    <row r="1433" spans="1:35" x14ac:dyDescent="0.25">
      <c r="A1433" s="2">
        <v>32</v>
      </c>
      <c r="B1433" s="2" t="s">
        <v>43</v>
      </c>
      <c r="C1433" s="2" t="s">
        <v>36</v>
      </c>
      <c r="D1433" s="2">
        <v>801</v>
      </c>
      <c r="E1433" s="2" t="s">
        <v>37</v>
      </c>
      <c r="F1433" s="2">
        <v>1</v>
      </c>
      <c r="G1433" s="2">
        <v>4</v>
      </c>
      <c r="H1433" s="2" t="s">
        <v>59</v>
      </c>
      <c r="I1433" s="2">
        <v>1</v>
      </c>
      <c r="J1433" s="2">
        <v>2016</v>
      </c>
      <c r="K1433" s="2">
        <v>3</v>
      </c>
      <c r="L1433" s="2" t="s">
        <v>39</v>
      </c>
      <c r="M1433" s="2">
        <v>48</v>
      </c>
      <c r="N1433" s="2">
        <v>3</v>
      </c>
      <c r="O1433" s="2">
        <v>3</v>
      </c>
      <c r="P1433" s="2" t="s">
        <v>40</v>
      </c>
      <c r="Q1433" s="2">
        <v>4</v>
      </c>
      <c r="R1433" s="2" t="s">
        <v>48</v>
      </c>
      <c r="S1433" s="2">
        <v>10422</v>
      </c>
      <c r="T1433" s="2">
        <v>24032</v>
      </c>
      <c r="U1433" s="2">
        <v>1</v>
      </c>
      <c r="V1433" s="2" t="s">
        <v>42</v>
      </c>
      <c r="W1433" s="2" t="s">
        <v>43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</row>
    <row r="1434" spans="1:35" x14ac:dyDescent="0.25">
      <c r="A1434" s="2">
        <v>37</v>
      </c>
      <c r="B1434" s="2" t="s">
        <v>43</v>
      </c>
      <c r="C1434" s="2" t="s">
        <v>36</v>
      </c>
      <c r="D1434" s="2">
        <v>161</v>
      </c>
      <c r="E1434" s="2" t="s">
        <v>45</v>
      </c>
      <c r="F1434" s="2">
        <v>10</v>
      </c>
      <c r="G1434" s="2">
        <v>3</v>
      </c>
      <c r="H1434" s="2" t="s">
        <v>38</v>
      </c>
      <c r="I1434" s="2">
        <v>1</v>
      </c>
      <c r="J1434" s="2">
        <v>2017</v>
      </c>
      <c r="K1434" s="2">
        <v>3</v>
      </c>
      <c r="L1434" s="2" t="s">
        <v>39</v>
      </c>
      <c r="M1434" s="2">
        <v>42</v>
      </c>
      <c r="N1434" s="2">
        <v>4</v>
      </c>
      <c r="O1434" s="2">
        <v>3</v>
      </c>
      <c r="P1434" s="2" t="s">
        <v>58</v>
      </c>
      <c r="Q1434" s="2">
        <v>4</v>
      </c>
      <c r="R1434" s="2" t="s">
        <v>48</v>
      </c>
      <c r="S1434" s="2">
        <v>13744</v>
      </c>
      <c r="T1434" s="2">
        <v>15471</v>
      </c>
      <c r="U1434" s="2">
        <v>1</v>
      </c>
      <c r="V1434" s="2" t="s">
        <v>42</v>
      </c>
      <c r="W1434" s="2" t="s">
        <v>35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</row>
    <row r="1435" spans="1:35" x14ac:dyDescent="0.25">
      <c r="A1435" s="2">
        <v>25</v>
      </c>
      <c r="B1435" s="2" t="s">
        <v>43</v>
      </c>
      <c r="C1435" s="2" t="s">
        <v>36</v>
      </c>
      <c r="D1435" s="2">
        <v>1382</v>
      </c>
      <c r="E1435" s="2" t="s">
        <v>37</v>
      </c>
      <c r="F1435" s="2">
        <v>8</v>
      </c>
      <c r="G1435" s="2">
        <v>2</v>
      </c>
      <c r="H1435" s="2" t="s">
        <v>49</v>
      </c>
      <c r="I1435" s="2">
        <v>1</v>
      </c>
      <c r="J1435" s="2">
        <v>2018</v>
      </c>
      <c r="K1435" s="2">
        <v>1</v>
      </c>
      <c r="L1435" s="2" t="s">
        <v>39</v>
      </c>
      <c r="M1435" s="2">
        <v>85</v>
      </c>
      <c r="N1435" s="2">
        <v>3</v>
      </c>
      <c r="O1435" s="2">
        <v>2</v>
      </c>
      <c r="P1435" s="2" t="s">
        <v>40</v>
      </c>
      <c r="Q1435" s="2">
        <v>3</v>
      </c>
      <c r="R1435" s="2" t="s">
        <v>52</v>
      </c>
      <c r="S1435" s="2">
        <v>4907</v>
      </c>
      <c r="T1435" s="2">
        <v>13684</v>
      </c>
      <c r="U1435" s="2">
        <v>0</v>
      </c>
      <c r="V1435" s="2" t="s">
        <v>42</v>
      </c>
      <c r="W1435" s="2" t="s">
        <v>35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</row>
    <row r="1436" spans="1:35" x14ac:dyDescent="0.25">
      <c r="A1436" s="2">
        <v>52</v>
      </c>
      <c r="B1436" s="2" t="s">
        <v>43</v>
      </c>
      <c r="C1436" s="2" t="s">
        <v>55</v>
      </c>
      <c r="D1436" s="2">
        <v>585</v>
      </c>
      <c r="E1436" s="2" t="s">
        <v>37</v>
      </c>
      <c r="F1436" s="2">
        <v>29</v>
      </c>
      <c r="G1436" s="2">
        <v>4</v>
      </c>
      <c r="H1436" s="2" t="s">
        <v>38</v>
      </c>
      <c r="I1436" s="2">
        <v>1</v>
      </c>
      <c r="J1436" s="2">
        <v>2019</v>
      </c>
      <c r="K1436" s="2">
        <v>1</v>
      </c>
      <c r="L1436" s="2" t="s">
        <v>46</v>
      </c>
      <c r="M1436" s="2">
        <v>40</v>
      </c>
      <c r="N1436" s="2">
        <v>3</v>
      </c>
      <c r="O1436" s="2">
        <v>1</v>
      </c>
      <c r="P1436" s="2" t="s">
        <v>57</v>
      </c>
      <c r="Q1436" s="2">
        <v>4</v>
      </c>
      <c r="R1436" s="2" t="s">
        <v>52</v>
      </c>
      <c r="S1436" s="2">
        <v>3482</v>
      </c>
      <c r="T1436" s="2">
        <v>19788</v>
      </c>
      <c r="U1436" s="2">
        <v>2</v>
      </c>
      <c r="V1436" s="2" t="s">
        <v>42</v>
      </c>
      <c r="W1436" s="2" t="s">
        <v>43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</row>
    <row r="1437" spans="1:35" x14ac:dyDescent="0.25">
      <c r="A1437" s="2">
        <v>44</v>
      </c>
      <c r="B1437" s="2" t="s">
        <v>43</v>
      </c>
      <c r="C1437" s="2" t="s">
        <v>36</v>
      </c>
      <c r="D1437" s="2">
        <v>1037</v>
      </c>
      <c r="E1437" s="2" t="s">
        <v>45</v>
      </c>
      <c r="F1437" s="2">
        <v>1</v>
      </c>
      <c r="G1437" s="2">
        <v>3</v>
      </c>
      <c r="H1437" s="2" t="s">
        <v>51</v>
      </c>
      <c r="I1437" s="2">
        <v>1</v>
      </c>
      <c r="J1437" s="2">
        <v>2020</v>
      </c>
      <c r="K1437" s="2">
        <v>2</v>
      </c>
      <c r="L1437" s="2" t="s">
        <v>46</v>
      </c>
      <c r="M1437" s="2">
        <v>42</v>
      </c>
      <c r="N1437" s="2">
        <v>3</v>
      </c>
      <c r="O1437" s="2">
        <v>1</v>
      </c>
      <c r="P1437" s="2" t="s">
        <v>47</v>
      </c>
      <c r="Q1437" s="2">
        <v>4</v>
      </c>
      <c r="R1437" s="2" t="s">
        <v>41</v>
      </c>
      <c r="S1437" s="2">
        <v>2436</v>
      </c>
      <c r="T1437" s="2">
        <v>13422</v>
      </c>
      <c r="U1437" s="2">
        <v>6</v>
      </c>
      <c r="V1437" s="2" t="s">
        <v>42</v>
      </c>
      <c r="W1437" s="2" t="s">
        <v>35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</row>
    <row r="1438" spans="1:35" x14ac:dyDescent="0.25">
      <c r="A1438" s="2">
        <v>21</v>
      </c>
      <c r="B1438" s="2" t="s">
        <v>43</v>
      </c>
      <c r="C1438" s="2" t="s">
        <v>36</v>
      </c>
      <c r="D1438" s="2">
        <v>501</v>
      </c>
      <c r="E1438" s="2" t="s">
        <v>37</v>
      </c>
      <c r="F1438" s="2">
        <v>5</v>
      </c>
      <c r="G1438" s="2">
        <v>1</v>
      </c>
      <c r="H1438" s="2" t="s">
        <v>51</v>
      </c>
      <c r="I1438" s="2">
        <v>1</v>
      </c>
      <c r="J1438" s="2">
        <v>2021</v>
      </c>
      <c r="K1438" s="2">
        <v>3</v>
      </c>
      <c r="L1438" s="2" t="s">
        <v>46</v>
      </c>
      <c r="M1438" s="2">
        <v>58</v>
      </c>
      <c r="N1438" s="2">
        <v>3</v>
      </c>
      <c r="O1438" s="2">
        <v>1</v>
      </c>
      <c r="P1438" s="2" t="s">
        <v>57</v>
      </c>
      <c r="Q1438" s="2">
        <v>1</v>
      </c>
      <c r="R1438" s="2" t="s">
        <v>41</v>
      </c>
      <c r="S1438" s="2">
        <v>2380</v>
      </c>
      <c r="T1438" s="2">
        <v>25479</v>
      </c>
      <c r="U1438" s="2">
        <v>1</v>
      </c>
      <c r="V1438" s="2" t="s">
        <v>42</v>
      </c>
      <c r="W1438" s="2" t="s">
        <v>35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</row>
    <row r="1439" spans="1:35" x14ac:dyDescent="0.25">
      <c r="A1439" s="2">
        <v>39</v>
      </c>
      <c r="B1439" s="2" t="s">
        <v>43</v>
      </c>
      <c r="C1439" s="2" t="s">
        <v>55</v>
      </c>
      <c r="D1439" s="2">
        <v>105</v>
      </c>
      <c r="E1439" s="2" t="s">
        <v>45</v>
      </c>
      <c r="F1439" s="2">
        <v>9</v>
      </c>
      <c r="G1439" s="2">
        <v>3</v>
      </c>
      <c r="H1439" s="2" t="s">
        <v>38</v>
      </c>
      <c r="I1439" s="2">
        <v>1</v>
      </c>
      <c r="J1439" s="2">
        <v>2022</v>
      </c>
      <c r="K1439" s="2">
        <v>4</v>
      </c>
      <c r="L1439" s="2" t="s">
        <v>46</v>
      </c>
      <c r="M1439" s="2">
        <v>87</v>
      </c>
      <c r="N1439" s="2">
        <v>3</v>
      </c>
      <c r="O1439" s="2">
        <v>5</v>
      </c>
      <c r="P1439" s="2" t="s">
        <v>56</v>
      </c>
      <c r="Q1439" s="2">
        <v>4</v>
      </c>
      <c r="R1439" s="2" t="s">
        <v>41</v>
      </c>
      <c r="S1439" s="2">
        <v>19431</v>
      </c>
      <c r="T1439" s="2">
        <v>15302</v>
      </c>
      <c r="U1439" s="2">
        <v>2</v>
      </c>
      <c r="V1439" s="2" t="s">
        <v>42</v>
      </c>
      <c r="W1439" s="2" t="s">
        <v>43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</row>
    <row r="1440" spans="1:35" x14ac:dyDescent="0.25">
      <c r="A1440" s="2">
        <v>23</v>
      </c>
      <c r="B1440" s="2" t="s">
        <v>35</v>
      </c>
      <c r="C1440" s="2" t="s">
        <v>44</v>
      </c>
      <c r="D1440" s="2">
        <v>638</v>
      </c>
      <c r="E1440" s="2" t="s">
        <v>37</v>
      </c>
      <c r="F1440" s="2">
        <v>9</v>
      </c>
      <c r="G1440" s="2">
        <v>3</v>
      </c>
      <c r="H1440" s="2" t="s">
        <v>59</v>
      </c>
      <c r="I1440" s="2">
        <v>1</v>
      </c>
      <c r="J1440" s="2">
        <v>2023</v>
      </c>
      <c r="K1440" s="2">
        <v>4</v>
      </c>
      <c r="L1440" s="2" t="s">
        <v>46</v>
      </c>
      <c r="M1440" s="2">
        <v>33</v>
      </c>
      <c r="N1440" s="2">
        <v>3</v>
      </c>
      <c r="O1440" s="2">
        <v>1</v>
      </c>
      <c r="P1440" s="2" t="s">
        <v>57</v>
      </c>
      <c r="Q1440" s="2">
        <v>1</v>
      </c>
      <c r="R1440" s="2" t="s">
        <v>48</v>
      </c>
      <c r="S1440" s="2">
        <v>1790</v>
      </c>
      <c r="T1440" s="2">
        <v>26956</v>
      </c>
      <c r="U1440" s="2">
        <v>1</v>
      </c>
      <c r="V1440" s="2" t="s">
        <v>42</v>
      </c>
      <c r="W1440" s="2" t="s">
        <v>43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</row>
    <row r="1441" spans="1:35" x14ac:dyDescent="0.25">
      <c r="A1441" s="2">
        <v>36</v>
      </c>
      <c r="B1441" s="2" t="s">
        <v>43</v>
      </c>
      <c r="C1441" s="2" t="s">
        <v>36</v>
      </c>
      <c r="D1441" s="2">
        <v>557</v>
      </c>
      <c r="E1441" s="2" t="s">
        <v>37</v>
      </c>
      <c r="F1441" s="2">
        <v>3</v>
      </c>
      <c r="G1441" s="2">
        <v>3</v>
      </c>
      <c r="H1441" s="2" t="s">
        <v>51</v>
      </c>
      <c r="I1441" s="2">
        <v>1</v>
      </c>
      <c r="J1441" s="2">
        <v>2024</v>
      </c>
      <c r="K1441" s="2">
        <v>1</v>
      </c>
      <c r="L1441" s="2" t="s">
        <v>39</v>
      </c>
      <c r="M1441" s="2">
        <v>94</v>
      </c>
      <c r="N1441" s="2">
        <v>2</v>
      </c>
      <c r="O1441" s="2">
        <v>3</v>
      </c>
      <c r="P1441" s="2" t="s">
        <v>40</v>
      </c>
      <c r="Q1441" s="2">
        <v>4</v>
      </c>
      <c r="R1441" s="2" t="s">
        <v>48</v>
      </c>
      <c r="S1441" s="2">
        <v>7644</v>
      </c>
      <c r="T1441" s="2">
        <v>12695</v>
      </c>
      <c r="U1441" s="2">
        <v>0</v>
      </c>
      <c r="V1441" s="2" t="s">
        <v>42</v>
      </c>
      <c r="W1441" s="2" t="s">
        <v>43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</row>
    <row r="1442" spans="1:35" x14ac:dyDescent="0.25">
      <c r="A1442" s="2">
        <v>36</v>
      </c>
      <c r="B1442" s="2" t="s">
        <v>43</v>
      </c>
      <c r="C1442" s="2" t="s">
        <v>44</v>
      </c>
      <c r="D1442" s="2">
        <v>688</v>
      </c>
      <c r="E1442" s="2" t="s">
        <v>45</v>
      </c>
      <c r="F1442" s="2">
        <v>4</v>
      </c>
      <c r="G1442" s="2">
        <v>2</v>
      </c>
      <c r="H1442" s="2" t="s">
        <v>38</v>
      </c>
      <c r="I1442" s="2">
        <v>1</v>
      </c>
      <c r="J1442" s="2">
        <v>2025</v>
      </c>
      <c r="K1442" s="2">
        <v>4</v>
      </c>
      <c r="L1442" s="2" t="s">
        <v>39</v>
      </c>
      <c r="M1442" s="2">
        <v>97</v>
      </c>
      <c r="N1442" s="2">
        <v>3</v>
      </c>
      <c r="O1442" s="2">
        <v>2</v>
      </c>
      <c r="P1442" s="2" t="s">
        <v>53</v>
      </c>
      <c r="Q1442" s="2">
        <v>2</v>
      </c>
      <c r="R1442" s="2" t="s">
        <v>52</v>
      </c>
      <c r="S1442" s="2">
        <v>5131</v>
      </c>
      <c r="T1442" s="2">
        <v>9192</v>
      </c>
      <c r="U1442" s="2">
        <v>7</v>
      </c>
      <c r="V1442" s="2" t="s">
        <v>42</v>
      </c>
      <c r="W1442" s="2" t="s">
        <v>43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</row>
    <row r="1443" spans="1:35" x14ac:dyDescent="0.25">
      <c r="A1443" s="2">
        <v>56</v>
      </c>
      <c r="B1443" s="2" t="s">
        <v>43</v>
      </c>
      <c r="C1443" s="2" t="s">
        <v>55</v>
      </c>
      <c r="D1443" s="2">
        <v>667</v>
      </c>
      <c r="E1443" s="2" t="s">
        <v>45</v>
      </c>
      <c r="F1443" s="2">
        <v>1</v>
      </c>
      <c r="G1443" s="2">
        <v>4</v>
      </c>
      <c r="H1443" s="2" t="s">
        <v>38</v>
      </c>
      <c r="I1443" s="2">
        <v>1</v>
      </c>
      <c r="J1443" s="2">
        <v>2026</v>
      </c>
      <c r="K1443" s="2">
        <v>3</v>
      </c>
      <c r="L1443" s="2" t="s">
        <v>46</v>
      </c>
      <c r="M1443" s="2">
        <v>57</v>
      </c>
      <c r="N1443" s="2">
        <v>3</v>
      </c>
      <c r="O1443" s="2">
        <v>2</v>
      </c>
      <c r="P1443" s="2" t="s">
        <v>54</v>
      </c>
      <c r="Q1443" s="2">
        <v>3</v>
      </c>
      <c r="R1443" s="2" t="s">
        <v>52</v>
      </c>
      <c r="S1443" s="2">
        <v>6306</v>
      </c>
      <c r="T1443" s="2">
        <v>26236</v>
      </c>
      <c r="U1443" s="2">
        <v>1</v>
      </c>
      <c r="V1443" s="2" t="s">
        <v>42</v>
      </c>
      <c r="W1443" s="2" t="s">
        <v>43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</row>
    <row r="1444" spans="1:35" x14ac:dyDescent="0.25">
      <c r="A1444" s="2">
        <v>29</v>
      </c>
      <c r="B1444" s="2" t="s">
        <v>35</v>
      </c>
      <c r="C1444" s="2" t="s">
        <v>36</v>
      </c>
      <c r="D1444" s="2">
        <v>1092</v>
      </c>
      <c r="E1444" s="2" t="s">
        <v>45</v>
      </c>
      <c r="F1444" s="2">
        <v>1</v>
      </c>
      <c r="G1444" s="2">
        <v>4</v>
      </c>
      <c r="H1444" s="2" t="s">
        <v>51</v>
      </c>
      <c r="I1444" s="2">
        <v>1</v>
      </c>
      <c r="J1444" s="2">
        <v>2027</v>
      </c>
      <c r="K1444" s="2">
        <v>1</v>
      </c>
      <c r="L1444" s="2" t="s">
        <v>46</v>
      </c>
      <c r="M1444" s="2">
        <v>36</v>
      </c>
      <c r="N1444" s="2">
        <v>3</v>
      </c>
      <c r="O1444" s="2">
        <v>1</v>
      </c>
      <c r="P1444" s="2" t="s">
        <v>47</v>
      </c>
      <c r="Q1444" s="2">
        <v>4</v>
      </c>
      <c r="R1444" s="2" t="s">
        <v>48</v>
      </c>
      <c r="S1444" s="2">
        <v>4787</v>
      </c>
      <c r="T1444" s="2">
        <v>26124</v>
      </c>
      <c r="U1444" s="2">
        <v>9</v>
      </c>
      <c r="V1444" s="2" t="s">
        <v>42</v>
      </c>
      <c r="W1444" s="2" t="s">
        <v>35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</row>
    <row r="1445" spans="1:35" x14ac:dyDescent="0.25">
      <c r="A1445" s="2">
        <v>42</v>
      </c>
      <c r="B1445" s="2" t="s">
        <v>43</v>
      </c>
      <c r="C1445" s="2" t="s">
        <v>36</v>
      </c>
      <c r="D1445" s="2">
        <v>300</v>
      </c>
      <c r="E1445" s="2" t="s">
        <v>45</v>
      </c>
      <c r="F1445" s="2">
        <v>2</v>
      </c>
      <c r="G1445" s="2">
        <v>3</v>
      </c>
      <c r="H1445" s="2" t="s">
        <v>38</v>
      </c>
      <c r="I1445" s="2">
        <v>1</v>
      </c>
      <c r="J1445" s="2">
        <v>2031</v>
      </c>
      <c r="K1445" s="2">
        <v>1</v>
      </c>
      <c r="L1445" s="2" t="s">
        <v>46</v>
      </c>
      <c r="M1445" s="2">
        <v>56</v>
      </c>
      <c r="N1445" s="2">
        <v>3</v>
      </c>
      <c r="O1445" s="2">
        <v>5</v>
      </c>
      <c r="P1445" s="2" t="s">
        <v>56</v>
      </c>
      <c r="Q1445" s="2">
        <v>3</v>
      </c>
      <c r="R1445" s="2" t="s">
        <v>48</v>
      </c>
      <c r="S1445" s="2">
        <v>18880</v>
      </c>
      <c r="T1445" s="2">
        <v>17312</v>
      </c>
      <c r="U1445" s="2">
        <v>5</v>
      </c>
      <c r="V1445" s="2" t="s">
        <v>42</v>
      </c>
      <c r="W1445" s="2" t="s">
        <v>43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</row>
    <row r="1446" spans="1:35" x14ac:dyDescent="0.25">
      <c r="A1446" s="2">
        <v>56</v>
      </c>
      <c r="B1446" s="2" t="s">
        <v>35</v>
      </c>
      <c r="C1446" s="2" t="s">
        <v>36</v>
      </c>
      <c r="D1446" s="2">
        <v>310</v>
      </c>
      <c r="E1446" s="2" t="s">
        <v>45</v>
      </c>
      <c r="F1446" s="2">
        <v>7</v>
      </c>
      <c r="G1446" s="2">
        <v>2</v>
      </c>
      <c r="H1446" s="2" t="s">
        <v>60</v>
      </c>
      <c r="I1446" s="2">
        <v>1</v>
      </c>
      <c r="J1446" s="2">
        <v>2032</v>
      </c>
      <c r="K1446" s="2">
        <v>4</v>
      </c>
      <c r="L1446" s="2" t="s">
        <v>46</v>
      </c>
      <c r="M1446" s="2">
        <v>72</v>
      </c>
      <c r="N1446" s="2">
        <v>3</v>
      </c>
      <c r="O1446" s="2">
        <v>1</v>
      </c>
      <c r="P1446" s="2" t="s">
        <v>50</v>
      </c>
      <c r="Q1446" s="2">
        <v>3</v>
      </c>
      <c r="R1446" s="2" t="s">
        <v>48</v>
      </c>
      <c r="S1446" s="2">
        <v>2339</v>
      </c>
      <c r="T1446" s="2">
        <v>3666</v>
      </c>
      <c r="U1446" s="2">
        <v>8</v>
      </c>
      <c r="V1446" s="2" t="s">
        <v>42</v>
      </c>
      <c r="W1446" s="2" t="s">
        <v>43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</row>
    <row r="1447" spans="1:35" x14ac:dyDescent="0.25">
      <c r="A1447" s="2">
        <v>41</v>
      </c>
      <c r="B1447" s="2" t="s">
        <v>43</v>
      </c>
      <c r="C1447" s="2" t="s">
        <v>36</v>
      </c>
      <c r="D1447" s="2">
        <v>582</v>
      </c>
      <c r="E1447" s="2" t="s">
        <v>45</v>
      </c>
      <c r="F1447" s="2">
        <v>28</v>
      </c>
      <c r="G1447" s="2">
        <v>4</v>
      </c>
      <c r="H1447" s="2" t="s">
        <v>38</v>
      </c>
      <c r="I1447" s="2">
        <v>1</v>
      </c>
      <c r="J1447" s="2">
        <v>2034</v>
      </c>
      <c r="K1447" s="2">
        <v>1</v>
      </c>
      <c r="L1447" s="2" t="s">
        <v>39</v>
      </c>
      <c r="M1447" s="2">
        <v>60</v>
      </c>
      <c r="N1447" s="2">
        <v>2</v>
      </c>
      <c r="O1447" s="2">
        <v>4</v>
      </c>
      <c r="P1447" s="2" t="s">
        <v>53</v>
      </c>
      <c r="Q1447" s="2">
        <v>2</v>
      </c>
      <c r="R1447" s="2" t="s">
        <v>48</v>
      </c>
      <c r="S1447" s="2">
        <v>13570</v>
      </c>
      <c r="T1447" s="2">
        <v>5640</v>
      </c>
      <c r="U1447" s="2">
        <v>0</v>
      </c>
      <c r="V1447" s="2" t="s">
        <v>42</v>
      </c>
      <c r="W1447" s="2" t="s">
        <v>43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</row>
    <row r="1448" spans="1:35" x14ac:dyDescent="0.25">
      <c r="A1448" s="2">
        <v>34</v>
      </c>
      <c r="B1448" s="2" t="s">
        <v>43</v>
      </c>
      <c r="C1448" s="2" t="s">
        <v>36</v>
      </c>
      <c r="D1448" s="2">
        <v>704</v>
      </c>
      <c r="E1448" s="2" t="s">
        <v>37</v>
      </c>
      <c r="F1448" s="2">
        <v>28</v>
      </c>
      <c r="G1448" s="2">
        <v>3</v>
      </c>
      <c r="H1448" s="2" t="s">
        <v>59</v>
      </c>
      <c r="I1448" s="2">
        <v>1</v>
      </c>
      <c r="J1448" s="2">
        <v>2035</v>
      </c>
      <c r="K1448" s="2">
        <v>4</v>
      </c>
      <c r="L1448" s="2" t="s">
        <v>39</v>
      </c>
      <c r="M1448" s="2">
        <v>95</v>
      </c>
      <c r="N1448" s="2">
        <v>2</v>
      </c>
      <c r="O1448" s="2">
        <v>2</v>
      </c>
      <c r="P1448" s="2" t="s">
        <v>40</v>
      </c>
      <c r="Q1448" s="2">
        <v>3</v>
      </c>
      <c r="R1448" s="2" t="s">
        <v>48</v>
      </c>
      <c r="S1448" s="2">
        <v>6712</v>
      </c>
      <c r="T1448" s="2">
        <v>8978</v>
      </c>
      <c r="U1448" s="2">
        <v>1</v>
      </c>
      <c r="V1448" s="2" t="s">
        <v>42</v>
      </c>
      <c r="W1448" s="2" t="s">
        <v>43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</row>
    <row r="1449" spans="1:35" x14ac:dyDescent="0.25">
      <c r="A1449" s="2">
        <v>36</v>
      </c>
      <c r="B1449" s="2" t="s">
        <v>43</v>
      </c>
      <c r="C1449" s="2" t="s">
        <v>55</v>
      </c>
      <c r="D1449" s="2">
        <v>301</v>
      </c>
      <c r="E1449" s="2" t="s">
        <v>37</v>
      </c>
      <c r="F1449" s="2">
        <v>15</v>
      </c>
      <c r="G1449" s="2">
        <v>4</v>
      </c>
      <c r="H1449" s="2" t="s">
        <v>59</v>
      </c>
      <c r="I1449" s="2">
        <v>1</v>
      </c>
      <c r="J1449" s="2">
        <v>2036</v>
      </c>
      <c r="K1449" s="2">
        <v>4</v>
      </c>
      <c r="L1449" s="2" t="s">
        <v>46</v>
      </c>
      <c r="M1449" s="2">
        <v>88</v>
      </c>
      <c r="N1449" s="2">
        <v>1</v>
      </c>
      <c r="O1449" s="2">
        <v>2</v>
      </c>
      <c r="P1449" s="2" t="s">
        <v>40</v>
      </c>
      <c r="Q1449" s="2">
        <v>4</v>
      </c>
      <c r="R1449" s="2" t="s">
        <v>52</v>
      </c>
      <c r="S1449" s="2">
        <v>5406</v>
      </c>
      <c r="T1449" s="2">
        <v>10436</v>
      </c>
      <c r="U1449" s="2">
        <v>1</v>
      </c>
      <c r="V1449" s="2" t="s">
        <v>42</v>
      </c>
      <c r="W1449" s="2" t="s">
        <v>43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</row>
    <row r="1450" spans="1:35" x14ac:dyDescent="0.25">
      <c r="A1450" s="2">
        <v>41</v>
      </c>
      <c r="B1450" s="2" t="s">
        <v>43</v>
      </c>
      <c r="C1450" s="2" t="s">
        <v>36</v>
      </c>
      <c r="D1450" s="2">
        <v>930</v>
      </c>
      <c r="E1450" s="2" t="s">
        <v>37</v>
      </c>
      <c r="F1450" s="2">
        <v>3</v>
      </c>
      <c r="G1450" s="2">
        <v>3</v>
      </c>
      <c r="H1450" s="2" t="s">
        <v>38</v>
      </c>
      <c r="I1450" s="2">
        <v>1</v>
      </c>
      <c r="J1450" s="2">
        <v>2037</v>
      </c>
      <c r="K1450" s="2">
        <v>3</v>
      </c>
      <c r="L1450" s="2" t="s">
        <v>46</v>
      </c>
      <c r="M1450" s="2">
        <v>57</v>
      </c>
      <c r="N1450" s="2">
        <v>2</v>
      </c>
      <c r="O1450" s="2">
        <v>2</v>
      </c>
      <c r="P1450" s="2" t="s">
        <v>40</v>
      </c>
      <c r="Q1450" s="2">
        <v>2</v>
      </c>
      <c r="R1450" s="2" t="s">
        <v>52</v>
      </c>
      <c r="S1450" s="2">
        <v>8938</v>
      </c>
      <c r="T1450" s="2">
        <v>12227</v>
      </c>
      <c r="U1450" s="2">
        <v>2</v>
      </c>
      <c r="V1450" s="2" t="s">
        <v>42</v>
      </c>
      <c r="W1450" s="2" t="s">
        <v>43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</row>
    <row r="1451" spans="1:35" x14ac:dyDescent="0.25">
      <c r="A1451" s="2">
        <v>32</v>
      </c>
      <c r="B1451" s="2" t="s">
        <v>43</v>
      </c>
      <c r="C1451" s="2" t="s">
        <v>36</v>
      </c>
      <c r="D1451" s="2">
        <v>529</v>
      </c>
      <c r="E1451" s="2" t="s">
        <v>45</v>
      </c>
      <c r="F1451" s="2">
        <v>2</v>
      </c>
      <c r="G1451" s="2">
        <v>3</v>
      </c>
      <c r="H1451" s="2" t="s">
        <v>60</v>
      </c>
      <c r="I1451" s="2">
        <v>1</v>
      </c>
      <c r="J1451" s="2">
        <v>2038</v>
      </c>
      <c r="K1451" s="2">
        <v>4</v>
      </c>
      <c r="L1451" s="2" t="s">
        <v>46</v>
      </c>
      <c r="M1451" s="2">
        <v>78</v>
      </c>
      <c r="N1451" s="2">
        <v>3</v>
      </c>
      <c r="O1451" s="2">
        <v>1</v>
      </c>
      <c r="P1451" s="2" t="s">
        <v>47</v>
      </c>
      <c r="Q1451" s="2">
        <v>1</v>
      </c>
      <c r="R1451" s="2" t="s">
        <v>41</v>
      </c>
      <c r="S1451" s="2">
        <v>2439</v>
      </c>
      <c r="T1451" s="2">
        <v>11288</v>
      </c>
      <c r="U1451" s="2">
        <v>1</v>
      </c>
      <c r="V1451" s="2" t="s">
        <v>42</v>
      </c>
      <c r="W1451" s="2" t="s">
        <v>43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</row>
    <row r="1452" spans="1:35" x14ac:dyDescent="0.25">
      <c r="A1452" s="2">
        <v>35</v>
      </c>
      <c r="B1452" s="2" t="s">
        <v>43</v>
      </c>
      <c r="C1452" s="2" t="s">
        <v>36</v>
      </c>
      <c r="D1452" s="2">
        <v>1146</v>
      </c>
      <c r="E1452" s="2" t="s">
        <v>61</v>
      </c>
      <c r="F1452" s="2">
        <v>26</v>
      </c>
      <c r="G1452" s="2">
        <v>4</v>
      </c>
      <c r="H1452" s="2" t="s">
        <v>38</v>
      </c>
      <c r="I1452" s="2">
        <v>1</v>
      </c>
      <c r="J1452" s="2">
        <v>2040</v>
      </c>
      <c r="K1452" s="2">
        <v>3</v>
      </c>
      <c r="L1452" s="2" t="s">
        <v>39</v>
      </c>
      <c r="M1452" s="2">
        <v>31</v>
      </c>
      <c r="N1452" s="2">
        <v>3</v>
      </c>
      <c r="O1452" s="2">
        <v>3</v>
      </c>
      <c r="P1452" s="2" t="s">
        <v>61</v>
      </c>
      <c r="Q1452" s="2">
        <v>4</v>
      </c>
      <c r="R1452" s="2" t="s">
        <v>41</v>
      </c>
      <c r="S1452" s="2">
        <v>8837</v>
      </c>
      <c r="T1452" s="2">
        <v>16642</v>
      </c>
      <c r="U1452" s="2">
        <v>1</v>
      </c>
      <c r="V1452" s="2" t="s">
        <v>42</v>
      </c>
      <c r="W1452" s="2" t="s">
        <v>35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</row>
    <row r="1453" spans="1:35" x14ac:dyDescent="0.25">
      <c r="A1453" s="2">
        <v>38</v>
      </c>
      <c r="B1453" s="2" t="s">
        <v>43</v>
      </c>
      <c r="C1453" s="2" t="s">
        <v>36</v>
      </c>
      <c r="D1453" s="2">
        <v>345</v>
      </c>
      <c r="E1453" s="2" t="s">
        <v>37</v>
      </c>
      <c r="F1453" s="2">
        <v>10</v>
      </c>
      <c r="G1453" s="2">
        <v>2</v>
      </c>
      <c r="H1453" s="2" t="s">
        <v>38</v>
      </c>
      <c r="I1453" s="2">
        <v>1</v>
      </c>
      <c r="J1453" s="2">
        <v>2041</v>
      </c>
      <c r="K1453" s="2">
        <v>1</v>
      </c>
      <c r="L1453" s="2" t="s">
        <v>39</v>
      </c>
      <c r="M1453" s="2">
        <v>100</v>
      </c>
      <c r="N1453" s="2">
        <v>3</v>
      </c>
      <c r="O1453" s="2">
        <v>2</v>
      </c>
      <c r="P1453" s="2" t="s">
        <v>40</v>
      </c>
      <c r="Q1453" s="2">
        <v>4</v>
      </c>
      <c r="R1453" s="2" t="s">
        <v>48</v>
      </c>
      <c r="S1453" s="2">
        <v>5343</v>
      </c>
      <c r="T1453" s="2">
        <v>5982</v>
      </c>
      <c r="U1453" s="2">
        <v>1</v>
      </c>
      <c r="V1453" s="2" t="s">
        <v>42</v>
      </c>
      <c r="W1453" s="2" t="s">
        <v>43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</row>
    <row r="1454" spans="1:35" x14ac:dyDescent="0.25">
      <c r="A1454" s="2">
        <v>50</v>
      </c>
      <c r="B1454" s="2" t="s">
        <v>35</v>
      </c>
      <c r="C1454" s="2" t="s">
        <v>44</v>
      </c>
      <c r="D1454" s="2">
        <v>878</v>
      </c>
      <c r="E1454" s="2" t="s">
        <v>37</v>
      </c>
      <c r="F1454" s="2">
        <v>1</v>
      </c>
      <c r="G1454" s="2">
        <v>4</v>
      </c>
      <c r="H1454" s="2" t="s">
        <v>38</v>
      </c>
      <c r="I1454" s="2">
        <v>1</v>
      </c>
      <c r="J1454" s="2">
        <v>2044</v>
      </c>
      <c r="K1454" s="2">
        <v>2</v>
      </c>
      <c r="L1454" s="2" t="s">
        <v>46</v>
      </c>
      <c r="M1454" s="2">
        <v>94</v>
      </c>
      <c r="N1454" s="2">
        <v>3</v>
      </c>
      <c r="O1454" s="2">
        <v>2</v>
      </c>
      <c r="P1454" s="2" t="s">
        <v>40</v>
      </c>
      <c r="Q1454" s="2">
        <v>3</v>
      </c>
      <c r="R1454" s="2" t="s">
        <v>52</v>
      </c>
      <c r="S1454" s="2">
        <v>6728</v>
      </c>
      <c r="T1454" s="2">
        <v>14255</v>
      </c>
      <c r="U1454" s="2">
        <v>7</v>
      </c>
      <c r="V1454" s="2" t="s">
        <v>42</v>
      </c>
      <c r="W1454" s="2" t="s">
        <v>43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</row>
    <row r="1455" spans="1:35" x14ac:dyDescent="0.25">
      <c r="A1455" s="2">
        <v>36</v>
      </c>
      <c r="B1455" s="2" t="s">
        <v>43</v>
      </c>
      <c r="C1455" s="2" t="s">
        <v>36</v>
      </c>
      <c r="D1455" s="2">
        <v>1120</v>
      </c>
      <c r="E1455" s="2" t="s">
        <v>37</v>
      </c>
      <c r="F1455" s="2">
        <v>11</v>
      </c>
      <c r="G1455" s="2">
        <v>4</v>
      </c>
      <c r="H1455" s="2" t="s">
        <v>59</v>
      </c>
      <c r="I1455" s="2">
        <v>1</v>
      </c>
      <c r="J1455" s="2">
        <v>2045</v>
      </c>
      <c r="K1455" s="2">
        <v>2</v>
      </c>
      <c r="L1455" s="2" t="s">
        <v>39</v>
      </c>
      <c r="M1455" s="2">
        <v>100</v>
      </c>
      <c r="N1455" s="2">
        <v>2</v>
      </c>
      <c r="O1455" s="2">
        <v>2</v>
      </c>
      <c r="P1455" s="2" t="s">
        <v>40</v>
      </c>
      <c r="Q1455" s="2">
        <v>4</v>
      </c>
      <c r="R1455" s="2" t="s">
        <v>48</v>
      </c>
      <c r="S1455" s="2">
        <v>6652</v>
      </c>
      <c r="T1455" s="2">
        <v>14369</v>
      </c>
      <c r="U1455" s="2">
        <v>4</v>
      </c>
      <c r="V1455" s="2" t="s">
        <v>42</v>
      </c>
      <c r="W1455" s="2" t="s">
        <v>43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</row>
    <row r="1456" spans="1:35" x14ac:dyDescent="0.25">
      <c r="A1456" s="2">
        <v>45</v>
      </c>
      <c r="B1456" s="2" t="s">
        <v>43</v>
      </c>
      <c r="C1456" s="2" t="s">
        <v>36</v>
      </c>
      <c r="D1456" s="2">
        <v>374</v>
      </c>
      <c r="E1456" s="2" t="s">
        <v>37</v>
      </c>
      <c r="F1456" s="2">
        <v>20</v>
      </c>
      <c r="G1456" s="2">
        <v>3</v>
      </c>
      <c r="H1456" s="2" t="s">
        <v>38</v>
      </c>
      <c r="I1456" s="2">
        <v>1</v>
      </c>
      <c r="J1456" s="2">
        <v>2046</v>
      </c>
      <c r="K1456" s="2">
        <v>4</v>
      </c>
      <c r="L1456" s="2" t="s">
        <v>39</v>
      </c>
      <c r="M1456" s="2">
        <v>50</v>
      </c>
      <c r="N1456" s="2">
        <v>3</v>
      </c>
      <c r="O1456" s="2">
        <v>2</v>
      </c>
      <c r="P1456" s="2" t="s">
        <v>40</v>
      </c>
      <c r="Q1456" s="2">
        <v>3</v>
      </c>
      <c r="R1456" s="2" t="s">
        <v>41</v>
      </c>
      <c r="S1456" s="2">
        <v>4850</v>
      </c>
      <c r="T1456" s="2">
        <v>23333</v>
      </c>
      <c r="U1456" s="2">
        <v>8</v>
      </c>
      <c r="V1456" s="2" t="s">
        <v>42</v>
      </c>
      <c r="W1456" s="2" t="s">
        <v>43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</row>
    <row r="1457" spans="1:35" x14ac:dyDescent="0.25">
      <c r="A1457" s="2">
        <v>40</v>
      </c>
      <c r="B1457" s="2" t="s">
        <v>43</v>
      </c>
      <c r="C1457" s="2" t="s">
        <v>36</v>
      </c>
      <c r="D1457" s="2">
        <v>1322</v>
      </c>
      <c r="E1457" s="2" t="s">
        <v>45</v>
      </c>
      <c r="F1457" s="2">
        <v>2</v>
      </c>
      <c r="G1457" s="2">
        <v>4</v>
      </c>
      <c r="H1457" s="2" t="s">
        <v>38</v>
      </c>
      <c r="I1457" s="2">
        <v>1</v>
      </c>
      <c r="J1457" s="2">
        <v>2048</v>
      </c>
      <c r="K1457" s="2">
        <v>3</v>
      </c>
      <c r="L1457" s="2" t="s">
        <v>46</v>
      </c>
      <c r="M1457" s="2">
        <v>52</v>
      </c>
      <c r="N1457" s="2">
        <v>2</v>
      </c>
      <c r="O1457" s="2">
        <v>1</v>
      </c>
      <c r="P1457" s="2" t="s">
        <v>47</v>
      </c>
      <c r="Q1457" s="2">
        <v>3</v>
      </c>
      <c r="R1457" s="2" t="s">
        <v>41</v>
      </c>
      <c r="S1457" s="2">
        <v>2809</v>
      </c>
      <c r="T1457" s="2">
        <v>2725</v>
      </c>
      <c r="U1457" s="2">
        <v>2</v>
      </c>
      <c r="V1457" s="2" t="s">
        <v>42</v>
      </c>
      <c r="W1457" s="2" t="s">
        <v>43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</row>
    <row r="1458" spans="1:35" x14ac:dyDescent="0.25">
      <c r="A1458" s="2">
        <v>35</v>
      </c>
      <c r="B1458" s="2" t="s">
        <v>43</v>
      </c>
      <c r="C1458" s="2" t="s">
        <v>44</v>
      </c>
      <c r="D1458" s="2">
        <v>1199</v>
      </c>
      <c r="E1458" s="2" t="s">
        <v>45</v>
      </c>
      <c r="F1458" s="2">
        <v>18</v>
      </c>
      <c r="G1458" s="2">
        <v>4</v>
      </c>
      <c r="H1458" s="2" t="s">
        <v>38</v>
      </c>
      <c r="I1458" s="2">
        <v>1</v>
      </c>
      <c r="J1458" s="2">
        <v>2049</v>
      </c>
      <c r="K1458" s="2">
        <v>3</v>
      </c>
      <c r="L1458" s="2" t="s">
        <v>46</v>
      </c>
      <c r="M1458" s="2">
        <v>80</v>
      </c>
      <c r="N1458" s="2">
        <v>3</v>
      </c>
      <c r="O1458" s="2">
        <v>2</v>
      </c>
      <c r="P1458" s="2" t="s">
        <v>54</v>
      </c>
      <c r="Q1458" s="2">
        <v>3</v>
      </c>
      <c r="R1458" s="2" t="s">
        <v>48</v>
      </c>
      <c r="S1458" s="2">
        <v>5689</v>
      </c>
      <c r="T1458" s="2">
        <v>24594</v>
      </c>
      <c r="U1458" s="2">
        <v>1</v>
      </c>
      <c r="V1458" s="2" t="s">
        <v>42</v>
      </c>
      <c r="W1458" s="2" t="s">
        <v>35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</row>
    <row r="1459" spans="1:35" x14ac:dyDescent="0.25">
      <c r="A1459" s="2">
        <v>40</v>
      </c>
      <c r="B1459" s="2" t="s">
        <v>43</v>
      </c>
      <c r="C1459" s="2" t="s">
        <v>36</v>
      </c>
      <c r="D1459" s="2">
        <v>1194</v>
      </c>
      <c r="E1459" s="2" t="s">
        <v>45</v>
      </c>
      <c r="F1459" s="2">
        <v>2</v>
      </c>
      <c r="G1459" s="2">
        <v>4</v>
      </c>
      <c r="H1459" s="2" t="s">
        <v>51</v>
      </c>
      <c r="I1459" s="2">
        <v>1</v>
      </c>
      <c r="J1459" s="2">
        <v>2051</v>
      </c>
      <c r="K1459" s="2">
        <v>3</v>
      </c>
      <c r="L1459" s="2" t="s">
        <v>39</v>
      </c>
      <c r="M1459" s="2">
        <v>98</v>
      </c>
      <c r="N1459" s="2">
        <v>3</v>
      </c>
      <c r="O1459" s="2">
        <v>1</v>
      </c>
      <c r="P1459" s="2" t="s">
        <v>47</v>
      </c>
      <c r="Q1459" s="2">
        <v>3</v>
      </c>
      <c r="R1459" s="2" t="s">
        <v>48</v>
      </c>
      <c r="S1459" s="2">
        <v>2001</v>
      </c>
      <c r="T1459" s="2">
        <v>12549</v>
      </c>
      <c r="U1459" s="2">
        <v>2</v>
      </c>
      <c r="V1459" s="2" t="s">
        <v>42</v>
      </c>
      <c r="W1459" s="2" t="s">
        <v>43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</row>
    <row r="1460" spans="1:35" x14ac:dyDescent="0.25">
      <c r="A1460" s="2">
        <v>35</v>
      </c>
      <c r="B1460" s="2" t="s">
        <v>43</v>
      </c>
      <c r="C1460" s="2" t="s">
        <v>36</v>
      </c>
      <c r="D1460" s="2">
        <v>287</v>
      </c>
      <c r="E1460" s="2" t="s">
        <v>45</v>
      </c>
      <c r="F1460" s="2">
        <v>1</v>
      </c>
      <c r="G1460" s="2">
        <v>4</v>
      </c>
      <c r="H1460" s="2" t="s">
        <v>38</v>
      </c>
      <c r="I1460" s="2">
        <v>1</v>
      </c>
      <c r="J1460" s="2">
        <v>2052</v>
      </c>
      <c r="K1460" s="2">
        <v>3</v>
      </c>
      <c r="L1460" s="2" t="s">
        <v>39</v>
      </c>
      <c r="M1460" s="2">
        <v>62</v>
      </c>
      <c r="N1460" s="2">
        <v>1</v>
      </c>
      <c r="O1460" s="2">
        <v>1</v>
      </c>
      <c r="P1460" s="2" t="s">
        <v>47</v>
      </c>
      <c r="Q1460" s="2">
        <v>4</v>
      </c>
      <c r="R1460" s="2" t="s">
        <v>48</v>
      </c>
      <c r="S1460" s="2">
        <v>2977</v>
      </c>
      <c r="T1460" s="2">
        <v>8952</v>
      </c>
      <c r="U1460" s="2">
        <v>1</v>
      </c>
      <c r="V1460" s="2" t="s">
        <v>42</v>
      </c>
      <c r="W1460" s="2" t="s">
        <v>43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</row>
    <row r="1461" spans="1:35" x14ac:dyDescent="0.25">
      <c r="A1461" s="2">
        <v>29</v>
      </c>
      <c r="B1461" s="2" t="s">
        <v>43</v>
      </c>
      <c r="C1461" s="2" t="s">
        <v>36</v>
      </c>
      <c r="D1461" s="2">
        <v>1378</v>
      </c>
      <c r="E1461" s="2" t="s">
        <v>45</v>
      </c>
      <c r="F1461" s="2">
        <v>13</v>
      </c>
      <c r="G1461" s="2">
        <v>2</v>
      </c>
      <c r="H1461" s="2" t="s">
        <v>49</v>
      </c>
      <c r="I1461" s="2">
        <v>1</v>
      </c>
      <c r="J1461" s="2">
        <v>2053</v>
      </c>
      <c r="K1461" s="2">
        <v>4</v>
      </c>
      <c r="L1461" s="2" t="s">
        <v>46</v>
      </c>
      <c r="M1461" s="2">
        <v>46</v>
      </c>
      <c r="N1461" s="2">
        <v>2</v>
      </c>
      <c r="O1461" s="2">
        <v>2</v>
      </c>
      <c r="P1461" s="2" t="s">
        <v>50</v>
      </c>
      <c r="Q1461" s="2">
        <v>2</v>
      </c>
      <c r="R1461" s="2" t="s">
        <v>48</v>
      </c>
      <c r="S1461" s="2">
        <v>4025</v>
      </c>
      <c r="T1461" s="2">
        <v>23679</v>
      </c>
      <c r="U1461" s="2">
        <v>4</v>
      </c>
      <c r="V1461" s="2" t="s">
        <v>42</v>
      </c>
      <c r="W1461" s="2" t="s">
        <v>35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</row>
    <row r="1462" spans="1:35" x14ac:dyDescent="0.25">
      <c r="A1462" s="2">
        <v>29</v>
      </c>
      <c r="B1462" s="2" t="s">
        <v>43</v>
      </c>
      <c r="C1462" s="2" t="s">
        <v>36</v>
      </c>
      <c r="D1462" s="2">
        <v>468</v>
      </c>
      <c r="E1462" s="2" t="s">
        <v>45</v>
      </c>
      <c r="F1462" s="2">
        <v>28</v>
      </c>
      <c r="G1462" s="2">
        <v>4</v>
      </c>
      <c r="H1462" s="2" t="s">
        <v>51</v>
      </c>
      <c r="I1462" s="2">
        <v>1</v>
      </c>
      <c r="J1462" s="2">
        <v>2054</v>
      </c>
      <c r="K1462" s="2">
        <v>4</v>
      </c>
      <c r="L1462" s="2" t="s">
        <v>39</v>
      </c>
      <c r="M1462" s="2">
        <v>73</v>
      </c>
      <c r="N1462" s="2">
        <v>2</v>
      </c>
      <c r="O1462" s="2">
        <v>1</v>
      </c>
      <c r="P1462" s="2" t="s">
        <v>47</v>
      </c>
      <c r="Q1462" s="2">
        <v>1</v>
      </c>
      <c r="R1462" s="2" t="s">
        <v>41</v>
      </c>
      <c r="S1462" s="2">
        <v>3785</v>
      </c>
      <c r="T1462" s="2">
        <v>8489</v>
      </c>
      <c r="U1462" s="2">
        <v>1</v>
      </c>
      <c r="V1462" s="2" t="s">
        <v>42</v>
      </c>
      <c r="W1462" s="2" t="s">
        <v>43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</row>
    <row r="1463" spans="1:35" x14ac:dyDescent="0.25">
      <c r="A1463" s="2">
        <v>50</v>
      </c>
      <c r="B1463" s="2" t="s">
        <v>35</v>
      </c>
      <c r="C1463" s="2" t="s">
        <v>36</v>
      </c>
      <c r="D1463" s="2">
        <v>410</v>
      </c>
      <c r="E1463" s="2" t="s">
        <v>37</v>
      </c>
      <c r="F1463" s="2">
        <v>28</v>
      </c>
      <c r="G1463" s="2">
        <v>3</v>
      </c>
      <c r="H1463" s="2" t="s">
        <v>59</v>
      </c>
      <c r="I1463" s="2">
        <v>1</v>
      </c>
      <c r="J1463" s="2">
        <v>2055</v>
      </c>
      <c r="K1463" s="2">
        <v>4</v>
      </c>
      <c r="L1463" s="2" t="s">
        <v>46</v>
      </c>
      <c r="M1463" s="2">
        <v>39</v>
      </c>
      <c r="N1463" s="2">
        <v>2</v>
      </c>
      <c r="O1463" s="2">
        <v>3</v>
      </c>
      <c r="P1463" s="2" t="s">
        <v>40</v>
      </c>
      <c r="Q1463" s="2">
        <v>1</v>
      </c>
      <c r="R1463" s="2" t="s">
        <v>52</v>
      </c>
      <c r="S1463" s="2">
        <v>10854</v>
      </c>
      <c r="T1463" s="2">
        <v>16586</v>
      </c>
      <c r="U1463" s="2">
        <v>4</v>
      </c>
      <c r="V1463" s="2" t="s">
        <v>42</v>
      </c>
      <c r="W1463" s="2" t="s">
        <v>35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</row>
    <row r="1464" spans="1:35" x14ac:dyDescent="0.25">
      <c r="A1464" s="2">
        <v>39</v>
      </c>
      <c r="B1464" s="2" t="s">
        <v>43</v>
      </c>
      <c r="C1464" s="2" t="s">
        <v>36</v>
      </c>
      <c r="D1464" s="2">
        <v>722</v>
      </c>
      <c r="E1464" s="2" t="s">
        <v>37</v>
      </c>
      <c r="F1464" s="2">
        <v>24</v>
      </c>
      <c r="G1464" s="2">
        <v>1</v>
      </c>
      <c r="H1464" s="2" t="s">
        <v>59</v>
      </c>
      <c r="I1464" s="2">
        <v>1</v>
      </c>
      <c r="J1464" s="2">
        <v>2056</v>
      </c>
      <c r="K1464" s="2">
        <v>2</v>
      </c>
      <c r="L1464" s="2" t="s">
        <v>39</v>
      </c>
      <c r="M1464" s="2">
        <v>60</v>
      </c>
      <c r="N1464" s="2">
        <v>2</v>
      </c>
      <c r="O1464" s="2">
        <v>4</v>
      </c>
      <c r="P1464" s="2" t="s">
        <v>40</v>
      </c>
      <c r="Q1464" s="2">
        <v>4</v>
      </c>
      <c r="R1464" s="2" t="s">
        <v>48</v>
      </c>
      <c r="S1464" s="2">
        <v>12031</v>
      </c>
      <c r="T1464" s="2">
        <v>8828</v>
      </c>
      <c r="U1464" s="2">
        <v>0</v>
      </c>
      <c r="V1464" s="2" t="s">
        <v>42</v>
      </c>
      <c r="W1464" s="2" t="s">
        <v>43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</row>
    <row r="1465" spans="1:35" x14ac:dyDescent="0.25">
      <c r="A1465" s="2">
        <v>31</v>
      </c>
      <c r="B1465" s="2" t="s">
        <v>43</v>
      </c>
      <c r="C1465" s="2" t="s">
        <v>55</v>
      </c>
      <c r="D1465" s="2">
        <v>325</v>
      </c>
      <c r="E1465" s="2" t="s">
        <v>45</v>
      </c>
      <c r="F1465" s="2">
        <v>5</v>
      </c>
      <c r="G1465" s="2">
        <v>3</v>
      </c>
      <c r="H1465" s="2" t="s">
        <v>51</v>
      </c>
      <c r="I1465" s="2">
        <v>1</v>
      </c>
      <c r="J1465" s="2">
        <v>2057</v>
      </c>
      <c r="K1465" s="2">
        <v>2</v>
      </c>
      <c r="L1465" s="2" t="s">
        <v>46</v>
      </c>
      <c r="M1465" s="2">
        <v>74</v>
      </c>
      <c r="N1465" s="2">
        <v>3</v>
      </c>
      <c r="O1465" s="2">
        <v>2</v>
      </c>
      <c r="P1465" s="2" t="s">
        <v>53</v>
      </c>
      <c r="Q1465" s="2">
        <v>1</v>
      </c>
      <c r="R1465" s="2" t="s">
        <v>41</v>
      </c>
      <c r="S1465" s="2">
        <v>9936</v>
      </c>
      <c r="T1465" s="2">
        <v>3787</v>
      </c>
      <c r="U1465" s="2">
        <v>0</v>
      </c>
      <c r="V1465" s="2" t="s">
        <v>42</v>
      </c>
      <c r="W1465" s="2" t="s">
        <v>43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</row>
    <row r="1466" spans="1:35" x14ac:dyDescent="0.25">
      <c r="A1466" s="2">
        <v>26</v>
      </c>
      <c r="B1466" s="2" t="s">
        <v>43</v>
      </c>
      <c r="C1466" s="2" t="s">
        <v>36</v>
      </c>
      <c r="D1466" s="2">
        <v>1167</v>
      </c>
      <c r="E1466" s="2" t="s">
        <v>37</v>
      </c>
      <c r="F1466" s="2">
        <v>5</v>
      </c>
      <c r="G1466" s="2">
        <v>3</v>
      </c>
      <c r="H1466" s="2" t="s">
        <v>49</v>
      </c>
      <c r="I1466" s="2">
        <v>1</v>
      </c>
      <c r="J1466" s="2">
        <v>2060</v>
      </c>
      <c r="K1466" s="2">
        <v>4</v>
      </c>
      <c r="L1466" s="2" t="s">
        <v>39</v>
      </c>
      <c r="M1466" s="2">
        <v>30</v>
      </c>
      <c r="N1466" s="2">
        <v>2</v>
      </c>
      <c r="O1466" s="2">
        <v>1</v>
      </c>
      <c r="P1466" s="2" t="s">
        <v>57</v>
      </c>
      <c r="Q1466" s="2">
        <v>3</v>
      </c>
      <c r="R1466" s="2" t="s">
        <v>41</v>
      </c>
      <c r="S1466" s="2">
        <v>2966</v>
      </c>
      <c r="T1466" s="2">
        <v>21378</v>
      </c>
      <c r="U1466" s="2">
        <v>0</v>
      </c>
      <c r="V1466" s="2" t="s">
        <v>42</v>
      </c>
      <c r="W1466" s="2" t="s">
        <v>43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</row>
    <row r="1467" spans="1:35" x14ac:dyDescent="0.25">
      <c r="A1467" s="2">
        <v>36</v>
      </c>
      <c r="B1467" s="2" t="s">
        <v>43</v>
      </c>
      <c r="C1467" s="2" t="s">
        <v>44</v>
      </c>
      <c r="D1467" s="2">
        <v>884</v>
      </c>
      <c r="E1467" s="2" t="s">
        <v>45</v>
      </c>
      <c r="F1467" s="2">
        <v>23</v>
      </c>
      <c r="G1467" s="2">
        <v>2</v>
      </c>
      <c r="H1467" s="2" t="s">
        <v>51</v>
      </c>
      <c r="I1467" s="2">
        <v>1</v>
      </c>
      <c r="J1467" s="2">
        <v>2061</v>
      </c>
      <c r="K1467" s="2">
        <v>3</v>
      </c>
      <c r="L1467" s="2" t="s">
        <v>46</v>
      </c>
      <c r="M1467" s="2">
        <v>41</v>
      </c>
      <c r="N1467" s="2">
        <v>4</v>
      </c>
      <c r="O1467" s="2">
        <v>2</v>
      </c>
      <c r="P1467" s="2" t="s">
        <v>50</v>
      </c>
      <c r="Q1467" s="2">
        <v>4</v>
      </c>
      <c r="R1467" s="2" t="s">
        <v>48</v>
      </c>
      <c r="S1467" s="2">
        <v>2571</v>
      </c>
      <c r="T1467" s="2">
        <v>12290</v>
      </c>
      <c r="U1467" s="2">
        <v>4</v>
      </c>
      <c r="V1467" s="2" t="s">
        <v>42</v>
      </c>
      <c r="W1467" s="2" t="s">
        <v>43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</row>
    <row r="1468" spans="1:35" x14ac:dyDescent="0.25">
      <c r="A1468" s="2">
        <v>39</v>
      </c>
      <c r="B1468" s="2" t="s">
        <v>43</v>
      </c>
      <c r="C1468" s="2" t="s">
        <v>36</v>
      </c>
      <c r="D1468" s="2">
        <v>613</v>
      </c>
      <c r="E1468" s="2" t="s">
        <v>45</v>
      </c>
      <c r="F1468" s="2">
        <v>6</v>
      </c>
      <c r="G1468" s="2">
        <v>1</v>
      </c>
      <c r="H1468" s="2" t="s">
        <v>51</v>
      </c>
      <c r="I1468" s="2">
        <v>1</v>
      </c>
      <c r="J1468" s="2">
        <v>2062</v>
      </c>
      <c r="K1468" s="2">
        <v>4</v>
      </c>
      <c r="L1468" s="2" t="s">
        <v>46</v>
      </c>
      <c r="M1468" s="2">
        <v>42</v>
      </c>
      <c r="N1468" s="2">
        <v>2</v>
      </c>
      <c r="O1468" s="2">
        <v>3</v>
      </c>
      <c r="P1468" s="2" t="s">
        <v>54</v>
      </c>
      <c r="Q1468" s="2">
        <v>1</v>
      </c>
      <c r="R1468" s="2" t="s">
        <v>48</v>
      </c>
      <c r="S1468" s="2">
        <v>9991</v>
      </c>
      <c r="T1468" s="2">
        <v>21457</v>
      </c>
      <c r="U1468" s="2">
        <v>4</v>
      </c>
      <c r="V1468" s="2" t="s">
        <v>42</v>
      </c>
      <c r="W1468" s="2" t="s">
        <v>43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</row>
    <row r="1469" spans="1:35" x14ac:dyDescent="0.25">
      <c r="A1469" s="2">
        <v>27</v>
      </c>
      <c r="B1469" s="2" t="s">
        <v>43</v>
      </c>
      <c r="C1469" s="2" t="s">
        <v>36</v>
      </c>
      <c r="D1469" s="2">
        <v>155</v>
      </c>
      <c r="E1469" s="2" t="s">
        <v>45</v>
      </c>
      <c r="F1469" s="2">
        <v>4</v>
      </c>
      <c r="G1469" s="2">
        <v>3</v>
      </c>
      <c r="H1469" s="2" t="s">
        <v>38</v>
      </c>
      <c r="I1469" s="2">
        <v>1</v>
      </c>
      <c r="J1469" s="2">
        <v>2064</v>
      </c>
      <c r="K1469" s="2">
        <v>2</v>
      </c>
      <c r="L1469" s="2" t="s">
        <v>46</v>
      </c>
      <c r="M1469" s="2">
        <v>87</v>
      </c>
      <c r="N1469" s="2">
        <v>4</v>
      </c>
      <c r="O1469" s="2">
        <v>2</v>
      </c>
      <c r="P1469" s="2" t="s">
        <v>53</v>
      </c>
      <c r="Q1469" s="2">
        <v>2</v>
      </c>
      <c r="R1469" s="2" t="s">
        <v>48</v>
      </c>
      <c r="S1469" s="2">
        <v>6142</v>
      </c>
      <c r="T1469" s="2">
        <v>5174</v>
      </c>
      <c r="U1469" s="2">
        <v>1</v>
      </c>
      <c r="V1469" s="2" t="s">
        <v>42</v>
      </c>
      <c r="W1469" s="2" t="s">
        <v>35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</row>
    <row r="1470" spans="1:35" x14ac:dyDescent="0.25">
      <c r="A1470" s="2">
        <v>49</v>
      </c>
      <c r="B1470" s="2" t="s">
        <v>43</v>
      </c>
      <c r="C1470" s="2" t="s">
        <v>44</v>
      </c>
      <c r="D1470" s="2">
        <v>1023</v>
      </c>
      <c r="E1470" s="2" t="s">
        <v>37</v>
      </c>
      <c r="F1470" s="2">
        <v>2</v>
      </c>
      <c r="G1470" s="2">
        <v>3</v>
      </c>
      <c r="H1470" s="2" t="s">
        <v>51</v>
      </c>
      <c r="I1470" s="2">
        <v>1</v>
      </c>
      <c r="J1470" s="2">
        <v>2065</v>
      </c>
      <c r="K1470" s="2">
        <v>4</v>
      </c>
      <c r="L1470" s="2" t="s">
        <v>46</v>
      </c>
      <c r="M1470" s="2">
        <v>63</v>
      </c>
      <c r="N1470" s="2">
        <v>2</v>
      </c>
      <c r="O1470" s="2">
        <v>2</v>
      </c>
      <c r="P1470" s="2" t="s">
        <v>40</v>
      </c>
      <c r="Q1470" s="2">
        <v>2</v>
      </c>
      <c r="R1470" s="2" t="s">
        <v>48</v>
      </c>
      <c r="S1470" s="2">
        <v>5390</v>
      </c>
      <c r="T1470" s="2">
        <v>13243</v>
      </c>
      <c r="U1470" s="2">
        <v>2</v>
      </c>
      <c r="V1470" s="2" t="s">
        <v>42</v>
      </c>
      <c r="W1470" s="2" t="s">
        <v>43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</row>
    <row r="1471" spans="1:35" x14ac:dyDescent="0.25">
      <c r="A1471" s="2">
        <v>34</v>
      </c>
      <c r="B1471" s="2" t="s">
        <v>43</v>
      </c>
      <c r="C1471" s="2" t="s">
        <v>36</v>
      </c>
      <c r="D1471" s="2">
        <v>628</v>
      </c>
      <c r="E1471" s="2" t="s">
        <v>45</v>
      </c>
      <c r="F1471" s="2">
        <v>8</v>
      </c>
      <c r="G1471" s="2">
        <v>3</v>
      </c>
      <c r="H1471" s="2" t="s">
        <v>51</v>
      </c>
      <c r="I1471" s="2">
        <v>1</v>
      </c>
      <c r="J1471" s="2">
        <v>2068</v>
      </c>
      <c r="K1471" s="2">
        <v>2</v>
      </c>
      <c r="L1471" s="2" t="s">
        <v>46</v>
      </c>
      <c r="M1471" s="2">
        <v>82</v>
      </c>
      <c r="N1471" s="2">
        <v>4</v>
      </c>
      <c r="O1471" s="2">
        <v>2</v>
      </c>
      <c r="P1471" s="2" t="s">
        <v>50</v>
      </c>
      <c r="Q1471" s="2">
        <v>3</v>
      </c>
      <c r="R1471" s="2" t="s">
        <v>48</v>
      </c>
      <c r="S1471" s="2">
        <v>4404</v>
      </c>
      <c r="T1471" s="2">
        <v>10228</v>
      </c>
      <c r="U1471" s="2">
        <v>2</v>
      </c>
      <c r="V1471" s="2" t="s">
        <v>42</v>
      </c>
      <c r="W1471" s="2" t="s">
        <v>43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I147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10.33203125" customWidth="1"/>
    <col min="3" max="3" width="15.21875" customWidth="1"/>
    <col min="4" max="4" width="11.33203125" customWidth="1"/>
    <col min="5" max="5" width="20" customWidth="1"/>
    <col min="6" max="6" width="16.77734375" customWidth="1"/>
    <col min="8" max="8" width="14.77734375" customWidth="1"/>
    <col min="9" max="9" width="14.21875" customWidth="1"/>
    <col min="10" max="10" width="15.21875" customWidth="1"/>
    <col min="11" max="11" width="20.44140625" customWidth="1"/>
    <col min="14" max="14" width="13.6640625" customWidth="1"/>
    <col min="16" max="16" width="20.77734375" customWidth="1"/>
    <col min="17" max="17" width="13" customWidth="1"/>
    <col min="19" max="19" width="13.44140625" customWidth="1"/>
    <col min="21" max="21" width="20" customWidth="1"/>
    <col min="24" max="24" width="15.88671875" customWidth="1"/>
    <col min="25" max="25" width="16.44140625" customWidth="1"/>
    <col min="26" max="26" width="20" customWidth="1"/>
    <col min="28" max="28" width="17.6640625" customWidth="1"/>
    <col min="29" max="29" width="18.77734375" customWidth="1"/>
    <col min="30" max="30" width="22.109375" customWidth="1"/>
    <col min="32" max="32" width="17.44140625" customWidth="1"/>
    <col min="33" max="33" width="17" customWidth="1"/>
    <col min="34" max="34" width="21.33203125" customWidth="1"/>
    <col min="35" max="35" width="20.33203125" customWidth="1"/>
  </cols>
  <sheetData>
    <row r="1" spans="1:35" x14ac:dyDescent="0.25">
      <c r="A1" s="1" t="s">
        <v>62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41</v>
      </c>
      <c r="B2" s="2" t="s">
        <v>35</v>
      </c>
      <c r="C2" s="2" t="s">
        <v>36</v>
      </c>
      <c r="D2" s="2">
        <v>1102</v>
      </c>
      <c r="E2" s="2" t="s">
        <v>37</v>
      </c>
      <c r="F2" s="2">
        <v>1</v>
      </c>
      <c r="G2" s="2">
        <v>2</v>
      </c>
      <c r="H2" s="2" t="s">
        <v>38</v>
      </c>
      <c r="I2" s="2">
        <v>1</v>
      </c>
      <c r="J2" s="2">
        <v>1</v>
      </c>
      <c r="K2" s="2">
        <v>2</v>
      </c>
      <c r="L2" s="2" t="s">
        <v>39</v>
      </c>
      <c r="M2" s="2">
        <v>94</v>
      </c>
      <c r="N2" s="2">
        <v>3</v>
      </c>
      <c r="O2" s="2">
        <v>2</v>
      </c>
      <c r="P2" s="2" t="s">
        <v>40</v>
      </c>
      <c r="Q2" s="2">
        <v>4</v>
      </c>
      <c r="R2" s="2" t="s">
        <v>41</v>
      </c>
      <c r="S2" s="2">
        <v>5993</v>
      </c>
      <c r="T2" s="2">
        <v>19479</v>
      </c>
      <c r="U2" s="2">
        <v>8</v>
      </c>
      <c r="V2" s="2" t="s">
        <v>42</v>
      </c>
      <c r="W2" s="2" t="s">
        <v>35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</row>
    <row r="3" spans="1:35" x14ac:dyDescent="0.25">
      <c r="A3" s="2">
        <v>49</v>
      </c>
      <c r="B3" s="2" t="s">
        <v>43</v>
      </c>
      <c r="C3" s="2" t="s">
        <v>44</v>
      </c>
      <c r="D3" s="2">
        <v>279</v>
      </c>
      <c r="E3" s="2" t="s">
        <v>45</v>
      </c>
      <c r="F3" s="2">
        <v>8</v>
      </c>
      <c r="G3" s="2">
        <v>1</v>
      </c>
      <c r="H3" s="2" t="s">
        <v>38</v>
      </c>
      <c r="I3" s="2">
        <v>1</v>
      </c>
      <c r="J3" s="2">
        <v>2</v>
      </c>
      <c r="K3" s="2">
        <v>3</v>
      </c>
      <c r="L3" s="2" t="s">
        <v>46</v>
      </c>
      <c r="M3" s="2">
        <v>61</v>
      </c>
      <c r="N3" s="2">
        <v>2</v>
      </c>
      <c r="O3" s="2">
        <v>2</v>
      </c>
      <c r="P3" s="2" t="s">
        <v>47</v>
      </c>
      <c r="Q3" s="2">
        <v>2</v>
      </c>
      <c r="R3" s="2" t="s">
        <v>48</v>
      </c>
      <c r="S3" s="2">
        <v>5130</v>
      </c>
      <c r="T3" s="2">
        <v>24907</v>
      </c>
      <c r="U3" s="2">
        <v>1</v>
      </c>
      <c r="V3" s="2" t="s">
        <v>42</v>
      </c>
      <c r="W3" s="2" t="s">
        <v>43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</row>
    <row r="4" spans="1:35" x14ac:dyDescent="0.25">
      <c r="A4" s="2">
        <v>37</v>
      </c>
      <c r="B4" s="2" t="s">
        <v>35</v>
      </c>
      <c r="C4" s="2" t="s">
        <v>36</v>
      </c>
      <c r="D4" s="2">
        <v>1373</v>
      </c>
      <c r="E4" s="2" t="s">
        <v>45</v>
      </c>
      <c r="F4" s="2">
        <v>2</v>
      </c>
      <c r="G4" s="2">
        <v>2</v>
      </c>
      <c r="H4" s="2" t="s">
        <v>49</v>
      </c>
      <c r="I4" s="2">
        <v>1</v>
      </c>
      <c r="J4" s="2">
        <v>4</v>
      </c>
      <c r="K4" s="2">
        <v>4</v>
      </c>
      <c r="L4" s="2" t="s">
        <v>46</v>
      </c>
      <c r="M4" s="2">
        <v>92</v>
      </c>
      <c r="N4" s="2">
        <v>2</v>
      </c>
      <c r="O4" s="2">
        <v>1</v>
      </c>
      <c r="P4" s="2" t="s">
        <v>50</v>
      </c>
      <c r="Q4" s="2">
        <v>3</v>
      </c>
      <c r="R4" s="2" t="s">
        <v>41</v>
      </c>
      <c r="S4" s="2">
        <v>2090</v>
      </c>
      <c r="T4" s="2">
        <v>2396</v>
      </c>
      <c r="U4" s="2">
        <v>6</v>
      </c>
      <c r="V4" s="2" t="s">
        <v>42</v>
      </c>
      <c r="W4" s="2" t="s">
        <v>35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</row>
    <row r="5" spans="1:35" x14ac:dyDescent="0.25">
      <c r="A5" s="2">
        <v>33</v>
      </c>
      <c r="B5" s="2" t="s">
        <v>43</v>
      </c>
      <c r="C5" s="2" t="s">
        <v>44</v>
      </c>
      <c r="D5" s="2">
        <v>1392</v>
      </c>
      <c r="E5" s="2" t="s">
        <v>45</v>
      </c>
      <c r="F5" s="2">
        <v>3</v>
      </c>
      <c r="G5" s="2">
        <v>4</v>
      </c>
      <c r="H5" s="2" t="s">
        <v>38</v>
      </c>
      <c r="I5" s="2">
        <v>1</v>
      </c>
      <c r="J5" s="2">
        <v>5</v>
      </c>
      <c r="K5" s="2">
        <v>4</v>
      </c>
      <c r="L5" s="2" t="s">
        <v>39</v>
      </c>
      <c r="M5" s="2">
        <v>56</v>
      </c>
      <c r="N5" s="2">
        <v>3</v>
      </c>
      <c r="O5" s="2">
        <v>1</v>
      </c>
      <c r="P5" s="2" t="s">
        <v>47</v>
      </c>
      <c r="Q5" s="2">
        <v>3</v>
      </c>
      <c r="R5" s="2" t="s">
        <v>48</v>
      </c>
      <c r="S5" s="2">
        <v>2909</v>
      </c>
      <c r="T5" s="2">
        <v>23159</v>
      </c>
      <c r="U5" s="2">
        <v>1</v>
      </c>
      <c r="V5" s="2" t="s">
        <v>42</v>
      </c>
      <c r="W5" s="2" t="s">
        <v>35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</row>
    <row r="6" spans="1:35" x14ac:dyDescent="0.25">
      <c r="A6" s="2">
        <v>27</v>
      </c>
      <c r="B6" s="2" t="s">
        <v>43</v>
      </c>
      <c r="C6" s="2" t="s">
        <v>36</v>
      </c>
      <c r="D6" s="2">
        <v>591</v>
      </c>
      <c r="E6" s="2" t="s">
        <v>45</v>
      </c>
      <c r="F6" s="2">
        <v>2</v>
      </c>
      <c r="G6" s="2">
        <v>1</v>
      </c>
      <c r="H6" s="2" t="s">
        <v>51</v>
      </c>
      <c r="I6" s="2">
        <v>1</v>
      </c>
      <c r="J6" s="2">
        <v>7</v>
      </c>
      <c r="K6" s="2">
        <v>1</v>
      </c>
      <c r="L6" s="2" t="s">
        <v>46</v>
      </c>
      <c r="M6" s="2">
        <v>40</v>
      </c>
      <c r="N6" s="2">
        <v>3</v>
      </c>
      <c r="O6" s="2">
        <v>1</v>
      </c>
      <c r="P6" s="2" t="s">
        <v>50</v>
      </c>
      <c r="Q6" s="2">
        <v>2</v>
      </c>
      <c r="R6" s="2" t="s">
        <v>48</v>
      </c>
      <c r="S6" s="2">
        <v>3468</v>
      </c>
      <c r="T6" s="2">
        <v>16632</v>
      </c>
      <c r="U6" s="2">
        <v>9</v>
      </c>
      <c r="V6" s="2" t="s">
        <v>42</v>
      </c>
      <c r="W6" s="2" t="s">
        <v>43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</row>
    <row r="7" spans="1:35" x14ac:dyDescent="0.25">
      <c r="A7" s="2">
        <v>32</v>
      </c>
      <c r="B7" s="2" t="s">
        <v>43</v>
      </c>
      <c r="C7" s="2" t="s">
        <v>44</v>
      </c>
      <c r="D7" s="2">
        <v>1005</v>
      </c>
      <c r="E7" s="2" t="s">
        <v>45</v>
      </c>
      <c r="F7" s="2">
        <v>2</v>
      </c>
      <c r="G7" s="2">
        <v>2</v>
      </c>
      <c r="H7" s="2" t="s">
        <v>38</v>
      </c>
      <c r="I7" s="2">
        <v>1</v>
      </c>
      <c r="J7" s="2">
        <v>8</v>
      </c>
      <c r="K7" s="2">
        <v>4</v>
      </c>
      <c r="L7" s="2" t="s">
        <v>46</v>
      </c>
      <c r="M7" s="2">
        <v>79</v>
      </c>
      <c r="N7" s="2">
        <v>3</v>
      </c>
      <c r="O7" s="2">
        <v>1</v>
      </c>
      <c r="P7" s="2" t="s">
        <v>50</v>
      </c>
      <c r="Q7" s="2">
        <v>4</v>
      </c>
      <c r="R7" s="2" t="s">
        <v>41</v>
      </c>
      <c r="S7" s="2">
        <v>3068</v>
      </c>
      <c r="T7" s="2">
        <v>11864</v>
      </c>
      <c r="U7" s="2">
        <v>0</v>
      </c>
      <c r="V7" s="2" t="s">
        <v>42</v>
      </c>
      <c r="W7" s="2" t="s">
        <v>43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</row>
    <row r="8" spans="1:35" x14ac:dyDescent="0.25">
      <c r="A8" s="2">
        <v>59</v>
      </c>
      <c r="B8" s="2" t="s">
        <v>43</v>
      </c>
      <c r="C8" s="2" t="s">
        <v>36</v>
      </c>
      <c r="D8" s="2">
        <v>1324</v>
      </c>
      <c r="E8" s="2" t="s">
        <v>45</v>
      </c>
      <c r="F8" s="2">
        <v>3</v>
      </c>
      <c r="G8" s="2">
        <v>3</v>
      </c>
      <c r="H8" s="2" t="s">
        <v>51</v>
      </c>
      <c r="I8" s="2">
        <v>1</v>
      </c>
      <c r="J8" s="2">
        <v>10</v>
      </c>
      <c r="K8" s="2">
        <v>3</v>
      </c>
      <c r="L8" s="2" t="s">
        <v>39</v>
      </c>
      <c r="M8" s="2">
        <v>81</v>
      </c>
      <c r="N8" s="2">
        <v>4</v>
      </c>
      <c r="O8" s="2">
        <v>1</v>
      </c>
      <c r="P8" s="2" t="s">
        <v>50</v>
      </c>
      <c r="Q8" s="2">
        <v>1</v>
      </c>
      <c r="R8" s="2" t="s">
        <v>48</v>
      </c>
      <c r="S8" s="2">
        <v>2670</v>
      </c>
      <c r="T8" s="2">
        <v>9964</v>
      </c>
      <c r="U8" s="2">
        <v>4</v>
      </c>
      <c r="V8" s="2" t="s">
        <v>42</v>
      </c>
      <c r="W8" s="2" t="s">
        <v>35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</row>
    <row r="9" spans="1:35" x14ac:dyDescent="0.25">
      <c r="A9" s="2">
        <v>30</v>
      </c>
      <c r="B9" s="2" t="s">
        <v>43</v>
      </c>
      <c r="C9" s="2" t="s">
        <v>36</v>
      </c>
      <c r="D9" s="2">
        <v>1358</v>
      </c>
      <c r="E9" s="2" t="s">
        <v>45</v>
      </c>
      <c r="F9" s="2">
        <v>24</v>
      </c>
      <c r="G9" s="2">
        <v>1</v>
      </c>
      <c r="H9" s="2" t="s">
        <v>38</v>
      </c>
      <c r="I9" s="2">
        <v>1</v>
      </c>
      <c r="J9" s="2">
        <v>11</v>
      </c>
      <c r="K9" s="2">
        <v>4</v>
      </c>
      <c r="L9" s="2" t="s">
        <v>46</v>
      </c>
      <c r="M9" s="2">
        <v>67</v>
      </c>
      <c r="N9" s="2">
        <v>3</v>
      </c>
      <c r="O9" s="2">
        <v>1</v>
      </c>
      <c r="P9" s="2" t="s">
        <v>50</v>
      </c>
      <c r="Q9" s="2">
        <v>3</v>
      </c>
      <c r="R9" s="2" t="s">
        <v>52</v>
      </c>
      <c r="S9" s="2">
        <v>2693</v>
      </c>
      <c r="T9" s="2">
        <v>13335</v>
      </c>
      <c r="U9" s="2">
        <v>1</v>
      </c>
      <c r="V9" s="2" t="s">
        <v>42</v>
      </c>
      <c r="W9" s="2" t="s">
        <v>43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</row>
    <row r="10" spans="1:35" x14ac:dyDescent="0.25">
      <c r="A10" s="2">
        <v>38</v>
      </c>
      <c r="B10" s="2" t="s">
        <v>43</v>
      </c>
      <c r="C10" s="2" t="s">
        <v>44</v>
      </c>
      <c r="D10" s="2">
        <v>216</v>
      </c>
      <c r="E10" s="2" t="s">
        <v>45</v>
      </c>
      <c r="F10" s="2">
        <v>23</v>
      </c>
      <c r="G10" s="2">
        <v>3</v>
      </c>
      <c r="H10" s="2" t="s">
        <v>38</v>
      </c>
      <c r="I10" s="2">
        <v>1</v>
      </c>
      <c r="J10" s="2">
        <v>12</v>
      </c>
      <c r="K10" s="2">
        <v>4</v>
      </c>
      <c r="L10" s="2" t="s">
        <v>46</v>
      </c>
      <c r="M10" s="2">
        <v>44</v>
      </c>
      <c r="N10" s="2">
        <v>2</v>
      </c>
      <c r="O10" s="2">
        <v>3</v>
      </c>
      <c r="P10" s="2" t="s">
        <v>53</v>
      </c>
      <c r="Q10" s="2">
        <v>3</v>
      </c>
      <c r="R10" s="2" t="s">
        <v>41</v>
      </c>
      <c r="S10" s="2">
        <v>9526</v>
      </c>
      <c r="T10" s="2">
        <v>8787</v>
      </c>
      <c r="U10" s="2">
        <v>0</v>
      </c>
      <c r="V10" s="2" t="s">
        <v>42</v>
      </c>
      <c r="W10" s="2" t="s">
        <v>43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</row>
    <row r="11" spans="1:35" x14ac:dyDescent="0.25">
      <c r="A11" s="2">
        <v>36</v>
      </c>
      <c r="B11" s="2" t="s">
        <v>43</v>
      </c>
      <c r="C11" s="2" t="s">
        <v>36</v>
      </c>
      <c r="D11" s="2">
        <v>1299</v>
      </c>
      <c r="E11" s="2" t="s">
        <v>45</v>
      </c>
      <c r="F11" s="2">
        <v>27</v>
      </c>
      <c r="G11" s="2">
        <v>3</v>
      </c>
      <c r="H11" s="2" t="s">
        <v>51</v>
      </c>
      <c r="I11" s="2">
        <v>1</v>
      </c>
      <c r="J11" s="2">
        <v>13</v>
      </c>
      <c r="K11" s="2">
        <v>3</v>
      </c>
      <c r="L11" s="2" t="s">
        <v>46</v>
      </c>
      <c r="M11" s="2">
        <v>94</v>
      </c>
      <c r="N11" s="2">
        <v>3</v>
      </c>
      <c r="O11" s="2">
        <v>2</v>
      </c>
      <c r="P11" s="2" t="s">
        <v>54</v>
      </c>
      <c r="Q11" s="2">
        <v>3</v>
      </c>
      <c r="R11" s="2" t="s">
        <v>48</v>
      </c>
      <c r="S11" s="2">
        <v>5237</v>
      </c>
      <c r="T11" s="2">
        <v>16577</v>
      </c>
      <c r="U11" s="2">
        <v>6</v>
      </c>
      <c r="V11" s="2" t="s">
        <v>42</v>
      </c>
      <c r="W11" s="2" t="s">
        <v>43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</row>
    <row r="12" spans="1:35" x14ac:dyDescent="0.25">
      <c r="A12" s="2">
        <v>35</v>
      </c>
      <c r="B12" s="2" t="s">
        <v>43</v>
      </c>
      <c r="C12" s="2" t="s">
        <v>36</v>
      </c>
      <c r="D12" s="2">
        <v>809</v>
      </c>
      <c r="E12" s="2" t="s">
        <v>45</v>
      </c>
      <c r="F12" s="2">
        <v>16</v>
      </c>
      <c r="G12" s="2">
        <v>3</v>
      </c>
      <c r="H12" s="2" t="s">
        <v>51</v>
      </c>
      <c r="I12" s="2">
        <v>1</v>
      </c>
      <c r="J12" s="2">
        <v>14</v>
      </c>
      <c r="K12" s="2">
        <v>1</v>
      </c>
      <c r="L12" s="2" t="s">
        <v>46</v>
      </c>
      <c r="M12" s="2">
        <v>84</v>
      </c>
      <c r="N12" s="2">
        <v>4</v>
      </c>
      <c r="O12" s="2">
        <v>1</v>
      </c>
      <c r="P12" s="2" t="s">
        <v>50</v>
      </c>
      <c r="Q12" s="2">
        <v>2</v>
      </c>
      <c r="R12" s="2" t="s">
        <v>48</v>
      </c>
      <c r="S12" s="2">
        <v>2426</v>
      </c>
      <c r="T12" s="2">
        <v>16479</v>
      </c>
      <c r="U12" s="2">
        <v>0</v>
      </c>
      <c r="V12" s="2" t="s">
        <v>42</v>
      </c>
      <c r="W12" s="2" t="s">
        <v>43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</row>
    <row r="13" spans="1:35" x14ac:dyDescent="0.25">
      <c r="A13" s="2">
        <v>29</v>
      </c>
      <c r="B13" s="2" t="s">
        <v>43</v>
      </c>
      <c r="C13" s="2" t="s">
        <v>36</v>
      </c>
      <c r="D13" s="2">
        <v>153</v>
      </c>
      <c r="E13" s="2" t="s">
        <v>45</v>
      </c>
      <c r="F13" s="2">
        <v>15</v>
      </c>
      <c r="G13" s="2">
        <v>2</v>
      </c>
      <c r="H13" s="2" t="s">
        <v>38</v>
      </c>
      <c r="I13" s="2">
        <v>1</v>
      </c>
      <c r="J13" s="2">
        <v>15</v>
      </c>
      <c r="K13" s="2">
        <v>4</v>
      </c>
      <c r="L13" s="2" t="s">
        <v>39</v>
      </c>
      <c r="M13" s="2">
        <v>49</v>
      </c>
      <c r="N13" s="2">
        <v>2</v>
      </c>
      <c r="O13" s="2">
        <v>2</v>
      </c>
      <c r="P13" s="2" t="s">
        <v>50</v>
      </c>
      <c r="Q13" s="2">
        <v>3</v>
      </c>
      <c r="R13" s="2" t="s">
        <v>41</v>
      </c>
      <c r="S13" s="2">
        <v>4193</v>
      </c>
      <c r="T13" s="2">
        <v>12682</v>
      </c>
      <c r="U13" s="2">
        <v>0</v>
      </c>
      <c r="V13" s="2" t="s">
        <v>42</v>
      </c>
      <c r="W13" s="2" t="s">
        <v>35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</row>
    <row r="14" spans="1:35" x14ac:dyDescent="0.25">
      <c r="A14" s="2">
        <v>31</v>
      </c>
      <c r="B14" s="2" t="s">
        <v>43</v>
      </c>
      <c r="C14" s="2" t="s">
        <v>36</v>
      </c>
      <c r="D14" s="2">
        <v>670</v>
      </c>
      <c r="E14" s="2" t="s">
        <v>45</v>
      </c>
      <c r="F14" s="2">
        <v>26</v>
      </c>
      <c r="G14" s="2">
        <v>1</v>
      </c>
      <c r="H14" s="2" t="s">
        <v>38</v>
      </c>
      <c r="I14" s="2">
        <v>1</v>
      </c>
      <c r="J14" s="2">
        <v>16</v>
      </c>
      <c r="K14" s="2">
        <v>1</v>
      </c>
      <c r="L14" s="2" t="s">
        <v>46</v>
      </c>
      <c r="M14" s="2">
        <v>31</v>
      </c>
      <c r="N14" s="2">
        <v>3</v>
      </c>
      <c r="O14" s="2">
        <v>1</v>
      </c>
      <c r="P14" s="2" t="s">
        <v>47</v>
      </c>
      <c r="Q14" s="2">
        <v>3</v>
      </c>
      <c r="R14" s="2" t="s">
        <v>52</v>
      </c>
      <c r="S14" s="2">
        <v>2911</v>
      </c>
      <c r="T14" s="2">
        <v>15170</v>
      </c>
      <c r="U14" s="2">
        <v>1</v>
      </c>
      <c r="V14" s="2" t="s">
        <v>42</v>
      </c>
      <c r="W14" s="2" t="s">
        <v>43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</row>
    <row r="15" spans="1:35" x14ac:dyDescent="0.25">
      <c r="A15" s="2">
        <v>34</v>
      </c>
      <c r="B15" s="2" t="s">
        <v>43</v>
      </c>
      <c r="C15" s="2" t="s">
        <v>36</v>
      </c>
      <c r="D15" s="2">
        <v>1346</v>
      </c>
      <c r="E15" s="2" t="s">
        <v>45</v>
      </c>
      <c r="F15" s="2">
        <v>19</v>
      </c>
      <c r="G15" s="2">
        <v>2</v>
      </c>
      <c r="H15" s="2" t="s">
        <v>51</v>
      </c>
      <c r="I15" s="2">
        <v>1</v>
      </c>
      <c r="J15" s="2">
        <v>18</v>
      </c>
      <c r="K15" s="2">
        <v>2</v>
      </c>
      <c r="L15" s="2" t="s">
        <v>46</v>
      </c>
      <c r="M15" s="2">
        <v>93</v>
      </c>
      <c r="N15" s="2">
        <v>3</v>
      </c>
      <c r="O15" s="2">
        <v>1</v>
      </c>
      <c r="P15" s="2" t="s">
        <v>50</v>
      </c>
      <c r="Q15" s="2">
        <v>4</v>
      </c>
      <c r="R15" s="2" t="s">
        <v>52</v>
      </c>
      <c r="S15" s="2">
        <v>2661</v>
      </c>
      <c r="T15" s="2">
        <v>8758</v>
      </c>
      <c r="U15" s="2">
        <v>0</v>
      </c>
      <c r="V15" s="2" t="s">
        <v>42</v>
      </c>
      <c r="W15" s="2" t="s">
        <v>43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</row>
    <row r="16" spans="1:35" x14ac:dyDescent="0.25">
      <c r="A16" s="2">
        <v>28</v>
      </c>
      <c r="B16" s="2" t="s">
        <v>35</v>
      </c>
      <c r="C16" s="2" t="s">
        <v>36</v>
      </c>
      <c r="D16" s="2">
        <v>103</v>
      </c>
      <c r="E16" s="2" t="s">
        <v>45</v>
      </c>
      <c r="F16" s="2">
        <v>24</v>
      </c>
      <c r="G16" s="2">
        <v>3</v>
      </c>
      <c r="H16" s="2" t="s">
        <v>38</v>
      </c>
      <c r="I16" s="2">
        <v>1</v>
      </c>
      <c r="J16" s="2">
        <v>19</v>
      </c>
      <c r="K16" s="2">
        <v>3</v>
      </c>
      <c r="L16" s="2" t="s">
        <v>46</v>
      </c>
      <c r="M16" s="2">
        <v>50</v>
      </c>
      <c r="N16" s="2">
        <v>2</v>
      </c>
      <c r="O16" s="2">
        <v>1</v>
      </c>
      <c r="P16" s="2" t="s">
        <v>50</v>
      </c>
      <c r="Q16" s="2">
        <v>3</v>
      </c>
      <c r="R16" s="2" t="s">
        <v>41</v>
      </c>
      <c r="S16" s="2">
        <v>2028</v>
      </c>
      <c r="T16" s="2">
        <v>12947</v>
      </c>
      <c r="U16" s="2">
        <v>5</v>
      </c>
      <c r="V16" s="2" t="s">
        <v>42</v>
      </c>
      <c r="W16" s="2" t="s">
        <v>35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</row>
    <row r="17" spans="1:35" x14ac:dyDescent="0.25">
      <c r="A17" s="2">
        <v>29</v>
      </c>
      <c r="B17" s="2" t="s">
        <v>43</v>
      </c>
      <c r="C17" s="2" t="s">
        <v>36</v>
      </c>
      <c r="D17" s="2">
        <v>1389</v>
      </c>
      <c r="E17" s="2" t="s">
        <v>45</v>
      </c>
      <c r="F17" s="2">
        <v>21</v>
      </c>
      <c r="G17" s="2">
        <v>4</v>
      </c>
      <c r="H17" s="2" t="s">
        <v>38</v>
      </c>
      <c r="I17" s="2">
        <v>1</v>
      </c>
      <c r="J17" s="2">
        <v>20</v>
      </c>
      <c r="K17" s="2">
        <v>2</v>
      </c>
      <c r="L17" s="2" t="s">
        <v>39</v>
      </c>
      <c r="M17" s="2">
        <v>51</v>
      </c>
      <c r="N17" s="2">
        <v>4</v>
      </c>
      <c r="O17" s="2">
        <v>3</v>
      </c>
      <c r="P17" s="2" t="s">
        <v>53</v>
      </c>
      <c r="Q17" s="2">
        <v>1</v>
      </c>
      <c r="R17" s="2" t="s">
        <v>52</v>
      </c>
      <c r="S17" s="2">
        <v>9980</v>
      </c>
      <c r="T17" s="2">
        <v>10195</v>
      </c>
      <c r="U17" s="2">
        <v>1</v>
      </c>
      <c r="V17" s="2" t="s">
        <v>42</v>
      </c>
      <c r="W17" s="2" t="s">
        <v>43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</row>
    <row r="18" spans="1:35" x14ac:dyDescent="0.25">
      <c r="A18" s="2">
        <v>32</v>
      </c>
      <c r="B18" s="2" t="s">
        <v>43</v>
      </c>
      <c r="C18" s="2" t="s">
        <v>36</v>
      </c>
      <c r="D18" s="2">
        <v>334</v>
      </c>
      <c r="E18" s="2" t="s">
        <v>45</v>
      </c>
      <c r="F18" s="2">
        <v>5</v>
      </c>
      <c r="G18" s="2">
        <v>2</v>
      </c>
      <c r="H18" s="2" t="s">
        <v>38</v>
      </c>
      <c r="I18" s="2">
        <v>1</v>
      </c>
      <c r="J18" s="2">
        <v>21</v>
      </c>
      <c r="K18" s="2">
        <v>1</v>
      </c>
      <c r="L18" s="2" t="s">
        <v>46</v>
      </c>
      <c r="M18" s="2">
        <v>80</v>
      </c>
      <c r="N18" s="2">
        <v>4</v>
      </c>
      <c r="O18" s="2">
        <v>1</v>
      </c>
      <c r="P18" s="2" t="s">
        <v>47</v>
      </c>
      <c r="Q18" s="2">
        <v>2</v>
      </c>
      <c r="R18" s="2" t="s">
        <v>52</v>
      </c>
      <c r="S18" s="2">
        <v>3298</v>
      </c>
      <c r="T18" s="2">
        <v>15053</v>
      </c>
      <c r="U18" s="2">
        <v>0</v>
      </c>
      <c r="V18" s="2" t="s">
        <v>42</v>
      </c>
      <c r="W18" s="2" t="s">
        <v>35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</row>
    <row r="19" spans="1:35" x14ac:dyDescent="0.25">
      <c r="A19" s="2">
        <v>22</v>
      </c>
      <c r="B19" s="2" t="s">
        <v>43</v>
      </c>
      <c r="C19" s="2" t="s">
        <v>55</v>
      </c>
      <c r="D19" s="2">
        <v>1123</v>
      </c>
      <c r="E19" s="2" t="s">
        <v>45</v>
      </c>
      <c r="F19" s="2">
        <v>16</v>
      </c>
      <c r="G19" s="2">
        <v>2</v>
      </c>
      <c r="H19" s="2" t="s">
        <v>51</v>
      </c>
      <c r="I19" s="2">
        <v>1</v>
      </c>
      <c r="J19" s="2">
        <v>22</v>
      </c>
      <c r="K19" s="2">
        <v>4</v>
      </c>
      <c r="L19" s="2" t="s">
        <v>46</v>
      </c>
      <c r="M19" s="2">
        <v>96</v>
      </c>
      <c r="N19" s="2">
        <v>4</v>
      </c>
      <c r="O19" s="2">
        <v>1</v>
      </c>
      <c r="P19" s="2" t="s">
        <v>50</v>
      </c>
      <c r="Q19" s="2">
        <v>4</v>
      </c>
      <c r="R19" s="2" t="s">
        <v>52</v>
      </c>
      <c r="S19" s="2">
        <v>2935</v>
      </c>
      <c r="T19" s="2">
        <v>7324</v>
      </c>
      <c r="U19" s="2">
        <v>1</v>
      </c>
      <c r="V19" s="2" t="s">
        <v>42</v>
      </c>
      <c r="W19" s="2" t="s">
        <v>35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</row>
    <row r="20" spans="1:35" x14ac:dyDescent="0.25">
      <c r="A20" s="2">
        <v>53</v>
      </c>
      <c r="B20" s="2" t="s">
        <v>43</v>
      </c>
      <c r="C20" s="2" t="s">
        <v>36</v>
      </c>
      <c r="D20" s="2">
        <v>1219</v>
      </c>
      <c r="E20" s="2" t="s">
        <v>37</v>
      </c>
      <c r="F20" s="2">
        <v>2</v>
      </c>
      <c r="G20" s="2">
        <v>4</v>
      </c>
      <c r="H20" s="2" t="s">
        <v>38</v>
      </c>
      <c r="I20" s="2">
        <v>1</v>
      </c>
      <c r="J20" s="2">
        <v>23</v>
      </c>
      <c r="K20" s="2">
        <v>1</v>
      </c>
      <c r="L20" s="2" t="s">
        <v>39</v>
      </c>
      <c r="M20" s="2">
        <v>78</v>
      </c>
      <c r="N20" s="2">
        <v>2</v>
      </c>
      <c r="O20" s="2">
        <v>4</v>
      </c>
      <c r="P20" s="2" t="s">
        <v>56</v>
      </c>
      <c r="Q20" s="2">
        <v>4</v>
      </c>
      <c r="R20" s="2" t="s">
        <v>48</v>
      </c>
      <c r="S20" s="2">
        <v>15427</v>
      </c>
      <c r="T20" s="2">
        <v>22021</v>
      </c>
      <c r="U20" s="2">
        <v>2</v>
      </c>
      <c r="V20" s="2" t="s">
        <v>42</v>
      </c>
      <c r="W20" s="2" t="s">
        <v>43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</row>
    <row r="21" spans="1:35" x14ac:dyDescent="0.25">
      <c r="A21" s="2">
        <v>38</v>
      </c>
      <c r="B21" s="2" t="s">
        <v>43</v>
      </c>
      <c r="C21" s="2" t="s">
        <v>36</v>
      </c>
      <c r="D21" s="2">
        <v>371</v>
      </c>
      <c r="E21" s="2" t="s">
        <v>45</v>
      </c>
      <c r="F21" s="2">
        <v>2</v>
      </c>
      <c r="G21" s="2">
        <v>3</v>
      </c>
      <c r="H21" s="2" t="s">
        <v>38</v>
      </c>
      <c r="I21" s="2">
        <v>1</v>
      </c>
      <c r="J21" s="2">
        <v>24</v>
      </c>
      <c r="K21" s="2">
        <v>4</v>
      </c>
      <c r="L21" s="2" t="s">
        <v>46</v>
      </c>
      <c r="M21" s="2">
        <v>45</v>
      </c>
      <c r="N21" s="2">
        <v>3</v>
      </c>
      <c r="O21" s="2">
        <v>1</v>
      </c>
      <c r="P21" s="2" t="s">
        <v>47</v>
      </c>
      <c r="Q21" s="2">
        <v>4</v>
      </c>
      <c r="R21" s="2" t="s">
        <v>41</v>
      </c>
      <c r="S21" s="2">
        <v>3944</v>
      </c>
      <c r="T21" s="2">
        <v>4306</v>
      </c>
      <c r="U21" s="2">
        <v>5</v>
      </c>
      <c r="V21" s="2" t="s">
        <v>42</v>
      </c>
      <c r="W21" s="2" t="s">
        <v>35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</row>
    <row r="22" spans="1:35" x14ac:dyDescent="0.25">
      <c r="A22" s="2">
        <v>24</v>
      </c>
      <c r="B22" s="2" t="s">
        <v>43</v>
      </c>
      <c r="C22" s="2" t="s">
        <v>55</v>
      </c>
      <c r="D22" s="2">
        <v>673</v>
      </c>
      <c r="E22" s="2" t="s">
        <v>45</v>
      </c>
      <c r="F22" s="2">
        <v>11</v>
      </c>
      <c r="G22" s="2">
        <v>2</v>
      </c>
      <c r="H22" s="2" t="s">
        <v>49</v>
      </c>
      <c r="I22" s="2">
        <v>1</v>
      </c>
      <c r="J22" s="2">
        <v>26</v>
      </c>
      <c r="K22" s="2">
        <v>1</v>
      </c>
      <c r="L22" s="2" t="s">
        <v>39</v>
      </c>
      <c r="M22" s="2">
        <v>96</v>
      </c>
      <c r="N22" s="2">
        <v>4</v>
      </c>
      <c r="O22" s="2">
        <v>2</v>
      </c>
      <c r="P22" s="2" t="s">
        <v>53</v>
      </c>
      <c r="Q22" s="2">
        <v>3</v>
      </c>
      <c r="R22" s="2" t="s">
        <v>52</v>
      </c>
      <c r="S22" s="2">
        <v>4011</v>
      </c>
      <c r="T22" s="2">
        <v>8232</v>
      </c>
      <c r="U22" s="2">
        <v>0</v>
      </c>
      <c r="V22" s="2" t="s">
        <v>42</v>
      </c>
      <c r="W22" s="2" t="s">
        <v>43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</row>
    <row r="23" spans="1:35" x14ac:dyDescent="0.25">
      <c r="A23" s="2">
        <v>36</v>
      </c>
      <c r="B23" s="2" t="s">
        <v>35</v>
      </c>
      <c r="C23" s="2" t="s">
        <v>36</v>
      </c>
      <c r="D23" s="2">
        <v>1218</v>
      </c>
      <c r="E23" s="2" t="s">
        <v>37</v>
      </c>
      <c r="F23" s="2">
        <v>9</v>
      </c>
      <c r="G23" s="2">
        <v>4</v>
      </c>
      <c r="H23" s="2" t="s">
        <v>38</v>
      </c>
      <c r="I23" s="2">
        <v>1</v>
      </c>
      <c r="J23" s="2">
        <v>27</v>
      </c>
      <c r="K23" s="2">
        <v>3</v>
      </c>
      <c r="L23" s="2" t="s">
        <v>46</v>
      </c>
      <c r="M23" s="2">
        <v>82</v>
      </c>
      <c r="N23" s="2">
        <v>2</v>
      </c>
      <c r="O23" s="2">
        <v>1</v>
      </c>
      <c r="P23" s="2" t="s">
        <v>57</v>
      </c>
      <c r="Q23" s="2">
        <v>1</v>
      </c>
      <c r="R23" s="2" t="s">
        <v>41</v>
      </c>
      <c r="S23" s="2">
        <v>3407</v>
      </c>
      <c r="T23" s="2">
        <v>6986</v>
      </c>
      <c r="U23" s="2">
        <v>7</v>
      </c>
      <c r="V23" s="2" t="s">
        <v>42</v>
      </c>
      <c r="W23" s="2" t="s">
        <v>43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</row>
    <row r="24" spans="1:35" x14ac:dyDescent="0.25">
      <c r="A24" s="2">
        <v>34</v>
      </c>
      <c r="B24" s="2" t="s">
        <v>43</v>
      </c>
      <c r="C24" s="2" t="s">
        <v>36</v>
      </c>
      <c r="D24" s="2">
        <v>419</v>
      </c>
      <c r="E24" s="2" t="s">
        <v>45</v>
      </c>
      <c r="F24" s="2">
        <v>7</v>
      </c>
      <c r="G24" s="2">
        <v>4</v>
      </c>
      <c r="H24" s="2" t="s">
        <v>38</v>
      </c>
      <c r="I24" s="2">
        <v>1</v>
      </c>
      <c r="J24" s="2">
        <v>28</v>
      </c>
      <c r="K24" s="2">
        <v>1</v>
      </c>
      <c r="L24" s="2" t="s">
        <v>39</v>
      </c>
      <c r="M24" s="2">
        <v>53</v>
      </c>
      <c r="N24" s="2">
        <v>3</v>
      </c>
      <c r="O24" s="2">
        <v>3</v>
      </c>
      <c r="P24" s="2" t="s">
        <v>58</v>
      </c>
      <c r="Q24" s="2">
        <v>2</v>
      </c>
      <c r="R24" s="2" t="s">
        <v>41</v>
      </c>
      <c r="S24" s="2">
        <v>11994</v>
      </c>
      <c r="T24" s="2">
        <v>21293</v>
      </c>
      <c r="U24" s="2">
        <v>0</v>
      </c>
      <c r="V24" s="2" t="s">
        <v>42</v>
      </c>
      <c r="W24" s="2" t="s">
        <v>43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</row>
    <row r="25" spans="1:35" x14ac:dyDescent="0.25">
      <c r="A25" s="2">
        <v>21</v>
      </c>
      <c r="B25" s="2" t="s">
        <v>43</v>
      </c>
      <c r="C25" s="2" t="s">
        <v>36</v>
      </c>
      <c r="D25" s="2">
        <v>391</v>
      </c>
      <c r="E25" s="2" t="s">
        <v>45</v>
      </c>
      <c r="F25" s="2">
        <v>15</v>
      </c>
      <c r="G25" s="2">
        <v>2</v>
      </c>
      <c r="H25" s="2" t="s">
        <v>38</v>
      </c>
      <c r="I25" s="2">
        <v>1</v>
      </c>
      <c r="J25" s="2">
        <v>30</v>
      </c>
      <c r="K25" s="2">
        <v>3</v>
      </c>
      <c r="L25" s="2" t="s">
        <v>46</v>
      </c>
      <c r="M25" s="2">
        <v>96</v>
      </c>
      <c r="N25" s="2">
        <v>3</v>
      </c>
      <c r="O25" s="2">
        <v>1</v>
      </c>
      <c r="P25" s="2" t="s">
        <v>47</v>
      </c>
      <c r="Q25" s="2">
        <v>4</v>
      </c>
      <c r="R25" s="2" t="s">
        <v>41</v>
      </c>
      <c r="S25" s="2">
        <v>1232</v>
      </c>
      <c r="T25" s="2">
        <v>19281</v>
      </c>
      <c r="U25" s="2">
        <v>1</v>
      </c>
      <c r="V25" s="2" t="s">
        <v>42</v>
      </c>
      <c r="W25" s="2" t="s">
        <v>43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</row>
    <row r="26" spans="1:35" x14ac:dyDescent="0.25">
      <c r="A26" s="2">
        <v>34</v>
      </c>
      <c r="B26" s="2" t="s">
        <v>35</v>
      </c>
      <c r="C26" s="2" t="s">
        <v>36</v>
      </c>
      <c r="D26" s="2">
        <v>699</v>
      </c>
      <c r="E26" s="2" t="s">
        <v>45</v>
      </c>
      <c r="F26" s="2">
        <v>6</v>
      </c>
      <c r="G26" s="2">
        <v>1</v>
      </c>
      <c r="H26" s="2" t="s">
        <v>51</v>
      </c>
      <c r="I26" s="2">
        <v>1</v>
      </c>
      <c r="J26" s="2">
        <v>31</v>
      </c>
      <c r="K26" s="2">
        <v>2</v>
      </c>
      <c r="L26" s="2" t="s">
        <v>46</v>
      </c>
      <c r="M26" s="2">
        <v>83</v>
      </c>
      <c r="N26" s="2">
        <v>3</v>
      </c>
      <c r="O26" s="2">
        <v>1</v>
      </c>
      <c r="P26" s="2" t="s">
        <v>47</v>
      </c>
      <c r="Q26" s="2">
        <v>1</v>
      </c>
      <c r="R26" s="2" t="s">
        <v>41</v>
      </c>
      <c r="S26" s="2">
        <v>2960</v>
      </c>
      <c r="T26" s="2">
        <v>17102</v>
      </c>
      <c r="U26" s="2">
        <v>2</v>
      </c>
      <c r="V26" s="2" t="s">
        <v>42</v>
      </c>
      <c r="W26" s="2" t="s">
        <v>43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</row>
    <row r="27" spans="1:35" x14ac:dyDescent="0.25">
      <c r="A27" s="2">
        <v>53</v>
      </c>
      <c r="B27" s="2" t="s">
        <v>43</v>
      </c>
      <c r="C27" s="2" t="s">
        <v>36</v>
      </c>
      <c r="D27" s="2">
        <v>1282</v>
      </c>
      <c r="E27" s="2" t="s">
        <v>45</v>
      </c>
      <c r="F27" s="2">
        <v>5</v>
      </c>
      <c r="G27" s="2">
        <v>3</v>
      </c>
      <c r="H27" s="2" t="s">
        <v>49</v>
      </c>
      <c r="I27" s="2">
        <v>1</v>
      </c>
      <c r="J27" s="2">
        <v>32</v>
      </c>
      <c r="K27" s="2">
        <v>3</v>
      </c>
      <c r="L27" s="2" t="s">
        <v>39</v>
      </c>
      <c r="M27" s="2">
        <v>58</v>
      </c>
      <c r="N27" s="2">
        <v>3</v>
      </c>
      <c r="O27" s="2">
        <v>5</v>
      </c>
      <c r="P27" s="2" t="s">
        <v>56</v>
      </c>
      <c r="Q27" s="2">
        <v>3</v>
      </c>
      <c r="R27" s="2" t="s">
        <v>52</v>
      </c>
      <c r="S27" s="2">
        <v>19094</v>
      </c>
      <c r="T27" s="2">
        <v>10735</v>
      </c>
      <c r="U27" s="2">
        <v>4</v>
      </c>
      <c r="V27" s="2" t="s">
        <v>42</v>
      </c>
      <c r="W27" s="2" t="s">
        <v>43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</row>
    <row r="28" spans="1:35" x14ac:dyDescent="0.25">
      <c r="A28" s="2">
        <v>32</v>
      </c>
      <c r="B28" s="2" t="s">
        <v>35</v>
      </c>
      <c r="C28" s="2" t="s">
        <v>44</v>
      </c>
      <c r="D28" s="2">
        <v>1125</v>
      </c>
      <c r="E28" s="2" t="s">
        <v>45</v>
      </c>
      <c r="F28" s="2">
        <v>16</v>
      </c>
      <c r="G28" s="2">
        <v>1</v>
      </c>
      <c r="H28" s="2" t="s">
        <v>38</v>
      </c>
      <c r="I28" s="2">
        <v>1</v>
      </c>
      <c r="J28" s="2">
        <v>33</v>
      </c>
      <c r="K28" s="2">
        <v>2</v>
      </c>
      <c r="L28" s="2" t="s">
        <v>39</v>
      </c>
      <c r="M28" s="2">
        <v>72</v>
      </c>
      <c r="N28" s="2">
        <v>1</v>
      </c>
      <c r="O28" s="2">
        <v>1</v>
      </c>
      <c r="P28" s="2" t="s">
        <v>47</v>
      </c>
      <c r="Q28" s="2">
        <v>1</v>
      </c>
      <c r="R28" s="2" t="s">
        <v>41</v>
      </c>
      <c r="S28" s="2">
        <v>3919</v>
      </c>
      <c r="T28" s="2">
        <v>4681</v>
      </c>
      <c r="U28" s="2">
        <v>1</v>
      </c>
      <c r="V28" s="2" t="s">
        <v>42</v>
      </c>
      <c r="W28" s="2" t="s">
        <v>35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</row>
    <row r="29" spans="1:35" x14ac:dyDescent="0.25">
      <c r="A29" s="2">
        <v>42</v>
      </c>
      <c r="B29" s="2" t="s">
        <v>43</v>
      </c>
      <c r="C29" s="2" t="s">
        <v>36</v>
      </c>
      <c r="D29" s="2">
        <v>691</v>
      </c>
      <c r="E29" s="2" t="s">
        <v>37</v>
      </c>
      <c r="F29" s="2">
        <v>8</v>
      </c>
      <c r="G29" s="2">
        <v>4</v>
      </c>
      <c r="H29" s="2" t="s">
        <v>59</v>
      </c>
      <c r="I29" s="2">
        <v>1</v>
      </c>
      <c r="J29" s="2">
        <v>35</v>
      </c>
      <c r="K29" s="2">
        <v>3</v>
      </c>
      <c r="L29" s="2" t="s">
        <v>46</v>
      </c>
      <c r="M29" s="2">
        <v>48</v>
      </c>
      <c r="N29" s="2">
        <v>3</v>
      </c>
      <c r="O29" s="2">
        <v>2</v>
      </c>
      <c r="P29" s="2" t="s">
        <v>40</v>
      </c>
      <c r="Q29" s="2">
        <v>2</v>
      </c>
      <c r="R29" s="2" t="s">
        <v>48</v>
      </c>
      <c r="S29" s="2">
        <v>6825</v>
      </c>
      <c r="T29" s="2">
        <v>21173</v>
      </c>
      <c r="U29" s="2">
        <v>0</v>
      </c>
      <c r="V29" s="2" t="s">
        <v>42</v>
      </c>
      <c r="W29" s="2" t="s">
        <v>43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</row>
    <row r="30" spans="1:35" x14ac:dyDescent="0.25">
      <c r="A30" s="2">
        <v>44</v>
      </c>
      <c r="B30" s="2" t="s">
        <v>43</v>
      </c>
      <c r="C30" s="2" t="s">
        <v>36</v>
      </c>
      <c r="D30" s="2">
        <v>477</v>
      </c>
      <c r="E30" s="2" t="s">
        <v>45</v>
      </c>
      <c r="F30" s="2">
        <v>7</v>
      </c>
      <c r="G30" s="2">
        <v>4</v>
      </c>
      <c r="H30" s="2" t="s">
        <v>51</v>
      </c>
      <c r="I30" s="2">
        <v>1</v>
      </c>
      <c r="J30" s="2">
        <v>36</v>
      </c>
      <c r="K30" s="2">
        <v>1</v>
      </c>
      <c r="L30" s="2" t="s">
        <v>39</v>
      </c>
      <c r="M30" s="2">
        <v>42</v>
      </c>
      <c r="N30" s="2">
        <v>2</v>
      </c>
      <c r="O30" s="2">
        <v>3</v>
      </c>
      <c r="P30" s="2" t="s">
        <v>54</v>
      </c>
      <c r="Q30" s="2">
        <v>4</v>
      </c>
      <c r="R30" s="2" t="s">
        <v>48</v>
      </c>
      <c r="S30" s="2">
        <v>10248</v>
      </c>
      <c r="T30" s="2">
        <v>2094</v>
      </c>
      <c r="U30" s="2">
        <v>3</v>
      </c>
      <c r="V30" s="2" t="s">
        <v>42</v>
      </c>
      <c r="W30" s="2" t="s">
        <v>43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</row>
    <row r="31" spans="1:35" x14ac:dyDescent="0.25">
      <c r="A31" s="2">
        <v>46</v>
      </c>
      <c r="B31" s="2" t="s">
        <v>43</v>
      </c>
      <c r="C31" s="2" t="s">
        <v>36</v>
      </c>
      <c r="D31" s="2">
        <v>705</v>
      </c>
      <c r="E31" s="2" t="s">
        <v>37</v>
      </c>
      <c r="F31" s="2">
        <v>2</v>
      </c>
      <c r="G31" s="2">
        <v>4</v>
      </c>
      <c r="H31" s="2" t="s">
        <v>59</v>
      </c>
      <c r="I31" s="2">
        <v>1</v>
      </c>
      <c r="J31" s="2">
        <v>38</v>
      </c>
      <c r="K31" s="2">
        <v>2</v>
      </c>
      <c r="L31" s="2" t="s">
        <v>39</v>
      </c>
      <c r="M31" s="2">
        <v>83</v>
      </c>
      <c r="N31" s="2">
        <v>3</v>
      </c>
      <c r="O31" s="2">
        <v>5</v>
      </c>
      <c r="P31" s="2" t="s">
        <v>56</v>
      </c>
      <c r="Q31" s="2">
        <v>1</v>
      </c>
      <c r="R31" s="2" t="s">
        <v>41</v>
      </c>
      <c r="S31" s="2">
        <v>18947</v>
      </c>
      <c r="T31" s="2">
        <v>22822</v>
      </c>
      <c r="U31" s="2">
        <v>3</v>
      </c>
      <c r="V31" s="2" t="s">
        <v>42</v>
      </c>
      <c r="W31" s="2" t="s">
        <v>43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</row>
    <row r="32" spans="1:35" x14ac:dyDescent="0.25">
      <c r="A32" s="2">
        <v>33</v>
      </c>
      <c r="B32" s="2" t="s">
        <v>43</v>
      </c>
      <c r="C32" s="2" t="s">
        <v>36</v>
      </c>
      <c r="D32" s="2">
        <v>924</v>
      </c>
      <c r="E32" s="2" t="s">
        <v>45</v>
      </c>
      <c r="F32" s="2">
        <v>2</v>
      </c>
      <c r="G32" s="2">
        <v>3</v>
      </c>
      <c r="H32" s="2" t="s">
        <v>51</v>
      </c>
      <c r="I32" s="2">
        <v>1</v>
      </c>
      <c r="J32" s="2">
        <v>39</v>
      </c>
      <c r="K32" s="2">
        <v>3</v>
      </c>
      <c r="L32" s="2" t="s">
        <v>46</v>
      </c>
      <c r="M32" s="2">
        <v>78</v>
      </c>
      <c r="N32" s="2">
        <v>3</v>
      </c>
      <c r="O32" s="2">
        <v>1</v>
      </c>
      <c r="P32" s="2" t="s">
        <v>50</v>
      </c>
      <c r="Q32" s="2">
        <v>4</v>
      </c>
      <c r="R32" s="2" t="s">
        <v>41</v>
      </c>
      <c r="S32" s="2">
        <v>2496</v>
      </c>
      <c r="T32" s="2">
        <v>6670</v>
      </c>
      <c r="U32" s="2">
        <v>4</v>
      </c>
      <c r="V32" s="2" t="s">
        <v>42</v>
      </c>
      <c r="W32" s="2" t="s">
        <v>43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</row>
    <row r="33" spans="1:35" x14ac:dyDescent="0.25">
      <c r="A33" s="2">
        <v>44</v>
      </c>
      <c r="B33" s="2" t="s">
        <v>43</v>
      </c>
      <c r="C33" s="2" t="s">
        <v>36</v>
      </c>
      <c r="D33" s="2">
        <v>1459</v>
      </c>
      <c r="E33" s="2" t="s">
        <v>45</v>
      </c>
      <c r="F33" s="2">
        <v>10</v>
      </c>
      <c r="G33" s="2">
        <v>4</v>
      </c>
      <c r="H33" s="2" t="s">
        <v>49</v>
      </c>
      <c r="I33" s="2">
        <v>1</v>
      </c>
      <c r="J33" s="2">
        <v>40</v>
      </c>
      <c r="K33" s="2">
        <v>4</v>
      </c>
      <c r="L33" s="2" t="s">
        <v>46</v>
      </c>
      <c r="M33" s="2">
        <v>41</v>
      </c>
      <c r="N33" s="2">
        <v>3</v>
      </c>
      <c r="O33" s="2">
        <v>2</v>
      </c>
      <c r="P33" s="2" t="s">
        <v>54</v>
      </c>
      <c r="Q33" s="2">
        <v>4</v>
      </c>
      <c r="R33" s="2" t="s">
        <v>48</v>
      </c>
      <c r="S33" s="2">
        <v>6465</v>
      </c>
      <c r="T33" s="2">
        <v>19121</v>
      </c>
      <c r="U33" s="2">
        <v>2</v>
      </c>
      <c r="V33" s="2" t="s">
        <v>42</v>
      </c>
      <c r="W33" s="2" t="s">
        <v>35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</row>
    <row r="34" spans="1:35" x14ac:dyDescent="0.25">
      <c r="A34" s="2">
        <v>30</v>
      </c>
      <c r="B34" s="2" t="s">
        <v>43</v>
      </c>
      <c r="C34" s="2" t="s">
        <v>36</v>
      </c>
      <c r="D34" s="2">
        <v>125</v>
      </c>
      <c r="E34" s="2" t="s">
        <v>45</v>
      </c>
      <c r="F34" s="2">
        <v>9</v>
      </c>
      <c r="G34" s="2">
        <v>2</v>
      </c>
      <c r="H34" s="2" t="s">
        <v>51</v>
      </c>
      <c r="I34" s="2">
        <v>1</v>
      </c>
      <c r="J34" s="2">
        <v>41</v>
      </c>
      <c r="K34" s="2">
        <v>4</v>
      </c>
      <c r="L34" s="2" t="s">
        <v>46</v>
      </c>
      <c r="M34" s="2">
        <v>83</v>
      </c>
      <c r="N34" s="2">
        <v>2</v>
      </c>
      <c r="O34" s="2">
        <v>1</v>
      </c>
      <c r="P34" s="2" t="s">
        <v>50</v>
      </c>
      <c r="Q34" s="2">
        <v>3</v>
      </c>
      <c r="R34" s="2" t="s">
        <v>41</v>
      </c>
      <c r="S34" s="2">
        <v>2206</v>
      </c>
      <c r="T34" s="2">
        <v>16117</v>
      </c>
      <c r="U34" s="2">
        <v>1</v>
      </c>
      <c r="V34" s="2" t="s">
        <v>42</v>
      </c>
      <c r="W34" s="2" t="s">
        <v>43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</row>
    <row r="35" spans="1:35" x14ac:dyDescent="0.25">
      <c r="A35" s="2">
        <v>39</v>
      </c>
      <c r="B35" s="2" t="s">
        <v>35</v>
      </c>
      <c r="C35" s="2" t="s">
        <v>36</v>
      </c>
      <c r="D35" s="2">
        <v>895</v>
      </c>
      <c r="E35" s="2" t="s">
        <v>37</v>
      </c>
      <c r="F35" s="2">
        <v>5</v>
      </c>
      <c r="G35" s="2">
        <v>3</v>
      </c>
      <c r="H35" s="2" t="s">
        <v>60</v>
      </c>
      <c r="I35" s="2">
        <v>1</v>
      </c>
      <c r="J35" s="2">
        <v>42</v>
      </c>
      <c r="K35" s="2">
        <v>4</v>
      </c>
      <c r="L35" s="2" t="s">
        <v>46</v>
      </c>
      <c r="M35" s="2">
        <v>56</v>
      </c>
      <c r="N35" s="2">
        <v>3</v>
      </c>
      <c r="O35" s="2">
        <v>2</v>
      </c>
      <c r="P35" s="2" t="s">
        <v>57</v>
      </c>
      <c r="Q35" s="2">
        <v>4</v>
      </c>
      <c r="R35" s="2" t="s">
        <v>48</v>
      </c>
      <c r="S35" s="2">
        <v>2086</v>
      </c>
      <c r="T35" s="2">
        <v>3335</v>
      </c>
      <c r="U35" s="2">
        <v>3</v>
      </c>
      <c r="V35" s="2" t="s">
        <v>42</v>
      </c>
      <c r="W35" s="2" t="s">
        <v>43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</row>
    <row r="36" spans="1:35" x14ac:dyDescent="0.25">
      <c r="A36" s="2">
        <v>24</v>
      </c>
      <c r="B36" s="2" t="s">
        <v>35</v>
      </c>
      <c r="C36" s="2" t="s">
        <v>36</v>
      </c>
      <c r="D36" s="2">
        <v>813</v>
      </c>
      <c r="E36" s="2" t="s">
        <v>45</v>
      </c>
      <c r="F36" s="2">
        <v>1</v>
      </c>
      <c r="G36" s="2">
        <v>3</v>
      </c>
      <c r="H36" s="2" t="s">
        <v>51</v>
      </c>
      <c r="I36" s="2">
        <v>1</v>
      </c>
      <c r="J36" s="2">
        <v>45</v>
      </c>
      <c r="K36" s="2">
        <v>2</v>
      </c>
      <c r="L36" s="2" t="s">
        <v>46</v>
      </c>
      <c r="M36" s="2">
        <v>61</v>
      </c>
      <c r="N36" s="2">
        <v>3</v>
      </c>
      <c r="O36" s="2">
        <v>1</v>
      </c>
      <c r="P36" s="2" t="s">
        <v>47</v>
      </c>
      <c r="Q36" s="2">
        <v>4</v>
      </c>
      <c r="R36" s="2" t="s">
        <v>48</v>
      </c>
      <c r="S36" s="2">
        <v>2293</v>
      </c>
      <c r="T36" s="2">
        <v>3020</v>
      </c>
      <c r="U36" s="2">
        <v>2</v>
      </c>
      <c r="V36" s="2" t="s">
        <v>42</v>
      </c>
      <c r="W36" s="2" t="s">
        <v>35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</row>
    <row r="37" spans="1:35" x14ac:dyDescent="0.25">
      <c r="A37" s="2">
        <v>43</v>
      </c>
      <c r="B37" s="2" t="s">
        <v>43</v>
      </c>
      <c r="C37" s="2" t="s">
        <v>36</v>
      </c>
      <c r="D37" s="2">
        <v>1273</v>
      </c>
      <c r="E37" s="2" t="s">
        <v>45</v>
      </c>
      <c r="F37" s="2">
        <v>2</v>
      </c>
      <c r="G37" s="2">
        <v>2</v>
      </c>
      <c r="H37" s="2" t="s">
        <v>51</v>
      </c>
      <c r="I37" s="2">
        <v>1</v>
      </c>
      <c r="J37" s="2">
        <v>46</v>
      </c>
      <c r="K37" s="2">
        <v>4</v>
      </c>
      <c r="L37" s="2" t="s">
        <v>39</v>
      </c>
      <c r="M37" s="2">
        <v>72</v>
      </c>
      <c r="N37" s="2">
        <v>4</v>
      </c>
      <c r="O37" s="2">
        <v>1</v>
      </c>
      <c r="P37" s="2" t="s">
        <v>47</v>
      </c>
      <c r="Q37" s="2">
        <v>3</v>
      </c>
      <c r="R37" s="2" t="s">
        <v>52</v>
      </c>
      <c r="S37" s="2">
        <v>2645</v>
      </c>
      <c r="T37" s="2">
        <v>21923</v>
      </c>
      <c r="U37" s="2">
        <v>1</v>
      </c>
      <c r="V37" s="2" t="s">
        <v>42</v>
      </c>
      <c r="W37" s="2" t="s">
        <v>43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</row>
    <row r="38" spans="1:35" x14ac:dyDescent="0.25">
      <c r="A38" s="2">
        <v>50</v>
      </c>
      <c r="B38" s="2" t="s">
        <v>35</v>
      </c>
      <c r="C38" s="2" t="s">
        <v>36</v>
      </c>
      <c r="D38" s="2">
        <v>869</v>
      </c>
      <c r="E38" s="2" t="s">
        <v>37</v>
      </c>
      <c r="F38" s="2">
        <v>3</v>
      </c>
      <c r="G38" s="2">
        <v>2</v>
      </c>
      <c r="H38" s="2" t="s">
        <v>59</v>
      </c>
      <c r="I38" s="2">
        <v>1</v>
      </c>
      <c r="J38" s="2">
        <v>47</v>
      </c>
      <c r="K38" s="2">
        <v>1</v>
      </c>
      <c r="L38" s="2" t="s">
        <v>46</v>
      </c>
      <c r="M38" s="2">
        <v>86</v>
      </c>
      <c r="N38" s="2">
        <v>2</v>
      </c>
      <c r="O38" s="2">
        <v>1</v>
      </c>
      <c r="P38" s="2" t="s">
        <v>57</v>
      </c>
      <c r="Q38" s="2">
        <v>3</v>
      </c>
      <c r="R38" s="2" t="s">
        <v>48</v>
      </c>
      <c r="S38" s="2">
        <v>2683</v>
      </c>
      <c r="T38" s="2">
        <v>3810</v>
      </c>
      <c r="U38" s="2">
        <v>1</v>
      </c>
      <c r="V38" s="2" t="s">
        <v>42</v>
      </c>
      <c r="W38" s="2" t="s">
        <v>35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</row>
    <row r="39" spans="1:35" x14ac:dyDescent="0.25">
      <c r="A39" s="2">
        <v>35</v>
      </c>
      <c r="B39" s="2" t="s">
        <v>43</v>
      </c>
      <c r="C39" s="2" t="s">
        <v>36</v>
      </c>
      <c r="D39" s="2">
        <v>890</v>
      </c>
      <c r="E39" s="2" t="s">
        <v>37</v>
      </c>
      <c r="F39" s="2">
        <v>2</v>
      </c>
      <c r="G39" s="2">
        <v>3</v>
      </c>
      <c r="H39" s="2" t="s">
        <v>59</v>
      </c>
      <c r="I39" s="2">
        <v>1</v>
      </c>
      <c r="J39" s="2">
        <v>49</v>
      </c>
      <c r="K39" s="2">
        <v>4</v>
      </c>
      <c r="L39" s="2" t="s">
        <v>39</v>
      </c>
      <c r="M39" s="2">
        <v>97</v>
      </c>
      <c r="N39" s="2">
        <v>3</v>
      </c>
      <c r="O39" s="2">
        <v>1</v>
      </c>
      <c r="P39" s="2" t="s">
        <v>57</v>
      </c>
      <c r="Q39" s="2">
        <v>4</v>
      </c>
      <c r="R39" s="2" t="s">
        <v>48</v>
      </c>
      <c r="S39" s="2">
        <v>2014</v>
      </c>
      <c r="T39" s="2">
        <v>9687</v>
      </c>
      <c r="U39" s="2">
        <v>1</v>
      </c>
      <c r="V39" s="2" t="s">
        <v>42</v>
      </c>
      <c r="W39" s="2" t="s">
        <v>43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</row>
    <row r="40" spans="1:35" x14ac:dyDescent="0.25">
      <c r="A40" s="2">
        <v>36</v>
      </c>
      <c r="B40" s="2" t="s">
        <v>43</v>
      </c>
      <c r="C40" s="2" t="s">
        <v>36</v>
      </c>
      <c r="D40" s="2">
        <v>852</v>
      </c>
      <c r="E40" s="2" t="s">
        <v>45</v>
      </c>
      <c r="F40" s="2">
        <v>5</v>
      </c>
      <c r="G40" s="2">
        <v>4</v>
      </c>
      <c r="H40" s="2" t="s">
        <v>38</v>
      </c>
      <c r="I40" s="2">
        <v>1</v>
      </c>
      <c r="J40" s="2">
        <v>51</v>
      </c>
      <c r="K40" s="2">
        <v>2</v>
      </c>
      <c r="L40" s="2" t="s">
        <v>39</v>
      </c>
      <c r="M40" s="2">
        <v>82</v>
      </c>
      <c r="N40" s="2">
        <v>2</v>
      </c>
      <c r="O40" s="2">
        <v>1</v>
      </c>
      <c r="P40" s="2" t="s">
        <v>47</v>
      </c>
      <c r="Q40" s="2">
        <v>1</v>
      </c>
      <c r="R40" s="2" t="s">
        <v>48</v>
      </c>
      <c r="S40" s="2">
        <v>3419</v>
      </c>
      <c r="T40" s="2">
        <v>13072</v>
      </c>
      <c r="U40" s="2">
        <v>9</v>
      </c>
      <c r="V40" s="2" t="s">
        <v>42</v>
      </c>
      <c r="W40" s="2" t="s">
        <v>35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</row>
    <row r="41" spans="1:35" x14ac:dyDescent="0.25">
      <c r="A41" s="2">
        <v>33</v>
      </c>
      <c r="B41" s="2" t="s">
        <v>43</v>
      </c>
      <c r="C41" s="2" t="s">
        <v>44</v>
      </c>
      <c r="D41" s="2">
        <v>1141</v>
      </c>
      <c r="E41" s="2" t="s">
        <v>37</v>
      </c>
      <c r="F41" s="2">
        <v>1</v>
      </c>
      <c r="G41" s="2">
        <v>3</v>
      </c>
      <c r="H41" s="2" t="s">
        <v>38</v>
      </c>
      <c r="I41" s="2">
        <v>1</v>
      </c>
      <c r="J41" s="2">
        <v>52</v>
      </c>
      <c r="K41" s="2">
        <v>3</v>
      </c>
      <c r="L41" s="2" t="s">
        <v>39</v>
      </c>
      <c r="M41" s="2">
        <v>42</v>
      </c>
      <c r="N41" s="2">
        <v>4</v>
      </c>
      <c r="O41" s="2">
        <v>2</v>
      </c>
      <c r="P41" s="2" t="s">
        <v>40</v>
      </c>
      <c r="Q41" s="2">
        <v>1</v>
      </c>
      <c r="R41" s="2" t="s">
        <v>48</v>
      </c>
      <c r="S41" s="2">
        <v>5376</v>
      </c>
      <c r="T41" s="2">
        <v>3193</v>
      </c>
      <c r="U41" s="2">
        <v>2</v>
      </c>
      <c r="V41" s="2" t="s">
        <v>42</v>
      </c>
      <c r="W41" s="2" t="s">
        <v>43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</row>
    <row r="42" spans="1:35" x14ac:dyDescent="0.25">
      <c r="A42" s="2">
        <v>35</v>
      </c>
      <c r="B42" s="2" t="s">
        <v>43</v>
      </c>
      <c r="C42" s="2" t="s">
        <v>36</v>
      </c>
      <c r="D42" s="2">
        <v>464</v>
      </c>
      <c r="E42" s="2" t="s">
        <v>45</v>
      </c>
      <c r="F42" s="2">
        <v>4</v>
      </c>
      <c r="G42" s="2">
        <v>2</v>
      </c>
      <c r="H42" s="2" t="s">
        <v>49</v>
      </c>
      <c r="I42" s="2">
        <v>1</v>
      </c>
      <c r="J42" s="2">
        <v>53</v>
      </c>
      <c r="K42" s="2">
        <v>3</v>
      </c>
      <c r="L42" s="2" t="s">
        <v>46</v>
      </c>
      <c r="M42" s="2">
        <v>75</v>
      </c>
      <c r="N42" s="2">
        <v>3</v>
      </c>
      <c r="O42" s="2">
        <v>1</v>
      </c>
      <c r="P42" s="2" t="s">
        <v>50</v>
      </c>
      <c r="Q42" s="2">
        <v>4</v>
      </c>
      <c r="R42" s="2" t="s">
        <v>52</v>
      </c>
      <c r="S42" s="2">
        <v>1951</v>
      </c>
      <c r="T42" s="2">
        <v>10910</v>
      </c>
      <c r="U42" s="2">
        <v>1</v>
      </c>
      <c r="V42" s="2" t="s">
        <v>42</v>
      </c>
      <c r="W42" s="2" t="s">
        <v>43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</row>
    <row r="43" spans="1:35" x14ac:dyDescent="0.25">
      <c r="A43" s="2">
        <v>27</v>
      </c>
      <c r="B43" s="2" t="s">
        <v>43</v>
      </c>
      <c r="C43" s="2" t="s">
        <v>36</v>
      </c>
      <c r="D43" s="2">
        <v>1240</v>
      </c>
      <c r="E43" s="2" t="s">
        <v>45</v>
      </c>
      <c r="F43" s="2">
        <v>2</v>
      </c>
      <c r="G43" s="2">
        <v>4</v>
      </c>
      <c r="H43" s="2" t="s">
        <v>38</v>
      </c>
      <c r="I43" s="2">
        <v>1</v>
      </c>
      <c r="J43" s="2">
        <v>54</v>
      </c>
      <c r="K43" s="2">
        <v>4</v>
      </c>
      <c r="L43" s="2" t="s">
        <v>39</v>
      </c>
      <c r="M43" s="2">
        <v>33</v>
      </c>
      <c r="N43" s="2">
        <v>3</v>
      </c>
      <c r="O43" s="2">
        <v>1</v>
      </c>
      <c r="P43" s="2" t="s">
        <v>50</v>
      </c>
      <c r="Q43" s="2">
        <v>1</v>
      </c>
      <c r="R43" s="2" t="s">
        <v>52</v>
      </c>
      <c r="S43" s="2">
        <v>2341</v>
      </c>
      <c r="T43" s="2">
        <v>19715</v>
      </c>
      <c r="U43" s="2">
        <v>1</v>
      </c>
      <c r="V43" s="2" t="s">
        <v>42</v>
      </c>
      <c r="W43" s="2" t="s">
        <v>43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</row>
    <row r="44" spans="1:35" x14ac:dyDescent="0.25">
      <c r="A44" s="2">
        <v>26</v>
      </c>
      <c r="B44" s="2" t="s">
        <v>35</v>
      </c>
      <c r="C44" s="2" t="s">
        <v>36</v>
      </c>
      <c r="D44" s="2">
        <v>1357</v>
      </c>
      <c r="E44" s="2" t="s">
        <v>45</v>
      </c>
      <c r="F44" s="2">
        <v>25</v>
      </c>
      <c r="G44" s="2">
        <v>3</v>
      </c>
      <c r="H44" s="2" t="s">
        <v>38</v>
      </c>
      <c r="I44" s="2">
        <v>1</v>
      </c>
      <c r="J44" s="2">
        <v>55</v>
      </c>
      <c r="K44" s="2">
        <v>1</v>
      </c>
      <c r="L44" s="2" t="s">
        <v>46</v>
      </c>
      <c r="M44" s="2">
        <v>48</v>
      </c>
      <c r="N44" s="2">
        <v>1</v>
      </c>
      <c r="O44" s="2">
        <v>1</v>
      </c>
      <c r="P44" s="2" t="s">
        <v>50</v>
      </c>
      <c r="Q44" s="2">
        <v>3</v>
      </c>
      <c r="R44" s="2" t="s">
        <v>41</v>
      </c>
      <c r="S44" s="2">
        <v>2293</v>
      </c>
      <c r="T44" s="2">
        <v>10558</v>
      </c>
      <c r="U44" s="2">
        <v>1</v>
      </c>
      <c r="V44" s="2" t="s">
        <v>42</v>
      </c>
      <c r="W44" s="2" t="s">
        <v>43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</row>
    <row r="45" spans="1:35" x14ac:dyDescent="0.25">
      <c r="A45" s="2">
        <v>27</v>
      </c>
      <c r="B45" s="2" t="s">
        <v>43</v>
      </c>
      <c r="C45" s="2" t="s">
        <v>44</v>
      </c>
      <c r="D45" s="2">
        <v>994</v>
      </c>
      <c r="E45" s="2" t="s">
        <v>37</v>
      </c>
      <c r="F45" s="2">
        <v>8</v>
      </c>
      <c r="G45" s="2">
        <v>3</v>
      </c>
      <c r="H45" s="2" t="s">
        <v>38</v>
      </c>
      <c r="I45" s="2">
        <v>1</v>
      </c>
      <c r="J45" s="2">
        <v>56</v>
      </c>
      <c r="K45" s="2">
        <v>4</v>
      </c>
      <c r="L45" s="2" t="s">
        <v>46</v>
      </c>
      <c r="M45" s="2">
        <v>37</v>
      </c>
      <c r="N45" s="2">
        <v>3</v>
      </c>
      <c r="O45" s="2">
        <v>3</v>
      </c>
      <c r="P45" s="2" t="s">
        <v>40</v>
      </c>
      <c r="Q45" s="2">
        <v>3</v>
      </c>
      <c r="R45" s="2" t="s">
        <v>41</v>
      </c>
      <c r="S45" s="2">
        <v>8726</v>
      </c>
      <c r="T45" s="2">
        <v>2975</v>
      </c>
      <c r="U45" s="2">
        <v>1</v>
      </c>
      <c r="V45" s="2" t="s">
        <v>42</v>
      </c>
      <c r="W45" s="2" t="s">
        <v>43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</row>
    <row r="46" spans="1:35" x14ac:dyDescent="0.25">
      <c r="A46" s="2">
        <v>30</v>
      </c>
      <c r="B46" s="2" t="s">
        <v>43</v>
      </c>
      <c r="C46" s="2" t="s">
        <v>44</v>
      </c>
      <c r="D46" s="2">
        <v>721</v>
      </c>
      <c r="E46" s="2" t="s">
        <v>45</v>
      </c>
      <c r="F46" s="2">
        <v>1</v>
      </c>
      <c r="G46" s="2">
        <v>2</v>
      </c>
      <c r="H46" s="2" t="s">
        <v>51</v>
      </c>
      <c r="I46" s="2">
        <v>1</v>
      </c>
      <c r="J46" s="2">
        <v>57</v>
      </c>
      <c r="K46" s="2">
        <v>3</v>
      </c>
      <c r="L46" s="2" t="s">
        <v>39</v>
      </c>
      <c r="M46" s="2">
        <v>58</v>
      </c>
      <c r="N46" s="2">
        <v>3</v>
      </c>
      <c r="O46" s="2">
        <v>2</v>
      </c>
      <c r="P46" s="2" t="s">
        <v>50</v>
      </c>
      <c r="Q46" s="2">
        <v>4</v>
      </c>
      <c r="R46" s="2" t="s">
        <v>41</v>
      </c>
      <c r="S46" s="2">
        <v>4011</v>
      </c>
      <c r="T46" s="2">
        <v>10781</v>
      </c>
      <c r="U46" s="2">
        <v>1</v>
      </c>
      <c r="V46" s="2" t="s">
        <v>42</v>
      </c>
      <c r="W46" s="2" t="s">
        <v>43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</row>
    <row r="47" spans="1:35" x14ac:dyDescent="0.25">
      <c r="A47" s="2">
        <v>41</v>
      </c>
      <c r="B47" s="2" t="s">
        <v>35</v>
      </c>
      <c r="C47" s="2" t="s">
        <v>36</v>
      </c>
      <c r="D47" s="2">
        <v>1360</v>
      </c>
      <c r="E47" s="2" t="s">
        <v>45</v>
      </c>
      <c r="F47" s="2">
        <v>12</v>
      </c>
      <c r="G47" s="2">
        <v>3</v>
      </c>
      <c r="H47" s="2" t="s">
        <v>60</v>
      </c>
      <c r="I47" s="2">
        <v>1</v>
      </c>
      <c r="J47" s="2">
        <v>58</v>
      </c>
      <c r="K47" s="2">
        <v>2</v>
      </c>
      <c r="L47" s="2" t="s">
        <v>39</v>
      </c>
      <c r="M47" s="2">
        <v>49</v>
      </c>
      <c r="N47" s="2">
        <v>3</v>
      </c>
      <c r="O47" s="2">
        <v>5</v>
      </c>
      <c r="P47" s="2" t="s">
        <v>58</v>
      </c>
      <c r="Q47" s="2">
        <v>3</v>
      </c>
      <c r="R47" s="2" t="s">
        <v>48</v>
      </c>
      <c r="S47" s="2">
        <v>19545</v>
      </c>
      <c r="T47" s="2">
        <v>16280</v>
      </c>
      <c r="U47" s="2">
        <v>1</v>
      </c>
      <c r="V47" s="2" t="s">
        <v>42</v>
      </c>
      <c r="W47" s="2" t="s">
        <v>43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</row>
    <row r="48" spans="1:35" x14ac:dyDescent="0.25">
      <c r="A48" s="2">
        <v>34</v>
      </c>
      <c r="B48" s="2" t="s">
        <v>43</v>
      </c>
      <c r="C48" s="2" t="s">
        <v>55</v>
      </c>
      <c r="D48" s="2">
        <v>1065</v>
      </c>
      <c r="E48" s="2" t="s">
        <v>37</v>
      </c>
      <c r="F48" s="2">
        <v>23</v>
      </c>
      <c r="G48" s="2">
        <v>4</v>
      </c>
      <c r="H48" s="2" t="s">
        <v>59</v>
      </c>
      <c r="I48" s="2">
        <v>1</v>
      </c>
      <c r="J48" s="2">
        <v>60</v>
      </c>
      <c r="K48" s="2">
        <v>2</v>
      </c>
      <c r="L48" s="2" t="s">
        <v>46</v>
      </c>
      <c r="M48" s="2">
        <v>72</v>
      </c>
      <c r="N48" s="2">
        <v>3</v>
      </c>
      <c r="O48" s="2">
        <v>2</v>
      </c>
      <c r="P48" s="2" t="s">
        <v>40</v>
      </c>
      <c r="Q48" s="2">
        <v>3</v>
      </c>
      <c r="R48" s="2" t="s">
        <v>41</v>
      </c>
      <c r="S48" s="2">
        <v>4568</v>
      </c>
      <c r="T48" s="2">
        <v>10034</v>
      </c>
      <c r="U48" s="2">
        <v>0</v>
      </c>
      <c r="V48" s="2" t="s">
        <v>42</v>
      </c>
      <c r="W48" s="2" t="s">
        <v>43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</row>
    <row r="49" spans="1:35" x14ac:dyDescent="0.25">
      <c r="A49" s="2">
        <v>37</v>
      </c>
      <c r="B49" s="2" t="s">
        <v>43</v>
      </c>
      <c r="C49" s="2" t="s">
        <v>36</v>
      </c>
      <c r="D49" s="2">
        <v>408</v>
      </c>
      <c r="E49" s="2" t="s">
        <v>45</v>
      </c>
      <c r="F49" s="2">
        <v>19</v>
      </c>
      <c r="G49" s="2">
        <v>2</v>
      </c>
      <c r="H49" s="2" t="s">
        <v>38</v>
      </c>
      <c r="I49" s="2">
        <v>1</v>
      </c>
      <c r="J49" s="2">
        <v>61</v>
      </c>
      <c r="K49" s="2">
        <v>2</v>
      </c>
      <c r="L49" s="2" t="s">
        <v>46</v>
      </c>
      <c r="M49" s="2">
        <v>73</v>
      </c>
      <c r="N49" s="2">
        <v>3</v>
      </c>
      <c r="O49" s="2">
        <v>1</v>
      </c>
      <c r="P49" s="2" t="s">
        <v>47</v>
      </c>
      <c r="Q49" s="2">
        <v>2</v>
      </c>
      <c r="R49" s="2" t="s">
        <v>48</v>
      </c>
      <c r="S49" s="2">
        <v>3022</v>
      </c>
      <c r="T49" s="2">
        <v>10227</v>
      </c>
      <c r="U49" s="2">
        <v>4</v>
      </c>
      <c r="V49" s="2" t="s">
        <v>42</v>
      </c>
      <c r="W49" s="2" t="s">
        <v>43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</row>
    <row r="50" spans="1:35" x14ac:dyDescent="0.25">
      <c r="A50" s="2">
        <v>46</v>
      </c>
      <c r="B50" s="2" t="s">
        <v>43</v>
      </c>
      <c r="C50" s="2" t="s">
        <v>44</v>
      </c>
      <c r="D50" s="2">
        <v>1211</v>
      </c>
      <c r="E50" s="2" t="s">
        <v>37</v>
      </c>
      <c r="F50" s="2">
        <v>5</v>
      </c>
      <c r="G50" s="2">
        <v>4</v>
      </c>
      <c r="H50" s="2" t="s">
        <v>59</v>
      </c>
      <c r="I50" s="2">
        <v>1</v>
      </c>
      <c r="J50" s="2">
        <v>62</v>
      </c>
      <c r="K50" s="2">
        <v>1</v>
      </c>
      <c r="L50" s="2" t="s">
        <v>46</v>
      </c>
      <c r="M50" s="2">
        <v>98</v>
      </c>
      <c r="N50" s="2">
        <v>3</v>
      </c>
      <c r="O50" s="2">
        <v>2</v>
      </c>
      <c r="P50" s="2" t="s">
        <v>40</v>
      </c>
      <c r="Q50" s="2">
        <v>4</v>
      </c>
      <c r="R50" s="2" t="s">
        <v>41</v>
      </c>
      <c r="S50" s="2">
        <v>5772</v>
      </c>
      <c r="T50" s="2">
        <v>20445</v>
      </c>
      <c r="U50" s="2">
        <v>4</v>
      </c>
      <c r="V50" s="2" t="s">
        <v>42</v>
      </c>
      <c r="W50" s="2" t="s">
        <v>35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</row>
    <row r="51" spans="1:35" x14ac:dyDescent="0.25">
      <c r="A51" s="2">
        <v>35</v>
      </c>
      <c r="B51" s="2" t="s">
        <v>43</v>
      </c>
      <c r="C51" s="2" t="s">
        <v>36</v>
      </c>
      <c r="D51" s="2">
        <v>1229</v>
      </c>
      <c r="E51" s="2" t="s">
        <v>45</v>
      </c>
      <c r="F51" s="2">
        <v>8</v>
      </c>
      <c r="G51" s="2">
        <v>1</v>
      </c>
      <c r="H51" s="2" t="s">
        <v>38</v>
      </c>
      <c r="I51" s="2">
        <v>1</v>
      </c>
      <c r="J51" s="2">
        <v>63</v>
      </c>
      <c r="K51" s="2">
        <v>4</v>
      </c>
      <c r="L51" s="2" t="s">
        <v>46</v>
      </c>
      <c r="M51" s="2">
        <v>36</v>
      </c>
      <c r="N51" s="2">
        <v>4</v>
      </c>
      <c r="O51" s="2">
        <v>1</v>
      </c>
      <c r="P51" s="2" t="s">
        <v>50</v>
      </c>
      <c r="Q51" s="2">
        <v>4</v>
      </c>
      <c r="R51" s="2" t="s">
        <v>48</v>
      </c>
      <c r="S51" s="2">
        <v>2269</v>
      </c>
      <c r="T51" s="2">
        <v>4892</v>
      </c>
      <c r="U51" s="2">
        <v>1</v>
      </c>
      <c r="V51" s="2" t="s">
        <v>42</v>
      </c>
      <c r="W51" s="2" t="s">
        <v>43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</row>
    <row r="52" spans="1:35" x14ac:dyDescent="0.25">
      <c r="A52" s="2">
        <v>48</v>
      </c>
      <c r="B52" s="2" t="s">
        <v>35</v>
      </c>
      <c r="C52" s="2" t="s">
        <v>36</v>
      </c>
      <c r="D52" s="2">
        <v>626</v>
      </c>
      <c r="E52" s="2" t="s">
        <v>45</v>
      </c>
      <c r="F52" s="2">
        <v>1</v>
      </c>
      <c r="G52" s="2">
        <v>2</v>
      </c>
      <c r="H52" s="2" t="s">
        <v>38</v>
      </c>
      <c r="I52" s="2">
        <v>1</v>
      </c>
      <c r="J52" s="2">
        <v>64</v>
      </c>
      <c r="K52" s="2">
        <v>1</v>
      </c>
      <c r="L52" s="2" t="s">
        <v>46</v>
      </c>
      <c r="M52" s="2">
        <v>98</v>
      </c>
      <c r="N52" s="2">
        <v>2</v>
      </c>
      <c r="O52" s="2">
        <v>3</v>
      </c>
      <c r="P52" s="2" t="s">
        <v>50</v>
      </c>
      <c r="Q52" s="2">
        <v>3</v>
      </c>
      <c r="R52" s="2" t="s">
        <v>41</v>
      </c>
      <c r="S52" s="2">
        <v>5381</v>
      </c>
      <c r="T52" s="2">
        <v>19294</v>
      </c>
      <c r="U52" s="2">
        <v>9</v>
      </c>
      <c r="V52" s="2" t="s">
        <v>42</v>
      </c>
      <c r="W52" s="2" t="s">
        <v>35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</row>
    <row r="53" spans="1:35" x14ac:dyDescent="0.25">
      <c r="A53" s="2">
        <v>28</v>
      </c>
      <c r="B53" s="2" t="s">
        <v>35</v>
      </c>
      <c r="C53" s="2" t="s">
        <v>36</v>
      </c>
      <c r="D53" s="2">
        <v>1434</v>
      </c>
      <c r="E53" s="2" t="s">
        <v>45</v>
      </c>
      <c r="F53" s="2">
        <v>5</v>
      </c>
      <c r="G53" s="2">
        <v>4</v>
      </c>
      <c r="H53" s="2" t="s">
        <v>60</v>
      </c>
      <c r="I53" s="2">
        <v>1</v>
      </c>
      <c r="J53" s="2">
        <v>65</v>
      </c>
      <c r="K53" s="2">
        <v>3</v>
      </c>
      <c r="L53" s="2" t="s">
        <v>46</v>
      </c>
      <c r="M53" s="2">
        <v>50</v>
      </c>
      <c r="N53" s="2">
        <v>3</v>
      </c>
      <c r="O53" s="2">
        <v>1</v>
      </c>
      <c r="P53" s="2" t="s">
        <v>50</v>
      </c>
      <c r="Q53" s="2">
        <v>3</v>
      </c>
      <c r="R53" s="2" t="s">
        <v>41</v>
      </c>
      <c r="S53" s="2">
        <v>3441</v>
      </c>
      <c r="T53" s="2">
        <v>11179</v>
      </c>
      <c r="U53" s="2">
        <v>1</v>
      </c>
      <c r="V53" s="2" t="s">
        <v>42</v>
      </c>
      <c r="W53" s="2" t="s">
        <v>35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</row>
    <row r="54" spans="1:35" x14ac:dyDescent="0.25">
      <c r="A54" s="2">
        <v>44</v>
      </c>
      <c r="B54" s="2" t="s">
        <v>43</v>
      </c>
      <c r="C54" s="2" t="s">
        <v>36</v>
      </c>
      <c r="D54" s="2">
        <v>1488</v>
      </c>
      <c r="E54" s="2" t="s">
        <v>37</v>
      </c>
      <c r="F54" s="2">
        <v>1</v>
      </c>
      <c r="G54" s="2">
        <v>5</v>
      </c>
      <c r="H54" s="2" t="s">
        <v>59</v>
      </c>
      <c r="I54" s="2">
        <v>1</v>
      </c>
      <c r="J54" s="2">
        <v>68</v>
      </c>
      <c r="K54" s="2">
        <v>2</v>
      </c>
      <c r="L54" s="2" t="s">
        <v>39</v>
      </c>
      <c r="M54" s="2">
        <v>75</v>
      </c>
      <c r="N54" s="2">
        <v>3</v>
      </c>
      <c r="O54" s="2">
        <v>2</v>
      </c>
      <c r="P54" s="2" t="s">
        <v>40</v>
      </c>
      <c r="Q54" s="2">
        <v>1</v>
      </c>
      <c r="R54" s="2" t="s">
        <v>52</v>
      </c>
      <c r="S54" s="2">
        <v>5454</v>
      </c>
      <c r="T54" s="2">
        <v>4009</v>
      </c>
      <c r="U54" s="2">
        <v>5</v>
      </c>
      <c r="V54" s="2" t="s">
        <v>42</v>
      </c>
      <c r="W54" s="2" t="s">
        <v>35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</row>
    <row r="55" spans="1:35" x14ac:dyDescent="0.25">
      <c r="A55" s="2">
        <v>35</v>
      </c>
      <c r="B55" s="2" t="s">
        <v>43</v>
      </c>
      <c r="C55" s="2" t="s">
        <v>55</v>
      </c>
      <c r="D55" s="2">
        <v>1097</v>
      </c>
      <c r="E55" s="2" t="s">
        <v>45</v>
      </c>
      <c r="F55" s="2">
        <v>11</v>
      </c>
      <c r="G55" s="2">
        <v>2</v>
      </c>
      <c r="H55" s="2" t="s">
        <v>51</v>
      </c>
      <c r="I55" s="2">
        <v>1</v>
      </c>
      <c r="J55" s="2">
        <v>70</v>
      </c>
      <c r="K55" s="2">
        <v>3</v>
      </c>
      <c r="L55" s="2" t="s">
        <v>46</v>
      </c>
      <c r="M55" s="2">
        <v>79</v>
      </c>
      <c r="N55" s="2">
        <v>2</v>
      </c>
      <c r="O55" s="2">
        <v>3</v>
      </c>
      <c r="P55" s="2" t="s">
        <v>54</v>
      </c>
      <c r="Q55" s="2">
        <v>1</v>
      </c>
      <c r="R55" s="2" t="s">
        <v>48</v>
      </c>
      <c r="S55" s="2">
        <v>9884</v>
      </c>
      <c r="T55" s="2">
        <v>8302</v>
      </c>
      <c r="U55" s="2">
        <v>2</v>
      </c>
      <c r="V55" s="2" t="s">
        <v>42</v>
      </c>
      <c r="W55" s="2" t="s">
        <v>35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</row>
    <row r="56" spans="1:35" x14ac:dyDescent="0.25">
      <c r="A56" s="2">
        <v>26</v>
      </c>
      <c r="B56" s="2" t="s">
        <v>43</v>
      </c>
      <c r="C56" s="2" t="s">
        <v>36</v>
      </c>
      <c r="D56" s="2">
        <v>1443</v>
      </c>
      <c r="E56" s="2" t="s">
        <v>37</v>
      </c>
      <c r="F56" s="2">
        <v>23</v>
      </c>
      <c r="G56" s="2">
        <v>3</v>
      </c>
      <c r="H56" s="2" t="s">
        <v>59</v>
      </c>
      <c r="I56" s="2">
        <v>1</v>
      </c>
      <c r="J56" s="2">
        <v>72</v>
      </c>
      <c r="K56" s="2">
        <v>3</v>
      </c>
      <c r="L56" s="2" t="s">
        <v>39</v>
      </c>
      <c r="M56" s="2">
        <v>47</v>
      </c>
      <c r="N56" s="2">
        <v>2</v>
      </c>
      <c r="O56" s="2">
        <v>2</v>
      </c>
      <c r="P56" s="2" t="s">
        <v>40</v>
      </c>
      <c r="Q56" s="2">
        <v>4</v>
      </c>
      <c r="R56" s="2" t="s">
        <v>48</v>
      </c>
      <c r="S56" s="2">
        <v>4157</v>
      </c>
      <c r="T56" s="2">
        <v>21436</v>
      </c>
      <c r="U56" s="2">
        <v>7</v>
      </c>
      <c r="V56" s="2" t="s">
        <v>42</v>
      </c>
      <c r="W56" s="2" t="s">
        <v>35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</row>
    <row r="57" spans="1:35" x14ac:dyDescent="0.25">
      <c r="A57" s="2">
        <v>33</v>
      </c>
      <c r="B57" s="2" t="s">
        <v>43</v>
      </c>
      <c r="C57" s="2" t="s">
        <v>44</v>
      </c>
      <c r="D57" s="2">
        <v>515</v>
      </c>
      <c r="E57" s="2" t="s">
        <v>45</v>
      </c>
      <c r="F57" s="2">
        <v>1</v>
      </c>
      <c r="G57" s="2">
        <v>2</v>
      </c>
      <c r="H57" s="2" t="s">
        <v>38</v>
      </c>
      <c r="I57" s="2">
        <v>1</v>
      </c>
      <c r="J57" s="2">
        <v>73</v>
      </c>
      <c r="K57" s="2">
        <v>1</v>
      </c>
      <c r="L57" s="2" t="s">
        <v>39</v>
      </c>
      <c r="M57" s="2">
        <v>98</v>
      </c>
      <c r="N57" s="2">
        <v>3</v>
      </c>
      <c r="O57" s="2">
        <v>3</v>
      </c>
      <c r="P57" s="2" t="s">
        <v>58</v>
      </c>
      <c r="Q57" s="2">
        <v>4</v>
      </c>
      <c r="R57" s="2" t="s">
        <v>41</v>
      </c>
      <c r="S57" s="2">
        <v>13458</v>
      </c>
      <c r="T57" s="2">
        <v>15146</v>
      </c>
      <c r="U57" s="2">
        <v>1</v>
      </c>
      <c r="V57" s="2" t="s">
        <v>42</v>
      </c>
      <c r="W57" s="2" t="s">
        <v>35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</row>
    <row r="58" spans="1:35" x14ac:dyDescent="0.25">
      <c r="A58" s="2">
        <v>35</v>
      </c>
      <c r="B58" s="2" t="s">
        <v>43</v>
      </c>
      <c r="C58" s="2" t="s">
        <v>44</v>
      </c>
      <c r="D58" s="2">
        <v>853</v>
      </c>
      <c r="E58" s="2" t="s">
        <v>37</v>
      </c>
      <c r="F58" s="2">
        <v>18</v>
      </c>
      <c r="G58" s="2">
        <v>5</v>
      </c>
      <c r="H58" s="2" t="s">
        <v>38</v>
      </c>
      <c r="I58" s="2">
        <v>1</v>
      </c>
      <c r="J58" s="2">
        <v>74</v>
      </c>
      <c r="K58" s="2">
        <v>2</v>
      </c>
      <c r="L58" s="2" t="s">
        <v>46</v>
      </c>
      <c r="M58" s="2">
        <v>71</v>
      </c>
      <c r="N58" s="2">
        <v>3</v>
      </c>
      <c r="O58" s="2">
        <v>3</v>
      </c>
      <c r="P58" s="2" t="s">
        <v>40</v>
      </c>
      <c r="Q58" s="2">
        <v>1</v>
      </c>
      <c r="R58" s="2" t="s">
        <v>48</v>
      </c>
      <c r="S58" s="2">
        <v>9069</v>
      </c>
      <c r="T58" s="2">
        <v>11031</v>
      </c>
      <c r="U58" s="2">
        <v>1</v>
      </c>
      <c r="V58" s="2" t="s">
        <v>42</v>
      </c>
      <c r="W58" s="2" t="s">
        <v>43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</row>
    <row r="59" spans="1:35" x14ac:dyDescent="0.25">
      <c r="A59" s="2">
        <v>35</v>
      </c>
      <c r="B59" s="2" t="s">
        <v>43</v>
      </c>
      <c r="C59" s="2" t="s">
        <v>36</v>
      </c>
      <c r="D59" s="2">
        <v>1142</v>
      </c>
      <c r="E59" s="2" t="s">
        <v>45</v>
      </c>
      <c r="F59" s="2">
        <v>23</v>
      </c>
      <c r="G59" s="2">
        <v>4</v>
      </c>
      <c r="H59" s="2" t="s">
        <v>51</v>
      </c>
      <c r="I59" s="2">
        <v>1</v>
      </c>
      <c r="J59" s="2">
        <v>75</v>
      </c>
      <c r="K59" s="2">
        <v>3</v>
      </c>
      <c r="L59" s="2" t="s">
        <v>39</v>
      </c>
      <c r="M59" s="2">
        <v>30</v>
      </c>
      <c r="N59" s="2">
        <v>3</v>
      </c>
      <c r="O59" s="2">
        <v>1</v>
      </c>
      <c r="P59" s="2" t="s">
        <v>50</v>
      </c>
      <c r="Q59" s="2">
        <v>1</v>
      </c>
      <c r="R59" s="2" t="s">
        <v>48</v>
      </c>
      <c r="S59" s="2">
        <v>4014</v>
      </c>
      <c r="T59" s="2">
        <v>16002</v>
      </c>
      <c r="U59" s="2">
        <v>3</v>
      </c>
      <c r="V59" s="2" t="s">
        <v>42</v>
      </c>
      <c r="W59" s="2" t="s">
        <v>35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</row>
    <row r="60" spans="1:35" x14ac:dyDescent="0.25">
      <c r="A60" s="2">
        <v>31</v>
      </c>
      <c r="B60" s="2" t="s">
        <v>43</v>
      </c>
      <c r="C60" s="2" t="s">
        <v>36</v>
      </c>
      <c r="D60" s="2">
        <v>655</v>
      </c>
      <c r="E60" s="2" t="s">
        <v>45</v>
      </c>
      <c r="F60" s="2">
        <v>7</v>
      </c>
      <c r="G60" s="2">
        <v>4</v>
      </c>
      <c r="H60" s="2" t="s">
        <v>38</v>
      </c>
      <c r="I60" s="2">
        <v>1</v>
      </c>
      <c r="J60" s="2">
        <v>76</v>
      </c>
      <c r="K60" s="2">
        <v>4</v>
      </c>
      <c r="L60" s="2" t="s">
        <v>46</v>
      </c>
      <c r="M60" s="2">
        <v>48</v>
      </c>
      <c r="N60" s="2">
        <v>3</v>
      </c>
      <c r="O60" s="2">
        <v>2</v>
      </c>
      <c r="P60" s="2" t="s">
        <v>50</v>
      </c>
      <c r="Q60" s="2">
        <v>4</v>
      </c>
      <c r="R60" s="2" t="s">
        <v>52</v>
      </c>
      <c r="S60" s="2">
        <v>5915</v>
      </c>
      <c r="T60" s="2">
        <v>9528</v>
      </c>
      <c r="U60" s="2">
        <v>3</v>
      </c>
      <c r="V60" s="2" t="s">
        <v>42</v>
      </c>
      <c r="W60" s="2" t="s">
        <v>43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</row>
    <row r="61" spans="1:35" x14ac:dyDescent="0.25">
      <c r="A61" s="2">
        <v>37</v>
      </c>
      <c r="B61" s="2" t="s">
        <v>43</v>
      </c>
      <c r="C61" s="2" t="s">
        <v>36</v>
      </c>
      <c r="D61" s="2">
        <v>1115</v>
      </c>
      <c r="E61" s="2" t="s">
        <v>45</v>
      </c>
      <c r="F61" s="2">
        <v>1</v>
      </c>
      <c r="G61" s="2">
        <v>4</v>
      </c>
      <c r="H61" s="2" t="s">
        <v>38</v>
      </c>
      <c r="I61" s="2">
        <v>1</v>
      </c>
      <c r="J61" s="2">
        <v>77</v>
      </c>
      <c r="K61" s="2">
        <v>1</v>
      </c>
      <c r="L61" s="2" t="s">
        <v>46</v>
      </c>
      <c r="M61" s="2">
        <v>51</v>
      </c>
      <c r="N61" s="2">
        <v>2</v>
      </c>
      <c r="O61" s="2">
        <v>2</v>
      </c>
      <c r="P61" s="2" t="s">
        <v>53</v>
      </c>
      <c r="Q61" s="2">
        <v>3</v>
      </c>
      <c r="R61" s="2" t="s">
        <v>52</v>
      </c>
      <c r="S61" s="2">
        <v>5993</v>
      </c>
      <c r="T61" s="2">
        <v>2689</v>
      </c>
      <c r="U61" s="2">
        <v>1</v>
      </c>
      <c r="V61" s="2" t="s">
        <v>42</v>
      </c>
      <c r="W61" s="2" t="s">
        <v>43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</row>
    <row r="62" spans="1:35" x14ac:dyDescent="0.25">
      <c r="A62" s="2">
        <v>32</v>
      </c>
      <c r="B62" s="2" t="s">
        <v>43</v>
      </c>
      <c r="C62" s="2" t="s">
        <v>36</v>
      </c>
      <c r="D62" s="2">
        <v>427</v>
      </c>
      <c r="E62" s="2" t="s">
        <v>45</v>
      </c>
      <c r="F62" s="2">
        <v>1</v>
      </c>
      <c r="G62" s="2">
        <v>3</v>
      </c>
      <c r="H62" s="2" t="s">
        <v>51</v>
      </c>
      <c r="I62" s="2">
        <v>1</v>
      </c>
      <c r="J62" s="2">
        <v>78</v>
      </c>
      <c r="K62" s="2">
        <v>1</v>
      </c>
      <c r="L62" s="2" t="s">
        <v>46</v>
      </c>
      <c r="M62" s="2">
        <v>33</v>
      </c>
      <c r="N62" s="2">
        <v>3</v>
      </c>
      <c r="O62" s="2">
        <v>2</v>
      </c>
      <c r="P62" s="2" t="s">
        <v>53</v>
      </c>
      <c r="Q62" s="2">
        <v>4</v>
      </c>
      <c r="R62" s="2" t="s">
        <v>48</v>
      </c>
      <c r="S62" s="2">
        <v>6162</v>
      </c>
      <c r="T62" s="2">
        <v>10877</v>
      </c>
      <c r="U62" s="2">
        <v>1</v>
      </c>
      <c r="V62" s="2" t="s">
        <v>42</v>
      </c>
      <c r="W62" s="2" t="s">
        <v>35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</row>
    <row r="63" spans="1:35" x14ac:dyDescent="0.25">
      <c r="A63" s="2">
        <v>38</v>
      </c>
      <c r="B63" s="2" t="s">
        <v>43</v>
      </c>
      <c r="C63" s="2" t="s">
        <v>44</v>
      </c>
      <c r="D63" s="2">
        <v>653</v>
      </c>
      <c r="E63" s="2" t="s">
        <v>45</v>
      </c>
      <c r="F63" s="2">
        <v>29</v>
      </c>
      <c r="G63" s="2">
        <v>5</v>
      </c>
      <c r="H63" s="2" t="s">
        <v>38</v>
      </c>
      <c r="I63" s="2">
        <v>1</v>
      </c>
      <c r="J63" s="2">
        <v>79</v>
      </c>
      <c r="K63" s="2">
        <v>4</v>
      </c>
      <c r="L63" s="2" t="s">
        <v>39</v>
      </c>
      <c r="M63" s="2">
        <v>50</v>
      </c>
      <c r="N63" s="2">
        <v>3</v>
      </c>
      <c r="O63" s="2">
        <v>2</v>
      </c>
      <c r="P63" s="2" t="s">
        <v>50</v>
      </c>
      <c r="Q63" s="2">
        <v>4</v>
      </c>
      <c r="R63" s="2" t="s">
        <v>41</v>
      </c>
      <c r="S63" s="2">
        <v>2406</v>
      </c>
      <c r="T63" s="2">
        <v>5456</v>
      </c>
      <c r="U63" s="2">
        <v>1</v>
      </c>
      <c r="V63" s="2" t="s">
        <v>42</v>
      </c>
      <c r="W63" s="2" t="s">
        <v>43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</row>
    <row r="64" spans="1:35" x14ac:dyDescent="0.25">
      <c r="A64" s="2">
        <v>50</v>
      </c>
      <c r="B64" s="2" t="s">
        <v>43</v>
      </c>
      <c r="C64" s="2" t="s">
        <v>36</v>
      </c>
      <c r="D64" s="2">
        <v>989</v>
      </c>
      <c r="E64" s="2" t="s">
        <v>45</v>
      </c>
      <c r="F64" s="2">
        <v>7</v>
      </c>
      <c r="G64" s="2">
        <v>2</v>
      </c>
      <c r="H64" s="2" t="s">
        <v>51</v>
      </c>
      <c r="I64" s="2">
        <v>1</v>
      </c>
      <c r="J64" s="2">
        <v>80</v>
      </c>
      <c r="K64" s="2">
        <v>2</v>
      </c>
      <c r="L64" s="2" t="s">
        <v>39</v>
      </c>
      <c r="M64" s="2">
        <v>43</v>
      </c>
      <c r="N64" s="2">
        <v>2</v>
      </c>
      <c r="O64" s="2">
        <v>5</v>
      </c>
      <c r="P64" s="2" t="s">
        <v>58</v>
      </c>
      <c r="Q64" s="2">
        <v>3</v>
      </c>
      <c r="R64" s="2" t="s">
        <v>52</v>
      </c>
      <c r="S64" s="2">
        <v>18740</v>
      </c>
      <c r="T64" s="2">
        <v>16701</v>
      </c>
      <c r="U64" s="2">
        <v>5</v>
      </c>
      <c r="V64" s="2" t="s">
        <v>42</v>
      </c>
      <c r="W64" s="2" t="s">
        <v>35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</row>
    <row r="65" spans="1:35" x14ac:dyDescent="0.25">
      <c r="A65" s="2">
        <v>59</v>
      </c>
      <c r="B65" s="2" t="s">
        <v>43</v>
      </c>
      <c r="C65" s="2" t="s">
        <v>36</v>
      </c>
      <c r="D65" s="2">
        <v>1435</v>
      </c>
      <c r="E65" s="2" t="s">
        <v>37</v>
      </c>
      <c r="F65" s="2">
        <v>25</v>
      </c>
      <c r="G65" s="2">
        <v>3</v>
      </c>
      <c r="H65" s="2" t="s">
        <v>38</v>
      </c>
      <c r="I65" s="2">
        <v>1</v>
      </c>
      <c r="J65" s="2">
        <v>81</v>
      </c>
      <c r="K65" s="2">
        <v>1</v>
      </c>
      <c r="L65" s="2" t="s">
        <v>39</v>
      </c>
      <c r="M65" s="2">
        <v>99</v>
      </c>
      <c r="N65" s="2">
        <v>3</v>
      </c>
      <c r="O65" s="2">
        <v>3</v>
      </c>
      <c r="P65" s="2" t="s">
        <v>40</v>
      </c>
      <c r="Q65" s="2">
        <v>1</v>
      </c>
      <c r="R65" s="2" t="s">
        <v>41</v>
      </c>
      <c r="S65" s="2">
        <v>7637</v>
      </c>
      <c r="T65" s="2">
        <v>2354</v>
      </c>
      <c r="U65" s="2">
        <v>7</v>
      </c>
      <c r="V65" s="2" t="s">
        <v>42</v>
      </c>
      <c r="W65" s="2" t="s">
        <v>43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</row>
    <row r="66" spans="1:35" x14ac:dyDescent="0.25">
      <c r="A66" s="2">
        <v>36</v>
      </c>
      <c r="B66" s="2" t="s">
        <v>43</v>
      </c>
      <c r="C66" s="2" t="s">
        <v>36</v>
      </c>
      <c r="D66" s="2">
        <v>1223</v>
      </c>
      <c r="E66" s="2" t="s">
        <v>45</v>
      </c>
      <c r="F66" s="2">
        <v>8</v>
      </c>
      <c r="G66" s="2">
        <v>3</v>
      </c>
      <c r="H66" s="2" t="s">
        <v>60</v>
      </c>
      <c r="I66" s="2">
        <v>1</v>
      </c>
      <c r="J66" s="2">
        <v>83</v>
      </c>
      <c r="K66" s="2">
        <v>3</v>
      </c>
      <c r="L66" s="2" t="s">
        <v>39</v>
      </c>
      <c r="M66" s="2">
        <v>59</v>
      </c>
      <c r="N66" s="2">
        <v>3</v>
      </c>
      <c r="O66" s="2">
        <v>3</v>
      </c>
      <c r="P66" s="2" t="s">
        <v>54</v>
      </c>
      <c r="Q66" s="2">
        <v>3</v>
      </c>
      <c r="R66" s="2" t="s">
        <v>52</v>
      </c>
      <c r="S66" s="2">
        <v>10096</v>
      </c>
      <c r="T66" s="2">
        <v>8202</v>
      </c>
      <c r="U66" s="2">
        <v>1</v>
      </c>
      <c r="V66" s="2" t="s">
        <v>42</v>
      </c>
      <c r="W66" s="2" t="s">
        <v>43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</row>
    <row r="67" spans="1:35" x14ac:dyDescent="0.25">
      <c r="A67" s="2">
        <v>55</v>
      </c>
      <c r="B67" s="2" t="s">
        <v>43</v>
      </c>
      <c r="C67" s="2" t="s">
        <v>36</v>
      </c>
      <c r="D67" s="2">
        <v>836</v>
      </c>
      <c r="E67" s="2" t="s">
        <v>45</v>
      </c>
      <c r="F67" s="2">
        <v>8</v>
      </c>
      <c r="G67" s="2">
        <v>3</v>
      </c>
      <c r="H67" s="2" t="s">
        <v>51</v>
      </c>
      <c r="I67" s="2">
        <v>1</v>
      </c>
      <c r="J67" s="2">
        <v>84</v>
      </c>
      <c r="K67" s="2">
        <v>4</v>
      </c>
      <c r="L67" s="2" t="s">
        <v>39</v>
      </c>
      <c r="M67" s="2">
        <v>33</v>
      </c>
      <c r="N67" s="2">
        <v>3</v>
      </c>
      <c r="O67" s="2">
        <v>4</v>
      </c>
      <c r="P67" s="2" t="s">
        <v>56</v>
      </c>
      <c r="Q67" s="2">
        <v>3</v>
      </c>
      <c r="R67" s="2" t="s">
        <v>52</v>
      </c>
      <c r="S67" s="2">
        <v>14756</v>
      </c>
      <c r="T67" s="2">
        <v>19730</v>
      </c>
      <c r="U67" s="2">
        <v>2</v>
      </c>
      <c r="V67" s="2" t="s">
        <v>42</v>
      </c>
      <c r="W67" s="2" t="s">
        <v>35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</row>
    <row r="68" spans="1:35" x14ac:dyDescent="0.25">
      <c r="A68" s="2">
        <v>36</v>
      </c>
      <c r="B68" s="2" t="s">
        <v>43</v>
      </c>
      <c r="C68" s="2" t="s">
        <v>44</v>
      </c>
      <c r="D68" s="2">
        <v>1195</v>
      </c>
      <c r="E68" s="2" t="s">
        <v>45</v>
      </c>
      <c r="F68" s="2">
        <v>11</v>
      </c>
      <c r="G68" s="2">
        <v>3</v>
      </c>
      <c r="H68" s="2" t="s">
        <v>38</v>
      </c>
      <c r="I68" s="2">
        <v>1</v>
      </c>
      <c r="J68" s="2">
        <v>85</v>
      </c>
      <c r="K68" s="2">
        <v>2</v>
      </c>
      <c r="L68" s="2" t="s">
        <v>46</v>
      </c>
      <c r="M68" s="2">
        <v>95</v>
      </c>
      <c r="N68" s="2">
        <v>2</v>
      </c>
      <c r="O68" s="2">
        <v>2</v>
      </c>
      <c r="P68" s="2" t="s">
        <v>53</v>
      </c>
      <c r="Q68" s="2">
        <v>2</v>
      </c>
      <c r="R68" s="2" t="s">
        <v>41</v>
      </c>
      <c r="S68" s="2">
        <v>6499</v>
      </c>
      <c r="T68" s="2">
        <v>22656</v>
      </c>
      <c r="U68" s="2">
        <v>1</v>
      </c>
      <c r="V68" s="2" t="s">
        <v>42</v>
      </c>
      <c r="W68" s="2" t="s">
        <v>43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</row>
    <row r="69" spans="1:35" x14ac:dyDescent="0.25">
      <c r="A69" s="2">
        <v>45</v>
      </c>
      <c r="B69" s="2" t="s">
        <v>43</v>
      </c>
      <c r="C69" s="2" t="s">
        <v>36</v>
      </c>
      <c r="D69" s="2">
        <v>1339</v>
      </c>
      <c r="E69" s="2" t="s">
        <v>45</v>
      </c>
      <c r="F69" s="2">
        <v>7</v>
      </c>
      <c r="G69" s="2">
        <v>3</v>
      </c>
      <c r="H69" s="2" t="s">
        <v>38</v>
      </c>
      <c r="I69" s="2">
        <v>1</v>
      </c>
      <c r="J69" s="2">
        <v>86</v>
      </c>
      <c r="K69" s="2">
        <v>2</v>
      </c>
      <c r="L69" s="2" t="s">
        <v>46</v>
      </c>
      <c r="M69" s="2">
        <v>59</v>
      </c>
      <c r="N69" s="2">
        <v>3</v>
      </c>
      <c r="O69" s="2">
        <v>3</v>
      </c>
      <c r="P69" s="2" t="s">
        <v>47</v>
      </c>
      <c r="Q69" s="2">
        <v>1</v>
      </c>
      <c r="R69" s="2" t="s">
        <v>52</v>
      </c>
      <c r="S69" s="2">
        <v>9724</v>
      </c>
      <c r="T69" s="2">
        <v>18787</v>
      </c>
      <c r="U69" s="2">
        <v>2</v>
      </c>
      <c r="V69" s="2" t="s">
        <v>42</v>
      </c>
      <c r="W69" s="2" t="s">
        <v>43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</row>
    <row r="70" spans="1:35" x14ac:dyDescent="0.25">
      <c r="A70" s="2">
        <v>35</v>
      </c>
      <c r="B70" s="2" t="s">
        <v>43</v>
      </c>
      <c r="C70" s="2" t="s">
        <v>44</v>
      </c>
      <c r="D70" s="2">
        <v>664</v>
      </c>
      <c r="E70" s="2" t="s">
        <v>45</v>
      </c>
      <c r="F70" s="2">
        <v>1</v>
      </c>
      <c r="G70" s="2">
        <v>3</v>
      </c>
      <c r="H70" s="2" t="s">
        <v>51</v>
      </c>
      <c r="I70" s="2">
        <v>1</v>
      </c>
      <c r="J70" s="2">
        <v>88</v>
      </c>
      <c r="K70" s="2">
        <v>2</v>
      </c>
      <c r="L70" s="2" t="s">
        <v>46</v>
      </c>
      <c r="M70" s="2">
        <v>79</v>
      </c>
      <c r="N70" s="2">
        <v>3</v>
      </c>
      <c r="O70" s="2">
        <v>1</v>
      </c>
      <c r="P70" s="2" t="s">
        <v>47</v>
      </c>
      <c r="Q70" s="2">
        <v>1</v>
      </c>
      <c r="R70" s="2" t="s">
        <v>48</v>
      </c>
      <c r="S70" s="2">
        <v>2194</v>
      </c>
      <c r="T70" s="2">
        <v>5868</v>
      </c>
      <c r="U70" s="2">
        <v>4</v>
      </c>
      <c r="V70" s="2" t="s">
        <v>42</v>
      </c>
      <c r="W70" s="2" t="s">
        <v>43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</row>
    <row r="71" spans="1:35" x14ac:dyDescent="0.25">
      <c r="A71" s="2">
        <v>36</v>
      </c>
      <c r="B71" s="2" t="s">
        <v>35</v>
      </c>
      <c r="C71" s="2" t="s">
        <v>36</v>
      </c>
      <c r="D71" s="2">
        <v>318</v>
      </c>
      <c r="E71" s="2" t="s">
        <v>45</v>
      </c>
      <c r="F71" s="2">
        <v>9</v>
      </c>
      <c r="G71" s="2">
        <v>3</v>
      </c>
      <c r="H71" s="2" t="s">
        <v>51</v>
      </c>
      <c r="I71" s="2">
        <v>1</v>
      </c>
      <c r="J71" s="2">
        <v>90</v>
      </c>
      <c r="K71" s="2">
        <v>4</v>
      </c>
      <c r="L71" s="2" t="s">
        <v>46</v>
      </c>
      <c r="M71" s="2">
        <v>79</v>
      </c>
      <c r="N71" s="2">
        <v>2</v>
      </c>
      <c r="O71" s="2">
        <v>1</v>
      </c>
      <c r="P71" s="2" t="s">
        <v>47</v>
      </c>
      <c r="Q71" s="2">
        <v>3</v>
      </c>
      <c r="R71" s="2" t="s">
        <v>48</v>
      </c>
      <c r="S71" s="2">
        <v>3388</v>
      </c>
      <c r="T71" s="2">
        <v>21777</v>
      </c>
      <c r="U71" s="2">
        <v>0</v>
      </c>
      <c r="V71" s="2" t="s">
        <v>42</v>
      </c>
      <c r="W71" s="2" t="s">
        <v>35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</row>
    <row r="72" spans="1:35" x14ac:dyDescent="0.25">
      <c r="A72" s="2">
        <v>59</v>
      </c>
      <c r="B72" s="2" t="s">
        <v>43</v>
      </c>
      <c r="C72" s="2" t="s">
        <v>44</v>
      </c>
      <c r="D72" s="2">
        <v>1225</v>
      </c>
      <c r="E72" s="2" t="s">
        <v>37</v>
      </c>
      <c r="F72" s="2">
        <v>1</v>
      </c>
      <c r="G72" s="2">
        <v>1</v>
      </c>
      <c r="H72" s="2" t="s">
        <v>38</v>
      </c>
      <c r="I72" s="2">
        <v>1</v>
      </c>
      <c r="J72" s="2">
        <v>91</v>
      </c>
      <c r="K72" s="2">
        <v>1</v>
      </c>
      <c r="L72" s="2" t="s">
        <v>39</v>
      </c>
      <c r="M72" s="2">
        <v>57</v>
      </c>
      <c r="N72" s="2">
        <v>2</v>
      </c>
      <c r="O72" s="2">
        <v>2</v>
      </c>
      <c r="P72" s="2" t="s">
        <v>40</v>
      </c>
      <c r="Q72" s="2">
        <v>3</v>
      </c>
      <c r="R72" s="2" t="s">
        <v>41</v>
      </c>
      <c r="S72" s="2">
        <v>5473</v>
      </c>
      <c r="T72" s="2">
        <v>24668</v>
      </c>
      <c r="U72" s="2">
        <v>7</v>
      </c>
      <c r="V72" s="2" t="s">
        <v>42</v>
      </c>
      <c r="W72" s="2" t="s">
        <v>43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</row>
    <row r="73" spans="1:35" x14ac:dyDescent="0.25">
      <c r="A73" s="2">
        <v>29</v>
      </c>
      <c r="B73" s="2" t="s">
        <v>43</v>
      </c>
      <c r="C73" s="2" t="s">
        <v>36</v>
      </c>
      <c r="D73" s="2">
        <v>1328</v>
      </c>
      <c r="E73" s="2" t="s">
        <v>45</v>
      </c>
      <c r="F73" s="2">
        <v>2</v>
      </c>
      <c r="G73" s="2">
        <v>3</v>
      </c>
      <c r="H73" s="2" t="s">
        <v>38</v>
      </c>
      <c r="I73" s="2">
        <v>1</v>
      </c>
      <c r="J73" s="2">
        <v>94</v>
      </c>
      <c r="K73" s="2">
        <v>3</v>
      </c>
      <c r="L73" s="2" t="s">
        <v>46</v>
      </c>
      <c r="M73" s="2">
        <v>76</v>
      </c>
      <c r="N73" s="2">
        <v>3</v>
      </c>
      <c r="O73" s="2">
        <v>1</v>
      </c>
      <c r="P73" s="2" t="s">
        <v>47</v>
      </c>
      <c r="Q73" s="2">
        <v>2</v>
      </c>
      <c r="R73" s="2" t="s">
        <v>48</v>
      </c>
      <c r="S73" s="2">
        <v>2703</v>
      </c>
      <c r="T73" s="2">
        <v>4956</v>
      </c>
      <c r="U73" s="2">
        <v>0</v>
      </c>
      <c r="V73" s="2" t="s">
        <v>42</v>
      </c>
      <c r="W73" s="2" t="s">
        <v>43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</row>
    <row r="74" spans="1:35" x14ac:dyDescent="0.25">
      <c r="A74" s="2">
        <v>31</v>
      </c>
      <c r="B74" s="2" t="s">
        <v>43</v>
      </c>
      <c r="C74" s="2" t="s">
        <v>36</v>
      </c>
      <c r="D74" s="2">
        <v>1082</v>
      </c>
      <c r="E74" s="2" t="s">
        <v>45</v>
      </c>
      <c r="F74" s="2">
        <v>1</v>
      </c>
      <c r="G74" s="2">
        <v>4</v>
      </c>
      <c r="H74" s="2" t="s">
        <v>51</v>
      </c>
      <c r="I74" s="2">
        <v>1</v>
      </c>
      <c r="J74" s="2">
        <v>95</v>
      </c>
      <c r="K74" s="2">
        <v>3</v>
      </c>
      <c r="L74" s="2" t="s">
        <v>46</v>
      </c>
      <c r="M74" s="2">
        <v>87</v>
      </c>
      <c r="N74" s="2">
        <v>3</v>
      </c>
      <c r="O74" s="2">
        <v>1</v>
      </c>
      <c r="P74" s="2" t="s">
        <v>47</v>
      </c>
      <c r="Q74" s="2">
        <v>2</v>
      </c>
      <c r="R74" s="2" t="s">
        <v>41</v>
      </c>
      <c r="S74" s="2">
        <v>2501</v>
      </c>
      <c r="T74" s="2">
        <v>18775</v>
      </c>
      <c r="U74" s="2">
        <v>1</v>
      </c>
      <c r="V74" s="2" t="s">
        <v>42</v>
      </c>
      <c r="W74" s="2" t="s">
        <v>43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</row>
    <row r="75" spans="1:35" x14ac:dyDescent="0.25">
      <c r="A75" s="2">
        <v>32</v>
      </c>
      <c r="B75" s="2" t="s">
        <v>43</v>
      </c>
      <c r="C75" s="2" t="s">
        <v>36</v>
      </c>
      <c r="D75" s="2">
        <v>548</v>
      </c>
      <c r="E75" s="2" t="s">
        <v>45</v>
      </c>
      <c r="F75" s="2">
        <v>1</v>
      </c>
      <c r="G75" s="2">
        <v>3</v>
      </c>
      <c r="H75" s="2" t="s">
        <v>38</v>
      </c>
      <c r="I75" s="2">
        <v>1</v>
      </c>
      <c r="J75" s="2">
        <v>96</v>
      </c>
      <c r="K75" s="2">
        <v>2</v>
      </c>
      <c r="L75" s="2" t="s">
        <v>46</v>
      </c>
      <c r="M75" s="2">
        <v>66</v>
      </c>
      <c r="N75" s="2">
        <v>3</v>
      </c>
      <c r="O75" s="2">
        <v>2</v>
      </c>
      <c r="P75" s="2" t="s">
        <v>47</v>
      </c>
      <c r="Q75" s="2">
        <v>2</v>
      </c>
      <c r="R75" s="2" t="s">
        <v>48</v>
      </c>
      <c r="S75" s="2">
        <v>6220</v>
      </c>
      <c r="T75" s="2">
        <v>7346</v>
      </c>
      <c r="U75" s="2">
        <v>1</v>
      </c>
      <c r="V75" s="2" t="s">
        <v>42</v>
      </c>
      <c r="W75" s="2" t="s">
        <v>43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</row>
    <row r="76" spans="1:35" x14ac:dyDescent="0.25">
      <c r="A76" s="2">
        <v>36</v>
      </c>
      <c r="B76" s="2" t="s">
        <v>43</v>
      </c>
      <c r="C76" s="2" t="s">
        <v>36</v>
      </c>
      <c r="D76" s="2">
        <v>132</v>
      </c>
      <c r="E76" s="2" t="s">
        <v>45</v>
      </c>
      <c r="F76" s="2">
        <v>6</v>
      </c>
      <c r="G76" s="2">
        <v>3</v>
      </c>
      <c r="H76" s="2" t="s">
        <v>38</v>
      </c>
      <c r="I76" s="2">
        <v>1</v>
      </c>
      <c r="J76" s="2">
        <v>97</v>
      </c>
      <c r="K76" s="2">
        <v>2</v>
      </c>
      <c r="L76" s="2" t="s">
        <v>39</v>
      </c>
      <c r="M76" s="2">
        <v>55</v>
      </c>
      <c r="N76" s="2">
        <v>4</v>
      </c>
      <c r="O76" s="2">
        <v>1</v>
      </c>
      <c r="P76" s="2" t="s">
        <v>50</v>
      </c>
      <c r="Q76" s="2">
        <v>4</v>
      </c>
      <c r="R76" s="2" t="s">
        <v>48</v>
      </c>
      <c r="S76" s="2">
        <v>3038</v>
      </c>
      <c r="T76" s="2">
        <v>22002</v>
      </c>
      <c r="U76" s="2">
        <v>3</v>
      </c>
      <c r="V76" s="2" t="s">
        <v>42</v>
      </c>
      <c r="W76" s="2" t="s">
        <v>43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</row>
    <row r="77" spans="1:35" x14ac:dyDescent="0.25">
      <c r="A77" s="2">
        <v>31</v>
      </c>
      <c r="B77" s="2" t="s">
        <v>43</v>
      </c>
      <c r="C77" s="2" t="s">
        <v>36</v>
      </c>
      <c r="D77" s="2">
        <v>746</v>
      </c>
      <c r="E77" s="2" t="s">
        <v>45</v>
      </c>
      <c r="F77" s="2">
        <v>8</v>
      </c>
      <c r="G77" s="2">
        <v>4</v>
      </c>
      <c r="H77" s="2" t="s">
        <v>38</v>
      </c>
      <c r="I77" s="2">
        <v>1</v>
      </c>
      <c r="J77" s="2">
        <v>98</v>
      </c>
      <c r="K77" s="2">
        <v>3</v>
      </c>
      <c r="L77" s="2" t="s">
        <v>39</v>
      </c>
      <c r="M77" s="2">
        <v>61</v>
      </c>
      <c r="N77" s="2">
        <v>3</v>
      </c>
      <c r="O77" s="2">
        <v>2</v>
      </c>
      <c r="P77" s="2" t="s">
        <v>53</v>
      </c>
      <c r="Q77" s="2">
        <v>4</v>
      </c>
      <c r="R77" s="2" t="s">
        <v>41</v>
      </c>
      <c r="S77" s="2">
        <v>4424</v>
      </c>
      <c r="T77" s="2">
        <v>20682</v>
      </c>
      <c r="U77" s="2">
        <v>1</v>
      </c>
      <c r="V77" s="2" t="s">
        <v>42</v>
      </c>
      <c r="W77" s="2" t="s">
        <v>43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</row>
    <row r="78" spans="1:35" x14ac:dyDescent="0.25">
      <c r="A78" s="2">
        <v>35</v>
      </c>
      <c r="B78" s="2" t="s">
        <v>43</v>
      </c>
      <c r="C78" s="2" t="s">
        <v>36</v>
      </c>
      <c r="D78" s="2">
        <v>776</v>
      </c>
      <c r="E78" s="2" t="s">
        <v>37</v>
      </c>
      <c r="F78" s="2">
        <v>1</v>
      </c>
      <c r="G78" s="2">
        <v>4</v>
      </c>
      <c r="H78" s="2" t="s">
        <v>59</v>
      </c>
      <c r="I78" s="2">
        <v>1</v>
      </c>
      <c r="J78" s="2">
        <v>100</v>
      </c>
      <c r="K78" s="2">
        <v>3</v>
      </c>
      <c r="L78" s="2" t="s">
        <v>46</v>
      </c>
      <c r="M78" s="2">
        <v>32</v>
      </c>
      <c r="N78" s="2">
        <v>2</v>
      </c>
      <c r="O78" s="2">
        <v>2</v>
      </c>
      <c r="P78" s="2" t="s">
        <v>40</v>
      </c>
      <c r="Q78" s="2">
        <v>1</v>
      </c>
      <c r="R78" s="2" t="s">
        <v>41</v>
      </c>
      <c r="S78" s="2">
        <v>4312</v>
      </c>
      <c r="T78" s="2">
        <v>23016</v>
      </c>
      <c r="U78" s="2">
        <v>0</v>
      </c>
      <c r="V78" s="2" t="s">
        <v>42</v>
      </c>
      <c r="W78" s="2" t="s">
        <v>43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</row>
    <row r="79" spans="1:35" x14ac:dyDescent="0.25">
      <c r="A79" s="2">
        <v>45</v>
      </c>
      <c r="B79" s="2" t="s">
        <v>43</v>
      </c>
      <c r="C79" s="2" t="s">
        <v>36</v>
      </c>
      <c r="D79" s="2">
        <v>193</v>
      </c>
      <c r="E79" s="2" t="s">
        <v>45</v>
      </c>
      <c r="F79" s="2">
        <v>6</v>
      </c>
      <c r="G79" s="2">
        <v>4</v>
      </c>
      <c r="H79" s="2" t="s">
        <v>49</v>
      </c>
      <c r="I79" s="2">
        <v>1</v>
      </c>
      <c r="J79" s="2">
        <v>101</v>
      </c>
      <c r="K79" s="2">
        <v>4</v>
      </c>
      <c r="L79" s="2" t="s">
        <v>46</v>
      </c>
      <c r="M79" s="2">
        <v>52</v>
      </c>
      <c r="N79" s="2">
        <v>3</v>
      </c>
      <c r="O79" s="2">
        <v>3</v>
      </c>
      <c r="P79" s="2" t="s">
        <v>58</v>
      </c>
      <c r="Q79" s="2">
        <v>1</v>
      </c>
      <c r="R79" s="2" t="s">
        <v>48</v>
      </c>
      <c r="S79" s="2">
        <v>13245</v>
      </c>
      <c r="T79" s="2">
        <v>15067</v>
      </c>
      <c r="U79" s="2">
        <v>4</v>
      </c>
      <c r="V79" s="2" t="s">
        <v>42</v>
      </c>
      <c r="W79" s="2" t="s">
        <v>35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</row>
    <row r="80" spans="1:35" x14ac:dyDescent="0.25">
      <c r="A80" s="2">
        <v>37</v>
      </c>
      <c r="B80" s="2" t="s">
        <v>43</v>
      </c>
      <c r="C80" s="2" t="s">
        <v>36</v>
      </c>
      <c r="D80" s="2">
        <v>397</v>
      </c>
      <c r="E80" s="2" t="s">
        <v>45</v>
      </c>
      <c r="F80" s="2">
        <v>7</v>
      </c>
      <c r="G80" s="2">
        <v>4</v>
      </c>
      <c r="H80" s="2" t="s">
        <v>51</v>
      </c>
      <c r="I80" s="2">
        <v>1</v>
      </c>
      <c r="J80" s="2">
        <v>102</v>
      </c>
      <c r="K80" s="2">
        <v>1</v>
      </c>
      <c r="L80" s="2" t="s">
        <v>46</v>
      </c>
      <c r="M80" s="2">
        <v>30</v>
      </c>
      <c r="N80" s="2">
        <v>3</v>
      </c>
      <c r="O80" s="2">
        <v>3</v>
      </c>
      <c r="P80" s="2" t="s">
        <v>58</v>
      </c>
      <c r="Q80" s="2">
        <v>3</v>
      </c>
      <c r="R80" s="2" t="s">
        <v>41</v>
      </c>
      <c r="S80" s="2">
        <v>13664</v>
      </c>
      <c r="T80" s="2">
        <v>25258</v>
      </c>
      <c r="U80" s="2">
        <v>4</v>
      </c>
      <c r="V80" s="2" t="s">
        <v>42</v>
      </c>
      <c r="W80" s="2" t="s">
        <v>43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</row>
    <row r="81" spans="1:35" x14ac:dyDescent="0.25">
      <c r="A81" s="2">
        <v>46</v>
      </c>
      <c r="B81" s="2" t="s">
        <v>43</v>
      </c>
      <c r="C81" s="2" t="s">
        <v>36</v>
      </c>
      <c r="D81" s="2">
        <v>945</v>
      </c>
      <c r="E81" s="2" t="s">
        <v>61</v>
      </c>
      <c r="F81" s="2">
        <v>5</v>
      </c>
      <c r="G81" s="2">
        <v>2</v>
      </c>
      <c r="H81" s="2" t="s">
        <v>51</v>
      </c>
      <c r="I81" s="2">
        <v>1</v>
      </c>
      <c r="J81" s="2">
        <v>103</v>
      </c>
      <c r="K81" s="2">
        <v>2</v>
      </c>
      <c r="L81" s="2" t="s">
        <v>46</v>
      </c>
      <c r="M81" s="2">
        <v>80</v>
      </c>
      <c r="N81" s="2">
        <v>3</v>
      </c>
      <c r="O81" s="2">
        <v>2</v>
      </c>
      <c r="P81" s="2" t="s">
        <v>61</v>
      </c>
      <c r="Q81" s="2">
        <v>2</v>
      </c>
      <c r="R81" s="2" t="s">
        <v>52</v>
      </c>
      <c r="S81" s="2">
        <v>5021</v>
      </c>
      <c r="T81" s="2">
        <v>10425</v>
      </c>
      <c r="U81" s="2">
        <v>8</v>
      </c>
      <c r="V81" s="2" t="s">
        <v>42</v>
      </c>
      <c r="W81" s="2" t="s">
        <v>35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</row>
    <row r="82" spans="1:35" x14ac:dyDescent="0.25">
      <c r="A82" s="2">
        <v>30</v>
      </c>
      <c r="B82" s="2" t="s">
        <v>43</v>
      </c>
      <c r="C82" s="2" t="s">
        <v>36</v>
      </c>
      <c r="D82" s="2">
        <v>852</v>
      </c>
      <c r="E82" s="2" t="s">
        <v>45</v>
      </c>
      <c r="F82" s="2">
        <v>1</v>
      </c>
      <c r="G82" s="2">
        <v>1</v>
      </c>
      <c r="H82" s="2" t="s">
        <v>38</v>
      </c>
      <c r="I82" s="2">
        <v>1</v>
      </c>
      <c r="J82" s="2">
        <v>104</v>
      </c>
      <c r="K82" s="2">
        <v>4</v>
      </c>
      <c r="L82" s="2" t="s">
        <v>46</v>
      </c>
      <c r="M82" s="2">
        <v>55</v>
      </c>
      <c r="N82" s="2">
        <v>2</v>
      </c>
      <c r="O82" s="2">
        <v>2</v>
      </c>
      <c r="P82" s="2" t="s">
        <v>50</v>
      </c>
      <c r="Q82" s="2">
        <v>4</v>
      </c>
      <c r="R82" s="2" t="s">
        <v>48</v>
      </c>
      <c r="S82" s="2">
        <v>5126</v>
      </c>
      <c r="T82" s="2">
        <v>15998</v>
      </c>
      <c r="U82" s="2">
        <v>1</v>
      </c>
      <c r="V82" s="2" t="s">
        <v>42</v>
      </c>
      <c r="W82" s="2" t="s">
        <v>35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</row>
    <row r="83" spans="1:35" x14ac:dyDescent="0.25">
      <c r="A83" s="2">
        <v>35</v>
      </c>
      <c r="B83" s="2" t="s">
        <v>43</v>
      </c>
      <c r="C83" s="2" t="s">
        <v>36</v>
      </c>
      <c r="D83" s="2">
        <v>1214</v>
      </c>
      <c r="E83" s="2" t="s">
        <v>45</v>
      </c>
      <c r="F83" s="2">
        <v>1</v>
      </c>
      <c r="G83" s="2">
        <v>3</v>
      </c>
      <c r="H83" s="2" t="s">
        <v>51</v>
      </c>
      <c r="I83" s="2">
        <v>1</v>
      </c>
      <c r="J83" s="2">
        <v>105</v>
      </c>
      <c r="K83" s="2">
        <v>2</v>
      </c>
      <c r="L83" s="2" t="s">
        <v>46</v>
      </c>
      <c r="M83" s="2">
        <v>30</v>
      </c>
      <c r="N83" s="2">
        <v>2</v>
      </c>
      <c r="O83" s="2">
        <v>1</v>
      </c>
      <c r="P83" s="2" t="s">
        <v>47</v>
      </c>
      <c r="Q83" s="2">
        <v>3</v>
      </c>
      <c r="R83" s="2" t="s">
        <v>41</v>
      </c>
      <c r="S83" s="2">
        <v>2859</v>
      </c>
      <c r="T83" s="2">
        <v>26278</v>
      </c>
      <c r="U83" s="2">
        <v>1</v>
      </c>
      <c r="V83" s="2" t="s">
        <v>42</v>
      </c>
      <c r="W83" s="2" t="s">
        <v>43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</row>
    <row r="84" spans="1:35" x14ac:dyDescent="0.25">
      <c r="A84" s="2">
        <v>55</v>
      </c>
      <c r="B84" s="2" t="s">
        <v>43</v>
      </c>
      <c r="C84" s="2" t="s">
        <v>36</v>
      </c>
      <c r="D84" s="2">
        <v>111</v>
      </c>
      <c r="E84" s="2" t="s">
        <v>37</v>
      </c>
      <c r="F84" s="2">
        <v>1</v>
      </c>
      <c r="G84" s="2">
        <v>2</v>
      </c>
      <c r="H84" s="2" t="s">
        <v>38</v>
      </c>
      <c r="I84" s="2">
        <v>1</v>
      </c>
      <c r="J84" s="2">
        <v>106</v>
      </c>
      <c r="K84" s="2">
        <v>1</v>
      </c>
      <c r="L84" s="2" t="s">
        <v>46</v>
      </c>
      <c r="M84" s="2">
        <v>70</v>
      </c>
      <c r="N84" s="2">
        <v>3</v>
      </c>
      <c r="O84" s="2">
        <v>3</v>
      </c>
      <c r="P84" s="2" t="s">
        <v>40</v>
      </c>
      <c r="Q84" s="2">
        <v>4</v>
      </c>
      <c r="R84" s="2" t="s">
        <v>48</v>
      </c>
      <c r="S84" s="2">
        <v>10239</v>
      </c>
      <c r="T84" s="2">
        <v>18092</v>
      </c>
      <c r="U84" s="2">
        <v>3</v>
      </c>
      <c r="V84" s="2" t="s">
        <v>42</v>
      </c>
      <c r="W84" s="2" t="s">
        <v>43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</row>
    <row r="85" spans="1:35" x14ac:dyDescent="0.25">
      <c r="A85" s="2">
        <v>38</v>
      </c>
      <c r="B85" s="2" t="s">
        <v>43</v>
      </c>
      <c r="C85" s="2" t="s">
        <v>55</v>
      </c>
      <c r="D85" s="2">
        <v>573</v>
      </c>
      <c r="E85" s="2" t="s">
        <v>45</v>
      </c>
      <c r="F85" s="2">
        <v>6</v>
      </c>
      <c r="G85" s="2">
        <v>3</v>
      </c>
      <c r="H85" s="2" t="s">
        <v>51</v>
      </c>
      <c r="I85" s="2">
        <v>1</v>
      </c>
      <c r="J85" s="2">
        <v>107</v>
      </c>
      <c r="K85" s="2">
        <v>2</v>
      </c>
      <c r="L85" s="2" t="s">
        <v>39</v>
      </c>
      <c r="M85" s="2">
        <v>79</v>
      </c>
      <c r="N85" s="2">
        <v>1</v>
      </c>
      <c r="O85" s="2">
        <v>2</v>
      </c>
      <c r="P85" s="2" t="s">
        <v>47</v>
      </c>
      <c r="Q85" s="2">
        <v>4</v>
      </c>
      <c r="R85" s="2" t="s">
        <v>52</v>
      </c>
      <c r="S85" s="2">
        <v>5329</v>
      </c>
      <c r="T85" s="2">
        <v>15717</v>
      </c>
      <c r="U85" s="2">
        <v>7</v>
      </c>
      <c r="V85" s="2" t="s">
        <v>42</v>
      </c>
      <c r="W85" s="2" t="s">
        <v>35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</row>
    <row r="86" spans="1:35" x14ac:dyDescent="0.25">
      <c r="A86" s="2">
        <v>34</v>
      </c>
      <c r="B86" s="2" t="s">
        <v>43</v>
      </c>
      <c r="C86" s="2" t="s">
        <v>36</v>
      </c>
      <c r="D86" s="2">
        <v>1153</v>
      </c>
      <c r="E86" s="2" t="s">
        <v>45</v>
      </c>
      <c r="F86" s="2">
        <v>1</v>
      </c>
      <c r="G86" s="2">
        <v>2</v>
      </c>
      <c r="H86" s="2" t="s">
        <v>51</v>
      </c>
      <c r="I86" s="2">
        <v>1</v>
      </c>
      <c r="J86" s="2">
        <v>110</v>
      </c>
      <c r="K86" s="2">
        <v>1</v>
      </c>
      <c r="L86" s="2" t="s">
        <v>46</v>
      </c>
      <c r="M86" s="2">
        <v>94</v>
      </c>
      <c r="N86" s="2">
        <v>3</v>
      </c>
      <c r="O86" s="2">
        <v>2</v>
      </c>
      <c r="P86" s="2" t="s">
        <v>53</v>
      </c>
      <c r="Q86" s="2">
        <v>2</v>
      </c>
      <c r="R86" s="2" t="s">
        <v>48</v>
      </c>
      <c r="S86" s="2">
        <v>4325</v>
      </c>
      <c r="T86" s="2">
        <v>17736</v>
      </c>
      <c r="U86" s="2">
        <v>1</v>
      </c>
      <c r="V86" s="2" t="s">
        <v>42</v>
      </c>
      <c r="W86" s="2" t="s">
        <v>43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</row>
    <row r="87" spans="1:35" x14ac:dyDescent="0.25">
      <c r="A87" s="2">
        <v>56</v>
      </c>
      <c r="B87" s="2" t="s">
        <v>43</v>
      </c>
      <c r="C87" s="2" t="s">
        <v>36</v>
      </c>
      <c r="D87" s="2">
        <v>1400</v>
      </c>
      <c r="E87" s="2" t="s">
        <v>45</v>
      </c>
      <c r="F87" s="2">
        <v>7</v>
      </c>
      <c r="G87" s="2">
        <v>3</v>
      </c>
      <c r="H87" s="2" t="s">
        <v>38</v>
      </c>
      <c r="I87" s="2">
        <v>1</v>
      </c>
      <c r="J87" s="2">
        <v>112</v>
      </c>
      <c r="K87" s="2">
        <v>4</v>
      </c>
      <c r="L87" s="2" t="s">
        <v>46</v>
      </c>
      <c r="M87" s="2">
        <v>49</v>
      </c>
      <c r="N87" s="2">
        <v>1</v>
      </c>
      <c r="O87" s="2">
        <v>3</v>
      </c>
      <c r="P87" s="2" t="s">
        <v>53</v>
      </c>
      <c r="Q87" s="2">
        <v>4</v>
      </c>
      <c r="R87" s="2" t="s">
        <v>41</v>
      </c>
      <c r="S87" s="2">
        <v>7260</v>
      </c>
      <c r="T87" s="2">
        <v>21698</v>
      </c>
      <c r="U87" s="2">
        <v>4</v>
      </c>
      <c r="V87" s="2" t="s">
        <v>42</v>
      </c>
      <c r="W87" s="2" t="s">
        <v>43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</row>
    <row r="88" spans="1:35" x14ac:dyDescent="0.25">
      <c r="A88" s="2">
        <v>23</v>
      </c>
      <c r="B88" s="2" t="s">
        <v>43</v>
      </c>
      <c r="C88" s="2" t="s">
        <v>36</v>
      </c>
      <c r="D88" s="2">
        <v>541</v>
      </c>
      <c r="E88" s="2" t="s">
        <v>37</v>
      </c>
      <c r="F88" s="2">
        <v>2</v>
      </c>
      <c r="G88" s="2">
        <v>1</v>
      </c>
      <c r="H88" s="2" t="s">
        <v>60</v>
      </c>
      <c r="I88" s="2">
        <v>1</v>
      </c>
      <c r="J88" s="2">
        <v>113</v>
      </c>
      <c r="K88" s="2">
        <v>3</v>
      </c>
      <c r="L88" s="2" t="s">
        <v>46</v>
      </c>
      <c r="M88" s="2">
        <v>62</v>
      </c>
      <c r="N88" s="2">
        <v>3</v>
      </c>
      <c r="O88" s="2">
        <v>1</v>
      </c>
      <c r="P88" s="2" t="s">
        <v>57</v>
      </c>
      <c r="Q88" s="2">
        <v>1</v>
      </c>
      <c r="R88" s="2" t="s">
        <v>52</v>
      </c>
      <c r="S88" s="2">
        <v>2322</v>
      </c>
      <c r="T88" s="2">
        <v>9518</v>
      </c>
      <c r="U88" s="2">
        <v>3</v>
      </c>
      <c r="V88" s="2" t="s">
        <v>42</v>
      </c>
      <c r="W88" s="2" t="s">
        <v>43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</row>
    <row r="89" spans="1:35" x14ac:dyDescent="0.25">
      <c r="A89" s="2">
        <v>51</v>
      </c>
      <c r="B89" s="2" t="s">
        <v>43</v>
      </c>
      <c r="C89" s="2" t="s">
        <v>36</v>
      </c>
      <c r="D89" s="2">
        <v>432</v>
      </c>
      <c r="E89" s="2" t="s">
        <v>45</v>
      </c>
      <c r="F89" s="2">
        <v>9</v>
      </c>
      <c r="G89" s="2">
        <v>4</v>
      </c>
      <c r="H89" s="2" t="s">
        <v>38</v>
      </c>
      <c r="I89" s="2">
        <v>1</v>
      </c>
      <c r="J89" s="2">
        <v>116</v>
      </c>
      <c r="K89" s="2">
        <v>4</v>
      </c>
      <c r="L89" s="2" t="s">
        <v>46</v>
      </c>
      <c r="M89" s="2">
        <v>96</v>
      </c>
      <c r="N89" s="2">
        <v>3</v>
      </c>
      <c r="O89" s="2">
        <v>1</v>
      </c>
      <c r="P89" s="2" t="s">
        <v>50</v>
      </c>
      <c r="Q89" s="2">
        <v>4</v>
      </c>
      <c r="R89" s="2" t="s">
        <v>48</v>
      </c>
      <c r="S89" s="2">
        <v>2075</v>
      </c>
      <c r="T89" s="2">
        <v>18725</v>
      </c>
      <c r="U89" s="2">
        <v>3</v>
      </c>
      <c r="V89" s="2" t="s">
        <v>42</v>
      </c>
      <c r="W89" s="2" t="s">
        <v>43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</row>
    <row r="90" spans="1:35" x14ac:dyDescent="0.25">
      <c r="A90" s="2">
        <v>30</v>
      </c>
      <c r="B90" s="2" t="s">
        <v>43</v>
      </c>
      <c r="C90" s="2" t="s">
        <v>36</v>
      </c>
      <c r="D90" s="2">
        <v>288</v>
      </c>
      <c r="E90" s="2" t="s">
        <v>45</v>
      </c>
      <c r="F90" s="2">
        <v>2</v>
      </c>
      <c r="G90" s="2">
        <v>3</v>
      </c>
      <c r="H90" s="2" t="s">
        <v>38</v>
      </c>
      <c r="I90" s="2">
        <v>1</v>
      </c>
      <c r="J90" s="2">
        <v>117</v>
      </c>
      <c r="K90" s="2">
        <v>3</v>
      </c>
      <c r="L90" s="2" t="s">
        <v>46</v>
      </c>
      <c r="M90" s="2">
        <v>99</v>
      </c>
      <c r="N90" s="2">
        <v>2</v>
      </c>
      <c r="O90" s="2">
        <v>2</v>
      </c>
      <c r="P90" s="2" t="s">
        <v>54</v>
      </c>
      <c r="Q90" s="2">
        <v>4</v>
      </c>
      <c r="R90" s="2" t="s">
        <v>48</v>
      </c>
      <c r="S90" s="2">
        <v>4152</v>
      </c>
      <c r="T90" s="2">
        <v>15830</v>
      </c>
      <c r="U90" s="2">
        <v>1</v>
      </c>
      <c r="V90" s="2" t="s">
        <v>42</v>
      </c>
      <c r="W90" s="2" t="s">
        <v>43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</row>
    <row r="91" spans="1:35" x14ac:dyDescent="0.25">
      <c r="A91" s="2">
        <v>46</v>
      </c>
      <c r="B91" s="2" t="s">
        <v>35</v>
      </c>
      <c r="C91" s="2" t="s">
        <v>36</v>
      </c>
      <c r="D91" s="2">
        <v>669</v>
      </c>
      <c r="E91" s="2" t="s">
        <v>37</v>
      </c>
      <c r="F91" s="2">
        <v>9</v>
      </c>
      <c r="G91" s="2">
        <v>2</v>
      </c>
      <c r="H91" s="2" t="s">
        <v>51</v>
      </c>
      <c r="I91" s="2">
        <v>1</v>
      </c>
      <c r="J91" s="2">
        <v>118</v>
      </c>
      <c r="K91" s="2">
        <v>3</v>
      </c>
      <c r="L91" s="2" t="s">
        <v>46</v>
      </c>
      <c r="M91" s="2">
        <v>64</v>
      </c>
      <c r="N91" s="2">
        <v>2</v>
      </c>
      <c r="O91" s="2">
        <v>3</v>
      </c>
      <c r="P91" s="2" t="s">
        <v>40</v>
      </c>
      <c r="Q91" s="2">
        <v>4</v>
      </c>
      <c r="R91" s="2" t="s">
        <v>41</v>
      </c>
      <c r="S91" s="2">
        <v>9619</v>
      </c>
      <c r="T91" s="2">
        <v>13596</v>
      </c>
      <c r="U91" s="2">
        <v>1</v>
      </c>
      <c r="V91" s="2" t="s">
        <v>42</v>
      </c>
      <c r="W91" s="2" t="s">
        <v>43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</row>
    <row r="92" spans="1:35" x14ac:dyDescent="0.25">
      <c r="A92" s="2">
        <v>40</v>
      </c>
      <c r="B92" s="2" t="s">
        <v>43</v>
      </c>
      <c r="C92" s="2" t="s">
        <v>44</v>
      </c>
      <c r="D92" s="2">
        <v>530</v>
      </c>
      <c r="E92" s="2" t="s">
        <v>45</v>
      </c>
      <c r="F92" s="2">
        <v>1</v>
      </c>
      <c r="G92" s="2">
        <v>4</v>
      </c>
      <c r="H92" s="2" t="s">
        <v>38</v>
      </c>
      <c r="I92" s="2">
        <v>1</v>
      </c>
      <c r="J92" s="2">
        <v>119</v>
      </c>
      <c r="K92" s="2">
        <v>3</v>
      </c>
      <c r="L92" s="2" t="s">
        <v>46</v>
      </c>
      <c r="M92" s="2">
        <v>78</v>
      </c>
      <c r="N92" s="2">
        <v>2</v>
      </c>
      <c r="O92" s="2">
        <v>4</v>
      </c>
      <c r="P92" s="2" t="s">
        <v>54</v>
      </c>
      <c r="Q92" s="2">
        <v>2</v>
      </c>
      <c r="R92" s="2" t="s">
        <v>48</v>
      </c>
      <c r="S92" s="2">
        <v>13503</v>
      </c>
      <c r="T92" s="2">
        <v>14115</v>
      </c>
      <c r="U92" s="2">
        <v>1</v>
      </c>
      <c r="V92" s="2" t="s">
        <v>42</v>
      </c>
      <c r="W92" s="2" t="s">
        <v>43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</row>
    <row r="93" spans="1:35" x14ac:dyDescent="0.25">
      <c r="A93" s="2">
        <v>51</v>
      </c>
      <c r="B93" s="2" t="s">
        <v>43</v>
      </c>
      <c r="C93" s="2" t="s">
        <v>36</v>
      </c>
      <c r="D93" s="2">
        <v>632</v>
      </c>
      <c r="E93" s="2" t="s">
        <v>37</v>
      </c>
      <c r="F93" s="2">
        <v>21</v>
      </c>
      <c r="G93" s="2">
        <v>4</v>
      </c>
      <c r="H93" s="2" t="s">
        <v>59</v>
      </c>
      <c r="I93" s="2">
        <v>1</v>
      </c>
      <c r="J93" s="2">
        <v>120</v>
      </c>
      <c r="K93" s="2">
        <v>3</v>
      </c>
      <c r="L93" s="2" t="s">
        <v>46</v>
      </c>
      <c r="M93" s="2">
        <v>71</v>
      </c>
      <c r="N93" s="2">
        <v>3</v>
      </c>
      <c r="O93" s="2">
        <v>2</v>
      </c>
      <c r="P93" s="2" t="s">
        <v>40</v>
      </c>
      <c r="Q93" s="2">
        <v>4</v>
      </c>
      <c r="R93" s="2" t="s">
        <v>41</v>
      </c>
      <c r="S93" s="2">
        <v>5441</v>
      </c>
      <c r="T93" s="2">
        <v>8423</v>
      </c>
      <c r="U93" s="2">
        <v>0</v>
      </c>
      <c r="V93" s="2" t="s">
        <v>42</v>
      </c>
      <c r="W93" s="2" t="s">
        <v>35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</row>
    <row r="94" spans="1:35" x14ac:dyDescent="0.25">
      <c r="A94" s="2">
        <v>30</v>
      </c>
      <c r="B94" s="2" t="s">
        <v>43</v>
      </c>
      <c r="C94" s="2" t="s">
        <v>36</v>
      </c>
      <c r="D94" s="2">
        <v>1334</v>
      </c>
      <c r="E94" s="2" t="s">
        <v>37</v>
      </c>
      <c r="F94" s="2">
        <v>4</v>
      </c>
      <c r="G94" s="2">
        <v>2</v>
      </c>
      <c r="H94" s="2" t="s">
        <v>51</v>
      </c>
      <c r="I94" s="2">
        <v>1</v>
      </c>
      <c r="J94" s="2">
        <v>121</v>
      </c>
      <c r="K94" s="2">
        <v>3</v>
      </c>
      <c r="L94" s="2" t="s">
        <v>39</v>
      </c>
      <c r="M94" s="2">
        <v>63</v>
      </c>
      <c r="N94" s="2">
        <v>2</v>
      </c>
      <c r="O94" s="2">
        <v>2</v>
      </c>
      <c r="P94" s="2" t="s">
        <v>40</v>
      </c>
      <c r="Q94" s="2">
        <v>2</v>
      </c>
      <c r="R94" s="2" t="s">
        <v>52</v>
      </c>
      <c r="S94" s="2">
        <v>5209</v>
      </c>
      <c r="T94" s="2">
        <v>19760</v>
      </c>
      <c r="U94" s="2">
        <v>1</v>
      </c>
      <c r="V94" s="2" t="s">
        <v>42</v>
      </c>
      <c r="W94" s="2" t="s">
        <v>35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</row>
    <row r="95" spans="1:35" x14ac:dyDescent="0.25">
      <c r="A95" s="2">
        <v>46</v>
      </c>
      <c r="B95" s="2" t="s">
        <v>43</v>
      </c>
      <c r="C95" s="2" t="s">
        <v>44</v>
      </c>
      <c r="D95" s="2">
        <v>638</v>
      </c>
      <c r="E95" s="2" t="s">
        <v>45</v>
      </c>
      <c r="F95" s="2">
        <v>1</v>
      </c>
      <c r="G95" s="2">
        <v>3</v>
      </c>
      <c r="H95" s="2" t="s">
        <v>51</v>
      </c>
      <c r="I95" s="2">
        <v>1</v>
      </c>
      <c r="J95" s="2">
        <v>124</v>
      </c>
      <c r="K95" s="2">
        <v>3</v>
      </c>
      <c r="L95" s="2" t="s">
        <v>46</v>
      </c>
      <c r="M95" s="2">
        <v>40</v>
      </c>
      <c r="N95" s="2">
        <v>2</v>
      </c>
      <c r="O95" s="2">
        <v>3</v>
      </c>
      <c r="P95" s="2" t="s">
        <v>54</v>
      </c>
      <c r="Q95" s="2">
        <v>1</v>
      </c>
      <c r="R95" s="2" t="s">
        <v>48</v>
      </c>
      <c r="S95" s="2">
        <v>10673</v>
      </c>
      <c r="T95" s="2">
        <v>3142</v>
      </c>
      <c r="U95" s="2">
        <v>2</v>
      </c>
      <c r="V95" s="2" t="s">
        <v>42</v>
      </c>
      <c r="W95" s="2" t="s">
        <v>35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</row>
    <row r="96" spans="1:35" x14ac:dyDescent="0.25">
      <c r="A96" s="2">
        <v>32</v>
      </c>
      <c r="B96" s="2" t="s">
        <v>43</v>
      </c>
      <c r="C96" s="2" t="s">
        <v>36</v>
      </c>
      <c r="D96" s="2">
        <v>1093</v>
      </c>
      <c r="E96" s="2" t="s">
        <v>37</v>
      </c>
      <c r="F96" s="2">
        <v>6</v>
      </c>
      <c r="G96" s="2">
        <v>4</v>
      </c>
      <c r="H96" s="2" t="s">
        <v>51</v>
      </c>
      <c r="I96" s="2">
        <v>1</v>
      </c>
      <c r="J96" s="2">
        <v>125</v>
      </c>
      <c r="K96" s="2">
        <v>2</v>
      </c>
      <c r="L96" s="2" t="s">
        <v>46</v>
      </c>
      <c r="M96" s="2">
        <v>87</v>
      </c>
      <c r="N96" s="2">
        <v>3</v>
      </c>
      <c r="O96" s="2">
        <v>2</v>
      </c>
      <c r="P96" s="2" t="s">
        <v>40</v>
      </c>
      <c r="Q96" s="2">
        <v>3</v>
      </c>
      <c r="R96" s="2" t="s">
        <v>41</v>
      </c>
      <c r="S96" s="2">
        <v>5010</v>
      </c>
      <c r="T96" s="2">
        <v>24301</v>
      </c>
      <c r="U96" s="2">
        <v>1</v>
      </c>
      <c r="V96" s="2" t="s">
        <v>42</v>
      </c>
      <c r="W96" s="2" t="s">
        <v>43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</row>
    <row r="97" spans="1:35" x14ac:dyDescent="0.25">
      <c r="A97" s="2">
        <v>54</v>
      </c>
      <c r="B97" s="2" t="s">
        <v>43</v>
      </c>
      <c r="C97" s="2" t="s">
        <v>36</v>
      </c>
      <c r="D97" s="2">
        <v>1217</v>
      </c>
      <c r="E97" s="2" t="s">
        <v>45</v>
      </c>
      <c r="F97" s="2">
        <v>2</v>
      </c>
      <c r="G97" s="2">
        <v>4</v>
      </c>
      <c r="H97" s="2" t="s">
        <v>60</v>
      </c>
      <c r="I97" s="2">
        <v>1</v>
      </c>
      <c r="J97" s="2">
        <v>126</v>
      </c>
      <c r="K97" s="2">
        <v>1</v>
      </c>
      <c r="L97" s="2" t="s">
        <v>39</v>
      </c>
      <c r="M97" s="2">
        <v>60</v>
      </c>
      <c r="N97" s="2">
        <v>3</v>
      </c>
      <c r="O97" s="2">
        <v>3</v>
      </c>
      <c r="P97" s="2" t="s">
        <v>58</v>
      </c>
      <c r="Q97" s="2">
        <v>3</v>
      </c>
      <c r="R97" s="2" t="s">
        <v>48</v>
      </c>
      <c r="S97" s="2">
        <v>13549</v>
      </c>
      <c r="T97" s="2">
        <v>24001</v>
      </c>
      <c r="U97" s="2">
        <v>9</v>
      </c>
      <c r="V97" s="2" t="s">
        <v>42</v>
      </c>
      <c r="W97" s="2" t="s">
        <v>43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</row>
    <row r="98" spans="1:35" x14ac:dyDescent="0.25">
      <c r="A98" s="2">
        <v>24</v>
      </c>
      <c r="B98" s="2" t="s">
        <v>43</v>
      </c>
      <c r="C98" s="2" t="s">
        <v>36</v>
      </c>
      <c r="D98" s="2">
        <v>1353</v>
      </c>
      <c r="E98" s="2" t="s">
        <v>37</v>
      </c>
      <c r="F98" s="2">
        <v>3</v>
      </c>
      <c r="G98" s="2">
        <v>2</v>
      </c>
      <c r="H98" s="2" t="s">
        <v>49</v>
      </c>
      <c r="I98" s="2">
        <v>1</v>
      </c>
      <c r="J98" s="2">
        <v>128</v>
      </c>
      <c r="K98" s="2">
        <v>1</v>
      </c>
      <c r="L98" s="2" t="s">
        <v>39</v>
      </c>
      <c r="M98" s="2">
        <v>33</v>
      </c>
      <c r="N98" s="2">
        <v>3</v>
      </c>
      <c r="O98" s="2">
        <v>2</v>
      </c>
      <c r="P98" s="2" t="s">
        <v>40</v>
      </c>
      <c r="Q98" s="2">
        <v>3</v>
      </c>
      <c r="R98" s="2" t="s">
        <v>48</v>
      </c>
      <c r="S98" s="2">
        <v>4999</v>
      </c>
      <c r="T98" s="2">
        <v>17519</v>
      </c>
      <c r="U98" s="2">
        <v>0</v>
      </c>
      <c r="V98" s="2" t="s">
        <v>42</v>
      </c>
      <c r="W98" s="2" t="s">
        <v>43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</row>
    <row r="99" spans="1:35" x14ac:dyDescent="0.25">
      <c r="A99" s="2">
        <v>28</v>
      </c>
      <c r="B99" s="2" t="s">
        <v>43</v>
      </c>
      <c r="C99" s="2" t="s">
        <v>55</v>
      </c>
      <c r="D99" s="2">
        <v>120</v>
      </c>
      <c r="E99" s="2" t="s">
        <v>37</v>
      </c>
      <c r="F99" s="2">
        <v>4</v>
      </c>
      <c r="G99" s="2">
        <v>3</v>
      </c>
      <c r="H99" s="2" t="s">
        <v>51</v>
      </c>
      <c r="I99" s="2">
        <v>1</v>
      </c>
      <c r="J99" s="2">
        <v>129</v>
      </c>
      <c r="K99" s="2">
        <v>2</v>
      </c>
      <c r="L99" s="2" t="s">
        <v>46</v>
      </c>
      <c r="M99" s="2">
        <v>43</v>
      </c>
      <c r="N99" s="2">
        <v>3</v>
      </c>
      <c r="O99" s="2">
        <v>2</v>
      </c>
      <c r="P99" s="2" t="s">
        <v>40</v>
      </c>
      <c r="Q99" s="2">
        <v>3</v>
      </c>
      <c r="R99" s="2" t="s">
        <v>48</v>
      </c>
      <c r="S99" s="2">
        <v>4221</v>
      </c>
      <c r="T99" s="2">
        <v>8863</v>
      </c>
      <c r="U99" s="2">
        <v>1</v>
      </c>
      <c r="V99" s="2" t="s">
        <v>42</v>
      </c>
      <c r="W99" s="2" t="s">
        <v>43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</row>
    <row r="100" spans="1:35" x14ac:dyDescent="0.25">
      <c r="A100" s="2">
        <v>58</v>
      </c>
      <c r="B100" s="2" t="s">
        <v>43</v>
      </c>
      <c r="C100" s="2" t="s">
        <v>36</v>
      </c>
      <c r="D100" s="2">
        <v>682</v>
      </c>
      <c r="E100" s="2" t="s">
        <v>37</v>
      </c>
      <c r="F100" s="2">
        <v>10</v>
      </c>
      <c r="G100" s="2">
        <v>4</v>
      </c>
      <c r="H100" s="2" t="s">
        <v>51</v>
      </c>
      <c r="I100" s="2">
        <v>1</v>
      </c>
      <c r="J100" s="2">
        <v>131</v>
      </c>
      <c r="K100" s="2">
        <v>4</v>
      </c>
      <c r="L100" s="2" t="s">
        <v>46</v>
      </c>
      <c r="M100" s="2">
        <v>37</v>
      </c>
      <c r="N100" s="2">
        <v>3</v>
      </c>
      <c r="O100" s="2">
        <v>4</v>
      </c>
      <c r="P100" s="2" t="s">
        <v>40</v>
      </c>
      <c r="Q100" s="2">
        <v>3</v>
      </c>
      <c r="R100" s="2" t="s">
        <v>41</v>
      </c>
      <c r="S100" s="2">
        <v>13872</v>
      </c>
      <c r="T100" s="2">
        <v>24409</v>
      </c>
      <c r="U100" s="2">
        <v>0</v>
      </c>
      <c r="V100" s="2" t="s">
        <v>42</v>
      </c>
      <c r="W100" s="2" t="s">
        <v>43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</row>
    <row r="101" spans="1:35" x14ac:dyDescent="0.25">
      <c r="A101" s="2">
        <v>44</v>
      </c>
      <c r="B101" s="2" t="s">
        <v>43</v>
      </c>
      <c r="C101" s="2" t="s">
        <v>55</v>
      </c>
      <c r="D101" s="2">
        <v>489</v>
      </c>
      <c r="E101" s="2" t="s">
        <v>45</v>
      </c>
      <c r="F101" s="2">
        <v>23</v>
      </c>
      <c r="G101" s="2">
        <v>3</v>
      </c>
      <c r="H101" s="2" t="s">
        <v>51</v>
      </c>
      <c r="I101" s="2">
        <v>1</v>
      </c>
      <c r="J101" s="2">
        <v>132</v>
      </c>
      <c r="K101" s="2">
        <v>2</v>
      </c>
      <c r="L101" s="2" t="s">
        <v>46</v>
      </c>
      <c r="M101" s="2">
        <v>67</v>
      </c>
      <c r="N101" s="2">
        <v>3</v>
      </c>
      <c r="O101" s="2">
        <v>2</v>
      </c>
      <c r="P101" s="2" t="s">
        <v>50</v>
      </c>
      <c r="Q101" s="2">
        <v>2</v>
      </c>
      <c r="R101" s="2" t="s">
        <v>48</v>
      </c>
      <c r="S101" s="2">
        <v>2042</v>
      </c>
      <c r="T101" s="2">
        <v>25043</v>
      </c>
      <c r="U101" s="2">
        <v>4</v>
      </c>
      <c r="V101" s="2" t="s">
        <v>42</v>
      </c>
      <c r="W101" s="2" t="s">
        <v>43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</row>
    <row r="102" spans="1:35" x14ac:dyDescent="0.25">
      <c r="A102" s="2">
        <v>37</v>
      </c>
      <c r="B102" s="2" t="s">
        <v>35</v>
      </c>
      <c r="C102" s="2" t="s">
        <v>36</v>
      </c>
      <c r="D102" s="2">
        <v>807</v>
      </c>
      <c r="E102" s="2" t="s">
        <v>61</v>
      </c>
      <c r="F102" s="2">
        <v>6</v>
      </c>
      <c r="G102" s="2">
        <v>4</v>
      </c>
      <c r="H102" s="2" t="s">
        <v>61</v>
      </c>
      <c r="I102" s="2">
        <v>1</v>
      </c>
      <c r="J102" s="2">
        <v>133</v>
      </c>
      <c r="K102" s="2">
        <v>3</v>
      </c>
      <c r="L102" s="2" t="s">
        <v>46</v>
      </c>
      <c r="M102" s="2">
        <v>63</v>
      </c>
      <c r="N102" s="2">
        <v>3</v>
      </c>
      <c r="O102" s="2">
        <v>1</v>
      </c>
      <c r="P102" s="2" t="s">
        <v>61</v>
      </c>
      <c r="Q102" s="2">
        <v>1</v>
      </c>
      <c r="R102" s="2" t="s">
        <v>52</v>
      </c>
      <c r="S102" s="2">
        <v>2073</v>
      </c>
      <c r="T102" s="2">
        <v>23648</v>
      </c>
      <c r="U102" s="2">
        <v>4</v>
      </c>
      <c r="V102" s="2" t="s">
        <v>42</v>
      </c>
      <c r="W102" s="2" t="s">
        <v>35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2">
        <v>2</v>
      </c>
    </row>
    <row r="103" spans="1:35" x14ac:dyDescent="0.25">
      <c r="A103" s="2">
        <v>32</v>
      </c>
      <c r="B103" s="2" t="s">
        <v>43</v>
      </c>
      <c r="C103" s="2" t="s">
        <v>36</v>
      </c>
      <c r="D103" s="2">
        <v>827</v>
      </c>
      <c r="E103" s="2" t="s">
        <v>45</v>
      </c>
      <c r="F103" s="2">
        <v>1</v>
      </c>
      <c r="G103" s="2">
        <v>1</v>
      </c>
      <c r="H103" s="2" t="s">
        <v>38</v>
      </c>
      <c r="I103" s="2">
        <v>1</v>
      </c>
      <c r="J103" s="2">
        <v>134</v>
      </c>
      <c r="K103" s="2">
        <v>4</v>
      </c>
      <c r="L103" s="2" t="s">
        <v>46</v>
      </c>
      <c r="M103" s="2">
        <v>71</v>
      </c>
      <c r="N103" s="2">
        <v>3</v>
      </c>
      <c r="O103" s="2">
        <v>1</v>
      </c>
      <c r="P103" s="2" t="s">
        <v>47</v>
      </c>
      <c r="Q103" s="2">
        <v>1</v>
      </c>
      <c r="R103" s="2" t="s">
        <v>41</v>
      </c>
      <c r="S103" s="2">
        <v>2956</v>
      </c>
      <c r="T103" s="2">
        <v>15178</v>
      </c>
      <c r="U103" s="2">
        <v>1</v>
      </c>
      <c r="V103" s="2" t="s">
        <v>42</v>
      </c>
      <c r="W103" s="2" t="s">
        <v>43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</row>
    <row r="104" spans="1:35" x14ac:dyDescent="0.25">
      <c r="A104" s="2">
        <v>20</v>
      </c>
      <c r="B104" s="2" t="s">
        <v>35</v>
      </c>
      <c r="C104" s="2" t="s">
        <v>44</v>
      </c>
      <c r="D104" s="2">
        <v>871</v>
      </c>
      <c r="E104" s="2" t="s">
        <v>45</v>
      </c>
      <c r="F104" s="2">
        <v>6</v>
      </c>
      <c r="G104" s="2">
        <v>3</v>
      </c>
      <c r="H104" s="2" t="s">
        <v>38</v>
      </c>
      <c r="I104" s="2">
        <v>1</v>
      </c>
      <c r="J104" s="2">
        <v>137</v>
      </c>
      <c r="K104" s="2">
        <v>4</v>
      </c>
      <c r="L104" s="2" t="s">
        <v>39</v>
      </c>
      <c r="M104" s="2">
        <v>66</v>
      </c>
      <c r="N104" s="2">
        <v>2</v>
      </c>
      <c r="O104" s="2">
        <v>1</v>
      </c>
      <c r="P104" s="2" t="s">
        <v>50</v>
      </c>
      <c r="Q104" s="2">
        <v>4</v>
      </c>
      <c r="R104" s="2" t="s">
        <v>41</v>
      </c>
      <c r="S104" s="2">
        <v>2926</v>
      </c>
      <c r="T104" s="2">
        <v>19783</v>
      </c>
      <c r="U104" s="2">
        <v>1</v>
      </c>
      <c r="V104" s="2" t="s">
        <v>42</v>
      </c>
      <c r="W104" s="2" t="s">
        <v>35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</row>
    <row r="105" spans="1:35" x14ac:dyDescent="0.25">
      <c r="A105" s="2">
        <v>34</v>
      </c>
      <c r="B105" s="2" t="s">
        <v>43</v>
      </c>
      <c r="C105" s="2" t="s">
        <v>36</v>
      </c>
      <c r="D105" s="2">
        <v>665</v>
      </c>
      <c r="E105" s="2" t="s">
        <v>45</v>
      </c>
      <c r="F105" s="2">
        <v>6</v>
      </c>
      <c r="G105" s="2">
        <v>4</v>
      </c>
      <c r="H105" s="2" t="s">
        <v>49</v>
      </c>
      <c r="I105" s="2">
        <v>1</v>
      </c>
      <c r="J105" s="2">
        <v>138</v>
      </c>
      <c r="K105" s="2">
        <v>1</v>
      </c>
      <c r="L105" s="2" t="s">
        <v>39</v>
      </c>
      <c r="M105" s="2">
        <v>41</v>
      </c>
      <c r="N105" s="2">
        <v>3</v>
      </c>
      <c r="O105" s="2">
        <v>2</v>
      </c>
      <c r="P105" s="2" t="s">
        <v>47</v>
      </c>
      <c r="Q105" s="2">
        <v>3</v>
      </c>
      <c r="R105" s="2" t="s">
        <v>41</v>
      </c>
      <c r="S105" s="2">
        <v>4809</v>
      </c>
      <c r="T105" s="2">
        <v>12482</v>
      </c>
      <c r="U105" s="2">
        <v>1</v>
      </c>
      <c r="V105" s="2" t="s">
        <v>42</v>
      </c>
      <c r="W105" s="2" t="s">
        <v>43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</row>
    <row r="106" spans="1:35" x14ac:dyDescent="0.25">
      <c r="A106" s="2">
        <v>37</v>
      </c>
      <c r="B106" s="2" t="s">
        <v>43</v>
      </c>
      <c r="C106" s="2" t="s">
        <v>55</v>
      </c>
      <c r="D106" s="2">
        <v>1040</v>
      </c>
      <c r="E106" s="2" t="s">
        <v>45</v>
      </c>
      <c r="F106" s="2">
        <v>2</v>
      </c>
      <c r="G106" s="2">
        <v>2</v>
      </c>
      <c r="H106" s="2" t="s">
        <v>38</v>
      </c>
      <c r="I106" s="2">
        <v>1</v>
      </c>
      <c r="J106" s="2">
        <v>139</v>
      </c>
      <c r="K106" s="2">
        <v>3</v>
      </c>
      <c r="L106" s="2" t="s">
        <v>46</v>
      </c>
      <c r="M106" s="2">
        <v>100</v>
      </c>
      <c r="N106" s="2">
        <v>2</v>
      </c>
      <c r="O106" s="2">
        <v>2</v>
      </c>
      <c r="P106" s="2" t="s">
        <v>54</v>
      </c>
      <c r="Q106" s="2">
        <v>4</v>
      </c>
      <c r="R106" s="2" t="s">
        <v>52</v>
      </c>
      <c r="S106" s="2">
        <v>5163</v>
      </c>
      <c r="T106" s="2">
        <v>15850</v>
      </c>
      <c r="U106" s="2">
        <v>5</v>
      </c>
      <c r="V106" s="2" t="s">
        <v>42</v>
      </c>
      <c r="W106" s="2" t="s">
        <v>43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</row>
    <row r="107" spans="1:35" x14ac:dyDescent="0.25">
      <c r="A107" s="2">
        <v>59</v>
      </c>
      <c r="B107" s="2" t="s">
        <v>43</v>
      </c>
      <c r="C107" s="2" t="s">
        <v>55</v>
      </c>
      <c r="D107" s="2">
        <v>1420</v>
      </c>
      <c r="E107" s="2" t="s">
        <v>61</v>
      </c>
      <c r="F107" s="2">
        <v>2</v>
      </c>
      <c r="G107" s="2">
        <v>4</v>
      </c>
      <c r="H107" s="2" t="s">
        <v>61</v>
      </c>
      <c r="I107" s="2">
        <v>1</v>
      </c>
      <c r="J107" s="2">
        <v>140</v>
      </c>
      <c r="K107" s="2">
        <v>3</v>
      </c>
      <c r="L107" s="2" t="s">
        <v>39</v>
      </c>
      <c r="M107" s="2">
        <v>32</v>
      </c>
      <c r="N107" s="2">
        <v>2</v>
      </c>
      <c r="O107" s="2">
        <v>5</v>
      </c>
      <c r="P107" s="2" t="s">
        <v>56</v>
      </c>
      <c r="Q107" s="2">
        <v>4</v>
      </c>
      <c r="R107" s="2" t="s">
        <v>48</v>
      </c>
      <c r="S107" s="2">
        <v>18844</v>
      </c>
      <c r="T107" s="2">
        <v>21922</v>
      </c>
      <c r="U107" s="2">
        <v>9</v>
      </c>
      <c r="V107" s="2" t="s">
        <v>42</v>
      </c>
      <c r="W107" s="2" t="s">
        <v>43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</row>
    <row r="108" spans="1:35" x14ac:dyDescent="0.25">
      <c r="A108" s="2">
        <v>50</v>
      </c>
      <c r="B108" s="2" t="s">
        <v>43</v>
      </c>
      <c r="C108" s="2" t="s">
        <v>44</v>
      </c>
      <c r="D108" s="2">
        <v>1115</v>
      </c>
      <c r="E108" s="2" t="s">
        <v>45</v>
      </c>
      <c r="F108" s="2">
        <v>1</v>
      </c>
      <c r="G108" s="2">
        <v>3</v>
      </c>
      <c r="H108" s="2" t="s">
        <v>38</v>
      </c>
      <c r="I108" s="2">
        <v>1</v>
      </c>
      <c r="J108" s="2">
        <v>141</v>
      </c>
      <c r="K108" s="2">
        <v>1</v>
      </c>
      <c r="L108" s="2" t="s">
        <v>39</v>
      </c>
      <c r="M108" s="2">
        <v>73</v>
      </c>
      <c r="N108" s="2">
        <v>3</v>
      </c>
      <c r="O108" s="2">
        <v>5</v>
      </c>
      <c r="P108" s="2" t="s">
        <v>58</v>
      </c>
      <c r="Q108" s="2">
        <v>2</v>
      </c>
      <c r="R108" s="2" t="s">
        <v>48</v>
      </c>
      <c r="S108" s="2">
        <v>18172</v>
      </c>
      <c r="T108" s="2">
        <v>9755</v>
      </c>
      <c r="U108" s="2">
        <v>3</v>
      </c>
      <c r="V108" s="2" t="s">
        <v>42</v>
      </c>
      <c r="W108" s="2" t="s">
        <v>35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</row>
    <row r="109" spans="1:35" x14ac:dyDescent="0.25">
      <c r="A109" s="2">
        <v>25</v>
      </c>
      <c r="B109" s="2" t="s">
        <v>35</v>
      </c>
      <c r="C109" s="2" t="s">
        <v>36</v>
      </c>
      <c r="D109" s="2">
        <v>240</v>
      </c>
      <c r="E109" s="2" t="s">
        <v>37</v>
      </c>
      <c r="F109" s="2">
        <v>5</v>
      </c>
      <c r="G109" s="2">
        <v>3</v>
      </c>
      <c r="H109" s="2" t="s">
        <v>59</v>
      </c>
      <c r="I109" s="2">
        <v>1</v>
      </c>
      <c r="J109" s="2">
        <v>142</v>
      </c>
      <c r="K109" s="2">
        <v>3</v>
      </c>
      <c r="L109" s="2" t="s">
        <v>46</v>
      </c>
      <c r="M109" s="2">
        <v>46</v>
      </c>
      <c r="N109" s="2">
        <v>2</v>
      </c>
      <c r="O109" s="2">
        <v>2</v>
      </c>
      <c r="P109" s="2" t="s">
        <v>40</v>
      </c>
      <c r="Q109" s="2">
        <v>3</v>
      </c>
      <c r="R109" s="2" t="s">
        <v>41</v>
      </c>
      <c r="S109" s="2">
        <v>5744</v>
      </c>
      <c r="T109" s="2">
        <v>26959</v>
      </c>
      <c r="U109" s="2">
        <v>1</v>
      </c>
      <c r="V109" s="2" t="s">
        <v>42</v>
      </c>
      <c r="W109" s="2" t="s">
        <v>35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</row>
    <row r="110" spans="1:35" x14ac:dyDescent="0.25">
      <c r="A110" s="2">
        <v>25</v>
      </c>
      <c r="B110" s="2" t="s">
        <v>43</v>
      </c>
      <c r="C110" s="2" t="s">
        <v>36</v>
      </c>
      <c r="D110" s="2">
        <v>1280</v>
      </c>
      <c r="E110" s="2" t="s">
        <v>45</v>
      </c>
      <c r="F110" s="2">
        <v>7</v>
      </c>
      <c r="G110" s="2">
        <v>1</v>
      </c>
      <c r="H110" s="2" t="s">
        <v>51</v>
      </c>
      <c r="I110" s="2">
        <v>1</v>
      </c>
      <c r="J110" s="2">
        <v>143</v>
      </c>
      <c r="K110" s="2">
        <v>4</v>
      </c>
      <c r="L110" s="2" t="s">
        <v>46</v>
      </c>
      <c r="M110" s="2">
        <v>64</v>
      </c>
      <c r="N110" s="2">
        <v>2</v>
      </c>
      <c r="O110" s="2">
        <v>1</v>
      </c>
      <c r="P110" s="2" t="s">
        <v>47</v>
      </c>
      <c r="Q110" s="2">
        <v>4</v>
      </c>
      <c r="R110" s="2" t="s">
        <v>48</v>
      </c>
      <c r="S110" s="2">
        <v>2889</v>
      </c>
      <c r="T110" s="2">
        <v>26897</v>
      </c>
      <c r="U110" s="2">
        <v>1</v>
      </c>
      <c r="V110" s="2" t="s">
        <v>42</v>
      </c>
      <c r="W110" s="2" t="s">
        <v>43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</row>
    <row r="111" spans="1:35" x14ac:dyDescent="0.25">
      <c r="A111" s="2">
        <v>22</v>
      </c>
      <c r="B111" s="2" t="s">
        <v>43</v>
      </c>
      <c r="C111" s="2" t="s">
        <v>36</v>
      </c>
      <c r="D111" s="2">
        <v>534</v>
      </c>
      <c r="E111" s="2" t="s">
        <v>45</v>
      </c>
      <c r="F111" s="2">
        <v>15</v>
      </c>
      <c r="G111" s="2">
        <v>3</v>
      </c>
      <c r="H111" s="2" t="s">
        <v>51</v>
      </c>
      <c r="I111" s="2">
        <v>1</v>
      </c>
      <c r="J111" s="2">
        <v>144</v>
      </c>
      <c r="K111" s="2">
        <v>2</v>
      </c>
      <c r="L111" s="2" t="s">
        <v>39</v>
      </c>
      <c r="M111" s="2">
        <v>59</v>
      </c>
      <c r="N111" s="2">
        <v>3</v>
      </c>
      <c r="O111" s="2">
        <v>1</v>
      </c>
      <c r="P111" s="2" t="s">
        <v>50</v>
      </c>
      <c r="Q111" s="2">
        <v>4</v>
      </c>
      <c r="R111" s="2" t="s">
        <v>41</v>
      </c>
      <c r="S111" s="2">
        <v>2871</v>
      </c>
      <c r="T111" s="2">
        <v>23785</v>
      </c>
      <c r="U111" s="2">
        <v>1</v>
      </c>
      <c r="V111" s="2" t="s">
        <v>42</v>
      </c>
      <c r="W111" s="2" t="s">
        <v>43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</row>
    <row r="112" spans="1:35" x14ac:dyDescent="0.25">
      <c r="A112" s="2">
        <v>51</v>
      </c>
      <c r="B112" s="2" t="s">
        <v>43</v>
      </c>
      <c r="C112" s="2" t="s">
        <v>44</v>
      </c>
      <c r="D112" s="2">
        <v>1456</v>
      </c>
      <c r="E112" s="2" t="s">
        <v>45</v>
      </c>
      <c r="F112" s="2">
        <v>1</v>
      </c>
      <c r="G112" s="2">
        <v>4</v>
      </c>
      <c r="H112" s="2" t="s">
        <v>51</v>
      </c>
      <c r="I112" s="2">
        <v>1</v>
      </c>
      <c r="J112" s="2">
        <v>145</v>
      </c>
      <c r="K112" s="2">
        <v>1</v>
      </c>
      <c r="L112" s="2" t="s">
        <v>39</v>
      </c>
      <c r="M112" s="2">
        <v>30</v>
      </c>
      <c r="N112" s="2">
        <v>2</v>
      </c>
      <c r="O112" s="2">
        <v>3</v>
      </c>
      <c r="P112" s="2" t="s">
        <v>54</v>
      </c>
      <c r="Q112" s="2">
        <v>1</v>
      </c>
      <c r="R112" s="2" t="s">
        <v>41</v>
      </c>
      <c r="S112" s="2">
        <v>7484</v>
      </c>
      <c r="T112" s="2">
        <v>25796</v>
      </c>
      <c r="U112" s="2">
        <v>3</v>
      </c>
      <c r="V112" s="2" t="s">
        <v>42</v>
      </c>
      <c r="W112" s="2" t="s">
        <v>43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</row>
    <row r="113" spans="1:35" x14ac:dyDescent="0.25">
      <c r="A113" s="2">
        <v>34</v>
      </c>
      <c r="B113" s="2" t="s">
        <v>35</v>
      </c>
      <c r="C113" s="2" t="s">
        <v>44</v>
      </c>
      <c r="D113" s="2">
        <v>658</v>
      </c>
      <c r="E113" s="2" t="s">
        <v>45</v>
      </c>
      <c r="F113" s="2">
        <v>7</v>
      </c>
      <c r="G113" s="2">
        <v>3</v>
      </c>
      <c r="H113" s="2" t="s">
        <v>38</v>
      </c>
      <c r="I113" s="2">
        <v>1</v>
      </c>
      <c r="J113" s="2">
        <v>147</v>
      </c>
      <c r="K113" s="2">
        <v>1</v>
      </c>
      <c r="L113" s="2" t="s">
        <v>46</v>
      </c>
      <c r="M113" s="2">
        <v>66</v>
      </c>
      <c r="N113" s="2">
        <v>1</v>
      </c>
      <c r="O113" s="2">
        <v>2</v>
      </c>
      <c r="P113" s="2" t="s">
        <v>50</v>
      </c>
      <c r="Q113" s="2">
        <v>3</v>
      </c>
      <c r="R113" s="2" t="s">
        <v>41</v>
      </c>
      <c r="S113" s="2">
        <v>6074</v>
      </c>
      <c r="T113" s="2">
        <v>22887</v>
      </c>
      <c r="U113" s="2">
        <v>1</v>
      </c>
      <c r="V113" s="2" t="s">
        <v>42</v>
      </c>
      <c r="W113" s="2" t="s">
        <v>35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</row>
    <row r="114" spans="1:35" x14ac:dyDescent="0.25">
      <c r="A114" s="2">
        <v>54</v>
      </c>
      <c r="B114" s="2" t="s">
        <v>43</v>
      </c>
      <c r="C114" s="2" t="s">
        <v>55</v>
      </c>
      <c r="D114" s="2">
        <v>142</v>
      </c>
      <c r="E114" s="2" t="s">
        <v>61</v>
      </c>
      <c r="F114" s="2">
        <v>26</v>
      </c>
      <c r="G114" s="2">
        <v>3</v>
      </c>
      <c r="H114" s="2" t="s">
        <v>61</v>
      </c>
      <c r="I114" s="2">
        <v>1</v>
      </c>
      <c r="J114" s="2">
        <v>148</v>
      </c>
      <c r="K114" s="2">
        <v>4</v>
      </c>
      <c r="L114" s="2" t="s">
        <v>39</v>
      </c>
      <c r="M114" s="2">
        <v>30</v>
      </c>
      <c r="N114" s="2">
        <v>4</v>
      </c>
      <c r="O114" s="2">
        <v>4</v>
      </c>
      <c r="P114" s="2" t="s">
        <v>56</v>
      </c>
      <c r="Q114" s="2">
        <v>4</v>
      </c>
      <c r="R114" s="2" t="s">
        <v>41</v>
      </c>
      <c r="S114" s="2">
        <v>17328</v>
      </c>
      <c r="T114" s="2">
        <v>13871</v>
      </c>
      <c r="U114" s="2">
        <v>2</v>
      </c>
      <c r="V114" s="2" t="s">
        <v>42</v>
      </c>
      <c r="W114" s="2" t="s">
        <v>35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</row>
    <row r="115" spans="1:35" x14ac:dyDescent="0.25">
      <c r="A115" s="2">
        <v>24</v>
      </c>
      <c r="B115" s="2" t="s">
        <v>43</v>
      </c>
      <c r="C115" s="2" t="s">
        <v>36</v>
      </c>
      <c r="D115" s="2">
        <v>1127</v>
      </c>
      <c r="E115" s="2" t="s">
        <v>45</v>
      </c>
      <c r="F115" s="2">
        <v>18</v>
      </c>
      <c r="G115" s="2">
        <v>1</v>
      </c>
      <c r="H115" s="2" t="s">
        <v>38</v>
      </c>
      <c r="I115" s="2">
        <v>1</v>
      </c>
      <c r="J115" s="2">
        <v>150</v>
      </c>
      <c r="K115" s="2">
        <v>2</v>
      </c>
      <c r="L115" s="2" t="s">
        <v>46</v>
      </c>
      <c r="M115" s="2">
        <v>52</v>
      </c>
      <c r="N115" s="2">
        <v>3</v>
      </c>
      <c r="O115" s="2">
        <v>1</v>
      </c>
      <c r="P115" s="2" t="s">
        <v>50</v>
      </c>
      <c r="Q115" s="2">
        <v>3</v>
      </c>
      <c r="R115" s="2" t="s">
        <v>48</v>
      </c>
      <c r="S115" s="2">
        <v>2774</v>
      </c>
      <c r="T115" s="2">
        <v>13257</v>
      </c>
      <c r="U115" s="2">
        <v>0</v>
      </c>
      <c r="V115" s="2" t="s">
        <v>42</v>
      </c>
      <c r="W115" s="2" t="s">
        <v>43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</row>
    <row r="116" spans="1:35" x14ac:dyDescent="0.25">
      <c r="A116" s="2">
        <v>34</v>
      </c>
      <c r="B116" s="2" t="s">
        <v>43</v>
      </c>
      <c r="C116" s="2" t="s">
        <v>36</v>
      </c>
      <c r="D116" s="2">
        <v>1031</v>
      </c>
      <c r="E116" s="2" t="s">
        <v>45</v>
      </c>
      <c r="F116" s="2">
        <v>6</v>
      </c>
      <c r="G116" s="2">
        <v>4</v>
      </c>
      <c r="H116" s="2" t="s">
        <v>38</v>
      </c>
      <c r="I116" s="2">
        <v>1</v>
      </c>
      <c r="J116" s="2">
        <v>151</v>
      </c>
      <c r="K116" s="2">
        <v>3</v>
      </c>
      <c r="L116" s="2" t="s">
        <v>39</v>
      </c>
      <c r="M116" s="2">
        <v>45</v>
      </c>
      <c r="N116" s="2">
        <v>2</v>
      </c>
      <c r="O116" s="2">
        <v>2</v>
      </c>
      <c r="P116" s="2" t="s">
        <v>47</v>
      </c>
      <c r="Q116" s="2">
        <v>2</v>
      </c>
      <c r="R116" s="2" t="s">
        <v>52</v>
      </c>
      <c r="S116" s="2">
        <v>4505</v>
      </c>
      <c r="T116" s="2">
        <v>15000</v>
      </c>
      <c r="U116" s="2">
        <v>6</v>
      </c>
      <c r="V116" s="2" t="s">
        <v>42</v>
      </c>
      <c r="W116" s="2" t="s">
        <v>43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</row>
    <row r="117" spans="1:35" x14ac:dyDescent="0.25">
      <c r="A117" s="2">
        <v>37</v>
      </c>
      <c r="B117" s="2" t="s">
        <v>43</v>
      </c>
      <c r="C117" s="2" t="s">
        <v>36</v>
      </c>
      <c r="D117" s="2">
        <v>1189</v>
      </c>
      <c r="E117" s="2" t="s">
        <v>37</v>
      </c>
      <c r="F117" s="2">
        <v>3</v>
      </c>
      <c r="G117" s="2">
        <v>3</v>
      </c>
      <c r="H117" s="2" t="s">
        <v>38</v>
      </c>
      <c r="I117" s="2">
        <v>1</v>
      </c>
      <c r="J117" s="2">
        <v>152</v>
      </c>
      <c r="K117" s="2">
        <v>3</v>
      </c>
      <c r="L117" s="2" t="s">
        <v>46</v>
      </c>
      <c r="M117" s="2">
        <v>87</v>
      </c>
      <c r="N117" s="2">
        <v>3</v>
      </c>
      <c r="O117" s="2">
        <v>3</v>
      </c>
      <c r="P117" s="2" t="s">
        <v>40</v>
      </c>
      <c r="Q117" s="2">
        <v>4</v>
      </c>
      <c r="R117" s="2" t="s">
        <v>41</v>
      </c>
      <c r="S117" s="2">
        <v>7428</v>
      </c>
      <c r="T117" s="2">
        <v>14506</v>
      </c>
      <c r="U117" s="2">
        <v>2</v>
      </c>
      <c r="V117" s="2" t="s">
        <v>42</v>
      </c>
      <c r="W117" s="2" t="s">
        <v>43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</row>
    <row r="118" spans="1:35" x14ac:dyDescent="0.25">
      <c r="A118" s="2">
        <v>34</v>
      </c>
      <c r="B118" s="2" t="s">
        <v>43</v>
      </c>
      <c r="C118" s="2" t="s">
        <v>36</v>
      </c>
      <c r="D118" s="2">
        <v>1354</v>
      </c>
      <c r="E118" s="2" t="s">
        <v>45</v>
      </c>
      <c r="F118" s="2">
        <v>5</v>
      </c>
      <c r="G118" s="2">
        <v>3</v>
      </c>
      <c r="H118" s="2" t="s">
        <v>51</v>
      </c>
      <c r="I118" s="2">
        <v>1</v>
      </c>
      <c r="J118" s="2">
        <v>153</v>
      </c>
      <c r="K118" s="2">
        <v>3</v>
      </c>
      <c r="L118" s="2" t="s">
        <v>39</v>
      </c>
      <c r="M118" s="2">
        <v>45</v>
      </c>
      <c r="N118" s="2">
        <v>2</v>
      </c>
      <c r="O118" s="2">
        <v>3</v>
      </c>
      <c r="P118" s="2" t="s">
        <v>56</v>
      </c>
      <c r="Q118" s="2">
        <v>1</v>
      </c>
      <c r="R118" s="2" t="s">
        <v>41</v>
      </c>
      <c r="S118" s="2">
        <v>11631</v>
      </c>
      <c r="T118" s="2">
        <v>5615</v>
      </c>
      <c r="U118" s="2">
        <v>2</v>
      </c>
      <c r="V118" s="2" t="s">
        <v>42</v>
      </c>
      <c r="W118" s="2" t="s">
        <v>43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</row>
    <row r="119" spans="1:35" x14ac:dyDescent="0.25">
      <c r="A119" s="2">
        <v>36</v>
      </c>
      <c r="B119" s="2" t="s">
        <v>43</v>
      </c>
      <c r="C119" s="2" t="s">
        <v>44</v>
      </c>
      <c r="D119" s="2">
        <v>1467</v>
      </c>
      <c r="E119" s="2" t="s">
        <v>37</v>
      </c>
      <c r="F119" s="2">
        <v>11</v>
      </c>
      <c r="G119" s="2">
        <v>2</v>
      </c>
      <c r="H119" s="2" t="s">
        <v>60</v>
      </c>
      <c r="I119" s="2">
        <v>1</v>
      </c>
      <c r="J119" s="2">
        <v>154</v>
      </c>
      <c r="K119" s="2">
        <v>2</v>
      </c>
      <c r="L119" s="2" t="s">
        <v>39</v>
      </c>
      <c r="M119" s="2">
        <v>92</v>
      </c>
      <c r="N119" s="2">
        <v>3</v>
      </c>
      <c r="O119" s="2">
        <v>3</v>
      </c>
      <c r="P119" s="2" t="s">
        <v>40</v>
      </c>
      <c r="Q119" s="2">
        <v>4</v>
      </c>
      <c r="R119" s="2" t="s">
        <v>48</v>
      </c>
      <c r="S119" s="2">
        <v>9738</v>
      </c>
      <c r="T119" s="2">
        <v>22952</v>
      </c>
      <c r="U119" s="2">
        <v>0</v>
      </c>
      <c r="V119" s="2" t="s">
        <v>42</v>
      </c>
      <c r="W119" s="2" t="s">
        <v>43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</row>
    <row r="120" spans="1:35" x14ac:dyDescent="0.25">
      <c r="A120" s="2">
        <v>36</v>
      </c>
      <c r="B120" s="2" t="s">
        <v>43</v>
      </c>
      <c r="C120" s="2" t="s">
        <v>36</v>
      </c>
      <c r="D120" s="2">
        <v>922</v>
      </c>
      <c r="E120" s="2" t="s">
        <v>45</v>
      </c>
      <c r="F120" s="2">
        <v>3</v>
      </c>
      <c r="G120" s="2">
        <v>2</v>
      </c>
      <c r="H120" s="2" t="s">
        <v>38</v>
      </c>
      <c r="I120" s="2">
        <v>1</v>
      </c>
      <c r="J120" s="2">
        <v>155</v>
      </c>
      <c r="K120" s="2">
        <v>1</v>
      </c>
      <c r="L120" s="2" t="s">
        <v>39</v>
      </c>
      <c r="M120" s="2">
        <v>39</v>
      </c>
      <c r="N120" s="2">
        <v>3</v>
      </c>
      <c r="O120" s="2">
        <v>1</v>
      </c>
      <c r="P120" s="2" t="s">
        <v>50</v>
      </c>
      <c r="Q120" s="2">
        <v>4</v>
      </c>
      <c r="R120" s="2" t="s">
        <v>52</v>
      </c>
      <c r="S120" s="2">
        <v>2835</v>
      </c>
      <c r="T120" s="2">
        <v>2561</v>
      </c>
      <c r="U120" s="2">
        <v>5</v>
      </c>
      <c r="V120" s="2" t="s">
        <v>42</v>
      </c>
      <c r="W120" s="2" t="s">
        <v>43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</row>
    <row r="121" spans="1:35" x14ac:dyDescent="0.25">
      <c r="A121" s="2">
        <v>43</v>
      </c>
      <c r="B121" s="2" t="s">
        <v>43</v>
      </c>
      <c r="C121" s="2" t="s">
        <v>44</v>
      </c>
      <c r="D121" s="2">
        <v>394</v>
      </c>
      <c r="E121" s="2" t="s">
        <v>37</v>
      </c>
      <c r="F121" s="2">
        <v>26</v>
      </c>
      <c r="G121" s="2">
        <v>2</v>
      </c>
      <c r="H121" s="2" t="s">
        <v>38</v>
      </c>
      <c r="I121" s="2">
        <v>1</v>
      </c>
      <c r="J121" s="2">
        <v>158</v>
      </c>
      <c r="K121" s="2">
        <v>3</v>
      </c>
      <c r="L121" s="2" t="s">
        <v>46</v>
      </c>
      <c r="M121" s="2">
        <v>92</v>
      </c>
      <c r="N121" s="2">
        <v>3</v>
      </c>
      <c r="O121" s="2">
        <v>4</v>
      </c>
      <c r="P121" s="2" t="s">
        <v>56</v>
      </c>
      <c r="Q121" s="2">
        <v>4</v>
      </c>
      <c r="R121" s="2" t="s">
        <v>48</v>
      </c>
      <c r="S121" s="2">
        <v>16959</v>
      </c>
      <c r="T121" s="2">
        <v>19494</v>
      </c>
      <c r="U121" s="2">
        <v>1</v>
      </c>
      <c r="V121" s="2" t="s">
        <v>42</v>
      </c>
      <c r="W121" s="2" t="s">
        <v>35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</row>
    <row r="122" spans="1:35" x14ac:dyDescent="0.25">
      <c r="A122" s="2">
        <v>30</v>
      </c>
      <c r="B122" s="2" t="s">
        <v>43</v>
      </c>
      <c r="C122" s="2" t="s">
        <v>44</v>
      </c>
      <c r="D122" s="2">
        <v>1312</v>
      </c>
      <c r="E122" s="2" t="s">
        <v>45</v>
      </c>
      <c r="F122" s="2">
        <v>23</v>
      </c>
      <c r="G122" s="2">
        <v>3</v>
      </c>
      <c r="H122" s="2" t="s">
        <v>38</v>
      </c>
      <c r="I122" s="2">
        <v>1</v>
      </c>
      <c r="J122" s="2">
        <v>159</v>
      </c>
      <c r="K122" s="2">
        <v>1</v>
      </c>
      <c r="L122" s="2" t="s">
        <v>46</v>
      </c>
      <c r="M122" s="2">
        <v>96</v>
      </c>
      <c r="N122" s="2">
        <v>1</v>
      </c>
      <c r="O122" s="2">
        <v>1</v>
      </c>
      <c r="P122" s="2" t="s">
        <v>47</v>
      </c>
      <c r="Q122" s="2">
        <v>3</v>
      </c>
      <c r="R122" s="2" t="s">
        <v>52</v>
      </c>
      <c r="S122" s="2">
        <v>2613</v>
      </c>
      <c r="T122" s="2">
        <v>22310</v>
      </c>
      <c r="U122" s="2">
        <v>1</v>
      </c>
      <c r="V122" s="2" t="s">
        <v>42</v>
      </c>
      <c r="W122" s="2" t="s">
        <v>43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</row>
    <row r="123" spans="1:35" x14ac:dyDescent="0.25">
      <c r="A123" s="2">
        <v>33</v>
      </c>
      <c r="B123" s="2" t="s">
        <v>43</v>
      </c>
      <c r="C123" s="2" t="s">
        <v>55</v>
      </c>
      <c r="D123" s="2">
        <v>750</v>
      </c>
      <c r="E123" s="2" t="s">
        <v>37</v>
      </c>
      <c r="F123" s="2">
        <v>22</v>
      </c>
      <c r="G123" s="2">
        <v>2</v>
      </c>
      <c r="H123" s="2" t="s">
        <v>59</v>
      </c>
      <c r="I123" s="2">
        <v>1</v>
      </c>
      <c r="J123" s="2">
        <v>160</v>
      </c>
      <c r="K123" s="2">
        <v>3</v>
      </c>
      <c r="L123" s="2" t="s">
        <v>46</v>
      </c>
      <c r="M123" s="2">
        <v>95</v>
      </c>
      <c r="N123" s="2">
        <v>3</v>
      </c>
      <c r="O123" s="2">
        <v>2</v>
      </c>
      <c r="P123" s="2" t="s">
        <v>40</v>
      </c>
      <c r="Q123" s="2">
        <v>2</v>
      </c>
      <c r="R123" s="2" t="s">
        <v>48</v>
      </c>
      <c r="S123" s="2">
        <v>6146</v>
      </c>
      <c r="T123" s="2">
        <v>15480</v>
      </c>
      <c r="U123" s="2">
        <v>0</v>
      </c>
      <c r="V123" s="2" t="s">
        <v>42</v>
      </c>
      <c r="W123" s="2" t="s">
        <v>43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</row>
    <row r="124" spans="1:35" x14ac:dyDescent="0.25">
      <c r="A124" s="2">
        <v>56</v>
      </c>
      <c r="B124" s="2" t="s">
        <v>35</v>
      </c>
      <c r="C124" s="2" t="s">
        <v>36</v>
      </c>
      <c r="D124" s="2">
        <v>441</v>
      </c>
      <c r="E124" s="2" t="s">
        <v>45</v>
      </c>
      <c r="F124" s="2">
        <v>14</v>
      </c>
      <c r="G124" s="2">
        <v>4</v>
      </c>
      <c r="H124" s="2" t="s">
        <v>38</v>
      </c>
      <c r="I124" s="2">
        <v>1</v>
      </c>
      <c r="J124" s="2">
        <v>161</v>
      </c>
      <c r="K124" s="2">
        <v>2</v>
      </c>
      <c r="L124" s="2" t="s">
        <v>39</v>
      </c>
      <c r="M124" s="2">
        <v>72</v>
      </c>
      <c r="N124" s="2">
        <v>3</v>
      </c>
      <c r="O124" s="2">
        <v>1</v>
      </c>
      <c r="P124" s="2" t="s">
        <v>47</v>
      </c>
      <c r="Q124" s="2">
        <v>2</v>
      </c>
      <c r="R124" s="2" t="s">
        <v>48</v>
      </c>
      <c r="S124" s="2">
        <v>4963</v>
      </c>
      <c r="T124" s="2">
        <v>4510</v>
      </c>
      <c r="U124" s="2">
        <v>9</v>
      </c>
      <c r="V124" s="2" t="s">
        <v>42</v>
      </c>
      <c r="W124" s="2" t="s">
        <v>35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</row>
    <row r="125" spans="1:35" x14ac:dyDescent="0.25">
      <c r="A125" s="2">
        <v>51</v>
      </c>
      <c r="B125" s="2" t="s">
        <v>43</v>
      </c>
      <c r="C125" s="2" t="s">
        <v>36</v>
      </c>
      <c r="D125" s="2">
        <v>684</v>
      </c>
      <c r="E125" s="2" t="s">
        <v>45</v>
      </c>
      <c r="F125" s="2">
        <v>6</v>
      </c>
      <c r="G125" s="2">
        <v>3</v>
      </c>
      <c r="H125" s="2" t="s">
        <v>38</v>
      </c>
      <c r="I125" s="2">
        <v>1</v>
      </c>
      <c r="J125" s="2">
        <v>162</v>
      </c>
      <c r="K125" s="2">
        <v>1</v>
      </c>
      <c r="L125" s="2" t="s">
        <v>46</v>
      </c>
      <c r="M125" s="2">
        <v>51</v>
      </c>
      <c r="N125" s="2">
        <v>3</v>
      </c>
      <c r="O125" s="2">
        <v>5</v>
      </c>
      <c r="P125" s="2" t="s">
        <v>58</v>
      </c>
      <c r="Q125" s="2">
        <v>3</v>
      </c>
      <c r="R125" s="2" t="s">
        <v>41</v>
      </c>
      <c r="S125" s="2">
        <v>19537</v>
      </c>
      <c r="T125" s="2">
        <v>6462</v>
      </c>
      <c r="U125" s="2">
        <v>7</v>
      </c>
      <c r="V125" s="2" t="s">
        <v>42</v>
      </c>
      <c r="W125" s="2" t="s">
        <v>43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</row>
    <row r="126" spans="1:35" x14ac:dyDescent="0.25">
      <c r="A126" s="2">
        <v>31</v>
      </c>
      <c r="B126" s="2" t="s">
        <v>35</v>
      </c>
      <c r="C126" s="2" t="s">
        <v>36</v>
      </c>
      <c r="D126" s="2">
        <v>249</v>
      </c>
      <c r="E126" s="2" t="s">
        <v>37</v>
      </c>
      <c r="F126" s="2">
        <v>6</v>
      </c>
      <c r="G126" s="2">
        <v>4</v>
      </c>
      <c r="H126" s="2" t="s">
        <v>38</v>
      </c>
      <c r="I126" s="2">
        <v>1</v>
      </c>
      <c r="J126" s="2">
        <v>163</v>
      </c>
      <c r="K126" s="2">
        <v>2</v>
      </c>
      <c r="L126" s="2" t="s">
        <v>46</v>
      </c>
      <c r="M126" s="2">
        <v>76</v>
      </c>
      <c r="N126" s="2">
        <v>1</v>
      </c>
      <c r="O126" s="2">
        <v>2</v>
      </c>
      <c r="P126" s="2" t="s">
        <v>40</v>
      </c>
      <c r="Q126" s="2">
        <v>3</v>
      </c>
      <c r="R126" s="2" t="s">
        <v>48</v>
      </c>
      <c r="S126" s="2">
        <v>6172</v>
      </c>
      <c r="T126" s="2">
        <v>20739</v>
      </c>
      <c r="U126" s="2">
        <v>4</v>
      </c>
      <c r="V126" s="2" t="s">
        <v>42</v>
      </c>
      <c r="W126" s="2" t="s">
        <v>35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</row>
    <row r="127" spans="1:35" x14ac:dyDescent="0.25">
      <c r="A127" s="2">
        <v>26</v>
      </c>
      <c r="B127" s="2" t="s">
        <v>43</v>
      </c>
      <c r="C127" s="2" t="s">
        <v>36</v>
      </c>
      <c r="D127" s="2">
        <v>841</v>
      </c>
      <c r="E127" s="2" t="s">
        <v>45</v>
      </c>
      <c r="F127" s="2">
        <v>6</v>
      </c>
      <c r="G127" s="2">
        <v>3</v>
      </c>
      <c r="H127" s="2" t="s">
        <v>49</v>
      </c>
      <c r="I127" s="2">
        <v>1</v>
      </c>
      <c r="J127" s="2">
        <v>164</v>
      </c>
      <c r="K127" s="2">
        <v>3</v>
      </c>
      <c r="L127" s="2" t="s">
        <v>39</v>
      </c>
      <c r="M127" s="2">
        <v>46</v>
      </c>
      <c r="N127" s="2">
        <v>2</v>
      </c>
      <c r="O127" s="2">
        <v>1</v>
      </c>
      <c r="P127" s="2" t="s">
        <v>47</v>
      </c>
      <c r="Q127" s="2">
        <v>2</v>
      </c>
      <c r="R127" s="2" t="s">
        <v>48</v>
      </c>
      <c r="S127" s="2">
        <v>2368</v>
      </c>
      <c r="T127" s="2">
        <v>23300</v>
      </c>
      <c r="U127" s="2">
        <v>1</v>
      </c>
      <c r="V127" s="2" t="s">
        <v>42</v>
      </c>
      <c r="W127" s="2" t="s">
        <v>43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</row>
    <row r="128" spans="1:35" x14ac:dyDescent="0.25">
      <c r="A128" s="2">
        <v>58</v>
      </c>
      <c r="B128" s="2" t="s">
        <v>35</v>
      </c>
      <c r="C128" s="2" t="s">
        <v>36</v>
      </c>
      <c r="D128" s="2">
        <v>147</v>
      </c>
      <c r="E128" s="2" t="s">
        <v>45</v>
      </c>
      <c r="F128" s="2">
        <v>23</v>
      </c>
      <c r="G128" s="2">
        <v>4</v>
      </c>
      <c r="H128" s="2" t="s">
        <v>51</v>
      </c>
      <c r="I128" s="2">
        <v>1</v>
      </c>
      <c r="J128" s="2">
        <v>165</v>
      </c>
      <c r="K128" s="2">
        <v>4</v>
      </c>
      <c r="L128" s="2" t="s">
        <v>39</v>
      </c>
      <c r="M128" s="2">
        <v>94</v>
      </c>
      <c r="N128" s="2">
        <v>3</v>
      </c>
      <c r="O128" s="2">
        <v>3</v>
      </c>
      <c r="P128" s="2" t="s">
        <v>54</v>
      </c>
      <c r="Q128" s="2">
        <v>4</v>
      </c>
      <c r="R128" s="2" t="s">
        <v>48</v>
      </c>
      <c r="S128" s="2">
        <v>10312</v>
      </c>
      <c r="T128" s="2">
        <v>3465</v>
      </c>
      <c r="U128" s="2">
        <v>1</v>
      </c>
      <c r="V128" s="2" t="s">
        <v>42</v>
      </c>
      <c r="W128" s="2" t="s">
        <v>43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</row>
    <row r="129" spans="1:35" x14ac:dyDescent="0.25">
      <c r="A129" s="2">
        <v>19</v>
      </c>
      <c r="B129" s="2" t="s">
        <v>35</v>
      </c>
      <c r="C129" s="2" t="s">
        <v>36</v>
      </c>
      <c r="D129" s="2">
        <v>528</v>
      </c>
      <c r="E129" s="2" t="s">
        <v>37</v>
      </c>
      <c r="F129" s="2">
        <v>22</v>
      </c>
      <c r="G129" s="2">
        <v>1</v>
      </c>
      <c r="H129" s="2" t="s">
        <v>59</v>
      </c>
      <c r="I129" s="2">
        <v>1</v>
      </c>
      <c r="J129" s="2">
        <v>167</v>
      </c>
      <c r="K129" s="2">
        <v>4</v>
      </c>
      <c r="L129" s="2" t="s">
        <v>46</v>
      </c>
      <c r="M129" s="2">
        <v>50</v>
      </c>
      <c r="N129" s="2">
        <v>3</v>
      </c>
      <c r="O129" s="2">
        <v>1</v>
      </c>
      <c r="P129" s="2" t="s">
        <v>57</v>
      </c>
      <c r="Q129" s="2">
        <v>3</v>
      </c>
      <c r="R129" s="2" t="s">
        <v>41</v>
      </c>
      <c r="S129" s="2">
        <v>1675</v>
      </c>
      <c r="T129" s="2">
        <v>26820</v>
      </c>
      <c r="U129" s="2">
        <v>1</v>
      </c>
      <c r="V129" s="2" t="s">
        <v>42</v>
      </c>
      <c r="W129" s="2" t="s">
        <v>35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</row>
    <row r="130" spans="1:35" x14ac:dyDescent="0.25">
      <c r="A130" s="2">
        <v>22</v>
      </c>
      <c r="B130" s="2" t="s">
        <v>43</v>
      </c>
      <c r="C130" s="2" t="s">
        <v>36</v>
      </c>
      <c r="D130" s="2">
        <v>594</v>
      </c>
      <c r="E130" s="2" t="s">
        <v>45</v>
      </c>
      <c r="F130" s="2">
        <v>2</v>
      </c>
      <c r="G130" s="2">
        <v>1</v>
      </c>
      <c r="H130" s="2" t="s">
        <v>60</v>
      </c>
      <c r="I130" s="2">
        <v>1</v>
      </c>
      <c r="J130" s="2">
        <v>169</v>
      </c>
      <c r="K130" s="2">
        <v>3</v>
      </c>
      <c r="L130" s="2" t="s">
        <v>46</v>
      </c>
      <c r="M130" s="2">
        <v>100</v>
      </c>
      <c r="N130" s="2">
        <v>3</v>
      </c>
      <c r="O130" s="2">
        <v>1</v>
      </c>
      <c r="P130" s="2" t="s">
        <v>50</v>
      </c>
      <c r="Q130" s="2">
        <v>4</v>
      </c>
      <c r="R130" s="2" t="s">
        <v>48</v>
      </c>
      <c r="S130" s="2">
        <v>2523</v>
      </c>
      <c r="T130" s="2">
        <v>19299</v>
      </c>
      <c r="U130" s="2">
        <v>0</v>
      </c>
      <c r="V130" s="2" t="s">
        <v>42</v>
      </c>
      <c r="W130" s="2" t="s">
        <v>43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</row>
    <row r="131" spans="1:35" x14ac:dyDescent="0.25">
      <c r="A131" s="2">
        <v>49</v>
      </c>
      <c r="B131" s="2" t="s">
        <v>43</v>
      </c>
      <c r="C131" s="2" t="s">
        <v>36</v>
      </c>
      <c r="D131" s="2">
        <v>470</v>
      </c>
      <c r="E131" s="2" t="s">
        <v>45</v>
      </c>
      <c r="F131" s="2">
        <v>20</v>
      </c>
      <c r="G131" s="2">
        <v>4</v>
      </c>
      <c r="H131" s="2" t="s">
        <v>51</v>
      </c>
      <c r="I131" s="2">
        <v>1</v>
      </c>
      <c r="J131" s="2">
        <v>170</v>
      </c>
      <c r="K131" s="2">
        <v>3</v>
      </c>
      <c r="L131" s="2" t="s">
        <v>39</v>
      </c>
      <c r="M131" s="2">
        <v>96</v>
      </c>
      <c r="N131" s="2">
        <v>3</v>
      </c>
      <c r="O131" s="2">
        <v>2</v>
      </c>
      <c r="P131" s="2" t="s">
        <v>53</v>
      </c>
      <c r="Q131" s="2">
        <v>1</v>
      </c>
      <c r="R131" s="2" t="s">
        <v>48</v>
      </c>
      <c r="S131" s="2">
        <v>6567</v>
      </c>
      <c r="T131" s="2">
        <v>5549</v>
      </c>
      <c r="U131" s="2">
        <v>1</v>
      </c>
      <c r="V131" s="2" t="s">
        <v>42</v>
      </c>
      <c r="W131" s="2" t="s">
        <v>43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</row>
    <row r="132" spans="1:35" x14ac:dyDescent="0.25">
      <c r="A132" s="2">
        <v>43</v>
      </c>
      <c r="B132" s="2" t="s">
        <v>43</v>
      </c>
      <c r="C132" s="2" t="s">
        <v>44</v>
      </c>
      <c r="D132" s="2">
        <v>957</v>
      </c>
      <c r="E132" s="2" t="s">
        <v>45</v>
      </c>
      <c r="F132" s="2">
        <v>28</v>
      </c>
      <c r="G132" s="2">
        <v>3</v>
      </c>
      <c r="H132" s="2" t="s">
        <v>51</v>
      </c>
      <c r="I132" s="2">
        <v>1</v>
      </c>
      <c r="J132" s="2">
        <v>171</v>
      </c>
      <c r="K132" s="2">
        <v>2</v>
      </c>
      <c r="L132" s="2" t="s">
        <v>39</v>
      </c>
      <c r="M132" s="2">
        <v>72</v>
      </c>
      <c r="N132" s="2">
        <v>4</v>
      </c>
      <c r="O132" s="2">
        <v>1</v>
      </c>
      <c r="P132" s="2" t="s">
        <v>47</v>
      </c>
      <c r="Q132" s="2">
        <v>3</v>
      </c>
      <c r="R132" s="2" t="s">
        <v>41</v>
      </c>
      <c r="S132" s="2">
        <v>4739</v>
      </c>
      <c r="T132" s="2">
        <v>16090</v>
      </c>
      <c r="U132" s="2">
        <v>4</v>
      </c>
      <c r="V132" s="2" t="s">
        <v>42</v>
      </c>
      <c r="W132" s="2" t="s">
        <v>43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</row>
    <row r="133" spans="1:35" x14ac:dyDescent="0.25">
      <c r="A133" s="2">
        <v>50</v>
      </c>
      <c r="B133" s="2" t="s">
        <v>43</v>
      </c>
      <c r="C133" s="2" t="s">
        <v>44</v>
      </c>
      <c r="D133" s="2">
        <v>809</v>
      </c>
      <c r="E133" s="2" t="s">
        <v>37</v>
      </c>
      <c r="F133" s="2">
        <v>12</v>
      </c>
      <c r="G133" s="2">
        <v>3</v>
      </c>
      <c r="H133" s="2" t="s">
        <v>59</v>
      </c>
      <c r="I133" s="2">
        <v>1</v>
      </c>
      <c r="J133" s="2">
        <v>174</v>
      </c>
      <c r="K133" s="2">
        <v>3</v>
      </c>
      <c r="L133" s="2" t="s">
        <v>39</v>
      </c>
      <c r="M133" s="2">
        <v>77</v>
      </c>
      <c r="N133" s="2">
        <v>3</v>
      </c>
      <c r="O133" s="2">
        <v>3</v>
      </c>
      <c r="P133" s="2" t="s">
        <v>40</v>
      </c>
      <c r="Q133" s="2">
        <v>4</v>
      </c>
      <c r="R133" s="2" t="s">
        <v>41</v>
      </c>
      <c r="S133" s="2">
        <v>9208</v>
      </c>
      <c r="T133" s="2">
        <v>6645</v>
      </c>
      <c r="U133" s="2">
        <v>4</v>
      </c>
      <c r="V133" s="2" t="s">
        <v>42</v>
      </c>
      <c r="W133" s="2" t="s">
        <v>43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</row>
    <row r="134" spans="1:35" x14ac:dyDescent="0.25">
      <c r="A134" s="2">
        <v>31</v>
      </c>
      <c r="B134" s="2" t="s">
        <v>35</v>
      </c>
      <c r="C134" s="2" t="s">
        <v>36</v>
      </c>
      <c r="D134" s="2">
        <v>542</v>
      </c>
      <c r="E134" s="2" t="s">
        <v>37</v>
      </c>
      <c r="F134" s="2">
        <v>20</v>
      </c>
      <c r="G134" s="2">
        <v>3</v>
      </c>
      <c r="H134" s="2" t="s">
        <v>38</v>
      </c>
      <c r="I134" s="2">
        <v>1</v>
      </c>
      <c r="J134" s="2">
        <v>175</v>
      </c>
      <c r="K134" s="2">
        <v>2</v>
      </c>
      <c r="L134" s="2" t="s">
        <v>39</v>
      </c>
      <c r="M134" s="2">
        <v>71</v>
      </c>
      <c r="N134" s="2">
        <v>1</v>
      </c>
      <c r="O134" s="2">
        <v>2</v>
      </c>
      <c r="P134" s="2" t="s">
        <v>40</v>
      </c>
      <c r="Q134" s="2">
        <v>3</v>
      </c>
      <c r="R134" s="2" t="s">
        <v>48</v>
      </c>
      <c r="S134" s="2">
        <v>4559</v>
      </c>
      <c r="T134" s="2">
        <v>24788</v>
      </c>
      <c r="U134" s="2">
        <v>3</v>
      </c>
      <c r="V134" s="2" t="s">
        <v>42</v>
      </c>
      <c r="W134" s="2" t="s">
        <v>35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</row>
    <row r="135" spans="1:35" x14ac:dyDescent="0.25">
      <c r="A135" s="2">
        <v>41</v>
      </c>
      <c r="B135" s="2" t="s">
        <v>43</v>
      </c>
      <c r="C135" s="2" t="s">
        <v>36</v>
      </c>
      <c r="D135" s="2">
        <v>802</v>
      </c>
      <c r="E135" s="2" t="s">
        <v>37</v>
      </c>
      <c r="F135" s="2">
        <v>9</v>
      </c>
      <c r="G135" s="2">
        <v>1</v>
      </c>
      <c r="H135" s="2" t="s">
        <v>38</v>
      </c>
      <c r="I135" s="2">
        <v>1</v>
      </c>
      <c r="J135" s="2">
        <v>176</v>
      </c>
      <c r="K135" s="2">
        <v>3</v>
      </c>
      <c r="L135" s="2" t="s">
        <v>46</v>
      </c>
      <c r="M135" s="2">
        <v>96</v>
      </c>
      <c r="N135" s="2">
        <v>3</v>
      </c>
      <c r="O135" s="2">
        <v>3</v>
      </c>
      <c r="P135" s="2" t="s">
        <v>40</v>
      </c>
      <c r="Q135" s="2">
        <v>3</v>
      </c>
      <c r="R135" s="2" t="s">
        <v>52</v>
      </c>
      <c r="S135" s="2">
        <v>8189</v>
      </c>
      <c r="T135" s="2">
        <v>21196</v>
      </c>
      <c r="U135" s="2">
        <v>3</v>
      </c>
      <c r="V135" s="2" t="s">
        <v>42</v>
      </c>
      <c r="W135" s="2" t="s">
        <v>35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</row>
    <row r="136" spans="1:35" x14ac:dyDescent="0.25">
      <c r="A136" s="2">
        <v>26</v>
      </c>
      <c r="B136" s="2" t="s">
        <v>43</v>
      </c>
      <c r="C136" s="2" t="s">
        <v>36</v>
      </c>
      <c r="D136" s="2">
        <v>1355</v>
      </c>
      <c r="E136" s="2" t="s">
        <v>61</v>
      </c>
      <c r="F136" s="2">
        <v>25</v>
      </c>
      <c r="G136" s="2">
        <v>1</v>
      </c>
      <c r="H136" s="2" t="s">
        <v>38</v>
      </c>
      <c r="I136" s="2">
        <v>1</v>
      </c>
      <c r="J136" s="2">
        <v>177</v>
      </c>
      <c r="K136" s="2">
        <v>3</v>
      </c>
      <c r="L136" s="2" t="s">
        <v>39</v>
      </c>
      <c r="M136" s="2">
        <v>61</v>
      </c>
      <c r="N136" s="2">
        <v>3</v>
      </c>
      <c r="O136" s="2">
        <v>1</v>
      </c>
      <c r="P136" s="2" t="s">
        <v>61</v>
      </c>
      <c r="Q136" s="2">
        <v>3</v>
      </c>
      <c r="R136" s="2" t="s">
        <v>48</v>
      </c>
      <c r="S136" s="2">
        <v>2942</v>
      </c>
      <c r="T136" s="2">
        <v>8916</v>
      </c>
      <c r="U136" s="2">
        <v>1</v>
      </c>
      <c r="V136" s="2" t="s">
        <v>42</v>
      </c>
      <c r="W136" s="2" t="s">
        <v>43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</row>
    <row r="137" spans="1:35" x14ac:dyDescent="0.25">
      <c r="A137" s="2">
        <v>36</v>
      </c>
      <c r="B137" s="2" t="s">
        <v>43</v>
      </c>
      <c r="C137" s="2" t="s">
        <v>36</v>
      </c>
      <c r="D137" s="2">
        <v>216</v>
      </c>
      <c r="E137" s="2" t="s">
        <v>45</v>
      </c>
      <c r="F137" s="2">
        <v>6</v>
      </c>
      <c r="G137" s="2">
        <v>2</v>
      </c>
      <c r="H137" s="2" t="s">
        <v>51</v>
      </c>
      <c r="I137" s="2">
        <v>1</v>
      </c>
      <c r="J137" s="2">
        <v>178</v>
      </c>
      <c r="K137" s="2">
        <v>2</v>
      </c>
      <c r="L137" s="2" t="s">
        <v>46</v>
      </c>
      <c r="M137" s="2">
        <v>84</v>
      </c>
      <c r="N137" s="2">
        <v>3</v>
      </c>
      <c r="O137" s="2">
        <v>2</v>
      </c>
      <c r="P137" s="2" t="s">
        <v>53</v>
      </c>
      <c r="Q137" s="2">
        <v>2</v>
      </c>
      <c r="R137" s="2" t="s">
        <v>52</v>
      </c>
      <c r="S137" s="2">
        <v>4941</v>
      </c>
      <c r="T137" s="2">
        <v>2819</v>
      </c>
      <c r="U137" s="2">
        <v>6</v>
      </c>
      <c r="V137" s="2" t="s">
        <v>42</v>
      </c>
      <c r="W137" s="2" t="s">
        <v>43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</row>
    <row r="138" spans="1:35" x14ac:dyDescent="0.25">
      <c r="A138" s="2">
        <v>51</v>
      </c>
      <c r="B138" s="2" t="s">
        <v>35</v>
      </c>
      <c r="C138" s="2" t="s">
        <v>44</v>
      </c>
      <c r="D138" s="2">
        <v>1150</v>
      </c>
      <c r="E138" s="2" t="s">
        <v>45</v>
      </c>
      <c r="F138" s="2">
        <v>8</v>
      </c>
      <c r="G138" s="2">
        <v>4</v>
      </c>
      <c r="H138" s="2" t="s">
        <v>38</v>
      </c>
      <c r="I138" s="2">
        <v>1</v>
      </c>
      <c r="J138" s="2">
        <v>179</v>
      </c>
      <c r="K138" s="2">
        <v>1</v>
      </c>
      <c r="L138" s="2" t="s">
        <v>46</v>
      </c>
      <c r="M138" s="2">
        <v>53</v>
      </c>
      <c r="N138" s="2">
        <v>1</v>
      </c>
      <c r="O138" s="2">
        <v>3</v>
      </c>
      <c r="P138" s="2" t="s">
        <v>53</v>
      </c>
      <c r="Q138" s="2">
        <v>4</v>
      </c>
      <c r="R138" s="2" t="s">
        <v>41</v>
      </c>
      <c r="S138" s="2">
        <v>10650</v>
      </c>
      <c r="T138" s="2">
        <v>25150</v>
      </c>
      <c r="U138" s="2">
        <v>2</v>
      </c>
      <c r="V138" s="2" t="s">
        <v>42</v>
      </c>
      <c r="W138" s="2" t="s">
        <v>43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</row>
    <row r="139" spans="1:35" x14ac:dyDescent="0.25">
      <c r="A139" s="2">
        <v>39</v>
      </c>
      <c r="B139" s="2" t="s">
        <v>43</v>
      </c>
      <c r="C139" s="2" t="s">
        <v>36</v>
      </c>
      <c r="D139" s="2">
        <v>1329</v>
      </c>
      <c r="E139" s="2" t="s">
        <v>37</v>
      </c>
      <c r="F139" s="2">
        <v>4</v>
      </c>
      <c r="G139" s="2">
        <v>4</v>
      </c>
      <c r="H139" s="2" t="s">
        <v>38</v>
      </c>
      <c r="I139" s="2">
        <v>1</v>
      </c>
      <c r="J139" s="2">
        <v>182</v>
      </c>
      <c r="K139" s="2">
        <v>4</v>
      </c>
      <c r="L139" s="2" t="s">
        <v>39</v>
      </c>
      <c r="M139" s="2">
        <v>47</v>
      </c>
      <c r="N139" s="2">
        <v>2</v>
      </c>
      <c r="O139" s="2">
        <v>2</v>
      </c>
      <c r="P139" s="2" t="s">
        <v>40</v>
      </c>
      <c r="Q139" s="2">
        <v>3</v>
      </c>
      <c r="R139" s="2" t="s">
        <v>48</v>
      </c>
      <c r="S139" s="2">
        <v>5902</v>
      </c>
      <c r="T139" s="2">
        <v>14590</v>
      </c>
      <c r="U139" s="2">
        <v>4</v>
      </c>
      <c r="V139" s="2" t="s">
        <v>42</v>
      </c>
      <c r="W139" s="2" t="s">
        <v>43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</row>
    <row r="140" spans="1:35" x14ac:dyDescent="0.25">
      <c r="A140" s="2">
        <v>25</v>
      </c>
      <c r="B140" s="2" t="s">
        <v>43</v>
      </c>
      <c r="C140" s="2" t="s">
        <v>36</v>
      </c>
      <c r="D140" s="2">
        <v>959</v>
      </c>
      <c r="E140" s="2" t="s">
        <v>37</v>
      </c>
      <c r="F140" s="2">
        <v>28</v>
      </c>
      <c r="G140" s="2">
        <v>3</v>
      </c>
      <c r="H140" s="2" t="s">
        <v>38</v>
      </c>
      <c r="I140" s="2">
        <v>1</v>
      </c>
      <c r="J140" s="2">
        <v>183</v>
      </c>
      <c r="K140" s="2">
        <v>1</v>
      </c>
      <c r="L140" s="2" t="s">
        <v>46</v>
      </c>
      <c r="M140" s="2">
        <v>41</v>
      </c>
      <c r="N140" s="2">
        <v>2</v>
      </c>
      <c r="O140" s="2">
        <v>2</v>
      </c>
      <c r="P140" s="2" t="s">
        <v>40</v>
      </c>
      <c r="Q140" s="2">
        <v>3</v>
      </c>
      <c r="R140" s="2" t="s">
        <v>48</v>
      </c>
      <c r="S140" s="2">
        <v>8639</v>
      </c>
      <c r="T140" s="2">
        <v>24835</v>
      </c>
      <c r="U140" s="2">
        <v>2</v>
      </c>
      <c r="V140" s="2" t="s">
        <v>42</v>
      </c>
      <c r="W140" s="2" t="s">
        <v>43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</row>
    <row r="141" spans="1:35" x14ac:dyDescent="0.25">
      <c r="A141" s="2">
        <v>30</v>
      </c>
      <c r="B141" s="2" t="s">
        <v>43</v>
      </c>
      <c r="C141" s="2" t="s">
        <v>36</v>
      </c>
      <c r="D141" s="2">
        <v>1240</v>
      </c>
      <c r="E141" s="2" t="s">
        <v>61</v>
      </c>
      <c r="F141" s="2">
        <v>9</v>
      </c>
      <c r="G141" s="2">
        <v>3</v>
      </c>
      <c r="H141" s="2" t="s">
        <v>61</v>
      </c>
      <c r="I141" s="2">
        <v>1</v>
      </c>
      <c r="J141" s="2">
        <v>184</v>
      </c>
      <c r="K141" s="2">
        <v>3</v>
      </c>
      <c r="L141" s="2" t="s">
        <v>46</v>
      </c>
      <c r="M141" s="2">
        <v>48</v>
      </c>
      <c r="N141" s="2">
        <v>3</v>
      </c>
      <c r="O141" s="2">
        <v>2</v>
      </c>
      <c r="P141" s="2" t="s">
        <v>61</v>
      </c>
      <c r="Q141" s="2">
        <v>4</v>
      </c>
      <c r="R141" s="2" t="s">
        <v>48</v>
      </c>
      <c r="S141" s="2">
        <v>6347</v>
      </c>
      <c r="T141" s="2">
        <v>13982</v>
      </c>
      <c r="U141" s="2">
        <v>0</v>
      </c>
      <c r="V141" s="2" t="s">
        <v>42</v>
      </c>
      <c r="W141" s="2" t="s">
        <v>35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</row>
    <row r="142" spans="1:35" x14ac:dyDescent="0.25">
      <c r="A142" s="2">
        <v>32</v>
      </c>
      <c r="B142" s="2" t="s">
        <v>35</v>
      </c>
      <c r="C142" s="2" t="s">
        <v>36</v>
      </c>
      <c r="D142" s="2">
        <v>1033</v>
      </c>
      <c r="E142" s="2" t="s">
        <v>45</v>
      </c>
      <c r="F142" s="2">
        <v>9</v>
      </c>
      <c r="G142" s="2">
        <v>3</v>
      </c>
      <c r="H142" s="2" t="s">
        <v>51</v>
      </c>
      <c r="I142" s="2">
        <v>1</v>
      </c>
      <c r="J142" s="2">
        <v>190</v>
      </c>
      <c r="K142" s="2">
        <v>1</v>
      </c>
      <c r="L142" s="2" t="s">
        <v>39</v>
      </c>
      <c r="M142" s="2">
        <v>41</v>
      </c>
      <c r="N142" s="2">
        <v>3</v>
      </c>
      <c r="O142" s="2">
        <v>1</v>
      </c>
      <c r="P142" s="2" t="s">
        <v>50</v>
      </c>
      <c r="Q142" s="2">
        <v>1</v>
      </c>
      <c r="R142" s="2" t="s">
        <v>41</v>
      </c>
      <c r="S142" s="2">
        <v>4200</v>
      </c>
      <c r="T142" s="2">
        <v>10224</v>
      </c>
      <c r="U142" s="2">
        <v>7</v>
      </c>
      <c r="V142" s="2" t="s">
        <v>42</v>
      </c>
      <c r="W142" s="2" t="s">
        <v>43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</row>
    <row r="143" spans="1:35" x14ac:dyDescent="0.25">
      <c r="A143" s="2">
        <v>45</v>
      </c>
      <c r="B143" s="2" t="s">
        <v>43</v>
      </c>
      <c r="C143" s="2" t="s">
        <v>36</v>
      </c>
      <c r="D143" s="2">
        <v>1316</v>
      </c>
      <c r="E143" s="2" t="s">
        <v>45</v>
      </c>
      <c r="F143" s="2">
        <v>29</v>
      </c>
      <c r="G143" s="2">
        <v>3</v>
      </c>
      <c r="H143" s="2" t="s">
        <v>51</v>
      </c>
      <c r="I143" s="2">
        <v>1</v>
      </c>
      <c r="J143" s="2">
        <v>192</v>
      </c>
      <c r="K143" s="2">
        <v>3</v>
      </c>
      <c r="L143" s="2" t="s">
        <v>46</v>
      </c>
      <c r="M143" s="2">
        <v>83</v>
      </c>
      <c r="N143" s="2">
        <v>3</v>
      </c>
      <c r="O143" s="2">
        <v>1</v>
      </c>
      <c r="P143" s="2" t="s">
        <v>47</v>
      </c>
      <c r="Q143" s="2">
        <v>4</v>
      </c>
      <c r="R143" s="2" t="s">
        <v>41</v>
      </c>
      <c r="S143" s="2">
        <v>3452</v>
      </c>
      <c r="T143" s="2">
        <v>9752</v>
      </c>
      <c r="U143" s="2">
        <v>5</v>
      </c>
      <c r="V143" s="2" t="s">
        <v>42</v>
      </c>
      <c r="W143" s="2" t="s">
        <v>43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</row>
    <row r="144" spans="1:35" x14ac:dyDescent="0.25">
      <c r="A144" s="2">
        <v>38</v>
      </c>
      <c r="B144" s="2" t="s">
        <v>43</v>
      </c>
      <c r="C144" s="2" t="s">
        <v>36</v>
      </c>
      <c r="D144" s="2">
        <v>364</v>
      </c>
      <c r="E144" s="2" t="s">
        <v>45</v>
      </c>
      <c r="F144" s="2">
        <v>3</v>
      </c>
      <c r="G144" s="2">
        <v>5</v>
      </c>
      <c r="H144" s="2" t="s">
        <v>60</v>
      </c>
      <c r="I144" s="2">
        <v>1</v>
      </c>
      <c r="J144" s="2">
        <v>193</v>
      </c>
      <c r="K144" s="2">
        <v>4</v>
      </c>
      <c r="L144" s="2" t="s">
        <v>39</v>
      </c>
      <c r="M144" s="2">
        <v>32</v>
      </c>
      <c r="N144" s="2">
        <v>3</v>
      </c>
      <c r="O144" s="2">
        <v>2</v>
      </c>
      <c r="P144" s="2" t="s">
        <v>47</v>
      </c>
      <c r="Q144" s="2">
        <v>3</v>
      </c>
      <c r="R144" s="2" t="s">
        <v>41</v>
      </c>
      <c r="S144" s="2">
        <v>4317</v>
      </c>
      <c r="T144" s="2">
        <v>2302</v>
      </c>
      <c r="U144" s="2">
        <v>3</v>
      </c>
      <c r="V144" s="2" t="s">
        <v>42</v>
      </c>
      <c r="W144" s="2" t="s">
        <v>35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</row>
    <row r="145" spans="1:35" x14ac:dyDescent="0.25">
      <c r="A145" s="2">
        <v>30</v>
      </c>
      <c r="B145" s="2" t="s">
        <v>43</v>
      </c>
      <c r="C145" s="2" t="s">
        <v>36</v>
      </c>
      <c r="D145" s="2">
        <v>438</v>
      </c>
      <c r="E145" s="2" t="s">
        <v>45</v>
      </c>
      <c r="F145" s="2">
        <v>18</v>
      </c>
      <c r="G145" s="2">
        <v>3</v>
      </c>
      <c r="H145" s="2" t="s">
        <v>38</v>
      </c>
      <c r="I145" s="2">
        <v>1</v>
      </c>
      <c r="J145" s="2">
        <v>194</v>
      </c>
      <c r="K145" s="2">
        <v>1</v>
      </c>
      <c r="L145" s="2" t="s">
        <v>39</v>
      </c>
      <c r="M145" s="2">
        <v>75</v>
      </c>
      <c r="N145" s="2">
        <v>3</v>
      </c>
      <c r="O145" s="2">
        <v>1</v>
      </c>
      <c r="P145" s="2" t="s">
        <v>47</v>
      </c>
      <c r="Q145" s="2">
        <v>3</v>
      </c>
      <c r="R145" s="2" t="s">
        <v>41</v>
      </c>
      <c r="S145" s="2">
        <v>2632</v>
      </c>
      <c r="T145" s="2">
        <v>23910</v>
      </c>
      <c r="U145" s="2">
        <v>1</v>
      </c>
      <c r="V145" s="2" t="s">
        <v>42</v>
      </c>
      <c r="W145" s="2" t="s">
        <v>43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</row>
    <row r="146" spans="1:35" x14ac:dyDescent="0.25">
      <c r="A146" s="2">
        <v>32</v>
      </c>
      <c r="B146" s="2" t="s">
        <v>43</v>
      </c>
      <c r="C146" s="2" t="s">
        <v>44</v>
      </c>
      <c r="D146" s="2">
        <v>689</v>
      </c>
      <c r="E146" s="2" t="s">
        <v>37</v>
      </c>
      <c r="F146" s="2">
        <v>9</v>
      </c>
      <c r="G146" s="2">
        <v>2</v>
      </c>
      <c r="H146" s="2" t="s">
        <v>51</v>
      </c>
      <c r="I146" s="2">
        <v>1</v>
      </c>
      <c r="J146" s="2">
        <v>195</v>
      </c>
      <c r="K146" s="2">
        <v>4</v>
      </c>
      <c r="L146" s="2" t="s">
        <v>46</v>
      </c>
      <c r="M146" s="2">
        <v>35</v>
      </c>
      <c r="N146" s="2">
        <v>1</v>
      </c>
      <c r="O146" s="2">
        <v>2</v>
      </c>
      <c r="P146" s="2" t="s">
        <v>40</v>
      </c>
      <c r="Q146" s="2">
        <v>4</v>
      </c>
      <c r="R146" s="2" t="s">
        <v>52</v>
      </c>
      <c r="S146" s="2">
        <v>4668</v>
      </c>
      <c r="T146" s="2">
        <v>22812</v>
      </c>
      <c r="U146" s="2">
        <v>0</v>
      </c>
      <c r="V146" s="2" t="s">
        <v>42</v>
      </c>
      <c r="W146" s="2" t="s">
        <v>43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</row>
    <row r="147" spans="1:35" x14ac:dyDescent="0.25">
      <c r="A147" s="2">
        <v>30</v>
      </c>
      <c r="B147" s="2" t="s">
        <v>43</v>
      </c>
      <c r="C147" s="2" t="s">
        <v>36</v>
      </c>
      <c r="D147" s="2">
        <v>201</v>
      </c>
      <c r="E147" s="2" t="s">
        <v>45</v>
      </c>
      <c r="F147" s="2">
        <v>5</v>
      </c>
      <c r="G147" s="2">
        <v>3</v>
      </c>
      <c r="H147" s="2" t="s">
        <v>60</v>
      </c>
      <c r="I147" s="2">
        <v>1</v>
      </c>
      <c r="J147" s="2">
        <v>197</v>
      </c>
      <c r="K147" s="2">
        <v>4</v>
      </c>
      <c r="L147" s="2" t="s">
        <v>39</v>
      </c>
      <c r="M147" s="2">
        <v>84</v>
      </c>
      <c r="N147" s="2">
        <v>3</v>
      </c>
      <c r="O147" s="2">
        <v>1</v>
      </c>
      <c r="P147" s="2" t="s">
        <v>47</v>
      </c>
      <c r="Q147" s="2">
        <v>1</v>
      </c>
      <c r="R147" s="2" t="s">
        <v>52</v>
      </c>
      <c r="S147" s="2">
        <v>3204</v>
      </c>
      <c r="T147" s="2">
        <v>10415</v>
      </c>
      <c r="U147" s="2">
        <v>5</v>
      </c>
      <c r="V147" s="2" t="s">
        <v>42</v>
      </c>
      <c r="W147" s="2" t="s">
        <v>43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</row>
    <row r="148" spans="1:35" x14ac:dyDescent="0.25">
      <c r="A148" s="2">
        <v>30</v>
      </c>
      <c r="B148" s="2" t="s">
        <v>43</v>
      </c>
      <c r="C148" s="2" t="s">
        <v>36</v>
      </c>
      <c r="D148" s="2">
        <v>1427</v>
      </c>
      <c r="E148" s="2" t="s">
        <v>45</v>
      </c>
      <c r="F148" s="2">
        <v>2</v>
      </c>
      <c r="G148" s="2">
        <v>1</v>
      </c>
      <c r="H148" s="2" t="s">
        <v>51</v>
      </c>
      <c r="I148" s="2">
        <v>1</v>
      </c>
      <c r="J148" s="2">
        <v>198</v>
      </c>
      <c r="K148" s="2">
        <v>2</v>
      </c>
      <c r="L148" s="2" t="s">
        <v>46</v>
      </c>
      <c r="M148" s="2">
        <v>35</v>
      </c>
      <c r="N148" s="2">
        <v>2</v>
      </c>
      <c r="O148" s="2">
        <v>1</v>
      </c>
      <c r="P148" s="2" t="s">
        <v>50</v>
      </c>
      <c r="Q148" s="2">
        <v>4</v>
      </c>
      <c r="R148" s="2" t="s">
        <v>41</v>
      </c>
      <c r="S148" s="2">
        <v>2720</v>
      </c>
      <c r="T148" s="2">
        <v>11162</v>
      </c>
      <c r="U148" s="2">
        <v>0</v>
      </c>
      <c r="V148" s="2" t="s">
        <v>42</v>
      </c>
      <c r="W148" s="2" t="s">
        <v>43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</row>
    <row r="149" spans="1:35" x14ac:dyDescent="0.25">
      <c r="A149" s="2">
        <v>41</v>
      </c>
      <c r="B149" s="2" t="s">
        <v>43</v>
      </c>
      <c r="C149" s="2" t="s">
        <v>44</v>
      </c>
      <c r="D149" s="2">
        <v>857</v>
      </c>
      <c r="E149" s="2" t="s">
        <v>45</v>
      </c>
      <c r="F149" s="2">
        <v>10</v>
      </c>
      <c r="G149" s="2">
        <v>3</v>
      </c>
      <c r="H149" s="2" t="s">
        <v>38</v>
      </c>
      <c r="I149" s="2">
        <v>1</v>
      </c>
      <c r="J149" s="2">
        <v>199</v>
      </c>
      <c r="K149" s="2">
        <v>4</v>
      </c>
      <c r="L149" s="2" t="s">
        <v>46</v>
      </c>
      <c r="M149" s="2">
        <v>91</v>
      </c>
      <c r="N149" s="2">
        <v>2</v>
      </c>
      <c r="O149" s="2">
        <v>4</v>
      </c>
      <c r="P149" s="2" t="s">
        <v>56</v>
      </c>
      <c r="Q149" s="2">
        <v>1</v>
      </c>
      <c r="R149" s="2" t="s">
        <v>52</v>
      </c>
      <c r="S149" s="2">
        <v>17181</v>
      </c>
      <c r="T149" s="2">
        <v>12888</v>
      </c>
      <c r="U149" s="2">
        <v>4</v>
      </c>
      <c r="V149" s="2" t="s">
        <v>42</v>
      </c>
      <c r="W149" s="2" t="s">
        <v>43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</row>
    <row r="150" spans="1:35" x14ac:dyDescent="0.25">
      <c r="A150" s="2">
        <v>41</v>
      </c>
      <c r="B150" s="2" t="s">
        <v>43</v>
      </c>
      <c r="C150" s="2" t="s">
        <v>36</v>
      </c>
      <c r="D150" s="2">
        <v>933</v>
      </c>
      <c r="E150" s="2" t="s">
        <v>45</v>
      </c>
      <c r="F150" s="2">
        <v>9</v>
      </c>
      <c r="G150" s="2">
        <v>4</v>
      </c>
      <c r="H150" s="2" t="s">
        <v>38</v>
      </c>
      <c r="I150" s="2">
        <v>1</v>
      </c>
      <c r="J150" s="2">
        <v>200</v>
      </c>
      <c r="K150" s="2">
        <v>3</v>
      </c>
      <c r="L150" s="2" t="s">
        <v>46</v>
      </c>
      <c r="M150" s="2">
        <v>94</v>
      </c>
      <c r="N150" s="2">
        <v>3</v>
      </c>
      <c r="O150" s="2">
        <v>1</v>
      </c>
      <c r="P150" s="2" t="s">
        <v>50</v>
      </c>
      <c r="Q150" s="2">
        <v>1</v>
      </c>
      <c r="R150" s="2" t="s">
        <v>48</v>
      </c>
      <c r="S150" s="2">
        <v>2238</v>
      </c>
      <c r="T150" s="2">
        <v>6961</v>
      </c>
      <c r="U150" s="2">
        <v>2</v>
      </c>
      <c r="V150" s="2" t="s">
        <v>42</v>
      </c>
      <c r="W150" s="2" t="s">
        <v>43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</row>
    <row r="151" spans="1:35" x14ac:dyDescent="0.25">
      <c r="A151" s="2">
        <v>19</v>
      </c>
      <c r="B151" s="2" t="s">
        <v>43</v>
      </c>
      <c r="C151" s="2" t="s">
        <v>36</v>
      </c>
      <c r="D151" s="2">
        <v>1181</v>
      </c>
      <c r="E151" s="2" t="s">
        <v>45</v>
      </c>
      <c r="F151" s="2">
        <v>3</v>
      </c>
      <c r="G151" s="2">
        <v>1</v>
      </c>
      <c r="H151" s="2" t="s">
        <v>51</v>
      </c>
      <c r="I151" s="2">
        <v>1</v>
      </c>
      <c r="J151" s="2">
        <v>201</v>
      </c>
      <c r="K151" s="2">
        <v>2</v>
      </c>
      <c r="L151" s="2" t="s">
        <v>39</v>
      </c>
      <c r="M151" s="2">
        <v>79</v>
      </c>
      <c r="N151" s="2">
        <v>3</v>
      </c>
      <c r="O151" s="2">
        <v>1</v>
      </c>
      <c r="P151" s="2" t="s">
        <v>50</v>
      </c>
      <c r="Q151" s="2">
        <v>2</v>
      </c>
      <c r="R151" s="2" t="s">
        <v>41</v>
      </c>
      <c r="S151" s="2">
        <v>1483</v>
      </c>
      <c r="T151" s="2">
        <v>16102</v>
      </c>
      <c r="U151" s="2">
        <v>1</v>
      </c>
      <c r="V151" s="2" t="s">
        <v>42</v>
      </c>
      <c r="W151" s="2" t="s">
        <v>43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</row>
    <row r="152" spans="1:35" x14ac:dyDescent="0.25">
      <c r="A152" s="2">
        <v>40</v>
      </c>
      <c r="B152" s="2" t="s">
        <v>43</v>
      </c>
      <c r="C152" s="2" t="s">
        <v>44</v>
      </c>
      <c r="D152" s="2">
        <v>1395</v>
      </c>
      <c r="E152" s="2" t="s">
        <v>45</v>
      </c>
      <c r="F152" s="2">
        <v>26</v>
      </c>
      <c r="G152" s="2">
        <v>3</v>
      </c>
      <c r="H152" s="2" t="s">
        <v>51</v>
      </c>
      <c r="I152" s="2">
        <v>1</v>
      </c>
      <c r="J152" s="2">
        <v>202</v>
      </c>
      <c r="K152" s="2">
        <v>2</v>
      </c>
      <c r="L152" s="2" t="s">
        <v>39</v>
      </c>
      <c r="M152" s="2">
        <v>54</v>
      </c>
      <c r="N152" s="2">
        <v>3</v>
      </c>
      <c r="O152" s="2">
        <v>2</v>
      </c>
      <c r="P152" s="2" t="s">
        <v>47</v>
      </c>
      <c r="Q152" s="2">
        <v>2</v>
      </c>
      <c r="R152" s="2" t="s">
        <v>52</v>
      </c>
      <c r="S152" s="2">
        <v>5605</v>
      </c>
      <c r="T152" s="2">
        <v>8504</v>
      </c>
      <c r="U152" s="2">
        <v>1</v>
      </c>
      <c r="V152" s="2" t="s">
        <v>42</v>
      </c>
      <c r="W152" s="2" t="s">
        <v>43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</row>
    <row r="153" spans="1:35" x14ac:dyDescent="0.25">
      <c r="A153" s="2">
        <v>35</v>
      </c>
      <c r="B153" s="2" t="s">
        <v>43</v>
      </c>
      <c r="C153" s="2" t="s">
        <v>36</v>
      </c>
      <c r="D153" s="2">
        <v>662</v>
      </c>
      <c r="E153" s="2" t="s">
        <v>37</v>
      </c>
      <c r="F153" s="2">
        <v>1</v>
      </c>
      <c r="G153" s="2">
        <v>5</v>
      </c>
      <c r="H153" s="2" t="s">
        <v>59</v>
      </c>
      <c r="I153" s="2">
        <v>1</v>
      </c>
      <c r="J153" s="2">
        <v>204</v>
      </c>
      <c r="K153" s="2">
        <v>3</v>
      </c>
      <c r="L153" s="2" t="s">
        <v>46</v>
      </c>
      <c r="M153" s="2">
        <v>94</v>
      </c>
      <c r="N153" s="2">
        <v>3</v>
      </c>
      <c r="O153" s="2">
        <v>3</v>
      </c>
      <c r="P153" s="2" t="s">
        <v>40</v>
      </c>
      <c r="Q153" s="2">
        <v>2</v>
      </c>
      <c r="R153" s="2" t="s">
        <v>48</v>
      </c>
      <c r="S153" s="2">
        <v>7295</v>
      </c>
      <c r="T153" s="2">
        <v>11439</v>
      </c>
      <c r="U153" s="2">
        <v>1</v>
      </c>
      <c r="V153" s="2" t="s">
        <v>42</v>
      </c>
      <c r="W153" s="2" t="s">
        <v>43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</row>
    <row r="154" spans="1:35" x14ac:dyDescent="0.25">
      <c r="A154" s="2">
        <v>53</v>
      </c>
      <c r="B154" s="2" t="s">
        <v>43</v>
      </c>
      <c r="C154" s="2" t="s">
        <v>36</v>
      </c>
      <c r="D154" s="2">
        <v>1436</v>
      </c>
      <c r="E154" s="2" t="s">
        <v>37</v>
      </c>
      <c r="F154" s="2">
        <v>6</v>
      </c>
      <c r="G154" s="2">
        <v>2</v>
      </c>
      <c r="H154" s="2" t="s">
        <v>59</v>
      </c>
      <c r="I154" s="2">
        <v>1</v>
      </c>
      <c r="J154" s="2">
        <v>205</v>
      </c>
      <c r="K154" s="2">
        <v>2</v>
      </c>
      <c r="L154" s="2" t="s">
        <v>46</v>
      </c>
      <c r="M154" s="2">
        <v>34</v>
      </c>
      <c r="N154" s="2">
        <v>3</v>
      </c>
      <c r="O154" s="2">
        <v>2</v>
      </c>
      <c r="P154" s="2" t="s">
        <v>57</v>
      </c>
      <c r="Q154" s="2">
        <v>3</v>
      </c>
      <c r="R154" s="2" t="s">
        <v>48</v>
      </c>
      <c r="S154" s="2">
        <v>2306</v>
      </c>
      <c r="T154" s="2">
        <v>16047</v>
      </c>
      <c r="U154" s="2">
        <v>2</v>
      </c>
      <c r="V154" s="2" t="s">
        <v>42</v>
      </c>
      <c r="W154" s="2" t="s">
        <v>35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</row>
    <row r="155" spans="1:35" x14ac:dyDescent="0.25">
      <c r="A155" s="2">
        <v>45</v>
      </c>
      <c r="B155" s="2" t="s">
        <v>43</v>
      </c>
      <c r="C155" s="2" t="s">
        <v>36</v>
      </c>
      <c r="D155" s="2">
        <v>194</v>
      </c>
      <c r="E155" s="2" t="s">
        <v>45</v>
      </c>
      <c r="F155" s="2">
        <v>9</v>
      </c>
      <c r="G155" s="2">
        <v>3</v>
      </c>
      <c r="H155" s="2" t="s">
        <v>38</v>
      </c>
      <c r="I155" s="2">
        <v>1</v>
      </c>
      <c r="J155" s="2">
        <v>206</v>
      </c>
      <c r="K155" s="2">
        <v>2</v>
      </c>
      <c r="L155" s="2" t="s">
        <v>46</v>
      </c>
      <c r="M155" s="2">
        <v>60</v>
      </c>
      <c r="N155" s="2">
        <v>3</v>
      </c>
      <c r="O155" s="2">
        <v>2</v>
      </c>
      <c r="P155" s="2" t="s">
        <v>50</v>
      </c>
      <c r="Q155" s="2">
        <v>2</v>
      </c>
      <c r="R155" s="2" t="s">
        <v>52</v>
      </c>
      <c r="S155" s="2">
        <v>2348</v>
      </c>
      <c r="T155" s="2">
        <v>10901</v>
      </c>
      <c r="U155" s="2">
        <v>8</v>
      </c>
      <c r="V155" s="2" t="s">
        <v>42</v>
      </c>
      <c r="W155" s="2" t="s">
        <v>43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</row>
    <row r="156" spans="1:35" x14ac:dyDescent="0.25">
      <c r="A156" s="2">
        <v>32</v>
      </c>
      <c r="B156" s="2" t="s">
        <v>43</v>
      </c>
      <c r="C156" s="2" t="s">
        <v>44</v>
      </c>
      <c r="D156" s="2">
        <v>967</v>
      </c>
      <c r="E156" s="2" t="s">
        <v>37</v>
      </c>
      <c r="F156" s="2">
        <v>8</v>
      </c>
      <c r="G156" s="2">
        <v>3</v>
      </c>
      <c r="H156" s="2" t="s">
        <v>59</v>
      </c>
      <c r="I156" s="2">
        <v>1</v>
      </c>
      <c r="J156" s="2">
        <v>207</v>
      </c>
      <c r="K156" s="2">
        <v>2</v>
      </c>
      <c r="L156" s="2" t="s">
        <v>39</v>
      </c>
      <c r="M156" s="2">
        <v>43</v>
      </c>
      <c r="N156" s="2">
        <v>3</v>
      </c>
      <c r="O156" s="2">
        <v>3</v>
      </c>
      <c r="P156" s="2" t="s">
        <v>40</v>
      </c>
      <c r="Q156" s="2">
        <v>4</v>
      </c>
      <c r="R156" s="2" t="s">
        <v>41</v>
      </c>
      <c r="S156" s="2">
        <v>8998</v>
      </c>
      <c r="T156" s="2">
        <v>15589</v>
      </c>
      <c r="U156" s="2">
        <v>1</v>
      </c>
      <c r="V156" s="2" t="s">
        <v>42</v>
      </c>
      <c r="W156" s="2" t="s">
        <v>43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</row>
    <row r="157" spans="1:35" x14ac:dyDescent="0.25">
      <c r="A157" s="2">
        <v>29</v>
      </c>
      <c r="B157" s="2" t="s">
        <v>43</v>
      </c>
      <c r="C157" s="2" t="s">
        <v>55</v>
      </c>
      <c r="D157" s="2">
        <v>1496</v>
      </c>
      <c r="E157" s="2" t="s">
        <v>45</v>
      </c>
      <c r="F157" s="2">
        <v>1</v>
      </c>
      <c r="G157" s="2">
        <v>1</v>
      </c>
      <c r="H157" s="2" t="s">
        <v>60</v>
      </c>
      <c r="I157" s="2">
        <v>1</v>
      </c>
      <c r="J157" s="2">
        <v>208</v>
      </c>
      <c r="K157" s="2">
        <v>4</v>
      </c>
      <c r="L157" s="2" t="s">
        <v>46</v>
      </c>
      <c r="M157" s="2">
        <v>41</v>
      </c>
      <c r="N157" s="2">
        <v>3</v>
      </c>
      <c r="O157" s="2">
        <v>2</v>
      </c>
      <c r="P157" s="2" t="s">
        <v>53</v>
      </c>
      <c r="Q157" s="2">
        <v>3</v>
      </c>
      <c r="R157" s="2" t="s">
        <v>48</v>
      </c>
      <c r="S157" s="2">
        <v>4319</v>
      </c>
      <c r="T157" s="2">
        <v>26283</v>
      </c>
      <c r="U157" s="2">
        <v>1</v>
      </c>
      <c r="V157" s="2" t="s">
        <v>42</v>
      </c>
      <c r="W157" s="2" t="s">
        <v>43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</row>
    <row r="158" spans="1:35" x14ac:dyDescent="0.25">
      <c r="A158" s="2">
        <v>51</v>
      </c>
      <c r="B158" s="2" t="s">
        <v>43</v>
      </c>
      <c r="C158" s="2" t="s">
        <v>36</v>
      </c>
      <c r="D158" s="2">
        <v>1169</v>
      </c>
      <c r="E158" s="2" t="s">
        <v>45</v>
      </c>
      <c r="F158" s="2">
        <v>7</v>
      </c>
      <c r="G158" s="2">
        <v>4</v>
      </c>
      <c r="H158" s="2" t="s">
        <v>51</v>
      </c>
      <c r="I158" s="2">
        <v>1</v>
      </c>
      <c r="J158" s="2">
        <v>211</v>
      </c>
      <c r="K158" s="2">
        <v>2</v>
      </c>
      <c r="L158" s="2" t="s">
        <v>46</v>
      </c>
      <c r="M158" s="2">
        <v>34</v>
      </c>
      <c r="N158" s="2">
        <v>2</v>
      </c>
      <c r="O158" s="2">
        <v>2</v>
      </c>
      <c r="P158" s="2" t="s">
        <v>53</v>
      </c>
      <c r="Q158" s="2">
        <v>3</v>
      </c>
      <c r="R158" s="2" t="s">
        <v>48</v>
      </c>
      <c r="S158" s="2">
        <v>6132</v>
      </c>
      <c r="T158" s="2">
        <v>13983</v>
      </c>
      <c r="U158" s="2">
        <v>2</v>
      </c>
      <c r="V158" s="2" t="s">
        <v>42</v>
      </c>
      <c r="W158" s="2" t="s">
        <v>43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</row>
    <row r="159" spans="1:35" x14ac:dyDescent="0.25">
      <c r="A159" s="2">
        <v>58</v>
      </c>
      <c r="B159" s="2" t="s">
        <v>43</v>
      </c>
      <c r="C159" s="2" t="s">
        <v>36</v>
      </c>
      <c r="D159" s="2">
        <v>1145</v>
      </c>
      <c r="E159" s="2" t="s">
        <v>45</v>
      </c>
      <c r="F159" s="2">
        <v>9</v>
      </c>
      <c r="G159" s="2">
        <v>3</v>
      </c>
      <c r="H159" s="2" t="s">
        <v>51</v>
      </c>
      <c r="I159" s="2">
        <v>1</v>
      </c>
      <c r="J159" s="2">
        <v>214</v>
      </c>
      <c r="K159" s="2">
        <v>2</v>
      </c>
      <c r="L159" s="2" t="s">
        <v>39</v>
      </c>
      <c r="M159" s="2">
        <v>75</v>
      </c>
      <c r="N159" s="2">
        <v>2</v>
      </c>
      <c r="O159" s="2">
        <v>1</v>
      </c>
      <c r="P159" s="2" t="s">
        <v>47</v>
      </c>
      <c r="Q159" s="2">
        <v>2</v>
      </c>
      <c r="R159" s="2" t="s">
        <v>48</v>
      </c>
      <c r="S159" s="2">
        <v>3346</v>
      </c>
      <c r="T159" s="2">
        <v>11873</v>
      </c>
      <c r="U159" s="2">
        <v>4</v>
      </c>
      <c r="V159" s="2" t="s">
        <v>42</v>
      </c>
      <c r="W159" s="2" t="s">
        <v>35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</row>
    <row r="160" spans="1:35" x14ac:dyDescent="0.25">
      <c r="A160" s="2">
        <v>40</v>
      </c>
      <c r="B160" s="2" t="s">
        <v>43</v>
      </c>
      <c r="C160" s="2" t="s">
        <v>36</v>
      </c>
      <c r="D160" s="2">
        <v>630</v>
      </c>
      <c r="E160" s="2" t="s">
        <v>37</v>
      </c>
      <c r="F160" s="2">
        <v>4</v>
      </c>
      <c r="G160" s="2">
        <v>4</v>
      </c>
      <c r="H160" s="2" t="s">
        <v>59</v>
      </c>
      <c r="I160" s="2">
        <v>1</v>
      </c>
      <c r="J160" s="2">
        <v>215</v>
      </c>
      <c r="K160" s="2">
        <v>3</v>
      </c>
      <c r="L160" s="2" t="s">
        <v>46</v>
      </c>
      <c r="M160" s="2">
        <v>67</v>
      </c>
      <c r="N160" s="2">
        <v>2</v>
      </c>
      <c r="O160" s="2">
        <v>3</v>
      </c>
      <c r="P160" s="2" t="s">
        <v>40</v>
      </c>
      <c r="Q160" s="2">
        <v>4</v>
      </c>
      <c r="R160" s="2" t="s">
        <v>48</v>
      </c>
      <c r="S160" s="2">
        <v>10855</v>
      </c>
      <c r="T160" s="2">
        <v>8552</v>
      </c>
      <c r="U160" s="2">
        <v>7</v>
      </c>
      <c r="V160" s="2" t="s">
        <v>42</v>
      </c>
      <c r="W160" s="2" t="s">
        <v>43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</row>
    <row r="161" spans="1:35" x14ac:dyDescent="0.25">
      <c r="A161" s="2">
        <v>34</v>
      </c>
      <c r="B161" s="2" t="s">
        <v>43</v>
      </c>
      <c r="C161" s="2" t="s">
        <v>44</v>
      </c>
      <c r="D161" s="2">
        <v>303</v>
      </c>
      <c r="E161" s="2" t="s">
        <v>37</v>
      </c>
      <c r="F161" s="2">
        <v>2</v>
      </c>
      <c r="G161" s="2">
        <v>4</v>
      </c>
      <c r="H161" s="2" t="s">
        <v>59</v>
      </c>
      <c r="I161" s="2">
        <v>1</v>
      </c>
      <c r="J161" s="2">
        <v>216</v>
      </c>
      <c r="K161" s="2">
        <v>3</v>
      </c>
      <c r="L161" s="2" t="s">
        <v>39</v>
      </c>
      <c r="M161" s="2">
        <v>75</v>
      </c>
      <c r="N161" s="2">
        <v>3</v>
      </c>
      <c r="O161" s="2">
        <v>1</v>
      </c>
      <c r="P161" s="2" t="s">
        <v>57</v>
      </c>
      <c r="Q161" s="2">
        <v>3</v>
      </c>
      <c r="R161" s="2" t="s">
        <v>48</v>
      </c>
      <c r="S161" s="2">
        <v>2231</v>
      </c>
      <c r="T161" s="2">
        <v>11314</v>
      </c>
      <c r="U161" s="2">
        <v>6</v>
      </c>
      <c r="V161" s="2" t="s">
        <v>42</v>
      </c>
      <c r="W161" s="2" t="s">
        <v>43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</row>
    <row r="162" spans="1:35" x14ac:dyDescent="0.25">
      <c r="A162" s="2">
        <v>22</v>
      </c>
      <c r="B162" s="2" t="s">
        <v>43</v>
      </c>
      <c r="C162" s="2" t="s">
        <v>36</v>
      </c>
      <c r="D162" s="2">
        <v>1256</v>
      </c>
      <c r="E162" s="2" t="s">
        <v>45</v>
      </c>
      <c r="F162" s="2">
        <v>19</v>
      </c>
      <c r="G162" s="2">
        <v>1</v>
      </c>
      <c r="H162" s="2" t="s">
        <v>51</v>
      </c>
      <c r="I162" s="2">
        <v>1</v>
      </c>
      <c r="J162" s="2">
        <v>217</v>
      </c>
      <c r="K162" s="2">
        <v>3</v>
      </c>
      <c r="L162" s="2" t="s">
        <v>46</v>
      </c>
      <c r="M162" s="2">
        <v>80</v>
      </c>
      <c r="N162" s="2">
        <v>3</v>
      </c>
      <c r="O162" s="2">
        <v>1</v>
      </c>
      <c r="P162" s="2" t="s">
        <v>47</v>
      </c>
      <c r="Q162" s="2">
        <v>4</v>
      </c>
      <c r="R162" s="2" t="s">
        <v>48</v>
      </c>
      <c r="S162" s="2">
        <v>2323</v>
      </c>
      <c r="T162" s="2">
        <v>11992</v>
      </c>
      <c r="U162" s="2">
        <v>1</v>
      </c>
      <c r="V162" s="2" t="s">
        <v>42</v>
      </c>
      <c r="W162" s="2" t="s">
        <v>43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</row>
    <row r="163" spans="1:35" x14ac:dyDescent="0.25">
      <c r="A163" s="2">
        <v>27</v>
      </c>
      <c r="B163" s="2" t="s">
        <v>43</v>
      </c>
      <c r="C163" s="2" t="s">
        <v>55</v>
      </c>
      <c r="D163" s="2">
        <v>691</v>
      </c>
      <c r="E163" s="2" t="s">
        <v>45</v>
      </c>
      <c r="F163" s="2">
        <v>9</v>
      </c>
      <c r="G163" s="2">
        <v>3</v>
      </c>
      <c r="H163" s="2" t="s">
        <v>51</v>
      </c>
      <c r="I163" s="2">
        <v>1</v>
      </c>
      <c r="J163" s="2">
        <v>218</v>
      </c>
      <c r="K163" s="2">
        <v>4</v>
      </c>
      <c r="L163" s="2" t="s">
        <v>46</v>
      </c>
      <c r="M163" s="2">
        <v>57</v>
      </c>
      <c r="N163" s="2">
        <v>3</v>
      </c>
      <c r="O163" s="2">
        <v>1</v>
      </c>
      <c r="P163" s="2" t="s">
        <v>47</v>
      </c>
      <c r="Q163" s="2">
        <v>2</v>
      </c>
      <c r="R163" s="2" t="s">
        <v>52</v>
      </c>
      <c r="S163" s="2">
        <v>2024</v>
      </c>
      <c r="T163" s="2">
        <v>5970</v>
      </c>
      <c r="U163" s="2">
        <v>6</v>
      </c>
      <c r="V163" s="2" t="s">
        <v>42</v>
      </c>
      <c r="W163" s="2" t="s">
        <v>43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</row>
    <row r="164" spans="1:35" x14ac:dyDescent="0.25">
      <c r="A164" s="2">
        <v>28</v>
      </c>
      <c r="B164" s="2" t="s">
        <v>43</v>
      </c>
      <c r="C164" s="2" t="s">
        <v>36</v>
      </c>
      <c r="D164" s="2">
        <v>440</v>
      </c>
      <c r="E164" s="2" t="s">
        <v>45</v>
      </c>
      <c r="F164" s="2">
        <v>21</v>
      </c>
      <c r="G164" s="2">
        <v>3</v>
      </c>
      <c r="H164" s="2" t="s">
        <v>51</v>
      </c>
      <c r="I164" s="2">
        <v>1</v>
      </c>
      <c r="J164" s="2">
        <v>221</v>
      </c>
      <c r="K164" s="2">
        <v>3</v>
      </c>
      <c r="L164" s="2" t="s">
        <v>46</v>
      </c>
      <c r="M164" s="2">
        <v>42</v>
      </c>
      <c r="N164" s="2">
        <v>3</v>
      </c>
      <c r="O164" s="2">
        <v>1</v>
      </c>
      <c r="P164" s="2" t="s">
        <v>47</v>
      </c>
      <c r="Q164" s="2">
        <v>4</v>
      </c>
      <c r="R164" s="2" t="s">
        <v>48</v>
      </c>
      <c r="S164" s="2">
        <v>2713</v>
      </c>
      <c r="T164" s="2">
        <v>6672</v>
      </c>
      <c r="U164" s="2">
        <v>1</v>
      </c>
      <c r="V164" s="2" t="s">
        <v>42</v>
      </c>
      <c r="W164" s="2" t="s">
        <v>43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</row>
    <row r="165" spans="1:35" x14ac:dyDescent="0.25">
      <c r="A165" s="2">
        <v>57</v>
      </c>
      <c r="B165" s="2" t="s">
        <v>43</v>
      </c>
      <c r="C165" s="2" t="s">
        <v>36</v>
      </c>
      <c r="D165" s="2">
        <v>334</v>
      </c>
      <c r="E165" s="2" t="s">
        <v>45</v>
      </c>
      <c r="F165" s="2">
        <v>24</v>
      </c>
      <c r="G165" s="2">
        <v>2</v>
      </c>
      <c r="H165" s="2" t="s">
        <v>38</v>
      </c>
      <c r="I165" s="2">
        <v>1</v>
      </c>
      <c r="J165" s="2">
        <v>223</v>
      </c>
      <c r="K165" s="2">
        <v>3</v>
      </c>
      <c r="L165" s="2" t="s">
        <v>46</v>
      </c>
      <c r="M165" s="2">
        <v>83</v>
      </c>
      <c r="N165" s="2">
        <v>4</v>
      </c>
      <c r="O165" s="2">
        <v>3</v>
      </c>
      <c r="P165" s="2" t="s">
        <v>54</v>
      </c>
      <c r="Q165" s="2">
        <v>4</v>
      </c>
      <c r="R165" s="2" t="s">
        <v>52</v>
      </c>
      <c r="S165" s="2">
        <v>9439</v>
      </c>
      <c r="T165" s="2">
        <v>23402</v>
      </c>
      <c r="U165" s="2">
        <v>3</v>
      </c>
      <c r="V165" s="2" t="s">
        <v>42</v>
      </c>
      <c r="W165" s="2" t="s">
        <v>35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</row>
    <row r="166" spans="1:35" x14ac:dyDescent="0.25">
      <c r="A166" s="2">
        <v>27</v>
      </c>
      <c r="B166" s="2" t="s">
        <v>43</v>
      </c>
      <c r="C166" s="2" t="s">
        <v>55</v>
      </c>
      <c r="D166" s="2">
        <v>1450</v>
      </c>
      <c r="E166" s="2" t="s">
        <v>45</v>
      </c>
      <c r="F166" s="2">
        <v>3</v>
      </c>
      <c r="G166" s="2">
        <v>3</v>
      </c>
      <c r="H166" s="2" t="s">
        <v>51</v>
      </c>
      <c r="I166" s="2">
        <v>1</v>
      </c>
      <c r="J166" s="2">
        <v>224</v>
      </c>
      <c r="K166" s="2">
        <v>3</v>
      </c>
      <c r="L166" s="2" t="s">
        <v>46</v>
      </c>
      <c r="M166" s="2">
        <v>79</v>
      </c>
      <c r="N166" s="2">
        <v>2</v>
      </c>
      <c r="O166" s="2">
        <v>1</v>
      </c>
      <c r="P166" s="2" t="s">
        <v>47</v>
      </c>
      <c r="Q166" s="2">
        <v>3</v>
      </c>
      <c r="R166" s="2" t="s">
        <v>52</v>
      </c>
      <c r="S166" s="2">
        <v>2566</v>
      </c>
      <c r="T166" s="2">
        <v>25326</v>
      </c>
      <c r="U166" s="2">
        <v>1</v>
      </c>
      <c r="V166" s="2" t="s">
        <v>42</v>
      </c>
      <c r="W166" s="2" t="s">
        <v>35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</row>
    <row r="167" spans="1:35" x14ac:dyDescent="0.25">
      <c r="A167" s="2">
        <v>50</v>
      </c>
      <c r="B167" s="2" t="s">
        <v>43</v>
      </c>
      <c r="C167" s="2" t="s">
        <v>36</v>
      </c>
      <c r="D167" s="2">
        <v>1452</v>
      </c>
      <c r="E167" s="2" t="s">
        <v>45</v>
      </c>
      <c r="F167" s="2">
        <v>11</v>
      </c>
      <c r="G167" s="2">
        <v>3</v>
      </c>
      <c r="H167" s="2" t="s">
        <v>38</v>
      </c>
      <c r="I167" s="2">
        <v>1</v>
      </c>
      <c r="J167" s="2">
        <v>226</v>
      </c>
      <c r="K167" s="2">
        <v>3</v>
      </c>
      <c r="L167" s="2" t="s">
        <v>39</v>
      </c>
      <c r="M167" s="2">
        <v>53</v>
      </c>
      <c r="N167" s="2">
        <v>3</v>
      </c>
      <c r="O167" s="2">
        <v>5</v>
      </c>
      <c r="P167" s="2" t="s">
        <v>56</v>
      </c>
      <c r="Q167" s="2">
        <v>2</v>
      </c>
      <c r="R167" s="2" t="s">
        <v>41</v>
      </c>
      <c r="S167" s="2">
        <v>19926</v>
      </c>
      <c r="T167" s="2">
        <v>17053</v>
      </c>
      <c r="U167" s="2">
        <v>3</v>
      </c>
      <c r="V167" s="2" t="s">
        <v>42</v>
      </c>
      <c r="W167" s="2" t="s">
        <v>43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</row>
    <row r="168" spans="1:35" x14ac:dyDescent="0.25">
      <c r="A168" s="2">
        <v>41</v>
      </c>
      <c r="B168" s="2" t="s">
        <v>43</v>
      </c>
      <c r="C168" s="2" t="s">
        <v>36</v>
      </c>
      <c r="D168" s="2">
        <v>465</v>
      </c>
      <c r="E168" s="2" t="s">
        <v>45</v>
      </c>
      <c r="F168" s="2">
        <v>14</v>
      </c>
      <c r="G168" s="2">
        <v>3</v>
      </c>
      <c r="H168" s="2" t="s">
        <v>38</v>
      </c>
      <c r="I168" s="2">
        <v>1</v>
      </c>
      <c r="J168" s="2">
        <v>227</v>
      </c>
      <c r="K168" s="2">
        <v>1</v>
      </c>
      <c r="L168" s="2" t="s">
        <v>46</v>
      </c>
      <c r="M168" s="2">
        <v>56</v>
      </c>
      <c r="N168" s="2">
        <v>3</v>
      </c>
      <c r="O168" s="2">
        <v>1</v>
      </c>
      <c r="P168" s="2" t="s">
        <v>47</v>
      </c>
      <c r="Q168" s="2">
        <v>3</v>
      </c>
      <c r="R168" s="2" t="s">
        <v>52</v>
      </c>
      <c r="S168" s="2">
        <v>2451</v>
      </c>
      <c r="T168" s="2">
        <v>4609</v>
      </c>
      <c r="U168" s="2">
        <v>4</v>
      </c>
      <c r="V168" s="2" t="s">
        <v>42</v>
      </c>
      <c r="W168" s="2" t="s">
        <v>43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</row>
    <row r="169" spans="1:35" x14ac:dyDescent="0.25">
      <c r="A169" s="2">
        <v>30</v>
      </c>
      <c r="B169" s="2" t="s">
        <v>43</v>
      </c>
      <c r="C169" s="2" t="s">
        <v>36</v>
      </c>
      <c r="D169" s="2">
        <v>1339</v>
      </c>
      <c r="E169" s="2" t="s">
        <v>37</v>
      </c>
      <c r="F169" s="2">
        <v>5</v>
      </c>
      <c r="G169" s="2">
        <v>3</v>
      </c>
      <c r="H169" s="2" t="s">
        <v>38</v>
      </c>
      <c r="I169" s="2">
        <v>1</v>
      </c>
      <c r="J169" s="2">
        <v>228</v>
      </c>
      <c r="K169" s="2">
        <v>2</v>
      </c>
      <c r="L169" s="2" t="s">
        <v>39</v>
      </c>
      <c r="M169" s="2">
        <v>41</v>
      </c>
      <c r="N169" s="2">
        <v>3</v>
      </c>
      <c r="O169" s="2">
        <v>3</v>
      </c>
      <c r="P169" s="2" t="s">
        <v>40</v>
      </c>
      <c r="Q169" s="2">
        <v>4</v>
      </c>
      <c r="R169" s="2" t="s">
        <v>48</v>
      </c>
      <c r="S169" s="2">
        <v>9419</v>
      </c>
      <c r="T169" s="2">
        <v>8053</v>
      </c>
      <c r="U169" s="2">
        <v>2</v>
      </c>
      <c r="V169" s="2" t="s">
        <v>42</v>
      </c>
      <c r="W169" s="2" t="s">
        <v>43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</row>
    <row r="170" spans="1:35" x14ac:dyDescent="0.25">
      <c r="A170" s="2">
        <v>38</v>
      </c>
      <c r="B170" s="2" t="s">
        <v>43</v>
      </c>
      <c r="C170" s="2" t="s">
        <v>36</v>
      </c>
      <c r="D170" s="2">
        <v>702</v>
      </c>
      <c r="E170" s="2" t="s">
        <v>37</v>
      </c>
      <c r="F170" s="2">
        <v>1</v>
      </c>
      <c r="G170" s="2">
        <v>4</v>
      </c>
      <c r="H170" s="2" t="s">
        <v>38</v>
      </c>
      <c r="I170" s="2">
        <v>1</v>
      </c>
      <c r="J170" s="2">
        <v>230</v>
      </c>
      <c r="K170" s="2">
        <v>1</v>
      </c>
      <c r="L170" s="2" t="s">
        <v>39</v>
      </c>
      <c r="M170" s="2">
        <v>59</v>
      </c>
      <c r="N170" s="2">
        <v>2</v>
      </c>
      <c r="O170" s="2">
        <v>2</v>
      </c>
      <c r="P170" s="2" t="s">
        <v>40</v>
      </c>
      <c r="Q170" s="2">
        <v>4</v>
      </c>
      <c r="R170" s="2" t="s">
        <v>41</v>
      </c>
      <c r="S170" s="2">
        <v>8686</v>
      </c>
      <c r="T170" s="2">
        <v>12930</v>
      </c>
      <c r="U170" s="2">
        <v>4</v>
      </c>
      <c r="V170" s="2" t="s">
        <v>42</v>
      </c>
      <c r="W170" s="2" t="s">
        <v>43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</row>
    <row r="171" spans="1:35" x14ac:dyDescent="0.25">
      <c r="A171" s="2">
        <v>32</v>
      </c>
      <c r="B171" s="2" t="s">
        <v>43</v>
      </c>
      <c r="C171" s="2" t="s">
        <v>36</v>
      </c>
      <c r="D171" s="2">
        <v>120</v>
      </c>
      <c r="E171" s="2" t="s">
        <v>45</v>
      </c>
      <c r="F171" s="2">
        <v>6</v>
      </c>
      <c r="G171" s="2">
        <v>5</v>
      </c>
      <c r="H171" s="2" t="s">
        <v>38</v>
      </c>
      <c r="I171" s="2">
        <v>1</v>
      </c>
      <c r="J171" s="2">
        <v>231</v>
      </c>
      <c r="K171" s="2">
        <v>3</v>
      </c>
      <c r="L171" s="2" t="s">
        <v>46</v>
      </c>
      <c r="M171" s="2">
        <v>43</v>
      </c>
      <c r="N171" s="2">
        <v>3</v>
      </c>
      <c r="O171" s="2">
        <v>1</v>
      </c>
      <c r="P171" s="2" t="s">
        <v>47</v>
      </c>
      <c r="Q171" s="2">
        <v>3</v>
      </c>
      <c r="R171" s="2" t="s">
        <v>41</v>
      </c>
      <c r="S171" s="2">
        <v>3038</v>
      </c>
      <c r="T171" s="2">
        <v>12430</v>
      </c>
      <c r="U171" s="2">
        <v>3</v>
      </c>
      <c r="V171" s="2" t="s">
        <v>42</v>
      </c>
      <c r="W171" s="2" t="s">
        <v>43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</row>
    <row r="172" spans="1:35" x14ac:dyDescent="0.25">
      <c r="A172" s="2">
        <v>27</v>
      </c>
      <c r="B172" s="2" t="s">
        <v>43</v>
      </c>
      <c r="C172" s="2" t="s">
        <v>36</v>
      </c>
      <c r="D172" s="2">
        <v>1157</v>
      </c>
      <c r="E172" s="2" t="s">
        <v>45</v>
      </c>
      <c r="F172" s="2">
        <v>17</v>
      </c>
      <c r="G172" s="2">
        <v>3</v>
      </c>
      <c r="H172" s="2" t="s">
        <v>60</v>
      </c>
      <c r="I172" s="2">
        <v>1</v>
      </c>
      <c r="J172" s="2">
        <v>233</v>
      </c>
      <c r="K172" s="2">
        <v>3</v>
      </c>
      <c r="L172" s="2" t="s">
        <v>46</v>
      </c>
      <c r="M172" s="2">
        <v>51</v>
      </c>
      <c r="N172" s="2">
        <v>3</v>
      </c>
      <c r="O172" s="2">
        <v>1</v>
      </c>
      <c r="P172" s="2" t="s">
        <v>47</v>
      </c>
      <c r="Q172" s="2">
        <v>2</v>
      </c>
      <c r="R172" s="2" t="s">
        <v>48</v>
      </c>
      <c r="S172" s="2">
        <v>3058</v>
      </c>
      <c r="T172" s="2">
        <v>13364</v>
      </c>
      <c r="U172" s="2">
        <v>0</v>
      </c>
      <c r="V172" s="2" t="s">
        <v>42</v>
      </c>
      <c r="W172" s="2" t="s">
        <v>35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</row>
    <row r="173" spans="1:35" x14ac:dyDescent="0.25">
      <c r="A173" s="2">
        <v>19</v>
      </c>
      <c r="B173" s="2" t="s">
        <v>35</v>
      </c>
      <c r="C173" s="2" t="s">
        <v>44</v>
      </c>
      <c r="D173" s="2">
        <v>602</v>
      </c>
      <c r="E173" s="2" t="s">
        <v>37</v>
      </c>
      <c r="F173" s="2">
        <v>1</v>
      </c>
      <c r="G173" s="2">
        <v>1</v>
      </c>
      <c r="H173" s="2" t="s">
        <v>60</v>
      </c>
      <c r="I173" s="2">
        <v>1</v>
      </c>
      <c r="J173" s="2">
        <v>235</v>
      </c>
      <c r="K173" s="2">
        <v>3</v>
      </c>
      <c r="L173" s="2" t="s">
        <v>39</v>
      </c>
      <c r="M173" s="2">
        <v>100</v>
      </c>
      <c r="N173" s="2">
        <v>1</v>
      </c>
      <c r="O173" s="2">
        <v>1</v>
      </c>
      <c r="P173" s="2" t="s">
        <v>57</v>
      </c>
      <c r="Q173" s="2">
        <v>1</v>
      </c>
      <c r="R173" s="2" t="s">
        <v>41</v>
      </c>
      <c r="S173" s="2">
        <v>2325</v>
      </c>
      <c r="T173" s="2">
        <v>20989</v>
      </c>
      <c r="U173" s="2">
        <v>0</v>
      </c>
      <c r="V173" s="2" t="s">
        <v>42</v>
      </c>
      <c r="W173" s="2" t="s">
        <v>43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</row>
    <row r="174" spans="1:35" x14ac:dyDescent="0.25">
      <c r="A174" s="2">
        <v>36</v>
      </c>
      <c r="B174" s="2" t="s">
        <v>43</v>
      </c>
      <c r="C174" s="2" t="s">
        <v>44</v>
      </c>
      <c r="D174" s="2">
        <v>1480</v>
      </c>
      <c r="E174" s="2" t="s">
        <v>45</v>
      </c>
      <c r="F174" s="2">
        <v>3</v>
      </c>
      <c r="G174" s="2">
        <v>2</v>
      </c>
      <c r="H174" s="2" t="s">
        <v>51</v>
      </c>
      <c r="I174" s="2">
        <v>1</v>
      </c>
      <c r="J174" s="2">
        <v>238</v>
      </c>
      <c r="K174" s="2">
        <v>4</v>
      </c>
      <c r="L174" s="2" t="s">
        <v>46</v>
      </c>
      <c r="M174" s="2">
        <v>30</v>
      </c>
      <c r="N174" s="2">
        <v>3</v>
      </c>
      <c r="O174" s="2">
        <v>1</v>
      </c>
      <c r="P174" s="2" t="s">
        <v>50</v>
      </c>
      <c r="Q174" s="2">
        <v>2</v>
      </c>
      <c r="R174" s="2" t="s">
        <v>41</v>
      </c>
      <c r="S174" s="2">
        <v>2088</v>
      </c>
      <c r="T174" s="2">
        <v>15062</v>
      </c>
      <c r="U174" s="2">
        <v>4</v>
      </c>
      <c r="V174" s="2" t="s">
        <v>42</v>
      </c>
      <c r="W174" s="2" t="s">
        <v>43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</row>
    <row r="175" spans="1:35" x14ac:dyDescent="0.25">
      <c r="A175" s="2">
        <v>30</v>
      </c>
      <c r="B175" s="2" t="s">
        <v>43</v>
      </c>
      <c r="C175" s="2" t="s">
        <v>55</v>
      </c>
      <c r="D175" s="2">
        <v>111</v>
      </c>
      <c r="E175" s="2" t="s">
        <v>45</v>
      </c>
      <c r="F175" s="2">
        <v>9</v>
      </c>
      <c r="G175" s="2">
        <v>3</v>
      </c>
      <c r="H175" s="2" t="s">
        <v>51</v>
      </c>
      <c r="I175" s="2">
        <v>1</v>
      </c>
      <c r="J175" s="2">
        <v>239</v>
      </c>
      <c r="K175" s="2">
        <v>3</v>
      </c>
      <c r="L175" s="2" t="s">
        <v>46</v>
      </c>
      <c r="M175" s="2">
        <v>66</v>
      </c>
      <c r="N175" s="2">
        <v>3</v>
      </c>
      <c r="O175" s="2">
        <v>2</v>
      </c>
      <c r="P175" s="2" t="s">
        <v>50</v>
      </c>
      <c r="Q175" s="2">
        <v>1</v>
      </c>
      <c r="R175" s="2" t="s">
        <v>52</v>
      </c>
      <c r="S175" s="2">
        <v>3072</v>
      </c>
      <c r="T175" s="2">
        <v>11012</v>
      </c>
      <c r="U175" s="2">
        <v>1</v>
      </c>
      <c r="V175" s="2" t="s">
        <v>42</v>
      </c>
      <c r="W175" s="2" t="s">
        <v>43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</row>
    <row r="176" spans="1:35" x14ac:dyDescent="0.25">
      <c r="A176" s="2">
        <v>45</v>
      </c>
      <c r="B176" s="2" t="s">
        <v>43</v>
      </c>
      <c r="C176" s="2" t="s">
        <v>36</v>
      </c>
      <c r="D176" s="2">
        <v>1268</v>
      </c>
      <c r="E176" s="2" t="s">
        <v>37</v>
      </c>
      <c r="F176" s="2">
        <v>4</v>
      </c>
      <c r="G176" s="2">
        <v>2</v>
      </c>
      <c r="H176" s="2" t="s">
        <v>38</v>
      </c>
      <c r="I176" s="2">
        <v>1</v>
      </c>
      <c r="J176" s="2">
        <v>240</v>
      </c>
      <c r="K176" s="2">
        <v>3</v>
      </c>
      <c r="L176" s="2" t="s">
        <v>39</v>
      </c>
      <c r="M176" s="2">
        <v>30</v>
      </c>
      <c r="N176" s="2">
        <v>3</v>
      </c>
      <c r="O176" s="2">
        <v>2</v>
      </c>
      <c r="P176" s="2" t="s">
        <v>40</v>
      </c>
      <c r="Q176" s="2">
        <v>1</v>
      </c>
      <c r="R176" s="2" t="s">
        <v>52</v>
      </c>
      <c r="S176" s="2">
        <v>5006</v>
      </c>
      <c r="T176" s="2">
        <v>6319</v>
      </c>
      <c r="U176" s="2">
        <v>4</v>
      </c>
      <c r="V176" s="2" t="s">
        <v>42</v>
      </c>
      <c r="W176" s="2" t="s">
        <v>35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</row>
    <row r="177" spans="1:35" x14ac:dyDescent="0.25">
      <c r="A177" s="2">
        <v>56</v>
      </c>
      <c r="B177" s="2" t="s">
        <v>43</v>
      </c>
      <c r="C177" s="2" t="s">
        <v>36</v>
      </c>
      <c r="D177" s="2">
        <v>713</v>
      </c>
      <c r="E177" s="2" t="s">
        <v>45</v>
      </c>
      <c r="F177" s="2">
        <v>8</v>
      </c>
      <c r="G177" s="2">
        <v>3</v>
      </c>
      <c r="H177" s="2" t="s">
        <v>38</v>
      </c>
      <c r="I177" s="2">
        <v>1</v>
      </c>
      <c r="J177" s="2">
        <v>241</v>
      </c>
      <c r="K177" s="2">
        <v>3</v>
      </c>
      <c r="L177" s="2" t="s">
        <v>39</v>
      </c>
      <c r="M177" s="2">
        <v>67</v>
      </c>
      <c r="N177" s="2">
        <v>3</v>
      </c>
      <c r="O177" s="2">
        <v>1</v>
      </c>
      <c r="P177" s="2" t="s">
        <v>47</v>
      </c>
      <c r="Q177" s="2">
        <v>1</v>
      </c>
      <c r="R177" s="2" t="s">
        <v>52</v>
      </c>
      <c r="S177" s="2">
        <v>4257</v>
      </c>
      <c r="T177" s="2">
        <v>13939</v>
      </c>
      <c r="U177" s="2">
        <v>4</v>
      </c>
      <c r="V177" s="2" t="s">
        <v>42</v>
      </c>
      <c r="W177" s="2" t="s">
        <v>35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</row>
    <row r="178" spans="1:35" x14ac:dyDescent="0.25">
      <c r="A178" s="2">
        <v>33</v>
      </c>
      <c r="B178" s="2" t="s">
        <v>43</v>
      </c>
      <c r="C178" s="2" t="s">
        <v>36</v>
      </c>
      <c r="D178" s="2">
        <v>134</v>
      </c>
      <c r="E178" s="2" t="s">
        <v>45</v>
      </c>
      <c r="F178" s="2">
        <v>2</v>
      </c>
      <c r="G178" s="2">
        <v>3</v>
      </c>
      <c r="H178" s="2" t="s">
        <v>38</v>
      </c>
      <c r="I178" s="2">
        <v>1</v>
      </c>
      <c r="J178" s="2">
        <v>242</v>
      </c>
      <c r="K178" s="2">
        <v>3</v>
      </c>
      <c r="L178" s="2" t="s">
        <v>46</v>
      </c>
      <c r="M178" s="2">
        <v>90</v>
      </c>
      <c r="N178" s="2">
        <v>3</v>
      </c>
      <c r="O178" s="2">
        <v>1</v>
      </c>
      <c r="P178" s="2" t="s">
        <v>47</v>
      </c>
      <c r="Q178" s="2">
        <v>4</v>
      </c>
      <c r="R178" s="2" t="s">
        <v>41</v>
      </c>
      <c r="S178" s="2">
        <v>2500</v>
      </c>
      <c r="T178" s="2">
        <v>10515</v>
      </c>
      <c r="U178" s="2">
        <v>0</v>
      </c>
      <c r="V178" s="2" t="s">
        <v>42</v>
      </c>
      <c r="W178" s="2" t="s">
        <v>43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</row>
    <row r="179" spans="1:35" x14ac:dyDescent="0.25">
      <c r="A179" s="2">
        <v>19</v>
      </c>
      <c r="B179" s="2" t="s">
        <v>35</v>
      </c>
      <c r="C179" s="2" t="s">
        <v>36</v>
      </c>
      <c r="D179" s="2">
        <v>303</v>
      </c>
      <c r="E179" s="2" t="s">
        <v>45</v>
      </c>
      <c r="F179" s="2">
        <v>2</v>
      </c>
      <c r="G179" s="2">
        <v>3</v>
      </c>
      <c r="H179" s="2" t="s">
        <v>38</v>
      </c>
      <c r="I179" s="2">
        <v>1</v>
      </c>
      <c r="J179" s="2">
        <v>243</v>
      </c>
      <c r="K179" s="2">
        <v>2</v>
      </c>
      <c r="L179" s="2" t="s">
        <v>46</v>
      </c>
      <c r="M179" s="2">
        <v>47</v>
      </c>
      <c r="N179" s="2">
        <v>2</v>
      </c>
      <c r="O179" s="2">
        <v>1</v>
      </c>
      <c r="P179" s="2" t="s">
        <v>50</v>
      </c>
      <c r="Q179" s="2">
        <v>4</v>
      </c>
      <c r="R179" s="2" t="s">
        <v>41</v>
      </c>
      <c r="S179" s="2">
        <v>1102</v>
      </c>
      <c r="T179" s="2">
        <v>9241</v>
      </c>
      <c r="U179" s="2">
        <v>1</v>
      </c>
      <c r="V179" s="2" t="s">
        <v>42</v>
      </c>
      <c r="W179" s="2" t="s">
        <v>43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</row>
    <row r="180" spans="1:35" x14ac:dyDescent="0.25">
      <c r="A180" s="2">
        <v>46</v>
      </c>
      <c r="B180" s="2" t="s">
        <v>43</v>
      </c>
      <c r="C180" s="2" t="s">
        <v>36</v>
      </c>
      <c r="D180" s="2">
        <v>526</v>
      </c>
      <c r="E180" s="2" t="s">
        <v>37</v>
      </c>
      <c r="F180" s="2">
        <v>1</v>
      </c>
      <c r="G180" s="2">
        <v>2</v>
      </c>
      <c r="H180" s="2" t="s">
        <v>59</v>
      </c>
      <c r="I180" s="2">
        <v>1</v>
      </c>
      <c r="J180" s="2">
        <v>244</v>
      </c>
      <c r="K180" s="2">
        <v>2</v>
      </c>
      <c r="L180" s="2" t="s">
        <v>39</v>
      </c>
      <c r="M180" s="2">
        <v>92</v>
      </c>
      <c r="N180" s="2">
        <v>3</v>
      </c>
      <c r="O180" s="2">
        <v>3</v>
      </c>
      <c r="P180" s="2" t="s">
        <v>40</v>
      </c>
      <c r="Q180" s="2">
        <v>1</v>
      </c>
      <c r="R180" s="2" t="s">
        <v>52</v>
      </c>
      <c r="S180" s="2">
        <v>10453</v>
      </c>
      <c r="T180" s="2">
        <v>2137</v>
      </c>
      <c r="U180" s="2">
        <v>1</v>
      </c>
      <c r="V180" s="2" t="s">
        <v>42</v>
      </c>
      <c r="W180" s="2" t="s">
        <v>43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</row>
    <row r="181" spans="1:35" x14ac:dyDescent="0.25">
      <c r="A181" s="2">
        <v>38</v>
      </c>
      <c r="B181" s="2" t="s">
        <v>43</v>
      </c>
      <c r="C181" s="2" t="s">
        <v>36</v>
      </c>
      <c r="D181" s="2">
        <v>1380</v>
      </c>
      <c r="E181" s="2" t="s">
        <v>45</v>
      </c>
      <c r="F181" s="2">
        <v>9</v>
      </c>
      <c r="G181" s="2">
        <v>2</v>
      </c>
      <c r="H181" s="2" t="s">
        <v>38</v>
      </c>
      <c r="I181" s="2">
        <v>1</v>
      </c>
      <c r="J181" s="2">
        <v>245</v>
      </c>
      <c r="K181" s="2">
        <v>3</v>
      </c>
      <c r="L181" s="2" t="s">
        <v>39</v>
      </c>
      <c r="M181" s="2">
        <v>75</v>
      </c>
      <c r="N181" s="2">
        <v>3</v>
      </c>
      <c r="O181" s="2">
        <v>1</v>
      </c>
      <c r="P181" s="2" t="s">
        <v>50</v>
      </c>
      <c r="Q181" s="2">
        <v>4</v>
      </c>
      <c r="R181" s="2" t="s">
        <v>41</v>
      </c>
      <c r="S181" s="2">
        <v>2288</v>
      </c>
      <c r="T181" s="2">
        <v>6319</v>
      </c>
      <c r="U181" s="2">
        <v>1</v>
      </c>
      <c r="V181" s="2" t="s">
        <v>42</v>
      </c>
      <c r="W181" s="2" t="s">
        <v>43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</row>
    <row r="182" spans="1:35" x14ac:dyDescent="0.25">
      <c r="A182" s="2">
        <v>31</v>
      </c>
      <c r="B182" s="2" t="s">
        <v>43</v>
      </c>
      <c r="C182" s="2" t="s">
        <v>36</v>
      </c>
      <c r="D182" s="2">
        <v>140</v>
      </c>
      <c r="E182" s="2" t="s">
        <v>45</v>
      </c>
      <c r="F182" s="2">
        <v>12</v>
      </c>
      <c r="G182" s="2">
        <v>1</v>
      </c>
      <c r="H182" s="2" t="s">
        <v>51</v>
      </c>
      <c r="I182" s="2">
        <v>1</v>
      </c>
      <c r="J182" s="2">
        <v>246</v>
      </c>
      <c r="K182" s="2">
        <v>3</v>
      </c>
      <c r="L182" s="2" t="s">
        <v>39</v>
      </c>
      <c r="M182" s="2">
        <v>95</v>
      </c>
      <c r="N182" s="2">
        <v>3</v>
      </c>
      <c r="O182" s="2">
        <v>1</v>
      </c>
      <c r="P182" s="2" t="s">
        <v>47</v>
      </c>
      <c r="Q182" s="2">
        <v>4</v>
      </c>
      <c r="R182" s="2" t="s">
        <v>48</v>
      </c>
      <c r="S182" s="2">
        <v>3929</v>
      </c>
      <c r="T182" s="2">
        <v>6984</v>
      </c>
      <c r="U182" s="2">
        <v>8</v>
      </c>
      <c r="V182" s="2" t="s">
        <v>42</v>
      </c>
      <c r="W182" s="2" t="s">
        <v>35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</row>
    <row r="183" spans="1:35" x14ac:dyDescent="0.25">
      <c r="A183" s="2">
        <v>34</v>
      </c>
      <c r="B183" s="2" t="s">
        <v>43</v>
      </c>
      <c r="C183" s="2" t="s">
        <v>36</v>
      </c>
      <c r="D183" s="2">
        <v>629</v>
      </c>
      <c r="E183" s="2" t="s">
        <v>45</v>
      </c>
      <c r="F183" s="2">
        <v>27</v>
      </c>
      <c r="G183" s="2">
        <v>2</v>
      </c>
      <c r="H183" s="2" t="s">
        <v>51</v>
      </c>
      <c r="I183" s="2">
        <v>1</v>
      </c>
      <c r="J183" s="2">
        <v>247</v>
      </c>
      <c r="K183" s="2">
        <v>4</v>
      </c>
      <c r="L183" s="2" t="s">
        <v>39</v>
      </c>
      <c r="M183" s="2">
        <v>95</v>
      </c>
      <c r="N183" s="2">
        <v>3</v>
      </c>
      <c r="O183" s="2">
        <v>1</v>
      </c>
      <c r="P183" s="2" t="s">
        <v>47</v>
      </c>
      <c r="Q183" s="2">
        <v>2</v>
      </c>
      <c r="R183" s="2" t="s">
        <v>41</v>
      </c>
      <c r="S183" s="2">
        <v>2311</v>
      </c>
      <c r="T183" s="2">
        <v>5711</v>
      </c>
      <c r="U183" s="2">
        <v>2</v>
      </c>
      <c r="V183" s="2" t="s">
        <v>42</v>
      </c>
      <c r="W183" s="2" t="s">
        <v>43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</row>
    <row r="184" spans="1:35" x14ac:dyDescent="0.25">
      <c r="A184" s="2">
        <v>41</v>
      </c>
      <c r="B184" s="2" t="s">
        <v>35</v>
      </c>
      <c r="C184" s="2" t="s">
        <v>36</v>
      </c>
      <c r="D184" s="2">
        <v>1356</v>
      </c>
      <c r="E184" s="2" t="s">
        <v>37</v>
      </c>
      <c r="F184" s="2">
        <v>20</v>
      </c>
      <c r="G184" s="2">
        <v>2</v>
      </c>
      <c r="H184" s="2" t="s">
        <v>59</v>
      </c>
      <c r="I184" s="2">
        <v>1</v>
      </c>
      <c r="J184" s="2">
        <v>248</v>
      </c>
      <c r="K184" s="2">
        <v>2</v>
      </c>
      <c r="L184" s="2" t="s">
        <v>39</v>
      </c>
      <c r="M184" s="2">
        <v>70</v>
      </c>
      <c r="N184" s="2">
        <v>3</v>
      </c>
      <c r="O184" s="2">
        <v>1</v>
      </c>
      <c r="P184" s="2" t="s">
        <v>57</v>
      </c>
      <c r="Q184" s="2">
        <v>2</v>
      </c>
      <c r="R184" s="2" t="s">
        <v>41</v>
      </c>
      <c r="S184" s="2">
        <v>3140</v>
      </c>
      <c r="T184" s="2">
        <v>21728</v>
      </c>
      <c r="U184" s="2">
        <v>1</v>
      </c>
      <c r="V184" s="2" t="s">
        <v>42</v>
      </c>
      <c r="W184" s="2" t="s">
        <v>35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</row>
    <row r="185" spans="1:35" x14ac:dyDescent="0.25">
      <c r="A185" s="2">
        <v>50</v>
      </c>
      <c r="B185" s="2" t="s">
        <v>43</v>
      </c>
      <c r="C185" s="2" t="s">
        <v>36</v>
      </c>
      <c r="D185" s="2">
        <v>328</v>
      </c>
      <c r="E185" s="2" t="s">
        <v>45</v>
      </c>
      <c r="F185" s="2">
        <v>1</v>
      </c>
      <c r="G185" s="2">
        <v>3</v>
      </c>
      <c r="H185" s="2" t="s">
        <v>51</v>
      </c>
      <c r="I185" s="2">
        <v>1</v>
      </c>
      <c r="J185" s="2">
        <v>249</v>
      </c>
      <c r="K185" s="2">
        <v>3</v>
      </c>
      <c r="L185" s="2" t="s">
        <v>46</v>
      </c>
      <c r="M185" s="2">
        <v>86</v>
      </c>
      <c r="N185" s="2">
        <v>2</v>
      </c>
      <c r="O185" s="2">
        <v>1</v>
      </c>
      <c r="P185" s="2" t="s">
        <v>50</v>
      </c>
      <c r="Q185" s="2">
        <v>3</v>
      </c>
      <c r="R185" s="2" t="s">
        <v>48</v>
      </c>
      <c r="S185" s="2">
        <v>3690</v>
      </c>
      <c r="T185" s="2">
        <v>3425</v>
      </c>
      <c r="U185" s="2">
        <v>2</v>
      </c>
      <c r="V185" s="2" t="s">
        <v>42</v>
      </c>
      <c r="W185" s="2" t="s">
        <v>43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</row>
    <row r="186" spans="1:35" x14ac:dyDescent="0.25">
      <c r="A186" s="2">
        <v>53</v>
      </c>
      <c r="B186" s="2" t="s">
        <v>43</v>
      </c>
      <c r="C186" s="2" t="s">
        <v>36</v>
      </c>
      <c r="D186" s="2">
        <v>1084</v>
      </c>
      <c r="E186" s="2" t="s">
        <v>45</v>
      </c>
      <c r="F186" s="2">
        <v>13</v>
      </c>
      <c r="G186" s="2">
        <v>2</v>
      </c>
      <c r="H186" s="2" t="s">
        <v>51</v>
      </c>
      <c r="I186" s="2">
        <v>1</v>
      </c>
      <c r="J186" s="2">
        <v>250</v>
      </c>
      <c r="K186" s="2">
        <v>4</v>
      </c>
      <c r="L186" s="2" t="s">
        <v>39</v>
      </c>
      <c r="M186" s="2">
        <v>57</v>
      </c>
      <c r="N186" s="2">
        <v>4</v>
      </c>
      <c r="O186" s="2">
        <v>2</v>
      </c>
      <c r="P186" s="2" t="s">
        <v>53</v>
      </c>
      <c r="Q186" s="2">
        <v>1</v>
      </c>
      <c r="R186" s="2" t="s">
        <v>52</v>
      </c>
      <c r="S186" s="2">
        <v>4450</v>
      </c>
      <c r="T186" s="2">
        <v>26250</v>
      </c>
      <c r="U186" s="2">
        <v>1</v>
      </c>
      <c r="V186" s="2" t="s">
        <v>42</v>
      </c>
      <c r="W186" s="2" t="s">
        <v>43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</row>
    <row r="187" spans="1:35" x14ac:dyDescent="0.25">
      <c r="A187" s="2">
        <v>33</v>
      </c>
      <c r="B187" s="2" t="s">
        <v>43</v>
      </c>
      <c r="C187" s="2" t="s">
        <v>36</v>
      </c>
      <c r="D187" s="2">
        <v>931</v>
      </c>
      <c r="E187" s="2" t="s">
        <v>45</v>
      </c>
      <c r="F187" s="2">
        <v>14</v>
      </c>
      <c r="G187" s="2">
        <v>3</v>
      </c>
      <c r="H187" s="2" t="s">
        <v>51</v>
      </c>
      <c r="I187" s="2">
        <v>1</v>
      </c>
      <c r="J187" s="2">
        <v>252</v>
      </c>
      <c r="K187" s="2">
        <v>4</v>
      </c>
      <c r="L187" s="2" t="s">
        <v>39</v>
      </c>
      <c r="M187" s="2">
        <v>72</v>
      </c>
      <c r="N187" s="2">
        <v>3</v>
      </c>
      <c r="O187" s="2">
        <v>1</v>
      </c>
      <c r="P187" s="2" t="s">
        <v>47</v>
      </c>
      <c r="Q187" s="2">
        <v>2</v>
      </c>
      <c r="R187" s="2" t="s">
        <v>48</v>
      </c>
      <c r="S187" s="2">
        <v>2756</v>
      </c>
      <c r="T187" s="2">
        <v>4673</v>
      </c>
      <c r="U187" s="2">
        <v>1</v>
      </c>
      <c r="V187" s="2" t="s">
        <v>42</v>
      </c>
      <c r="W187" s="2" t="s">
        <v>43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</row>
    <row r="188" spans="1:35" x14ac:dyDescent="0.25">
      <c r="A188" s="2">
        <v>40</v>
      </c>
      <c r="B188" s="2" t="s">
        <v>43</v>
      </c>
      <c r="C188" s="2" t="s">
        <v>36</v>
      </c>
      <c r="D188" s="2">
        <v>989</v>
      </c>
      <c r="E188" s="2" t="s">
        <v>45</v>
      </c>
      <c r="F188" s="2">
        <v>4</v>
      </c>
      <c r="G188" s="2">
        <v>1</v>
      </c>
      <c r="H188" s="2" t="s">
        <v>51</v>
      </c>
      <c r="I188" s="2">
        <v>1</v>
      </c>
      <c r="J188" s="2">
        <v>253</v>
      </c>
      <c r="K188" s="2">
        <v>4</v>
      </c>
      <c r="L188" s="2" t="s">
        <v>39</v>
      </c>
      <c r="M188" s="2">
        <v>46</v>
      </c>
      <c r="N188" s="2">
        <v>3</v>
      </c>
      <c r="O188" s="2">
        <v>5</v>
      </c>
      <c r="P188" s="2" t="s">
        <v>56</v>
      </c>
      <c r="Q188" s="2">
        <v>3</v>
      </c>
      <c r="R188" s="2" t="s">
        <v>48</v>
      </c>
      <c r="S188" s="2">
        <v>19033</v>
      </c>
      <c r="T188" s="2">
        <v>6499</v>
      </c>
      <c r="U188" s="2">
        <v>1</v>
      </c>
      <c r="V188" s="2" t="s">
        <v>42</v>
      </c>
      <c r="W188" s="2" t="s">
        <v>43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</row>
    <row r="189" spans="1:35" x14ac:dyDescent="0.25">
      <c r="A189" s="2">
        <v>55</v>
      </c>
      <c r="B189" s="2" t="s">
        <v>43</v>
      </c>
      <c r="C189" s="2" t="s">
        <v>36</v>
      </c>
      <c r="D189" s="2">
        <v>692</v>
      </c>
      <c r="E189" s="2" t="s">
        <v>45</v>
      </c>
      <c r="F189" s="2">
        <v>14</v>
      </c>
      <c r="G189" s="2">
        <v>4</v>
      </c>
      <c r="H189" s="2" t="s">
        <v>51</v>
      </c>
      <c r="I189" s="2">
        <v>1</v>
      </c>
      <c r="J189" s="2">
        <v>254</v>
      </c>
      <c r="K189" s="2">
        <v>3</v>
      </c>
      <c r="L189" s="2" t="s">
        <v>46</v>
      </c>
      <c r="M189" s="2">
        <v>61</v>
      </c>
      <c r="N189" s="2">
        <v>4</v>
      </c>
      <c r="O189" s="2">
        <v>5</v>
      </c>
      <c r="P189" s="2" t="s">
        <v>58</v>
      </c>
      <c r="Q189" s="2">
        <v>2</v>
      </c>
      <c r="R189" s="2" t="s">
        <v>41</v>
      </c>
      <c r="S189" s="2">
        <v>18722</v>
      </c>
      <c r="T189" s="2">
        <v>13339</v>
      </c>
      <c r="U189" s="2">
        <v>8</v>
      </c>
      <c r="V189" s="2" t="s">
        <v>42</v>
      </c>
      <c r="W189" s="2" t="s">
        <v>43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</row>
    <row r="190" spans="1:35" x14ac:dyDescent="0.25">
      <c r="A190" s="2">
        <v>34</v>
      </c>
      <c r="B190" s="2" t="s">
        <v>43</v>
      </c>
      <c r="C190" s="2" t="s">
        <v>44</v>
      </c>
      <c r="D190" s="2">
        <v>1069</v>
      </c>
      <c r="E190" s="2" t="s">
        <v>45</v>
      </c>
      <c r="F190" s="2">
        <v>2</v>
      </c>
      <c r="G190" s="2">
        <v>1</v>
      </c>
      <c r="H190" s="2" t="s">
        <v>38</v>
      </c>
      <c r="I190" s="2">
        <v>1</v>
      </c>
      <c r="J190" s="2">
        <v>256</v>
      </c>
      <c r="K190" s="2">
        <v>4</v>
      </c>
      <c r="L190" s="2" t="s">
        <v>46</v>
      </c>
      <c r="M190" s="2">
        <v>45</v>
      </c>
      <c r="N190" s="2">
        <v>2</v>
      </c>
      <c r="O190" s="2">
        <v>2</v>
      </c>
      <c r="P190" s="2" t="s">
        <v>53</v>
      </c>
      <c r="Q190" s="2">
        <v>3</v>
      </c>
      <c r="R190" s="2" t="s">
        <v>48</v>
      </c>
      <c r="S190" s="2">
        <v>9547</v>
      </c>
      <c r="T190" s="2">
        <v>14074</v>
      </c>
      <c r="U190" s="2">
        <v>1</v>
      </c>
      <c r="V190" s="2" t="s">
        <v>42</v>
      </c>
      <c r="W190" s="2" t="s">
        <v>43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</row>
    <row r="191" spans="1:35" x14ac:dyDescent="0.25">
      <c r="A191" s="2">
        <v>51</v>
      </c>
      <c r="B191" s="2" t="s">
        <v>43</v>
      </c>
      <c r="C191" s="2" t="s">
        <v>36</v>
      </c>
      <c r="D191" s="2">
        <v>313</v>
      </c>
      <c r="E191" s="2" t="s">
        <v>45</v>
      </c>
      <c r="F191" s="2">
        <v>3</v>
      </c>
      <c r="G191" s="2">
        <v>3</v>
      </c>
      <c r="H191" s="2" t="s">
        <v>51</v>
      </c>
      <c r="I191" s="2">
        <v>1</v>
      </c>
      <c r="J191" s="2">
        <v>258</v>
      </c>
      <c r="K191" s="2">
        <v>4</v>
      </c>
      <c r="L191" s="2" t="s">
        <v>39</v>
      </c>
      <c r="M191" s="2">
        <v>98</v>
      </c>
      <c r="N191" s="2">
        <v>3</v>
      </c>
      <c r="O191" s="2">
        <v>4</v>
      </c>
      <c r="P191" s="2" t="s">
        <v>54</v>
      </c>
      <c r="Q191" s="2">
        <v>2</v>
      </c>
      <c r="R191" s="2" t="s">
        <v>41</v>
      </c>
      <c r="S191" s="2">
        <v>13734</v>
      </c>
      <c r="T191" s="2">
        <v>7192</v>
      </c>
      <c r="U191" s="2">
        <v>3</v>
      </c>
      <c r="V191" s="2" t="s">
        <v>42</v>
      </c>
      <c r="W191" s="2" t="s">
        <v>43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</row>
    <row r="192" spans="1:35" x14ac:dyDescent="0.25">
      <c r="A192" s="2">
        <v>52</v>
      </c>
      <c r="B192" s="2" t="s">
        <v>43</v>
      </c>
      <c r="C192" s="2" t="s">
        <v>36</v>
      </c>
      <c r="D192" s="2">
        <v>699</v>
      </c>
      <c r="E192" s="2" t="s">
        <v>45</v>
      </c>
      <c r="F192" s="2">
        <v>1</v>
      </c>
      <c r="G192" s="2">
        <v>4</v>
      </c>
      <c r="H192" s="2" t="s">
        <v>38</v>
      </c>
      <c r="I192" s="2">
        <v>1</v>
      </c>
      <c r="J192" s="2">
        <v>259</v>
      </c>
      <c r="K192" s="2">
        <v>3</v>
      </c>
      <c r="L192" s="2" t="s">
        <v>46</v>
      </c>
      <c r="M192" s="2">
        <v>65</v>
      </c>
      <c r="N192" s="2">
        <v>2</v>
      </c>
      <c r="O192" s="2">
        <v>5</v>
      </c>
      <c r="P192" s="2" t="s">
        <v>56</v>
      </c>
      <c r="Q192" s="2">
        <v>3</v>
      </c>
      <c r="R192" s="2" t="s">
        <v>48</v>
      </c>
      <c r="S192" s="2">
        <v>19999</v>
      </c>
      <c r="T192" s="2">
        <v>5678</v>
      </c>
      <c r="U192" s="2">
        <v>0</v>
      </c>
      <c r="V192" s="2" t="s">
        <v>42</v>
      </c>
      <c r="W192" s="2" t="s">
        <v>43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</row>
    <row r="193" spans="1:35" x14ac:dyDescent="0.25">
      <c r="A193" s="2">
        <v>27</v>
      </c>
      <c r="B193" s="2" t="s">
        <v>43</v>
      </c>
      <c r="C193" s="2" t="s">
        <v>36</v>
      </c>
      <c r="D193" s="2">
        <v>894</v>
      </c>
      <c r="E193" s="2" t="s">
        <v>45</v>
      </c>
      <c r="F193" s="2">
        <v>9</v>
      </c>
      <c r="G193" s="2">
        <v>3</v>
      </c>
      <c r="H193" s="2" t="s">
        <v>51</v>
      </c>
      <c r="I193" s="2">
        <v>1</v>
      </c>
      <c r="J193" s="2">
        <v>260</v>
      </c>
      <c r="K193" s="2">
        <v>4</v>
      </c>
      <c r="L193" s="2" t="s">
        <v>39</v>
      </c>
      <c r="M193" s="2">
        <v>99</v>
      </c>
      <c r="N193" s="2">
        <v>3</v>
      </c>
      <c r="O193" s="2">
        <v>1</v>
      </c>
      <c r="P193" s="2" t="s">
        <v>47</v>
      </c>
      <c r="Q193" s="2">
        <v>2</v>
      </c>
      <c r="R193" s="2" t="s">
        <v>41</v>
      </c>
      <c r="S193" s="2">
        <v>2279</v>
      </c>
      <c r="T193" s="2">
        <v>11781</v>
      </c>
      <c r="U193" s="2">
        <v>1</v>
      </c>
      <c r="V193" s="2" t="s">
        <v>42</v>
      </c>
      <c r="W193" s="2" t="s">
        <v>43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</row>
    <row r="194" spans="1:35" x14ac:dyDescent="0.25">
      <c r="A194" s="2">
        <v>35</v>
      </c>
      <c r="B194" s="2" t="s">
        <v>35</v>
      </c>
      <c r="C194" s="2" t="s">
        <v>36</v>
      </c>
      <c r="D194" s="2">
        <v>556</v>
      </c>
      <c r="E194" s="2" t="s">
        <v>45</v>
      </c>
      <c r="F194" s="2">
        <v>23</v>
      </c>
      <c r="G194" s="2">
        <v>2</v>
      </c>
      <c r="H194" s="2" t="s">
        <v>38</v>
      </c>
      <c r="I194" s="2">
        <v>1</v>
      </c>
      <c r="J194" s="2">
        <v>261</v>
      </c>
      <c r="K194" s="2">
        <v>2</v>
      </c>
      <c r="L194" s="2" t="s">
        <v>46</v>
      </c>
      <c r="M194" s="2">
        <v>50</v>
      </c>
      <c r="N194" s="2">
        <v>2</v>
      </c>
      <c r="O194" s="2">
        <v>2</v>
      </c>
      <c r="P194" s="2" t="s">
        <v>53</v>
      </c>
      <c r="Q194" s="2">
        <v>3</v>
      </c>
      <c r="R194" s="2" t="s">
        <v>48</v>
      </c>
      <c r="S194" s="2">
        <v>5916</v>
      </c>
      <c r="T194" s="2">
        <v>15497</v>
      </c>
      <c r="U194" s="2">
        <v>3</v>
      </c>
      <c r="V194" s="2" t="s">
        <v>42</v>
      </c>
      <c r="W194" s="2" t="s">
        <v>35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</row>
    <row r="195" spans="1:35" x14ac:dyDescent="0.25">
      <c r="A195" s="2">
        <v>43</v>
      </c>
      <c r="B195" s="2" t="s">
        <v>43</v>
      </c>
      <c r="C195" s="2" t="s">
        <v>55</v>
      </c>
      <c r="D195" s="2">
        <v>1344</v>
      </c>
      <c r="E195" s="2" t="s">
        <v>45</v>
      </c>
      <c r="F195" s="2">
        <v>7</v>
      </c>
      <c r="G195" s="2">
        <v>3</v>
      </c>
      <c r="H195" s="2" t="s">
        <v>51</v>
      </c>
      <c r="I195" s="2">
        <v>1</v>
      </c>
      <c r="J195" s="2">
        <v>262</v>
      </c>
      <c r="K195" s="2">
        <v>4</v>
      </c>
      <c r="L195" s="2" t="s">
        <v>46</v>
      </c>
      <c r="M195" s="2">
        <v>37</v>
      </c>
      <c r="N195" s="2">
        <v>4</v>
      </c>
      <c r="O195" s="2">
        <v>1</v>
      </c>
      <c r="P195" s="2" t="s">
        <v>47</v>
      </c>
      <c r="Q195" s="2">
        <v>4</v>
      </c>
      <c r="R195" s="2" t="s">
        <v>52</v>
      </c>
      <c r="S195" s="2">
        <v>2089</v>
      </c>
      <c r="T195" s="2">
        <v>5228</v>
      </c>
      <c r="U195" s="2">
        <v>4</v>
      </c>
      <c r="V195" s="2" t="s">
        <v>42</v>
      </c>
      <c r="W195" s="2" t="s">
        <v>43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</row>
    <row r="196" spans="1:35" x14ac:dyDescent="0.25">
      <c r="A196" s="2">
        <v>45</v>
      </c>
      <c r="B196" s="2" t="s">
        <v>43</v>
      </c>
      <c r="C196" s="2" t="s">
        <v>55</v>
      </c>
      <c r="D196" s="2">
        <v>1195</v>
      </c>
      <c r="E196" s="2" t="s">
        <v>45</v>
      </c>
      <c r="F196" s="2">
        <v>2</v>
      </c>
      <c r="G196" s="2">
        <v>2</v>
      </c>
      <c r="H196" s="2" t="s">
        <v>51</v>
      </c>
      <c r="I196" s="2">
        <v>1</v>
      </c>
      <c r="J196" s="2">
        <v>264</v>
      </c>
      <c r="K196" s="2">
        <v>1</v>
      </c>
      <c r="L196" s="2" t="s">
        <v>46</v>
      </c>
      <c r="M196" s="2">
        <v>65</v>
      </c>
      <c r="N196" s="2">
        <v>2</v>
      </c>
      <c r="O196" s="2">
        <v>4</v>
      </c>
      <c r="P196" s="2" t="s">
        <v>56</v>
      </c>
      <c r="Q196" s="2">
        <v>4</v>
      </c>
      <c r="R196" s="2" t="s">
        <v>48</v>
      </c>
      <c r="S196" s="2">
        <v>16792</v>
      </c>
      <c r="T196" s="2">
        <v>20462</v>
      </c>
      <c r="U196" s="2">
        <v>9</v>
      </c>
      <c r="V196" s="2" t="s">
        <v>42</v>
      </c>
      <c r="W196" s="2" t="s">
        <v>43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</row>
    <row r="197" spans="1:35" x14ac:dyDescent="0.25">
      <c r="A197" s="2">
        <v>37</v>
      </c>
      <c r="B197" s="2" t="s">
        <v>43</v>
      </c>
      <c r="C197" s="2" t="s">
        <v>36</v>
      </c>
      <c r="D197" s="2">
        <v>290</v>
      </c>
      <c r="E197" s="2" t="s">
        <v>45</v>
      </c>
      <c r="F197" s="2">
        <v>21</v>
      </c>
      <c r="G197" s="2">
        <v>3</v>
      </c>
      <c r="H197" s="2" t="s">
        <v>38</v>
      </c>
      <c r="I197" s="2">
        <v>1</v>
      </c>
      <c r="J197" s="2">
        <v>267</v>
      </c>
      <c r="K197" s="2">
        <v>2</v>
      </c>
      <c r="L197" s="2" t="s">
        <v>46</v>
      </c>
      <c r="M197" s="2">
        <v>65</v>
      </c>
      <c r="N197" s="2">
        <v>4</v>
      </c>
      <c r="O197" s="2">
        <v>1</v>
      </c>
      <c r="P197" s="2" t="s">
        <v>47</v>
      </c>
      <c r="Q197" s="2">
        <v>1</v>
      </c>
      <c r="R197" s="2" t="s">
        <v>48</v>
      </c>
      <c r="S197" s="2">
        <v>3564</v>
      </c>
      <c r="T197" s="2">
        <v>22977</v>
      </c>
      <c r="U197" s="2">
        <v>1</v>
      </c>
      <c r="V197" s="2" t="s">
        <v>42</v>
      </c>
      <c r="W197" s="2" t="s">
        <v>35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</row>
    <row r="198" spans="1:35" x14ac:dyDescent="0.25">
      <c r="A198" s="2">
        <v>35</v>
      </c>
      <c r="B198" s="2" t="s">
        <v>43</v>
      </c>
      <c r="C198" s="2" t="s">
        <v>44</v>
      </c>
      <c r="D198" s="2">
        <v>138</v>
      </c>
      <c r="E198" s="2" t="s">
        <v>45</v>
      </c>
      <c r="F198" s="2">
        <v>2</v>
      </c>
      <c r="G198" s="2">
        <v>3</v>
      </c>
      <c r="H198" s="2" t="s">
        <v>51</v>
      </c>
      <c r="I198" s="2">
        <v>1</v>
      </c>
      <c r="J198" s="2">
        <v>269</v>
      </c>
      <c r="K198" s="2">
        <v>2</v>
      </c>
      <c r="L198" s="2" t="s">
        <v>39</v>
      </c>
      <c r="M198" s="2">
        <v>37</v>
      </c>
      <c r="N198" s="2">
        <v>3</v>
      </c>
      <c r="O198" s="2">
        <v>2</v>
      </c>
      <c r="P198" s="2" t="s">
        <v>50</v>
      </c>
      <c r="Q198" s="2">
        <v>2</v>
      </c>
      <c r="R198" s="2" t="s">
        <v>41</v>
      </c>
      <c r="S198" s="2">
        <v>4425</v>
      </c>
      <c r="T198" s="2">
        <v>15986</v>
      </c>
      <c r="U198" s="2">
        <v>5</v>
      </c>
      <c r="V198" s="2" t="s">
        <v>42</v>
      </c>
      <c r="W198" s="2" t="s">
        <v>43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</row>
    <row r="199" spans="1:35" x14ac:dyDescent="0.25">
      <c r="A199" s="2">
        <v>42</v>
      </c>
      <c r="B199" s="2" t="s">
        <v>43</v>
      </c>
      <c r="C199" s="2" t="s">
        <v>55</v>
      </c>
      <c r="D199" s="2">
        <v>926</v>
      </c>
      <c r="E199" s="2" t="s">
        <v>45</v>
      </c>
      <c r="F199" s="2">
        <v>21</v>
      </c>
      <c r="G199" s="2">
        <v>2</v>
      </c>
      <c r="H199" s="2" t="s">
        <v>51</v>
      </c>
      <c r="I199" s="2">
        <v>1</v>
      </c>
      <c r="J199" s="2">
        <v>270</v>
      </c>
      <c r="K199" s="2">
        <v>3</v>
      </c>
      <c r="L199" s="2" t="s">
        <v>39</v>
      </c>
      <c r="M199" s="2">
        <v>36</v>
      </c>
      <c r="N199" s="2">
        <v>3</v>
      </c>
      <c r="O199" s="2">
        <v>2</v>
      </c>
      <c r="P199" s="2" t="s">
        <v>53</v>
      </c>
      <c r="Q199" s="2">
        <v>3</v>
      </c>
      <c r="R199" s="2" t="s">
        <v>52</v>
      </c>
      <c r="S199" s="2">
        <v>5265</v>
      </c>
      <c r="T199" s="2">
        <v>16439</v>
      </c>
      <c r="U199" s="2">
        <v>2</v>
      </c>
      <c r="V199" s="2" t="s">
        <v>42</v>
      </c>
      <c r="W199" s="2" t="s">
        <v>43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</row>
    <row r="200" spans="1:35" x14ac:dyDescent="0.25">
      <c r="A200" s="2">
        <v>38</v>
      </c>
      <c r="B200" s="2" t="s">
        <v>43</v>
      </c>
      <c r="C200" s="2" t="s">
        <v>36</v>
      </c>
      <c r="D200" s="2">
        <v>1261</v>
      </c>
      <c r="E200" s="2" t="s">
        <v>45</v>
      </c>
      <c r="F200" s="2">
        <v>2</v>
      </c>
      <c r="G200" s="2">
        <v>4</v>
      </c>
      <c r="H200" s="2" t="s">
        <v>38</v>
      </c>
      <c r="I200" s="2">
        <v>1</v>
      </c>
      <c r="J200" s="2">
        <v>271</v>
      </c>
      <c r="K200" s="2">
        <v>4</v>
      </c>
      <c r="L200" s="2" t="s">
        <v>46</v>
      </c>
      <c r="M200" s="2">
        <v>88</v>
      </c>
      <c r="N200" s="2">
        <v>3</v>
      </c>
      <c r="O200" s="2">
        <v>2</v>
      </c>
      <c r="P200" s="2" t="s">
        <v>53</v>
      </c>
      <c r="Q200" s="2">
        <v>3</v>
      </c>
      <c r="R200" s="2" t="s">
        <v>48</v>
      </c>
      <c r="S200" s="2">
        <v>6553</v>
      </c>
      <c r="T200" s="2">
        <v>7259</v>
      </c>
      <c r="U200" s="2">
        <v>9</v>
      </c>
      <c r="V200" s="2" t="s">
        <v>42</v>
      </c>
      <c r="W200" s="2" t="s">
        <v>43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</row>
    <row r="201" spans="1:35" x14ac:dyDescent="0.25">
      <c r="A201" s="2">
        <v>38</v>
      </c>
      <c r="B201" s="2" t="s">
        <v>43</v>
      </c>
      <c r="C201" s="2" t="s">
        <v>36</v>
      </c>
      <c r="D201" s="2">
        <v>1084</v>
      </c>
      <c r="E201" s="2" t="s">
        <v>45</v>
      </c>
      <c r="F201" s="2">
        <v>29</v>
      </c>
      <c r="G201" s="2">
        <v>3</v>
      </c>
      <c r="H201" s="2" t="s">
        <v>60</v>
      </c>
      <c r="I201" s="2">
        <v>1</v>
      </c>
      <c r="J201" s="2">
        <v>273</v>
      </c>
      <c r="K201" s="2">
        <v>4</v>
      </c>
      <c r="L201" s="2" t="s">
        <v>46</v>
      </c>
      <c r="M201" s="2">
        <v>54</v>
      </c>
      <c r="N201" s="2">
        <v>3</v>
      </c>
      <c r="O201" s="2">
        <v>2</v>
      </c>
      <c r="P201" s="2" t="s">
        <v>53</v>
      </c>
      <c r="Q201" s="2">
        <v>4</v>
      </c>
      <c r="R201" s="2" t="s">
        <v>48</v>
      </c>
      <c r="S201" s="2">
        <v>6261</v>
      </c>
      <c r="T201" s="2">
        <v>4185</v>
      </c>
      <c r="U201" s="2">
        <v>3</v>
      </c>
      <c r="V201" s="2" t="s">
        <v>42</v>
      </c>
      <c r="W201" s="2" t="s">
        <v>43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</row>
    <row r="202" spans="1:35" x14ac:dyDescent="0.25">
      <c r="A202" s="2">
        <v>27</v>
      </c>
      <c r="B202" s="2" t="s">
        <v>43</v>
      </c>
      <c r="C202" s="2" t="s">
        <v>44</v>
      </c>
      <c r="D202" s="2">
        <v>472</v>
      </c>
      <c r="E202" s="2" t="s">
        <v>45</v>
      </c>
      <c r="F202" s="2">
        <v>1</v>
      </c>
      <c r="G202" s="2">
        <v>1</v>
      </c>
      <c r="H202" s="2" t="s">
        <v>60</v>
      </c>
      <c r="I202" s="2">
        <v>1</v>
      </c>
      <c r="J202" s="2">
        <v>274</v>
      </c>
      <c r="K202" s="2">
        <v>3</v>
      </c>
      <c r="L202" s="2" t="s">
        <v>46</v>
      </c>
      <c r="M202" s="2">
        <v>60</v>
      </c>
      <c r="N202" s="2">
        <v>2</v>
      </c>
      <c r="O202" s="2">
        <v>2</v>
      </c>
      <c r="P202" s="2" t="s">
        <v>53</v>
      </c>
      <c r="Q202" s="2">
        <v>1</v>
      </c>
      <c r="R202" s="2" t="s">
        <v>48</v>
      </c>
      <c r="S202" s="2">
        <v>4298</v>
      </c>
      <c r="T202" s="2">
        <v>9679</v>
      </c>
      <c r="U202" s="2">
        <v>5</v>
      </c>
      <c r="V202" s="2" t="s">
        <v>42</v>
      </c>
      <c r="W202" s="2" t="s">
        <v>43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</row>
    <row r="203" spans="1:35" x14ac:dyDescent="0.25">
      <c r="A203" s="2">
        <v>49</v>
      </c>
      <c r="B203" s="2" t="s">
        <v>43</v>
      </c>
      <c r="C203" s="2" t="s">
        <v>55</v>
      </c>
      <c r="D203" s="2">
        <v>1002</v>
      </c>
      <c r="E203" s="2" t="s">
        <v>45</v>
      </c>
      <c r="F203" s="2">
        <v>18</v>
      </c>
      <c r="G203" s="2">
        <v>4</v>
      </c>
      <c r="H203" s="2" t="s">
        <v>38</v>
      </c>
      <c r="I203" s="2">
        <v>1</v>
      </c>
      <c r="J203" s="2">
        <v>275</v>
      </c>
      <c r="K203" s="2">
        <v>4</v>
      </c>
      <c r="L203" s="2" t="s">
        <v>46</v>
      </c>
      <c r="M203" s="2">
        <v>92</v>
      </c>
      <c r="N203" s="2">
        <v>3</v>
      </c>
      <c r="O203" s="2">
        <v>2</v>
      </c>
      <c r="P203" s="2" t="s">
        <v>53</v>
      </c>
      <c r="Q203" s="2">
        <v>4</v>
      </c>
      <c r="R203" s="2" t="s">
        <v>52</v>
      </c>
      <c r="S203" s="2">
        <v>6804</v>
      </c>
      <c r="T203" s="2">
        <v>23793</v>
      </c>
      <c r="U203" s="2">
        <v>1</v>
      </c>
      <c r="V203" s="2" t="s">
        <v>42</v>
      </c>
      <c r="W203" s="2" t="s">
        <v>35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</row>
    <row r="204" spans="1:35" x14ac:dyDescent="0.25">
      <c r="A204" s="2">
        <v>34</v>
      </c>
      <c r="B204" s="2" t="s">
        <v>43</v>
      </c>
      <c r="C204" s="2" t="s">
        <v>44</v>
      </c>
      <c r="D204" s="2">
        <v>878</v>
      </c>
      <c r="E204" s="2" t="s">
        <v>45</v>
      </c>
      <c r="F204" s="2">
        <v>10</v>
      </c>
      <c r="G204" s="2">
        <v>4</v>
      </c>
      <c r="H204" s="2" t="s">
        <v>51</v>
      </c>
      <c r="I204" s="2">
        <v>1</v>
      </c>
      <c r="J204" s="2">
        <v>277</v>
      </c>
      <c r="K204" s="2">
        <v>4</v>
      </c>
      <c r="L204" s="2" t="s">
        <v>46</v>
      </c>
      <c r="M204" s="2">
        <v>43</v>
      </c>
      <c r="N204" s="2">
        <v>3</v>
      </c>
      <c r="O204" s="2">
        <v>1</v>
      </c>
      <c r="P204" s="2" t="s">
        <v>47</v>
      </c>
      <c r="Q204" s="2">
        <v>3</v>
      </c>
      <c r="R204" s="2" t="s">
        <v>52</v>
      </c>
      <c r="S204" s="2">
        <v>3815</v>
      </c>
      <c r="T204" s="2">
        <v>5972</v>
      </c>
      <c r="U204" s="2">
        <v>1</v>
      </c>
      <c r="V204" s="2" t="s">
        <v>42</v>
      </c>
      <c r="W204" s="2" t="s">
        <v>35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</row>
    <row r="205" spans="1:35" x14ac:dyDescent="0.25">
      <c r="A205" s="2">
        <v>40</v>
      </c>
      <c r="B205" s="2" t="s">
        <v>43</v>
      </c>
      <c r="C205" s="2" t="s">
        <v>36</v>
      </c>
      <c r="D205" s="2">
        <v>905</v>
      </c>
      <c r="E205" s="2" t="s">
        <v>45</v>
      </c>
      <c r="F205" s="2">
        <v>19</v>
      </c>
      <c r="G205" s="2">
        <v>2</v>
      </c>
      <c r="H205" s="2" t="s">
        <v>51</v>
      </c>
      <c r="I205" s="2">
        <v>1</v>
      </c>
      <c r="J205" s="2">
        <v>281</v>
      </c>
      <c r="K205" s="2">
        <v>3</v>
      </c>
      <c r="L205" s="2" t="s">
        <v>46</v>
      </c>
      <c r="M205" s="2">
        <v>99</v>
      </c>
      <c r="N205" s="2">
        <v>3</v>
      </c>
      <c r="O205" s="2">
        <v>2</v>
      </c>
      <c r="P205" s="2" t="s">
        <v>50</v>
      </c>
      <c r="Q205" s="2">
        <v>4</v>
      </c>
      <c r="R205" s="2" t="s">
        <v>48</v>
      </c>
      <c r="S205" s="2">
        <v>2741</v>
      </c>
      <c r="T205" s="2">
        <v>16523</v>
      </c>
      <c r="U205" s="2">
        <v>8</v>
      </c>
      <c r="V205" s="2" t="s">
        <v>42</v>
      </c>
      <c r="W205" s="2" t="s">
        <v>35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</row>
    <row r="206" spans="1:35" x14ac:dyDescent="0.25">
      <c r="A206" s="2">
        <v>38</v>
      </c>
      <c r="B206" s="2" t="s">
        <v>35</v>
      </c>
      <c r="C206" s="2" t="s">
        <v>36</v>
      </c>
      <c r="D206" s="2">
        <v>1180</v>
      </c>
      <c r="E206" s="2" t="s">
        <v>45</v>
      </c>
      <c r="F206" s="2">
        <v>29</v>
      </c>
      <c r="G206" s="2">
        <v>1</v>
      </c>
      <c r="H206" s="2" t="s">
        <v>51</v>
      </c>
      <c r="I206" s="2">
        <v>1</v>
      </c>
      <c r="J206" s="2">
        <v>282</v>
      </c>
      <c r="K206" s="2">
        <v>2</v>
      </c>
      <c r="L206" s="2" t="s">
        <v>46</v>
      </c>
      <c r="M206" s="2">
        <v>70</v>
      </c>
      <c r="N206" s="2">
        <v>3</v>
      </c>
      <c r="O206" s="2">
        <v>2</v>
      </c>
      <c r="P206" s="2" t="s">
        <v>54</v>
      </c>
      <c r="Q206" s="2">
        <v>1</v>
      </c>
      <c r="R206" s="2" t="s">
        <v>48</v>
      </c>
      <c r="S206" s="2">
        <v>6673</v>
      </c>
      <c r="T206" s="2">
        <v>11354</v>
      </c>
      <c r="U206" s="2">
        <v>7</v>
      </c>
      <c r="V206" s="2" t="s">
        <v>42</v>
      </c>
      <c r="W206" s="2" t="s">
        <v>35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</row>
    <row r="207" spans="1:35" x14ac:dyDescent="0.25">
      <c r="A207" s="2">
        <v>29</v>
      </c>
      <c r="B207" s="2" t="s">
        <v>35</v>
      </c>
      <c r="C207" s="2" t="s">
        <v>36</v>
      </c>
      <c r="D207" s="2">
        <v>121</v>
      </c>
      <c r="E207" s="2" t="s">
        <v>37</v>
      </c>
      <c r="F207" s="2">
        <v>27</v>
      </c>
      <c r="G207" s="2">
        <v>3</v>
      </c>
      <c r="H207" s="2" t="s">
        <v>59</v>
      </c>
      <c r="I207" s="2">
        <v>1</v>
      </c>
      <c r="J207" s="2">
        <v>283</v>
      </c>
      <c r="K207" s="2">
        <v>2</v>
      </c>
      <c r="L207" s="2" t="s">
        <v>39</v>
      </c>
      <c r="M207" s="2">
        <v>35</v>
      </c>
      <c r="N207" s="2">
        <v>3</v>
      </c>
      <c r="O207" s="2">
        <v>3</v>
      </c>
      <c r="P207" s="2" t="s">
        <v>40</v>
      </c>
      <c r="Q207" s="2">
        <v>4</v>
      </c>
      <c r="R207" s="2" t="s">
        <v>48</v>
      </c>
      <c r="S207" s="2">
        <v>7639</v>
      </c>
      <c r="T207" s="2">
        <v>24525</v>
      </c>
      <c r="U207" s="2">
        <v>1</v>
      </c>
      <c r="V207" s="2" t="s">
        <v>42</v>
      </c>
      <c r="W207" s="2" t="s">
        <v>43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</row>
    <row r="208" spans="1:35" x14ac:dyDescent="0.25">
      <c r="A208" s="2">
        <v>22</v>
      </c>
      <c r="B208" s="2" t="s">
        <v>43</v>
      </c>
      <c r="C208" s="2" t="s">
        <v>36</v>
      </c>
      <c r="D208" s="2">
        <v>1136</v>
      </c>
      <c r="E208" s="2" t="s">
        <v>45</v>
      </c>
      <c r="F208" s="2">
        <v>5</v>
      </c>
      <c r="G208" s="2">
        <v>3</v>
      </c>
      <c r="H208" s="2" t="s">
        <v>38</v>
      </c>
      <c r="I208" s="2">
        <v>1</v>
      </c>
      <c r="J208" s="2">
        <v>284</v>
      </c>
      <c r="K208" s="2">
        <v>4</v>
      </c>
      <c r="L208" s="2" t="s">
        <v>46</v>
      </c>
      <c r="M208" s="2">
        <v>60</v>
      </c>
      <c r="N208" s="2">
        <v>4</v>
      </c>
      <c r="O208" s="2">
        <v>1</v>
      </c>
      <c r="P208" s="2" t="s">
        <v>47</v>
      </c>
      <c r="Q208" s="2">
        <v>2</v>
      </c>
      <c r="R208" s="2" t="s">
        <v>52</v>
      </c>
      <c r="S208" s="2">
        <v>2328</v>
      </c>
      <c r="T208" s="2">
        <v>12392</v>
      </c>
      <c r="U208" s="2">
        <v>1</v>
      </c>
      <c r="V208" s="2" t="s">
        <v>42</v>
      </c>
      <c r="W208" s="2" t="s">
        <v>35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</row>
    <row r="209" spans="1:35" x14ac:dyDescent="0.25">
      <c r="A209" s="2">
        <v>36</v>
      </c>
      <c r="B209" s="2" t="s">
        <v>43</v>
      </c>
      <c r="C209" s="2" t="s">
        <v>44</v>
      </c>
      <c r="D209" s="2">
        <v>635</v>
      </c>
      <c r="E209" s="2" t="s">
        <v>45</v>
      </c>
      <c r="F209" s="2">
        <v>18</v>
      </c>
      <c r="G209" s="2">
        <v>1</v>
      </c>
      <c r="H209" s="2" t="s">
        <v>51</v>
      </c>
      <c r="I209" s="2">
        <v>1</v>
      </c>
      <c r="J209" s="2">
        <v>286</v>
      </c>
      <c r="K209" s="2">
        <v>2</v>
      </c>
      <c r="L209" s="2" t="s">
        <v>39</v>
      </c>
      <c r="M209" s="2">
        <v>73</v>
      </c>
      <c r="N209" s="2">
        <v>3</v>
      </c>
      <c r="O209" s="2">
        <v>1</v>
      </c>
      <c r="P209" s="2" t="s">
        <v>50</v>
      </c>
      <c r="Q209" s="2">
        <v>4</v>
      </c>
      <c r="R209" s="2" t="s">
        <v>41</v>
      </c>
      <c r="S209" s="2">
        <v>2153</v>
      </c>
      <c r="T209" s="2">
        <v>7703</v>
      </c>
      <c r="U209" s="2">
        <v>1</v>
      </c>
      <c r="V209" s="2" t="s">
        <v>42</v>
      </c>
      <c r="W209" s="2" t="s">
        <v>43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</row>
    <row r="210" spans="1:35" x14ac:dyDescent="0.25">
      <c r="A210" s="2">
        <v>40</v>
      </c>
      <c r="B210" s="2" t="s">
        <v>43</v>
      </c>
      <c r="C210" s="2" t="s">
        <v>55</v>
      </c>
      <c r="D210" s="2">
        <v>1151</v>
      </c>
      <c r="E210" s="2" t="s">
        <v>45</v>
      </c>
      <c r="F210" s="2">
        <v>9</v>
      </c>
      <c r="G210" s="2">
        <v>5</v>
      </c>
      <c r="H210" s="2" t="s">
        <v>38</v>
      </c>
      <c r="I210" s="2">
        <v>1</v>
      </c>
      <c r="J210" s="2">
        <v>287</v>
      </c>
      <c r="K210" s="2">
        <v>4</v>
      </c>
      <c r="L210" s="2" t="s">
        <v>46</v>
      </c>
      <c r="M210" s="2">
        <v>63</v>
      </c>
      <c r="N210" s="2">
        <v>2</v>
      </c>
      <c r="O210" s="2">
        <v>2</v>
      </c>
      <c r="P210" s="2" t="s">
        <v>54</v>
      </c>
      <c r="Q210" s="2">
        <v>4</v>
      </c>
      <c r="R210" s="2" t="s">
        <v>48</v>
      </c>
      <c r="S210" s="2">
        <v>4876</v>
      </c>
      <c r="T210" s="2">
        <v>14242</v>
      </c>
      <c r="U210" s="2">
        <v>9</v>
      </c>
      <c r="V210" s="2" t="s">
        <v>42</v>
      </c>
      <c r="W210" s="2" t="s">
        <v>43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</row>
    <row r="211" spans="1:35" x14ac:dyDescent="0.25">
      <c r="A211" s="2">
        <v>46</v>
      </c>
      <c r="B211" s="2" t="s">
        <v>43</v>
      </c>
      <c r="C211" s="2" t="s">
        <v>36</v>
      </c>
      <c r="D211" s="2">
        <v>644</v>
      </c>
      <c r="E211" s="2" t="s">
        <v>45</v>
      </c>
      <c r="F211" s="2">
        <v>1</v>
      </c>
      <c r="G211" s="2">
        <v>4</v>
      </c>
      <c r="H211" s="2" t="s">
        <v>51</v>
      </c>
      <c r="I211" s="2">
        <v>1</v>
      </c>
      <c r="J211" s="2">
        <v>288</v>
      </c>
      <c r="K211" s="2">
        <v>4</v>
      </c>
      <c r="L211" s="2" t="s">
        <v>46</v>
      </c>
      <c r="M211" s="2">
        <v>97</v>
      </c>
      <c r="N211" s="2">
        <v>3</v>
      </c>
      <c r="O211" s="2">
        <v>3</v>
      </c>
      <c r="P211" s="2" t="s">
        <v>54</v>
      </c>
      <c r="Q211" s="2">
        <v>1</v>
      </c>
      <c r="R211" s="2" t="s">
        <v>52</v>
      </c>
      <c r="S211" s="2">
        <v>9396</v>
      </c>
      <c r="T211" s="2">
        <v>12368</v>
      </c>
      <c r="U211" s="2">
        <v>7</v>
      </c>
      <c r="V211" s="2" t="s">
        <v>42</v>
      </c>
      <c r="W211" s="2" t="s">
        <v>43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</row>
    <row r="212" spans="1:35" x14ac:dyDescent="0.25">
      <c r="A212" s="2">
        <v>32</v>
      </c>
      <c r="B212" s="2" t="s">
        <v>35</v>
      </c>
      <c r="C212" s="2" t="s">
        <v>36</v>
      </c>
      <c r="D212" s="2">
        <v>1045</v>
      </c>
      <c r="E212" s="2" t="s">
        <v>37</v>
      </c>
      <c r="F212" s="2">
        <v>4</v>
      </c>
      <c r="G212" s="2">
        <v>4</v>
      </c>
      <c r="H212" s="2" t="s">
        <v>51</v>
      </c>
      <c r="I212" s="2">
        <v>1</v>
      </c>
      <c r="J212" s="2">
        <v>291</v>
      </c>
      <c r="K212" s="2">
        <v>4</v>
      </c>
      <c r="L212" s="2" t="s">
        <v>46</v>
      </c>
      <c r="M212" s="2">
        <v>32</v>
      </c>
      <c r="N212" s="2">
        <v>1</v>
      </c>
      <c r="O212" s="2">
        <v>3</v>
      </c>
      <c r="P212" s="2" t="s">
        <v>40</v>
      </c>
      <c r="Q212" s="2">
        <v>4</v>
      </c>
      <c r="R212" s="2" t="s">
        <v>48</v>
      </c>
      <c r="S212" s="2">
        <v>10400</v>
      </c>
      <c r="T212" s="2">
        <v>25812</v>
      </c>
      <c r="U212" s="2">
        <v>1</v>
      </c>
      <c r="V212" s="2" t="s">
        <v>42</v>
      </c>
      <c r="W212" s="2" t="s">
        <v>43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</row>
    <row r="213" spans="1:35" x14ac:dyDescent="0.25">
      <c r="A213" s="2">
        <v>30</v>
      </c>
      <c r="B213" s="2" t="s">
        <v>43</v>
      </c>
      <c r="C213" s="2" t="s">
        <v>55</v>
      </c>
      <c r="D213" s="2">
        <v>829</v>
      </c>
      <c r="E213" s="2" t="s">
        <v>45</v>
      </c>
      <c r="F213" s="2">
        <v>1</v>
      </c>
      <c r="G213" s="2">
        <v>1</v>
      </c>
      <c r="H213" s="2" t="s">
        <v>38</v>
      </c>
      <c r="I213" s="2">
        <v>1</v>
      </c>
      <c r="J213" s="2">
        <v>292</v>
      </c>
      <c r="K213" s="2">
        <v>3</v>
      </c>
      <c r="L213" s="2" t="s">
        <v>46</v>
      </c>
      <c r="M213" s="2">
        <v>88</v>
      </c>
      <c r="N213" s="2">
        <v>2</v>
      </c>
      <c r="O213" s="2">
        <v>3</v>
      </c>
      <c r="P213" s="2" t="s">
        <v>53</v>
      </c>
      <c r="Q213" s="2">
        <v>3</v>
      </c>
      <c r="R213" s="2" t="s">
        <v>41</v>
      </c>
      <c r="S213" s="2">
        <v>8474</v>
      </c>
      <c r="T213" s="2">
        <v>20925</v>
      </c>
      <c r="U213" s="2">
        <v>1</v>
      </c>
      <c r="V213" s="2" t="s">
        <v>42</v>
      </c>
      <c r="W213" s="2" t="s">
        <v>43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</row>
    <row r="214" spans="1:35" x14ac:dyDescent="0.25">
      <c r="A214" s="2">
        <v>27</v>
      </c>
      <c r="B214" s="2" t="s">
        <v>43</v>
      </c>
      <c r="C214" s="2" t="s">
        <v>44</v>
      </c>
      <c r="D214" s="2">
        <v>1242</v>
      </c>
      <c r="E214" s="2" t="s">
        <v>37</v>
      </c>
      <c r="F214" s="2">
        <v>20</v>
      </c>
      <c r="G214" s="2">
        <v>3</v>
      </c>
      <c r="H214" s="2" t="s">
        <v>38</v>
      </c>
      <c r="I214" s="2">
        <v>1</v>
      </c>
      <c r="J214" s="2">
        <v>293</v>
      </c>
      <c r="K214" s="2">
        <v>4</v>
      </c>
      <c r="L214" s="2" t="s">
        <v>39</v>
      </c>
      <c r="M214" s="2">
        <v>90</v>
      </c>
      <c r="N214" s="2">
        <v>3</v>
      </c>
      <c r="O214" s="2">
        <v>2</v>
      </c>
      <c r="P214" s="2" t="s">
        <v>40</v>
      </c>
      <c r="Q214" s="2">
        <v>3</v>
      </c>
      <c r="R214" s="2" t="s">
        <v>41</v>
      </c>
      <c r="S214" s="2">
        <v>9981</v>
      </c>
      <c r="T214" s="2">
        <v>12916</v>
      </c>
      <c r="U214" s="2">
        <v>1</v>
      </c>
      <c r="V214" s="2" t="s">
        <v>42</v>
      </c>
      <c r="W214" s="2" t="s">
        <v>43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</row>
    <row r="215" spans="1:35" x14ac:dyDescent="0.25">
      <c r="A215" s="2">
        <v>51</v>
      </c>
      <c r="B215" s="2" t="s">
        <v>43</v>
      </c>
      <c r="C215" s="2" t="s">
        <v>36</v>
      </c>
      <c r="D215" s="2">
        <v>1469</v>
      </c>
      <c r="E215" s="2" t="s">
        <v>45</v>
      </c>
      <c r="F215" s="2">
        <v>8</v>
      </c>
      <c r="G215" s="2">
        <v>4</v>
      </c>
      <c r="H215" s="2" t="s">
        <v>38</v>
      </c>
      <c r="I215" s="2">
        <v>1</v>
      </c>
      <c r="J215" s="2">
        <v>296</v>
      </c>
      <c r="K215" s="2">
        <v>2</v>
      </c>
      <c r="L215" s="2" t="s">
        <v>46</v>
      </c>
      <c r="M215" s="2">
        <v>81</v>
      </c>
      <c r="N215" s="2">
        <v>2</v>
      </c>
      <c r="O215" s="2">
        <v>3</v>
      </c>
      <c r="P215" s="2" t="s">
        <v>58</v>
      </c>
      <c r="Q215" s="2">
        <v>2</v>
      </c>
      <c r="R215" s="2" t="s">
        <v>48</v>
      </c>
      <c r="S215" s="2">
        <v>12490</v>
      </c>
      <c r="T215" s="2">
        <v>15736</v>
      </c>
      <c r="U215" s="2">
        <v>5</v>
      </c>
      <c r="V215" s="2" t="s">
        <v>42</v>
      </c>
      <c r="W215" s="2" t="s">
        <v>43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</row>
    <row r="216" spans="1:35" x14ac:dyDescent="0.25">
      <c r="A216" s="2">
        <v>30</v>
      </c>
      <c r="B216" s="2" t="s">
        <v>35</v>
      </c>
      <c r="C216" s="2" t="s">
        <v>36</v>
      </c>
      <c r="D216" s="2">
        <v>1005</v>
      </c>
      <c r="E216" s="2" t="s">
        <v>45</v>
      </c>
      <c r="F216" s="2">
        <v>3</v>
      </c>
      <c r="G216" s="2">
        <v>3</v>
      </c>
      <c r="H216" s="2" t="s">
        <v>60</v>
      </c>
      <c r="I216" s="2">
        <v>1</v>
      </c>
      <c r="J216" s="2">
        <v>297</v>
      </c>
      <c r="K216" s="2">
        <v>4</v>
      </c>
      <c r="L216" s="2" t="s">
        <v>39</v>
      </c>
      <c r="M216" s="2">
        <v>88</v>
      </c>
      <c r="N216" s="2">
        <v>3</v>
      </c>
      <c r="O216" s="2">
        <v>1</v>
      </c>
      <c r="P216" s="2" t="s">
        <v>47</v>
      </c>
      <c r="Q216" s="2">
        <v>1</v>
      </c>
      <c r="R216" s="2" t="s">
        <v>41</v>
      </c>
      <c r="S216" s="2">
        <v>2657</v>
      </c>
      <c r="T216" s="2">
        <v>8556</v>
      </c>
      <c r="U216" s="2">
        <v>5</v>
      </c>
      <c r="V216" s="2" t="s">
        <v>42</v>
      </c>
      <c r="W216" s="2" t="s">
        <v>35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</row>
    <row r="217" spans="1:35" x14ac:dyDescent="0.25">
      <c r="A217" s="2">
        <v>41</v>
      </c>
      <c r="B217" s="2" t="s">
        <v>43</v>
      </c>
      <c r="C217" s="2" t="s">
        <v>36</v>
      </c>
      <c r="D217" s="2">
        <v>896</v>
      </c>
      <c r="E217" s="2" t="s">
        <v>37</v>
      </c>
      <c r="F217" s="2">
        <v>6</v>
      </c>
      <c r="G217" s="2">
        <v>3</v>
      </c>
      <c r="H217" s="2" t="s">
        <v>38</v>
      </c>
      <c r="I217" s="2">
        <v>1</v>
      </c>
      <c r="J217" s="2">
        <v>298</v>
      </c>
      <c r="K217" s="2">
        <v>4</v>
      </c>
      <c r="L217" s="2" t="s">
        <v>39</v>
      </c>
      <c r="M217" s="2">
        <v>75</v>
      </c>
      <c r="N217" s="2">
        <v>3</v>
      </c>
      <c r="O217" s="2">
        <v>3</v>
      </c>
      <c r="P217" s="2" t="s">
        <v>56</v>
      </c>
      <c r="Q217" s="2">
        <v>4</v>
      </c>
      <c r="R217" s="2" t="s">
        <v>41</v>
      </c>
      <c r="S217" s="2">
        <v>13591</v>
      </c>
      <c r="T217" s="2">
        <v>14674</v>
      </c>
      <c r="U217" s="2">
        <v>3</v>
      </c>
      <c r="V217" s="2" t="s">
        <v>42</v>
      </c>
      <c r="W217" s="2" t="s">
        <v>35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</row>
    <row r="218" spans="1:35" x14ac:dyDescent="0.25">
      <c r="A218" s="2">
        <v>30</v>
      </c>
      <c r="B218" s="2" t="s">
        <v>35</v>
      </c>
      <c r="C218" s="2" t="s">
        <v>44</v>
      </c>
      <c r="D218" s="2">
        <v>334</v>
      </c>
      <c r="E218" s="2" t="s">
        <v>37</v>
      </c>
      <c r="F218" s="2">
        <v>26</v>
      </c>
      <c r="G218" s="2">
        <v>4</v>
      </c>
      <c r="H218" s="2" t="s">
        <v>59</v>
      </c>
      <c r="I218" s="2">
        <v>1</v>
      </c>
      <c r="J218" s="2">
        <v>299</v>
      </c>
      <c r="K218" s="2">
        <v>3</v>
      </c>
      <c r="L218" s="2" t="s">
        <v>39</v>
      </c>
      <c r="M218" s="2">
        <v>52</v>
      </c>
      <c r="N218" s="2">
        <v>2</v>
      </c>
      <c r="O218" s="2">
        <v>2</v>
      </c>
      <c r="P218" s="2" t="s">
        <v>40</v>
      </c>
      <c r="Q218" s="2">
        <v>1</v>
      </c>
      <c r="R218" s="2" t="s">
        <v>41</v>
      </c>
      <c r="S218" s="2">
        <v>6696</v>
      </c>
      <c r="T218" s="2">
        <v>22967</v>
      </c>
      <c r="U218" s="2">
        <v>5</v>
      </c>
      <c r="V218" s="2" t="s">
        <v>42</v>
      </c>
      <c r="W218" s="2" t="s">
        <v>43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</row>
    <row r="219" spans="1:35" x14ac:dyDescent="0.25">
      <c r="A219" s="2">
        <v>29</v>
      </c>
      <c r="B219" s="2" t="s">
        <v>35</v>
      </c>
      <c r="C219" s="2" t="s">
        <v>36</v>
      </c>
      <c r="D219" s="2">
        <v>992</v>
      </c>
      <c r="E219" s="2" t="s">
        <v>45</v>
      </c>
      <c r="F219" s="2">
        <v>1</v>
      </c>
      <c r="G219" s="2">
        <v>3</v>
      </c>
      <c r="H219" s="2" t="s">
        <v>60</v>
      </c>
      <c r="I219" s="2">
        <v>1</v>
      </c>
      <c r="J219" s="2">
        <v>300</v>
      </c>
      <c r="K219" s="2">
        <v>3</v>
      </c>
      <c r="L219" s="2" t="s">
        <v>46</v>
      </c>
      <c r="M219" s="2">
        <v>85</v>
      </c>
      <c r="N219" s="2">
        <v>3</v>
      </c>
      <c r="O219" s="2">
        <v>1</v>
      </c>
      <c r="P219" s="2" t="s">
        <v>47</v>
      </c>
      <c r="Q219" s="2">
        <v>3</v>
      </c>
      <c r="R219" s="2" t="s">
        <v>41</v>
      </c>
      <c r="S219" s="2">
        <v>2058</v>
      </c>
      <c r="T219" s="2">
        <v>19757</v>
      </c>
      <c r="U219" s="2">
        <v>0</v>
      </c>
      <c r="V219" s="2" t="s">
        <v>42</v>
      </c>
      <c r="W219" s="2" t="s">
        <v>43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</row>
    <row r="220" spans="1:35" x14ac:dyDescent="0.25">
      <c r="A220" s="2">
        <v>45</v>
      </c>
      <c r="B220" s="2" t="s">
        <v>43</v>
      </c>
      <c r="C220" s="2" t="s">
        <v>55</v>
      </c>
      <c r="D220" s="2">
        <v>1052</v>
      </c>
      <c r="E220" s="2" t="s">
        <v>37</v>
      </c>
      <c r="F220" s="2">
        <v>6</v>
      </c>
      <c r="G220" s="2">
        <v>3</v>
      </c>
      <c r="H220" s="2" t="s">
        <v>51</v>
      </c>
      <c r="I220" s="2">
        <v>1</v>
      </c>
      <c r="J220" s="2">
        <v>302</v>
      </c>
      <c r="K220" s="2">
        <v>4</v>
      </c>
      <c r="L220" s="2" t="s">
        <v>39</v>
      </c>
      <c r="M220" s="2">
        <v>57</v>
      </c>
      <c r="N220" s="2">
        <v>2</v>
      </c>
      <c r="O220" s="2">
        <v>3</v>
      </c>
      <c r="P220" s="2" t="s">
        <v>40</v>
      </c>
      <c r="Q220" s="2">
        <v>4</v>
      </c>
      <c r="R220" s="2" t="s">
        <v>41</v>
      </c>
      <c r="S220" s="2">
        <v>8865</v>
      </c>
      <c r="T220" s="2">
        <v>16840</v>
      </c>
      <c r="U220" s="2">
        <v>6</v>
      </c>
      <c r="V220" s="2" t="s">
        <v>42</v>
      </c>
      <c r="W220" s="2" t="s">
        <v>43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</row>
    <row r="221" spans="1:35" x14ac:dyDescent="0.25">
      <c r="A221" s="2">
        <v>54</v>
      </c>
      <c r="B221" s="2" t="s">
        <v>43</v>
      </c>
      <c r="C221" s="2" t="s">
        <v>36</v>
      </c>
      <c r="D221" s="2">
        <v>1147</v>
      </c>
      <c r="E221" s="2" t="s">
        <v>37</v>
      </c>
      <c r="F221" s="2">
        <v>3</v>
      </c>
      <c r="G221" s="2">
        <v>3</v>
      </c>
      <c r="H221" s="2" t="s">
        <v>59</v>
      </c>
      <c r="I221" s="2">
        <v>1</v>
      </c>
      <c r="J221" s="2">
        <v>303</v>
      </c>
      <c r="K221" s="2">
        <v>4</v>
      </c>
      <c r="L221" s="2" t="s">
        <v>39</v>
      </c>
      <c r="M221" s="2">
        <v>52</v>
      </c>
      <c r="N221" s="2">
        <v>3</v>
      </c>
      <c r="O221" s="2">
        <v>2</v>
      </c>
      <c r="P221" s="2" t="s">
        <v>40</v>
      </c>
      <c r="Q221" s="2">
        <v>1</v>
      </c>
      <c r="R221" s="2" t="s">
        <v>48</v>
      </c>
      <c r="S221" s="2">
        <v>5940</v>
      </c>
      <c r="T221" s="2">
        <v>17011</v>
      </c>
      <c r="U221" s="2">
        <v>2</v>
      </c>
      <c r="V221" s="2" t="s">
        <v>42</v>
      </c>
      <c r="W221" s="2" t="s">
        <v>43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</row>
    <row r="222" spans="1:35" x14ac:dyDescent="0.25">
      <c r="A222" s="2">
        <v>36</v>
      </c>
      <c r="B222" s="2" t="s">
        <v>43</v>
      </c>
      <c r="C222" s="2" t="s">
        <v>36</v>
      </c>
      <c r="D222" s="2">
        <v>1396</v>
      </c>
      <c r="E222" s="2" t="s">
        <v>45</v>
      </c>
      <c r="F222" s="2">
        <v>5</v>
      </c>
      <c r="G222" s="2">
        <v>2</v>
      </c>
      <c r="H222" s="2" t="s">
        <v>38</v>
      </c>
      <c r="I222" s="2">
        <v>1</v>
      </c>
      <c r="J222" s="2">
        <v>304</v>
      </c>
      <c r="K222" s="2">
        <v>4</v>
      </c>
      <c r="L222" s="2" t="s">
        <v>46</v>
      </c>
      <c r="M222" s="2">
        <v>62</v>
      </c>
      <c r="N222" s="2">
        <v>3</v>
      </c>
      <c r="O222" s="2">
        <v>2</v>
      </c>
      <c r="P222" s="2" t="s">
        <v>50</v>
      </c>
      <c r="Q222" s="2">
        <v>2</v>
      </c>
      <c r="R222" s="2" t="s">
        <v>41</v>
      </c>
      <c r="S222" s="2">
        <v>5914</v>
      </c>
      <c r="T222" s="2">
        <v>9945</v>
      </c>
      <c r="U222" s="2">
        <v>8</v>
      </c>
      <c r="V222" s="2" t="s">
        <v>42</v>
      </c>
      <c r="W222" s="2" t="s">
        <v>43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</row>
    <row r="223" spans="1:35" x14ac:dyDescent="0.25">
      <c r="A223" s="2">
        <v>33</v>
      </c>
      <c r="B223" s="2" t="s">
        <v>43</v>
      </c>
      <c r="C223" s="2" t="s">
        <v>36</v>
      </c>
      <c r="D223" s="2">
        <v>147</v>
      </c>
      <c r="E223" s="2" t="s">
        <v>45</v>
      </c>
      <c r="F223" s="2">
        <v>4</v>
      </c>
      <c r="G223" s="2">
        <v>4</v>
      </c>
      <c r="H223" s="2" t="s">
        <v>51</v>
      </c>
      <c r="I223" s="2">
        <v>1</v>
      </c>
      <c r="J223" s="2">
        <v>305</v>
      </c>
      <c r="K223" s="2">
        <v>3</v>
      </c>
      <c r="L223" s="2" t="s">
        <v>39</v>
      </c>
      <c r="M223" s="2">
        <v>47</v>
      </c>
      <c r="N223" s="2">
        <v>2</v>
      </c>
      <c r="O223" s="2">
        <v>1</v>
      </c>
      <c r="P223" s="2" t="s">
        <v>47</v>
      </c>
      <c r="Q223" s="2">
        <v>2</v>
      </c>
      <c r="R223" s="2" t="s">
        <v>48</v>
      </c>
      <c r="S223" s="2">
        <v>2622</v>
      </c>
      <c r="T223" s="2">
        <v>13248</v>
      </c>
      <c r="U223" s="2">
        <v>6</v>
      </c>
      <c r="V223" s="2" t="s">
        <v>42</v>
      </c>
      <c r="W223" s="2" t="s">
        <v>43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</row>
    <row r="224" spans="1:35" x14ac:dyDescent="0.25">
      <c r="A224" s="2">
        <v>37</v>
      </c>
      <c r="B224" s="2" t="s">
        <v>43</v>
      </c>
      <c r="C224" s="2" t="s">
        <v>44</v>
      </c>
      <c r="D224" s="2">
        <v>663</v>
      </c>
      <c r="E224" s="2" t="s">
        <v>45</v>
      </c>
      <c r="F224" s="2">
        <v>11</v>
      </c>
      <c r="G224" s="2">
        <v>3</v>
      </c>
      <c r="H224" s="2" t="s">
        <v>49</v>
      </c>
      <c r="I224" s="2">
        <v>1</v>
      </c>
      <c r="J224" s="2">
        <v>306</v>
      </c>
      <c r="K224" s="2">
        <v>2</v>
      </c>
      <c r="L224" s="2" t="s">
        <v>46</v>
      </c>
      <c r="M224" s="2">
        <v>47</v>
      </c>
      <c r="N224" s="2">
        <v>3</v>
      </c>
      <c r="O224" s="2">
        <v>3</v>
      </c>
      <c r="P224" s="2" t="s">
        <v>58</v>
      </c>
      <c r="Q224" s="2">
        <v>4</v>
      </c>
      <c r="R224" s="2" t="s">
        <v>52</v>
      </c>
      <c r="S224" s="2">
        <v>12185</v>
      </c>
      <c r="T224" s="2">
        <v>10056</v>
      </c>
      <c r="U224" s="2">
        <v>1</v>
      </c>
      <c r="V224" s="2" t="s">
        <v>42</v>
      </c>
      <c r="W224" s="2" t="s">
        <v>35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</row>
    <row r="225" spans="1:35" x14ac:dyDescent="0.25">
      <c r="A225" s="2">
        <v>38</v>
      </c>
      <c r="B225" s="2" t="s">
        <v>43</v>
      </c>
      <c r="C225" s="2" t="s">
        <v>36</v>
      </c>
      <c r="D225" s="2">
        <v>119</v>
      </c>
      <c r="E225" s="2" t="s">
        <v>37</v>
      </c>
      <c r="F225" s="2">
        <v>3</v>
      </c>
      <c r="G225" s="2">
        <v>3</v>
      </c>
      <c r="H225" s="2" t="s">
        <v>38</v>
      </c>
      <c r="I225" s="2">
        <v>1</v>
      </c>
      <c r="J225" s="2">
        <v>307</v>
      </c>
      <c r="K225" s="2">
        <v>1</v>
      </c>
      <c r="L225" s="2" t="s">
        <v>46</v>
      </c>
      <c r="M225" s="2">
        <v>76</v>
      </c>
      <c r="N225" s="2">
        <v>3</v>
      </c>
      <c r="O225" s="2">
        <v>3</v>
      </c>
      <c r="P225" s="2" t="s">
        <v>40</v>
      </c>
      <c r="Q225" s="2">
        <v>3</v>
      </c>
      <c r="R225" s="2" t="s">
        <v>52</v>
      </c>
      <c r="S225" s="2">
        <v>10609</v>
      </c>
      <c r="T225" s="2">
        <v>9647</v>
      </c>
      <c r="U225" s="2">
        <v>0</v>
      </c>
      <c r="V225" s="2" t="s">
        <v>42</v>
      </c>
      <c r="W225" s="2" t="s">
        <v>43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</row>
    <row r="226" spans="1:35" x14ac:dyDescent="0.25">
      <c r="A226" s="2">
        <v>31</v>
      </c>
      <c r="B226" s="2" t="s">
        <v>43</v>
      </c>
      <c r="C226" s="2" t="s">
        <v>55</v>
      </c>
      <c r="D226" s="2">
        <v>979</v>
      </c>
      <c r="E226" s="2" t="s">
        <v>45</v>
      </c>
      <c r="F226" s="2">
        <v>1</v>
      </c>
      <c r="G226" s="2">
        <v>4</v>
      </c>
      <c r="H226" s="2" t="s">
        <v>51</v>
      </c>
      <c r="I226" s="2">
        <v>1</v>
      </c>
      <c r="J226" s="2">
        <v>308</v>
      </c>
      <c r="K226" s="2">
        <v>3</v>
      </c>
      <c r="L226" s="2" t="s">
        <v>46</v>
      </c>
      <c r="M226" s="2">
        <v>90</v>
      </c>
      <c r="N226" s="2">
        <v>1</v>
      </c>
      <c r="O226" s="2">
        <v>2</v>
      </c>
      <c r="P226" s="2" t="s">
        <v>53</v>
      </c>
      <c r="Q226" s="2">
        <v>3</v>
      </c>
      <c r="R226" s="2" t="s">
        <v>48</v>
      </c>
      <c r="S226" s="2">
        <v>4345</v>
      </c>
      <c r="T226" s="2">
        <v>4381</v>
      </c>
      <c r="U226" s="2">
        <v>0</v>
      </c>
      <c r="V226" s="2" t="s">
        <v>42</v>
      </c>
      <c r="W226" s="2" t="s">
        <v>43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</row>
    <row r="227" spans="1:35" x14ac:dyDescent="0.25">
      <c r="A227" s="2">
        <v>59</v>
      </c>
      <c r="B227" s="2" t="s">
        <v>43</v>
      </c>
      <c r="C227" s="2" t="s">
        <v>36</v>
      </c>
      <c r="D227" s="2">
        <v>142</v>
      </c>
      <c r="E227" s="2" t="s">
        <v>45</v>
      </c>
      <c r="F227" s="2">
        <v>3</v>
      </c>
      <c r="G227" s="2">
        <v>3</v>
      </c>
      <c r="H227" s="2" t="s">
        <v>38</v>
      </c>
      <c r="I227" s="2">
        <v>1</v>
      </c>
      <c r="J227" s="2">
        <v>309</v>
      </c>
      <c r="K227" s="2">
        <v>3</v>
      </c>
      <c r="L227" s="2" t="s">
        <v>46</v>
      </c>
      <c r="M227" s="2">
        <v>70</v>
      </c>
      <c r="N227" s="2">
        <v>2</v>
      </c>
      <c r="O227" s="2">
        <v>1</v>
      </c>
      <c r="P227" s="2" t="s">
        <v>47</v>
      </c>
      <c r="Q227" s="2">
        <v>4</v>
      </c>
      <c r="R227" s="2" t="s">
        <v>48</v>
      </c>
      <c r="S227" s="2">
        <v>2177</v>
      </c>
      <c r="T227" s="2">
        <v>8456</v>
      </c>
      <c r="U227" s="2">
        <v>3</v>
      </c>
      <c r="V227" s="2" t="s">
        <v>42</v>
      </c>
      <c r="W227" s="2" t="s">
        <v>43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</row>
    <row r="228" spans="1:35" x14ac:dyDescent="0.25">
      <c r="A228" s="2">
        <v>37</v>
      </c>
      <c r="B228" s="2" t="s">
        <v>43</v>
      </c>
      <c r="C228" s="2" t="s">
        <v>44</v>
      </c>
      <c r="D228" s="2">
        <v>319</v>
      </c>
      <c r="E228" s="2" t="s">
        <v>37</v>
      </c>
      <c r="F228" s="2">
        <v>4</v>
      </c>
      <c r="G228" s="2">
        <v>4</v>
      </c>
      <c r="H228" s="2" t="s">
        <v>59</v>
      </c>
      <c r="I228" s="2">
        <v>1</v>
      </c>
      <c r="J228" s="2">
        <v>311</v>
      </c>
      <c r="K228" s="2">
        <v>1</v>
      </c>
      <c r="L228" s="2" t="s">
        <v>46</v>
      </c>
      <c r="M228" s="2">
        <v>41</v>
      </c>
      <c r="N228" s="2">
        <v>3</v>
      </c>
      <c r="O228" s="2">
        <v>1</v>
      </c>
      <c r="P228" s="2" t="s">
        <v>57</v>
      </c>
      <c r="Q228" s="2">
        <v>4</v>
      </c>
      <c r="R228" s="2" t="s">
        <v>52</v>
      </c>
      <c r="S228" s="2">
        <v>2793</v>
      </c>
      <c r="T228" s="2">
        <v>2539</v>
      </c>
      <c r="U228" s="2">
        <v>4</v>
      </c>
      <c r="V228" s="2" t="s">
        <v>42</v>
      </c>
      <c r="W228" s="2" t="s">
        <v>43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</row>
    <row r="229" spans="1:35" x14ac:dyDescent="0.25">
      <c r="A229" s="2">
        <v>29</v>
      </c>
      <c r="B229" s="2" t="s">
        <v>43</v>
      </c>
      <c r="C229" s="2" t="s">
        <v>44</v>
      </c>
      <c r="D229" s="2">
        <v>1413</v>
      </c>
      <c r="E229" s="2" t="s">
        <v>37</v>
      </c>
      <c r="F229" s="2">
        <v>1</v>
      </c>
      <c r="G229" s="2">
        <v>1</v>
      </c>
      <c r="H229" s="2" t="s">
        <v>51</v>
      </c>
      <c r="I229" s="2">
        <v>1</v>
      </c>
      <c r="J229" s="2">
        <v>312</v>
      </c>
      <c r="K229" s="2">
        <v>2</v>
      </c>
      <c r="L229" s="2" t="s">
        <v>39</v>
      </c>
      <c r="M229" s="2">
        <v>42</v>
      </c>
      <c r="N229" s="2">
        <v>3</v>
      </c>
      <c r="O229" s="2">
        <v>3</v>
      </c>
      <c r="P229" s="2" t="s">
        <v>40</v>
      </c>
      <c r="Q229" s="2">
        <v>4</v>
      </c>
      <c r="R229" s="2" t="s">
        <v>48</v>
      </c>
      <c r="S229" s="2">
        <v>7918</v>
      </c>
      <c r="T229" s="2">
        <v>6599</v>
      </c>
      <c r="U229" s="2">
        <v>1</v>
      </c>
      <c r="V229" s="2" t="s">
        <v>42</v>
      </c>
      <c r="W229" s="2" t="s">
        <v>43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</row>
    <row r="230" spans="1:35" x14ac:dyDescent="0.25">
      <c r="A230" s="2">
        <v>35</v>
      </c>
      <c r="B230" s="2" t="s">
        <v>43</v>
      </c>
      <c r="C230" s="2" t="s">
        <v>44</v>
      </c>
      <c r="D230" s="2">
        <v>944</v>
      </c>
      <c r="E230" s="2" t="s">
        <v>37</v>
      </c>
      <c r="F230" s="2">
        <v>1</v>
      </c>
      <c r="G230" s="2">
        <v>3</v>
      </c>
      <c r="H230" s="2" t="s">
        <v>59</v>
      </c>
      <c r="I230" s="2">
        <v>1</v>
      </c>
      <c r="J230" s="2">
        <v>314</v>
      </c>
      <c r="K230" s="2">
        <v>3</v>
      </c>
      <c r="L230" s="2" t="s">
        <v>39</v>
      </c>
      <c r="M230" s="2">
        <v>92</v>
      </c>
      <c r="N230" s="2">
        <v>3</v>
      </c>
      <c r="O230" s="2">
        <v>3</v>
      </c>
      <c r="P230" s="2" t="s">
        <v>40</v>
      </c>
      <c r="Q230" s="2">
        <v>3</v>
      </c>
      <c r="R230" s="2" t="s">
        <v>41</v>
      </c>
      <c r="S230" s="2">
        <v>8789</v>
      </c>
      <c r="T230" s="2">
        <v>9096</v>
      </c>
      <c r="U230" s="2">
        <v>1</v>
      </c>
      <c r="V230" s="2" t="s">
        <v>42</v>
      </c>
      <c r="W230" s="2" t="s">
        <v>43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</row>
    <row r="231" spans="1:35" x14ac:dyDescent="0.25">
      <c r="A231" s="2">
        <v>29</v>
      </c>
      <c r="B231" s="2" t="s">
        <v>35</v>
      </c>
      <c r="C231" s="2" t="s">
        <v>36</v>
      </c>
      <c r="D231" s="2">
        <v>896</v>
      </c>
      <c r="E231" s="2" t="s">
        <v>45</v>
      </c>
      <c r="F231" s="2">
        <v>18</v>
      </c>
      <c r="G231" s="2">
        <v>1</v>
      </c>
      <c r="H231" s="2" t="s">
        <v>51</v>
      </c>
      <c r="I231" s="2">
        <v>1</v>
      </c>
      <c r="J231" s="2">
        <v>315</v>
      </c>
      <c r="K231" s="2">
        <v>3</v>
      </c>
      <c r="L231" s="2" t="s">
        <v>46</v>
      </c>
      <c r="M231" s="2">
        <v>86</v>
      </c>
      <c r="N231" s="2">
        <v>2</v>
      </c>
      <c r="O231" s="2">
        <v>1</v>
      </c>
      <c r="P231" s="2" t="s">
        <v>47</v>
      </c>
      <c r="Q231" s="2">
        <v>4</v>
      </c>
      <c r="R231" s="2" t="s">
        <v>41</v>
      </c>
      <c r="S231" s="2">
        <v>2389</v>
      </c>
      <c r="T231" s="2">
        <v>14961</v>
      </c>
      <c r="U231" s="2">
        <v>1</v>
      </c>
      <c r="V231" s="2" t="s">
        <v>42</v>
      </c>
      <c r="W231" s="2" t="s">
        <v>35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</row>
    <row r="232" spans="1:35" x14ac:dyDescent="0.25">
      <c r="A232" s="2">
        <v>52</v>
      </c>
      <c r="B232" s="2" t="s">
        <v>43</v>
      </c>
      <c r="C232" s="2" t="s">
        <v>36</v>
      </c>
      <c r="D232" s="2">
        <v>1323</v>
      </c>
      <c r="E232" s="2" t="s">
        <v>45</v>
      </c>
      <c r="F232" s="2">
        <v>2</v>
      </c>
      <c r="G232" s="2">
        <v>3</v>
      </c>
      <c r="H232" s="2" t="s">
        <v>38</v>
      </c>
      <c r="I232" s="2">
        <v>1</v>
      </c>
      <c r="J232" s="2">
        <v>316</v>
      </c>
      <c r="K232" s="2">
        <v>3</v>
      </c>
      <c r="L232" s="2" t="s">
        <v>39</v>
      </c>
      <c r="M232" s="2">
        <v>89</v>
      </c>
      <c r="N232" s="2">
        <v>2</v>
      </c>
      <c r="O232" s="2">
        <v>1</v>
      </c>
      <c r="P232" s="2" t="s">
        <v>50</v>
      </c>
      <c r="Q232" s="2">
        <v>4</v>
      </c>
      <c r="R232" s="2" t="s">
        <v>41</v>
      </c>
      <c r="S232" s="2">
        <v>3212</v>
      </c>
      <c r="T232" s="2">
        <v>3300</v>
      </c>
      <c r="U232" s="2">
        <v>7</v>
      </c>
      <c r="V232" s="2" t="s">
        <v>42</v>
      </c>
      <c r="W232" s="2" t="s">
        <v>43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</row>
    <row r="233" spans="1:35" x14ac:dyDescent="0.25">
      <c r="A233" s="2">
        <v>42</v>
      </c>
      <c r="B233" s="2" t="s">
        <v>43</v>
      </c>
      <c r="C233" s="2" t="s">
        <v>36</v>
      </c>
      <c r="D233" s="2">
        <v>532</v>
      </c>
      <c r="E233" s="2" t="s">
        <v>45</v>
      </c>
      <c r="F233" s="2">
        <v>4</v>
      </c>
      <c r="G233" s="2">
        <v>2</v>
      </c>
      <c r="H233" s="2" t="s">
        <v>60</v>
      </c>
      <c r="I233" s="2">
        <v>1</v>
      </c>
      <c r="J233" s="2">
        <v>319</v>
      </c>
      <c r="K233" s="2">
        <v>3</v>
      </c>
      <c r="L233" s="2" t="s">
        <v>46</v>
      </c>
      <c r="M233" s="2">
        <v>58</v>
      </c>
      <c r="N233" s="2">
        <v>3</v>
      </c>
      <c r="O233" s="2">
        <v>5</v>
      </c>
      <c r="P233" s="2" t="s">
        <v>56</v>
      </c>
      <c r="Q233" s="2">
        <v>4</v>
      </c>
      <c r="R233" s="2" t="s">
        <v>48</v>
      </c>
      <c r="S233" s="2">
        <v>19232</v>
      </c>
      <c r="T233" s="2">
        <v>4933</v>
      </c>
      <c r="U233" s="2">
        <v>1</v>
      </c>
      <c r="V233" s="2" t="s">
        <v>42</v>
      </c>
      <c r="W233" s="2" t="s">
        <v>43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</row>
    <row r="234" spans="1:35" x14ac:dyDescent="0.25">
      <c r="A234" s="2">
        <v>59</v>
      </c>
      <c r="B234" s="2" t="s">
        <v>43</v>
      </c>
      <c r="C234" s="2" t="s">
        <v>36</v>
      </c>
      <c r="D234" s="2">
        <v>818</v>
      </c>
      <c r="E234" s="2" t="s">
        <v>61</v>
      </c>
      <c r="F234" s="2">
        <v>6</v>
      </c>
      <c r="G234" s="2">
        <v>2</v>
      </c>
      <c r="H234" s="2" t="s">
        <v>51</v>
      </c>
      <c r="I234" s="2">
        <v>1</v>
      </c>
      <c r="J234" s="2">
        <v>321</v>
      </c>
      <c r="K234" s="2">
        <v>2</v>
      </c>
      <c r="L234" s="2" t="s">
        <v>46</v>
      </c>
      <c r="M234" s="2">
        <v>52</v>
      </c>
      <c r="N234" s="2">
        <v>3</v>
      </c>
      <c r="O234" s="2">
        <v>1</v>
      </c>
      <c r="P234" s="2" t="s">
        <v>61</v>
      </c>
      <c r="Q234" s="2">
        <v>3</v>
      </c>
      <c r="R234" s="2" t="s">
        <v>48</v>
      </c>
      <c r="S234" s="2">
        <v>2267</v>
      </c>
      <c r="T234" s="2">
        <v>25657</v>
      </c>
      <c r="U234" s="2">
        <v>8</v>
      </c>
      <c r="V234" s="2" t="s">
        <v>42</v>
      </c>
      <c r="W234" s="2" t="s">
        <v>43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</row>
    <row r="235" spans="1:35" x14ac:dyDescent="0.25">
      <c r="A235" s="2">
        <v>50</v>
      </c>
      <c r="B235" s="2" t="s">
        <v>43</v>
      </c>
      <c r="C235" s="2" t="s">
        <v>36</v>
      </c>
      <c r="D235" s="2">
        <v>854</v>
      </c>
      <c r="E235" s="2" t="s">
        <v>37</v>
      </c>
      <c r="F235" s="2">
        <v>1</v>
      </c>
      <c r="G235" s="2">
        <v>4</v>
      </c>
      <c r="H235" s="2" t="s">
        <v>51</v>
      </c>
      <c r="I235" s="2">
        <v>1</v>
      </c>
      <c r="J235" s="2">
        <v>323</v>
      </c>
      <c r="K235" s="2">
        <v>4</v>
      </c>
      <c r="L235" s="2" t="s">
        <v>39</v>
      </c>
      <c r="M235" s="2">
        <v>68</v>
      </c>
      <c r="N235" s="2">
        <v>3</v>
      </c>
      <c r="O235" s="2">
        <v>5</v>
      </c>
      <c r="P235" s="2" t="s">
        <v>56</v>
      </c>
      <c r="Q235" s="2">
        <v>4</v>
      </c>
      <c r="R235" s="2" t="s">
        <v>52</v>
      </c>
      <c r="S235" s="2">
        <v>19517</v>
      </c>
      <c r="T235" s="2">
        <v>24118</v>
      </c>
      <c r="U235" s="2">
        <v>3</v>
      </c>
      <c r="V235" s="2" t="s">
        <v>42</v>
      </c>
      <c r="W235" s="2" t="s">
        <v>43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</row>
    <row r="236" spans="1:35" x14ac:dyDescent="0.25">
      <c r="A236" s="2">
        <v>33</v>
      </c>
      <c r="B236" s="2" t="s">
        <v>35</v>
      </c>
      <c r="C236" s="2" t="s">
        <v>36</v>
      </c>
      <c r="D236" s="2">
        <v>813</v>
      </c>
      <c r="E236" s="2" t="s">
        <v>45</v>
      </c>
      <c r="F236" s="2">
        <v>14</v>
      </c>
      <c r="G236" s="2">
        <v>3</v>
      </c>
      <c r="H236" s="2" t="s">
        <v>51</v>
      </c>
      <c r="I236" s="2">
        <v>1</v>
      </c>
      <c r="J236" s="2">
        <v>325</v>
      </c>
      <c r="K236" s="2">
        <v>3</v>
      </c>
      <c r="L236" s="2" t="s">
        <v>46</v>
      </c>
      <c r="M236" s="2">
        <v>58</v>
      </c>
      <c r="N236" s="2">
        <v>3</v>
      </c>
      <c r="O236" s="2">
        <v>1</v>
      </c>
      <c r="P236" s="2" t="s">
        <v>50</v>
      </c>
      <c r="Q236" s="2">
        <v>4</v>
      </c>
      <c r="R236" s="2" t="s">
        <v>48</v>
      </c>
      <c r="S236" s="2">
        <v>2436</v>
      </c>
      <c r="T236" s="2">
        <v>22149</v>
      </c>
      <c r="U236" s="2">
        <v>5</v>
      </c>
      <c r="V236" s="2" t="s">
        <v>42</v>
      </c>
      <c r="W236" s="2" t="s">
        <v>35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</row>
    <row r="237" spans="1:35" x14ac:dyDescent="0.25">
      <c r="A237" s="2">
        <v>43</v>
      </c>
      <c r="B237" s="2" t="s">
        <v>43</v>
      </c>
      <c r="C237" s="2" t="s">
        <v>36</v>
      </c>
      <c r="D237" s="2">
        <v>1034</v>
      </c>
      <c r="E237" s="2" t="s">
        <v>37</v>
      </c>
      <c r="F237" s="2">
        <v>16</v>
      </c>
      <c r="G237" s="2">
        <v>3</v>
      </c>
      <c r="H237" s="2" t="s">
        <v>59</v>
      </c>
      <c r="I237" s="2">
        <v>1</v>
      </c>
      <c r="J237" s="2">
        <v>327</v>
      </c>
      <c r="K237" s="2">
        <v>4</v>
      </c>
      <c r="L237" s="2" t="s">
        <v>39</v>
      </c>
      <c r="M237" s="2">
        <v>80</v>
      </c>
      <c r="N237" s="2">
        <v>3</v>
      </c>
      <c r="O237" s="2">
        <v>4</v>
      </c>
      <c r="P237" s="2" t="s">
        <v>56</v>
      </c>
      <c r="Q237" s="2">
        <v>4</v>
      </c>
      <c r="R237" s="2" t="s">
        <v>48</v>
      </c>
      <c r="S237" s="2">
        <v>16064</v>
      </c>
      <c r="T237" s="2">
        <v>7744</v>
      </c>
      <c r="U237" s="2">
        <v>5</v>
      </c>
      <c r="V237" s="2" t="s">
        <v>42</v>
      </c>
      <c r="W237" s="2" t="s">
        <v>35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</row>
    <row r="238" spans="1:35" x14ac:dyDescent="0.25">
      <c r="A238" s="2">
        <v>33</v>
      </c>
      <c r="B238" s="2" t="s">
        <v>35</v>
      </c>
      <c r="C238" s="2" t="s">
        <v>36</v>
      </c>
      <c r="D238" s="2">
        <v>465</v>
      </c>
      <c r="E238" s="2" t="s">
        <v>45</v>
      </c>
      <c r="F238" s="2">
        <v>2</v>
      </c>
      <c r="G238" s="2">
        <v>2</v>
      </c>
      <c r="H238" s="2" t="s">
        <v>38</v>
      </c>
      <c r="I238" s="2">
        <v>1</v>
      </c>
      <c r="J238" s="2">
        <v>328</v>
      </c>
      <c r="K238" s="2">
        <v>1</v>
      </c>
      <c r="L238" s="2" t="s">
        <v>39</v>
      </c>
      <c r="M238" s="2">
        <v>39</v>
      </c>
      <c r="N238" s="2">
        <v>3</v>
      </c>
      <c r="O238" s="2">
        <v>1</v>
      </c>
      <c r="P238" s="2" t="s">
        <v>50</v>
      </c>
      <c r="Q238" s="2">
        <v>1</v>
      </c>
      <c r="R238" s="2" t="s">
        <v>48</v>
      </c>
      <c r="S238" s="2">
        <v>2707</v>
      </c>
      <c r="T238" s="2">
        <v>21509</v>
      </c>
      <c r="U238" s="2">
        <v>7</v>
      </c>
      <c r="V238" s="2" t="s">
        <v>42</v>
      </c>
      <c r="W238" s="2" t="s">
        <v>43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</row>
    <row r="239" spans="1:35" x14ac:dyDescent="0.25">
      <c r="A239" s="2">
        <v>52</v>
      </c>
      <c r="B239" s="2" t="s">
        <v>43</v>
      </c>
      <c r="C239" s="2" t="s">
        <v>55</v>
      </c>
      <c r="D239" s="2">
        <v>771</v>
      </c>
      <c r="E239" s="2" t="s">
        <v>37</v>
      </c>
      <c r="F239" s="2">
        <v>2</v>
      </c>
      <c r="G239" s="2">
        <v>4</v>
      </c>
      <c r="H239" s="2" t="s">
        <v>38</v>
      </c>
      <c r="I239" s="2">
        <v>1</v>
      </c>
      <c r="J239" s="2">
        <v>329</v>
      </c>
      <c r="K239" s="2">
        <v>1</v>
      </c>
      <c r="L239" s="2" t="s">
        <v>46</v>
      </c>
      <c r="M239" s="2">
        <v>79</v>
      </c>
      <c r="N239" s="2">
        <v>2</v>
      </c>
      <c r="O239" s="2">
        <v>5</v>
      </c>
      <c r="P239" s="2" t="s">
        <v>56</v>
      </c>
      <c r="Q239" s="2">
        <v>3</v>
      </c>
      <c r="R239" s="2" t="s">
        <v>41</v>
      </c>
      <c r="S239" s="2">
        <v>19068</v>
      </c>
      <c r="T239" s="2">
        <v>21030</v>
      </c>
      <c r="U239" s="2">
        <v>1</v>
      </c>
      <c r="V239" s="2" t="s">
        <v>42</v>
      </c>
      <c r="W239" s="2" t="s">
        <v>35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</row>
    <row r="240" spans="1:35" x14ac:dyDescent="0.25">
      <c r="A240" s="2">
        <v>32</v>
      </c>
      <c r="B240" s="2" t="s">
        <v>43</v>
      </c>
      <c r="C240" s="2" t="s">
        <v>36</v>
      </c>
      <c r="D240" s="2">
        <v>1401</v>
      </c>
      <c r="E240" s="2" t="s">
        <v>37</v>
      </c>
      <c r="F240" s="2">
        <v>4</v>
      </c>
      <c r="G240" s="2">
        <v>2</v>
      </c>
      <c r="H240" s="2" t="s">
        <v>38</v>
      </c>
      <c r="I240" s="2">
        <v>1</v>
      </c>
      <c r="J240" s="2">
        <v>330</v>
      </c>
      <c r="K240" s="2">
        <v>3</v>
      </c>
      <c r="L240" s="2" t="s">
        <v>39</v>
      </c>
      <c r="M240" s="2">
        <v>56</v>
      </c>
      <c r="N240" s="2">
        <v>3</v>
      </c>
      <c r="O240" s="2">
        <v>1</v>
      </c>
      <c r="P240" s="2" t="s">
        <v>57</v>
      </c>
      <c r="Q240" s="2">
        <v>2</v>
      </c>
      <c r="R240" s="2" t="s">
        <v>48</v>
      </c>
      <c r="S240" s="2">
        <v>3931</v>
      </c>
      <c r="T240" s="2">
        <v>20990</v>
      </c>
      <c r="U240" s="2">
        <v>2</v>
      </c>
      <c r="V240" s="2" t="s">
        <v>42</v>
      </c>
      <c r="W240" s="2" t="s">
        <v>43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</row>
    <row r="241" spans="1:35" x14ac:dyDescent="0.25">
      <c r="A241" s="2">
        <v>32</v>
      </c>
      <c r="B241" s="2" t="s">
        <v>35</v>
      </c>
      <c r="C241" s="2" t="s">
        <v>36</v>
      </c>
      <c r="D241" s="2">
        <v>515</v>
      </c>
      <c r="E241" s="2" t="s">
        <v>45</v>
      </c>
      <c r="F241" s="2">
        <v>1</v>
      </c>
      <c r="G241" s="2">
        <v>3</v>
      </c>
      <c r="H241" s="2" t="s">
        <v>38</v>
      </c>
      <c r="I241" s="2">
        <v>1</v>
      </c>
      <c r="J241" s="2">
        <v>331</v>
      </c>
      <c r="K241" s="2">
        <v>4</v>
      </c>
      <c r="L241" s="2" t="s">
        <v>46</v>
      </c>
      <c r="M241" s="2">
        <v>62</v>
      </c>
      <c r="N241" s="2">
        <v>2</v>
      </c>
      <c r="O241" s="2">
        <v>1</v>
      </c>
      <c r="P241" s="2" t="s">
        <v>50</v>
      </c>
      <c r="Q241" s="2">
        <v>3</v>
      </c>
      <c r="R241" s="2" t="s">
        <v>41</v>
      </c>
      <c r="S241" s="2">
        <v>3730</v>
      </c>
      <c r="T241" s="2">
        <v>9571</v>
      </c>
      <c r="U241" s="2">
        <v>0</v>
      </c>
      <c r="V241" s="2" t="s">
        <v>42</v>
      </c>
      <c r="W241" s="2" t="s">
        <v>35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</row>
    <row r="242" spans="1:35" x14ac:dyDescent="0.25">
      <c r="A242" s="2">
        <v>39</v>
      </c>
      <c r="B242" s="2" t="s">
        <v>43</v>
      </c>
      <c r="C242" s="2" t="s">
        <v>36</v>
      </c>
      <c r="D242" s="2">
        <v>1431</v>
      </c>
      <c r="E242" s="2" t="s">
        <v>45</v>
      </c>
      <c r="F242" s="2">
        <v>1</v>
      </c>
      <c r="G242" s="2">
        <v>4</v>
      </c>
      <c r="H242" s="2" t="s">
        <v>51</v>
      </c>
      <c r="I242" s="2">
        <v>1</v>
      </c>
      <c r="J242" s="2">
        <v>332</v>
      </c>
      <c r="K242" s="2">
        <v>3</v>
      </c>
      <c r="L242" s="2" t="s">
        <v>39</v>
      </c>
      <c r="M242" s="2">
        <v>96</v>
      </c>
      <c r="N242" s="2">
        <v>3</v>
      </c>
      <c r="O242" s="2">
        <v>1</v>
      </c>
      <c r="P242" s="2" t="s">
        <v>50</v>
      </c>
      <c r="Q242" s="2">
        <v>3</v>
      </c>
      <c r="R242" s="2" t="s">
        <v>52</v>
      </c>
      <c r="S242" s="2">
        <v>2232</v>
      </c>
      <c r="T242" s="2">
        <v>15417</v>
      </c>
      <c r="U242" s="2">
        <v>7</v>
      </c>
      <c r="V242" s="2" t="s">
        <v>42</v>
      </c>
      <c r="W242" s="2" t="s">
        <v>43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</row>
    <row r="243" spans="1:35" x14ac:dyDescent="0.25">
      <c r="A243" s="2">
        <v>32</v>
      </c>
      <c r="B243" s="2" t="s">
        <v>43</v>
      </c>
      <c r="C243" s="2" t="s">
        <v>55</v>
      </c>
      <c r="D243" s="2">
        <v>976</v>
      </c>
      <c r="E243" s="2" t="s">
        <v>37</v>
      </c>
      <c r="F243" s="2">
        <v>26</v>
      </c>
      <c r="G243" s="2">
        <v>4</v>
      </c>
      <c r="H243" s="2" t="s">
        <v>59</v>
      </c>
      <c r="I243" s="2">
        <v>1</v>
      </c>
      <c r="J243" s="2">
        <v>333</v>
      </c>
      <c r="K243" s="2">
        <v>3</v>
      </c>
      <c r="L243" s="2" t="s">
        <v>46</v>
      </c>
      <c r="M243" s="2">
        <v>100</v>
      </c>
      <c r="N243" s="2">
        <v>3</v>
      </c>
      <c r="O243" s="2">
        <v>2</v>
      </c>
      <c r="P243" s="2" t="s">
        <v>40</v>
      </c>
      <c r="Q243" s="2">
        <v>4</v>
      </c>
      <c r="R243" s="2" t="s">
        <v>48</v>
      </c>
      <c r="S243" s="2">
        <v>4465</v>
      </c>
      <c r="T243" s="2">
        <v>12069</v>
      </c>
      <c r="U243" s="2">
        <v>0</v>
      </c>
      <c r="V243" s="2" t="s">
        <v>42</v>
      </c>
      <c r="W243" s="2" t="s">
        <v>43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</row>
    <row r="244" spans="1:35" x14ac:dyDescent="0.25">
      <c r="A244" s="2">
        <v>41</v>
      </c>
      <c r="B244" s="2" t="s">
        <v>43</v>
      </c>
      <c r="C244" s="2" t="s">
        <v>36</v>
      </c>
      <c r="D244" s="2">
        <v>1411</v>
      </c>
      <c r="E244" s="2" t="s">
        <v>45</v>
      </c>
      <c r="F244" s="2">
        <v>19</v>
      </c>
      <c r="G244" s="2">
        <v>2</v>
      </c>
      <c r="H244" s="2" t="s">
        <v>38</v>
      </c>
      <c r="I244" s="2">
        <v>1</v>
      </c>
      <c r="J244" s="2">
        <v>334</v>
      </c>
      <c r="K244" s="2">
        <v>3</v>
      </c>
      <c r="L244" s="2" t="s">
        <v>46</v>
      </c>
      <c r="M244" s="2">
        <v>36</v>
      </c>
      <c r="N244" s="2">
        <v>3</v>
      </c>
      <c r="O244" s="2">
        <v>2</v>
      </c>
      <c r="P244" s="2" t="s">
        <v>47</v>
      </c>
      <c r="Q244" s="2">
        <v>1</v>
      </c>
      <c r="R244" s="2" t="s">
        <v>52</v>
      </c>
      <c r="S244" s="2">
        <v>3072</v>
      </c>
      <c r="T244" s="2">
        <v>19877</v>
      </c>
      <c r="U244" s="2">
        <v>2</v>
      </c>
      <c r="V244" s="2" t="s">
        <v>42</v>
      </c>
      <c r="W244" s="2" t="s">
        <v>43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</row>
    <row r="245" spans="1:35" x14ac:dyDescent="0.25">
      <c r="A245" s="2">
        <v>40</v>
      </c>
      <c r="B245" s="2" t="s">
        <v>43</v>
      </c>
      <c r="C245" s="2" t="s">
        <v>36</v>
      </c>
      <c r="D245" s="2">
        <v>1300</v>
      </c>
      <c r="E245" s="2" t="s">
        <v>45</v>
      </c>
      <c r="F245" s="2">
        <v>24</v>
      </c>
      <c r="G245" s="2">
        <v>2</v>
      </c>
      <c r="H245" s="2" t="s">
        <v>60</v>
      </c>
      <c r="I245" s="2">
        <v>1</v>
      </c>
      <c r="J245" s="2">
        <v>335</v>
      </c>
      <c r="K245" s="2">
        <v>1</v>
      </c>
      <c r="L245" s="2" t="s">
        <v>46</v>
      </c>
      <c r="M245" s="2">
        <v>62</v>
      </c>
      <c r="N245" s="2">
        <v>3</v>
      </c>
      <c r="O245" s="2">
        <v>2</v>
      </c>
      <c r="P245" s="2" t="s">
        <v>47</v>
      </c>
      <c r="Q245" s="2">
        <v>4</v>
      </c>
      <c r="R245" s="2" t="s">
        <v>52</v>
      </c>
      <c r="S245" s="2">
        <v>3319</v>
      </c>
      <c r="T245" s="2">
        <v>24447</v>
      </c>
      <c r="U245" s="2">
        <v>1</v>
      </c>
      <c r="V245" s="2" t="s">
        <v>42</v>
      </c>
      <c r="W245" s="2" t="s">
        <v>43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</row>
    <row r="246" spans="1:35" x14ac:dyDescent="0.25">
      <c r="A246" s="2">
        <v>45</v>
      </c>
      <c r="B246" s="2" t="s">
        <v>43</v>
      </c>
      <c r="C246" s="2" t="s">
        <v>36</v>
      </c>
      <c r="D246" s="2">
        <v>252</v>
      </c>
      <c r="E246" s="2" t="s">
        <v>45</v>
      </c>
      <c r="F246" s="2">
        <v>1</v>
      </c>
      <c r="G246" s="2">
        <v>3</v>
      </c>
      <c r="H246" s="2" t="s">
        <v>49</v>
      </c>
      <c r="I246" s="2">
        <v>1</v>
      </c>
      <c r="J246" s="2">
        <v>336</v>
      </c>
      <c r="K246" s="2">
        <v>3</v>
      </c>
      <c r="L246" s="2" t="s">
        <v>46</v>
      </c>
      <c r="M246" s="2">
        <v>70</v>
      </c>
      <c r="N246" s="2">
        <v>4</v>
      </c>
      <c r="O246" s="2">
        <v>5</v>
      </c>
      <c r="P246" s="2" t="s">
        <v>56</v>
      </c>
      <c r="Q246" s="2">
        <v>4</v>
      </c>
      <c r="R246" s="2" t="s">
        <v>48</v>
      </c>
      <c r="S246" s="2">
        <v>19202</v>
      </c>
      <c r="T246" s="2">
        <v>15970</v>
      </c>
      <c r="U246" s="2">
        <v>0</v>
      </c>
      <c r="V246" s="2" t="s">
        <v>42</v>
      </c>
      <c r="W246" s="2" t="s">
        <v>43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</row>
    <row r="247" spans="1:35" x14ac:dyDescent="0.25">
      <c r="A247" s="2">
        <v>31</v>
      </c>
      <c r="B247" s="2" t="s">
        <v>43</v>
      </c>
      <c r="C247" s="2" t="s">
        <v>44</v>
      </c>
      <c r="D247" s="2">
        <v>1327</v>
      </c>
      <c r="E247" s="2" t="s">
        <v>45</v>
      </c>
      <c r="F247" s="2">
        <v>3</v>
      </c>
      <c r="G247" s="2">
        <v>4</v>
      </c>
      <c r="H247" s="2" t="s">
        <v>51</v>
      </c>
      <c r="I247" s="2">
        <v>1</v>
      </c>
      <c r="J247" s="2">
        <v>337</v>
      </c>
      <c r="K247" s="2">
        <v>2</v>
      </c>
      <c r="L247" s="2" t="s">
        <v>46</v>
      </c>
      <c r="M247" s="2">
        <v>73</v>
      </c>
      <c r="N247" s="2">
        <v>3</v>
      </c>
      <c r="O247" s="2">
        <v>3</v>
      </c>
      <c r="P247" s="2" t="s">
        <v>58</v>
      </c>
      <c r="Q247" s="2">
        <v>3</v>
      </c>
      <c r="R247" s="2" t="s">
        <v>52</v>
      </c>
      <c r="S247" s="2">
        <v>13675</v>
      </c>
      <c r="T247" s="2">
        <v>13523</v>
      </c>
      <c r="U247" s="2">
        <v>9</v>
      </c>
      <c r="V247" s="2" t="s">
        <v>42</v>
      </c>
      <c r="W247" s="2" t="s">
        <v>43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</row>
    <row r="248" spans="1:35" x14ac:dyDescent="0.25">
      <c r="A248" s="2">
        <v>33</v>
      </c>
      <c r="B248" s="2" t="s">
        <v>43</v>
      </c>
      <c r="C248" s="2" t="s">
        <v>36</v>
      </c>
      <c r="D248" s="2">
        <v>832</v>
      </c>
      <c r="E248" s="2" t="s">
        <v>45</v>
      </c>
      <c r="F248" s="2">
        <v>5</v>
      </c>
      <c r="G248" s="2">
        <v>4</v>
      </c>
      <c r="H248" s="2" t="s">
        <v>38</v>
      </c>
      <c r="I248" s="2">
        <v>1</v>
      </c>
      <c r="J248" s="2">
        <v>338</v>
      </c>
      <c r="K248" s="2">
        <v>3</v>
      </c>
      <c r="L248" s="2" t="s">
        <v>39</v>
      </c>
      <c r="M248" s="2">
        <v>63</v>
      </c>
      <c r="N248" s="2">
        <v>2</v>
      </c>
      <c r="O248" s="2">
        <v>1</v>
      </c>
      <c r="P248" s="2" t="s">
        <v>47</v>
      </c>
      <c r="Q248" s="2">
        <v>4</v>
      </c>
      <c r="R248" s="2" t="s">
        <v>48</v>
      </c>
      <c r="S248" s="2">
        <v>2911</v>
      </c>
      <c r="T248" s="2">
        <v>14776</v>
      </c>
      <c r="U248" s="2">
        <v>1</v>
      </c>
      <c r="V248" s="2" t="s">
        <v>42</v>
      </c>
      <c r="W248" s="2" t="s">
        <v>43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</row>
    <row r="249" spans="1:35" x14ac:dyDescent="0.25">
      <c r="A249" s="2">
        <v>34</v>
      </c>
      <c r="B249" s="2" t="s">
        <v>43</v>
      </c>
      <c r="C249" s="2" t="s">
        <v>36</v>
      </c>
      <c r="D249" s="2">
        <v>470</v>
      </c>
      <c r="E249" s="2" t="s">
        <v>45</v>
      </c>
      <c r="F249" s="2">
        <v>2</v>
      </c>
      <c r="G249" s="2">
        <v>4</v>
      </c>
      <c r="H249" s="2" t="s">
        <v>38</v>
      </c>
      <c r="I249" s="2">
        <v>1</v>
      </c>
      <c r="J249" s="2">
        <v>339</v>
      </c>
      <c r="K249" s="2">
        <v>4</v>
      </c>
      <c r="L249" s="2" t="s">
        <v>46</v>
      </c>
      <c r="M249" s="2">
        <v>84</v>
      </c>
      <c r="N249" s="2">
        <v>2</v>
      </c>
      <c r="O249" s="2">
        <v>2</v>
      </c>
      <c r="P249" s="2" t="s">
        <v>53</v>
      </c>
      <c r="Q249" s="2">
        <v>1</v>
      </c>
      <c r="R249" s="2" t="s">
        <v>48</v>
      </c>
      <c r="S249" s="2">
        <v>5957</v>
      </c>
      <c r="T249" s="2">
        <v>23687</v>
      </c>
      <c r="U249" s="2">
        <v>6</v>
      </c>
      <c r="V249" s="2" t="s">
        <v>42</v>
      </c>
      <c r="W249" s="2" t="s">
        <v>43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</row>
    <row r="250" spans="1:35" x14ac:dyDescent="0.25">
      <c r="A250" s="2">
        <v>37</v>
      </c>
      <c r="B250" s="2" t="s">
        <v>43</v>
      </c>
      <c r="C250" s="2" t="s">
        <v>36</v>
      </c>
      <c r="D250" s="2">
        <v>1017</v>
      </c>
      <c r="E250" s="2" t="s">
        <v>45</v>
      </c>
      <c r="F250" s="2">
        <v>1</v>
      </c>
      <c r="G250" s="2">
        <v>2</v>
      </c>
      <c r="H250" s="2" t="s">
        <v>51</v>
      </c>
      <c r="I250" s="2">
        <v>1</v>
      </c>
      <c r="J250" s="2">
        <v>340</v>
      </c>
      <c r="K250" s="2">
        <v>3</v>
      </c>
      <c r="L250" s="2" t="s">
        <v>39</v>
      </c>
      <c r="M250" s="2">
        <v>83</v>
      </c>
      <c r="N250" s="2">
        <v>2</v>
      </c>
      <c r="O250" s="2">
        <v>1</v>
      </c>
      <c r="P250" s="2" t="s">
        <v>47</v>
      </c>
      <c r="Q250" s="2">
        <v>1</v>
      </c>
      <c r="R250" s="2" t="s">
        <v>48</v>
      </c>
      <c r="S250" s="2">
        <v>3920</v>
      </c>
      <c r="T250" s="2">
        <v>18697</v>
      </c>
      <c r="U250" s="2">
        <v>2</v>
      </c>
      <c r="V250" s="2" t="s">
        <v>42</v>
      </c>
      <c r="W250" s="2" t="s">
        <v>43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</row>
    <row r="251" spans="1:35" x14ac:dyDescent="0.25">
      <c r="A251" s="2">
        <v>45</v>
      </c>
      <c r="B251" s="2" t="s">
        <v>43</v>
      </c>
      <c r="C251" s="2" t="s">
        <v>44</v>
      </c>
      <c r="D251" s="2">
        <v>1199</v>
      </c>
      <c r="E251" s="2" t="s">
        <v>45</v>
      </c>
      <c r="F251" s="2">
        <v>7</v>
      </c>
      <c r="G251" s="2">
        <v>4</v>
      </c>
      <c r="H251" s="2" t="s">
        <v>38</v>
      </c>
      <c r="I251" s="2">
        <v>1</v>
      </c>
      <c r="J251" s="2">
        <v>341</v>
      </c>
      <c r="K251" s="2">
        <v>1</v>
      </c>
      <c r="L251" s="2" t="s">
        <v>46</v>
      </c>
      <c r="M251" s="2">
        <v>77</v>
      </c>
      <c r="N251" s="2">
        <v>4</v>
      </c>
      <c r="O251" s="2">
        <v>2</v>
      </c>
      <c r="P251" s="2" t="s">
        <v>53</v>
      </c>
      <c r="Q251" s="2">
        <v>3</v>
      </c>
      <c r="R251" s="2" t="s">
        <v>48</v>
      </c>
      <c r="S251" s="2">
        <v>6434</v>
      </c>
      <c r="T251" s="2">
        <v>5118</v>
      </c>
      <c r="U251" s="2">
        <v>4</v>
      </c>
      <c r="V251" s="2" t="s">
        <v>42</v>
      </c>
      <c r="W251" s="2" t="s">
        <v>43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</row>
    <row r="252" spans="1:35" x14ac:dyDescent="0.25">
      <c r="A252" s="2">
        <v>37</v>
      </c>
      <c r="B252" s="2" t="s">
        <v>35</v>
      </c>
      <c r="C252" s="2" t="s">
        <v>44</v>
      </c>
      <c r="D252" s="2">
        <v>504</v>
      </c>
      <c r="E252" s="2" t="s">
        <v>45</v>
      </c>
      <c r="F252" s="2">
        <v>10</v>
      </c>
      <c r="G252" s="2">
        <v>3</v>
      </c>
      <c r="H252" s="2" t="s">
        <v>51</v>
      </c>
      <c r="I252" s="2">
        <v>1</v>
      </c>
      <c r="J252" s="2">
        <v>342</v>
      </c>
      <c r="K252" s="2">
        <v>1</v>
      </c>
      <c r="L252" s="2" t="s">
        <v>46</v>
      </c>
      <c r="M252" s="2">
        <v>61</v>
      </c>
      <c r="N252" s="2">
        <v>3</v>
      </c>
      <c r="O252" s="2">
        <v>3</v>
      </c>
      <c r="P252" s="2" t="s">
        <v>53</v>
      </c>
      <c r="Q252" s="2">
        <v>3</v>
      </c>
      <c r="R252" s="2" t="s">
        <v>52</v>
      </c>
      <c r="S252" s="2">
        <v>10048</v>
      </c>
      <c r="T252" s="2">
        <v>22573</v>
      </c>
      <c r="U252" s="2">
        <v>6</v>
      </c>
      <c r="V252" s="2" t="s">
        <v>42</v>
      </c>
      <c r="W252" s="2" t="s">
        <v>43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</row>
    <row r="253" spans="1:35" x14ac:dyDescent="0.25">
      <c r="A253" s="2">
        <v>39</v>
      </c>
      <c r="B253" s="2" t="s">
        <v>43</v>
      </c>
      <c r="C253" s="2" t="s">
        <v>44</v>
      </c>
      <c r="D253" s="2">
        <v>505</v>
      </c>
      <c r="E253" s="2" t="s">
        <v>45</v>
      </c>
      <c r="F253" s="2">
        <v>2</v>
      </c>
      <c r="G253" s="2">
        <v>4</v>
      </c>
      <c r="H253" s="2" t="s">
        <v>60</v>
      </c>
      <c r="I253" s="2">
        <v>1</v>
      </c>
      <c r="J253" s="2">
        <v>343</v>
      </c>
      <c r="K253" s="2">
        <v>3</v>
      </c>
      <c r="L253" s="2" t="s">
        <v>39</v>
      </c>
      <c r="M253" s="2">
        <v>64</v>
      </c>
      <c r="N253" s="2">
        <v>3</v>
      </c>
      <c r="O253" s="2">
        <v>3</v>
      </c>
      <c r="P253" s="2" t="s">
        <v>54</v>
      </c>
      <c r="Q253" s="2">
        <v>3</v>
      </c>
      <c r="R253" s="2" t="s">
        <v>41</v>
      </c>
      <c r="S253" s="2">
        <v>10938</v>
      </c>
      <c r="T253" s="2">
        <v>6420</v>
      </c>
      <c r="U253" s="2">
        <v>0</v>
      </c>
      <c r="V253" s="2" t="s">
        <v>42</v>
      </c>
      <c r="W253" s="2" t="s">
        <v>43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</row>
    <row r="254" spans="1:35" x14ac:dyDescent="0.25">
      <c r="A254" s="2">
        <v>29</v>
      </c>
      <c r="B254" s="2" t="s">
        <v>43</v>
      </c>
      <c r="C254" s="2" t="s">
        <v>36</v>
      </c>
      <c r="D254" s="2">
        <v>665</v>
      </c>
      <c r="E254" s="2" t="s">
        <v>45</v>
      </c>
      <c r="F254" s="2">
        <v>15</v>
      </c>
      <c r="G254" s="2">
        <v>3</v>
      </c>
      <c r="H254" s="2" t="s">
        <v>38</v>
      </c>
      <c r="I254" s="2">
        <v>1</v>
      </c>
      <c r="J254" s="2">
        <v>346</v>
      </c>
      <c r="K254" s="2">
        <v>3</v>
      </c>
      <c r="L254" s="2" t="s">
        <v>46</v>
      </c>
      <c r="M254" s="2">
        <v>60</v>
      </c>
      <c r="N254" s="2">
        <v>3</v>
      </c>
      <c r="O254" s="2">
        <v>1</v>
      </c>
      <c r="P254" s="2" t="s">
        <v>47</v>
      </c>
      <c r="Q254" s="2">
        <v>4</v>
      </c>
      <c r="R254" s="2" t="s">
        <v>41</v>
      </c>
      <c r="S254" s="2">
        <v>2340</v>
      </c>
      <c r="T254" s="2">
        <v>22673</v>
      </c>
      <c r="U254" s="2">
        <v>1</v>
      </c>
      <c r="V254" s="2" t="s">
        <v>42</v>
      </c>
      <c r="W254" s="2" t="s">
        <v>43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</row>
    <row r="255" spans="1:35" x14ac:dyDescent="0.25">
      <c r="A255" s="2">
        <v>42</v>
      </c>
      <c r="B255" s="2" t="s">
        <v>43</v>
      </c>
      <c r="C255" s="2" t="s">
        <v>36</v>
      </c>
      <c r="D255" s="2">
        <v>916</v>
      </c>
      <c r="E255" s="2" t="s">
        <v>45</v>
      </c>
      <c r="F255" s="2">
        <v>17</v>
      </c>
      <c r="G255" s="2">
        <v>2</v>
      </c>
      <c r="H255" s="2" t="s">
        <v>38</v>
      </c>
      <c r="I255" s="2">
        <v>1</v>
      </c>
      <c r="J255" s="2">
        <v>347</v>
      </c>
      <c r="K255" s="2">
        <v>4</v>
      </c>
      <c r="L255" s="2" t="s">
        <v>39</v>
      </c>
      <c r="M255" s="2">
        <v>82</v>
      </c>
      <c r="N255" s="2">
        <v>4</v>
      </c>
      <c r="O255" s="2">
        <v>2</v>
      </c>
      <c r="P255" s="2" t="s">
        <v>47</v>
      </c>
      <c r="Q255" s="2">
        <v>1</v>
      </c>
      <c r="R255" s="2" t="s">
        <v>41</v>
      </c>
      <c r="S255" s="2">
        <v>6545</v>
      </c>
      <c r="T255" s="2">
        <v>23016</v>
      </c>
      <c r="U255" s="2">
        <v>3</v>
      </c>
      <c r="V255" s="2" t="s">
        <v>42</v>
      </c>
      <c r="W255" s="2" t="s">
        <v>35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</row>
    <row r="256" spans="1:35" x14ac:dyDescent="0.25">
      <c r="A256" s="2">
        <v>29</v>
      </c>
      <c r="B256" s="2" t="s">
        <v>43</v>
      </c>
      <c r="C256" s="2" t="s">
        <v>36</v>
      </c>
      <c r="D256" s="2">
        <v>1247</v>
      </c>
      <c r="E256" s="2" t="s">
        <v>37</v>
      </c>
      <c r="F256" s="2">
        <v>20</v>
      </c>
      <c r="G256" s="2">
        <v>2</v>
      </c>
      <c r="H256" s="2" t="s">
        <v>59</v>
      </c>
      <c r="I256" s="2">
        <v>1</v>
      </c>
      <c r="J256" s="2">
        <v>349</v>
      </c>
      <c r="K256" s="2">
        <v>4</v>
      </c>
      <c r="L256" s="2" t="s">
        <v>46</v>
      </c>
      <c r="M256" s="2">
        <v>45</v>
      </c>
      <c r="N256" s="2">
        <v>3</v>
      </c>
      <c r="O256" s="2">
        <v>2</v>
      </c>
      <c r="P256" s="2" t="s">
        <v>40</v>
      </c>
      <c r="Q256" s="2">
        <v>4</v>
      </c>
      <c r="R256" s="2" t="s">
        <v>52</v>
      </c>
      <c r="S256" s="2">
        <v>6931</v>
      </c>
      <c r="T256" s="2">
        <v>10732</v>
      </c>
      <c r="U256" s="2">
        <v>2</v>
      </c>
      <c r="V256" s="2" t="s">
        <v>42</v>
      </c>
      <c r="W256" s="2" t="s">
        <v>43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</row>
    <row r="257" spans="1:35" x14ac:dyDescent="0.25">
      <c r="A257" s="2">
        <v>25</v>
      </c>
      <c r="B257" s="2" t="s">
        <v>43</v>
      </c>
      <c r="C257" s="2" t="s">
        <v>36</v>
      </c>
      <c r="D257" s="2">
        <v>685</v>
      </c>
      <c r="E257" s="2" t="s">
        <v>45</v>
      </c>
      <c r="F257" s="2">
        <v>1</v>
      </c>
      <c r="G257" s="2">
        <v>3</v>
      </c>
      <c r="H257" s="2" t="s">
        <v>38</v>
      </c>
      <c r="I257" s="2">
        <v>1</v>
      </c>
      <c r="J257" s="2">
        <v>350</v>
      </c>
      <c r="K257" s="2">
        <v>1</v>
      </c>
      <c r="L257" s="2" t="s">
        <v>39</v>
      </c>
      <c r="M257" s="2">
        <v>62</v>
      </c>
      <c r="N257" s="2">
        <v>3</v>
      </c>
      <c r="O257" s="2">
        <v>2</v>
      </c>
      <c r="P257" s="2" t="s">
        <v>53</v>
      </c>
      <c r="Q257" s="2">
        <v>3</v>
      </c>
      <c r="R257" s="2" t="s">
        <v>48</v>
      </c>
      <c r="S257" s="2">
        <v>4898</v>
      </c>
      <c r="T257" s="2">
        <v>7505</v>
      </c>
      <c r="U257" s="2">
        <v>0</v>
      </c>
      <c r="V257" s="2" t="s">
        <v>42</v>
      </c>
      <c r="W257" s="2" t="s">
        <v>43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</row>
    <row r="258" spans="1:35" x14ac:dyDescent="0.25">
      <c r="A258" s="2">
        <v>42</v>
      </c>
      <c r="B258" s="2" t="s">
        <v>43</v>
      </c>
      <c r="C258" s="2" t="s">
        <v>36</v>
      </c>
      <c r="D258" s="2">
        <v>269</v>
      </c>
      <c r="E258" s="2" t="s">
        <v>45</v>
      </c>
      <c r="F258" s="2">
        <v>2</v>
      </c>
      <c r="G258" s="2">
        <v>3</v>
      </c>
      <c r="H258" s="2" t="s">
        <v>51</v>
      </c>
      <c r="I258" s="2">
        <v>1</v>
      </c>
      <c r="J258" s="2">
        <v>351</v>
      </c>
      <c r="K258" s="2">
        <v>4</v>
      </c>
      <c r="L258" s="2" t="s">
        <v>39</v>
      </c>
      <c r="M258" s="2">
        <v>56</v>
      </c>
      <c r="N258" s="2">
        <v>2</v>
      </c>
      <c r="O258" s="2">
        <v>1</v>
      </c>
      <c r="P258" s="2" t="s">
        <v>50</v>
      </c>
      <c r="Q258" s="2">
        <v>1</v>
      </c>
      <c r="R258" s="2" t="s">
        <v>52</v>
      </c>
      <c r="S258" s="2">
        <v>2593</v>
      </c>
      <c r="T258" s="2">
        <v>8007</v>
      </c>
      <c r="U258" s="2">
        <v>0</v>
      </c>
      <c r="V258" s="2" t="s">
        <v>42</v>
      </c>
      <c r="W258" s="2" t="s">
        <v>35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</row>
    <row r="259" spans="1:35" x14ac:dyDescent="0.25">
      <c r="A259" s="2">
        <v>40</v>
      </c>
      <c r="B259" s="2" t="s">
        <v>43</v>
      </c>
      <c r="C259" s="2" t="s">
        <v>36</v>
      </c>
      <c r="D259" s="2">
        <v>1416</v>
      </c>
      <c r="E259" s="2" t="s">
        <v>45</v>
      </c>
      <c r="F259" s="2">
        <v>2</v>
      </c>
      <c r="G259" s="2">
        <v>2</v>
      </c>
      <c r="H259" s="2" t="s">
        <v>51</v>
      </c>
      <c r="I259" s="2">
        <v>1</v>
      </c>
      <c r="J259" s="2">
        <v>352</v>
      </c>
      <c r="K259" s="2">
        <v>1</v>
      </c>
      <c r="L259" s="2" t="s">
        <v>46</v>
      </c>
      <c r="M259" s="2">
        <v>49</v>
      </c>
      <c r="N259" s="2">
        <v>3</v>
      </c>
      <c r="O259" s="2">
        <v>5</v>
      </c>
      <c r="P259" s="2" t="s">
        <v>58</v>
      </c>
      <c r="Q259" s="2">
        <v>3</v>
      </c>
      <c r="R259" s="2" t="s">
        <v>52</v>
      </c>
      <c r="S259" s="2">
        <v>19436</v>
      </c>
      <c r="T259" s="2">
        <v>5949</v>
      </c>
      <c r="U259" s="2">
        <v>0</v>
      </c>
      <c r="V259" s="2" t="s">
        <v>42</v>
      </c>
      <c r="W259" s="2" t="s">
        <v>43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</row>
    <row r="260" spans="1:35" x14ac:dyDescent="0.25">
      <c r="A260" s="2">
        <v>51</v>
      </c>
      <c r="B260" s="2" t="s">
        <v>43</v>
      </c>
      <c r="C260" s="2" t="s">
        <v>36</v>
      </c>
      <c r="D260" s="2">
        <v>833</v>
      </c>
      <c r="E260" s="2" t="s">
        <v>45</v>
      </c>
      <c r="F260" s="2">
        <v>1</v>
      </c>
      <c r="G260" s="2">
        <v>3</v>
      </c>
      <c r="H260" s="2" t="s">
        <v>38</v>
      </c>
      <c r="I260" s="2">
        <v>1</v>
      </c>
      <c r="J260" s="2">
        <v>353</v>
      </c>
      <c r="K260" s="2">
        <v>3</v>
      </c>
      <c r="L260" s="2" t="s">
        <v>46</v>
      </c>
      <c r="M260" s="2">
        <v>96</v>
      </c>
      <c r="N260" s="2">
        <v>3</v>
      </c>
      <c r="O260" s="2">
        <v>1</v>
      </c>
      <c r="P260" s="2" t="s">
        <v>47</v>
      </c>
      <c r="Q260" s="2">
        <v>4</v>
      </c>
      <c r="R260" s="2" t="s">
        <v>48</v>
      </c>
      <c r="S260" s="2">
        <v>2723</v>
      </c>
      <c r="T260" s="2">
        <v>23231</v>
      </c>
      <c r="U260" s="2">
        <v>1</v>
      </c>
      <c r="V260" s="2" t="s">
        <v>42</v>
      </c>
      <c r="W260" s="2" t="s">
        <v>43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</row>
    <row r="261" spans="1:35" x14ac:dyDescent="0.25">
      <c r="A261" s="2">
        <v>31</v>
      </c>
      <c r="B261" s="2" t="s">
        <v>35</v>
      </c>
      <c r="C261" s="2" t="s">
        <v>44</v>
      </c>
      <c r="D261" s="2">
        <v>307</v>
      </c>
      <c r="E261" s="2" t="s">
        <v>45</v>
      </c>
      <c r="F261" s="2">
        <v>29</v>
      </c>
      <c r="G261" s="2">
        <v>2</v>
      </c>
      <c r="H261" s="2" t="s">
        <v>51</v>
      </c>
      <c r="I261" s="2">
        <v>1</v>
      </c>
      <c r="J261" s="2">
        <v>355</v>
      </c>
      <c r="K261" s="2">
        <v>3</v>
      </c>
      <c r="L261" s="2" t="s">
        <v>46</v>
      </c>
      <c r="M261" s="2">
        <v>71</v>
      </c>
      <c r="N261" s="2">
        <v>2</v>
      </c>
      <c r="O261" s="2">
        <v>1</v>
      </c>
      <c r="P261" s="2" t="s">
        <v>50</v>
      </c>
      <c r="Q261" s="2">
        <v>2</v>
      </c>
      <c r="R261" s="2" t="s">
        <v>41</v>
      </c>
      <c r="S261" s="2">
        <v>3479</v>
      </c>
      <c r="T261" s="2">
        <v>11652</v>
      </c>
      <c r="U261" s="2">
        <v>0</v>
      </c>
      <c r="V261" s="2" t="s">
        <v>42</v>
      </c>
      <c r="W261" s="2" t="s">
        <v>43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</row>
    <row r="262" spans="1:35" x14ac:dyDescent="0.25">
      <c r="A262" s="2">
        <v>32</v>
      </c>
      <c r="B262" s="2" t="s">
        <v>43</v>
      </c>
      <c r="C262" s="2" t="s">
        <v>44</v>
      </c>
      <c r="D262" s="2">
        <v>1311</v>
      </c>
      <c r="E262" s="2" t="s">
        <v>45</v>
      </c>
      <c r="F262" s="2">
        <v>7</v>
      </c>
      <c r="G262" s="2">
        <v>3</v>
      </c>
      <c r="H262" s="2" t="s">
        <v>38</v>
      </c>
      <c r="I262" s="2">
        <v>1</v>
      </c>
      <c r="J262" s="2">
        <v>359</v>
      </c>
      <c r="K262" s="2">
        <v>2</v>
      </c>
      <c r="L262" s="2" t="s">
        <v>46</v>
      </c>
      <c r="M262" s="2">
        <v>100</v>
      </c>
      <c r="N262" s="2">
        <v>4</v>
      </c>
      <c r="O262" s="2">
        <v>1</v>
      </c>
      <c r="P262" s="2" t="s">
        <v>50</v>
      </c>
      <c r="Q262" s="2">
        <v>2</v>
      </c>
      <c r="R262" s="2" t="s">
        <v>48</v>
      </c>
      <c r="S262" s="2">
        <v>2794</v>
      </c>
      <c r="T262" s="2">
        <v>26062</v>
      </c>
      <c r="U262" s="2">
        <v>1</v>
      </c>
      <c r="V262" s="2" t="s">
        <v>42</v>
      </c>
      <c r="W262" s="2" t="s">
        <v>43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</row>
    <row r="263" spans="1:35" x14ac:dyDescent="0.25">
      <c r="A263" s="2">
        <v>38</v>
      </c>
      <c r="B263" s="2" t="s">
        <v>43</v>
      </c>
      <c r="C263" s="2" t="s">
        <v>55</v>
      </c>
      <c r="D263" s="2">
        <v>1327</v>
      </c>
      <c r="E263" s="2" t="s">
        <v>37</v>
      </c>
      <c r="F263" s="2">
        <v>2</v>
      </c>
      <c r="G263" s="2">
        <v>2</v>
      </c>
      <c r="H263" s="2" t="s">
        <v>38</v>
      </c>
      <c r="I263" s="2">
        <v>1</v>
      </c>
      <c r="J263" s="2">
        <v>361</v>
      </c>
      <c r="K263" s="2">
        <v>4</v>
      </c>
      <c r="L263" s="2" t="s">
        <v>46</v>
      </c>
      <c r="M263" s="2">
        <v>39</v>
      </c>
      <c r="N263" s="2">
        <v>2</v>
      </c>
      <c r="O263" s="2">
        <v>2</v>
      </c>
      <c r="P263" s="2" t="s">
        <v>40</v>
      </c>
      <c r="Q263" s="2">
        <v>4</v>
      </c>
      <c r="R263" s="2" t="s">
        <v>48</v>
      </c>
      <c r="S263" s="2">
        <v>5249</v>
      </c>
      <c r="T263" s="2">
        <v>19682</v>
      </c>
      <c r="U263" s="2">
        <v>3</v>
      </c>
      <c r="V263" s="2" t="s">
        <v>42</v>
      </c>
      <c r="W263" s="2" t="s">
        <v>43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</row>
    <row r="264" spans="1:35" x14ac:dyDescent="0.25">
      <c r="A264" s="2">
        <v>32</v>
      </c>
      <c r="B264" s="2" t="s">
        <v>43</v>
      </c>
      <c r="C264" s="2" t="s">
        <v>36</v>
      </c>
      <c r="D264" s="2">
        <v>128</v>
      </c>
      <c r="E264" s="2" t="s">
        <v>45</v>
      </c>
      <c r="F264" s="2">
        <v>2</v>
      </c>
      <c r="G264" s="2">
        <v>1</v>
      </c>
      <c r="H264" s="2" t="s">
        <v>60</v>
      </c>
      <c r="I264" s="2">
        <v>1</v>
      </c>
      <c r="J264" s="2">
        <v>362</v>
      </c>
      <c r="K264" s="2">
        <v>4</v>
      </c>
      <c r="L264" s="2" t="s">
        <v>46</v>
      </c>
      <c r="M264" s="2">
        <v>84</v>
      </c>
      <c r="N264" s="2">
        <v>2</v>
      </c>
      <c r="O264" s="2">
        <v>2</v>
      </c>
      <c r="P264" s="2" t="s">
        <v>50</v>
      </c>
      <c r="Q264" s="2">
        <v>1</v>
      </c>
      <c r="R264" s="2" t="s">
        <v>41</v>
      </c>
      <c r="S264" s="2">
        <v>2176</v>
      </c>
      <c r="T264" s="2">
        <v>19737</v>
      </c>
      <c r="U264" s="2">
        <v>4</v>
      </c>
      <c r="V264" s="2" t="s">
        <v>42</v>
      </c>
      <c r="W264" s="2" t="s">
        <v>43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</row>
    <row r="265" spans="1:35" x14ac:dyDescent="0.25">
      <c r="A265" s="2">
        <v>46</v>
      </c>
      <c r="B265" s="2" t="s">
        <v>43</v>
      </c>
      <c r="C265" s="2" t="s">
        <v>36</v>
      </c>
      <c r="D265" s="2">
        <v>488</v>
      </c>
      <c r="E265" s="2" t="s">
        <v>37</v>
      </c>
      <c r="F265" s="2">
        <v>2</v>
      </c>
      <c r="G265" s="2">
        <v>3</v>
      </c>
      <c r="H265" s="2" t="s">
        <v>60</v>
      </c>
      <c r="I265" s="2">
        <v>1</v>
      </c>
      <c r="J265" s="2">
        <v>363</v>
      </c>
      <c r="K265" s="2">
        <v>3</v>
      </c>
      <c r="L265" s="2" t="s">
        <v>39</v>
      </c>
      <c r="M265" s="2">
        <v>75</v>
      </c>
      <c r="N265" s="2">
        <v>1</v>
      </c>
      <c r="O265" s="2">
        <v>4</v>
      </c>
      <c r="P265" s="2" t="s">
        <v>56</v>
      </c>
      <c r="Q265" s="2">
        <v>2</v>
      </c>
      <c r="R265" s="2" t="s">
        <v>48</v>
      </c>
      <c r="S265" s="2">
        <v>16872</v>
      </c>
      <c r="T265" s="2">
        <v>14977</v>
      </c>
      <c r="U265" s="2">
        <v>3</v>
      </c>
      <c r="V265" s="2" t="s">
        <v>42</v>
      </c>
      <c r="W265" s="2" t="s">
        <v>35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</row>
    <row r="266" spans="1:35" x14ac:dyDescent="0.25">
      <c r="A266" s="2">
        <v>28</v>
      </c>
      <c r="B266" s="2" t="s">
        <v>35</v>
      </c>
      <c r="C266" s="2" t="s">
        <v>36</v>
      </c>
      <c r="D266" s="2">
        <v>529</v>
      </c>
      <c r="E266" s="2" t="s">
        <v>45</v>
      </c>
      <c r="F266" s="2">
        <v>2</v>
      </c>
      <c r="G266" s="2">
        <v>4</v>
      </c>
      <c r="H266" s="2" t="s">
        <v>38</v>
      </c>
      <c r="I266" s="2">
        <v>1</v>
      </c>
      <c r="J266" s="2">
        <v>364</v>
      </c>
      <c r="K266" s="2">
        <v>1</v>
      </c>
      <c r="L266" s="2" t="s">
        <v>46</v>
      </c>
      <c r="M266" s="2">
        <v>79</v>
      </c>
      <c r="N266" s="2">
        <v>3</v>
      </c>
      <c r="O266" s="2">
        <v>1</v>
      </c>
      <c r="P266" s="2" t="s">
        <v>50</v>
      </c>
      <c r="Q266" s="2">
        <v>3</v>
      </c>
      <c r="R266" s="2" t="s">
        <v>41</v>
      </c>
      <c r="S266" s="2">
        <v>3485</v>
      </c>
      <c r="T266" s="2">
        <v>14935</v>
      </c>
      <c r="U266" s="2">
        <v>2</v>
      </c>
      <c r="V266" s="2" t="s">
        <v>42</v>
      </c>
      <c r="W266" s="2" t="s">
        <v>43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</row>
    <row r="267" spans="1:35" x14ac:dyDescent="0.25">
      <c r="A267" s="2">
        <v>29</v>
      </c>
      <c r="B267" s="2" t="s">
        <v>43</v>
      </c>
      <c r="C267" s="2" t="s">
        <v>36</v>
      </c>
      <c r="D267" s="2">
        <v>1210</v>
      </c>
      <c r="E267" s="2" t="s">
        <v>37</v>
      </c>
      <c r="F267" s="2">
        <v>2</v>
      </c>
      <c r="G267" s="2">
        <v>3</v>
      </c>
      <c r="H267" s="2" t="s">
        <v>51</v>
      </c>
      <c r="I267" s="2">
        <v>1</v>
      </c>
      <c r="J267" s="2">
        <v>366</v>
      </c>
      <c r="K267" s="2">
        <v>1</v>
      </c>
      <c r="L267" s="2" t="s">
        <v>46</v>
      </c>
      <c r="M267" s="2">
        <v>78</v>
      </c>
      <c r="N267" s="2">
        <v>2</v>
      </c>
      <c r="O267" s="2">
        <v>2</v>
      </c>
      <c r="P267" s="2" t="s">
        <v>40</v>
      </c>
      <c r="Q267" s="2">
        <v>2</v>
      </c>
      <c r="R267" s="2" t="s">
        <v>48</v>
      </c>
      <c r="S267" s="2">
        <v>6644</v>
      </c>
      <c r="T267" s="2">
        <v>3687</v>
      </c>
      <c r="U267" s="2">
        <v>2</v>
      </c>
      <c r="V267" s="2" t="s">
        <v>42</v>
      </c>
      <c r="W267" s="2" t="s">
        <v>43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</row>
    <row r="268" spans="1:35" x14ac:dyDescent="0.25">
      <c r="A268" s="2">
        <v>31</v>
      </c>
      <c r="B268" s="2" t="s">
        <v>43</v>
      </c>
      <c r="C268" s="2" t="s">
        <v>36</v>
      </c>
      <c r="D268" s="2">
        <v>1463</v>
      </c>
      <c r="E268" s="2" t="s">
        <v>45</v>
      </c>
      <c r="F268" s="2">
        <v>23</v>
      </c>
      <c r="G268" s="2">
        <v>3</v>
      </c>
      <c r="H268" s="2" t="s">
        <v>51</v>
      </c>
      <c r="I268" s="2">
        <v>1</v>
      </c>
      <c r="J268" s="2">
        <v>367</v>
      </c>
      <c r="K268" s="2">
        <v>2</v>
      </c>
      <c r="L268" s="2" t="s">
        <v>46</v>
      </c>
      <c r="M268" s="2">
        <v>64</v>
      </c>
      <c r="N268" s="2">
        <v>2</v>
      </c>
      <c r="O268" s="2">
        <v>2</v>
      </c>
      <c r="P268" s="2" t="s">
        <v>54</v>
      </c>
      <c r="Q268" s="2">
        <v>4</v>
      </c>
      <c r="R268" s="2" t="s">
        <v>48</v>
      </c>
      <c r="S268" s="2">
        <v>5582</v>
      </c>
      <c r="T268" s="2">
        <v>14408</v>
      </c>
      <c r="U268" s="2">
        <v>0</v>
      </c>
      <c r="V268" s="2" t="s">
        <v>42</v>
      </c>
      <c r="W268" s="2" t="s">
        <v>43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</row>
    <row r="269" spans="1:35" x14ac:dyDescent="0.25">
      <c r="A269" s="2">
        <v>25</v>
      </c>
      <c r="B269" s="2" t="s">
        <v>43</v>
      </c>
      <c r="C269" s="2" t="s">
        <v>55</v>
      </c>
      <c r="D269" s="2">
        <v>675</v>
      </c>
      <c r="E269" s="2" t="s">
        <v>45</v>
      </c>
      <c r="F269" s="2">
        <v>5</v>
      </c>
      <c r="G269" s="2">
        <v>2</v>
      </c>
      <c r="H269" s="2" t="s">
        <v>38</v>
      </c>
      <c r="I269" s="2">
        <v>1</v>
      </c>
      <c r="J269" s="2">
        <v>369</v>
      </c>
      <c r="K269" s="2">
        <v>2</v>
      </c>
      <c r="L269" s="2" t="s">
        <v>46</v>
      </c>
      <c r="M269" s="2">
        <v>85</v>
      </c>
      <c r="N269" s="2">
        <v>4</v>
      </c>
      <c r="O269" s="2">
        <v>2</v>
      </c>
      <c r="P269" s="2" t="s">
        <v>54</v>
      </c>
      <c r="Q269" s="2">
        <v>1</v>
      </c>
      <c r="R269" s="2" t="s">
        <v>52</v>
      </c>
      <c r="S269" s="2">
        <v>4000</v>
      </c>
      <c r="T269" s="2">
        <v>18384</v>
      </c>
      <c r="U269" s="2">
        <v>1</v>
      </c>
      <c r="V269" s="2" t="s">
        <v>42</v>
      </c>
      <c r="W269" s="2" t="s">
        <v>43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</row>
    <row r="270" spans="1:35" x14ac:dyDescent="0.25">
      <c r="A270" s="2">
        <v>45</v>
      </c>
      <c r="B270" s="2" t="s">
        <v>43</v>
      </c>
      <c r="C270" s="2" t="s">
        <v>36</v>
      </c>
      <c r="D270" s="2">
        <v>1385</v>
      </c>
      <c r="E270" s="2" t="s">
        <v>45</v>
      </c>
      <c r="F270" s="2">
        <v>20</v>
      </c>
      <c r="G270" s="2">
        <v>2</v>
      </c>
      <c r="H270" s="2" t="s">
        <v>51</v>
      </c>
      <c r="I270" s="2">
        <v>1</v>
      </c>
      <c r="J270" s="2">
        <v>372</v>
      </c>
      <c r="K270" s="2">
        <v>3</v>
      </c>
      <c r="L270" s="2" t="s">
        <v>46</v>
      </c>
      <c r="M270" s="2">
        <v>79</v>
      </c>
      <c r="N270" s="2">
        <v>3</v>
      </c>
      <c r="O270" s="2">
        <v>4</v>
      </c>
      <c r="P270" s="2" t="s">
        <v>54</v>
      </c>
      <c r="Q270" s="2">
        <v>4</v>
      </c>
      <c r="R270" s="2" t="s">
        <v>48</v>
      </c>
      <c r="S270" s="2">
        <v>13496</v>
      </c>
      <c r="T270" s="2">
        <v>7501</v>
      </c>
      <c r="U270" s="2">
        <v>0</v>
      </c>
      <c r="V270" s="2" t="s">
        <v>42</v>
      </c>
      <c r="W270" s="2" t="s">
        <v>35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</row>
    <row r="271" spans="1:35" x14ac:dyDescent="0.25">
      <c r="A271" s="2">
        <v>36</v>
      </c>
      <c r="B271" s="2" t="s">
        <v>43</v>
      </c>
      <c r="C271" s="2" t="s">
        <v>36</v>
      </c>
      <c r="D271" s="2">
        <v>1403</v>
      </c>
      <c r="E271" s="2" t="s">
        <v>45</v>
      </c>
      <c r="F271" s="2">
        <v>6</v>
      </c>
      <c r="G271" s="2">
        <v>3</v>
      </c>
      <c r="H271" s="2" t="s">
        <v>38</v>
      </c>
      <c r="I271" s="2">
        <v>1</v>
      </c>
      <c r="J271" s="2">
        <v>373</v>
      </c>
      <c r="K271" s="2">
        <v>4</v>
      </c>
      <c r="L271" s="2" t="s">
        <v>46</v>
      </c>
      <c r="M271" s="2">
        <v>47</v>
      </c>
      <c r="N271" s="2">
        <v>3</v>
      </c>
      <c r="O271" s="2">
        <v>1</v>
      </c>
      <c r="P271" s="2" t="s">
        <v>50</v>
      </c>
      <c r="Q271" s="2">
        <v>4</v>
      </c>
      <c r="R271" s="2" t="s">
        <v>48</v>
      </c>
      <c r="S271" s="2">
        <v>3210</v>
      </c>
      <c r="T271" s="2">
        <v>20251</v>
      </c>
      <c r="U271" s="2">
        <v>0</v>
      </c>
      <c r="V271" s="2" t="s">
        <v>42</v>
      </c>
      <c r="W271" s="2" t="s">
        <v>43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</row>
    <row r="272" spans="1:35" x14ac:dyDescent="0.25">
      <c r="A272" s="2">
        <v>55</v>
      </c>
      <c r="B272" s="2" t="s">
        <v>43</v>
      </c>
      <c r="C272" s="2" t="s">
        <v>36</v>
      </c>
      <c r="D272" s="2">
        <v>452</v>
      </c>
      <c r="E272" s="2" t="s">
        <v>45</v>
      </c>
      <c r="F272" s="2">
        <v>1</v>
      </c>
      <c r="G272" s="2">
        <v>3</v>
      </c>
      <c r="H272" s="2" t="s">
        <v>51</v>
      </c>
      <c r="I272" s="2">
        <v>1</v>
      </c>
      <c r="J272" s="2">
        <v>374</v>
      </c>
      <c r="K272" s="2">
        <v>4</v>
      </c>
      <c r="L272" s="2" t="s">
        <v>46</v>
      </c>
      <c r="M272" s="2">
        <v>81</v>
      </c>
      <c r="N272" s="2">
        <v>3</v>
      </c>
      <c r="O272" s="2">
        <v>5</v>
      </c>
      <c r="P272" s="2" t="s">
        <v>56</v>
      </c>
      <c r="Q272" s="2">
        <v>1</v>
      </c>
      <c r="R272" s="2" t="s">
        <v>41</v>
      </c>
      <c r="S272" s="2">
        <v>19045</v>
      </c>
      <c r="T272" s="2">
        <v>18938</v>
      </c>
      <c r="U272" s="2">
        <v>0</v>
      </c>
      <c r="V272" s="2" t="s">
        <v>42</v>
      </c>
      <c r="W272" s="2" t="s">
        <v>35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</row>
    <row r="273" spans="1:35" x14ac:dyDescent="0.25">
      <c r="A273" s="2">
        <v>47</v>
      </c>
      <c r="B273" s="2" t="s">
        <v>35</v>
      </c>
      <c r="C273" s="2" t="s">
        <v>55</v>
      </c>
      <c r="D273" s="2">
        <v>666</v>
      </c>
      <c r="E273" s="2" t="s">
        <v>45</v>
      </c>
      <c r="F273" s="2">
        <v>29</v>
      </c>
      <c r="G273" s="2">
        <v>4</v>
      </c>
      <c r="H273" s="2" t="s">
        <v>38</v>
      </c>
      <c r="I273" s="2">
        <v>1</v>
      </c>
      <c r="J273" s="2">
        <v>376</v>
      </c>
      <c r="K273" s="2">
        <v>1</v>
      </c>
      <c r="L273" s="2" t="s">
        <v>46</v>
      </c>
      <c r="M273" s="2">
        <v>88</v>
      </c>
      <c r="N273" s="2">
        <v>3</v>
      </c>
      <c r="O273" s="2">
        <v>3</v>
      </c>
      <c r="P273" s="2" t="s">
        <v>56</v>
      </c>
      <c r="Q273" s="2">
        <v>2</v>
      </c>
      <c r="R273" s="2" t="s">
        <v>48</v>
      </c>
      <c r="S273" s="2">
        <v>11849</v>
      </c>
      <c r="T273" s="2">
        <v>10268</v>
      </c>
      <c r="U273" s="2">
        <v>1</v>
      </c>
      <c r="V273" s="2" t="s">
        <v>42</v>
      </c>
      <c r="W273" s="2" t="s">
        <v>35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</row>
    <row r="274" spans="1:35" x14ac:dyDescent="0.25">
      <c r="A274" s="2">
        <v>28</v>
      </c>
      <c r="B274" s="2" t="s">
        <v>43</v>
      </c>
      <c r="C274" s="2" t="s">
        <v>36</v>
      </c>
      <c r="D274" s="2">
        <v>1158</v>
      </c>
      <c r="E274" s="2" t="s">
        <v>45</v>
      </c>
      <c r="F274" s="2">
        <v>9</v>
      </c>
      <c r="G274" s="2">
        <v>3</v>
      </c>
      <c r="H274" s="2" t="s">
        <v>51</v>
      </c>
      <c r="I274" s="2">
        <v>1</v>
      </c>
      <c r="J274" s="2">
        <v>377</v>
      </c>
      <c r="K274" s="2">
        <v>4</v>
      </c>
      <c r="L274" s="2" t="s">
        <v>46</v>
      </c>
      <c r="M274" s="2">
        <v>94</v>
      </c>
      <c r="N274" s="2">
        <v>3</v>
      </c>
      <c r="O274" s="2">
        <v>1</v>
      </c>
      <c r="P274" s="2" t="s">
        <v>47</v>
      </c>
      <c r="Q274" s="2">
        <v>4</v>
      </c>
      <c r="R274" s="2" t="s">
        <v>48</v>
      </c>
      <c r="S274" s="2">
        <v>2070</v>
      </c>
      <c r="T274" s="2">
        <v>2613</v>
      </c>
      <c r="U274" s="2">
        <v>1</v>
      </c>
      <c r="V274" s="2" t="s">
        <v>42</v>
      </c>
      <c r="W274" s="2" t="s">
        <v>43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</row>
    <row r="275" spans="1:35" x14ac:dyDescent="0.25">
      <c r="A275" s="2">
        <v>37</v>
      </c>
      <c r="B275" s="2" t="s">
        <v>43</v>
      </c>
      <c r="C275" s="2" t="s">
        <v>36</v>
      </c>
      <c r="D275" s="2">
        <v>228</v>
      </c>
      <c r="E275" s="2" t="s">
        <v>37</v>
      </c>
      <c r="F275" s="2">
        <v>6</v>
      </c>
      <c r="G275" s="2">
        <v>4</v>
      </c>
      <c r="H275" s="2" t="s">
        <v>51</v>
      </c>
      <c r="I275" s="2">
        <v>1</v>
      </c>
      <c r="J275" s="2">
        <v>378</v>
      </c>
      <c r="K275" s="2">
        <v>3</v>
      </c>
      <c r="L275" s="2" t="s">
        <v>46</v>
      </c>
      <c r="M275" s="2">
        <v>98</v>
      </c>
      <c r="N275" s="2">
        <v>3</v>
      </c>
      <c r="O275" s="2">
        <v>2</v>
      </c>
      <c r="P275" s="2" t="s">
        <v>40</v>
      </c>
      <c r="Q275" s="2">
        <v>4</v>
      </c>
      <c r="R275" s="2" t="s">
        <v>48</v>
      </c>
      <c r="S275" s="2">
        <v>6502</v>
      </c>
      <c r="T275" s="2">
        <v>22825</v>
      </c>
      <c r="U275" s="2">
        <v>4</v>
      </c>
      <c r="V275" s="2" t="s">
        <v>42</v>
      </c>
      <c r="W275" s="2" t="s">
        <v>43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</row>
    <row r="276" spans="1:35" x14ac:dyDescent="0.25">
      <c r="A276" s="2">
        <v>21</v>
      </c>
      <c r="B276" s="2" t="s">
        <v>43</v>
      </c>
      <c r="C276" s="2" t="s">
        <v>36</v>
      </c>
      <c r="D276" s="2">
        <v>996</v>
      </c>
      <c r="E276" s="2" t="s">
        <v>45</v>
      </c>
      <c r="F276" s="2">
        <v>3</v>
      </c>
      <c r="G276" s="2">
        <v>2</v>
      </c>
      <c r="H276" s="2" t="s">
        <v>51</v>
      </c>
      <c r="I276" s="2">
        <v>1</v>
      </c>
      <c r="J276" s="2">
        <v>379</v>
      </c>
      <c r="K276" s="2">
        <v>4</v>
      </c>
      <c r="L276" s="2" t="s">
        <v>46</v>
      </c>
      <c r="M276" s="2">
        <v>100</v>
      </c>
      <c r="N276" s="2">
        <v>2</v>
      </c>
      <c r="O276" s="2">
        <v>1</v>
      </c>
      <c r="P276" s="2" t="s">
        <v>47</v>
      </c>
      <c r="Q276" s="2">
        <v>3</v>
      </c>
      <c r="R276" s="2" t="s">
        <v>41</v>
      </c>
      <c r="S276" s="2">
        <v>3230</v>
      </c>
      <c r="T276" s="2">
        <v>10531</v>
      </c>
      <c r="U276" s="2">
        <v>1</v>
      </c>
      <c r="V276" s="2" t="s">
        <v>42</v>
      </c>
      <c r="W276" s="2" t="s">
        <v>43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</row>
    <row r="277" spans="1:35" x14ac:dyDescent="0.25">
      <c r="A277" s="2">
        <v>37</v>
      </c>
      <c r="B277" s="2" t="s">
        <v>43</v>
      </c>
      <c r="C277" s="2" t="s">
        <v>55</v>
      </c>
      <c r="D277" s="2">
        <v>728</v>
      </c>
      <c r="E277" s="2" t="s">
        <v>45</v>
      </c>
      <c r="F277" s="2">
        <v>1</v>
      </c>
      <c r="G277" s="2">
        <v>4</v>
      </c>
      <c r="H277" s="2" t="s">
        <v>51</v>
      </c>
      <c r="I277" s="2">
        <v>1</v>
      </c>
      <c r="J277" s="2">
        <v>380</v>
      </c>
      <c r="K277" s="2">
        <v>1</v>
      </c>
      <c r="L277" s="2" t="s">
        <v>39</v>
      </c>
      <c r="M277" s="2">
        <v>80</v>
      </c>
      <c r="N277" s="2">
        <v>3</v>
      </c>
      <c r="O277" s="2">
        <v>3</v>
      </c>
      <c r="P277" s="2" t="s">
        <v>58</v>
      </c>
      <c r="Q277" s="2">
        <v>4</v>
      </c>
      <c r="R277" s="2" t="s">
        <v>52</v>
      </c>
      <c r="S277" s="2">
        <v>13603</v>
      </c>
      <c r="T277" s="2">
        <v>11677</v>
      </c>
      <c r="U277" s="2">
        <v>2</v>
      </c>
      <c r="V277" s="2" t="s">
        <v>42</v>
      </c>
      <c r="W277" s="2" t="s">
        <v>35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</row>
    <row r="278" spans="1:35" x14ac:dyDescent="0.25">
      <c r="A278" s="2">
        <v>35</v>
      </c>
      <c r="B278" s="2" t="s">
        <v>43</v>
      </c>
      <c r="C278" s="2" t="s">
        <v>36</v>
      </c>
      <c r="D278" s="2">
        <v>1315</v>
      </c>
      <c r="E278" s="2" t="s">
        <v>45</v>
      </c>
      <c r="F278" s="2">
        <v>22</v>
      </c>
      <c r="G278" s="2">
        <v>3</v>
      </c>
      <c r="H278" s="2" t="s">
        <v>38</v>
      </c>
      <c r="I278" s="2">
        <v>1</v>
      </c>
      <c r="J278" s="2">
        <v>381</v>
      </c>
      <c r="K278" s="2">
        <v>2</v>
      </c>
      <c r="L278" s="2" t="s">
        <v>39</v>
      </c>
      <c r="M278" s="2">
        <v>71</v>
      </c>
      <c r="N278" s="2">
        <v>4</v>
      </c>
      <c r="O278" s="2">
        <v>3</v>
      </c>
      <c r="P278" s="2" t="s">
        <v>56</v>
      </c>
      <c r="Q278" s="2">
        <v>2</v>
      </c>
      <c r="R278" s="2" t="s">
        <v>52</v>
      </c>
      <c r="S278" s="2">
        <v>11996</v>
      </c>
      <c r="T278" s="2">
        <v>19100</v>
      </c>
      <c r="U278" s="2">
        <v>7</v>
      </c>
      <c r="V278" s="2" t="s">
        <v>42</v>
      </c>
      <c r="W278" s="2" t="s">
        <v>43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</row>
    <row r="279" spans="1:35" x14ac:dyDescent="0.25">
      <c r="A279" s="2">
        <v>38</v>
      </c>
      <c r="B279" s="2" t="s">
        <v>43</v>
      </c>
      <c r="C279" s="2" t="s">
        <v>36</v>
      </c>
      <c r="D279" s="2">
        <v>322</v>
      </c>
      <c r="E279" s="2" t="s">
        <v>37</v>
      </c>
      <c r="F279" s="2">
        <v>7</v>
      </c>
      <c r="G279" s="2">
        <v>2</v>
      </c>
      <c r="H279" s="2" t="s">
        <v>51</v>
      </c>
      <c r="I279" s="2">
        <v>1</v>
      </c>
      <c r="J279" s="2">
        <v>382</v>
      </c>
      <c r="K279" s="2">
        <v>1</v>
      </c>
      <c r="L279" s="2" t="s">
        <v>39</v>
      </c>
      <c r="M279" s="2">
        <v>44</v>
      </c>
      <c r="N279" s="2">
        <v>4</v>
      </c>
      <c r="O279" s="2">
        <v>2</v>
      </c>
      <c r="P279" s="2" t="s">
        <v>40</v>
      </c>
      <c r="Q279" s="2">
        <v>1</v>
      </c>
      <c r="R279" s="2" t="s">
        <v>52</v>
      </c>
      <c r="S279" s="2">
        <v>5605</v>
      </c>
      <c r="T279" s="2">
        <v>19191</v>
      </c>
      <c r="U279" s="2">
        <v>1</v>
      </c>
      <c r="V279" s="2" t="s">
        <v>42</v>
      </c>
      <c r="W279" s="2" t="s">
        <v>35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</row>
    <row r="280" spans="1:35" x14ac:dyDescent="0.25">
      <c r="A280" s="2">
        <v>26</v>
      </c>
      <c r="B280" s="2" t="s">
        <v>43</v>
      </c>
      <c r="C280" s="2" t="s">
        <v>44</v>
      </c>
      <c r="D280" s="2">
        <v>1479</v>
      </c>
      <c r="E280" s="2" t="s">
        <v>45</v>
      </c>
      <c r="F280" s="2">
        <v>1</v>
      </c>
      <c r="G280" s="2">
        <v>3</v>
      </c>
      <c r="H280" s="2" t="s">
        <v>38</v>
      </c>
      <c r="I280" s="2">
        <v>1</v>
      </c>
      <c r="J280" s="2">
        <v>384</v>
      </c>
      <c r="K280" s="2">
        <v>3</v>
      </c>
      <c r="L280" s="2" t="s">
        <v>39</v>
      </c>
      <c r="M280" s="2">
        <v>84</v>
      </c>
      <c r="N280" s="2">
        <v>3</v>
      </c>
      <c r="O280" s="2">
        <v>2</v>
      </c>
      <c r="P280" s="2" t="s">
        <v>53</v>
      </c>
      <c r="Q280" s="2">
        <v>2</v>
      </c>
      <c r="R280" s="2" t="s">
        <v>52</v>
      </c>
      <c r="S280" s="2">
        <v>6397</v>
      </c>
      <c r="T280" s="2">
        <v>26767</v>
      </c>
      <c r="U280" s="2">
        <v>1</v>
      </c>
      <c r="V280" s="2" t="s">
        <v>42</v>
      </c>
      <c r="W280" s="2" t="s">
        <v>43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</row>
    <row r="281" spans="1:35" x14ac:dyDescent="0.25">
      <c r="A281" s="2">
        <v>50</v>
      </c>
      <c r="B281" s="2" t="s">
        <v>43</v>
      </c>
      <c r="C281" s="2" t="s">
        <v>36</v>
      </c>
      <c r="D281" s="2">
        <v>797</v>
      </c>
      <c r="E281" s="2" t="s">
        <v>45</v>
      </c>
      <c r="F281" s="2">
        <v>4</v>
      </c>
      <c r="G281" s="2">
        <v>1</v>
      </c>
      <c r="H281" s="2" t="s">
        <v>38</v>
      </c>
      <c r="I281" s="2">
        <v>1</v>
      </c>
      <c r="J281" s="2">
        <v>385</v>
      </c>
      <c r="K281" s="2">
        <v>1</v>
      </c>
      <c r="L281" s="2" t="s">
        <v>46</v>
      </c>
      <c r="M281" s="2">
        <v>96</v>
      </c>
      <c r="N281" s="2">
        <v>3</v>
      </c>
      <c r="O281" s="2">
        <v>5</v>
      </c>
      <c r="P281" s="2" t="s">
        <v>58</v>
      </c>
      <c r="Q281" s="2">
        <v>2</v>
      </c>
      <c r="R281" s="2" t="s">
        <v>52</v>
      </c>
      <c r="S281" s="2">
        <v>19144</v>
      </c>
      <c r="T281" s="2">
        <v>15815</v>
      </c>
      <c r="U281" s="2">
        <v>3</v>
      </c>
      <c r="V281" s="2" t="s">
        <v>42</v>
      </c>
      <c r="W281" s="2" t="s">
        <v>43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</row>
    <row r="282" spans="1:35" x14ac:dyDescent="0.25">
      <c r="A282" s="2">
        <v>53</v>
      </c>
      <c r="B282" s="2" t="s">
        <v>43</v>
      </c>
      <c r="C282" s="2" t="s">
        <v>36</v>
      </c>
      <c r="D282" s="2">
        <v>1070</v>
      </c>
      <c r="E282" s="2" t="s">
        <v>45</v>
      </c>
      <c r="F282" s="2">
        <v>3</v>
      </c>
      <c r="G282" s="2">
        <v>4</v>
      </c>
      <c r="H282" s="2" t="s">
        <v>51</v>
      </c>
      <c r="I282" s="2">
        <v>1</v>
      </c>
      <c r="J282" s="2">
        <v>386</v>
      </c>
      <c r="K282" s="2">
        <v>3</v>
      </c>
      <c r="L282" s="2" t="s">
        <v>46</v>
      </c>
      <c r="M282" s="2">
        <v>45</v>
      </c>
      <c r="N282" s="2">
        <v>3</v>
      </c>
      <c r="O282" s="2">
        <v>4</v>
      </c>
      <c r="P282" s="2" t="s">
        <v>58</v>
      </c>
      <c r="Q282" s="2">
        <v>3</v>
      </c>
      <c r="R282" s="2" t="s">
        <v>48</v>
      </c>
      <c r="S282" s="2">
        <v>17584</v>
      </c>
      <c r="T282" s="2">
        <v>21016</v>
      </c>
      <c r="U282" s="2">
        <v>3</v>
      </c>
      <c r="V282" s="2" t="s">
        <v>42</v>
      </c>
      <c r="W282" s="2" t="s">
        <v>35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</row>
    <row r="283" spans="1:35" x14ac:dyDescent="0.25">
      <c r="A283" s="2">
        <v>42</v>
      </c>
      <c r="B283" s="2" t="s">
        <v>43</v>
      </c>
      <c r="C283" s="2" t="s">
        <v>36</v>
      </c>
      <c r="D283" s="2">
        <v>635</v>
      </c>
      <c r="E283" s="2" t="s">
        <v>37</v>
      </c>
      <c r="F283" s="2">
        <v>1</v>
      </c>
      <c r="G283" s="2">
        <v>1</v>
      </c>
      <c r="H283" s="2" t="s">
        <v>38</v>
      </c>
      <c r="I283" s="2">
        <v>1</v>
      </c>
      <c r="J283" s="2">
        <v>387</v>
      </c>
      <c r="K283" s="2">
        <v>2</v>
      </c>
      <c r="L283" s="2" t="s">
        <v>46</v>
      </c>
      <c r="M283" s="2">
        <v>99</v>
      </c>
      <c r="N283" s="2">
        <v>3</v>
      </c>
      <c r="O283" s="2">
        <v>2</v>
      </c>
      <c r="P283" s="2" t="s">
        <v>40</v>
      </c>
      <c r="Q283" s="2">
        <v>3</v>
      </c>
      <c r="R283" s="2" t="s">
        <v>48</v>
      </c>
      <c r="S283" s="2">
        <v>4907</v>
      </c>
      <c r="T283" s="2">
        <v>24532</v>
      </c>
      <c r="U283" s="2">
        <v>1</v>
      </c>
      <c r="V283" s="2" t="s">
        <v>42</v>
      </c>
      <c r="W283" s="2" t="s">
        <v>43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</row>
    <row r="284" spans="1:35" x14ac:dyDescent="0.25">
      <c r="A284" s="2">
        <v>29</v>
      </c>
      <c r="B284" s="2" t="s">
        <v>43</v>
      </c>
      <c r="C284" s="2" t="s">
        <v>44</v>
      </c>
      <c r="D284" s="2">
        <v>442</v>
      </c>
      <c r="E284" s="2" t="s">
        <v>37</v>
      </c>
      <c r="F284" s="2">
        <v>2</v>
      </c>
      <c r="G284" s="2">
        <v>2</v>
      </c>
      <c r="H284" s="2" t="s">
        <v>38</v>
      </c>
      <c r="I284" s="2">
        <v>1</v>
      </c>
      <c r="J284" s="2">
        <v>388</v>
      </c>
      <c r="K284" s="2">
        <v>2</v>
      </c>
      <c r="L284" s="2" t="s">
        <v>46</v>
      </c>
      <c r="M284" s="2">
        <v>44</v>
      </c>
      <c r="N284" s="2">
        <v>3</v>
      </c>
      <c r="O284" s="2">
        <v>2</v>
      </c>
      <c r="P284" s="2" t="s">
        <v>40</v>
      </c>
      <c r="Q284" s="2">
        <v>4</v>
      </c>
      <c r="R284" s="2" t="s">
        <v>41</v>
      </c>
      <c r="S284" s="2">
        <v>4554</v>
      </c>
      <c r="T284" s="2">
        <v>20260</v>
      </c>
      <c r="U284" s="2">
        <v>1</v>
      </c>
      <c r="V284" s="2" t="s">
        <v>42</v>
      </c>
      <c r="W284" s="2" t="s">
        <v>43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</row>
    <row r="285" spans="1:35" x14ac:dyDescent="0.25">
      <c r="A285" s="2">
        <v>55</v>
      </c>
      <c r="B285" s="2" t="s">
        <v>43</v>
      </c>
      <c r="C285" s="2" t="s">
        <v>36</v>
      </c>
      <c r="D285" s="2">
        <v>147</v>
      </c>
      <c r="E285" s="2" t="s">
        <v>45</v>
      </c>
      <c r="F285" s="2">
        <v>20</v>
      </c>
      <c r="G285" s="2">
        <v>2</v>
      </c>
      <c r="H285" s="2" t="s">
        <v>60</v>
      </c>
      <c r="I285" s="2">
        <v>1</v>
      </c>
      <c r="J285" s="2">
        <v>389</v>
      </c>
      <c r="K285" s="2">
        <v>2</v>
      </c>
      <c r="L285" s="2" t="s">
        <v>46</v>
      </c>
      <c r="M285" s="2">
        <v>37</v>
      </c>
      <c r="N285" s="2">
        <v>3</v>
      </c>
      <c r="O285" s="2">
        <v>2</v>
      </c>
      <c r="P285" s="2" t="s">
        <v>50</v>
      </c>
      <c r="Q285" s="2">
        <v>4</v>
      </c>
      <c r="R285" s="2" t="s">
        <v>48</v>
      </c>
      <c r="S285" s="2">
        <v>5415</v>
      </c>
      <c r="T285" s="2">
        <v>15972</v>
      </c>
      <c r="U285" s="2">
        <v>3</v>
      </c>
      <c r="V285" s="2" t="s">
        <v>42</v>
      </c>
      <c r="W285" s="2" t="s">
        <v>35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</row>
    <row r="286" spans="1:35" x14ac:dyDescent="0.25">
      <c r="A286" s="2">
        <v>26</v>
      </c>
      <c r="B286" s="2" t="s">
        <v>43</v>
      </c>
      <c r="C286" s="2" t="s">
        <v>44</v>
      </c>
      <c r="D286" s="2">
        <v>496</v>
      </c>
      <c r="E286" s="2" t="s">
        <v>45</v>
      </c>
      <c r="F286" s="2">
        <v>11</v>
      </c>
      <c r="G286" s="2">
        <v>2</v>
      </c>
      <c r="H286" s="2" t="s">
        <v>51</v>
      </c>
      <c r="I286" s="2">
        <v>1</v>
      </c>
      <c r="J286" s="2">
        <v>390</v>
      </c>
      <c r="K286" s="2">
        <v>1</v>
      </c>
      <c r="L286" s="2" t="s">
        <v>46</v>
      </c>
      <c r="M286" s="2">
        <v>60</v>
      </c>
      <c r="N286" s="2">
        <v>3</v>
      </c>
      <c r="O286" s="2">
        <v>2</v>
      </c>
      <c r="P286" s="2" t="s">
        <v>54</v>
      </c>
      <c r="Q286" s="2">
        <v>1</v>
      </c>
      <c r="R286" s="2" t="s">
        <v>48</v>
      </c>
      <c r="S286" s="2">
        <v>4741</v>
      </c>
      <c r="T286" s="2">
        <v>22722</v>
      </c>
      <c r="U286" s="2">
        <v>1</v>
      </c>
      <c r="V286" s="2" t="s">
        <v>42</v>
      </c>
      <c r="W286" s="2" t="s">
        <v>35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</row>
    <row r="287" spans="1:35" x14ac:dyDescent="0.25">
      <c r="A287" s="2">
        <v>37</v>
      </c>
      <c r="B287" s="2" t="s">
        <v>43</v>
      </c>
      <c r="C287" s="2" t="s">
        <v>36</v>
      </c>
      <c r="D287" s="2">
        <v>1372</v>
      </c>
      <c r="E287" s="2" t="s">
        <v>45</v>
      </c>
      <c r="F287" s="2">
        <v>1</v>
      </c>
      <c r="G287" s="2">
        <v>3</v>
      </c>
      <c r="H287" s="2" t="s">
        <v>38</v>
      </c>
      <c r="I287" s="2">
        <v>1</v>
      </c>
      <c r="J287" s="2">
        <v>391</v>
      </c>
      <c r="K287" s="2">
        <v>4</v>
      </c>
      <c r="L287" s="2" t="s">
        <v>39</v>
      </c>
      <c r="M287" s="2">
        <v>42</v>
      </c>
      <c r="N287" s="2">
        <v>3</v>
      </c>
      <c r="O287" s="2">
        <v>1</v>
      </c>
      <c r="P287" s="2" t="s">
        <v>47</v>
      </c>
      <c r="Q287" s="2">
        <v>4</v>
      </c>
      <c r="R287" s="2" t="s">
        <v>41</v>
      </c>
      <c r="S287" s="2">
        <v>2115</v>
      </c>
      <c r="T287" s="2">
        <v>15881</v>
      </c>
      <c r="U287" s="2">
        <v>1</v>
      </c>
      <c r="V287" s="2" t="s">
        <v>42</v>
      </c>
      <c r="W287" s="2" t="s">
        <v>43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</row>
    <row r="288" spans="1:35" x14ac:dyDescent="0.25">
      <c r="A288" s="2">
        <v>44</v>
      </c>
      <c r="B288" s="2" t="s">
        <v>35</v>
      </c>
      <c r="C288" s="2" t="s">
        <v>44</v>
      </c>
      <c r="D288" s="2">
        <v>920</v>
      </c>
      <c r="E288" s="2" t="s">
        <v>45</v>
      </c>
      <c r="F288" s="2">
        <v>24</v>
      </c>
      <c r="G288" s="2">
        <v>3</v>
      </c>
      <c r="H288" s="2" t="s">
        <v>38</v>
      </c>
      <c r="I288" s="2">
        <v>1</v>
      </c>
      <c r="J288" s="2">
        <v>392</v>
      </c>
      <c r="K288" s="2">
        <v>4</v>
      </c>
      <c r="L288" s="2" t="s">
        <v>46</v>
      </c>
      <c r="M288" s="2">
        <v>43</v>
      </c>
      <c r="N288" s="2">
        <v>3</v>
      </c>
      <c r="O288" s="2">
        <v>1</v>
      </c>
      <c r="P288" s="2" t="s">
        <v>50</v>
      </c>
      <c r="Q288" s="2">
        <v>3</v>
      </c>
      <c r="R288" s="2" t="s">
        <v>52</v>
      </c>
      <c r="S288" s="2">
        <v>3161</v>
      </c>
      <c r="T288" s="2">
        <v>19920</v>
      </c>
      <c r="U288" s="2">
        <v>3</v>
      </c>
      <c r="V288" s="2" t="s">
        <v>42</v>
      </c>
      <c r="W288" s="2" t="s">
        <v>35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</row>
    <row r="289" spans="1:35" x14ac:dyDescent="0.25">
      <c r="A289" s="2">
        <v>38</v>
      </c>
      <c r="B289" s="2" t="s">
        <v>43</v>
      </c>
      <c r="C289" s="2" t="s">
        <v>36</v>
      </c>
      <c r="D289" s="2">
        <v>688</v>
      </c>
      <c r="E289" s="2" t="s">
        <v>45</v>
      </c>
      <c r="F289" s="2">
        <v>23</v>
      </c>
      <c r="G289" s="2">
        <v>4</v>
      </c>
      <c r="H289" s="2" t="s">
        <v>38</v>
      </c>
      <c r="I289" s="2">
        <v>1</v>
      </c>
      <c r="J289" s="2">
        <v>393</v>
      </c>
      <c r="K289" s="2">
        <v>4</v>
      </c>
      <c r="L289" s="2" t="s">
        <v>46</v>
      </c>
      <c r="M289" s="2">
        <v>82</v>
      </c>
      <c r="N289" s="2">
        <v>3</v>
      </c>
      <c r="O289" s="2">
        <v>2</v>
      </c>
      <c r="P289" s="2" t="s">
        <v>54</v>
      </c>
      <c r="Q289" s="2">
        <v>4</v>
      </c>
      <c r="R289" s="2" t="s">
        <v>52</v>
      </c>
      <c r="S289" s="2">
        <v>5745</v>
      </c>
      <c r="T289" s="2">
        <v>18899</v>
      </c>
      <c r="U289" s="2">
        <v>9</v>
      </c>
      <c r="V289" s="2" t="s">
        <v>42</v>
      </c>
      <c r="W289" s="2" t="s">
        <v>43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</row>
    <row r="290" spans="1:35" x14ac:dyDescent="0.25">
      <c r="A290" s="2">
        <v>26</v>
      </c>
      <c r="B290" s="2" t="s">
        <v>35</v>
      </c>
      <c r="C290" s="2" t="s">
        <v>36</v>
      </c>
      <c r="D290" s="2">
        <v>1449</v>
      </c>
      <c r="E290" s="2" t="s">
        <v>45</v>
      </c>
      <c r="F290" s="2">
        <v>16</v>
      </c>
      <c r="G290" s="2">
        <v>4</v>
      </c>
      <c r="H290" s="2" t="s">
        <v>51</v>
      </c>
      <c r="I290" s="2">
        <v>1</v>
      </c>
      <c r="J290" s="2">
        <v>394</v>
      </c>
      <c r="K290" s="2">
        <v>1</v>
      </c>
      <c r="L290" s="2" t="s">
        <v>46</v>
      </c>
      <c r="M290" s="2">
        <v>45</v>
      </c>
      <c r="N290" s="2">
        <v>3</v>
      </c>
      <c r="O290" s="2">
        <v>1</v>
      </c>
      <c r="P290" s="2" t="s">
        <v>50</v>
      </c>
      <c r="Q290" s="2">
        <v>2</v>
      </c>
      <c r="R290" s="2" t="s">
        <v>52</v>
      </c>
      <c r="S290" s="2">
        <v>2373</v>
      </c>
      <c r="T290" s="2">
        <v>14180</v>
      </c>
      <c r="U290" s="2">
        <v>2</v>
      </c>
      <c r="V290" s="2" t="s">
        <v>42</v>
      </c>
      <c r="W290" s="2" t="s">
        <v>35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</row>
    <row r="291" spans="1:35" x14ac:dyDescent="0.25">
      <c r="A291" s="2">
        <v>28</v>
      </c>
      <c r="B291" s="2" t="s">
        <v>43</v>
      </c>
      <c r="C291" s="2" t="s">
        <v>36</v>
      </c>
      <c r="D291" s="2">
        <v>1117</v>
      </c>
      <c r="E291" s="2" t="s">
        <v>45</v>
      </c>
      <c r="F291" s="2">
        <v>8</v>
      </c>
      <c r="G291" s="2">
        <v>2</v>
      </c>
      <c r="H291" s="2" t="s">
        <v>38</v>
      </c>
      <c r="I291" s="2">
        <v>1</v>
      </c>
      <c r="J291" s="2">
        <v>395</v>
      </c>
      <c r="K291" s="2">
        <v>4</v>
      </c>
      <c r="L291" s="2" t="s">
        <v>39</v>
      </c>
      <c r="M291" s="2">
        <v>66</v>
      </c>
      <c r="N291" s="2">
        <v>3</v>
      </c>
      <c r="O291" s="2">
        <v>1</v>
      </c>
      <c r="P291" s="2" t="s">
        <v>47</v>
      </c>
      <c r="Q291" s="2">
        <v>4</v>
      </c>
      <c r="R291" s="2" t="s">
        <v>41</v>
      </c>
      <c r="S291" s="2">
        <v>3310</v>
      </c>
      <c r="T291" s="2">
        <v>4488</v>
      </c>
      <c r="U291" s="2">
        <v>1</v>
      </c>
      <c r="V291" s="2" t="s">
        <v>42</v>
      </c>
      <c r="W291" s="2" t="s">
        <v>43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</row>
    <row r="292" spans="1:35" x14ac:dyDescent="0.25">
      <c r="A292" s="2">
        <v>49</v>
      </c>
      <c r="B292" s="2" t="s">
        <v>43</v>
      </c>
      <c r="C292" s="2" t="s">
        <v>44</v>
      </c>
      <c r="D292" s="2">
        <v>636</v>
      </c>
      <c r="E292" s="2" t="s">
        <v>45</v>
      </c>
      <c r="F292" s="2">
        <v>10</v>
      </c>
      <c r="G292" s="2">
        <v>4</v>
      </c>
      <c r="H292" s="2" t="s">
        <v>38</v>
      </c>
      <c r="I292" s="2">
        <v>1</v>
      </c>
      <c r="J292" s="2">
        <v>396</v>
      </c>
      <c r="K292" s="2">
        <v>3</v>
      </c>
      <c r="L292" s="2" t="s">
        <v>39</v>
      </c>
      <c r="M292" s="2">
        <v>35</v>
      </c>
      <c r="N292" s="2">
        <v>3</v>
      </c>
      <c r="O292" s="2">
        <v>5</v>
      </c>
      <c r="P292" s="2" t="s">
        <v>58</v>
      </c>
      <c r="Q292" s="2">
        <v>1</v>
      </c>
      <c r="R292" s="2" t="s">
        <v>41</v>
      </c>
      <c r="S292" s="2">
        <v>18665</v>
      </c>
      <c r="T292" s="2">
        <v>25594</v>
      </c>
      <c r="U292" s="2">
        <v>9</v>
      </c>
      <c r="V292" s="2" t="s">
        <v>42</v>
      </c>
      <c r="W292" s="2" t="s">
        <v>35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</row>
    <row r="293" spans="1:35" x14ac:dyDescent="0.25">
      <c r="A293" s="2">
        <v>36</v>
      </c>
      <c r="B293" s="2" t="s">
        <v>43</v>
      </c>
      <c r="C293" s="2" t="s">
        <v>36</v>
      </c>
      <c r="D293" s="2">
        <v>506</v>
      </c>
      <c r="E293" s="2" t="s">
        <v>45</v>
      </c>
      <c r="F293" s="2">
        <v>3</v>
      </c>
      <c r="G293" s="2">
        <v>3</v>
      </c>
      <c r="H293" s="2" t="s">
        <v>60</v>
      </c>
      <c r="I293" s="2">
        <v>1</v>
      </c>
      <c r="J293" s="2">
        <v>397</v>
      </c>
      <c r="K293" s="2">
        <v>3</v>
      </c>
      <c r="L293" s="2" t="s">
        <v>46</v>
      </c>
      <c r="M293" s="2">
        <v>30</v>
      </c>
      <c r="N293" s="2">
        <v>3</v>
      </c>
      <c r="O293" s="2">
        <v>2</v>
      </c>
      <c r="P293" s="2" t="s">
        <v>47</v>
      </c>
      <c r="Q293" s="2">
        <v>2</v>
      </c>
      <c r="R293" s="2" t="s">
        <v>41</v>
      </c>
      <c r="S293" s="2">
        <v>4485</v>
      </c>
      <c r="T293" s="2">
        <v>26285</v>
      </c>
      <c r="U293" s="2">
        <v>4</v>
      </c>
      <c r="V293" s="2" t="s">
        <v>42</v>
      </c>
      <c r="W293" s="2" t="s">
        <v>43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</row>
    <row r="294" spans="1:35" x14ac:dyDescent="0.25">
      <c r="A294" s="2">
        <v>31</v>
      </c>
      <c r="B294" s="2" t="s">
        <v>43</v>
      </c>
      <c r="C294" s="2" t="s">
        <v>44</v>
      </c>
      <c r="D294" s="2">
        <v>444</v>
      </c>
      <c r="E294" s="2" t="s">
        <v>37</v>
      </c>
      <c r="F294" s="2">
        <v>5</v>
      </c>
      <c r="G294" s="2">
        <v>3</v>
      </c>
      <c r="H294" s="2" t="s">
        <v>59</v>
      </c>
      <c r="I294" s="2">
        <v>1</v>
      </c>
      <c r="J294" s="2">
        <v>399</v>
      </c>
      <c r="K294" s="2">
        <v>4</v>
      </c>
      <c r="L294" s="2" t="s">
        <v>39</v>
      </c>
      <c r="M294" s="2">
        <v>84</v>
      </c>
      <c r="N294" s="2">
        <v>3</v>
      </c>
      <c r="O294" s="2">
        <v>1</v>
      </c>
      <c r="P294" s="2" t="s">
        <v>57</v>
      </c>
      <c r="Q294" s="2">
        <v>2</v>
      </c>
      <c r="R294" s="2" t="s">
        <v>52</v>
      </c>
      <c r="S294" s="2">
        <v>2789</v>
      </c>
      <c r="T294" s="2">
        <v>3909</v>
      </c>
      <c r="U294" s="2">
        <v>1</v>
      </c>
      <c r="V294" s="2" t="s">
        <v>42</v>
      </c>
      <c r="W294" s="2" t="s">
        <v>43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</row>
    <row r="295" spans="1:35" x14ac:dyDescent="0.25">
      <c r="A295" s="2">
        <v>26</v>
      </c>
      <c r="B295" s="2" t="s">
        <v>35</v>
      </c>
      <c r="C295" s="2" t="s">
        <v>36</v>
      </c>
      <c r="D295" s="2">
        <v>950</v>
      </c>
      <c r="E295" s="2" t="s">
        <v>37</v>
      </c>
      <c r="F295" s="2">
        <v>4</v>
      </c>
      <c r="G295" s="2">
        <v>4</v>
      </c>
      <c r="H295" s="2" t="s">
        <v>59</v>
      </c>
      <c r="I295" s="2">
        <v>1</v>
      </c>
      <c r="J295" s="2">
        <v>401</v>
      </c>
      <c r="K295" s="2">
        <v>4</v>
      </c>
      <c r="L295" s="2" t="s">
        <v>46</v>
      </c>
      <c r="M295" s="2">
        <v>48</v>
      </c>
      <c r="N295" s="2">
        <v>2</v>
      </c>
      <c r="O295" s="2">
        <v>2</v>
      </c>
      <c r="P295" s="2" t="s">
        <v>40</v>
      </c>
      <c r="Q295" s="2">
        <v>4</v>
      </c>
      <c r="R295" s="2" t="s">
        <v>41</v>
      </c>
      <c r="S295" s="2">
        <v>5828</v>
      </c>
      <c r="T295" s="2">
        <v>8450</v>
      </c>
      <c r="U295" s="2">
        <v>1</v>
      </c>
      <c r="V295" s="2" t="s">
        <v>42</v>
      </c>
      <c r="W295" s="2" t="s">
        <v>35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</row>
    <row r="296" spans="1:35" x14ac:dyDescent="0.25">
      <c r="A296" s="2">
        <v>37</v>
      </c>
      <c r="B296" s="2" t="s">
        <v>43</v>
      </c>
      <c r="C296" s="2" t="s">
        <v>44</v>
      </c>
      <c r="D296" s="2">
        <v>889</v>
      </c>
      <c r="E296" s="2" t="s">
        <v>45</v>
      </c>
      <c r="F296" s="2">
        <v>9</v>
      </c>
      <c r="G296" s="2">
        <v>3</v>
      </c>
      <c r="H296" s="2" t="s">
        <v>51</v>
      </c>
      <c r="I296" s="2">
        <v>1</v>
      </c>
      <c r="J296" s="2">
        <v>403</v>
      </c>
      <c r="K296" s="2">
        <v>2</v>
      </c>
      <c r="L296" s="2" t="s">
        <v>46</v>
      </c>
      <c r="M296" s="2">
        <v>53</v>
      </c>
      <c r="N296" s="2">
        <v>3</v>
      </c>
      <c r="O296" s="2">
        <v>1</v>
      </c>
      <c r="P296" s="2" t="s">
        <v>47</v>
      </c>
      <c r="Q296" s="2">
        <v>4</v>
      </c>
      <c r="R296" s="2" t="s">
        <v>48</v>
      </c>
      <c r="S296" s="2">
        <v>2326</v>
      </c>
      <c r="T296" s="2">
        <v>11411</v>
      </c>
      <c r="U296" s="2">
        <v>1</v>
      </c>
      <c r="V296" s="2" t="s">
        <v>42</v>
      </c>
      <c r="W296" s="2" t="s">
        <v>35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</row>
    <row r="297" spans="1:35" x14ac:dyDescent="0.25">
      <c r="A297" s="2">
        <v>42</v>
      </c>
      <c r="B297" s="2" t="s">
        <v>43</v>
      </c>
      <c r="C297" s="2" t="s">
        <v>44</v>
      </c>
      <c r="D297" s="2">
        <v>555</v>
      </c>
      <c r="E297" s="2" t="s">
        <v>37</v>
      </c>
      <c r="F297" s="2">
        <v>26</v>
      </c>
      <c r="G297" s="2">
        <v>3</v>
      </c>
      <c r="H297" s="2" t="s">
        <v>59</v>
      </c>
      <c r="I297" s="2">
        <v>1</v>
      </c>
      <c r="J297" s="2">
        <v>404</v>
      </c>
      <c r="K297" s="2">
        <v>3</v>
      </c>
      <c r="L297" s="2" t="s">
        <v>39</v>
      </c>
      <c r="M297" s="2">
        <v>77</v>
      </c>
      <c r="N297" s="2">
        <v>3</v>
      </c>
      <c r="O297" s="2">
        <v>4</v>
      </c>
      <c r="P297" s="2" t="s">
        <v>40</v>
      </c>
      <c r="Q297" s="2">
        <v>2</v>
      </c>
      <c r="R297" s="2" t="s">
        <v>48</v>
      </c>
      <c r="S297" s="2">
        <v>13525</v>
      </c>
      <c r="T297" s="2">
        <v>14864</v>
      </c>
      <c r="U297" s="2">
        <v>5</v>
      </c>
      <c r="V297" s="2" t="s">
        <v>42</v>
      </c>
      <c r="W297" s="2" t="s">
        <v>43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</row>
    <row r="298" spans="1:35" x14ac:dyDescent="0.25">
      <c r="A298" s="2">
        <v>18</v>
      </c>
      <c r="B298" s="2" t="s">
        <v>35</v>
      </c>
      <c r="C298" s="2" t="s">
        <v>36</v>
      </c>
      <c r="D298" s="2">
        <v>230</v>
      </c>
      <c r="E298" s="2" t="s">
        <v>45</v>
      </c>
      <c r="F298" s="2">
        <v>3</v>
      </c>
      <c r="G298" s="2">
        <v>3</v>
      </c>
      <c r="H298" s="2" t="s">
        <v>38</v>
      </c>
      <c r="I298" s="2">
        <v>1</v>
      </c>
      <c r="J298" s="2">
        <v>405</v>
      </c>
      <c r="K298" s="2">
        <v>3</v>
      </c>
      <c r="L298" s="2" t="s">
        <v>46</v>
      </c>
      <c r="M298" s="2">
        <v>54</v>
      </c>
      <c r="N298" s="2">
        <v>3</v>
      </c>
      <c r="O298" s="2">
        <v>1</v>
      </c>
      <c r="P298" s="2" t="s">
        <v>50</v>
      </c>
      <c r="Q298" s="2">
        <v>3</v>
      </c>
      <c r="R298" s="2" t="s">
        <v>41</v>
      </c>
      <c r="S298" s="2">
        <v>1420</v>
      </c>
      <c r="T298" s="2">
        <v>25233</v>
      </c>
      <c r="U298" s="2">
        <v>1</v>
      </c>
      <c r="V298" s="2" t="s">
        <v>42</v>
      </c>
      <c r="W298" s="2" t="s">
        <v>43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</row>
    <row r="299" spans="1:35" x14ac:dyDescent="0.25">
      <c r="A299" s="2">
        <v>35</v>
      </c>
      <c r="B299" s="2" t="s">
        <v>43</v>
      </c>
      <c r="C299" s="2" t="s">
        <v>36</v>
      </c>
      <c r="D299" s="2">
        <v>1232</v>
      </c>
      <c r="E299" s="2" t="s">
        <v>37</v>
      </c>
      <c r="F299" s="2">
        <v>16</v>
      </c>
      <c r="G299" s="2">
        <v>3</v>
      </c>
      <c r="H299" s="2" t="s">
        <v>59</v>
      </c>
      <c r="I299" s="2">
        <v>1</v>
      </c>
      <c r="J299" s="2">
        <v>406</v>
      </c>
      <c r="K299" s="2">
        <v>3</v>
      </c>
      <c r="L299" s="2" t="s">
        <v>46</v>
      </c>
      <c r="M299" s="2">
        <v>96</v>
      </c>
      <c r="N299" s="2">
        <v>3</v>
      </c>
      <c r="O299" s="2">
        <v>3</v>
      </c>
      <c r="P299" s="2" t="s">
        <v>40</v>
      </c>
      <c r="Q299" s="2">
        <v>2</v>
      </c>
      <c r="R299" s="2" t="s">
        <v>48</v>
      </c>
      <c r="S299" s="2">
        <v>8020</v>
      </c>
      <c r="T299" s="2">
        <v>5100</v>
      </c>
      <c r="U299" s="2">
        <v>0</v>
      </c>
      <c r="V299" s="2" t="s">
        <v>42</v>
      </c>
      <c r="W299" s="2" t="s">
        <v>43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</row>
    <row r="300" spans="1:35" x14ac:dyDescent="0.25">
      <c r="A300" s="2">
        <v>36</v>
      </c>
      <c r="B300" s="2" t="s">
        <v>43</v>
      </c>
      <c r="C300" s="2" t="s">
        <v>44</v>
      </c>
      <c r="D300" s="2">
        <v>566</v>
      </c>
      <c r="E300" s="2" t="s">
        <v>45</v>
      </c>
      <c r="F300" s="2">
        <v>18</v>
      </c>
      <c r="G300" s="2">
        <v>4</v>
      </c>
      <c r="H300" s="2" t="s">
        <v>38</v>
      </c>
      <c r="I300" s="2">
        <v>1</v>
      </c>
      <c r="J300" s="2">
        <v>407</v>
      </c>
      <c r="K300" s="2">
        <v>3</v>
      </c>
      <c r="L300" s="2" t="s">
        <v>46</v>
      </c>
      <c r="M300" s="2">
        <v>81</v>
      </c>
      <c r="N300" s="2">
        <v>4</v>
      </c>
      <c r="O300" s="2">
        <v>1</v>
      </c>
      <c r="P300" s="2" t="s">
        <v>50</v>
      </c>
      <c r="Q300" s="2">
        <v>4</v>
      </c>
      <c r="R300" s="2" t="s">
        <v>48</v>
      </c>
      <c r="S300" s="2">
        <v>3688</v>
      </c>
      <c r="T300" s="2">
        <v>7122</v>
      </c>
      <c r="U300" s="2">
        <v>4</v>
      </c>
      <c r="V300" s="2" t="s">
        <v>42</v>
      </c>
      <c r="W300" s="2" t="s">
        <v>43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</row>
    <row r="301" spans="1:35" x14ac:dyDescent="0.25">
      <c r="A301" s="2">
        <v>51</v>
      </c>
      <c r="B301" s="2" t="s">
        <v>43</v>
      </c>
      <c r="C301" s="2" t="s">
        <v>36</v>
      </c>
      <c r="D301" s="2">
        <v>1302</v>
      </c>
      <c r="E301" s="2" t="s">
        <v>45</v>
      </c>
      <c r="F301" s="2">
        <v>2</v>
      </c>
      <c r="G301" s="2">
        <v>3</v>
      </c>
      <c r="H301" s="2" t="s">
        <v>51</v>
      </c>
      <c r="I301" s="2">
        <v>1</v>
      </c>
      <c r="J301" s="2">
        <v>408</v>
      </c>
      <c r="K301" s="2">
        <v>4</v>
      </c>
      <c r="L301" s="2" t="s">
        <v>46</v>
      </c>
      <c r="M301" s="2">
        <v>84</v>
      </c>
      <c r="N301" s="2">
        <v>1</v>
      </c>
      <c r="O301" s="2">
        <v>2</v>
      </c>
      <c r="P301" s="2" t="s">
        <v>53</v>
      </c>
      <c r="Q301" s="2">
        <v>2</v>
      </c>
      <c r="R301" s="2" t="s">
        <v>52</v>
      </c>
      <c r="S301" s="2">
        <v>5482</v>
      </c>
      <c r="T301" s="2">
        <v>16321</v>
      </c>
      <c r="U301" s="2">
        <v>5</v>
      </c>
      <c r="V301" s="2" t="s">
        <v>42</v>
      </c>
      <c r="W301" s="2" t="s">
        <v>43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</row>
    <row r="302" spans="1:35" x14ac:dyDescent="0.25">
      <c r="A302" s="2">
        <v>41</v>
      </c>
      <c r="B302" s="2" t="s">
        <v>43</v>
      </c>
      <c r="C302" s="2" t="s">
        <v>36</v>
      </c>
      <c r="D302" s="2">
        <v>334</v>
      </c>
      <c r="E302" s="2" t="s">
        <v>37</v>
      </c>
      <c r="F302" s="2">
        <v>2</v>
      </c>
      <c r="G302" s="2">
        <v>4</v>
      </c>
      <c r="H302" s="2" t="s">
        <v>38</v>
      </c>
      <c r="I302" s="2">
        <v>1</v>
      </c>
      <c r="J302" s="2">
        <v>410</v>
      </c>
      <c r="K302" s="2">
        <v>4</v>
      </c>
      <c r="L302" s="2" t="s">
        <v>46</v>
      </c>
      <c r="M302" s="2">
        <v>88</v>
      </c>
      <c r="N302" s="2">
        <v>3</v>
      </c>
      <c r="O302" s="2">
        <v>4</v>
      </c>
      <c r="P302" s="2" t="s">
        <v>56</v>
      </c>
      <c r="Q302" s="2">
        <v>2</v>
      </c>
      <c r="R302" s="2" t="s">
        <v>41</v>
      </c>
      <c r="S302" s="2">
        <v>16015</v>
      </c>
      <c r="T302" s="2">
        <v>15896</v>
      </c>
      <c r="U302" s="2">
        <v>1</v>
      </c>
      <c r="V302" s="2" t="s">
        <v>42</v>
      </c>
      <c r="W302" s="2" t="s">
        <v>43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</row>
    <row r="303" spans="1:35" x14ac:dyDescent="0.25">
      <c r="A303" s="2">
        <v>18</v>
      </c>
      <c r="B303" s="2" t="s">
        <v>43</v>
      </c>
      <c r="C303" s="2" t="s">
        <v>36</v>
      </c>
      <c r="D303" s="2">
        <v>812</v>
      </c>
      <c r="E303" s="2" t="s">
        <v>37</v>
      </c>
      <c r="F303" s="2">
        <v>10</v>
      </c>
      <c r="G303" s="2">
        <v>3</v>
      </c>
      <c r="H303" s="2" t="s">
        <v>51</v>
      </c>
      <c r="I303" s="2">
        <v>1</v>
      </c>
      <c r="J303" s="2">
        <v>411</v>
      </c>
      <c r="K303" s="2">
        <v>4</v>
      </c>
      <c r="L303" s="2" t="s">
        <v>39</v>
      </c>
      <c r="M303" s="2">
        <v>69</v>
      </c>
      <c r="N303" s="2">
        <v>2</v>
      </c>
      <c r="O303" s="2">
        <v>1</v>
      </c>
      <c r="P303" s="2" t="s">
        <v>57</v>
      </c>
      <c r="Q303" s="2">
        <v>3</v>
      </c>
      <c r="R303" s="2" t="s">
        <v>41</v>
      </c>
      <c r="S303" s="2">
        <v>1200</v>
      </c>
      <c r="T303" s="2">
        <v>9724</v>
      </c>
      <c r="U303" s="2">
        <v>1</v>
      </c>
      <c r="V303" s="2" t="s">
        <v>42</v>
      </c>
      <c r="W303" s="2" t="s">
        <v>43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</row>
    <row r="304" spans="1:35" x14ac:dyDescent="0.25">
      <c r="A304" s="2">
        <v>28</v>
      </c>
      <c r="B304" s="2" t="s">
        <v>43</v>
      </c>
      <c r="C304" s="2" t="s">
        <v>36</v>
      </c>
      <c r="D304" s="2">
        <v>1476</v>
      </c>
      <c r="E304" s="2" t="s">
        <v>45</v>
      </c>
      <c r="F304" s="2">
        <v>16</v>
      </c>
      <c r="G304" s="2">
        <v>2</v>
      </c>
      <c r="H304" s="2" t="s">
        <v>51</v>
      </c>
      <c r="I304" s="2">
        <v>1</v>
      </c>
      <c r="J304" s="2">
        <v>412</v>
      </c>
      <c r="K304" s="2">
        <v>2</v>
      </c>
      <c r="L304" s="2" t="s">
        <v>46</v>
      </c>
      <c r="M304" s="2">
        <v>68</v>
      </c>
      <c r="N304" s="2">
        <v>4</v>
      </c>
      <c r="O304" s="2">
        <v>2</v>
      </c>
      <c r="P304" s="2" t="s">
        <v>54</v>
      </c>
      <c r="Q304" s="2">
        <v>1</v>
      </c>
      <c r="R304" s="2" t="s">
        <v>41</v>
      </c>
      <c r="S304" s="2">
        <v>5661</v>
      </c>
      <c r="T304" s="2">
        <v>4824</v>
      </c>
      <c r="U304" s="2">
        <v>0</v>
      </c>
      <c r="V304" s="2" t="s">
        <v>42</v>
      </c>
      <c r="W304" s="2" t="s">
        <v>43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</row>
    <row r="305" spans="1:35" x14ac:dyDescent="0.25">
      <c r="A305" s="2">
        <v>31</v>
      </c>
      <c r="B305" s="2" t="s">
        <v>43</v>
      </c>
      <c r="C305" s="2" t="s">
        <v>36</v>
      </c>
      <c r="D305" s="2">
        <v>218</v>
      </c>
      <c r="E305" s="2" t="s">
        <v>37</v>
      </c>
      <c r="F305" s="2">
        <v>7</v>
      </c>
      <c r="G305" s="2">
        <v>3</v>
      </c>
      <c r="H305" s="2" t="s">
        <v>60</v>
      </c>
      <c r="I305" s="2">
        <v>1</v>
      </c>
      <c r="J305" s="2">
        <v>416</v>
      </c>
      <c r="K305" s="2">
        <v>2</v>
      </c>
      <c r="L305" s="2" t="s">
        <v>46</v>
      </c>
      <c r="M305" s="2">
        <v>100</v>
      </c>
      <c r="N305" s="2">
        <v>4</v>
      </c>
      <c r="O305" s="2">
        <v>2</v>
      </c>
      <c r="P305" s="2" t="s">
        <v>40</v>
      </c>
      <c r="Q305" s="2">
        <v>4</v>
      </c>
      <c r="R305" s="2" t="s">
        <v>48</v>
      </c>
      <c r="S305" s="2">
        <v>6929</v>
      </c>
      <c r="T305" s="2">
        <v>12241</v>
      </c>
      <c r="U305" s="2">
        <v>4</v>
      </c>
      <c r="V305" s="2" t="s">
        <v>42</v>
      </c>
      <c r="W305" s="2" t="s">
        <v>43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</row>
    <row r="306" spans="1:35" x14ac:dyDescent="0.25">
      <c r="A306" s="2">
        <v>39</v>
      </c>
      <c r="B306" s="2" t="s">
        <v>43</v>
      </c>
      <c r="C306" s="2" t="s">
        <v>36</v>
      </c>
      <c r="D306" s="2">
        <v>1132</v>
      </c>
      <c r="E306" s="2" t="s">
        <v>45</v>
      </c>
      <c r="F306" s="2">
        <v>1</v>
      </c>
      <c r="G306" s="2">
        <v>3</v>
      </c>
      <c r="H306" s="2" t="s">
        <v>51</v>
      </c>
      <c r="I306" s="2">
        <v>1</v>
      </c>
      <c r="J306" s="2">
        <v>417</v>
      </c>
      <c r="K306" s="2">
        <v>3</v>
      </c>
      <c r="L306" s="2" t="s">
        <v>46</v>
      </c>
      <c r="M306" s="2">
        <v>48</v>
      </c>
      <c r="N306" s="2">
        <v>4</v>
      </c>
      <c r="O306" s="2">
        <v>3</v>
      </c>
      <c r="P306" s="2" t="s">
        <v>54</v>
      </c>
      <c r="Q306" s="2">
        <v>4</v>
      </c>
      <c r="R306" s="2" t="s">
        <v>52</v>
      </c>
      <c r="S306" s="2">
        <v>9613</v>
      </c>
      <c r="T306" s="2">
        <v>10942</v>
      </c>
      <c r="U306" s="2">
        <v>0</v>
      </c>
      <c r="V306" s="2" t="s">
        <v>42</v>
      </c>
      <c r="W306" s="2" t="s">
        <v>43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</row>
    <row r="307" spans="1:35" x14ac:dyDescent="0.25">
      <c r="A307" s="2">
        <v>36</v>
      </c>
      <c r="B307" s="2" t="s">
        <v>43</v>
      </c>
      <c r="C307" s="2" t="s">
        <v>55</v>
      </c>
      <c r="D307" s="2">
        <v>1105</v>
      </c>
      <c r="E307" s="2" t="s">
        <v>45</v>
      </c>
      <c r="F307" s="2">
        <v>24</v>
      </c>
      <c r="G307" s="2">
        <v>4</v>
      </c>
      <c r="H307" s="2" t="s">
        <v>38</v>
      </c>
      <c r="I307" s="2">
        <v>1</v>
      </c>
      <c r="J307" s="2">
        <v>419</v>
      </c>
      <c r="K307" s="2">
        <v>2</v>
      </c>
      <c r="L307" s="2" t="s">
        <v>39</v>
      </c>
      <c r="M307" s="2">
        <v>47</v>
      </c>
      <c r="N307" s="2">
        <v>3</v>
      </c>
      <c r="O307" s="2">
        <v>2</v>
      </c>
      <c r="P307" s="2" t="s">
        <v>50</v>
      </c>
      <c r="Q307" s="2">
        <v>2</v>
      </c>
      <c r="R307" s="2" t="s">
        <v>48</v>
      </c>
      <c r="S307" s="2">
        <v>5674</v>
      </c>
      <c r="T307" s="2">
        <v>6927</v>
      </c>
      <c r="U307" s="2">
        <v>7</v>
      </c>
      <c r="V307" s="2" t="s">
        <v>42</v>
      </c>
      <c r="W307" s="2" t="s">
        <v>43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</row>
    <row r="308" spans="1:35" x14ac:dyDescent="0.25">
      <c r="A308" s="2">
        <v>32</v>
      </c>
      <c r="B308" s="2" t="s">
        <v>43</v>
      </c>
      <c r="C308" s="2" t="s">
        <v>36</v>
      </c>
      <c r="D308" s="2">
        <v>906</v>
      </c>
      <c r="E308" s="2" t="s">
        <v>37</v>
      </c>
      <c r="F308" s="2">
        <v>7</v>
      </c>
      <c r="G308" s="2">
        <v>3</v>
      </c>
      <c r="H308" s="2" t="s">
        <v>38</v>
      </c>
      <c r="I308" s="2">
        <v>1</v>
      </c>
      <c r="J308" s="2">
        <v>420</v>
      </c>
      <c r="K308" s="2">
        <v>4</v>
      </c>
      <c r="L308" s="2" t="s">
        <v>46</v>
      </c>
      <c r="M308" s="2">
        <v>91</v>
      </c>
      <c r="N308" s="2">
        <v>2</v>
      </c>
      <c r="O308" s="2">
        <v>2</v>
      </c>
      <c r="P308" s="2" t="s">
        <v>40</v>
      </c>
      <c r="Q308" s="2">
        <v>3</v>
      </c>
      <c r="R308" s="2" t="s">
        <v>48</v>
      </c>
      <c r="S308" s="2">
        <v>5484</v>
      </c>
      <c r="T308" s="2">
        <v>16985</v>
      </c>
      <c r="U308" s="2">
        <v>1</v>
      </c>
      <c r="V308" s="2" t="s">
        <v>42</v>
      </c>
      <c r="W308" s="2" t="s">
        <v>43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</row>
    <row r="309" spans="1:35" x14ac:dyDescent="0.25">
      <c r="A309" s="2">
        <v>38</v>
      </c>
      <c r="B309" s="2" t="s">
        <v>43</v>
      </c>
      <c r="C309" s="2" t="s">
        <v>36</v>
      </c>
      <c r="D309" s="2">
        <v>849</v>
      </c>
      <c r="E309" s="2" t="s">
        <v>45</v>
      </c>
      <c r="F309" s="2">
        <v>25</v>
      </c>
      <c r="G309" s="2">
        <v>2</v>
      </c>
      <c r="H309" s="2" t="s">
        <v>38</v>
      </c>
      <c r="I309" s="2">
        <v>1</v>
      </c>
      <c r="J309" s="2">
        <v>421</v>
      </c>
      <c r="K309" s="2">
        <v>1</v>
      </c>
      <c r="L309" s="2" t="s">
        <v>39</v>
      </c>
      <c r="M309" s="2">
        <v>81</v>
      </c>
      <c r="N309" s="2">
        <v>2</v>
      </c>
      <c r="O309" s="2">
        <v>3</v>
      </c>
      <c r="P309" s="2" t="s">
        <v>58</v>
      </c>
      <c r="Q309" s="2">
        <v>2</v>
      </c>
      <c r="R309" s="2" t="s">
        <v>48</v>
      </c>
      <c r="S309" s="2">
        <v>12061</v>
      </c>
      <c r="T309" s="2">
        <v>26707</v>
      </c>
      <c r="U309" s="2">
        <v>3</v>
      </c>
      <c r="V309" s="2" t="s">
        <v>42</v>
      </c>
      <c r="W309" s="2" t="s">
        <v>43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</row>
    <row r="310" spans="1:35" x14ac:dyDescent="0.25">
      <c r="A310" s="2">
        <v>58</v>
      </c>
      <c r="B310" s="2" t="s">
        <v>43</v>
      </c>
      <c r="C310" s="2" t="s">
        <v>55</v>
      </c>
      <c r="D310" s="2">
        <v>390</v>
      </c>
      <c r="E310" s="2" t="s">
        <v>45</v>
      </c>
      <c r="F310" s="2">
        <v>1</v>
      </c>
      <c r="G310" s="2">
        <v>4</v>
      </c>
      <c r="H310" s="2" t="s">
        <v>38</v>
      </c>
      <c r="I310" s="2">
        <v>1</v>
      </c>
      <c r="J310" s="2">
        <v>422</v>
      </c>
      <c r="K310" s="2">
        <v>4</v>
      </c>
      <c r="L310" s="2" t="s">
        <v>46</v>
      </c>
      <c r="M310" s="2">
        <v>32</v>
      </c>
      <c r="N310" s="2">
        <v>1</v>
      </c>
      <c r="O310" s="2">
        <v>2</v>
      </c>
      <c r="P310" s="2" t="s">
        <v>54</v>
      </c>
      <c r="Q310" s="2">
        <v>3</v>
      </c>
      <c r="R310" s="2" t="s">
        <v>52</v>
      </c>
      <c r="S310" s="2">
        <v>5660</v>
      </c>
      <c r="T310" s="2">
        <v>17056</v>
      </c>
      <c r="U310" s="2">
        <v>2</v>
      </c>
      <c r="V310" s="2" t="s">
        <v>42</v>
      </c>
      <c r="W310" s="2" t="s">
        <v>35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</row>
    <row r="311" spans="1:35" x14ac:dyDescent="0.25">
      <c r="A311" s="2">
        <v>31</v>
      </c>
      <c r="B311" s="2" t="s">
        <v>43</v>
      </c>
      <c r="C311" s="2" t="s">
        <v>36</v>
      </c>
      <c r="D311" s="2">
        <v>691</v>
      </c>
      <c r="E311" s="2" t="s">
        <v>45</v>
      </c>
      <c r="F311" s="2">
        <v>5</v>
      </c>
      <c r="G311" s="2">
        <v>4</v>
      </c>
      <c r="H311" s="2" t="s">
        <v>60</v>
      </c>
      <c r="I311" s="2">
        <v>1</v>
      </c>
      <c r="J311" s="2">
        <v>423</v>
      </c>
      <c r="K311" s="2">
        <v>3</v>
      </c>
      <c r="L311" s="2" t="s">
        <v>46</v>
      </c>
      <c r="M311" s="2">
        <v>86</v>
      </c>
      <c r="N311" s="2">
        <v>3</v>
      </c>
      <c r="O311" s="2">
        <v>1</v>
      </c>
      <c r="P311" s="2" t="s">
        <v>47</v>
      </c>
      <c r="Q311" s="2">
        <v>4</v>
      </c>
      <c r="R311" s="2" t="s">
        <v>48</v>
      </c>
      <c r="S311" s="2">
        <v>4821</v>
      </c>
      <c r="T311" s="2">
        <v>10077</v>
      </c>
      <c r="U311" s="2">
        <v>0</v>
      </c>
      <c r="V311" s="2" t="s">
        <v>42</v>
      </c>
      <c r="W311" s="2" t="s">
        <v>35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</row>
    <row r="312" spans="1:35" x14ac:dyDescent="0.25">
      <c r="A312" s="2">
        <v>31</v>
      </c>
      <c r="B312" s="2" t="s">
        <v>43</v>
      </c>
      <c r="C312" s="2" t="s">
        <v>36</v>
      </c>
      <c r="D312" s="2">
        <v>106</v>
      </c>
      <c r="E312" s="2" t="s">
        <v>61</v>
      </c>
      <c r="F312" s="2">
        <v>2</v>
      </c>
      <c r="G312" s="2">
        <v>3</v>
      </c>
      <c r="H312" s="2" t="s">
        <v>61</v>
      </c>
      <c r="I312" s="2">
        <v>1</v>
      </c>
      <c r="J312" s="2">
        <v>424</v>
      </c>
      <c r="K312" s="2">
        <v>1</v>
      </c>
      <c r="L312" s="2" t="s">
        <v>46</v>
      </c>
      <c r="M312" s="2">
        <v>62</v>
      </c>
      <c r="N312" s="2">
        <v>2</v>
      </c>
      <c r="O312" s="2">
        <v>2</v>
      </c>
      <c r="P312" s="2" t="s">
        <v>61</v>
      </c>
      <c r="Q312" s="2">
        <v>1</v>
      </c>
      <c r="R312" s="2" t="s">
        <v>48</v>
      </c>
      <c r="S312" s="2">
        <v>6410</v>
      </c>
      <c r="T312" s="2">
        <v>17822</v>
      </c>
      <c r="U312" s="2">
        <v>3</v>
      </c>
      <c r="V312" s="2" t="s">
        <v>42</v>
      </c>
      <c r="W312" s="2" t="s">
        <v>43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</row>
    <row r="313" spans="1:35" x14ac:dyDescent="0.25">
      <c r="A313" s="2">
        <v>45</v>
      </c>
      <c r="B313" s="2" t="s">
        <v>43</v>
      </c>
      <c r="C313" s="2" t="s">
        <v>44</v>
      </c>
      <c r="D313" s="2">
        <v>1249</v>
      </c>
      <c r="E313" s="2" t="s">
        <v>45</v>
      </c>
      <c r="F313" s="2">
        <v>7</v>
      </c>
      <c r="G313" s="2">
        <v>3</v>
      </c>
      <c r="H313" s="2" t="s">
        <v>38</v>
      </c>
      <c r="I313" s="2">
        <v>1</v>
      </c>
      <c r="J313" s="2">
        <v>425</v>
      </c>
      <c r="K313" s="2">
        <v>1</v>
      </c>
      <c r="L313" s="2" t="s">
        <v>46</v>
      </c>
      <c r="M313" s="2">
        <v>97</v>
      </c>
      <c r="N313" s="2">
        <v>3</v>
      </c>
      <c r="O313" s="2">
        <v>3</v>
      </c>
      <c r="P313" s="2" t="s">
        <v>50</v>
      </c>
      <c r="Q313" s="2">
        <v>1</v>
      </c>
      <c r="R313" s="2" t="s">
        <v>52</v>
      </c>
      <c r="S313" s="2">
        <v>5210</v>
      </c>
      <c r="T313" s="2">
        <v>20308</v>
      </c>
      <c r="U313" s="2">
        <v>1</v>
      </c>
      <c r="V313" s="2" t="s">
        <v>42</v>
      </c>
      <c r="W313" s="2" t="s">
        <v>43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</row>
    <row r="314" spans="1:35" x14ac:dyDescent="0.25">
      <c r="A314" s="2">
        <v>31</v>
      </c>
      <c r="B314" s="2" t="s">
        <v>43</v>
      </c>
      <c r="C314" s="2" t="s">
        <v>36</v>
      </c>
      <c r="D314" s="2">
        <v>192</v>
      </c>
      <c r="E314" s="2" t="s">
        <v>45</v>
      </c>
      <c r="F314" s="2">
        <v>2</v>
      </c>
      <c r="G314" s="2">
        <v>4</v>
      </c>
      <c r="H314" s="2" t="s">
        <v>38</v>
      </c>
      <c r="I314" s="2">
        <v>1</v>
      </c>
      <c r="J314" s="2">
        <v>426</v>
      </c>
      <c r="K314" s="2">
        <v>3</v>
      </c>
      <c r="L314" s="2" t="s">
        <v>46</v>
      </c>
      <c r="M314" s="2">
        <v>32</v>
      </c>
      <c r="N314" s="2">
        <v>3</v>
      </c>
      <c r="O314" s="2">
        <v>1</v>
      </c>
      <c r="P314" s="2" t="s">
        <v>47</v>
      </c>
      <c r="Q314" s="2">
        <v>4</v>
      </c>
      <c r="R314" s="2" t="s">
        <v>52</v>
      </c>
      <c r="S314" s="2">
        <v>2695</v>
      </c>
      <c r="T314" s="2">
        <v>7747</v>
      </c>
      <c r="U314" s="2">
        <v>0</v>
      </c>
      <c r="V314" s="2" t="s">
        <v>42</v>
      </c>
      <c r="W314" s="2" t="s">
        <v>35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</row>
    <row r="315" spans="1:35" x14ac:dyDescent="0.25">
      <c r="A315" s="2">
        <v>33</v>
      </c>
      <c r="B315" s="2" t="s">
        <v>43</v>
      </c>
      <c r="C315" s="2" t="s">
        <v>44</v>
      </c>
      <c r="D315" s="2">
        <v>553</v>
      </c>
      <c r="E315" s="2" t="s">
        <v>45</v>
      </c>
      <c r="F315" s="2">
        <v>5</v>
      </c>
      <c r="G315" s="2">
        <v>4</v>
      </c>
      <c r="H315" s="2" t="s">
        <v>38</v>
      </c>
      <c r="I315" s="2">
        <v>1</v>
      </c>
      <c r="J315" s="2">
        <v>428</v>
      </c>
      <c r="K315" s="2">
        <v>4</v>
      </c>
      <c r="L315" s="2" t="s">
        <v>39</v>
      </c>
      <c r="M315" s="2">
        <v>74</v>
      </c>
      <c r="N315" s="2">
        <v>3</v>
      </c>
      <c r="O315" s="2">
        <v>3</v>
      </c>
      <c r="P315" s="2" t="s">
        <v>56</v>
      </c>
      <c r="Q315" s="2">
        <v>2</v>
      </c>
      <c r="R315" s="2" t="s">
        <v>48</v>
      </c>
      <c r="S315" s="2">
        <v>11878</v>
      </c>
      <c r="T315" s="2">
        <v>23364</v>
      </c>
      <c r="U315" s="2">
        <v>6</v>
      </c>
      <c r="V315" s="2" t="s">
        <v>42</v>
      </c>
      <c r="W315" s="2" t="s">
        <v>43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</row>
    <row r="316" spans="1:35" x14ac:dyDescent="0.25">
      <c r="A316" s="2">
        <v>39</v>
      </c>
      <c r="B316" s="2" t="s">
        <v>43</v>
      </c>
      <c r="C316" s="2" t="s">
        <v>36</v>
      </c>
      <c r="D316" s="2">
        <v>117</v>
      </c>
      <c r="E316" s="2" t="s">
        <v>45</v>
      </c>
      <c r="F316" s="2">
        <v>10</v>
      </c>
      <c r="G316" s="2">
        <v>1</v>
      </c>
      <c r="H316" s="2" t="s">
        <v>51</v>
      </c>
      <c r="I316" s="2">
        <v>1</v>
      </c>
      <c r="J316" s="2">
        <v>429</v>
      </c>
      <c r="K316" s="2">
        <v>3</v>
      </c>
      <c r="L316" s="2" t="s">
        <v>46</v>
      </c>
      <c r="M316" s="2">
        <v>99</v>
      </c>
      <c r="N316" s="2">
        <v>3</v>
      </c>
      <c r="O316" s="2">
        <v>4</v>
      </c>
      <c r="P316" s="2" t="s">
        <v>56</v>
      </c>
      <c r="Q316" s="2">
        <v>1</v>
      </c>
      <c r="R316" s="2" t="s">
        <v>48</v>
      </c>
      <c r="S316" s="2">
        <v>17068</v>
      </c>
      <c r="T316" s="2">
        <v>5355</v>
      </c>
      <c r="U316" s="2">
        <v>1</v>
      </c>
      <c r="V316" s="2" t="s">
        <v>42</v>
      </c>
      <c r="W316" s="2" t="s">
        <v>35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</row>
    <row r="317" spans="1:35" x14ac:dyDescent="0.25">
      <c r="A317" s="2">
        <v>43</v>
      </c>
      <c r="B317" s="2" t="s">
        <v>43</v>
      </c>
      <c r="C317" s="2" t="s">
        <v>44</v>
      </c>
      <c r="D317" s="2">
        <v>185</v>
      </c>
      <c r="E317" s="2" t="s">
        <v>45</v>
      </c>
      <c r="F317" s="2">
        <v>10</v>
      </c>
      <c r="G317" s="2">
        <v>4</v>
      </c>
      <c r="H317" s="2" t="s">
        <v>38</v>
      </c>
      <c r="I317" s="2">
        <v>1</v>
      </c>
      <c r="J317" s="2">
        <v>430</v>
      </c>
      <c r="K317" s="2">
        <v>3</v>
      </c>
      <c r="L317" s="2" t="s">
        <v>39</v>
      </c>
      <c r="M317" s="2">
        <v>33</v>
      </c>
      <c r="N317" s="2">
        <v>3</v>
      </c>
      <c r="O317" s="2">
        <v>1</v>
      </c>
      <c r="P317" s="2" t="s">
        <v>50</v>
      </c>
      <c r="Q317" s="2">
        <v>4</v>
      </c>
      <c r="R317" s="2" t="s">
        <v>41</v>
      </c>
      <c r="S317" s="2">
        <v>2455</v>
      </c>
      <c r="T317" s="2">
        <v>10675</v>
      </c>
      <c r="U317" s="2">
        <v>0</v>
      </c>
      <c r="V317" s="2" t="s">
        <v>42</v>
      </c>
      <c r="W317" s="2" t="s">
        <v>43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</row>
    <row r="318" spans="1:35" x14ac:dyDescent="0.25">
      <c r="A318" s="2">
        <v>49</v>
      </c>
      <c r="B318" s="2" t="s">
        <v>43</v>
      </c>
      <c r="C318" s="2" t="s">
        <v>36</v>
      </c>
      <c r="D318" s="2">
        <v>1091</v>
      </c>
      <c r="E318" s="2" t="s">
        <v>45</v>
      </c>
      <c r="F318" s="2">
        <v>1</v>
      </c>
      <c r="G318" s="2">
        <v>2</v>
      </c>
      <c r="H318" s="2" t="s">
        <v>60</v>
      </c>
      <c r="I318" s="2">
        <v>1</v>
      </c>
      <c r="J318" s="2">
        <v>431</v>
      </c>
      <c r="K318" s="2">
        <v>3</v>
      </c>
      <c r="L318" s="2" t="s">
        <v>39</v>
      </c>
      <c r="M318" s="2">
        <v>90</v>
      </c>
      <c r="N318" s="2">
        <v>2</v>
      </c>
      <c r="O318" s="2">
        <v>4</v>
      </c>
      <c r="P318" s="2" t="s">
        <v>54</v>
      </c>
      <c r="Q318" s="2">
        <v>3</v>
      </c>
      <c r="R318" s="2" t="s">
        <v>41</v>
      </c>
      <c r="S318" s="2">
        <v>13964</v>
      </c>
      <c r="T318" s="2">
        <v>17810</v>
      </c>
      <c r="U318" s="2">
        <v>7</v>
      </c>
      <c r="V318" s="2" t="s">
        <v>42</v>
      </c>
      <c r="W318" s="2" t="s">
        <v>35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</row>
    <row r="319" spans="1:35" x14ac:dyDescent="0.25">
      <c r="A319" s="2">
        <v>52</v>
      </c>
      <c r="B319" s="2" t="s">
        <v>35</v>
      </c>
      <c r="C319" s="2" t="s">
        <v>36</v>
      </c>
      <c r="D319" s="2">
        <v>723</v>
      </c>
      <c r="E319" s="2" t="s">
        <v>45</v>
      </c>
      <c r="F319" s="2">
        <v>8</v>
      </c>
      <c r="G319" s="2">
        <v>4</v>
      </c>
      <c r="H319" s="2" t="s">
        <v>51</v>
      </c>
      <c r="I319" s="2">
        <v>1</v>
      </c>
      <c r="J319" s="2">
        <v>433</v>
      </c>
      <c r="K319" s="2">
        <v>3</v>
      </c>
      <c r="L319" s="2" t="s">
        <v>46</v>
      </c>
      <c r="M319" s="2">
        <v>85</v>
      </c>
      <c r="N319" s="2">
        <v>2</v>
      </c>
      <c r="O319" s="2">
        <v>2</v>
      </c>
      <c r="P319" s="2" t="s">
        <v>47</v>
      </c>
      <c r="Q319" s="2">
        <v>2</v>
      </c>
      <c r="R319" s="2" t="s">
        <v>48</v>
      </c>
      <c r="S319" s="2">
        <v>4941</v>
      </c>
      <c r="T319" s="2">
        <v>17747</v>
      </c>
      <c r="U319" s="2">
        <v>2</v>
      </c>
      <c r="V319" s="2" t="s">
        <v>42</v>
      </c>
      <c r="W319" s="2" t="s">
        <v>43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</row>
    <row r="320" spans="1:35" x14ac:dyDescent="0.25">
      <c r="A320" s="2">
        <v>27</v>
      </c>
      <c r="B320" s="2" t="s">
        <v>43</v>
      </c>
      <c r="C320" s="2" t="s">
        <v>36</v>
      </c>
      <c r="D320" s="2">
        <v>1220</v>
      </c>
      <c r="E320" s="2" t="s">
        <v>45</v>
      </c>
      <c r="F320" s="2">
        <v>5</v>
      </c>
      <c r="G320" s="2">
        <v>3</v>
      </c>
      <c r="H320" s="2" t="s">
        <v>38</v>
      </c>
      <c r="I320" s="2">
        <v>1</v>
      </c>
      <c r="J320" s="2">
        <v>434</v>
      </c>
      <c r="K320" s="2">
        <v>3</v>
      </c>
      <c r="L320" s="2" t="s">
        <v>39</v>
      </c>
      <c r="M320" s="2">
        <v>85</v>
      </c>
      <c r="N320" s="2">
        <v>3</v>
      </c>
      <c r="O320" s="2">
        <v>1</v>
      </c>
      <c r="P320" s="2" t="s">
        <v>47</v>
      </c>
      <c r="Q320" s="2">
        <v>2</v>
      </c>
      <c r="R320" s="2" t="s">
        <v>41</v>
      </c>
      <c r="S320" s="2">
        <v>2478</v>
      </c>
      <c r="T320" s="2">
        <v>20938</v>
      </c>
      <c r="U320" s="2">
        <v>1</v>
      </c>
      <c r="V320" s="2" t="s">
        <v>42</v>
      </c>
      <c r="W320" s="2" t="s">
        <v>35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</row>
    <row r="321" spans="1:35" x14ac:dyDescent="0.25">
      <c r="A321" s="2">
        <v>32</v>
      </c>
      <c r="B321" s="2" t="s">
        <v>43</v>
      </c>
      <c r="C321" s="2" t="s">
        <v>36</v>
      </c>
      <c r="D321" s="2">
        <v>588</v>
      </c>
      <c r="E321" s="2" t="s">
        <v>37</v>
      </c>
      <c r="F321" s="2">
        <v>8</v>
      </c>
      <c r="G321" s="2">
        <v>2</v>
      </c>
      <c r="H321" s="2" t="s">
        <v>60</v>
      </c>
      <c r="I321" s="2">
        <v>1</v>
      </c>
      <c r="J321" s="2">
        <v>436</v>
      </c>
      <c r="K321" s="2">
        <v>3</v>
      </c>
      <c r="L321" s="2" t="s">
        <v>39</v>
      </c>
      <c r="M321" s="2">
        <v>65</v>
      </c>
      <c r="N321" s="2">
        <v>2</v>
      </c>
      <c r="O321" s="2">
        <v>2</v>
      </c>
      <c r="P321" s="2" t="s">
        <v>40</v>
      </c>
      <c r="Q321" s="2">
        <v>2</v>
      </c>
      <c r="R321" s="2" t="s">
        <v>48</v>
      </c>
      <c r="S321" s="2">
        <v>5228</v>
      </c>
      <c r="T321" s="2">
        <v>24624</v>
      </c>
      <c r="U321" s="2">
        <v>1</v>
      </c>
      <c r="V321" s="2" t="s">
        <v>42</v>
      </c>
      <c r="W321" s="2" t="s">
        <v>35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</row>
    <row r="322" spans="1:35" x14ac:dyDescent="0.25">
      <c r="A322" s="2">
        <v>27</v>
      </c>
      <c r="B322" s="2" t="s">
        <v>43</v>
      </c>
      <c r="C322" s="2" t="s">
        <v>36</v>
      </c>
      <c r="D322" s="2">
        <v>1377</v>
      </c>
      <c r="E322" s="2" t="s">
        <v>37</v>
      </c>
      <c r="F322" s="2">
        <v>2</v>
      </c>
      <c r="G322" s="2">
        <v>3</v>
      </c>
      <c r="H322" s="2" t="s">
        <v>38</v>
      </c>
      <c r="I322" s="2">
        <v>1</v>
      </c>
      <c r="J322" s="2">
        <v>437</v>
      </c>
      <c r="K322" s="2">
        <v>4</v>
      </c>
      <c r="L322" s="2" t="s">
        <v>46</v>
      </c>
      <c r="M322" s="2">
        <v>74</v>
      </c>
      <c r="N322" s="2">
        <v>3</v>
      </c>
      <c r="O322" s="2">
        <v>2</v>
      </c>
      <c r="P322" s="2" t="s">
        <v>40</v>
      </c>
      <c r="Q322" s="2">
        <v>3</v>
      </c>
      <c r="R322" s="2" t="s">
        <v>41</v>
      </c>
      <c r="S322" s="2">
        <v>4478</v>
      </c>
      <c r="T322" s="2">
        <v>5242</v>
      </c>
      <c r="U322" s="2">
        <v>1</v>
      </c>
      <c r="V322" s="2" t="s">
        <v>42</v>
      </c>
      <c r="W322" s="2" t="s">
        <v>35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</row>
    <row r="323" spans="1:35" x14ac:dyDescent="0.25">
      <c r="A323" s="2">
        <v>31</v>
      </c>
      <c r="B323" s="2" t="s">
        <v>43</v>
      </c>
      <c r="C323" s="2" t="s">
        <v>36</v>
      </c>
      <c r="D323" s="2">
        <v>691</v>
      </c>
      <c r="E323" s="2" t="s">
        <v>37</v>
      </c>
      <c r="F323" s="2">
        <v>7</v>
      </c>
      <c r="G323" s="2">
        <v>3</v>
      </c>
      <c r="H323" s="2" t="s">
        <v>59</v>
      </c>
      <c r="I323" s="2">
        <v>1</v>
      </c>
      <c r="J323" s="2">
        <v>438</v>
      </c>
      <c r="K323" s="2">
        <v>4</v>
      </c>
      <c r="L323" s="2" t="s">
        <v>46</v>
      </c>
      <c r="M323" s="2">
        <v>73</v>
      </c>
      <c r="N323" s="2">
        <v>3</v>
      </c>
      <c r="O323" s="2">
        <v>2</v>
      </c>
      <c r="P323" s="2" t="s">
        <v>40</v>
      </c>
      <c r="Q323" s="2">
        <v>4</v>
      </c>
      <c r="R323" s="2" t="s">
        <v>52</v>
      </c>
      <c r="S323" s="2">
        <v>7547</v>
      </c>
      <c r="T323" s="2">
        <v>7143</v>
      </c>
      <c r="U323" s="2">
        <v>4</v>
      </c>
      <c r="V323" s="2" t="s">
        <v>42</v>
      </c>
      <c r="W323" s="2" t="s">
        <v>43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</row>
    <row r="324" spans="1:35" x14ac:dyDescent="0.25">
      <c r="A324" s="2">
        <v>32</v>
      </c>
      <c r="B324" s="2" t="s">
        <v>43</v>
      </c>
      <c r="C324" s="2" t="s">
        <v>36</v>
      </c>
      <c r="D324" s="2">
        <v>1018</v>
      </c>
      <c r="E324" s="2" t="s">
        <v>45</v>
      </c>
      <c r="F324" s="2">
        <v>2</v>
      </c>
      <c r="G324" s="2">
        <v>4</v>
      </c>
      <c r="H324" s="2" t="s">
        <v>51</v>
      </c>
      <c r="I324" s="2">
        <v>1</v>
      </c>
      <c r="J324" s="2">
        <v>439</v>
      </c>
      <c r="K324" s="2">
        <v>1</v>
      </c>
      <c r="L324" s="2" t="s">
        <v>39</v>
      </c>
      <c r="M324" s="2">
        <v>74</v>
      </c>
      <c r="N324" s="2">
        <v>4</v>
      </c>
      <c r="O324" s="2">
        <v>2</v>
      </c>
      <c r="P324" s="2" t="s">
        <v>47</v>
      </c>
      <c r="Q324" s="2">
        <v>4</v>
      </c>
      <c r="R324" s="2" t="s">
        <v>41</v>
      </c>
      <c r="S324" s="2">
        <v>5055</v>
      </c>
      <c r="T324" s="2">
        <v>10557</v>
      </c>
      <c r="U324" s="2">
        <v>7</v>
      </c>
      <c r="V324" s="2" t="s">
        <v>42</v>
      </c>
      <c r="W324" s="2" t="s">
        <v>43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</row>
    <row r="325" spans="1:35" x14ac:dyDescent="0.25">
      <c r="A325" s="2">
        <v>28</v>
      </c>
      <c r="B325" s="2" t="s">
        <v>35</v>
      </c>
      <c r="C325" s="2" t="s">
        <v>36</v>
      </c>
      <c r="D325" s="2">
        <v>1157</v>
      </c>
      <c r="E325" s="2" t="s">
        <v>45</v>
      </c>
      <c r="F325" s="2">
        <v>2</v>
      </c>
      <c r="G325" s="2">
        <v>4</v>
      </c>
      <c r="H325" s="2" t="s">
        <v>51</v>
      </c>
      <c r="I325" s="2">
        <v>1</v>
      </c>
      <c r="J325" s="2">
        <v>440</v>
      </c>
      <c r="K325" s="2">
        <v>1</v>
      </c>
      <c r="L325" s="2" t="s">
        <v>46</v>
      </c>
      <c r="M325" s="2">
        <v>84</v>
      </c>
      <c r="N325" s="2">
        <v>1</v>
      </c>
      <c r="O325" s="2">
        <v>1</v>
      </c>
      <c r="P325" s="2" t="s">
        <v>47</v>
      </c>
      <c r="Q325" s="2">
        <v>4</v>
      </c>
      <c r="R325" s="2" t="s">
        <v>48</v>
      </c>
      <c r="S325" s="2">
        <v>3464</v>
      </c>
      <c r="T325" s="2">
        <v>24737</v>
      </c>
      <c r="U325" s="2">
        <v>5</v>
      </c>
      <c r="V325" s="2" t="s">
        <v>42</v>
      </c>
      <c r="W325" s="2" t="s">
        <v>35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</row>
    <row r="326" spans="1:35" x14ac:dyDescent="0.25">
      <c r="A326" s="2">
        <v>30</v>
      </c>
      <c r="B326" s="2" t="s">
        <v>43</v>
      </c>
      <c r="C326" s="2" t="s">
        <v>36</v>
      </c>
      <c r="D326" s="2">
        <v>1275</v>
      </c>
      <c r="E326" s="2" t="s">
        <v>45</v>
      </c>
      <c r="F326" s="2">
        <v>28</v>
      </c>
      <c r="G326" s="2">
        <v>2</v>
      </c>
      <c r="H326" s="2" t="s">
        <v>51</v>
      </c>
      <c r="I326" s="2">
        <v>1</v>
      </c>
      <c r="J326" s="2">
        <v>441</v>
      </c>
      <c r="K326" s="2">
        <v>4</v>
      </c>
      <c r="L326" s="2" t="s">
        <v>39</v>
      </c>
      <c r="M326" s="2">
        <v>64</v>
      </c>
      <c r="N326" s="2">
        <v>3</v>
      </c>
      <c r="O326" s="2">
        <v>2</v>
      </c>
      <c r="P326" s="2" t="s">
        <v>47</v>
      </c>
      <c r="Q326" s="2">
        <v>4</v>
      </c>
      <c r="R326" s="2" t="s">
        <v>48</v>
      </c>
      <c r="S326" s="2">
        <v>5775</v>
      </c>
      <c r="T326" s="2">
        <v>11934</v>
      </c>
      <c r="U326" s="2">
        <v>1</v>
      </c>
      <c r="V326" s="2" t="s">
        <v>42</v>
      </c>
      <c r="W326" s="2" t="s">
        <v>43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</row>
    <row r="327" spans="1:35" x14ac:dyDescent="0.25">
      <c r="A327" s="2">
        <v>31</v>
      </c>
      <c r="B327" s="2" t="s">
        <v>43</v>
      </c>
      <c r="C327" s="2" t="s">
        <v>44</v>
      </c>
      <c r="D327" s="2">
        <v>798</v>
      </c>
      <c r="E327" s="2" t="s">
        <v>45</v>
      </c>
      <c r="F327" s="2">
        <v>7</v>
      </c>
      <c r="G327" s="2">
        <v>2</v>
      </c>
      <c r="H327" s="2" t="s">
        <v>38</v>
      </c>
      <c r="I327" s="2">
        <v>1</v>
      </c>
      <c r="J327" s="2">
        <v>442</v>
      </c>
      <c r="K327" s="2">
        <v>3</v>
      </c>
      <c r="L327" s="2" t="s">
        <v>39</v>
      </c>
      <c r="M327" s="2">
        <v>48</v>
      </c>
      <c r="N327" s="2">
        <v>2</v>
      </c>
      <c r="O327" s="2">
        <v>3</v>
      </c>
      <c r="P327" s="2" t="s">
        <v>53</v>
      </c>
      <c r="Q327" s="2">
        <v>3</v>
      </c>
      <c r="R327" s="2" t="s">
        <v>48</v>
      </c>
      <c r="S327" s="2">
        <v>8943</v>
      </c>
      <c r="T327" s="2">
        <v>14034</v>
      </c>
      <c r="U327" s="2">
        <v>1</v>
      </c>
      <c r="V327" s="2" t="s">
        <v>42</v>
      </c>
      <c r="W327" s="2" t="s">
        <v>43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</row>
    <row r="328" spans="1:35" x14ac:dyDescent="0.25">
      <c r="A328" s="2">
        <v>39</v>
      </c>
      <c r="B328" s="2" t="s">
        <v>43</v>
      </c>
      <c r="C328" s="2" t="s">
        <v>44</v>
      </c>
      <c r="D328" s="2">
        <v>672</v>
      </c>
      <c r="E328" s="2" t="s">
        <v>45</v>
      </c>
      <c r="F328" s="2">
        <v>7</v>
      </c>
      <c r="G328" s="2">
        <v>2</v>
      </c>
      <c r="H328" s="2" t="s">
        <v>51</v>
      </c>
      <c r="I328" s="2">
        <v>1</v>
      </c>
      <c r="J328" s="2">
        <v>444</v>
      </c>
      <c r="K328" s="2">
        <v>3</v>
      </c>
      <c r="L328" s="2" t="s">
        <v>46</v>
      </c>
      <c r="M328" s="2">
        <v>54</v>
      </c>
      <c r="N328" s="2">
        <v>2</v>
      </c>
      <c r="O328" s="2">
        <v>5</v>
      </c>
      <c r="P328" s="2" t="s">
        <v>56</v>
      </c>
      <c r="Q328" s="2">
        <v>4</v>
      </c>
      <c r="R328" s="2" t="s">
        <v>48</v>
      </c>
      <c r="S328" s="2">
        <v>19272</v>
      </c>
      <c r="T328" s="2">
        <v>21141</v>
      </c>
      <c r="U328" s="2">
        <v>1</v>
      </c>
      <c r="V328" s="2" t="s">
        <v>42</v>
      </c>
      <c r="W328" s="2" t="s">
        <v>43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</row>
    <row r="329" spans="1:35" x14ac:dyDescent="0.25">
      <c r="A329" s="2">
        <v>39</v>
      </c>
      <c r="B329" s="2" t="s">
        <v>35</v>
      </c>
      <c r="C329" s="2" t="s">
        <v>36</v>
      </c>
      <c r="D329" s="2">
        <v>1162</v>
      </c>
      <c r="E329" s="2" t="s">
        <v>37</v>
      </c>
      <c r="F329" s="2">
        <v>3</v>
      </c>
      <c r="G329" s="2">
        <v>2</v>
      </c>
      <c r="H329" s="2" t="s">
        <v>51</v>
      </c>
      <c r="I329" s="2">
        <v>1</v>
      </c>
      <c r="J329" s="2">
        <v>445</v>
      </c>
      <c r="K329" s="2">
        <v>4</v>
      </c>
      <c r="L329" s="2" t="s">
        <v>39</v>
      </c>
      <c r="M329" s="2">
        <v>41</v>
      </c>
      <c r="N329" s="2">
        <v>3</v>
      </c>
      <c r="O329" s="2">
        <v>2</v>
      </c>
      <c r="P329" s="2" t="s">
        <v>40</v>
      </c>
      <c r="Q329" s="2">
        <v>3</v>
      </c>
      <c r="R329" s="2" t="s">
        <v>48</v>
      </c>
      <c r="S329" s="2">
        <v>5238</v>
      </c>
      <c r="T329" s="2">
        <v>17778</v>
      </c>
      <c r="U329" s="2">
        <v>4</v>
      </c>
      <c r="V329" s="2" t="s">
        <v>42</v>
      </c>
      <c r="W329" s="2" t="s">
        <v>35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</row>
    <row r="330" spans="1:35" x14ac:dyDescent="0.25">
      <c r="A330" s="2">
        <v>33</v>
      </c>
      <c r="B330" s="2" t="s">
        <v>43</v>
      </c>
      <c r="C330" s="2" t="s">
        <v>44</v>
      </c>
      <c r="D330" s="2">
        <v>508</v>
      </c>
      <c r="E330" s="2" t="s">
        <v>37</v>
      </c>
      <c r="F330" s="2">
        <v>10</v>
      </c>
      <c r="G330" s="2">
        <v>3</v>
      </c>
      <c r="H330" s="2" t="s">
        <v>59</v>
      </c>
      <c r="I330" s="2">
        <v>1</v>
      </c>
      <c r="J330" s="2">
        <v>446</v>
      </c>
      <c r="K330" s="2">
        <v>2</v>
      </c>
      <c r="L330" s="2" t="s">
        <v>46</v>
      </c>
      <c r="M330" s="2">
        <v>46</v>
      </c>
      <c r="N330" s="2">
        <v>2</v>
      </c>
      <c r="O330" s="2">
        <v>2</v>
      </c>
      <c r="P330" s="2" t="s">
        <v>40</v>
      </c>
      <c r="Q330" s="2">
        <v>4</v>
      </c>
      <c r="R330" s="2" t="s">
        <v>41</v>
      </c>
      <c r="S330" s="2">
        <v>4682</v>
      </c>
      <c r="T330" s="2">
        <v>4317</v>
      </c>
      <c r="U330" s="2">
        <v>3</v>
      </c>
      <c r="V330" s="2" t="s">
        <v>42</v>
      </c>
      <c r="W330" s="2" t="s">
        <v>43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</row>
    <row r="331" spans="1:35" x14ac:dyDescent="0.25">
      <c r="A331" s="2">
        <v>47</v>
      </c>
      <c r="B331" s="2" t="s">
        <v>43</v>
      </c>
      <c r="C331" s="2" t="s">
        <v>36</v>
      </c>
      <c r="D331" s="2">
        <v>1482</v>
      </c>
      <c r="E331" s="2" t="s">
        <v>45</v>
      </c>
      <c r="F331" s="2">
        <v>5</v>
      </c>
      <c r="G331" s="2">
        <v>5</v>
      </c>
      <c r="H331" s="2" t="s">
        <v>38</v>
      </c>
      <c r="I331" s="2">
        <v>1</v>
      </c>
      <c r="J331" s="2">
        <v>447</v>
      </c>
      <c r="K331" s="2">
        <v>4</v>
      </c>
      <c r="L331" s="2" t="s">
        <v>46</v>
      </c>
      <c r="M331" s="2">
        <v>42</v>
      </c>
      <c r="N331" s="2">
        <v>3</v>
      </c>
      <c r="O331" s="2">
        <v>5</v>
      </c>
      <c r="P331" s="2" t="s">
        <v>58</v>
      </c>
      <c r="Q331" s="2">
        <v>3</v>
      </c>
      <c r="R331" s="2" t="s">
        <v>48</v>
      </c>
      <c r="S331" s="2">
        <v>18300</v>
      </c>
      <c r="T331" s="2">
        <v>16375</v>
      </c>
      <c r="U331" s="2">
        <v>4</v>
      </c>
      <c r="V331" s="2" t="s">
        <v>42</v>
      </c>
      <c r="W331" s="2" t="s">
        <v>43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</row>
    <row r="332" spans="1:35" x14ac:dyDescent="0.25">
      <c r="A332" s="2">
        <v>43</v>
      </c>
      <c r="B332" s="2" t="s">
        <v>43</v>
      </c>
      <c r="C332" s="2" t="s">
        <v>44</v>
      </c>
      <c r="D332" s="2">
        <v>559</v>
      </c>
      <c r="E332" s="2" t="s">
        <v>45</v>
      </c>
      <c r="F332" s="2">
        <v>10</v>
      </c>
      <c r="G332" s="2">
        <v>4</v>
      </c>
      <c r="H332" s="2" t="s">
        <v>38</v>
      </c>
      <c r="I332" s="2">
        <v>1</v>
      </c>
      <c r="J332" s="2">
        <v>448</v>
      </c>
      <c r="K332" s="2">
        <v>3</v>
      </c>
      <c r="L332" s="2" t="s">
        <v>39</v>
      </c>
      <c r="M332" s="2">
        <v>82</v>
      </c>
      <c r="N332" s="2">
        <v>2</v>
      </c>
      <c r="O332" s="2">
        <v>2</v>
      </c>
      <c r="P332" s="2" t="s">
        <v>50</v>
      </c>
      <c r="Q332" s="2">
        <v>3</v>
      </c>
      <c r="R332" s="2" t="s">
        <v>52</v>
      </c>
      <c r="S332" s="2">
        <v>5257</v>
      </c>
      <c r="T332" s="2">
        <v>6227</v>
      </c>
      <c r="U332" s="2">
        <v>1</v>
      </c>
      <c r="V332" s="2" t="s">
        <v>42</v>
      </c>
      <c r="W332" s="2" t="s">
        <v>43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</row>
    <row r="333" spans="1:35" x14ac:dyDescent="0.25">
      <c r="A333" s="2">
        <v>27</v>
      </c>
      <c r="B333" s="2" t="s">
        <v>43</v>
      </c>
      <c r="C333" s="2" t="s">
        <v>55</v>
      </c>
      <c r="D333" s="2">
        <v>210</v>
      </c>
      <c r="E333" s="2" t="s">
        <v>37</v>
      </c>
      <c r="F333" s="2">
        <v>1</v>
      </c>
      <c r="G333" s="2">
        <v>1</v>
      </c>
      <c r="H333" s="2" t="s">
        <v>59</v>
      </c>
      <c r="I333" s="2">
        <v>1</v>
      </c>
      <c r="J333" s="2">
        <v>449</v>
      </c>
      <c r="K333" s="2">
        <v>3</v>
      </c>
      <c r="L333" s="2" t="s">
        <v>46</v>
      </c>
      <c r="M333" s="2">
        <v>73</v>
      </c>
      <c r="N333" s="2">
        <v>3</v>
      </c>
      <c r="O333" s="2">
        <v>2</v>
      </c>
      <c r="P333" s="2" t="s">
        <v>40</v>
      </c>
      <c r="Q333" s="2">
        <v>2</v>
      </c>
      <c r="R333" s="2" t="s">
        <v>48</v>
      </c>
      <c r="S333" s="2">
        <v>6349</v>
      </c>
      <c r="T333" s="2">
        <v>22107</v>
      </c>
      <c r="U333" s="2">
        <v>0</v>
      </c>
      <c r="V333" s="2" t="s">
        <v>42</v>
      </c>
      <c r="W333" s="2" t="s">
        <v>35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</row>
    <row r="334" spans="1:35" x14ac:dyDescent="0.25">
      <c r="A334" s="2">
        <v>54</v>
      </c>
      <c r="B334" s="2" t="s">
        <v>43</v>
      </c>
      <c r="C334" s="2" t="s">
        <v>44</v>
      </c>
      <c r="D334" s="2">
        <v>928</v>
      </c>
      <c r="E334" s="2" t="s">
        <v>45</v>
      </c>
      <c r="F334" s="2">
        <v>20</v>
      </c>
      <c r="G334" s="2">
        <v>4</v>
      </c>
      <c r="H334" s="2" t="s">
        <v>38</v>
      </c>
      <c r="I334" s="2">
        <v>1</v>
      </c>
      <c r="J334" s="2">
        <v>450</v>
      </c>
      <c r="K334" s="2">
        <v>4</v>
      </c>
      <c r="L334" s="2" t="s">
        <v>39</v>
      </c>
      <c r="M334" s="2">
        <v>31</v>
      </c>
      <c r="N334" s="2">
        <v>3</v>
      </c>
      <c r="O334" s="2">
        <v>2</v>
      </c>
      <c r="P334" s="2" t="s">
        <v>47</v>
      </c>
      <c r="Q334" s="2">
        <v>3</v>
      </c>
      <c r="R334" s="2" t="s">
        <v>41</v>
      </c>
      <c r="S334" s="2">
        <v>4869</v>
      </c>
      <c r="T334" s="2">
        <v>16885</v>
      </c>
      <c r="U334" s="2">
        <v>3</v>
      </c>
      <c r="V334" s="2" t="s">
        <v>42</v>
      </c>
      <c r="W334" s="2" t="s">
        <v>43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</row>
    <row r="335" spans="1:35" x14ac:dyDescent="0.25">
      <c r="A335" s="2">
        <v>43</v>
      </c>
      <c r="B335" s="2" t="s">
        <v>43</v>
      </c>
      <c r="C335" s="2" t="s">
        <v>36</v>
      </c>
      <c r="D335" s="2">
        <v>1001</v>
      </c>
      <c r="E335" s="2" t="s">
        <v>45</v>
      </c>
      <c r="F335" s="2">
        <v>7</v>
      </c>
      <c r="G335" s="2">
        <v>3</v>
      </c>
      <c r="H335" s="2" t="s">
        <v>38</v>
      </c>
      <c r="I335" s="2">
        <v>1</v>
      </c>
      <c r="J335" s="2">
        <v>451</v>
      </c>
      <c r="K335" s="2">
        <v>3</v>
      </c>
      <c r="L335" s="2" t="s">
        <v>39</v>
      </c>
      <c r="M335" s="2">
        <v>43</v>
      </c>
      <c r="N335" s="2">
        <v>3</v>
      </c>
      <c r="O335" s="2">
        <v>3</v>
      </c>
      <c r="P335" s="2" t="s">
        <v>54</v>
      </c>
      <c r="Q335" s="2">
        <v>1</v>
      </c>
      <c r="R335" s="2" t="s">
        <v>48</v>
      </c>
      <c r="S335" s="2">
        <v>9985</v>
      </c>
      <c r="T335" s="2">
        <v>9262</v>
      </c>
      <c r="U335" s="2">
        <v>8</v>
      </c>
      <c r="V335" s="2" t="s">
        <v>42</v>
      </c>
      <c r="W335" s="2" t="s">
        <v>43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</row>
    <row r="336" spans="1:35" x14ac:dyDescent="0.25">
      <c r="A336" s="2">
        <v>45</v>
      </c>
      <c r="B336" s="2" t="s">
        <v>43</v>
      </c>
      <c r="C336" s="2" t="s">
        <v>36</v>
      </c>
      <c r="D336" s="2">
        <v>549</v>
      </c>
      <c r="E336" s="2" t="s">
        <v>45</v>
      </c>
      <c r="F336" s="2">
        <v>8</v>
      </c>
      <c r="G336" s="2">
        <v>4</v>
      </c>
      <c r="H336" s="2" t="s">
        <v>49</v>
      </c>
      <c r="I336" s="2">
        <v>1</v>
      </c>
      <c r="J336" s="2">
        <v>452</v>
      </c>
      <c r="K336" s="2">
        <v>4</v>
      </c>
      <c r="L336" s="2" t="s">
        <v>46</v>
      </c>
      <c r="M336" s="2">
        <v>75</v>
      </c>
      <c r="N336" s="2">
        <v>3</v>
      </c>
      <c r="O336" s="2">
        <v>2</v>
      </c>
      <c r="P336" s="2" t="s">
        <v>47</v>
      </c>
      <c r="Q336" s="2">
        <v>4</v>
      </c>
      <c r="R336" s="2" t="s">
        <v>48</v>
      </c>
      <c r="S336" s="2">
        <v>3697</v>
      </c>
      <c r="T336" s="2">
        <v>9278</v>
      </c>
      <c r="U336" s="2">
        <v>9</v>
      </c>
      <c r="V336" s="2" t="s">
        <v>42</v>
      </c>
      <c r="W336" s="2" t="s">
        <v>43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</row>
    <row r="337" spans="1:35" x14ac:dyDescent="0.25">
      <c r="A337" s="2">
        <v>40</v>
      </c>
      <c r="B337" s="2" t="s">
        <v>43</v>
      </c>
      <c r="C337" s="2" t="s">
        <v>36</v>
      </c>
      <c r="D337" s="2">
        <v>1124</v>
      </c>
      <c r="E337" s="2" t="s">
        <v>37</v>
      </c>
      <c r="F337" s="2">
        <v>1</v>
      </c>
      <c r="G337" s="2">
        <v>2</v>
      </c>
      <c r="H337" s="2" t="s">
        <v>51</v>
      </c>
      <c r="I337" s="2">
        <v>1</v>
      </c>
      <c r="J337" s="2">
        <v>453</v>
      </c>
      <c r="K337" s="2">
        <v>2</v>
      </c>
      <c r="L337" s="2" t="s">
        <v>46</v>
      </c>
      <c r="M337" s="2">
        <v>57</v>
      </c>
      <c r="N337" s="2">
        <v>1</v>
      </c>
      <c r="O337" s="2">
        <v>2</v>
      </c>
      <c r="P337" s="2" t="s">
        <v>40</v>
      </c>
      <c r="Q337" s="2">
        <v>4</v>
      </c>
      <c r="R337" s="2" t="s">
        <v>48</v>
      </c>
      <c r="S337" s="2">
        <v>7457</v>
      </c>
      <c r="T337" s="2">
        <v>13273</v>
      </c>
      <c r="U337" s="2">
        <v>2</v>
      </c>
      <c r="V337" s="2" t="s">
        <v>42</v>
      </c>
      <c r="W337" s="2" t="s">
        <v>35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</row>
    <row r="338" spans="1:35" x14ac:dyDescent="0.25">
      <c r="A338" s="2">
        <v>29</v>
      </c>
      <c r="B338" s="2" t="s">
        <v>35</v>
      </c>
      <c r="C338" s="2" t="s">
        <v>36</v>
      </c>
      <c r="D338" s="2">
        <v>318</v>
      </c>
      <c r="E338" s="2" t="s">
        <v>45</v>
      </c>
      <c r="F338" s="2">
        <v>8</v>
      </c>
      <c r="G338" s="2">
        <v>4</v>
      </c>
      <c r="H338" s="2" t="s">
        <v>49</v>
      </c>
      <c r="I338" s="2">
        <v>1</v>
      </c>
      <c r="J338" s="2">
        <v>454</v>
      </c>
      <c r="K338" s="2">
        <v>2</v>
      </c>
      <c r="L338" s="2" t="s">
        <v>46</v>
      </c>
      <c r="M338" s="2">
        <v>77</v>
      </c>
      <c r="N338" s="2">
        <v>1</v>
      </c>
      <c r="O338" s="2">
        <v>1</v>
      </c>
      <c r="P338" s="2" t="s">
        <v>50</v>
      </c>
      <c r="Q338" s="2">
        <v>1</v>
      </c>
      <c r="R338" s="2" t="s">
        <v>48</v>
      </c>
      <c r="S338" s="2">
        <v>2119</v>
      </c>
      <c r="T338" s="2">
        <v>4759</v>
      </c>
      <c r="U338" s="2">
        <v>1</v>
      </c>
      <c r="V338" s="2" t="s">
        <v>42</v>
      </c>
      <c r="W338" s="2" t="s">
        <v>35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</row>
    <row r="339" spans="1:35" x14ac:dyDescent="0.25">
      <c r="A339" s="2">
        <v>29</v>
      </c>
      <c r="B339" s="2" t="s">
        <v>43</v>
      </c>
      <c r="C339" s="2" t="s">
        <v>36</v>
      </c>
      <c r="D339" s="2">
        <v>738</v>
      </c>
      <c r="E339" s="2" t="s">
        <v>45</v>
      </c>
      <c r="F339" s="2">
        <v>9</v>
      </c>
      <c r="G339" s="2">
        <v>5</v>
      </c>
      <c r="H339" s="2" t="s">
        <v>49</v>
      </c>
      <c r="I339" s="2">
        <v>1</v>
      </c>
      <c r="J339" s="2">
        <v>455</v>
      </c>
      <c r="K339" s="2">
        <v>2</v>
      </c>
      <c r="L339" s="2" t="s">
        <v>46</v>
      </c>
      <c r="M339" s="2">
        <v>30</v>
      </c>
      <c r="N339" s="2">
        <v>2</v>
      </c>
      <c r="O339" s="2">
        <v>1</v>
      </c>
      <c r="P339" s="2" t="s">
        <v>50</v>
      </c>
      <c r="Q339" s="2">
        <v>4</v>
      </c>
      <c r="R339" s="2" t="s">
        <v>41</v>
      </c>
      <c r="S339" s="2">
        <v>3983</v>
      </c>
      <c r="T339" s="2">
        <v>7621</v>
      </c>
      <c r="U339" s="2">
        <v>0</v>
      </c>
      <c r="V339" s="2" t="s">
        <v>42</v>
      </c>
      <c r="W339" s="2" t="s">
        <v>43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</row>
    <row r="340" spans="1:35" x14ac:dyDescent="0.25">
      <c r="A340" s="2">
        <v>30</v>
      </c>
      <c r="B340" s="2" t="s">
        <v>43</v>
      </c>
      <c r="C340" s="2" t="s">
        <v>36</v>
      </c>
      <c r="D340" s="2">
        <v>570</v>
      </c>
      <c r="E340" s="2" t="s">
        <v>37</v>
      </c>
      <c r="F340" s="2">
        <v>5</v>
      </c>
      <c r="G340" s="2">
        <v>3</v>
      </c>
      <c r="H340" s="2" t="s">
        <v>59</v>
      </c>
      <c r="I340" s="2">
        <v>1</v>
      </c>
      <c r="J340" s="2">
        <v>456</v>
      </c>
      <c r="K340" s="2">
        <v>4</v>
      </c>
      <c r="L340" s="2" t="s">
        <v>39</v>
      </c>
      <c r="M340" s="2">
        <v>30</v>
      </c>
      <c r="N340" s="2">
        <v>2</v>
      </c>
      <c r="O340" s="2">
        <v>2</v>
      </c>
      <c r="P340" s="2" t="s">
        <v>40</v>
      </c>
      <c r="Q340" s="2">
        <v>3</v>
      </c>
      <c r="R340" s="2" t="s">
        <v>52</v>
      </c>
      <c r="S340" s="2">
        <v>6118</v>
      </c>
      <c r="T340" s="2">
        <v>5431</v>
      </c>
      <c r="U340" s="2">
        <v>1</v>
      </c>
      <c r="V340" s="2" t="s">
        <v>42</v>
      </c>
      <c r="W340" s="2" t="s">
        <v>43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</row>
    <row r="341" spans="1:35" x14ac:dyDescent="0.25">
      <c r="A341" s="2">
        <v>27</v>
      </c>
      <c r="B341" s="2" t="s">
        <v>43</v>
      </c>
      <c r="C341" s="2" t="s">
        <v>36</v>
      </c>
      <c r="D341" s="2">
        <v>1130</v>
      </c>
      <c r="E341" s="2" t="s">
        <v>37</v>
      </c>
      <c r="F341" s="2">
        <v>8</v>
      </c>
      <c r="G341" s="2">
        <v>4</v>
      </c>
      <c r="H341" s="2" t="s">
        <v>59</v>
      </c>
      <c r="I341" s="2">
        <v>1</v>
      </c>
      <c r="J341" s="2">
        <v>458</v>
      </c>
      <c r="K341" s="2">
        <v>2</v>
      </c>
      <c r="L341" s="2" t="s">
        <v>39</v>
      </c>
      <c r="M341" s="2">
        <v>56</v>
      </c>
      <c r="N341" s="2">
        <v>3</v>
      </c>
      <c r="O341" s="2">
        <v>2</v>
      </c>
      <c r="P341" s="2" t="s">
        <v>40</v>
      </c>
      <c r="Q341" s="2">
        <v>2</v>
      </c>
      <c r="R341" s="2" t="s">
        <v>48</v>
      </c>
      <c r="S341" s="2">
        <v>6214</v>
      </c>
      <c r="T341" s="2">
        <v>3415</v>
      </c>
      <c r="U341" s="2">
        <v>1</v>
      </c>
      <c r="V341" s="2" t="s">
        <v>42</v>
      </c>
      <c r="W341" s="2" t="s">
        <v>43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</row>
    <row r="342" spans="1:35" x14ac:dyDescent="0.25">
      <c r="A342" s="2">
        <v>37</v>
      </c>
      <c r="B342" s="2" t="s">
        <v>43</v>
      </c>
      <c r="C342" s="2" t="s">
        <v>36</v>
      </c>
      <c r="D342" s="2">
        <v>1192</v>
      </c>
      <c r="E342" s="2" t="s">
        <v>45</v>
      </c>
      <c r="F342" s="2">
        <v>5</v>
      </c>
      <c r="G342" s="2">
        <v>2</v>
      </c>
      <c r="H342" s="2" t="s">
        <v>51</v>
      </c>
      <c r="I342" s="2">
        <v>1</v>
      </c>
      <c r="J342" s="2">
        <v>460</v>
      </c>
      <c r="K342" s="2">
        <v>4</v>
      </c>
      <c r="L342" s="2" t="s">
        <v>46</v>
      </c>
      <c r="M342" s="2">
        <v>61</v>
      </c>
      <c r="N342" s="2">
        <v>3</v>
      </c>
      <c r="O342" s="2">
        <v>2</v>
      </c>
      <c r="P342" s="2" t="s">
        <v>53</v>
      </c>
      <c r="Q342" s="2">
        <v>4</v>
      </c>
      <c r="R342" s="2" t="s">
        <v>52</v>
      </c>
      <c r="S342" s="2">
        <v>6347</v>
      </c>
      <c r="T342" s="2">
        <v>23177</v>
      </c>
      <c r="U342" s="2">
        <v>7</v>
      </c>
      <c r="V342" s="2" t="s">
        <v>42</v>
      </c>
      <c r="W342" s="2" t="s">
        <v>43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</row>
    <row r="343" spans="1:35" x14ac:dyDescent="0.25">
      <c r="A343" s="2">
        <v>38</v>
      </c>
      <c r="B343" s="2" t="s">
        <v>43</v>
      </c>
      <c r="C343" s="2" t="s">
        <v>36</v>
      </c>
      <c r="D343" s="2">
        <v>343</v>
      </c>
      <c r="E343" s="2" t="s">
        <v>45</v>
      </c>
      <c r="F343" s="2">
        <v>15</v>
      </c>
      <c r="G343" s="2">
        <v>2</v>
      </c>
      <c r="H343" s="2" t="s">
        <v>38</v>
      </c>
      <c r="I343" s="2">
        <v>1</v>
      </c>
      <c r="J343" s="2">
        <v>461</v>
      </c>
      <c r="K343" s="2">
        <v>3</v>
      </c>
      <c r="L343" s="2" t="s">
        <v>46</v>
      </c>
      <c r="M343" s="2">
        <v>92</v>
      </c>
      <c r="N343" s="2">
        <v>2</v>
      </c>
      <c r="O343" s="2">
        <v>3</v>
      </c>
      <c r="P343" s="2" t="s">
        <v>58</v>
      </c>
      <c r="Q343" s="2">
        <v>4</v>
      </c>
      <c r="R343" s="2" t="s">
        <v>52</v>
      </c>
      <c r="S343" s="2">
        <v>11510</v>
      </c>
      <c r="T343" s="2">
        <v>15682</v>
      </c>
      <c r="U343" s="2">
        <v>0</v>
      </c>
      <c r="V343" s="2" t="s">
        <v>42</v>
      </c>
      <c r="W343" s="2" t="s">
        <v>35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</row>
    <row r="344" spans="1:35" x14ac:dyDescent="0.25">
      <c r="A344" s="2">
        <v>31</v>
      </c>
      <c r="B344" s="2" t="s">
        <v>43</v>
      </c>
      <c r="C344" s="2" t="s">
        <v>36</v>
      </c>
      <c r="D344" s="2">
        <v>1232</v>
      </c>
      <c r="E344" s="2" t="s">
        <v>45</v>
      </c>
      <c r="F344" s="2">
        <v>7</v>
      </c>
      <c r="G344" s="2">
        <v>4</v>
      </c>
      <c r="H344" s="2" t="s">
        <v>51</v>
      </c>
      <c r="I344" s="2">
        <v>1</v>
      </c>
      <c r="J344" s="2">
        <v>462</v>
      </c>
      <c r="K344" s="2">
        <v>3</v>
      </c>
      <c r="L344" s="2" t="s">
        <v>39</v>
      </c>
      <c r="M344" s="2">
        <v>39</v>
      </c>
      <c r="N344" s="2">
        <v>3</v>
      </c>
      <c r="O344" s="2">
        <v>3</v>
      </c>
      <c r="P344" s="2" t="s">
        <v>53</v>
      </c>
      <c r="Q344" s="2">
        <v>4</v>
      </c>
      <c r="R344" s="2" t="s">
        <v>41</v>
      </c>
      <c r="S344" s="2">
        <v>7143</v>
      </c>
      <c r="T344" s="2">
        <v>25713</v>
      </c>
      <c r="U344" s="2">
        <v>1</v>
      </c>
      <c r="V344" s="2" t="s">
        <v>42</v>
      </c>
      <c r="W344" s="2" t="s">
        <v>35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</row>
    <row r="345" spans="1:35" x14ac:dyDescent="0.25">
      <c r="A345" s="2">
        <v>29</v>
      </c>
      <c r="B345" s="2" t="s">
        <v>43</v>
      </c>
      <c r="C345" s="2" t="s">
        <v>36</v>
      </c>
      <c r="D345" s="2">
        <v>144</v>
      </c>
      <c r="E345" s="2" t="s">
        <v>37</v>
      </c>
      <c r="F345" s="2">
        <v>10</v>
      </c>
      <c r="G345" s="2">
        <v>1</v>
      </c>
      <c r="H345" s="2" t="s">
        <v>59</v>
      </c>
      <c r="I345" s="2">
        <v>1</v>
      </c>
      <c r="J345" s="2">
        <v>463</v>
      </c>
      <c r="K345" s="2">
        <v>4</v>
      </c>
      <c r="L345" s="2" t="s">
        <v>39</v>
      </c>
      <c r="M345" s="2">
        <v>39</v>
      </c>
      <c r="N345" s="2">
        <v>2</v>
      </c>
      <c r="O345" s="2">
        <v>2</v>
      </c>
      <c r="P345" s="2" t="s">
        <v>40</v>
      </c>
      <c r="Q345" s="2">
        <v>2</v>
      </c>
      <c r="R345" s="2" t="s">
        <v>52</v>
      </c>
      <c r="S345" s="2">
        <v>8268</v>
      </c>
      <c r="T345" s="2">
        <v>11866</v>
      </c>
      <c r="U345" s="2">
        <v>1</v>
      </c>
      <c r="V345" s="2" t="s">
        <v>42</v>
      </c>
      <c r="W345" s="2" t="s">
        <v>35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</row>
    <row r="346" spans="1:35" x14ac:dyDescent="0.25">
      <c r="A346" s="2">
        <v>35</v>
      </c>
      <c r="B346" s="2" t="s">
        <v>43</v>
      </c>
      <c r="C346" s="2" t="s">
        <v>36</v>
      </c>
      <c r="D346" s="2">
        <v>1296</v>
      </c>
      <c r="E346" s="2" t="s">
        <v>45</v>
      </c>
      <c r="F346" s="2">
        <v>5</v>
      </c>
      <c r="G346" s="2">
        <v>4</v>
      </c>
      <c r="H346" s="2" t="s">
        <v>60</v>
      </c>
      <c r="I346" s="2">
        <v>1</v>
      </c>
      <c r="J346" s="2">
        <v>464</v>
      </c>
      <c r="K346" s="2">
        <v>3</v>
      </c>
      <c r="L346" s="2" t="s">
        <v>46</v>
      </c>
      <c r="M346" s="2">
        <v>62</v>
      </c>
      <c r="N346" s="2">
        <v>3</v>
      </c>
      <c r="O346" s="2">
        <v>3</v>
      </c>
      <c r="P346" s="2" t="s">
        <v>53</v>
      </c>
      <c r="Q346" s="2">
        <v>2</v>
      </c>
      <c r="R346" s="2" t="s">
        <v>41</v>
      </c>
      <c r="S346" s="2">
        <v>8095</v>
      </c>
      <c r="T346" s="2">
        <v>18264</v>
      </c>
      <c r="U346" s="2">
        <v>0</v>
      </c>
      <c r="V346" s="2" t="s">
        <v>42</v>
      </c>
      <c r="W346" s="2" t="s">
        <v>43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</row>
    <row r="347" spans="1:35" x14ac:dyDescent="0.25">
      <c r="A347" s="2">
        <v>23</v>
      </c>
      <c r="B347" s="2" t="s">
        <v>43</v>
      </c>
      <c r="C347" s="2" t="s">
        <v>36</v>
      </c>
      <c r="D347" s="2">
        <v>1309</v>
      </c>
      <c r="E347" s="2" t="s">
        <v>45</v>
      </c>
      <c r="F347" s="2">
        <v>26</v>
      </c>
      <c r="G347" s="2">
        <v>1</v>
      </c>
      <c r="H347" s="2" t="s">
        <v>38</v>
      </c>
      <c r="I347" s="2">
        <v>1</v>
      </c>
      <c r="J347" s="2">
        <v>465</v>
      </c>
      <c r="K347" s="2">
        <v>3</v>
      </c>
      <c r="L347" s="2" t="s">
        <v>46</v>
      </c>
      <c r="M347" s="2">
        <v>83</v>
      </c>
      <c r="N347" s="2">
        <v>3</v>
      </c>
      <c r="O347" s="2">
        <v>1</v>
      </c>
      <c r="P347" s="2" t="s">
        <v>47</v>
      </c>
      <c r="Q347" s="2">
        <v>4</v>
      </c>
      <c r="R347" s="2" t="s">
        <v>52</v>
      </c>
      <c r="S347" s="2">
        <v>2904</v>
      </c>
      <c r="T347" s="2">
        <v>16092</v>
      </c>
      <c r="U347" s="2">
        <v>1</v>
      </c>
      <c r="V347" s="2" t="s">
        <v>42</v>
      </c>
      <c r="W347" s="2" t="s">
        <v>43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</row>
    <row r="348" spans="1:35" x14ac:dyDescent="0.25">
      <c r="A348" s="2">
        <v>41</v>
      </c>
      <c r="B348" s="2" t="s">
        <v>43</v>
      </c>
      <c r="C348" s="2" t="s">
        <v>36</v>
      </c>
      <c r="D348" s="2">
        <v>483</v>
      </c>
      <c r="E348" s="2" t="s">
        <v>45</v>
      </c>
      <c r="F348" s="2">
        <v>6</v>
      </c>
      <c r="G348" s="2">
        <v>3</v>
      </c>
      <c r="H348" s="2" t="s">
        <v>51</v>
      </c>
      <c r="I348" s="2">
        <v>1</v>
      </c>
      <c r="J348" s="2">
        <v>466</v>
      </c>
      <c r="K348" s="2">
        <v>4</v>
      </c>
      <c r="L348" s="2" t="s">
        <v>46</v>
      </c>
      <c r="M348" s="2">
        <v>95</v>
      </c>
      <c r="N348" s="2">
        <v>2</v>
      </c>
      <c r="O348" s="2">
        <v>2</v>
      </c>
      <c r="P348" s="2" t="s">
        <v>53</v>
      </c>
      <c r="Q348" s="2">
        <v>2</v>
      </c>
      <c r="R348" s="2" t="s">
        <v>41</v>
      </c>
      <c r="S348" s="2">
        <v>6032</v>
      </c>
      <c r="T348" s="2">
        <v>10110</v>
      </c>
      <c r="U348" s="2">
        <v>6</v>
      </c>
      <c r="V348" s="2" t="s">
        <v>42</v>
      </c>
      <c r="W348" s="2" t="s">
        <v>35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</row>
    <row r="349" spans="1:35" x14ac:dyDescent="0.25">
      <c r="A349" s="2">
        <v>47</v>
      </c>
      <c r="B349" s="2" t="s">
        <v>43</v>
      </c>
      <c r="C349" s="2" t="s">
        <v>44</v>
      </c>
      <c r="D349" s="2">
        <v>1309</v>
      </c>
      <c r="E349" s="2" t="s">
        <v>37</v>
      </c>
      <c r="F349" s="2">
        <v>4</v>
      </c>
      <c r="G349" s="2">
        <v>1</v>
      </c>
      <c r="H349" s="2" t="s">
        <v>51</v>
      </c>
      <c r="I349" s="2">
        <v>1</v>
      </c>
      <c r="J349" s="2">
        <v>467</v>
      </c>
      <c r="K349" s="2">
        <v>2</v>
      </c>
      <c r="L349" s="2" t="s">
        <v>46</v>
      </c>
      <c r="M349" s="2">
        <v>99</v>
      </c>
      <c r="N349" s="2">
        <v>3</v>
      </c>
      <c r="O349" s="2">
        <v>2</v>
      </c>
      <c r="P349" s="2" t="s">
        <v>57</v>
      </c>
      <c r="Q349" s="2">
        <v>3</v>
      </c>
      <c r="R349" s="2" t="s">
        <v>41</v>
      </c>
      <c r="S349" s="2">
        <v>2976</v>
      </c>
      <c r="T349" s="2">
        <v>25751</v>
      </c>
      <c r="U349" s="2">
        <v>3</v>
      </c>
      <c r="V349" s="2" t="s">
        <v>42</v>
      </c>
      <c r="W349" s="2" t="s">
        <v>43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</row>
    <row r="350" spans="1:35" x14ac:dyDescent="0.25">
      <c r="A350" s="2">
        <v>42</v>
      </c>
      <c r="B350" s="2" t="s">
        <v>43</v>
      </c>
      <c r="C350" s="2" t="s">
        <v>36</v>
      </c>
      <c r="D350" s="2">
        <v>810</v>
      </c>
      <c r="E350" s="2" t="s">
        <v>45</v>
      </c>
      <c r="F350" s="2">
        <v>23</v>
      </c>
      <c r="G350" s="2">
        <v>5</v>
      </c>
      <c r="H350" s="2" t="s">
        <v>38</v>
      </c>
      <c r="I350" s="2">
        <v>1</v>
      </c>
      <c r="J350" s="2">
        <v>468</v>
      </c>
      <c r="K350" s="2">
        <v>1</v>
      </c>
      <c r="L350" s="2" t="s">
        <v>39</v>
      </c>
      <c r="M350" s="2">
        <v>44</v>
      </c>
      <c r="N350" s="2">
        <v>3</v>
      </c>
      <c r="O350" s="2">
        <v>4</v>
      </c>
      <c r="P350" s="2" t="s">
        <v>58</v>
      </c>
      <c r="Q350" s="2">
        <v>4</v>
      </c>
      <c r="R350" s="2" t="s">
        <v>41</v>
      </c>
      <c r="S350" s="2">
        <v>15992</v>
      </c>
      <c r="T350" s="2">
        <v>15901</v>
      </c>
      <c r="U350" s="2">
        <v>2</v>
      </c>
      <c r="V350" s="2" t="s">
        <v>42</v>
      </c>
      <c r="W350" s="2" t="s">
        <v>43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</row>
    <row r="351" spans="1:35" x14ac:dyDescent="0.25">
      <c r="A351" s="2">
        <v>29</v>
      </c>
      <c r="B351" s="2" t="s">
        <v>43</v>
      </c>
      <c r="C351" s="2" t="s">
        <v>55</v>
      </c>
      <c r="D351" s="2">
        <v>746</v>
      </c>
      <c r="E351" s="2" t="s">
        <v>37</v>
      </c>
      <c r="F351" s="2">
        <v>2</v>
      </c>
      <c r="G351" s="2">
        <v>3</v>
      </c>
      <c r="H351" s="2" t="s">
        <v>38</v>
      </c>
      <c r="I351" s="2">
        <v>1</v>
      </c>
      <c r="J351" s="2">
        <v>469</v>
      </c>
      <c r="K351" s="2">
        <v>4</v>
      </c>
      <c r="L351" s="2" t="s">
        <v>46</v>
      </c>
      <c r="M351" s="2">
        <v>61</v>
      </c>
      <c r="N351" s="2">
        <v>3</v>
      </c>
      <c r="O351" s="2">
        <v>2</v>
      </c>
      <c r="P351" s="2" t="s">
        <v>40</v>
      </c>
      <c r="Q351" s="2">
        <v>3</v>
      </c>
      <c r="R351" s="2" t="s">
        <v>48</v>
      </c>
      <c r="S351" s="2">
        <v>4649</v>
      </c>
      <c r="T351" s="2">
        <v>16928</v>
      </c>
      <c r="U351" s="2">
        <v>1</v>
      </c>
      <c r="V351" s="2" t="s">
        <v>42</v>
      </c>
      <c r="W351" s="2" t="s">
        <v>43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</row>
    <row r="352" spans="1:35" x14ac:dyDescent="0.25">
      <c r="A352" s="2">
        <v>42</v>
      </c>
      <c r="B352" s="2" t="s">
        <v>43</v>
      </c>
      <c r="C352" s="2" t="s">
        <v>36</v>
      </c>
      <c r="D352" s="2">
        <v>544</v>
      </c>
      <c r="E352" s="2" t="s">
        <v>61</v>
      </c>
      <c r="F352" s="2">
        <v>2</v>
      </c>
      <c r="G352" s="2">
        <v>1</v>
      </c>
      <c r="H352" s="2" t="s">
        <v>60</v>
      </c>
      <c r="I352" s="2">
        <v>1</v>
      </c>
      <c r="J352" s="2">
        <v>470</v>
      </c>
      <c r="K352" s="2">
        <v>3</v>
      </c>
      <c r="L352" s="2" t="s">
        <v>46</v>
      </c>
      <c r="M352" s="2">
        <v>52</v>
      </c>
      <c r="N352" s="2">
        <v>3</v>
      </c>
      <c r="O352" s="2">
        <v>1</v>
      </c>
      <c r="P352" s="2" t="s">
        <v>61</v>
      </c>
      <c r="Q352" s="2">
        <v>3</v>
      </c>
      <c r="R352" s="2" t="s">
        <v>52</v>
      </c>
      <c r="S352" s="2">
        <v>2696</v>
      </c>
      <c r="T352" s="2">
        <v>24017</v>
      </c>
      <c r="U352" s="2">
        <v>0</v>
      </c>
      <c r="V352" s="2" t="s">
        <v>42</v>
      </c>
      <c r="W352" s="2" t="s">
        <v>35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</row>
    <row r="353" spans="1:35" x14ac:dyDescent="0.25">
      <c r="A353" s="2">
        <v>32</v>
      </c>
      <c r="B353" s="2" t="s">
        <v>43</v>
      </c>
      <c r="C353" s="2" t="s">
        <v>36</v>
      </c>
      <c r="D353" s="2">
        <v>1062</v>
      </c>
      <c r="E353" s="2" t="s">
        <v>45</v>
      </c>
      <c r="F353" s="2">
        <v>2</v>
      </c>
      <c r="G353" s="2">
        <v>3</v>
      </c>
      <c r="H353" s="2" t="s">
        <v>51</v>
      </c>
      <c r="I353" s="2">
        <v>1</v>
      </c>
      <c r="J353" s="2">
        <v>471</v>
      </c>
      <c r="K353" s="2">
        <v>3</v>
      </c>
      <c r="L353" s="2" t="s">
        <v>39</v>
      </c>
      <c r="M353" s="2">
        <v>75</v>
      </c>
      <c r="N353" s="2">
        <v>3</v>
      </c>
      <c r="O353" s="2">
        <v>1</v>
      </c>
      <c r="P353" s="2" t="s">
        <v>50</v>
      </c>
      <c r="Q353" s="2">
        <v>2</v>
      </c>
      <c r="R353" s="2" t="s">
        <v>48</v>
      </c>
      <c r="S353" s="2">
        <v>2370</v>
      </c>
      <c r="T353" s="2">
        <v>3956</v>
      </c>
      <c r="U353" s="2">
        <v>1</v>
      </c>
      <c r="V353" s="2" t="s">
        <v>42</v>
      </c>
      <c r="W353" s="2" t="s">
        <v>43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</row>
    <row r="354" spans="1:35" x14ac:dyDescent="0.25">
      <c r="A354" s="2">
        <v>48</v>
      </c>
      <c r="B354" s="2" t="s">
        <v>43</v>
      </c>
      <c r="C354" s="2" t="s">
        <v>36</v>
      </c>
      <c r="D354" s="2">
        <v>530</v>
      </c>
      <c r="E354" s="2" t="s">
        <v>37</v>
      </c>
      <c r="F354" s="2">
        <v>29</v>
      </c>
      <c r="G354" s="2">
        <v>1</v>
      </c>
      <c r="H354" s="2" t="s">
        <v>51</v>
      </c>
      <c r="I354" s="2">
        <v>1</v>
      </c>
      <c r="J354" s="2">
        <v>473</v>
      </c>
      <c r="K354" s="2">
        <v>1</v>
      </c>
      <c r="L354" s="2" t="s">
        <v>39</v>
      </c>
      <c r="M354" s="2">
        <v>91</v>
      </c>
      <c r="N354" s="2">
        <v>3</v>
      </c>
      <c r="O354" s="2">
        <v>3</v>
      </c>
      <c r="P354" s="2" t="s">
        <v>56</v>
      </c>
      <c r="Q354" s="2">
        <v>3</v>
      </c>
      <c r="R354" s="2" t="s">
        <v>48</v>
      </c>
      <c r="S354" s="2">
        <v>12504</v>
      </c>
      <c r="T354" s="2">
        <v>23978</v>
      </c>
      <c r="U354" s="2">
        <v>3</v>
      </c>
      <c r="V354" s="2" t="s">
        <v>42</v>
      </c>
      <c r="W354" s="2" t="s">
        <v>43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</row>
    <row r="355" spans="1:35" x14ac:dyDescent="0.25">
      <c r="A355" s="2">
        <v>37</v>
      </c>
      <c r="B355" s="2" t="s">
        <v>43</v>
      </c>
      <c r="C355" s="2" t="s">
        <v>36</v>
      </c>
      <c r="D355" s="2">
        <v>1319</v>
      </c>
      <c r="E355" s="2" t="s">
        <v>45</v>
      </c>
      <c r="F355" s="2">
        <v>6</v>
      </c>
      <c r="G355" s="2">
        <v>3</v>
      </c>
      <c r="H355" s="2" t="s">
        <v>51</v>
      </c>
      <c r="I355" s="2">
        <v>1</v>
      </c>
      <c r="J355" s="2">
        <v>474</v>
      </c>
      <c r="K355" s="2">
        <v>3</v>
      </c>
      <c r="L355" s="2" t="s">
        <v>46</v>
      </c>
      <c r="M355" s="2">
        <v>51</v>
      </c>
      <c r="N355" s="2">
        <v>4</v>
      </c>
      <c r="O355" s="2">
        <v>2</v>
      </c>
      <c r="P355" s="2" t="s">
        <v>47</v>
      </c>
      <c r="Q355" s="2">
        <v>1</v>
      </c>
      <c r="R355" s="2" t="s">
        <v>52</v>
      </c>
      <c r="S355" s="2">
        <v>5974</v>
      </c>
      <c r="T355" s="2">
        <v>17001</v>
      </c>
      <c r="U355" s="2">
        <v>4</v>
      </c>
      <c r="V355" s="2" t="s">
        <v>42</v>
      </c>
      <c r="W355" s="2" t="s">
        <v>35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</row>
    <row r="356" spans="1:35" x14ac:dyDescent="0.25">
      <c r="A356" s="2">
        <v>30</v>
      </c>
      <c r="B356" s="2" t="s">
        <v>43</v>
      </c>
      <c r="C356" s="2" t="s">
        <v>55</v>
      </c>
      <c r="D356" s="2">
        <v>641</v>
      </c>
      <c r="E356" s="2" t="s">
        <v>37</v>
      </c>
      <c r="F356" s="2">
        <v>25</v>
      </c>
      <c r="G356" s="2">
        <v>2</v>
      </c>
      <c r="H356" s="2" t="s">
        <v>60</v>
      </c>
      <c r="I356" s="2">
        <v>1</v>
      </c>
      <c r="J356" s="2">
        <v>475</v>
      </c>
      <c r="K356" s="2">
        <v>4</v>
      </c>
      <c r="L356" s="2" t="s">
        <v>39</v>
      </c>
      <c r="M356" s="2">
        <v>85</v>
      </c>
      <c r="N356" s="2">
        <v>3</v>
      </c>
      <c r="O356" s="2">
        <v>2</v>
      </c>
      <c r="P356" s="2" t="s">
        <v>40</v>
      </c>
      <c r="Q356" s="2">
        <v>3</v>
      </c>
      <c r="R356" s="2" t="s">
        <v>48</v>
      </c>
      <c r="S356" s="2">
        <v>4736</v>
      </c>
      <c r="T356" s="2">
        <v>6069</v>
      </c>
      <c r="U356" s="2">
        <v>7</v>
      </c>
      <c r="V356" s="2" t="s">
        <v>42</v>
      </c>
      <c r="W356" s="2" t="s">
        <v>35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</row>
    <row r="357" spans="1:35" x14ac:dyDescent="0.25">
      <c r="A357" s="2">
        <v>26</v>
      </c>
      <c r="B357" s="2" t="s">
        <v>43</v>
      </c>
      <c r="C357" s="2" t="s">
        <v>36</v>
      </c>
      <c r="D357" s="2">
        <v>933</v>
      </c>
      <c r="E357" s="2" t="s">
        <v>37</v>
      </c>
      <c r="F357" s="2">
        <v>1</v>
      </c>
      <c r="G357" s="2">
        <v>3</v>
      </c>
      <c r="H357" s="2" t="s">
        <v>38</v>
      </c>
      <c r="I357" s="2">
        <v>1</v>
      </c>
      <c r="J357" s="2">
        <v>476</v>
      </c>
      <c r="K357" s="2">
        <v>3</v>
      </c>
      <c r="L357" s="2" t="s">
        <v>46</v>
      </c>
      <c r="M357" s="2">
        <v>57</v>
      </c>
      <c r="N357" s="2">
        <v>3</v>
      </c>
      <c r="O357" s="2">
        <v>2</v>
      </c>
      <c r="P357" s="2" t="s">
        <v>40</v>
      </c>
      <c r="Q357" s="2">
        <v>3</v>
      </c>
      <c r="R357" s="2" t="s">
        <v>48</v>
      </c>
      <c r="S357" s="2">
        <v>5296</v>
      </c>
      <c r="T357" s="2">
        <v>20156</v>
      </c>
      <c r="U357" s="2">
        <v>1</v>
      </c>
      <c r="V357" s="2" t="s">
        <v>42</v>
      </c>
      <c r="W357" s="2" t="s">
        <v>43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</row>
    <row r="358" spans="1:35" x14ac:dyDescent="0.25">
      <c r="A358" s="2">
        <v>42</v>
      </c>
      <c r="B358" s="2" t="s">
        <v>43</v>
      </c>
      <c r="C358" s="2" t="s">
        <v>36</v>
      </c>
      <c r="D358" s="2">
        <v>1332</v>
      </c>
      <c r="E358" s="2" t="s">
        <v>45</v>
      </c>
      <c r="F358" s="2">
        <v>2</v>
      </c>
      <c r="G358" s="2">
        <v>4</v>
      </c>
      <c r="H358" s="2" t="s">
        <v>49</v>
      </c>
      <c r="I358" s="2">
        <v>1</v>
      </c>
      <c r="J358" s="2">
        <v>477</v>
      </c>
      <c r="K358" s="2">
        <v>1</v>
      </c>
      <c r="L358" s="2" t="s">
        <v>46</v>
      </c>
      <c r="M358" s="2">
        <v>98</v>
      </c>
      <c r="N358" s="2">
        <v>2</v>
      </c>
      <c r="O358" s="2">
        <v>2</v>
      </c>
      <c r="P358" s="2" t="s">
        <v>54</v>
      </c>
      <c r="Q358" s="2">
        <v>4</v>
      </c>
      <c r="R358" s="2" t="s">
        <v>41</v>
      </c>
      <c r="S358" s="2">
        <v>6781</v>
      </c>
      <c r="T358" s="2">
        <v>17078</v>
      </c>
      <c r="U358" s="2">
        <v>3</v>
      </c>
      <c r="V358" s="2" t="s">
        <v>42</v>
      </c>
      <c r="W358" s="2" t="s">
        <v>43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</row>
    <row r="359" spans="1:35" x14ac:dyDescent="0.25">
      <c r="A359" s="2">
        <v>21</v>
      </c>
      <c r="B359" s="2" t="s">
        <v>35</v>
      </c>
      <c r="C359" s="2" t="s">
        <v>44</v>
      </c>
      <c r="D359" s="2">
        <v>756</v>
      </c>
      <c r="E359" s="2" t="s">
        <v>37</v>
      </c>
      <c r="F359" s="2">
        <v>1</v>
      </c>
      <c r="G359" s="2">
        <v>1</v>
      </c>
      <c r="H359" s="2" t="s">
        <v>60</v>
      </c>
      <c r="I359" s="2">
        <v>1</v>
      </c>
      <c r="J359" s="2">
        <v>478</v>
      </c>
      <c r="K359" s="2">
        <v>1</v>
      </c>
      <c r="L359" s="2" t="s">
        <v>39</v>
      </c>
      <c r="M359" s="2">
        <v>99</v>
      </c>
      <c r="N359" s="2">
        <v>2</v>
      </c>
      <c r="O359" s="2">
        <v>1</v>
      </c>
      <c r="P359" s="2" t="s">
        <v>57</v>
      </c>
      <c r="Q359" s="2">
        <v>2</v>
      </c>
      <c r="R359" s="2" t="s">
        <v>41</v>
      </c>
      <c r="S359" s="2">
        <v>2174</v>
      </c>
      <c r="T359" s="2">
        <v>9150</v>
      </c>
      <c r="U359" s="2">
        <v>1</v>
      </c>
      <c r="V359" s="2" t="s">
        <v>42</v>
      </c>
      <c r="W359" s="2" t="s">
        <v>35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</row>
    <row r="360" spans="1:35" x14ac:dyDescent="0.25">
      <c r="A360" s="2">
        <v>36</v>
      </c>
      <c r="B360" s="2" t="s">
        <v>43</v>
      </c>
      <c r="C360" s="2" t="s">
        <v>55</v>
      </c>
      <c r="D360" s="2">
        <v>845</v>
      </c>
      <c r="E360" s="2" t="s">
        <v>37</v>
      </c>
      <c r="F360" s="2">
        <v>1</v>
      </c>
      <c r="G360" s="2">
        <v>5</v>
      </c>
      <c r="H360" s="2" t="s">
        <v>51</v>
      </c>
      <c r="I360" s="2">
        <v>1</v>
      </c>
      <c r="J360" s="2">
        <v>479</v>
      </c>
      <c r="K360" s="2">
        <v>4</v>
      </c>
      <c r="L360" s="2" t="s">
        <v>39</v>
      </c>
      <c r="M360" s="2">
        <v>45</v>
      </c>
      <c r="N360" s="2">
        <v>3</v>
      </c>
      <c r="O360" s="2">
        <v>2</v>
      </c>
      <c r="P360" s="2" t="s">
        <v>40</v>
      </c>
      <c r="Q360" s="2">
        <v>4</v>
      </c>
      <c r="R360" s="2" t="s">
        <v>41</v>
      </c>
      <c r="S360" s="2">
        <v>6653</v>
      </c>
      <c r="T360" s="2">
        <v>15276</v>
      </c>
      <c r="U360" s="2">
        <v>4</v>
      </c>
      <c r="V360" s="2" t="s">
        <v>42</v>
      </c>
      <c r="W360" s="2" t="s">
        <v>43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</row>
    <row r="361" spans="1:35" x14ac:dyDescent="0.25">
      <c r="A361" s="2">
        <v>36</v>
      </c>
      <c r="B361" s="2" t="s">
        <v>43</v>
      </c>
      <c r="C361" s="2" t="s">
        <v>44</v>
      </c>
      <c r="D361" s="2">
        <v>541</v>
      </c>
      <c r="E361" s="2" t="s">
        <v>37</v>
      </c>
      <c r="F361" s="2">
        <v>3</v>
      </c>
      <c r="G361" s="2">
        <v>4</v>
      </c>
      <c r="H361" s="2" t="s">
        <v>51</v>
      </c>
      <c r="I361" s="2">
        <v>1</v>
      </c>
      <c r="J361" s="2">
        <v>481</v>
      </c>
      <c r="K361" s="2">
        <v>1</v>
      </c>
      <c r="L361" s="2" t="s">
        <v>46</v>
      </c>
      <c r="M361" s="2">
        <v>48</v>
      </c>
      <c r="N361" s="2">
        <v>2</v>
      </c>
      <c r="O361" s="2">
        <v>3</v>
      </c>
      <c r="P361" s="2" t="s">
        <v>40</v>
      </c>
      <c r="Q361" s="2">
        <v>4</v>
      </c>
      <c r="R361" s="2" t="s">
        <v>48</v>
      </c>
      <c r="S361" s="2">
        <v>9699</v>
      </c>
      <c r="T361" s="2">
        <v>7246</v>
      </c>
      <c r="U361" s="2">
        <v>4</v>
      </c>
      <c r="V361" s="2" t="s">
        <v>42</v>
      </c>
      <c r="W361" s="2" t="s">
        <v>43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</row>
    <row r="362" spans="1:35" x14ac:dyDescent="0.25">
      <c r="A362" s="2">
        <v>57</v>
      </c>
      <c r="B362" s="2" t="s">
        <v>43</v>
      </c>
      <c r="C362" s="2" t="s">
        <v>36</v>
      </c>
      <c r="D362" s="2">
        <v>593</v>
      </c>
      <c r="E362" s="2" t="s">
        <v>45</v>
      </c>
      <c r="F362" s="2">
        <v>1</v>
      </c>
      <c r="G362" s="2">
        <v>4</v>
      </c>
      <c r="H362" s="2" t="s">
        <v>51</v>
      </c>
      <c r="I362" s="2">
        <v>1</v>
      </c>
      <c r="J362" s="2">
        <v>482</v>
      </c>
      <c r="K362" s="2">
        <v>4</v>
      </c>
      <c r="L362" s="2" t="s">
        <v>46</v>
      </c>
      <c r="M362" s="2">
        <v>88</v>
      </c>
      <c r="N362" s="2">
        <v>3</v>
      </c>
      <c r="O362" s="2">
        <v>2</v>
      </c>
      <c r="P362" s="2" t="s">
        <v>54</v>
      </c>
      <c r="Q362" s="2">
        <v>3</v>
      </c>
      <c r="R362" s="2" t="s">
        <v>48</v>
      </c>
      <c r="S362" s="2">
        <v>6755</v>
      </c>
      <c r="T362" s="2">
        <v>2967</v>
      </c>
      <c r="U362" s="2">
        <v>2</v>
      </c>
      <c r="V362" s="2" t="s">
        <v>42</v>
      </c>
      <c r="W362" s="2" t="s">
        <v>43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</row>
    <row r="363" spans="1:35" x14ac:dyDescent="0.25">
      <c r="A363" s="2">
        <v>40</v>
      </c>
      <c r="B363" s="2" t="s">
        <v>43</v>
      </c>
      <c r="C363" s="2" t="s">
        <v>36</v>
      </c>
      <c r="D363" s="2">
        <v>1171</v>
      </c>
      <c r="E363" s="2" t="s">
        <v>45</v>
      </c>
      <c r="F363" s="2">
        <v>10</v>
      </c>
      <c r="G363" s="2">
        <v>4</v>
      </c>
      <c r="H363" s="2" t="s">
        <v>38</v>
      </c>
      <c r="I363" s="2">
        <v>1</v>
      </c>
      <c r="J363" s="2">
        <v>483</v>
      </c>
      <c r="K363" s="2">
        <v>4</v>
      </c>
      <c r="L363" s="2" t="s">
        <v>39</v>
      </c>
      <c r="M363" s="2">
        <v>46</v>
      </c>
      <c r="N363" s="2">
        <v>4</v>
      </c>
      <c r="O363" s="2">
        <v>1</v>
      </c>
      <c r="P363" s="2" t="s">
        <v>50</v>
      </c>
      <c r="Q363" s="2">
        <v>3</v>
      </c>
      <c r="R363" s="2" t="s">
        <v>48</v>
      </c>
      <c r="S363" s="2">
        <v>2213</v>
      </c>
      <c r="T363" s="2">
        <v>22495</v>
      </c>
      <c r="U363" s="2">
        <v>3</v>
      </c>
      <c r="V363" s="2" t="s">
        <v>42</v>
      </c>
      <c r="W363" s="2" t="s">
        <v>35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</row>
    <row r="364" spans="1:35" x14ac:dyDescent="0.25">
      <c r="A364" s="2">
        <v>21</v>
      </c>
      <c r="B364" s="2" t="s">
        <v>43</v>
      </c>
      <c r="C364" s="2" t="s">
        <v>55</v>
      </c>
      <c r="D364" s="2">
        <v>895</v>
      </c>
      <c r="E364" s="2" t="s">
        <v>37</v>
      </c>
      <c r="F364" s="2">
        <v>9</v>
      </c>
      <c r="G364" s="2">
        <v>2</v>
      </c>
      <c r="H364" s="2" t="s">
        <v>51</v>
      </c>
      <c r="I364" s="2">
        <v>1</v>
      </c>
      <c r="J364" s="2">
        <v>484</v>
      </c>
      <c r="K364" s="2">
        <v>1</v>
      </c>
      <c r="L364" s="2" t="s">
        <v>46</v>
      </c>
      <c r="M364" s="2">
        <v>39</v>
      </c>
      <c r="N364" s="2">
        <v>3</v>
      </c>
      <c r="O364" s="2">
        <v>1</v>
      </c>
      <c r="P364" s="2" t="s">
        <v>57</v>
      </c>
      <c r="Q364" s="2">
        <v>4</v>
      </c>
      <c r="R364" s="2" t="s">
        <v>41</v>
      </c>
      <c r="S364" s="2">
        <v>2610</v>
      </c>
      <c r="T364" s="2">
        <v>2851</v>
      </c>
      <c r="U364" s="2">
        <v>1</v>
      </c>
      <c r="V364" s="2" t="s">
        <v>42</v>
      </c>
      <c r="W364" s="2" t="s">
        <v>43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</row>
    <row r="365" spans="1:35" x14ac:dyDescent="0.25">
      <c r="A365" s="2">
        <v>33</v>
      </c>
      <c r="B365" s="2" t="s">
        <v>35</v>
      </c>
      <c r="C365" s="2" t="s">
        <v>36</v>
      </c>
      <c r="D365" s="2">
        <v>350</v>
      </c>
      <c r="E365" s="2" t="s">
        <v>37</v>
      </c>
      <c r="F365" s="2">
        <v>5</v>
      </c>
      <c r="G365" s="2">
        <v>3</v>
      </c>
      <c r="H365" s="2" t="s">
        <v>59</v>
      </c>
      <c r="I365" s="2">
        <v>1</v>
      </c>
      <c r="J365" s="2">
        <v>485</v>
      </c>
      <c r="K365" s="2">
        <v>4</v>
      </c>
      <c r="L365" s="2" t="s">
        <v>39</v>
      </c>
      <c r="M365" s="2">
        <v>34</v>
      </c>
      <c r="N365" s="2">
        <v>3</v>
      </c>
      <c r="O365" s="2">
        <v>1</v>
      </c>
      <c r="P365" s="2" t="s">
        <v>57</v>
      </c>
      <c r="Q365" s="2">
        <v>3</v>
      </c>
      <c r="R365" s="2" t="s">
        <v>41</v>
      </c>
      <c r="S365" s="2">
        <v>2851</v>
      </c>
      <c r="T365" s="2">
        <v>9150</v>
      </c>
      <c r="U365" s="2">
        <v>1</v>
      </c>
      <c r="V365" s="2" t="s">
        <v>42</v>
      </c>
      <c r="W365" s="2" t="s">
        <v>35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</row>
    <row r="366" spans="1:35" x14ac:dyDescent="0.25">
      <c r="A366" s="2">
        <v>37</v>
      </c>
      <c r="B366" s="2" t="s">
        <v>43</v>
      </c>
      <c r="C366" s="2" t="s">
        <v>36</v>
      </c>
      <c r="D366" s="2">
        <v>921</v>
      </c>
      <c r="E366" s="2" t="s">
        <v>45</v>
      </c>
      <c r="F366" s="2">
        <v>10</v>
      </c>
      <c r="G366" s="2">
        <v>3</v>
      </c>
      <c r="H366" s="2" t="s">
        <v>51</v>
      </c>
      <c r="I366" s="2">
        <v>1</v>
      </c>
      <c r="J366" s="2">
        <v>486</v>
      </c>
      <c r="K366" s="2">
        <v>3</v>
      </c>
      <c r="L366" s="2" t="s">
        <v>39</v>
      </c>
      <c r="M366" s="2">
        <v>98</v>
      </c>
      <c r="N366" s="2">
        <v>3</v>
      </c>
      <c r="O366" s="2">
        <v>1</v>
      </c>
      <c r="P366" s="2" t="s">
        <v>50</v>
      </c>
      <c r="Q366" s="2">
        <v>1</v>
      </c>
      <c r="R366" s="2" t="s">
        <v>48</v>
      </c>
      <c r="S366" s="2">
        <v>3452</v>
      </c>
      <c r="T366" s="2">
        <v>17663</v>
      </c>
      <c r="U366" s="2">
        <v>6</v>
      </c>
      <c r="V366" s="2" t="s">
        <v>42</v>
      </c>
      <c r="W366" s="2" t="s">
        <v>43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</row>
    <row r="367" spans="1:35" x14ac:dyDescent="0.25">
      <c r="A367" s="2">
        <v>46</v>
      </c>
      <c r="B367" s="2" t="s">
        <v>43</v>
      </c>
      <c r="C367" s="2" t="s">
        <v>55</v>
      </c>
      <c r="D367" s="2">
        <v>1144</v>
      </c>
      <c r="E367" s="2" t="s">
        <v>45</v>
      </c>
      <c r="F367" s="2">
        <v>7</v>
      </c>
      <c r="G367" s="2">
        <v>4</v>
      </c>
      <c r="H367" s="2" t="s">
        <v>51</v>
      </c>
      <c r="I367" s="2">
        <v>1</v>
      </c>
      <c r="J367" s="2">
        <v>487</v>
      </c>
      <c r="K367" s="2">
        <v>3</v>
      </c>
      <c r="L367" s="2" t="s">
        <v>39</v>
      </c>
      <c r="M367" s="2">
        <v>30</v>
      </c>
      <c r="N367" s="2">
        <v>3</v>
      </c>
      <c r="O367" s="2">
        <v>2</v>
      </c>
      <c r="P367" s="2" t="s">
        <v>53</v>
      </c>
      <c r="Q367" s="2">
        <v>3</v>
      </c>
      <c r="R367" s="2" t="s">
        <v>48</v>
      </c>
      <c r="S367" s="2">
        <v>5258</v>
      </c>
      <c r="T367" s="2">
        <v>16044</v>
      </c>
      <c r="U367" s="2">
        <v>2</v>
      </c>
      <c r="V367" s="2" t="s">
        <v>42</v>
      </c>
      <c r="W367" s="2" t="s">
        <v>43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</row>
    <row r="368" spans="1:35" x14ac:dyDescent="0.25">
      <c r="A368" s="2">
        <v>41</v>
      </c>
      <c r="B368" s="2" t="s">
        <v>35</v>
      </c>
      <c r="C368" s="2" t="s">
        <v>44</v>
      </c>
      <c r="D368" s="2">
        <v>143</v>
      </c>
      <c r="E368" s="2" t="s">
        <v>37</v>
      </c>
      <c r="F368" s="2">
        <v>4</v>
      </c>
      <c r="G368" s="2">
        <v>3</v>
      </c>
      <c r="H368" s="2" t="s">
        <v>59</v>
      </c>
      <c r="I368" s="2">
        <v>1</v>
      </c>
      <c r="J368" s="2">
        <v>488</v>
      </c>
      <c r="K368" s="2">
        <v>1</v>
      </c>
      <c r="L368" s="2" t="s">
        <v>46</v>
      </c>
      <c r="M368" s="2">
        <v>56</v>
      </c>
      <c r="N368" s="2">
        <v>3</v>
      </c>
      <c r="O368" s="2">
        <v>2</v>
      </c>
      <c r="P368" s="2" t="s">
        <v>40</v>
      </c>
      <c r="Q368" s="2">
        <v>2</v>
      </c>
      <c r="R368" s="2" t="s">
        <v>41</v>
      </c>
      <c r="S368" s="2">
        <v>9355</v>
      </c>
      <c r="T368" s="2">
        <v>9558</v>
      </c>
      <c r="U368" s="2">
        <v>1</v>
      </c>
      <c r="V368" s="2" t="s">
        <v>42</v>
      </c>
      <c r="W368" s="2" t="s">
        <v>43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</row>
    <row r="369" spans="1:35" x14ac:dyDescent="0.25">
      <c r="A369" s="2">
        <v>50</v>
      </c>
      <c r="B369" s="2" t="s">
        <v>43</v>
      </c>
      <c r="C369" s="2" t="s">
        <v>36</v>
      </c>
      <c r="D369" s="2">
        <v>1046</v>
      </c>
      <c r="E369" s="2" t="s">
        <v>45</v>
      </c>
      <c r="F369" s="2">
        <v>10</v>
      </c>
      <c r="G369" s="2">
        <v>3</v>
      </c>
      <c r="H369" s="2" t="s">
        <v>60</v>
      </c>
      <c r="I369" s="2">
        <v>1</v>
      </c>
      <c r="J369" s="2">
        <v>491</v>
      </c>
      <c r="K369" s="2">
        <v>4</v>
      </c>
      <c r="L369" s="2" t="s">
        <v>46</v>
      </c>
      <c r="M369" s="2">
        <v>100</v>
      </c>
      <c r="N369" s="2">
        <v>2</v>
      </c>
      <c r="O369" s="2">
        <v>3</v>
      </c>
      <c r="P369" s="2" t="s">
        <v>54</v>
      </c>
      <c r="Q369" s="2">
        <v>4</v>
      </c>
      <c r="R369" s="2" t="s">
        <v>41</v>
      </c>
      <c r="S369" s="2">
        <v>10496</v>
      </c>
      <c r="T369" s="2">
        <v>2755</v>
      </c>
      <c r="U369" s="2">
        <v>6</v>
      </c>
      <c r="V369" s="2" t="s">
        <v>42</v>
      </c>
      <c r="W369" s="2" t="s">
        <v>43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</row>
    <row r="370" spans="1:35" x14ac:dyDescent="0.25">
      <c r="A370" s="2">
        <v>40</v>
      </c>
      <c r="B370" s="2" t="s">
        <v>35</v>
      </c>
      <c r="C370" s="2" t="s">
        <v>36</v>
      </c>
      <c r="D370" s="2">
        <v>575</v>
      </c>
      <c r="E370" s="2" t="s">
        <v>37</v>
      </c>
      <c r="F370" s="2">
        <v>22</v>
      </c>
      <c r="G370" s="2">
        <v>2</v>
      </c>
      <c r="H370" s="2" t="s">
        <v>59</v>
      </c>
      <c r="I370" s="2">
        <v>1</v>
      </c>
      <c r="J370" s="2">
        <v>492</v>
      </c>
      <c r="K370" s="2">
        <v>3</v>
      </c>
      <c r="L370" s="2" t="s">
        <v>46</v>
      </c>
      <c r="M370" s="2">
        <v>68</v>
      </c>
      <c r="N370" s="2">
        <v>2</v>
      </c>
      <c r="O370" s="2">
        <v>2</v>
      </c>
      <c r="P370" s="2" t="s">
        <v>40</v>
      </c>
      <c r="Q370" s="2">
        <v>3</v>
      </c>
      <c r="R370" s="2" t="s">
        <v>48</v>
      </c>
      <c r="S370" s="2">
        <v>6380</v>
      </c>
      <c r="T370" s="2">
        <v>6110</v>
      </c>
      <c r="U370" s="2">
        <v>2</v>
      </c>
      <c r="V370" s="2" t="s">
        <v>42</v>
      </c>
      <c r="W370" s="2" t="s">
        <v>35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</row>
    <row r="371" spans="1:35" x14ac:dyDescent="0.25">
      <c r="A371" s="2">
        <v>31</v>
      </c>
      <c r="B371" s="2" t="s">
        <v>43</v>
      </c>
      <c r="C371" s="2" t="s">
        <v>36</v>
      </c>
      <c r="D371" s="2">
        <v>408</v>
      </c>
      <c r="E371" s="2" t="s">
        <v>45</v>
      </c>
      <c r="F371" s="2">
        <v>9</v>
      </c>
      <c r="G371" s="2">
        <v>4</v>
      </c>
      <c r="H371" s="2" t="s">
        <v>38</v>
      </c>
      <c r="I371" s="2">
        <v>1</v>
      </c>
      <c r="J371" s="2">
        <v>493</v>
      </c>
      <c r="K371" s="2">
        <v>3</v>
      </c>
      <c r="L371" s="2" t="s">
        <v>46</v>
      </c>
      <c r="M371" s="2">
        <v>42</v>
      </c>
      <c r="N371" s="2">
        <v>2</v>
      </c>
      <c r="O371" s="2">
        <v>1</v>
      </c>
      <c r="P371" s="2" t="s">
        <v>47</v>
      </c>
      <c r="Q371" s="2">
        <v>2</v>
      </c>
      <c r="R371" s="2" t="s">
        <v>41</v>
      </c>
      <c r="S371" s="2">
        <v>2657</v>
      </c>
      <c r="T371" s="2">
        <v>7551</v>
      </c>
      <c r="U371" s="2">
        <v>0</v>
      </c>
      <c r="V371" s="2" t="s">
        <v>42</v>
      </c>
      <c r="W371" s="2" t="s">
        <v>35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</row>
    <row r="372" spans="1:35" x14ac:dyDescent="0.25">
      <c r="A372" s="2">
        <v>21</v>
      </c>
      <c r="B372" s="2" t="s">
        <v>35</v>
      </c>
      <c r="C372" s="2" t="s">
        <v>36</v>
      </c>
      <c r="D372" s="2">
        <v>156</v>
      </c>
      <c r="E372" s="2" t="s">
        <v>37</v>
      </c>
      <c r="F372" s="2">
        <v>12</v>
      </c>
      <c r="G372" s="2">
        <v>3</v>
      </c>
      <c r="H372" s="2" t="s">
        <v>38</v>
      </c>
      <c r="I372" s="2">
        <v>1</v>
      </c>
      <c r="J372" s="2">
        <v>494</v>
      </c>
      <c r="K372" s="2">
        <v>3</v>
      </c>
      <c r="L372" s="2" t="s">
        <v>39</v>
      </c>
      <c r="M372" s="2">
        <v>90</v>
      </c>
      <c r="N372" s="2">
        <v>4</v>
      </c>
      <c r="O372" s="2">
        <v>1</v>
      </c>
      <c r="P372" s="2" t="s">
        <v>57</v>
      </c>
      <c r="Q372" s="2">
        <v>2</v>
      </c>
      <c r="R372" s="2" t="s">
        <v>41</v>
      </c>
      <c r="S372" s="2">
        <v>2716</v>
      </c>
      <c r="T372" s="2">
        <v>25422</v>
      </c>
      <c r="U372" s="2">
        <v>1</v>
      </c>
      <c r="V372" s="2" t="s">
        <v>42</v>
      </c>
      <c r="W372" s="2" t="s">
        <v>43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</row>
    <row r="373" spans="1:35" x14ac:dyDescent="0.25">
      <c r="A373" s="2">
        <v>29</v>
      </c>
      <c r="B373" s="2" t="s">
        <v>43</v>
      </c>
      <c r="C373" s="2" t="s">
        <v>36</v>
      </c>
      <c r="D373" s="2">
        <v>1283</v>
      </c>
      <c r="E373" s="2" t="s">
        <v>45</v>
      </c>
      <c r="F373" s="2">
        <v>23</v>
      </c>
      <c r="G373" s="2">
        <v>3</v>
      </c>
      <c r="H373" s="2" t="s">
        <v>38</v>
      </c>
      <c r="I373" s="2">
        <v>1</v>
      </c>
      <c r="J373" s="2">
        <v>495</v>
      </c>
      <c r="K373" s="2">
        <v>4</v>
      </c>
      <c r="L373" s="2" t="s">
        <v>46</v>
      </c>
      <c r="M373" s="2">
        <v>54</v>
      </c>
      <c r="N373" s="2">
        <v>3</v>
      </c>
      <c r="O373" s="2">
        <v>1</v>
      </c>
      <c r="P373" s="2" t="s">
        <v>47</v>
      </c>
      <c r="Q373" s="2">
        <v>4</v>
      </c>
      <c r="R373" s="2" t="s">
        <v>41</v>
      </c>
      <c r="S373" s="2">
        <v>2201</v>
      </c>
      <c r="T373" s="2">
        <v>18168</v>
      </c>
      <c r="U373" s="2">
        <v>9</v>
      </c>
      <c r="V373" s="2" t="s">
        <v>42</v>
      </c>
      <c r="W373" s="2" t="s">
        <v>43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</row>
    <row r="374" spans="1:35" x14ac:dyDescent="0.25">
      <c r="A374" s="2">
        <v>35</v>
      </c>
      <c r="B374" s="2" t="s">
        <v>43</v>
      </c>
      <c r="C374" s="2" t="s">
        <v>36</v>
      </c>
      <c r="D374" s="2">
        <v>755</v>
      </c>
      <c r="E374" s="2" t="s">
        <v>45</v>
      </c>
      <c r="F374" s="2">
        <v>9</v>
      </c>
      <c r="G374" s="2">
        <v>4</v>
      </c>
      <c r="H374" s="2" t="s">
        <v>38</v>
      </c>
      <c r="I374" s="2">
        <v>1</v>
      </c>
      <c r="J374" s="2">
        <v>496</v>
      </c>
      <c r="K374" s="2">
        <v>3</v>
      </c>
      <c r="L374" s="2" t="s">
        <v>46</v>
      </c>
      <c r="M374" s="2">
        <v>97</v>
      </c>
      <c r="N374" s="2">
        <v>2</v>
      </c>
      <c r="O374" s="2">
        <v>2</v>
      </c>
      <c r="P374" s="2" t="s">
        <v>54</v>
      </c>
      <c r="Q374" s="2">
        <v>2</v>
      </c>
      <c r="R374" s="2" t="s">
        <v>41</v>
      </c>
      <c r="S374" s="2">
        <v>6540</v>
      </c>
      <c r="T374" s="2">
        <v>19394</v>
      </c>
      <c r="U374" s="2">
        <v>9</v>
      </c>
      <c r="V374" s="2" t="s">
        <v>42</v>
      </c>
      <c r="W374" s="2" t="s">
        <v>43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</row>
    <row r="375" spans="1:35" x14ac:dyDescent="0.25">
      <c r="A375" s="2">
        <v>27</v>
      </c>
      <c r="B375" s="2" t="s">
        <v>43</v>
      </c>
      <c r="C375" s="2" t="s">
        <v>36</v>
      </c>
      <c r="D375" s="2">
        <v>1469</v>
      </c>
      <c r="E375" s="2" t="s">
        <v>45</v>
      </c>
      <c r="F375" s="2">
        <v>1</v>
      </c>
      <c r="G375" s="2">
        <v>2</v>
      </c>
      <c r="H375" s="2" t="s">
        <v>51</v>
      </c>
      <c r="I375" s="2">
        <v>1</v>
      </c>
      <c r="J375" s="2">
        <v>497</v>
      </c>
      <c r="K375" s="2">
        <v>4</v>
      </c>
      <c r="L375" s="2" t="s">
        <v>46</v>
      </c>
      <c r="M375" s="2">
        <v>82</v>
      </c>
      <c r="N375" s="2">
        <v>3</v>
      </c>
      <c r="O375" s="2">
        <v>1</v>
      </c>
      <c r="P375" s="2" t="s">
        <v>50</v>
      </c>
      <c r="Q375" s="2">
        <v>2</v>
      </c>
      <c r="R375" s="2" t="s">
        <v>52</v>
      </c>
      <c r="S375" s="2">
        <v>3816</v>
      </c>
      <c r="T375" s="2">
        <v>17881</v>
      </c>
      <c r="U375" s="2">
        <v>1</v>
      </c>
      <c r="V375" s="2" t="s">
        <v>42</v>
      </c>
      <c r="W375" s="2" t="s">
        <v>43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</row>
    <row r="376" spans="1:35" x14ac:dyDescent="0.25">
      <c r="A376" s="2">
        <v>28</v>
      </c>
      <c r="B376" s="2" t="s">
        <v>43</v>
      </c>
      <c r="C376" s="2" t="s">
        <v>36</v>
      </c>
      <c r="D376" s="2">
        <v>304</v>
      </c>
      <c r="E376" s="2" t="s">
        <v>37</v>
      </c>
      <c r="F376" s="2">
        <v>9</v>
      </c>
      <c r="G376" s="2">
        <v>4</v>
      </c>
      <c r="H376" s="2" t="s">
        <v>38</v>
      </c>
      <c r="I376" s="2">
        <v>1</v>
      </c>
      <c r="J376" s="2">
        <v>498</v>
      </c>
      <c r="K376" s="2">
        <v>2</v>
      </c>
      <c r="L376" s="2" t="s">
        <v>46</v>
      </c>
      <c r="M376" s="2">
        <v>92</v>
      </c>
      <c r="N376" s="2">
        <v>3</v>
      </c>
      <c r="O376" s="2">
        <v>2</v>
      </c>
      <c r="P376" s="2" t="s">
        <v>40</v>
      </c>
      <c r="Q376" s="2">
        <v>4</v>
      </c>
      <c r="R376" s="2" t="s">
        <v>41</v>
      </c>
      <c r="S376" s="2">
        <v>5253</v>
      </c>
      <c r="T376" s="2">
        <v>20750</v>
      </c>
      <c r="U376" s="2">
        <v>1</v>
      </c>
      <c r="V376" s="2" t="s">
        <v>42</v>
      </c>
      <c r="W376" s="2" t="s">
        <v>43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</row>
    <row r="377" spans="1:35" x14ac:dyDescent="0.25">
      <c r="A377" s="2">
        <v>49</v>
      </c>
      <c r="B377" s="2" t="s">
        <v>43</v>
      </c>
      <c r="C377" s="2" t="s">
        <v>36</v>
      </c>
      <c r="D377" s="2">
        <v>1261</v>
      </c>
      <c r="E377" s="2" t="s">
        <v>45</v>
      </c>
      <c r="F377" s="2">
        <v>7</v>
      </c>
      <c r="G377" s="2">
        <v>3</v>
      </c>
      <c r="H377" s="2" t="s">
        <v>49</v>
      </c>
      <c r="I377" s="2">
        <v>1</v>
      </c>
      <c r="J377" s="2">
        <v>499</v>
      </c>
      <c r="K377" s="2">
        <v>2</v>
      </c>
      <c r="L377" s="2" t="s">
        <v>46</v>
      </c>
      <c r="M377" s="2">
        <v>31</v>
      </c>
      <c r="N377" s="2">
        <v>2</v>
      </c>
      <c r="O377" s="2">
        <v>3</v>
      </c>
      <c r="P377" s="2" t="s">
        <v>54</v>
      </c>
      <c r="Q377" s="2">
        <v>3</v>
      </c>
      <c r="R377" s="2" t="s">
        <v>41</v>
      </c>
      <c r="S377" s="2">
        <v>10965</v>
      </c>
      <c r="T377" s="2">
        <v>12066</v>
      </c>
      <c r="U377" s="2">
        <v>8</v>
      </c>
      <c r="V377" s="2" t="s">
        <v>42</v>
      </c>
      <c r="W377" s="2" t="s">
        <v>43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</row>
    <row r="378" spans="1:35" x14ac:dyDescent="0.25">
      <c r="A378" s="2">
        <v>51</v>
      </c>
      <c r="B378" s="2" t="s">
        <v>43</v>
      </c>
      <c r="C378" s="2" t="s">
        <v>36</v>
      </c>
      <c r="D378" s="2">
        <v>1178</v>
      </c>
      <c r="E378" s="2" t="s">
        <v>37</v>
      </c>
      <c r="F378" s="2">
        <v>14</v>
      </c>
      <c r="G378" s="2">
        <v>2</v>
      </c>
      <c r="H378" s="2" t="s">
        <v>38</v>
      </c>
      <c r="I378" s="2">
        <v>1</v>
      </c>
      <c r="J378" s="2">
        <v>500</v>
      </c>
      <c r="K378" s="2">
        <v>3</v>
      </c>
      <c r="L378" s="2" t="s">
        <v>39</v>
      </c>
      <c r="M378" s="2">
        <v>87</v>
      </c>
      <c r="N378" s="2">
        <v>3</v>
      </c>
      <c r="O378" s="2">
        <v>2</v>
      </c>
      <c r="P378" s="2" t="s">
        <v>40</v>
      </c>
      <c r="Q378" s="2">
        <v>4</v>
      </c>
      <c r="R378" s="2" t="s">
        <v>48</v>
      </c>
      <c r="S378" s="2">
        <v>4936</v>
      </c>
      <c r="T378" s="2">
        <v>14862</v>
      </c>
      <c r="U378" s="2">
        <v>4</v>
      </c>
      <c r="V378" s="2" t="s">
        <v>42</v>
      </c>
      <c r="W378" s="2" t="s">
        <v>43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</row>
    <row r="379" spans="1:35" x14ac:dyDescent="0.25">
      <c r="A379" s="2">
        <v>36</v>
      </c>
      <c r="B379" s="2" t="s">
        <v>43</v>
      </c>
      <c r="C379" s="2" t="s">
        <v>36</v>
      </c>
      <c r="D379" s="2">
        <v>329</v>
      </c>
      <c r="E379" s="2" t="s">
        <v>45</v>
      </c>
      <c r="F379" s="2">
        <v>2</v>
      </c>
      <c r="G379" s="2">
        <v>3</v>
      </c>
      <c r="H379" s="2" t="s">
        <v>38</v>
      </c>
      <c r="I379" s="2">
        <v>1</v>
      </c>
      <c r="J379" s="2">
        <v>501</v>
      </c>
      <c r="K379" s="2">
        <v>4</v>
      </c>
      <c r="L379" s="2" t="s">
        <v>39</v>
      </c>
      <c r="M379" s="2">
        <v>96</v>
      </c>
      <c r="N379" s="2">
        <v>3</v>
      </c>
      <c r="O379" s="2">
        <v>1</v>
      </c>
      <c r="P379" s="2" t="s">
        <v>47</v>
      </c>
      <c r="Q379" s="2">
        <v>3</v>
      </c>
      <c r="R379" s="2" t="s">
        <v>48</v>
      </c>
      <c r="S379" s="2">
        <v>2543</v>
      </c>
      <c r="T379" s="2">
        <v>11868</v>
      </c>
      <c r="U379" s="2">
        <v>4</v>
      </c>
      <c r="V379" s="2" t="s">
        <v>42</v>
      </c>
      <c r="W379" s="2" t="s">
        <v>43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</row>
    <row r="380" spans="1:35" x14ac:dyDescent="0.25">
      <c r="A380" s="2">
        <v>34</v>
      </c>
      <c r="B380" s="2" t="s">
        <v>35</v>
      </c>
      <c r="C380" s="2" t="s">
        <v>55</v>
      </c>
      <c r="D380" s="2">
        <v>1362</v>
      </c>
      <c r="E380" s="2" t="s">
        <v>37</v>
      </c>
      <c r="F380" s="2">
        <v>19</v>
      </c>
      <c r="G380" s="2">
        <v>3</v>
      </c>
      <c r="H380" s="2" t="s">
        <v>59</v>
      </c>
      <c r="I380" s="2">
        <v>1</v>
      </c>
      <c r="J380" s="2">
        <v>502</v>
      </c>
      <c r="K380" s="2">
        <v>1</v>
      </c>
      <c r="L380" s="2" t="s">
        <v>46</v>
      </c>
      <c r="M380" s="2">
        <v>67</v>
      </c>
      <c r="N380" s="2">
        <v>4</v>
      </c>
      <c r="O380" s="2">
        <v>2</v>
      </c>
      <c r="P380" s="2" t="s">
        <v>40</v>
      </c>
      <c r="Q380" s="2">
        <v>4</v>
      </c>
      <c r="R380" s="2" t="s">
        <v>41</v>
      </c>
      <c r="S380" s="2">
        <v>5304</v>
      </c>
      <c r="T380" s="2">
        <v>4652</v>
      </c>
      <c r="U380" s="2">
        <v>8</v>
      </c>
      <c r="V380" s="2" t="s">
        <v>42</v>
      </c>
      <c r="W380" s="2" t="s">
        <v>35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</row>
    <row r="381" spans="1:35" x14ac:dyDescent="0.25">
      <c r="A381" s="2">
        <v>55</v>
      </c>
      <c r="B381" s="2" t="s">
        <v>43</v>
      </c>
      <c r="C381" s="2" t="s">
        <v>36</v>
      </c>
      <c r="D381" s="2">
        <v>1311</v>
      </c>
      <c r="E381" s="2" t="s">
        <v>45</v>
      </c>
      <c r="F381" s="2">
        <v>2</v>
      </c>
      <c r="G381" s="2">
        <v>3</v>
      </c>
      <c r="H381" s="2" t="s">
        <v>38</v>
      </c>
      <c r="I381" s="2">
        <v>1</v>
      </c>
      <c r="J381" s="2">
        <v>505</v>
      </c>
      <c r="K381" s="2">
        <v>3</v>
      </c>
      <c r="L381" s="2" t="s">
        <v>39</v>
      </c>
      <c r="M381" s="2">
        <v>97</v>
      </c>
      <c r="N381" s="2">
        <v>3</v>
      </c>
      <c r="O381" s="2">
        <v>4</v>
      </c>
      <c r="P381" s="2" t="s">
        <v>56</v>
      </c>
      <c r="Q381" s="2">
        <v>4</v>
      </c>
      <c r="R381" s="2" t="s">
        <v>41</v>
      </c>
      <c r="S381" s="2">
        <v>16659</v>
      </c>
      <c r="T381" s="2">
        <v>23258</v>
      </c>
      <c r="U381" s="2">
        <v>2</v>
      </c>
      <c r="V381" s="2" t="s">
        <v>42</v>
      </c>
      <c r="W381" s="2" t="s">
        <v>35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</row>
    <row r="382" spans="1:35" x14ac:dyDescent="0.25">
      <c r="A382" s="2">
        <v>24</v>
      </c>
      <c r="B382" s="2" t="s">
        <v>43</v>
      </c>
      <c r="C382" s="2" t="s">
        <v>36</v>
      </c>
      <c r="D382" s="2">
        <v>1371</v>
      </c>
      <c r="E382" s="2" t="s">
        <v>37</v>
      </c>
      <c r="F382" s="2">
        <v>10</v>
      </c>
      <c r="G382" s="2">
        <v>4</v>
      </c>
      <c r="H382" s="2" t="s">
        <v>59</v>
      </c>
      <c r="I382" s="2">
        <v>1</v>
      </c>
      <c r="J382" s="2">
        <v>507</v>
      </c>
      <c r="K382" s="2">
        <v>4</v>
      </c>
      <c r="L382" s="2" t="s">
        <v>39</v>
      </c>
      <c r="M382" s="2">
        <v>77</v>
      </c>
      <c r="N382" s="2">
        <v>3</v>
      </c>
      <c r="O382" s="2">
        <v>2</v>
      </c>
      <c r="P382" s="2" t="s">
        <v>40</v>
      </c>
      <c r="Q382" s="2">
        <v>3</v>
      </c>
      <c r="R382" s="2" t="s">
        <v>52</v>
      </c>
      <c r="S382" s="2">
        <v>4260</v>
      </c>
      <c r="T382" s="2">
        <v>5915</v>
      </c>
      <c r="U382" s="2">
        <v>1</v>
      </c>
      <c r="V382" s="2" t="s">
        <v>42</v>
      </c>
      <c r="W382" s="2" t="s">
        <v>35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</row>
    <row r="383" spans="1:35" x14ac:dyDescent="0.25">
      <c r="A383" s="2">
        <v>30</v>
      </c>
      <c r="B383" s="2" t="s">
        <v>43</v>
      </c>
      <c r="C383" s="2" t="s">
        <v>36</v>
      </c>
      <c r="D383" s="2">
        <v>202</v>
      </c>
      <c r="E383" s="2" t="s">
        <v>37</v>
      </c>
      <c r="F383" s="2">
        <v>2</v>
      </c>
      <c r="G383" s="2">
        <v>1</v>
      </c>
      <c r="H383" s="2" t="s">
        <v>60</v>
      </c>
      <c r="I383" s="2">
        <v>1</v>
      </c>
      <c r="J383" s="2">
        <v>508</v>
      </c>
      <c r="K383" s="2">
        <v>3</v>
      </c>
      <c r="L383" s="2" t="s">
        <v>46</v>
      </c>
      <c r="M383" s="2">
        <v>72</v>
      </c>
      <c r="N383" s="2">
        <v>3</v>
      </c>
      <c r="O383" s="2">
        <v>1</v>
      </c>
      <c r="P383" s="2" t="s">
        <v>57</v>
      </c>
      <c r="Q383" s="2">
        <v>2</v>
      </c>
      <c r="R383" s="2" t="s">
        <v>48</v>
      </c>
      <c r="S383" s="2">
        <v>2476</v>
      </c>
      <c r="T383" s="2">
        <v>17434</v>
      </c>
      <c r="U383" s="2">
        <v>1</v>
      </c>
      <c r="V383" s="2" t="s">
        <v>42</v>
      </c>
      <c r="W383" s="2" t="s">
        <v>43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</row>
    <row r="384" spans="1:35" x14ac:dyDescent="0.25">
      <c r="A384" s="2">
        <v>26</v>
      </c>
      <c r="B384" s="2" t="s">
        <v>35</v>
      </c>
      <c r="C384" s="2" t="s">
        <v>44</v>
      </c>
      <c r="D384" s="2">
        <v>575</v>
      </c>
      <c r="E384" s="2" t="s">
        <v>45</v>
      </c>
      <c r="F384" s="2">
        <v>3</v>
      </c>
      <c r="G384" s="2">
        <v>1</v>
      </c>
      <c r="H384" s="2" t="s">
        <v>60</v>
      </c>
      <c r="I384" s="2">
        <v>1</v>
      </c>
      <c r="J384" s="2">
        <v>510</v>
      </c>
      <c r="K384" s="2">
        <v>3</v>
      </c>
      <c r="L384" s="2" t="s">
        <v>46</v>
      </c>
      <c r="M384" s="2">
        <v>73</v>
      </c>
      <c r="N384" s="2">
        <v>3</v>
      </c>
      <c r="O384" s="2">
        <v>1</v>
      </c>
      <c r="P384" s="2" t="s">
        <v>47</v>
      </c>
      <c r="Q384" s="2">
        <v>1</v>
      </c>
      <c r="R384" s="2" t="s">
        <v>41</v>
      </c>
      <c r="S384" s="2">
        <v>3102</v>
      </c>
      <c r="T384" s="2">
        <v>6582</v>
      </c>
      <c r="U384" s="2">
        <v>0</v>
      </c>
      <c r="V384" s="2" t="s">
        <v>42</v>
      </c>
      <c r="W384" s="2" t="s">
        <v>43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</row>
    <row r="385" spans="1:35" x14ac:dyDescent="0.25">
      <c r="A385" s="2">
        <v>22</v>
      </c>
      <c r="B385" s="2" t="s">
        <v>43</v>
      </c>
      <c r="C385" s="2" t="s">
        <v>36</v>
      </c>
      <c r="D385" s="2">
        <v>253</v>
      </c>
      <c r="E385" s="2" t="s">
        <v>45</v>
      </c>
      <c r="F385" s="2">
        <v>11</v>
      </c>
      <c r="G385" s="2">
        <v>3</v>
      </c>
      <c r="H385" s="2" t="s">
        <v>51</v>
      </c>
      <c r="I385" s="2">
        <v>1</v>
      </c>
      <c r="J385" s="2">
        <v>511</v>
      </c>
      <c r="K385" s="2">
        <v>1</v>
      </c>
      <c r="L385" s="2" t="s">
        <v>39</v>
      </c>
      <c r="M385" s="2">
        <v>43</v>
      </c>
      <c r="N385" s="2">
        <v>3</v>
      </c>
      <c r="O385" s="2">
        <v>1</v>
      </c>
      <c r="P385" s="2" t="s">
        <v>47</v>
      </c>
      <c r="Q385" s="2">
        <v>2</v>
      </c>
      <c r="R385" s="2" t="s">
        <v>48</v>
      </c>
      <c r="S385" s="2">
        <v>2244</v>
      </c>
      <c r="T385" s="2">
        <v>24440</v>
      </c>
      <c r="U385" s="2">
        <v>1</v>
      </c>
      <c r="V385" s="2" t="s">
        <v>42</v>
      </c>
      <c r="W385" s="2" t="s">
        <v>43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</row>
    <row r="386" spans="1:35" x14ac:dyDescent="0.25">
      <c r="A386" s="2">
        <v>36</v>
      </c>
      <c r="B386" s="2" t="s">
        <v>43</v>
      </c>
      <c r="C386" s="2" t="s">
        <v>36</v>
      </c>
      <c r="D386" s="2">
        <v>164</v>
      </c>
      <c r="E386" s="2" t="s">
        <v>37</v>
      </c>
      <c r="F386" s="2">
        <v>2</v>
      </c>
      <c r="G386" s="2">
        <v>2</v>
      </c>
      <c r="H386" s="2" t="s">
        <v>51</v>
      </c>
      <c r="I386" s="2">
        <v>1</v>
      </c>
      <c r="J386" s="2">
        <v>513</v>
      </c>
      <c r="K386" s="2">
        <v>2</v>
      </c>
      <c r="L386" s="2" t="s">
        <v>46</v>
      </c>
      <c r="M386" s="2">
        <v>61</v>
      </c>
      <c r="N386" s="2">
        <v>2</v>
      </c>
      <c r="O386" s="2">
        <v>3</v>
      </c>
      <c r="P386" s="2" t="s">
        <v>40</v>
      </c>
      <c r="Q386" s="2">
        <v>3</v>
      </c>
      <c r="R386" s="2" t="s">
        <v>48</v>
      </c>
      <c r="S386" s="2">
        <v>7596</v>
      </c>
      <c r="T386" s="2">
        <v>3809</v>
      </c>
      <c r="U386" s="2">
        <v>1</v>
      </c>
      <c r="V386" s="2" t="s">
        <v>42</v>
      </c>
      <c r="W386" s="2" t="s">
        <v>43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</row>
    <row r="387" spans="1:35" x14ac:dyDescent="0.25">
      <c r="A387" s="2">
        <v>30</v>
      </c>
      <c r="B387" s="2" t="s">
        <v>35</v>
      </c>
      <c r="C387" s="2" t="s">
        <v>44</v>
      </c>
      <c r="D387" s="2">
        <v>464</v>
      </c>
      <c r="E387" s="2" t="s">
        <v>45</v>
      </c>
      <c r="F387" s="2">
        <v>4</v>
      </c>
      <c r="G387" s="2">
        <v>3</v>
      </c>
      <c r="H387" s="2" t="s">
        <v>60</v>
      </c>
      <c r="I387" s="2">
        <v>1</v>
      </c>
      <c r="J387" s="2">
        <v>514</v>
      </c>
      <c r="K387" s="2">
        <v>3</v>
      </c>
      <c r="L387" s="2" t="s">
        <v>46</v>
      </c>
      <c r="M387" s="2">
        <v>40</v>
      </c>
      <c r="N387" s="2">
        <v>3</v>
      </c>
      <c r="O387" s="2">
        <v>1</v>
      </c>
      <c r="P387" s="2" t="s">
        <v>47</v>
      </c>
      <c r="Q387" s="2">
        <v>4</v>
      </c>
      <c r="R387" s="2" t="s">
        <v>41</v>
      </c>
      <c r="S387" s="2">
        <v>2285</v>
      </c>
      <c r="T387" s="2">
        <v>3427</v>
      </c>
      <c r="U387" s="2">
        <v>9</v>
      </c>
      <c r="V387" s="2" t="s">
        <v>42</v>
      </c>
      <c r="W387" s="2" t="s">
        <v>35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</row>
    <row r="388" spans="1:35" x14ac:dyDescent="0.25">
      <c r="A388" s="2">
        <v>37</v>
      </c>
      <c r="B388" s="2" t="s">
        <v>43</v>
      </c>
      <c r="C388" s="2" t="s">
        <v>36</v>
      </c>
      <c r="D388" s="2">
        <v>1107</v>
      </c>
      <c r="E388" s="2" t="s">
        <v>45</v>
      </c>
      <c r="F388" s="2">
        <v>14</v>
      </c>
      <c r="G388" s="2">
        <v>3</v>
      </c>
      <c r="H388" s="2" t="s">
        <v>38</v>
      </c>
      <c r="I388" s="2">
        <v>1</v>
      </c>
      <c r="J388" s="2">
        <v>515</v>
      </c>
      <c r="K388" s="2">
        <v>4</v>
      </c>
      <c r="L388" s="2" t="s">
        <v>39</v>
      </c>
      <c r="M388" s="2">
        <v>95</v>
      </c>
      <c r="N388" s="2">
        <v>3</v>
      </c>
      <c r="O388" s="2">
        <v>1</v>
      </c>
      <c r="P388" s="2" t="s">
        <v>50</v>
      </c>
      <c r="Q388" s="2">
        <v>1</v>
      </c>
      <c r="R388" s="2" t="s">
        <v>52</v>
      </c>
      <c r="S388" s="2">
        <v>3034</v>
      </c>
      <c r="T388" s="2">
        <v>26914</v>
      </c>
      <c r="U388" s="2">
        <v>1</v>
      </c>
      <c r="V388" s="2" t="s">
        <v>42</v>
      </c>
      <c r="W388" s="2" t="s">
        <v>43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</row>
    <row r="389" spans="1:35" x14ac:dyDescent="0.25">
      <c r="A389" s="2">
        <v>40</v>
      </c>
      <c r="B389" s="2" t="s">
        <v>43</v>
      </c>
      <c r="C389" s="2" t="s">
        <v>36</v>
      </c>
      <c r="D389" s="2">
        <v>759</v>
      </c>
      <c r="E389" s="2" t="s">
        <v>37</v>
      </c>
      <c r="F389" s="2">
        <v>2</v>
      </c>
      <c r="G389" s="2">
        <v>2</v>
      </c>
      <c r="H389" s="2" t="s">
        <v>59</v>
      </c>
      <c r="I389" s="2">
        <v>1</v>
      </c>
      <c r="J389" s="2">
        <v>516</v>
      </c>
      <c r="K389" s="2">
        <v>4</v>
      </c>
      <c r="L389" s="2" t="s">
        <v>39</v>
      </c>
      <c r="M389" s="2">
        <v>46</v>
      </c>
      <c r="N389" s="2">
        <v>3</v>
      </c>
      <c r="O389" s="2">
        <v>2</v>
      </c>
      <c r="P389" s="2" t="s">
        <v>40</v>
      </c>
      <c r="Q389" s="2">
        <v>2</v>
      </c>
      <c r="R389" s="2" t="s">
        <v>52</v>
      </c>
      <c r="S389" s="2">
        <v>5715</v>
      </c>
      <c r="T389" s="2">
        <v>22553</v>
      </c>
      <c r="U389" s="2">
        <v>7</v>
      </c>
      <c r="V389" s="2" t="s">
        <v>42</v>
      </c>
      <c r="W389" s="2" t="s">
        <v>43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</row>
    <row r="390" spans="1:35" x14ac:dyDescent="0.25">
      <c r="A390" s="2">
        <v>42</v>
      </c>
      <c r="B390" s="2" t="s">
        <v>43</v>
      </c>
      <c r="C390" s="2" t="s">
        <v>36</v>
      </c>
      <c r="D390" s="2">
        <v>201</v>
      </c>
      <c r="E390" s="2" t="s">
        <v>45</v>
      </c>
      <c r="F390" s="2">
        <v>1</v>
      </c>
      <c r="G390" s="2">
        <v>4</v>
      </c>
      <c r="H390" s="2" t="s">
        <v>38</v>
      </c>
      <c r="I390" s="2">
        <v>1</v>
      </c>
      <c r="J390" s="2">
        <v>517</v>
      </c>
      <c r="K390" s="2">
        <v>2</v>
      </c>
      <c r="L390" s="2" t="s">
        <v>39</v>
      </c>
      <c r="M390" s="2">
        <v>95</v>
      </c>
      <c r="N390" s="2">
        <v>3</v>
      </c>
      <c r="O390" s="2">
        <v>1</v>
      </c>
      <c r="P390" s="2" t="s">
        <v>50</v>
      </c>
      <c r="Q390" s="2">
        <v>1</v>
      </c>
      <c r="R390" s="2" t="s">
        <v>52</v>
      </c>
      <c r="S390" s="2">
        <v>2576</v>
      </c>
      <c r="T390" s="2">
        <v>20490</v>
      </c>
      <c r="U390" s="2">
        <v>3</v>
      </c>
      <c r="V390" s="2" t="s">
        <v>42</v>
      </c>
      <c r="W390" s="2" t="s">
        <v>43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</row>
    <row r="391" spans="1:35" x14ac:dyDescent="0.25">
      <c r="A391" s="2">
        <v>37</v>
      </c>
      <c r="B391" s="2" t="s">
        <v>43</v>
      </c>
      <c r="C391" s="2" t="s">
        <v>36</v>
      </c>
      <c r="D391" s="2">
        <v>1305</v>
      </c>
      <c r="E391" s="2" t="s">
        <v>45</v>
      </c>
      <c r="F391" s="2">
        <v>10</v>
      </c>
      <c r="G391" s="2">
        <v>4</v>
      </c>
      <c r="H391" s="2" t="s">
        <v>38</v>
      </c>
      <c r="I391" s="2">
        <v>1</v>
      </c>
      <c r="J391" s="2">
        <v>518</v>
      </c>
      <c r="K391" s="2">
        <v>3</v>
      </c>
      <c r="L391" s="2" t="s">
        <v>46</v>
      </c>
      <c r="M391" s="2">
        <v>49</v>
      </c>
      <c r="N391" s="2">
        <v>3</v>
      </c>
      <c r="O391" s="2">
        <v>2</v>
      </c>
      <c r="P391" s="2" t="s">
        <v>53</v>
      </c>
      <c r="Q391" s="2">
        <v>2</v>
      </c>
      <c r="R391" s="2" t="s">
        <v>41</v>
      </c>
      <c r="S391" s="2">
        <v>4197</v>
      </c>
      <c r="T391" s="2">
        <v>21123</v>
      </c>
      <c r="U391" s="2">
        <v>2</v>
      </c>
      <c r="V391" s="2" t="s">
        <v>42</v>
      </c>
      <c r="W391" s="2" t="s">
        <v>35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</row>
    <row r="392" spans="1:35" x14ac:dyDescent="0.25">
      <c r="A392" s="2">
        <v>43</v>
      </c>
      <c r="B392" s="2" t="s">
        <v>43</v>
      </c>
      <c r="C392" s="2" t="s">
        <v>36</v>
      </c>
      <c r="D392" s="2">
        <v>982</v>
      </c>
      <c r="E392" s="2" t="s">
        <v>45</v>
      </c>
      <c r="F392" s="2">
        <v>12</v>
      </c>
      <c r="G392" s="2">
        <v>3</v>
      </c>
      <c r="H392" s="2" t="s">
        <v>38</v>
      </c>
      <c r="I392" s="2">
        <v>1</v>
      </c>
      <c r="J392" s="2">
        <v>520</v>
      </c>
      <c r="K392" s="2">
        <v>1</v>
      </c>
      <c r="L392" s="2" t="s">
        <v>46</v>
      </c>
      <c r="M392" s="2">
        <v>59</v>
      </c>
      <c r="N392" s="2">
        <v>2</v>
      </c>
      <c r="O392" s="2">
        <v>4</v>
      </c>
      <c r="P392" s="2" t="s">
        <v>58</v>
      </c>
      <c r="Q392" s="2">
        <v>2</v>
      </c>
      <c r="R392" s="2" t="s">
        <v>52</v>
      </c>
      <c r="S392" s="2">
        <v>14336</v>
      </c>
      <c r="T392" s="2">
        <v>4345</v>
      </c>
      <c r="U392" s="2">
        <v>1</v>
      </c>
      <c r="V392" s="2" t="s">
        <v>42</v>
      </c>
      <c r="W392" s="2" t="s">
        <v>43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</row>
    <row r="393" spans="1:35" x14ac:dyDescent="0.25">
      <c r="A393" s="2">
        <v>40</v>
      </c>
      <c r="B393" s="2" t="s">
        <v>43</v>
      </c>
      <c r="C393" s="2" t="s">
        <v>36</v>
      </c>
      <c r="D393" s="2">
        <v>555</v>
      </c>
      <c r="E393" s="2" t="s">
        <v>45</v>
      </c>
      <c r="F393" s="2">
        <v>2</v>
      </c>
      <c r="G393" s="2">
        <v>3</v>
      </c>
      <c r="H393" s="2" t="s">
        <v>51</v>
      </c>
      <c r="I393" s="2">
        <v>1</v>
      </c>
      <c r="J393" s="2">
        <v>521</v>
      </c>
      <c r="K393" s="2">
        <v>2</v>
      </c>
      <c r="L393" s="2" t="s">
        <v>39</v>
      </c>
      <c r="M393" s="2">
        <v>78</v>
      </c>
      <c r="N393" s="2">
        <v>2</v>
      </c>
      <c r="O393" s="2">
        <v>2</v>
      </c>
      <c r="P393" s="2" t="s">
        <v>50</v>
      </c>
      <c r="Q393" s="2">
        <v>3</v>
      </c>
      <c r="R393" s="2" t="s">
        <v>48</v>
      </c>
      <c r="S393" s="2">
        <v>3448</v>
      </c>
      <c r="T393" s="2">
        <v>13436</v>
      </c>
      <c r="U393" s="2">
        <v>6</v>
      </c>
      <c r="V393" s="2" t="s">
        <v>42</v>
      </c>
      <c r="W393" s="2" t="s">
        <v>43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</row>
    <row r="394" spans="1:35" x14ac:dyDescent="0.25">
      <c r="A394" s="2">
        <v>54</v>
      </c>
      <c r="B394" s="2" t="s">
        <v>43</v>
      </c>
      <c r="C394" s="2" t="s">
        <v>36</v>
      </c>
      <c r="D394" s="2">
        <v>821</v>
      </c>
      <c r="E394" s="2" t="s">
        <v>45</v>
      </c>
      <c r="F394" s="2">
        <v>5</v>
      </c>
      <c r="G394" s="2">
        <v>2</v>
      </c>
      <c r="H394" s="2" t="s">
        <v>51</v>
      </c>
      <c r="I394" s="2">
        <v>1</v>
      </c>
      <c r="J394" s="2">
        <v>522</v>
      </c>
      <c r="K394" s="2">
        <v>1</v>
      </c>
      <c r="L394" s="2" t="s">
        <v>46</v>
      </c>
      <c r="M394" s="2">
        <v>86</v>
      </c>
      <c r="N394" s="2">
        <v>3</v>
      </c>
      <c r="O394" s="2">
        <v>5</v>
      </c>
      <c r="P394" s="2" t="s">
        <v>58</v>
      </c>
      <c r="Q394" s="2">
        <v>1</v>
      </c>
      <c r="R394" s="2" t="s">
        <v>48</v>
      </c>
      <c r="S394" s="2">
        <v>19406</v>
      </c>
      <c r="T394" s="2">
        <v>8509</v>
      </c>
      <c r="U394" s="2">
        <v>4</v>
      </c>
      <c r="V394" s="2" t="s">
        <v>42</v>
      </c>
      <c r="W394" s="2" t="s">
        <v>43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</row>
    <row r="395" spans="1:35" x14ac:dyDescent="0.25">
      <c r="A395" s="2">
        <v>34</v>
      </c>
      <c r="B395" s="2" t="s">
        <v>43</v>
      </c>
      <c r="C395" s="2" t="s">
        <v>55</v>
      </c>
      <c r="D395" s="2">
        <v>1381</v>
      </c>
      <c r="E395" s="2" t="s">
        <v>37</v>
      </c>
      <c r="F395" s="2">
        <v>4</v>
      </c>
      <c r="G395" s="2">
        <v>4</v>
      </c>
      <c r="H395" s="2" t="s">
        <v>59</v>
      </c>
      <c r="I395" s="2">
        <v>1</v>
      </c>
      <c r="J395" s="2">
        <v>523</v>
      </c>
      <c r="K395" s="2">
        <v>3</v>
      </c>
      <c r="L395" s="2" t="s">
        <v>39</v>
      </c>
      <c r="M395" s="2">
        <v>72</v>
      </c>
      <c r="N395" s="2">
        <v>3</v>
      </c>
      <c r="O395" s="2">
        <v>2</v>
      </c>
      <c r="P395" s="2" t="s">
        <v>40</v>
      </c>
      <c r="Q395" s="2">
        <v>3</v>
      </c>
      <c r="R395" s="2" t="s">
        <v>48</v>
      </c>
      <c r="S395" s="2">
        <v>6538</v>
      </c>
      <c r="T395" s="2">
        <v>12740</v>
      </c>
      <c r="U395" s="2">
        <v>9</v>
      </c>
      <c r="V395" s="2" t="s">
        <v>42</v>
      </c>
      <c r="W395" s="2" t="s">
        <v>43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</row>
    <row r="396" spans="1:35" x14ac:dyDescent="0.25">
      <c r="A396" s="2">
        <v>31</v>
      </c>
      <c r="B396" s="2" t="s">
        <v>43</v>
      </c>
      <c r="C396" s="2" t="s">
        <v>36</v>
      </c>
      <c r="D396" s="2">
        <v>480</v>
      </c>
      <c r="E396" s="2" t="s">
        <v>45</v>
      </c>
      <c r="F396" s="2">
        <v>7</v>
      </c>
      <c r="G396" s="2">
        <v>2</v>
      </c>
      <c r="H396" s="2" t="s">
        <v>51</v>
      </c>
      <c r="I396" s="2">
        <v>1</v>
      </c>
      <c r="J396" s="2">
        <v>524</v>
      </c>
      <c r="K396" s="2">
        <v>2</v>
      </c>
      <c r="L396" s="2" t="s">
        <v>39</v>
      </c>
      <c r="M396" s="2">
        <v>31</v>
      </c>
      <c r="N396" s="2">
        <v>3</v>
      </c>
      <c r="O396" s="2">
        <v>2</v>
      </c>
      <c r="P396" s="2" t="s">
        <v>53</v>
      </c>
      <c r="Q396" s="2">
        <v>1</v>
      </c>
      <c r="R396" s="2" t="s">
        <v>48</v>
      </c>
      <c r="S396" s="2">
        <v>4306</v>
      </c>
      <c r="T396" s="2">
        <v>4156</v>
      </c>
      <c r="U396" s="2">
        <v>1</v>
      </c>
      <c r="V396" s="2" t="s">
        <v>42</v>
      </c>
      <c r="W396" s="2" t="s">
        <v>43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</row>
    <row r="397" spans="1:35" x14ac:dyDescent="0.25">
      <c r="A397" s="2">
        <v>43</v>
      </c>
      <c r="B397" s="2" t="s">
        <v>43</v>
      </c>
      <c r="C397" s="2" t="s">
        <v>44</v>
      </c>
      <c r="D397" s="2">
        <v>313</v>
      </c>
      <c r="E397" s="2" t="s">
        <v>45</v>
      </c>
      <c r="F397" s="2">
        <v>21</v>
      </c>
      <c r="G397" s="2">
        <v>3</v>
      </c>
      <c r="H397" s="2" t="s">
        <v>51</v>
      </c>
      <c r="I397" s="2">
        <v>1</v>
      </c>
      <c r="J397" s="2">
        <v>525</v>
      </c>
      <c r="K397" s="2">
        <v>4</v>
      </c>
      <c r="L397" s="2" t="s">
        <v>46</v>
      </c>
      <c r="M397" s="2">
        <v>61</v>
      </c>
      <c r="N397" s="2">
        <v>3</v>
      </c>
      <c r="O397" s="2">
        <v>1</v>
      </c>
      <c r="P397" s="2" t="s">
        <v>50</v>
      </c>
      <c r="Q397" s="2">
        <v>4</v>
      </c>
      <c r="R397" s="2" t="s">
        <v>48</v>
      </c>
      <c r="S397" s="2">
        <v>2258</v>
      </c>
      <c r="T397" s="2">
        <v>15238</v>
      </c>
      <c r="U397" s="2">
        <v>7</v>
      </c>
      <c r="V397" s="2" t="s">
        <v>42</v>
      </c>
      <c r="W397" s="2" t="s">
        <v>43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</row>
    <row r="398" spans="1:35" x14ac:dyDescent="0.25">
      <c r="A398" s="2">
        <v>43</v>
      </c>
      <c r="B398" s="2" t="s">
        <v>43</v>
      </c>
      <c r="C398" s="2" t="s">
        <v>36</v>
      </c>
      <c r="D398" s="2">
        <v>1473</v>
      </c>
      <c r="E398" s="2" t="s">
        <v>45</v>
      </c>
      <c r="F398" s="2">
        <v>8</v>
      </c>
      <c r="G398" s="2">
        <v>4</v>
      </c>
      <c r="H398" s="2" t="s">
        <v>49</v>
      </c>
      <c r="I398" s="2">
        <v>1</v>
      </c>
      <c r="J398" s="2">
        <v>526</v>
      </c>
      <c r="K398" s="2">
        <v>3</v>
      </c>
      <c r="L398" s="2" t="s">
        <v>39</v>
      </c>
      <c r="M398" s="2">
        <v>74</v>
      </c>
      <c r="N398" s="2">
        <v>3</v>
      </c>
      <c r="O398" s="2">
        <v>2</v>
      </c>
      <c r="P398" s="2" t="s">
        <v>54</v>
      </c>
      <c r="Q398" s="2">
        <v>3</v>
      </c>
      <c r="R398" s="2" t="s">
        <v>52</v>
      </c>
      <c r="S398" s="2">
        <v>4522</v>
      </c>
      <c r="T398" s="2">
        <v>2227</v>
      </c>
      <c r="U398" s="2">
        <v>4</v>
      </c>
      <c r="V398" s="2" t="s">
        <v>42</v>
      </c>
      <c r="W398" s="2" t="s">
        <v>35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</row>
    <row r="399" spans="1:35" x14ac:dyDescent="0.25">
      <c r="A399" s="2">
        <v>25</v>
      </c>
      <c r="B399" s="2" t="s">
        <v>43</v>
      </c>
      <c r="C399" s="2" t="s">
        <v>36</v>
      </c>
      <c r="D399" s="2">
        <v>891</v>
      </c>
      <c r="E399" s="2" t="s">
        <v>37</v>
      </c>
      <c r="F399" s="2">
        <v>4</v>
      </c>
      <c r="G399" s="2">
        <v>2</v>
      </c>
      <c r="H399" s="2" t="s">
        <v>38</v>
      </c>
      <c r="I399" s="2">
        <v>1</v>
      </c>
      <c r="J399" s="2">
        <v>527</v>
      </c>
      <c r="K399" s="2">
        <v>2</v>
      </c>
      <c r="L399" s="2" t="s">
        <v>39</v>
      </c>
      <c r="M399" s="2">
        <v>99</v>
      </c>
      <c r="N399" s="2">
        <v>2</v>
      </c>
      <c r="O399" s="2">
        <v>2</v>
      </c>
      <c r="P399" s="2" t="s">
        <v>40</v>
      </c>
      <c r="Q399" s="2">
        <v>4</v>
      </c>
      <c r="R399" s="2" t="s">
        <v>41</v>
      </c>
      <c r="S399" s="2">
        <v>4487</v>
      </c>
      <c r="T399" s="2">
        <v>12090</v>
      </c>
      <c r="U399" s="2">
        <v>1</v>
      </c>
      <c r="V399" s="2" t="s">
        <v>42</v>
      </c>
      <c r="W399" s="2" t="s">
        <v>35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</row>
    <row r="400" spans="1:35" x14ac:dyDescent="0.25">
      <c r="A400" s="2">
        <v>37</v>
      </c>
      <c r="B400" s="2" t="s">
        <v>43</v>
      </c>
      <c r="C400" s="2" t="s">
        <v>55</v>
      </c>
      <c r="D400" s="2">
        <v>1063</v>
      </c>
      <c r="E400" s="2" t="s">
        <v>45</v>
      </c>
      <c r="F400" s="2">
        <v>25</v>
      </c>
      <c r="G400" s="2">
        <v>5</v>
      </c>
      <c r="H400" s="2" t="s">
        <v>51</v>
      </c>
      <c r="I400" s="2">
        <v>1</v>
      </c>
      <c r="J400" s="2">
        <v>529</v>
      </c>
      <c r="K400" s="2">
        <v>2</v>
      </c>
      <c r="L400" s="2" t="s">
        <v>39</v>
      </c>
      <c r="M400" s="2">
        <v>72</v>
      </c>
      <c r="N400" s="2">
        <v>3</v>
      </c>
      <c r="O400" s="2">
        <v>2</v>
      </c>
      <c r="P400" s="2" t="s">
        <v>47</v>
      </c>
      <c r="Q400" s="2">
        <v>3</v>
      </c>
      <c r="R400" s="2" t="s">
        <v>48</v>
      </c>
      <c r="S400" s="2">
        <v>4449</v>
      </c>
      <c r="T400" s="2">
        <v>23866</v>
      </c>
      <c r="U400" s="2">
        <v>3</v>
      </c>
      <c r="V400" s="2" t="s">
        <v>42</v>
      </c>
      <c r="W400" s="2" t="s">
        <v>35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</row>
    <row r="401" spans="1:35" x14ac:dyDescent="0.25">
      <c r="A401" s="2">
        <v>31</v>
      </c>
      <c r="B401" s="2" t="s">
        <v>43</v>
      </c>
      <c r="C401" s="2" t="s">
        <v>36</v>
      </c>
      <c r="D401" s="2">
        <v>329</v>
      </c>
      <c r="E401" s="2" t="s">
        <v>45</v>
      </c>
      <c r="F401" s="2">
        <v>1</v>
      </c>
      <c r="G401" s="2">
        <v>2</v>
      </c>
      <c r="H401" s="2" t="s">
        <v>38</v>
      </c>
      <c r="I401" s="2">
        <v>1</v>
      </c>
      <c r="J401" s="2">
        <v>530</v>
      </c>
      <c r="K401" s="2">
        <v>4</v>
      </c>
      <c r="L401" s="2" t="s">
        <v>46</v>
      </c>
      <c r="M401" s="2">
        <v>98</v>
      </c>
      <c r="N401" s="2">
        <v>2</v>
      </c>
      <c r="O401" s="2">
        <v>1</v>
      </c>
      <c r="P401" s="2" t="s">
        <v>50</v>
      </c>
      <c r="Q401" s="2">
        <v>1</v>
      </c>
      <c r="R401" s="2" t="s">
        <v>48</v>
      </c>
      <c r="S401" s="2">
        <v>2218</v>
      </c>
      <c r="T401" s="2">
        <v>16193</v>
      </c>
      <c r="U401" s="2">
        <v>1</v>
      </c>
      <c r="V401" s="2" t="s">
        <v>42</v>
      </c>
      <c r="W401" s="2" t="s">
        <v>43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</row>
    <row r="402" spans="1:35" x14ac:dyDescent="0.25">
      <c r="A402" s="2">
        <v>39</v>
      </c>
      <c r="B402" s="2" t="s">
        <v>43</v>
      </c>
      <c r="C402" s="2" t="s">
        <v>44</v>
      </c>
      <c r="D402" s="2">
        <v>1218</v>
      </c>
      <c r="E402" s="2" t="s">
        <v>45</v>
      </c>
      <c r="F402" s="2">
        <v>1</v>
      </c>
      <c r="G402" s="2">
        <v>1</v>
      </c>
      <c r="H402" s="2" t="s">
        <v>38</v>
      </c>
      <c r="I402" s="2">
        <v>1</v>
      </c>
      <c r="J402" s="2">
        <v>531</v>
      </c>
      <c r="K402" s="2">
        <v>2</v>
      </c>
      <c r="L402" s="2" t="s">
        <v>46</v>
      </c>
      <c r="M402" s="2">
        <v>52</v>
      </c>
      <c r="N402" s="2">
        <v>3</v>
      </c>
      <c r="O402" s="2">
        <v>5</v>
      </c>
      <c r="P402" s="2" t="s">
        <v>56</v>
      </c>
      <c r="Q402" s="2">
        <v>3</v>
      </c>
      <c r="R402" s="2" t="s">
        <v>52</v>
      </c>
      <c r="S402" s="2">
        <v>19197</v>
      </c>
      <c r="T402" s="2">
        <v>8213</v>
      </c>
      <c r="U402" s="2">
        <v>1</v>
      </c>
      <c r="V402" s="2" t="s">
        <v>42</v>
      </c>
      <c r="W402" s="2" t="s">
        <v>35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</row>
    <row r="403" spans="1:35" x14ac:dyDescent="0.25">
      <c r="A403" s="2">
        <v>56</v>
      </c>
      <c r="B403" s="2" t="s">
        <v>43</v>
      </c>
      <c r="C403" s="2" t="s">
        <v>44</v>
      </c>
      <c r="D403" s="2">
        <v>906</v>
      </c>
      <c r="E403" s="2" t="s">
        <v>37</v>
      </c>
      <c r="F403" s="2">
        <v>6</v>
      </c>
      <c r="G403" s="2">
        <v>3</v>
      </c>
      <c r="H403" s="2" t="s">
        <v>38</v>
      </c>
      <c r="I403" s="2">
        <v>1</v>
      </c>
      <c r="J403" s="2">
        <v>532</v>
      </c>
      <c r="K403" s="2">
        <v>3</v>
      </c>
      <c r="L403" s="2" t="s">
        <v>39</v>
      </c>
      <c r="M403" s="2">
        <v>86</v>
      </c>
      <c r="N403" s="2">
        <v>4</v>
      </c>
      <c r="O403" s="2">
        <v>4</v>
      </c>
      <c r="P403" s="2" t="s">
        <v>40</v>
      </c>
      <c r="Q403" s="2">
        <v>1</v>
      </c>
      <c r="R403" s="2" t="s">
        <v>48</v>
      </c>
      <c r="S403" s="2">
        <v>13212</v>
      </c>
      <c r="T403" s="2">
        <v>18256</v>
      </c>
      <c r="U403" s="2">
        <v>9</v>
      </c>
      <c r="V403" s="2" t="s">
        <v>42</v>
      </c>
      <c r="W403" s="2" t="s">
        <v>43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</row>
    <row r="404" spans="1:35" x14ac:dyDescent="0.25">
      <c r="A404" s="2">
        <v>30</v>
      </c>
      <c r="B404" s="2" t="s">
        <v>43</v>
      </c>
      <c r="C404" s="2" t="s">
        <v>36</v>
      </c>
      <c r="D404" s="2">
        <v>1082</v>
      </c>
      <c r="E404" s="2" t="s">
        <v>37</v>
      </c>
      <c r="F404" s="2">
        <v>12</v>
      </c>
      <c r="G404" s="2">
        <v>3</v>
      </c>
      <c r="H404" s="2" t="s">
        <v>60</v>
      </c>
      <c r="I404" s="2">
        <v>1</v>
      </c>
      <c r="J404" s="2">
        <v>533</v>
      </c>
      <c r="K404" s="2">
        <v>2</v>
      </c>
      <c r="L404" s="2" t="s">
        <v>39</v>
      </c>
      <c r="M404" s="2">
        <v>83</v>
      </c>
      <c r="N404" s="2">
        <v>3</v>
      </c>
      <c r="O404" s="2">
        <v>2</v>
      </c>
      <c r="P404" s="2" t="s">
        <v>40</v>
      </c>
      <c r="Q404" s="2">
        <v>3</v>
      </c>
      <c r="R404" s="2" t="s">
        <v>41</v>
      </c>
      <c r="S404" s="2">
        <v>6577</v>
      </c>
      <c r="T404" s="2">
        <v>19558</v>
      </c>
      <c r="U404" s="2">
        <v>0</v>
      </c>
      <c r="V404" s="2" t="s">
        <v>42</v>
      </c>
      <c r="W404" s="2" t="s">
        <v>43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</row>
    <row r="405" spans="1:35" x14ac:dyDescent="0.25">
      <c r="A405" s="2">
        <v>41</v>
      </c>
      <c r="B405" s="2" t="s">
        <v>43</v>
      </c>
      <c r="C405" s="2" t="s">
        <v>36</v>
      </c>
      <c r="D405" s="2">
        <v>645</v>
      </c>
      <c r="E405" s="2" t="s">
        <v>37</v>
      </c>
      <c r="F405" s="2">
        <v>1</v>
      </c>
      <c r="G405" s="2">
        <v>3</v>
      </c>
      <c r="H405" s="2" t="s">
        <v>59</v>
      </c>
      <c r="I405" s="2">
        <v>1</v>
      </c>
      <c r="J405" s="2">
        <v>534</v>
      </c>
      <c r="K405" s="2">
        <v>2</v>
      </c>
      <c r="L405" s="2" t="s">
        <v>46</v>
      </c>
      <c r="M405" s="2">
        <v>49</v>
      </c>
      <c r="N405" s="2">
        <v>4</v>
      </c>
      <c r="O405" s="2">
        <v>3</v>
      </c>
      <c r="P405" s="2" t="s">
        <v>40</v>
      </c>
      <c r="Q405" s="2">
        <v>1</v>
      </c>
      <c r="R405" s="2" t="s">
        <v>48</v>
      </c>
      <c r="S405" s="2">
        <v>8392</v>
      </c>
      <c r="T405" s="2">
        <v>19566</v>
      </c>
      <c r="U405" s="2">
        <v>1</v>
      </c>
      <c r="V405" s="2" t="s">
        <v>42</v>
      </c>
      <c r="W405" s="2" t="s">
        <v>43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</row>
    <row r="406" spans="1:35" x14ac:dyDescent="0.25">
      <c r="A406" s="2">
        <v>28</v>
      </c>
      <c r="B406" s="2" t="s">
        <v>43</v>
      </c>
      <c r="C406" s="2" t="s">
        <v>36</v>
      </c>
      <c r="D406" s="2">
        <v>1300</v>
      </c>
      <c r="E406" s="2" t="s">
        <v>45</v>
      </c>
      <c r="F406" s="2">
        <v>17</v>
      </c>
      <c r="G406" s="2">
        <v>2</v>
      </c>
      <c r="H406" s="2" t="s">
        <v>51</v>
      </c>
      <c r="I406" s="2">
        <v>1</v>
      </c>
      <c r="J406" s="2">
        <v>536</v>
      </c>
      <c r="K406" s="2">
        <v>3</v>
      </c>
      <c r="L406" s="2" t="s">
        <v>46</v>
      </c>
      <c r="M406" s="2">
        <v>79</v>
      </c>
      <c r="N406" s="2">
        <v>3</v>
      </c>
      <c r="O406" s="2">
        <v>2</v>
      </c>
      <c r="P406" s="2" t="s">
        <v>50</v>
      </c>
      <c r="Q406" s="2">
        <v>1</v>
      </c>
      <c r="R406" s="2" t="s">
        <v>52</v>
      </c>
      <c r="S406" s="2">
        <v>4558</v>
      </c>
      <c r="T406" s="2">
        <v>13535</v>
      </c>
      <c r="U406" s="2">
        <v>1</v>
      </c>
      <c r="V406" s="2" t="s">
        <v>42</v>
      </c>
      <c r="W406" s="2" t="s">
        <v>43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</row>
    <row r="407" spans="1:35" x14ac:dyDescent="0.25">
      <c r="A407" s="2">
        <v>25</v>
      </c>
      <c r="B407" s="2" t="s">
        <v>35</v>
      </c>
      <c r="C407" s="2" t="s">
        <v>36</v>
      </c>
      <c r="D407" s="2">
        <v>688</v>
      </c>
      <c r="E407" s="2" t="s">
        <v>45</v>
      </c>
      <c r="F407" s="2">
        <v>3</v>
      </c>
      <c r="G407" s="2">
        <v>3</v>
      </c>
      <c r="H407" s="2" t="s">
        <v>51</v>
      </c>
      <c r="I407" s="2">
        <v>1</v>
      </c>
      <c r="J407" s="2">
        <v>538</v>
      </c>
      <c r="K407" s="2">
        <v>1</v>
      </c>
      <c r="L407" s="2" t="s">
        <v>46</v>
      </c>
      <c r="M407" s="2">
        <v>91</v>
      </c>
      <c r="N407" s="2">
        <v>3</v>
      </c>
      <c r="O407" s="2">
        <v>1</v>
      </c>
      <c r="P407" s="2" t="s">
        <v>50</v>
      </c>
      <c r="Q407" s="2">
        <v>1</v>
      </c>
      <c r="R407" s="2" t="s">
        <v>48</v>
      </c>
      <c r="S407" s="2">
        <v>4031</v>
      </c>
      <c r="T407" s="2">
        <v>9396</v>
      </c>
      <c r="U407" s="2">
        <v>5</v>
      </c>
      <c r="V407" s="2" t="s">
        <v>42</v>
      </c>
      <c r="W407" s="2" t="s">
        <v>43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</row>
    <row r="408" spans="1:35" x14ac:dyDescent="0.25">
      <c r="A408" s="2">
        <v>52</v>
      </c>
      <c r="B408" s="2" t="s">
        <v>43</v>
      </c>
      <c r="C408" s="2" t="s">
        <v>36</v>
      </c>
      <c r="D408" s="2">
        <v>319</v>
      </c>
      <c r="E408" s="2" t="s">
        <v>45</v>
      </c>
      <c r="F408" s="2">
        <v>3</v>
      </c>
      <c r="G408" s="2">
        <v>3</v>
      </c>
      <c r="H408" s="2" t="s">
        <v>51</v>
      </c>
      <c r="I408" s="2">
        <v>1</v>
      </c>
      <c r="J408" s="2">
        <v>543</v>
      </c>
      <c r="K408" s="2">
        <v>4</v>
      </c>
      <c r="L408" s="2" t="s">
        <v>46</v>
      </c>
      <c r="M408" s="2">
        <v>39</v>
      </c>
      <c r="N408" s="2">
        <v>2</v>
      </c>
      <c r="O408" s="2">
        <v>3</v>
      </c>
      <c r="P408" s="2" t="s">
        <v>53</v>
      </c>
      <c r="Q408" s="2">
        <v>3</v>
      </c>
      <c r="R408" s="2" t="s">
        <v>48</v>
      </c>
      <c r="S408" s="2">
        <v>7969</v>
      </c>
      <c r="T408" s="2">
        <v>19609</v>
      </c>
      <c r="U408" s="2">
        <v>2</v>
      </c>
      <c r="V408" s="2" t="s">
        <v>42</v>
      </c>
      <c r="W408" s="2" t="s">
        <v>35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</row>
    <row r="409" spans="1:35" x14ac:dyDescent="0.25">
      <c r="A409" s="2">
        <v>45</v>
      </c>
      <c r="B409" s="2" t="s">
        <v>43</v>
      </c>
      <c r="C409" s="2" t="s">
        <v>36</v>
      </c>
      <c r="D409" s="2">
        <v>192</v>
      </c>
      <c r="E409" s="2" t="s">
        <v>45</v>
      </c>
      <c r="F409" s="2">
        <v>10</v>
      </c>
      <c r="G409" s="2">
        <v>2</v>
      </c>
      <c r="H409" s="2" t="s">
        <v>38</v>
      </c>
      <c r="I409" s="2">
        <v>1</v>
      </c>
      <c r="J409" s="2">
        <v>544</v>
      </c>
      <c r="K409" s="2">
        <v>1</v>
      </c>
      <c r="L409" s="2" t="s">
        <v>46</v>
      </c>
      <c r="M409" s="2">
        <v>69</v>
      </c>
      <c r="N409" s="2">
        <v>3</v>
      </c>
      <c r="O409" s="2">
        <v>1</v>
      </c>
      <c r="P409" s="2" t="s">
        <v>47</v>
      </c>
      <c r="Q409" s="2">
        <v>4</v>
      </c>
      <c r="R409" s="2" t="s">
        <v>48</v>
      </c>
      <c r="S409" s="2">
        <v>2654</v>
      </c>
      <c r="T409" s="2">
        <v>9655</v>
      </c>
      <c r="U409" s="2">
        <v>3</v>
      </c>
      <c r="V409" s="2" t="s">
        <v>42</v>
      </c>
      <c r="W409" s="2" t="s">
        <v>43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</row>
    <row r="410" spans="1:35" x14ac:dyDescent="0.25">
      <c r="A410" s="2">
        <v>52</v>
      </c>
      <c r="B410" s="2" t="s">
        <v>43</v>
      </c>
      <c r="C410" s="2" t="s">
        <v>36</v>
      </c>
      <c r="D410" s="2">
        <v>1490</v>
      </c>
      <c r="E410" s="2" t="s">
        <v>45</v>
      </c>
      <c r="F410" s="2">
        <v>4</v>
      </c>
      <c r="G410" s="2">
        <v>2</v>
      </c>
      <c r="H410" s="2" t="s">
        <v>38</v>
      </c>
      <c r="I410" s="2">
        <v>1</v>
      </c>
      <c r="J410" s="2">
        <v>546</v>
      </c>
      <c r="K410" s="2">
        <v>4</v>
      </c>
      <c r="L410" s="2" t="s">
        <v>39</v>
      </c>
      <c r="M410" s="2">
        <v>30</v>
      </c>
      <c r="N410" s="2">
        <v>3</v>
      </c>
      <c r="O410" s="2">
        <v>4</v>
      </c>
      <c r="P410" s="2" t="s">
        <v>56</v>
      </c>
      <c r="Q410" s="2">
        <v>4</v>
      </c>
      <c r="R410" s="2" t="s">
        <v>48</v>
      </c>
      <c r="S410" s="2">
        <v>16555</v>
      </c>
      <c r="T410" s="2">
        <v>10310</v>
      </c>
      <c r="U410" s="2">
        <v>2</v>
      </c>
      <c r="V410" s="2" t="s">
        <v>42</v>
      </c>
      <c r="W410" s="2" t="s">
        <v>43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</row>
    <row r="411" spans="1:35" x14ac:dyDescent="0.25">
      <c r="A411" s="2">
        <v>42</v>
      </c>
      <c r="B411" s="2" t="s">
        <v>43</v>
      </c>
      <c r="C411" s="2" t="s">
        <v>44</v>
      </c>
      <c r="D411" s="2">
        <v>532</v>
      </c>
      <c r="E411" s="2" t="s">
        <v>45</v>
      </c>
      <c r="F411" s="2">
        <v>29</v>
      </c>
      <c r="G411" s="2">
        <v>2</v>
      </c>
      <c r="H411" s="2" t="s">
        <v>38</v>
      </c>
      <c r="I411" s="2">
        <v>1</v>
      </c>
      <c r="J411" s="2">
        <v>547</v>
      </c>
      <c r="K411" s="2">
        <v>1</v>
      </c>
      <c r="L411" s="2" t="s">
        <v>39</v>
      </c>
      <c r="M411" s="2">
        <v>92</v>
      </c>
      <c r="N411" s="2">
        <v>3</v>
      </c>
      <c r="O411" s="2">
        <v>2</v>
      </c>
      <c r="P411" s="2" t="s">
        <v>47</v>
      </c>
      <c r="Q411" s="2">
        <v>3</v>
      </c>
      <c r="R411" s="2" t="s">
        <v>52</v>
      </c>
      <c r="S411" s="2">
        <v>4556</v>
      </c>
      <c r="T411" s="2">
        <v>12932</v>
      </c>
      <c r="U411" s="2">
        <v>2</v>
      </c>
      <c r="V411" s="2" t="s">
        <v>42</v>
      </c>
      <c r="W411" s="2" t="s">
        <v>43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</row>
    <row r="412" spans="1:35" x14ac:dyDescent="0.25">
      <c r="A412" s="2">
        <v>30</v>
      </c>
      <c r="B412" s="2" t="s">
        <v>43</v>
      </c>
      <c r="C412" s="2" t="s">
        <v>36</v>
      </c>
      <c r="D412" s="2">
        <v>317</v>
      </c>
      <c r="E412" s="2" t="s">
        <v>45</v>
      </c>
      <c r="F412" s="2">
        <v>2</v>
      </c>
      <c r="G412" s="2">
        <v>3</v>
      </c>
      <c r="H412" s="2" t="s">
        <v>38</v>
      </c>
      <c r="I412" s="2">
        <v>1</v>
      </c>
      <c r="J412" s="2">
        <v>548</v>
      </c>
      <c r="K412" s="2">
        <v>3</v>
      </c>
      <c r="L412" s="2" t="s">
        <v>39</v>
      </c>
      <c r="M412" s="2">
        <v>43</v>
      </c>
      <c r="N412" s="2">
        <v>1</v>
      </c>
      <c r="O412" s="2">
        <v>2</v>
      </c>
      <c r="P412" s="2" t="s">
        <v>53</v>
      </c>
      <c r="Q412" s="2">
        <v>4</v>
      </c>
      <c r="R412" s="2" t="s">
        <v>41</v>
      </c>
      <c r="S412" s="2">
        <v>6091</v>
      </c>
      <c r="T412" s="2">
        <v>24793</v>
      </c>
      <c r="U412" s="2">
        <v>2</v>
      </c>
      <c r="V412" s="2" t="s">
        <v>42</v>
      </c>
      <c r="W412" s="2" t="s">
        <v>43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</row>
    <row r="413" spans="1:35" x14ac:dyDescent="0.25">
      <c r="A413" s="2">
        <v>60</v>
      </c>
      <c r="B413" s="2" t="s">
        <v>43</v>
      </c>
      <c r="C413" s="2" t="s">
        <v>36</v>
      </c>
      <c r="D413" s="2">
        <v>422</v>
      </c>
      <c r="E413" s="2" t="s">
        <v>45</v>
      </c>
      <c r="F413" s="2">
        <v>7</v>
      </c>
      <c r="G413" s="2">
        <v>3</v>
      </c>
      <c r="H413" s="2" t="s">
        <v>38</v>
      </c>
      <c r="I413" s="2">
        <v>1</v>
      </c>
      <c r="J413" s="2">
        <v>549</v>
      </c>
      <c r="K413" s="2">
        <v>1</v>
      </c>
      <c r="L413" s="2" t="s">
        <v>39</v>
      </c>
      <c r="M413" s="2">
        <v>41</v>
      </c>
      <c r="N413" s="2">
        <v>3</v>
      </c>
      <c r="O413" s="2">
        <v>5</v>
      </c>
      <c r="P413" s="2" t="s">
        <v>56</v>
      </c>
      <c r="Q413" s="2">
        <v>1</v>
      </c>
      <c r="R413" s="2" t="s">
        <v>48</v>
      </c>
      <c r="S413" s="2">
        <v>19566</v>
      </c>
      <c r="T413" s="2">
        <v>3854</v>
      </c>
      <c r="U413" s="2">
        <v>5</v>
      </c>
      <c r="V413" s="2" t="s">
        <v>42</v>
      </c>
      <c r="W413" s="2" t="s">
        <v>43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</row>
    <row r="414" spans="1:35" x14ac:dyDescent="0.25">
      <c r="A414" s="2">
        <v>46</v>
      </c>
      <c r="B414" s="2" t="s">
        <v>43</v>
      </c>
      <c r="C414" s="2" t="s">
        <v>36</v>
      </c>
      <c r="D414" s="2">
        <v>1485</v>
      </c>
      <c r="E414" s="2" t="s">
        <v>45</v>
      </c>
      <c r="F414" s="2">
        <v>18</v>
      </c>
      <c r="G414" s="2">
        <v>3</v>
      </c>
      <c r="H414" s="2" t="s">
        <v>51</v>
      </c>
      <c r="I414" s="2">
        <v>1</v>
      </c>
      <c r="J414" s="2">
        <v>550</v>
      </c>
      <c r="K414" s="2">
        <v>3</v>
      </c>
      <c r="L414" s="2" t="s">
        <v>39</v>
      </c>
      <c r="M414" s="2">
        <v>87</v>
      </c>
      <c r="N414" s="2">
        <v>3</v>
      </c>
      <c r="O414" s="2">
        <v>2</v>
      </c>
      <c r="P414" s="2" t="s">
        <v>53</v>
      </c>
      <c r="Q414" s="2">
        <v>3</v>
      </c>
      <c r="R414" s="2" t="s">
        <v>52</v>
      </c>
      <c r="S414" s="2">
        <v>4810</v>
      </c>
      <c r="T414" s="2">
        <v>26314</v>
      </c>
      <c r="U414" s="2">
        <v>2</v>
      </c>
      <c r="V414" s="2" t="s">
        <v>42</v>
      </c>
      <c r="W414" s="2" t="s">
        <v>43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</row>
    <row r="415" spans="1:35" x14ac:dyDescent="0.25">
      <c r="A415" s="2">
        <v>42</v>
      </c>
      <c r="B415" s="2" t="s">
        <v>43</v>
      </c>
      <c r="C415" s="2" t="s">
        <v>44</v>
      </c>
      <c r="D415" s="2">
        <v>1368</v>
      </c>
      <c r="E415" s="2" t="s">
        <v>45</v>
      </c>
      <c r="F415" s="2">
        <v>28</v>
      </c>
      <c r="G415" s="2">
        <v>4</v>
      </c>
      <c r="H415" s="2" t="s">
        <v>60</v>
      </c>
      <c r="I415" s="2">
        <v>1</v>
      </c>
      <c r="J415" s="2">
        <v>551</v>
      </c>
      <c r="K415" s="2">
        <v>4</v>
      </c>
      <c r="L415" s="2" t="s">
        <v>39</v>
      </c>
      <c r="M415" s="2">
        <v>88</v>
      </c>
      <c r="N415" s="2">
        <v>2</v>
      </c>
      <c r="O415" s="2">
        <v>2</v>
      </c>
      <c r="P415" s="2" t="s">
        <v>54</v>
      </c>
      <c r="Q415" s="2">
        <v>4</v>
      </c>
      <c r="R415" s="2" t="s">
        <v>48</v>
      </c>
      <c r="S415" s="2">
        <v>4523</v>
      </c>
      <c r="T415" s="2">
        <v>4386</v>
      </c>
      <c r="U415" s="2">
        <v>0</v>
      </c>
      <c r="V415" s="2" t="s">
        <v>42</v>
      </c>
      <c r="W415" s="2" t="s">
        <v>43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</row>
    <row r="416" spans="1:35" x14ac:dyDescent="0.25">
      <c r="A416" s="2">
        <v>24</v>
      </c>
      <c r="B416" s="2" t="s">
        <v>35</v>
      </c>
      <c r="C416" s="2" t="s">
        <v>36</v>
      </c>
      <c r="D416" s="2">
        <v>1448</v>
      </c>
      <c r="E416" s="2" t="s">
        <v>37</v>
      </c>
      <c r="F416" s="2">
        <v>1</v>
      </c>
      <c r="G416" s="2">
        <v>1</v>
      </c>
      <c r="H416" s="2" t="s">
        <v>60</v>
      </c>
      <c r="I416" s="2">
        <v>1</v>
      </c>
      <c r="J416" s="2">
        <v>554</v>
      </c>
      <c r="K416" s="2">
        <v>1</v>
      </c>
      <c r="L416" s="2" t="s">
        <v>39</v>
      </c>
      <c r="M416" s="2">
        <v>62</v>
      </c>
      <c r="N416" s="2">
        <v>3</v>
      </c>
      <c r="O416" s="2">
        <v>1</v>
      </c>
      <c r="P416" s="2" t="s">
        <v>57</v>
      </c>
      <c r="Q416" s="2">
        <v>2</v>
      </c>
      <c r="R416" s="2" t="s">
        <v>41</v>
      </c>
      <c r="S416" s="2">
        <v>3202</v>
      </c>
      <c r="T416" s="2">
        <v>21972</v>
      </c>
      <c r="U416" s="2">
        <v>1</v>
      </c>
      <c r="V416" s="2" t="s">
        <v>42</v>
      </c>
      <c r="W416" s="2" t="s">
        <v>35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</row>
    <row r="417" spans="1:35" x14ac:dyDescent="0.25">
      <c r="A417" s="2">
        <v>34</v>
      </c>
      <c r="B417" s="2" t="s">
        <v>35</v>
      </c>
      <c r="C417" s="2" t="s">
        <v>44</v>
      </c>
      <c r="D417" s="2">
        <v>296</v>
      </c>
      <c r="E417" s="2" t="s">
        <v>37</v>
      </c>
      <c r="F417" s="2">
        <v>6</v>
      </c>
      <c r="G417" s="2">
        <v>2</v>
      </c>
      <c r="H417" s="2" t="s">
        <v>59</v>
      </c>
      <c r="I417" s="2">
        <v>1</v>
      </c>
      <c r="J417" s="2">
        <v>555</v>
      </c>
      <c r="K417" s="2">
        <v>4</v>
      </c>
      <c r="L417" s="2" t="s">
        <v>39</v>
      </c>
      <c r="M417" s="2">
        <v>33</v>
      </c>
      <c r="N417" s="2">
        <v>1</v>
      </c>
      <c r="O417" s="2">
        <v>1</v>
      </c>
      <c r="P417" s="2" t="s">
        <v>57</v>
      </c>
      <c r="Q417" s="2">
        <v>3</v>
      </c>
      <c r="R417" s="2" t="s">
        <v>52</v>
      </c>
      <c r="S417" s="2">
        <v>2351</v>
      </c>
      <c r="T417" s="2">
        <v>12253</v>
      </c>
      <c r="U417" s="2">
        <v>0</v>
      </c>
      <c r="V417" s="2" t="s">
        <v>42</v>
      </c>
      <c r="W417" s="2" t="s">
        <v>43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</row>
    <row r="418" spans="1:35" x14ac:dyDescent="0.25">
      <c r="A418" s="2">
        <v>38</v>
      </c>
      <c r="B418" s="2" t="s">
        <v>43</v>
      </c>
      <c r="C418" s="2" t="s">
        <v>44</v>
      </c>
      <c r="D418" s="2">
        <v>1490</v>
      </c>
      <c r="E418" s="2" t="s">
        <v>45</v>
      </c>
      <c r="F418" s="2">
        <v>2</v>
      </c>
      <c r="G418" s="2">
        <v>2</v>
      </c>
      <c r="H418" s="2" t="s">
        <v>38</v>
      </c>
      <c r="I418" s="2">
        <v>1</v>
      </c>
      <c r="J418" s="2">
        <v>556</v>
      </c>
      <c r="K418" s="2">
        <v>4</v>
      </c>
      <c r="L418" s="2" t="s">
        <v>46</v>
      </c>
      <c r="M418" s="2">
        <v>42</v>
      </c>
      <c r="N418" s="2">
        <v>3</v>
      </c>
      <c r="O418" s="2">
        <v>1</v>
      </c>
      <c r="P418" s="2" t="s">
        <v>50</v>
      </c>
      <c r="Q418" s="2">
        <v>4</v>
      </c>
      <c r="R418" s="2" t="s">
        <v>48</v>
      </c>
      <c r="S418" s="2">
        <v>1702</v>
      </c>
      <c r="T418" s="2">
        <v>12106</v>
      </c>
      <c r="U418" s="2">
        <v>1</v>
      </c>
      <c r="V418" s="2" t="s">
        <v>42</v>
      </c>
      <c r="W418" s="2" t="s">
        <v>35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</row>
    <row r="419" spans="1:35" x14ac:dyDescent="0.25">
      <c r="A419" s="2">
        <v>40</v>
      </c>
      <c r="B419" s="2" t="s">
        <v>43</v>
      </c>
      <c r="C419" s="2" t="s">
        <v>36</v>
      </c>
      <c r="D419" s="2">
        <v>1398</v>
      </c>
      <c r="E419" s="2" t="s">
        <v>37</v>
      </c>
      <c r="F419" s="2">
        <v>2</v>
      </c>
      <c r="G419" s="2">
        <v>4</v>
      </c>
      <c r="H419" s="2" t="s">
        <v>38</v>
      </c>
      <c r="I419" s="2">
        <v>1</v>
      </c>
      <c r="J419" s="2">
        <v>558</v>
      </c>
      <c r="K419" s="2">
        <v>3</v>
      </c>
      <c r="L419" s="2" t="s">
        <v>39</v>
      </c>
      <c r="M419" s="2">
        <v>79</v>
      </c>
      <c r="N419" s="2">
        <v>3</v>
      </c>
      <c r="O419" s="2">
        <v>5</v>
      </c>
      <c r="P419" s="2" t="s">
        <v>56</v>
      </c>
      <c r="Q419" s="2">
        <v>3</v>
      </c>
      <c r="R419" s="2" t="s">
        <v>48</v>
      </c>
      <c r="S419" s="2">
        <v>18041</v>
      </c>
      <c r="T419" s="2">
        <v>13022</v>
      </c>
      <c r="U419" s="2">
        <v>0</v>
      </c>
      <c r="V419" s="2" t="s">
        <v>42</v>
      </c>
      <c r="W419" s="2" t="s">
        <v>43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</row>
    <row r="420" spans="1:35" x14ac:dyDescent="0.25">
      <c r="A420" s="2">
        <v>26</v>
      </c>
      <c r="B420" s="2" t="s">
        <v>43</v>
      </c>
      <c r="C420" s="2" t="s">
        <v>36</v>
      </c>
      <c r="D420" s="2">
        <v>1349</v>
      </c>
      <c r="E420" s="2" t="s">
        <v>45</v>
      </c>
      <c r="F420" s="2">
        <v>23</v>
      </c>
      <c r="G420" s="2">
        <v>3</v>
      </c>
      <c r="H420" s="2" t="s">
        <v>38</v>
      </c>
      <c r="I420" s="2">
        <v>1</v>
      </c>
      <c r="J420" s="2">
        <v>560</v>
      </c>
      <c r="K420" s="2">
        <v>1</v>
      </c>
      <c r="L420" s="2" t="s">
        <v>39</v>
      </c>
      <c r="M420" s="2">
        <v>90</v>
      </c>
      <c r="N420" s="2">
        <v>3</v>
      </c>
      <c r="O420" s="2">
        <v>1</v>
      </c>
      <c r="P420" s="2" t="s">
        <v>47</v>
      </c>
      <c r="Q420" s="2">
        <v>4</v>
      </c>
      <c r="R420" s="2" t="s">
        <v>52</v>
      </c>
      <c r="S420" s="2">
        <v>2886</v>
      </c>
      <c r="T420" s="2">
        <v>3032</v>
      </c>
      <c r="U420" s="2">
        <v>1</v>
      </c>
      <c r="V420" s="2" t="s">
        <v>42</v>
      </c>
      <c r="W420" s="2" t="s">
        <v>43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</row>
    <row r="421" spans="1:35" x14ac:dyDescent="0.25">
      <c r="A421" s="2">
        <v>30</v>
      </c>
      <c r="B421" s="2" t="s">
        <v>43</v>
      </c>
      <c r="C421" s="2" t="s">
        <v>55</v>
      </c>
      <c r="D421" s="2">
        <v>1400</v>
      </c>
      <c r="E421" s="2" t="s">
        <v>45</v>
      </c>
      <c r="F421" s="2">
        <v>3</v>
      </c>
      <c r="G421" s="2">
        <v>3</v>
      </c>
      <c r="H421" s="2" t="s">
        <v>38</v>
      </c>
      <c r="I421" s="2">
        <v>1</v>
      </c>
      <c r="J421" s="2">
        <v>562</v>
      </c>
      <c r="K421" s="2">
        <v>3</v>
      </c>
      <c r="L421" s="2" t="s">
        <v>46</v>
      </c>
      <c r="M421" s="2">
        <v>53</v>
      </c>
      <c r="N421" s="2">
        <v>3</v>
      </c>
      <c r="O421" s="2">
        <v>1</v>
      </c>
      <c r="P421" s="2" t="s">
        <v>50</v>
      </c>
      <c r="Q421" s="2">
        <v>4</v>
      </c>
      <c r="R421" s="2" t="s">
        <v>48</v>
      </c>
      <c r="S421" s="2">
        <v>2097</v>
      </c>
      <c r="T421" s="2">
        <v>16734</v>
      </c>
      <c r="U421" s="2">
        <v>4</v>
      </c>
      <c r="V421" s="2" t="s">
        <v>42</v>
      </c>
      <c r="W421" s="2" t="s">
        <v>43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</row>
    <row r="422" spans="1:35" x14ac:dyDescent="0.25">
      <c r="A422" s="2">
        <v>29</v>
      </c>
      <c r="B422" s="2" t="s">
        <v>43</v>
      </c>
      <c r="C422" s="2" t="s">
        <v>36</v>
      </c>
      <c r="D422" s="2">
        <v>986</v>
      </c>
      <c r="E422" s="2" t="s">
        <v>45</v>
      </c>
      <c r="F422" s="2">
        <v>3</v>
      </c>
      <c r="G422" s="2">
        <v>4</v>
      </c>
      <c r="H422" s="2" t="s">
        <v>51</v>
      </c>
      <c r="I422" s="2">
        <v>1</v>
      </c>
      <c r="J422" s="2">
        <v>564</v>
      </c>
      <c r="K422" s="2">
        <v>2</v>
      </c>
      <c r="L422" s="2" t="s">
        <v>46</v>
      </c>
      <c r="M422" s="2">
        <v>93</v>
      </c>
      <c r="N422" s="2">
        <v>2</v>
      </c>
      <c r="O422" s="2">
        <v>3</v>
      </c>
      <c r="P422" s="2" t="s">
        <v>58</v>
      </c>
      <c r="Q422" s="2">
        <v>3</v>
      </c>
      <c r="R422" s="2" t="s">
        <v>48</v>
      </c>
      <c r="S422" s="2">
        <v>11935</v>
      </c>
      <c r="T422" s="2">
        <v>21526</v>
      </c>
      <c r="U422" s="2">
        <v>1</v>
      </c>
      <c r="V422" s="2" t="s">
        <v>42</v>
      </c>
      <c r="W422" s="2" t="s">
        <v>43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</row>
    <row r="423" spans="1:35" x14ac:dyDescent="0.25">
      <c r="A423" s="2">
        <v>29</v>
      </c>
      <c r="B423" s="2" t="s">
        <v>35</v>
      </c>
      <c r="C423" s="2" t="s">
        <v>36</v>
      </c>
      <c r="D423" s="2">
        <v>408</v>
      </c>
      <c r="E423" s="2" t="s">
        <v>45</v>
      </c>
      <c r="F423" s="2">
        <v>25</v>
      </c>
      <c r="G423" s="2">
        <v>5</v>
      </c>
      <c r="H423" s="2" t="s">
        <v>60</v>
      </c>
      <c r="I423" s="2">
        <v>1</v>
      </c>
      <c r="J423" s="2">
        <v>565</v>
      </c>
      <c r="K423" s="2">
        <v>3</v>
      </c>
      <c r="L423" s="2" t="s">
        <v>39</v>
      </c>
      <c r="M423" s="2">
        <v>71</v>
      </c>
      <c r="N423" s="2">
        <v>2</v>
      </c>
      <c r="O423" s="2">
        <v>1</v>
      </c>
      <c r="P423" s="2" t="s">
        <v>47</v>
      </c>
      <c r="Q423" s="2">
        <v>2</v>
      </c>
      <c r="R423" s="2" t="s">
        <v>48</v>
      </c>
      <c r="S423" s="2">
        <v>2546</v>
      </c>
      <c r="T423" s="2">
        <v>18300</v>
      </c>
      <c r="U423" s="2">
        <v>5</v>
      </c>
      <c r="V423" s="2" t="s">
        <v>42</v>
      </c>
      <c r="W423" s="2" t="s">
        <v>43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</row>
    <row r="424" spans="1:35" x14ac:dyDescent="0.25">
      <c r="A424" s="2">
        <v>19</v>
      </c>
      <c r="B424" s="2" t="s">
        <v>35</v>
      </c>
      <c r="C424" s="2" t="s">
        <v>36</v>
      </c>
      <c r="D424" s="2">
        <v>489</v>
      </c>
      <c r="E424" s="2" t="s">
        <v>61</v>
      </c>
      <c r="F424" s="2">
        <v>2</v>
      </c>
      <c r="G424" s="2">
        <v>2</v>
      </c>
      <c r="H424" s="2" t="s">
        <v>60</v>
      </c>
      <c r="I424" s="2">
        <v>1</v>
      </c>
      <c r="J424" s="2">
        <v>566</v>
      </c>
      <c r="K424" s="2">
        <v>1</v>
      </c>
      <c r="L424" s="2" t="s">
        <v>46</v>
      </c>
      <c r="M424" s="2">
        <v>52</v>
      </c>
      <c r="N424" s="2">
        <v>2</v>
      </c>
      <c r="O424" s="2">
        <v>1</v>
      </c>
      <c r="P424" s="2" t="s">
        <v>61</v>
      </c>
      <c r="Q424" s="2">
        <v>4</v>
      </c>
      <c r="R424" s="2" t="s">
        <v>41</v>
      </c>
      <c r="S424" s="2">
        <v>2564</v>
      </c>
      <c r="T424" s="2">
        <v>18437</v>
      </c>
      <c r="U424" s="2">
        <v>1</v>
      </c>
      <c r="V424" s="2" t="s">
        <v>42</v>
      </c>
      <c r="W424" s="2" t="s">
        <v>43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</row>
    <row r="425" spans="1:35" x14ac:dyDescent="0.25">
      <c r="A425" s="2">
        <v>30</v>
      </c>
      <c r="B425" s="2" t="s">
        <v>43</v>
      </c>
      <c r="C425" s="2" t="s">
        <v>55</v>
      </c>
      <c r="D425" s="2">
        <v>1398</v>
      </c>
      <c r="E425" s="2" t="s">
        <v>37</v>
      </c>
      <c r="F425" s="2">
        <v>22</v>
      </c>
      <c r="G425" s="2">
        <v>4</v>
      </c>
      <c r="H425" s="2" t="s">
        <v>49</v>
      </c>
      <c r="I425" s="2">
        <v>1</v>
      </c>
      <c r="J425" s="2">
        <v>567</v>
      </c>
      <c r="K425" s="2">
        <v>3</v>
      </c>
      <c r="L425" s="2" t="s">
        <v>39</v>
      </c>
      <c r="M425" s="2">
        <v>69</v>
      </c>
      <c r="N425" s="2">
        <v>3</v>
      </c>
      <c r="O425" s="2">
        <v>3</v>
      </c>
      <c r="P425" s="2" t="s">
        <v>40</v>
      </c>
      <c r="Q425" s="2">
        <v>1</v>
      </c>
      <c r="R425" s="2" t="s">
        <v>48</v>
      </c>
      <c r="S425" s="2">
        <v>8412</v>
      </c>
      <c r="T425" s="2">
        <v>2890</v>
      </c>
      <c r="U425" s="2">
        <v>0</v>
      </c>
      <c r="V425" s="2" t="s">
        <v>42</v>
      </c>
      <c r="W425" s="2" t="s">
        <v>43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</row>
    <row r="426" spans="1:35" x14ac:dyDescent="0.25">
      <c r="A426" s="2">
        <v>57</v>
      </c>
      <c r="B426" s="2" t="s">
        <v>43</v>
      </c>
      <c r="C426" s="2" t="s">
        <v>36</v>
      </c>
      <c r="D426" s="2">
        <v>210</v>
      </c>
      <c r="E426" s="2" t="s">
        <v>37</v>
      </c>
      <c r="F426" s="2">
        <v>29</v>
      </c>
      <c r="G426" s="2">
        <v>3</v>
      </c>
      <c r="H426" s="2" t="s">
        <v>59</v>
      </c>
      <c r="I426" s="2">
        <v>1</v>
      </c>
      <c r="J426" s="2">
        <v>568</v>
      </c>
      <c r="K426" s="2">
        <v>1</v>
      </c>
      <c r="L426" s="2" t="s">
        <v>46</v>
      </c>
      <c r="M426" s="2">
        <v>56</v>
      </c>
      <c r="N426" s="2">
        <v>2</v>
      </c>
      <c r="O426" s="2">
        <v>4</v>
      </c>
      <c r="P426" s="2" t="s">
        <v>56</v>
      </c>
      <c r="Q426" s="2">
        <v>4</v>
      </c>
      <c r="R426" s="2" t="s">
        <v>52</v>
      </c>
      <c r="S426" s="2">
        <v>14118</v>
      </c>
      <c r="T426" s="2">
        <v>22102</v>
      </c>
      <c r="U426" s="2">
        <v>3</v>
      </c>
      <c r="V426" s="2" t="s">
        <v>42</v>
      </c>
      <c r="W426" s="2" t="s">
        <v>43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</row>
    <row r="427" spans="1:35" x14ac:dyDescent="0.25">
      <c r="A427" s="2">
        <v>50</v>
      </c>
      <c r="B427" s="2" t="s">
        <v>43</v>
      </c>
      <c r="C427" s="2" t="s">
        <v>36</v>
      </c>
      <c r="D427" s="2">
        <v>1099</v>
      </c>
      <c r="E427" s="2" t="s">
        <v>45</v>
      </c>
      <c r="F427" s="2">
        <v>29</v>
      </c>
      <c r="G427" s="2">
        <v>4</v>
      </c>
      <c r="H427" s="2" t="s">
        <v>38</v>
      </c>
      <c r="I427" s="2">
        <v>1</v>
      </c>
      <c r="J427" s="2">
        <v>569</v>
      </c>
      <c r="K427" s="2">
        <v>2</v>
      </c>
      <c r="L427" s="2" t="s">
        <v>46</v>
      </c>
      <c r="M427" s="2">
        <v>88</v>
      </c>
      <c r="N427" s="2">
        <v>2</v>
      </c>
      <c r="O427" s="2">
        <v>4</v>
      </c>
      <c r="P427" s="2" t="s">
        <v>56</v>
      </c>
      <c r="Q427" s="2">
        <v>3</v>
      </c>
      <c r="R427" s="2" t="s">
        <v>48</v>
      </c>
      <c r="S427" s="2">
        <v>17046</v>
      </c>
      <c r="T427" s="2">
        <v>9314</v>
      </c>
      <c r="U427" s="2">
        <v>0</v>
      </c>
      <c r="V427" s="2" t="s">
        <v>42</v>
      </c>
      <c r="W427" s="2" t="s">
        <v>43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</row>
    <row r="428" spans="1:35" x14ac:dyDescent="0.25">
      <c r="A428" s="2">
        <v>30</v>
      </c>
      <c r="B428" s="2" t="s">
        <v>43</v>
      </c>
      <c r="C428" s="2" t="s">
        <v>55</v>
      </c>
      <c r="D428" s="2">
        <v>1116</v>
      </c>
      <c r="E428" s="2" t="s">
        <v>45</v>
      </c>
      <c r="F428" s="2">
        <v>2</v>
      </c>
      <c r="G428" s="2">
        <v>3</v>
      </c>
      <c r="H428" s="2" t="s">
        <v>51</v>
      </c>
      <c r="I428" s="2">
        <v>1</v>
      </c>
      <c r="J428" s="2">
        <v>571</v>
      </c>
      <c r="K428" s="2">
        <v>3</v>
      </c>
      <c r="L428" s="2" t="s">
        <v>39</v>
      </c>
      <c r="M428" s="2">
        <v>49</v>
      </c>
      <c r="N428" s="2">
        <v>3</v>
      </c>
      <c r="O428" s="2">
        <v>1</v>
      </c>
      <c r="P428" s="2" t="s">
        <v>50</v>
      </c>
      <c r="Q428" s="2">
        <v>4</v>
      </c>
      <c r="R428" s="2" t="s">
        <v>41</v>
      </c>
      <c r="S428" s="2">
        <v>2564</v>
      </c>
      <c r="T428" s="2">
        <v>7181</v>
      </c>
      <c r="U428" s="2">
        <v>0</v>
      </c>
      <c r="V428" s="2" t="s">
        <v>42</v>
      </c>
      <c r="W428" s="2" t="s">
        <v>43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</row>
    <row r="429" spans="1:35" x14ac:dyDescent="0.25">
      <c r="A429" s="2">
        <v>60</v>
      </c>
      <c r="B429" s="2" t="s">
        <v>43</v>
      </c>
      <c r="C429" s="2" t="s">
        <v>44</v>
      </c>
      <c r="D429" s="2">
        <v>1499</v>
      </c>
      <c r="E429" s="2" t="s">
        <v>37</v>
      </c>
      <c r="F429" s="2">
        <v>28</v>
      </c>
      <c r="G429" s="2">
        <v>3</v>
      </c>
      <c r="H429" s="2" t="s">
        <v>59</v>
      </c>
      <c r="I429" s="2">
        <v>1</v>
      </c>
      <c r="J429" s="2">
        <v>573</v>
      </c>
      <c r="K429" s="2">
        <v>3</v>
      </c>
      <c r="L429" s="2" t="s">
        <v>39</v>
      </c>
      <c r="M429" s="2">
        <v>80</v>
      </c>
      <c r="N429" s="2">
        <v>2</v>
      </c>
      <c r="O429" s="2">
        <v>3</v>
      </c>
      <c r="P429" s="2" t="s">
        <v>40</v>
      </c>
      <c r="Q429" s="2">
        <v>1</v>
      </c>
      <c r="R429" s="2" t="s">
        <v>48</v>
      </c>
      <c r="S429" s="2">
        <v>10266</v>
      </c>
      <c r="T429" s="2">
        <v>2845</v>
      </c>
      <c r="U429" s="2">
        <v>4</v>
      </c>
      <c r="V429" s="2" t="s">
        <v>42</v>
      </c>
      <c r="W429" s="2" t="s">
        <v>43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</row>
    <row r="430" spans="1:35" x14ac:dyDescent="0.25">
      <c r="A430" s="2">
        <v>47</v>
      </c>
      <c r="B430" s="2" t="s">
        <v>43</v>
      </c>
      <c r="C430" s="2" t="s">
        <v>36</v>
      </c>
      <c r="D430" s="2">
        <v>983</v>
      </c>
      <c r="E430" s="2" t="s">
        <v>45</v>
      </c>
      <c r="F430" s="2">
        <v>2</v>
      </c>
      <c r="G430" s="2">
        <v>2</v>
      </c>
      <c r="H430" s="2" t="s">
        <v>51</v>
      </c>
      <c r="I430" s="2">
        <v>1</v>
      </c>
      <c r="J430" s="2">
        <v>574</v>
      </c>
      <c r="K430" s="2">
        <v>1</v>
      </c>
      <c r="L430" s="2" t="s">
        <v>39</v>
      </c>
      <c r="M430" s="2">
        <v>65</v>
      </c>
      <c r="N430" s="2">
        <v>3</v>
      </c>
      <c r="O430" s="2">
        <v>2</v>
      </c>
      <c r="P430" s="2" t="s">
        <v>53</v>
      </c>
      <c r="Q430" s="2">
        <v>4</v>
      </c>
      <c r="R430" s="2" t="s">
        <v>52</v>
      </c>
      <c r="S430" s="2">
        <v>5070</v>
      </c>
      <c r="T430" s="2">
        <v>7389</v>
      </c>
      <c r="U430" s="2">
        <v>5</v>
      </c>
      <c r="V430" s="2" t="s">
        <v>42</v>
      </c>
      <c r="W430" s="2" t="s">
        <v>43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</row>
    <row r="431" spans="1:35" x14ac:dyDescent="0.25">
      <c r="A431" s="2">
        <v>46</v>
      </c>
      <c r="B431" s="2" t="s">
        <v>43</v>
      </c>
      <c r="C431" s="2" t="s">
        <v>36</v>
      </c>
      <c r="D431" s="2">
        <v>1009</v>
      </c>
      <c r="E431" s="2" t="s">
        <v>45</v>
      </c>
      <c r="F431" s="2">
        <v>2</v>
      </c>
      <c r="G431" s="2">
        <v>3</v>
      </c>
      <c r="H431" s="2" t="s">
        <v>38</v>
      </c>
      <c r="I431" s="2">
        <v>1</v>
      </c>
      <c r="J431" s="2">
        <v>575</v>
      </c>
      <c r="K431" s="2">
        <v>1</v>
      </c>
      <c r="L431" s="2" t="s">
        <v>46</v>
      </c>
      <c r="M431" s="2">
        <v>51</v>
      </c>
      <c r="N431" s="2">
        <v>3</v>
      </c>
      <c r="O431" s="2">
        <v>4</v>
      </c>
      <c r="P431" s="2" t="s">
        <v>58</v>
      </c>
      <c r="Q431" s="2">
        <v>3</v>
      </c>
      <c r="R431" s="2" t="s">
        <v>48</v>
      </c>
      <c r="S431" s="2">
        <v>17861</v>
      </c>
      <c r="T431" s="2">
        <v>2288</v>
      </c>
      <c r="U431" s="2">
        <v>6</v>
      </c>
      <c r="V431" s="2" t="s">
        <v>42</v>
      </c>
      <c r="W431" s="2" t="s">
        <v>43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</row>
    <row r="432" spans="1:35" x14ac:dyDescent="0.25">
      <c r="A432" s="2">
        <v>35</v>
      </c>
      <c r="B432" s="2" t="s">
        <v>43</v>
      </c>
      <c r="C432" s="2" t="s">
        <v>36</v>
      </c>
      <c r="D432" s="2">
        <v>144</v>
      </c>
      <c r="E432" s="2" t="s">
        <v>45</v>
      </c>
      <c r="F432" s="2">
        <v>22</v>
      </c>
      <c r="G432" s="2">
        <v>3</v>
      </c>
      <c r="H432" s="2" t="s">
        <v>38</v>
      </c>
      <c r="I432" s="2">
        <v>1</v>
      </c>
      <c r="J432" s="2">
        <v>577</v>
      </c>
      <c r="K432" s="2">
        <v>4</v>
      </c>
      <c r="L432" s="2" t="s">
        <v>46</v>
      </c>
      <c r="M432" s="2">
        <v>46</v>
      </c>
      <c r="N432" s="2">
        <v>1</v>
      </c>
      <c r="O432" s="2">
        <v>1</v>
      </c>
      <c r="P432" s="2" t="s">
        <v>50</v>
      </c>
      <c r="Q432" s="2">
        <v>3</v>
      </c>
      <c r="R432" s="2" t="s">
        <v>41</v>
      </c>
      <c r="S432" s="2">
        <v>4230</v>
      </c>
      <c r="T432" s="2">
        <v>19225</v>
      </c>
      <c r="U432" s="2">
        <v>0</v>
      </c>
      <c r="V432" s="2" t="s">
        <v>42</v>
      </c>
      <c r="W432" s="2" t="s">
        <v>43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</row>
    <row r="433" spans="1:35" x14ac:dyDescent="0.25">
      <c r="A433" s="2">
        <v>54</v>
      </c>
      <c r="B433" s="2" t="s">
        <v>43</v>
      </c>
      <c r="C433" s="2" t="s">
        <v>36</v>
      </c>
      <c r="D433" s="2">
        <v>548</v>
      </c>
      <c r="E433" s="2" t="s">
        <v>45</v>
      </c>
      <c r="F433" s="2">
        <v>8</v>
      </c>
      <c r="G433" s="2">
        <v>4</v>
      </c>
      <c r="H433" s="2" t="s">
        <v>38</v>
      </c>
      <c r="I433" s="2">
        <v>1</v>
      </c>
      <c r="J433" s="2">
        <v>578</v>
      </c>
      <c r="K433" s="2">
        <v>3</v>
      </c>
      <c r="L433" s="2" t="s">
        <v>39</v>
      </c>
      <c r="M433" s="2">
        <v>42</v>
      </c>
      <c r="N433" s="2">
        <v>3</v>
      </c>
      <c r="O433" s="2">
        <v>2</v>
      </c>
      <c r="P433" s="2" t="s">
        <v>50</v>
      </c>
      <c r="Q433" s="2">
        <v>3</v>
      </c>
      <c r="R433" s="2" t="s">
        <v>41</v>
      </c>
      <c r="S433" s="2">
        <v>3780</v>
      </c>
      <c r="T433" s="2">
        <v>23428</v>
      </c>
      <c r="U433" s="2">
        <v>7</v>
      </c>
      <c r="V433" s="2" t="s">
        <v>42</v>
      </c>
      <c r="W433" s="2" t="s">
        <v>43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</row>
    <row r="434" spans="1:35" x14ac:dyDescent="0.25">
      <c r="A434" s="2">
        <v>34</v>
      </c>
      <c r="B434" s="2" t="s">
        <v>43</v>
      </c>
      <c r="C434" s="2" t="s">
        <v>36</v>
      </c>
      <c r="D434" s="2">
        <v>1303</v>
      </c>
      <c r="E434" s="2" t="s">
        <v>45</v>
      </c>
      <c r="F434" s="2">
        <v>2</v>
      </c>
      <c r="G434" s="2">
        <v>4</v>
      </c>
      <c r="H434" s="2" t="s">
        <v>38</v>
      </c>
      <c r="I434" s="2">
        <v>1</v>
      </c>
      <c r="J434" s="2">
        <v>579</v>
      </c>
      <c r="K434" s="2">
        <v>4</v>
      </c>
      <c r="L434" s="2" t="s">
        <v>46</v>
      </c>
      <c r="M434" s="2">
        <v>62</v>
      </c>
      <c r="N434" s="2">
        <v>2</v>
      </c>
      <c r="O434" s="2">
        <v>1</v>
      </c>
      <c r="P434" s="2" t="s">
        <v>47</v>
      </c>
      <c r="Q434" s="2">
        <v>3</v>
      </c>
      <c r="R434" s="2" t="s">
        <v>52</v>
      </c>
      <c r="S434" s="2">
        <v>2768</v>
      </c>
      <c r="T434" s="2">
        <v>8416</v>
      </c>
      <c r="U434" s="2">
        <v>3</v>
      </c>
      <c r="V434" s="2" t="s">
        <v>42</v>
      </c>
      <c r="W434" s="2" t="s">
        <v>43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</row>
    <row r="435" spans="1:35" x14ac:dyDescent="0.25">
      <c r="A435" s="2">
        <v>46</v>
      </c>
      <c r="B435" s="2" t="s">
        <v>43</v>
      </c>
      <c r="C435" s="2" t="s">
        <v>36</v>
      </c>
      <c r="D435" s="2">
        <v>1125</v>
      </c>
      <c r="E435" s="2" t="s">
        <v>37</v>
      </c>
      <c r="F435" s="2">
        <v>10</v>
      </c>
      <c r="G435" s="2">
        <v>3</v>
      </c>
      <c r="H435" s="2" t="s">
        <v>59</v>
      </c>
      <c r="I435" s="2">
        <v>1</v>
      </c>
      <c r="J435" s="2">
        <v>580</v>
      </c>
      <c r="K435" s="2">
        <v>3</v>
      </c>
      <c r="L435" s="2" t="s">
        <v>39</v>
      </c>
      <c r="M435" s="2">
        <v>94</v>
      </c>
      <c r="N435" s="2">
        <v>2</v>
      </c>
      <c r="O435" s="2">
        <v>3</v>
      </c>
      <c r="P435" s="2" t="s">
        <v>40</v>
      </c>
      <c r="Q435" s="2">
        <v>4</v>
      </c>
      <c r="R435" s="2" t="s">
        <v>48</v>
      </c>
      <c r="S435" s="2">
        <v>9071</v>
      </c>
      <c r="T435" s="2">
        <v>11563</v>
      </c>
      <c r="U435" s="2">
        <v>2</v>
      </c>
      <c r="V435" s="2" t="s">
        <v>42</v>
      </c>
      <c r="W435" s="2" t="s">
        <v>35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</row>
    <row r="436" spans="1:35" x14ac:dyDescent="0.25">
      <c r="A436" s="2">
        <v>31</v>
      </c>
      <c r="B436" s="2" t="s">
        <v>43</v>
      </c>
      <c r="C436" s="2" t="s">
        <v>36</v>
      </c>
      <c r="D436" s="2">
        <v>1274</v>
      </c>
      <c r="E436" s="2" t="s">
        <v>45</v>
      </c>
      <c r="F436" s="2">
        <v>9</v>
      </c>
      <c r="G436" s="2">
        <v>1</v>
      </c>
      <c r="H436" s="2" t="s">
        <v>38</v>
      </c>
      <c r="I436" s="2">
        <v>1</v>
      </c>
      <c r="J436" s="2">
        <v>581</v>
      </c>
      <c r="K436" s="2">
        <v>3</v>
      </c>
      <c r="L436" s="2" t="s">
        <v>46</v>
      </c>
      <c r="M436" s="2">
        <v>33</v>
      </c>
      <c r="N436" s="2">
        <v>3</v>
      </c>
      <c r="O436" s="2">
        <v>3</v>
      </c>
      <c r="P436" s="2" t="s">
        <v>53</v>
      </c>
      <c r="Q436" s="2">
        <v>2</v>
      </c>
      <c r="R436" s="2" t="s">
        <v>52</v>
      </c>
      <c r="S436" s="2">
        <v>10648</v>
      </c>
      <c r="T436" s="2">
        <v>14394</v>
      </c>
      <c r="U436" s="2">
        <v>1</v>
      </c>
      <c r="V436" s="2" t="s">
        <v>42</v>
      </c>
      <c r="W436" s="2" t="s">
        <v>43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</row>
    <row r="437" spans="1:35" x14ac:dyDescent="0.25">
      <c r="A437" s="2">
        <v>33</v>
      </c>
      <c r="B437" s="2" t="s">
        <v>35</v>
      </c>
      <c r="C437" s="2" t="s">
        <v>36</v>
      </c>
      <c r="D437" s="2">
        <v>1277</v>
      </c>
      <c r="E437" s="2" t="s">
        <v>45</v>
      </c>
      <c r="F437" s="2">
        <v>15</v>
      </c>
      <c r="G437" s="2">
        <v>1</v>
      </c>
      <c r="H437" s="2" t="s">
        <v>51</v>
      </c>
      <c r="I437" s="2">
        <v>1</v>
      </c>
      <c r="J437" s="2">
        <v>582</v>
      </c>
      <c r="K437" s="2">
        <v>2</v>
      </c>
      <c r="L437" s="2" t="s">
        <v>46</v>
      </c>
      <c r="M437" s="2">
        <v>56</v>
      </c>
      <c r="N437" s="2">
        <v>3</v>
      </c>
      <c r="O437" s="2">
        <v>3</v>
      </c>
      <c r="P437" s="2" t="s">
        <v>56</v>
      </c>
      <c r="Q437" s="2">
        <v>3</v>
      </c>
      <c r="R437" s="2" t="s">
        <v>48</v>
      </c>
      <c r="S437" s="2">
        <v>13610</v>
      </c>
      <c r="T437" s="2">
        <v>24619</v>
      </c>
      <c r="U437" s="2">
        <v>7</v>
      </c>
      <c r="V437" s="2" t="s">
        <v>42</v>
      </c>
      <c r="W437" s="2" t="s">
        <v>35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</row>
    <row r="438" spans="1:35" x14ac:dyDescent="0.25">
      <c r="A438" s="2">
        <v>33</v>
      </c>
      <c r="B438" s="2" t="s">
        <v>35</v>
      </c>
      <c r="C438" s="2" t="s">
        <v>36</v>
      </c>
      <c r="D438" s="2">
        <v>587</v>
      </c>
      <c r="E438" s="2" t="s">
        <v>45</v>
      </c>
      <c r="F438" s="2">
        <v>10</v>
      </c>
      <c r="G438" s="2">
        <v>1</v>
      </c>
      <c r="H438" s="2" t="s">
        <v>51</v>
      </c>
      <c r="I438" s="2">
        <v>1</v>
      </c>
      <c r="J438" s="2">
        <v>584</v>
      </c>
      <c r="K438" s="2">
        <v>1</v>
      </c>
      <c r="L438" s="2" t="s">
        <v>46</v>
      </c>
      <c r="M438" s="2">
        <v>38</v>
      </c>
      <c r="N438" s="2">
        <v>1</v>
      </c>
      <c r="O438" s="2">
        <v>1</v>
      </c>
      <c r="P438" s="2" t="s">
        <v>50</v>
      </c>
      <c r="Q438" s="2">
        <v>4</v>
      </c>
      <c r="R438" s="2" t="s">
        <v>52</v>
      </c>
      <c r="S438" s="2">
        <v>3408</v>
      </c>
      <c r="T438" s="2">
        <v>6705</v>
      </c>
      <c r="U438" s="2">
        <v>7</v>
      </c>
      <c r="V438" s="2" t="s">
        <v>42</v>
      </c>
      <c r="W438" s="2" t="s">
        <v>43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</row>
    <row r="439" spans="1:35" x14ac:dyDescent="0.25">
      <c r="A439" s="2">
        <v>30</v>
      </c>
      <c r="B439" s="2" t="s">
        <v>43</v>
      </c>
      <c r="C439" s="2" t="s">
        <v>36</v>
      </c>
      <c r="D439" s="2">
        <v>413</v>
      </c>
      <c r="E439" s="2" t="s">
        <v>37</v>
      </c>
      <c r="F439" s="2">
        <v>7</v>
      </c>
      <c r="G439" s="2">
        <v>1</v>
      </c>
      <c r="H439" s="2" t="s">
        <v>59</v>
      </c>
      <c r="I439" s="2">
        <v>1</v>
      </c>
      <c r="J439" s="2">
        <v>585</v>
      </c>
      <c r="K439" s="2">
        <v>4</v>
      </c>
      <c r="L439" s="2" t="s">
        <v>46</v>
      </c>
      <c r="M439" s="2">
        <v>57</v>
      </c>
      <c r="N439" s="2">
        <v>3</v>
      </c>
      <c r="O439" s="2">
        <v>1</v>
      </c>
      <c r="P439" s="2" t="s">
        <v>57</v>
      </c>
      <c r="Q439" s="2">
        <v>2</v>
      </c>
      <c r="R439" s="2" t="s">
        <v>41</v>
      </c>
      <c r="S439" s="2">
        <v>2983</v>
      </c>
      <c r="T439" s="2">
        <v>18398</v>
      </c>
      <c r="U439" s="2">
        <v>0</v>
      </c>
      <c r="V439" s="2" t="s">
        <v>42</v>
      </c>
      <c r="W439" s="2" t="s">
        <v>43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</row>
    <row r="440" spans="1:35" x14ac:dyDescent="0.25">
      <c r="A440" s="2">
        <v>35</v>
      </c>
      <c r="B440" s="2" t="s">
        <v>43</v>
      </c>
      <c r="C440" s="2" t="s">
        <v>36</v>
      </c>
      <c r="D440" s="2">
        <v>1276</v>
      </c>
      <c r="E440" s="2" t="s">
        <v>45</v>
      </c>
      <c r="F440" s="2">
        <v>16</v>
      </c>
      <c r="G440" s="2">
        <v>3</v>
      </c>
      <c r="H440" s="2" t="s">
        <v>38</v>
      </c>
      <c r="I440" s="2">
        <v>1</v>
      </c>
      <c r="J440" s="2">
        <v>586</v>
      </c>
      <c r="K440" s="2">
        <v>4</v>
      </c>
      <c r="L440" s="2" t="s">
        <v>46</v>
      </c>
      <c r="M440" s="2">
        <v>72</v>
      </c>
      <c r="N440" s="2">
        <v>3</v>
      </c>
      <c r="O440" s="2">
        <v>3</v>
      </c>
      <c r="P440" s="2" t="s">
        <v>54</v>
      </c>
      <c r="Q440" s="2">
        <v>3</v>
      </c>
      <c r="R440" s="2" t="s">
        <v>48</v>
      </c>
      <c r="S440" s="2">
        <v>7632</v>
      </c>
      <c r="T440" s="2">
        <v>14295</v>
      </c>
      <c r="U440" s="2">
        <v>4</v>
      </c>
      <c r="V440" s="2" t="s">
        <v>42</v>
      </c>
      <c r="W440" s="2" t="s">
        <v>35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</row>
    <row r="441" spans="1:35" x14ac:dyDescent="0.25">
      <c r="A441" s="2">
        <v>31</v>
      </c>
      <c r="B441" s="2" t="s">
        <v>35</v>
      </c>
      <c r="C441" s="2" t="s">
        <v>44</v>
      </c>
      <c r="D441" s="2">
        <v>534</v>
      </c>
      <c r="E441" s="2" t="s">
        <v>45</v>
      </c>
      <c r="F441" s="2">
        <v>20</v>
      </c>
      <c r="G441" s="2">
        <v>3</v>
      </c>
      <c r="H441" s="2" t="s">
        <v>38</v>
      </c>
      <c r="I441" s="2">
        <v>1</v>
      </c>
      <c r="J441" s="2">
        <v>587</v>
      </c>
      <c r="K441" s="2">
        <v>1</v>
      </c>
      <c r="L441" s="2" t="s">
        <v>46</v>
      </c>
      <c r="M441" s="2">
        <v>66</v>
      </c>
      <c r="N441" s="2">
        <v>3</v>
      </c>
      <c r="O441" s="2">
        <v>3</v>
      </c>
      <c r="P441" s="2" t="s">
        <v>54</v>
      </c>
      <c r="Q441" s="2">
        <v>3</v>
      </c>
      <c r="R441" s="2" t="s">
        <v>48</v>
      </c>
      <c r="S441" s="2">
        <v>9824</v>
      </c>
      <c r="T441" s="2">
        <v>22908</v>
      </c>
      <c r="U441" s="2">
        <v>3</v>
      </c>
      <c r="V441" s="2" t="s">
        <v>42</v>
      </c>
      <c r="W441" s="2" t="s">
        <v>43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</row>
    <row r="442" spans="1:35" x14ac:dyDescent="0.25">
      <c r="A442" s="2">
        <v>34</v>
      </c>
      <c r="B442" s="2" t="s">
        <v>35</v>
      </c>
      <c r="C442" s="2" t="s">
        <v>44</v>
      </c>
      <c r="D442" s="2">
        <v>988</v>
      </c>
      <c r="E442" s="2" t="s">
        <v>61</v>
      </c>
      <c r="F442" s="2">
        <v>23</v>
      </c>
      <c r="G442" s="2">
        <v>3</v>
      </c>
      <c r="H442" s="2" t="s">
        <v>61</v>
      </c>
      <c r="I442" s="2">
        <v>1</v>
      </c>
      <c r="J442" s="2">
        <v>590</v>
      </c>
      <c r="K442" s="2">
        <v>2</v>
      </c>
      <c r="L442" s="2" t="s">
        <v>39</v>
      </c>
      <c r="M442" s="2">
        <v>43</v>
      </c>
      <c r="N442" s="2">
        <v>3</v>
      </c>
      <c r="O442" s="2">
        <v>3</v>
      </c>
      <c r="P442" s="2" t="s">
        <v>61</v>
      </c>
      <c r="Q442" s="2">
        <v>1</v>
      </c>
      <c r="R442" s="2" t="s">
        <v>52</v>
      </c>
      <c r="S442" s="2">
        <v>9950</v>
      </c>
      <c r="T442" s="2">
        <v>11533</v>
      </c>
      <c r="U442" s="2">
        <v>9</v>
      </c>
      <c r="V442" s="2" t="s">
        <v>42</v>
      </c>
      <c r="W442" s="2" t="s">
        <v>35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</row>
    <row r="443" spans="1:35" x14ac:dyDescent="0.25">
      <c r="A443" s="2">
        <v>42</v>
      </c>
      <c r="B443" s="2" t="s">
        <v>43</v>
      </c>
      <c r="C443" s="2" t="s">
        <v>44</v>
      </c>
      <c r="D443" s="2">
        <v>1474</v>
      </c>
      <c r="E443" s="2" t="s">
        <v>45</v>
      </c>
      <c r="F443" s="2">
        <v>5</v>
      </c>
      <c r="G443" s="2">
        <v>2</v>
      </c>
      <c r="H443" s="2" t="s">
        <v>49</v>
      </c>
      <c r="I443" s="2">
        <v>1</v>
      </c>
      <c r="J443" s="2">
        <v>591</v>
      </c>
      <c r="K443" s="2">
        <v>2</v>
      </c>
      <c r="L443" s="2" t="s">
        <v>46</v>
      </c>
      <c r="M443" s="2">
        <v>97</v>
      </c>
      <c r="N443" s="2">
        <v>3</v>
      </c>
      <c r="O443" s="2">
        <v>1</v>
      </c>
      <c r="P443" s="2" t="s">
        <v>50</v>
      </c>
      <c r="Q443" s="2">
        <v>3</v>
      </c>
      <c r="R443" s="2" t="s">
        <v>48</v>
      </c>
      <c r="S443" s="2">
        <v>2093</v>
      </c>
      <c r="T443" s="2">
        <v>9260</v>
      </c>
      <c r="U443" s="2">
        <v>4</v>
      </c>
      <c r="V443" s="2" t="s">
        <v>42</v>
      </c>
      <c r="W443" s="2" t="s">
        <v>43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</row>
    <row r="444" spans="1:35" x14ac:dyDescent="0.25">
      <c r="A444" s="2">
        <v>36</v>
      </c>
      <c r="B444" s="2" t="s">
        <v>43</v>
      </c>
      <c r="C444" s="2" t="s">
        <v>55</v>
      </c>
      <c r="D444" s="2">
        <v>635</v>
      </c>
      <c r="E444" s="2" t="s">
        <v>37</v>
      </c>
      <c r="F444" s="2">
        <v>10</v>
      </c>
      <c r="G444" s="2">
        <v>4</v>
      </c>
      <c r="H444" s="2" t="s">
        <v>51</v>
      </c>
      <c r="I444" s="2">
        <v>1</v>
      </c>
      <c r="J444" s="2">
        <v>592</v>
      </c>
      <c r="K444" s="2">
        <v>2</v>
      </c>
      <c r="L444" s="2" t="s">
        <v>46</v>
      </c>
      <c r="M444" s="2">
        <v>32</v>
      </c>
      <c r="N444" s="2">
        <v>3</v>
      </c>
      <c r="O444" s="2">
        <v>3</v>
      </c>
      <c r="P444" s="2" t="s">
        <v>40</v>
      </c>
      <c r="Q444" s="2">
        <v>4</v>
      </c>
      <c r="R444" s="2" t="s">
        <v>41</v>
      </c>
      <c r="S444" s="2">
        <v>9980</v>
      </c>
      <c r="T444" s="2">
        <v>15318</v>
      </c>
      <c r="U444" s="2">
        <v>1</v>
      </c>
      <c r="V444" s="2" t="s">
        <v>42</v>
      </c>
      <c r="W444" s="2" t="s">
        <v>43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</row>
    <row r="445" spans="1:35" x14ac:dyDescent="0.25">
      <c r="A445" s="2">
        <v>22</v>
      </c>
      <c r="B445" s="2" t="s">
        <v>35</v>
      </c>
      <c r="C445" s="2" t="s">
        <v>44</v>
      </c>
      <c r="D445" s="2">
        <v>1368</v>
      </c>
      <c r="E445" s="2" t="s">
        <v>45</v>
      </c>
      <c r="F445" s="2">
        <v>4</v>
      </c>
      <c r="G445" s="2">
        <v>1</v>
      </c>
      <c r="H445" s="2" t="s">
        <v>60</v>
      </c>
      <c r="I445" s="2">
        <v>1</v>
      </c>
      <c r="J445" s="2">
        <v>593</v>
      </c>
      <c r="K445" s="2">
        <v>3</v>
      </c>
      <c r="L445" s="2" t="s">
        <v>46</v>
      </c>
      <c r="M445" s="2">
        <v>99</v>
      </c>
      <c r="N445" s="2">
        <v>2</v>
      </c>
      <c r="O445" s="2">
        <v>1</v>
      </c>
      <c r="P445" s="2" t="s">
        <v>50</v>
      </c>
      <c r="Q445" s="2">
        <v>3</v>
      </c>
      <c r="R445" s="2" t="s">
        <v>41</v>
      </c>
      <c r="S445" s="2">
        <v>3894</v>
      </c>
      <c r="T445" s="2">
        <v>9129</v>
      </c>
      <c r="U445" s="2">
        <v>5</v>
      </c>
      <c r="V445" s="2" t="s">
        <v>42</v>
      </c>
      <c r="W445" s="2" t="s">
        <v>43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</row>
    <row r="446" spans="1:35" x14ac:dyDescent="0.25">
      <c r="A446" s="2">
        <v>48</v>
      </c>
      <c r="B446" s="2" t="s">
        <v>43</v>
      </c>
      <c r="C446" s="2" t="s">
        <v>36</v>
      </c>
      <c r="D446" s="2">
        <v>163</v>
      </c>
      <c r="E446" s="2" t="s">
        <v>37</v>
      </c>
      <c r="F446" s="2">
        <v>2</v>
      </c>
      <c r="G446" s="2">
        <v>5</v>
      </c>
      <c r="H446" s="2" t="s">
        <v>59</v>
      </c>
      <c r="I446" s="2">
        <v>1</v>
      </c>
      <c r="J446" s="2">
        <v>595</v>
      </c>
      <c r="K446" s="2">
        <v>2</v>
      </c>
      <c r="L446" s="2" t="s">
        <v>39</v>
      </c>
      <c r="M446" s="2">
        <v>37</v>
      </c>
      <c r="N446" s="2">
        <v>3</v>
      </c>
      <c r="O446" s="2">
        <v>2</v>
      </c>
      <c r="P446" s="2" t="s">
        <v>40</v>
      </c>
      <c r="Q446" s="2">
        <v>4</v>
      </c>
      <c r="R446" s="2" t="s">
        <v>48</v>
      </c>
      <c r="S446" s="2">
        <v>4051</v>
      </c>
      <c r="T446" s="2">
        <v>19658</v>
      </c>
      <c r="U446" s="2">
        <v>2</v>
      </c>
      <c r="V446" s="2" t="s">
        <v>42</v>
      </c>
      <c r="W446" s="2" t="s">
        <v>43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</row>
    <row r="447" spans="1:35" x14ac:dyDescent="0.25">
      <c r="A447" s="2">
        <v>55</v>
      </c>
      <c r="B447" s="2" t="s">
        <v>43</v>
      </c>
      <c r="C447" s="2" t="s">
        <v>36</v>
      </c>
      <c r="D447" s="2">
        <v>1117</v>
      </c>
      <c r="E447" s="2" t="s">
        <v>37</v>
      </c>
      <c r="F447" s="2">
        <v>18</v>
      </c>
      <c r="G447" s="2">
        <v>5</v>
      </c>
      <c r="H447" s="2" t="s">
        <v>38</v>
      </c>
      <c r="I447" s="2">
        <v>1</v>
      </c>
      <c r="J447" s="2">
        <v>597</v>
      </c>
      <c r="K447" s="2">
        <v>1</v>
      </c>
      <c r="L447" s="2" t="s">
        <v>39</v>
      </c>
      <c r="M447" s="2">
        <v>83</v>
      </c>
      <c r="N447" s="2">
        <v>3</v>
      </c>
      <c r="O447" s="2">
        <v>4</v>
      </c>
      <c r="P447" s="2" t="s">
        <v>56</v>
      </c>
      <c r="Q447" s="2">
        <v>2</v>
      </c>
      <c r="R447" s="2" t="s">
        <v>41</v>
      </c>
      <c r="S447" s="2">
        <v>16835</v>
      </c>
      <c r="T447" s="2">
        <v>9873</v>
      </c>
      <c r="U447" s="2">
        <v>3</v>
      </c>
      <c r="V447" s="2" t="s">
        <v>42</v>
      </c>
      <c r="W447" s="2" t="s">
        <v>43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</row>
    <row r="448" spans="1:35" x14ac:dyDescent="0.25">
      <c r="A448" s="2">
        <v>41</v>
      </c>
      <c r="B448" s="2" t="s">
        <v>43</v>
      </c>
      <c r="C448" s="2" t="s">
        <v>55</v>
      </c>
      <c r="D448" s="2">
        <v>267</v>
      </c>
      <c r="E448" s="2" t="s">
        <v>37</v>
      </c>
      <c r="F448" s="2">
        <v>10</v>
      </c>
      <c r="G448" s="2">
        <v>2</v>
      </c>
      <c r="H448" s="2" t="s">
        <v>38</v>
      </c>
      <c r="I448" s="2">
        <v>1</v>
      </c>
      <c r="J448" s="2">
        <v>599</v>
      </c>
      <c r="K448" s="2">
        <v>4</v>
      </c>
      <c r="L448" s="2" t="s">
        <v>46</v>
      </c>
      <c r="M448" s="2">
        <v>56</v>
      </c>
      <c r="N448" s="2">
        <v>3</v>
      </c>
      <c r="O448" s="2">
        <v>2</v>
      </c>
      <c r="P448" s="2" t="s">
        <v>40</v>
      </c>
      <c r="Q448" s="2">
        <v>4</v>
      </c>
      <c r="R448" s="2" t="s">
        <v>41</v>
      </c>
      <c r="S448" s="2">
        <v>6230</v>
      </c>
      <c r="T448" s="2">
        <v>13430</v>
      </c>
      <c r="U448" s="2">
        <v>7</v>
      </c>
      <c r="V448" s="2" t="s">
        <v>42</v>
      </c>
      <c r="W448" s="2" t="s">
        <v>43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</row>
    <row r="449" spans="1:35" x14ac:dyDescent="0.25">
      <c r="A449" s="2">
        <v>35</v>
      </c>
      <c r="B449" s="2" t="s">
        <v>43</v>
      </c>
      <c r="C449" s="2" t="s">
        <v>36</v>
      </c>
      <c r="D449" s="2">
        <v>619</v>
      </c>
      <c r="E449" s="2" t="s">
        <v>37</v>
      </c>
      <c r="F449" s="2">
        <v>1</v>
      </c>
      <c r="G449" s="2">
        <v>3</v>
      </c>
      <c r="H449" s="2" t="s">
        <v>59</v>
      </c>
      <c r="I449" s="2">
        <v>1</v>
      </c>
      <c r="J449" s="2">
        <v>600</v>
      </c>
      <c r="K449" s="2">
        <v>2</v>
      </c>
      <c r="L449" s="2" t="s">
        <v>46</v>
      </c>
      <c r="M449" s="2">
        <v>85</v>
      </c>
      <c r="N449" s="2">
        <v>3</v>
      </c>
      <c r="O449" s="2">
        <v>2</v>
      </c>
      <c r="P449" s="2" t="s">
        <v>40</v>
      </c>
      <c r="Q449" s="2">
        <v>3</v>
      </c>
      <c r="R449" s="2" t="s">
        <v>48</v>
      </c>
      <c r="S449" s="2">
        <v>4717</v>
      </c>
      <c r="T449" s="2">
        <v>18659</v>
      </c>
      <c r="U449" s="2">
        <v>9</v>
      </c>
      <c r="V449" s="2" t="s">
        <v>42</v>
      </c>
      <c r="W449" s="2" t="s">
        <v>43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</row>
    <row r="450" spans="1:35" x14ac:dyDescent="0.25">
      <c r="A450" s="2">
        <v>40</v>
      </c>
      <c r="B450" s="2" t="s">
        <v>43</v>
      </c>
      <c r="C450" s="2" t="s">
        <v>36</v>
      </c>
      <c r="D450" s="2">
        <v>302</v>
      </c>
      <c r="E450" s="2" t="s">
        <v>45</v>
      </c>
      <c r="F450" s="2">
        <v>6</v>
      </c>
      <c r="G450" s="2">
        <v>3</v>
      </c>
      <c r="H450" s="2" t="s">
        <v>38</v>
      </c>
      <c r="I450" s="2">
        <v>1</v>
      </c>
      <c r="J450" s="2">
        <v>601</v>
      </c>
      <c r="K450" s="2">
        <v>2</v>
      </c>
      <c r="L450" s="2" t="s">
        <v>39</v>
      </c>
      <c r="M450" s="2">
        <v>75</v>
      </c>
      <c r="N450" s="2">
        <v>3</v>
      </c>
      <c r="O450" s="2">
        <v>4</v>
      </c>
      <c r="P450" s="2" t="s">
        <v>53</v>
      </c>
      <c r="Q450" s="2">
        <v>3</v>
      </c>
      <c r="R450" s="2" t="s">
        <v>41</v>
      </c>
      <c r="S450" s="2">
        <v>13237</v>
      </c>
      <c r="T450" s="2">
        <v>20364</v>
      </c>
      <c r="U450" s="2">
        <v>7</v>
      </c>
      <c r="V450" s="2" t="s">
        <v>42</v>
      </c>
      <c r="W450" s="2" t="s">
        <v>43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</row>
    <row r="451" spans="1:35" x14ac:dyDescent="0.25">
      <c r="A451" s="2">
        <v>39</v>
      </c>
      <c r="B451" s="2" t="s">
        <v>43</v>
      </c>
      <c r="C451" s="2" t="s">
        <v>44</v>
      </c>
      <c r="D451" s="2">
        <v>443</v>
      </c>
      <c r="E451" s="2" t="s">
        <v>45</v>
      </c>
      <c r="F451" s="2">
        <v>8</v>
      </c>
      <c r="G451" s="2">
        <v>1</v>
      </c>
      <c r="H451" s="2" t="s">
        <v>38</v>
      </c>
      <c r="I451" s="2">
        <v>1</v>
      </c>
      <c r="J451" s="2">
        <v>602</v>
      </c>
      <c r="K451" s="2">
        <v>3</v>
      </c>
      <c r="L451" s="2" t="s">
        <v>39</v>
      </c>
      <c r="M451" s="2">
        <v>48</v>
      </c>
      <c r="N451" s="2">
        <v>3</v>
      </c>
      <c r="O451" s="2">
        <v>1</v>
      </c>
      <c r="P451" s="2" t="s">
        <v>50</v>
      </c>
      <c r="Q451" s="2">
        <v>3</v>
      </c>
      <c r="R451" s="2" t="s">
        <v>48</v>
      </c>
      <c r="S451" s="2">
        <v>3755</v>
      </c>
      <c r="T451" s="2">
        <v>17872</v>
      </c>
      <c r="U451" s="2">
        <v>1</v>
      </c>
      <c r="V451" s="2" t="s">
        <v>42</v>
      </c>
      <c r="W451" s="2" t="s">
        <v>43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</row>
    <row r="452" spans="1:35" x14ac:dyDescent="0.25">
      <c r="A452" s="2">
        <v>31</v>
      </c>
      <c r="B452" s="2" t="s">
        <v>43</v>
      </c>
      <c r="C452" s="2" t="s">
        <v>36</v>
      </c>
      <c r="D452" s="2">
        <v>828</v>
      </c>
      <c r="E452" s="2" t="s">
        <v>37</v>
      </c>
      <c r="F452" s="2">
        <v>2</v>
      </c>
      <c r="G452" s="2">
        <v>1</v>
      </c>
      <c r="H452" s="2" t="s">
        <v>38</v>
      </c>
      <c r="I452" s="2">
        <v>1</v>
      </c>
      <c r="J452" s="2">
        <v>604</v>
      </c>
      <c r="K452" s="2">
        <v>2</v>
      </c>
      <c r="L452" s="2" t="s">
        <v>46</v>
      </c>
      <c r="M452" s="2">
        <v>77</v>
      </c>
      <c r="N452" s="2">
        <v>3</v>
      </c>
      <c r="O452" s="2">
        <v>2</v>
      </c>
      <c r="P452" s="2" t="s">
        <v>40</v>
      </c>
      <c r="Q452" s="2">
        <v>4</v>
      </c>
      <c r="R452" s="2" t="s">
        <v>41</v>
      </c>
      <c r="S452" s="2">
        <v>6582</v>
      </c>
      <c r="T452" s="2">
        <v>8346</v>
      </c>
      <c r="U452" s="2">
        <v>4</v>
      </c>
      <c r="V452" s="2" t="s">
        <v>42</v>
      </c>
      <c r="W452" s="2" t="s">
        <v>35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</row>
    <row r="453" spans="1:35" x14ac:dyDescent="0.25">
      <c r="A453" s="2">
        <v>42</v>
      </c>
      <c r="B453" s="2" t="s">
        <v>43</v>
      </c>
      <c r="C453" s="2" t="s">
        <v>36</v>
      </c>
      <c r="D453" s="2">
        <v>319</v>
      </c>
      <c r="E453" s="2" t="s">
        <v>45</v>
      </c>
      <c r="F453" s="2">
        <v>24</v>
      </c>
      <c r="G453" s="2">
        <v>3</v>
      </c>
      <c r="H453" s="2" t="s">
        <v>51</v>
      </c>
      <c r="I453" s="2">
        <v>1</v>
      </c>
      <c r="J453" s="2">
        <v>605</v>
      </c>
      <c r="K453" s="2">
        <v>4</v>
      </c>
      <c r="L453" s="2" t="s">
        <v>46</v>
      </c>
      <c r="M453" s="2">
        <v>56</v>
      </c>
      <c r="N453" s="2">
        <v>3</v>
      </c>
      <c r="O453" s="2">
        <v>3</v>
      </c>
      <c r="P453" s="2" t="s">
        <v>53</v>
      </c>
      <c r="Q453" s="2">
        <v>1</v>
      </c>
      <c r="R453" s="2" t="s">
        <v>48</v>
      </c>
      <c r="S453" s="2">
        <v>7406</v>
      </c>
      <c r="T453" s="2">
        <v>6950</v>
      </c>
      <c r="U453" s="2">
        <v>1</v>
      </c>
      <c r="V453" s="2" t="s">
        <v>42</v>
      </c>
      <c r="W453" s="2" t="s">
        <v>35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</row>
    <row r="454" spans="1:35" x14ac:dyDescent="0.25">
      <c r="A454" s="2">
        <v>45</v>
      </c>
      <c r="B454" s="2" t="s">
        <v>43</v>
      </c>
      <c r="C454" s="2" t="s">
        <v>36</v>
      </c>
      <c r="D454" s="2">
        <v>561</v>
      </c>
      <c r="E454" s="2" t="s">
        <v>37</v>
      </c>
      <c r="F454" s="2">
        <v>2</v>
      </c>
      <c r="G454" s="2">
        <v>3</v>
      </c>
      <c r="H454" s="2" t="s">
        <v>49</v>
      </c>
      <c r="I454" s="2">
        <v>1</v>
      </c>
      <c r="J454" s="2">
        <v>606</v>
      </c>
      <c r="K454" s="2">
        <v>4</v>
      </c>
      <c r="L454" s="2" t="s">
        <v>46</v>
      </c>
      <c r="M454" s="2">
        <v>61</v>
      </c>
      <c r="N454" s="2">
        <v>3</v>
      </c>
      <c r="O454" s="2">
        <v>2</v>
      </c>
      <c r="P454" s="2" t="s">
        <v>40</v>
      </c>
      <c r="Q454" s="2">
        <v>2</v>
      </c>
      <c r="R454" s="2" t="s">
        <v>48</v>
      </c>
      <c r="S454" s="2">
        <v>4805</v>
      </c>
      <c r="T454" s="2">
        <v>16177</v>
      </c>
      <c r="U454" s="2">
        <v>0</v>
      </c>
      <c r="V454" s="2" t="s">
        <v>42</v>
      </c>
      <c r="W454" s="2" t="s">
        <v>43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</row>
    <row r="455" spans="1:35" x14ac:dyDescent="0.25">
      <c r="A455" s="2">
        <v>26</v>
      </c>
      <c r="B455" s="2" t="s">
        <v>35</v>
      </c>
      <c r="C455" s="2" t="s">
        <v>44</v>
      </c>
      <c r="D455" s="2">
        <v>426</v>
      </c>
      <c r="E455" s="2" t="s">
        <v>61</v>
      </c>
      <c r="F455" s="2">
        <v>17</v>
      </c>
      <c r="G455" s="2">
        <v>4</v>
      </c>
      <c r="H455" s="2" t="s">
        <v>38</v>
      </c>
      <c r="I455" s="2">
        <v>1</v>
      </c>
      <c r="J455" s="2">
        <v>608</v>
      </c>
      <c r="K455" s="2">
        <v>2</v>
      </c>
      <c r="L455" s="2" t="s">
        <v>39</v>
      </c>
      <c r="M455" s="2">
        <v>58</v>
      </c>
      <c r="N455" s="2">
        <v>3</v>
      </c>
      <c r="O455" s="2">
        <v>1</v>
      </c>
      <c r="P455" s="2" t="s">
        <v>61</v>
      </c>
      <c r="Q455" s="2">
        <v>3</v>
      </c>
      <c r="R455" s="2" t="s">
        <v>52</v>
      </c>
      <c r="S455" s="2">
        <v>2741</v>
      </c>
      <c r="T455" s="2">
        <v>22808</v>
      </c>
      <c r="U455" s="2">
        <v>0</v>
      </c>
      <c r="V455" s="2" t="s">
        <v>42</v>
      </c>
      <c r="W455" s="2" t="s">
        <v>35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</row>
    <row r="456" spans="1:35" x14ac:dyDescent="0.25">
      <c r="A456" s="2">
        <v>29</v>
      </c>
      <c r="B456" s="2" t="s">
        <v>43</v>
      </c>
      <c r="C456" s="2" t="s">
        <v>36</v>
      </c>
      <c r="D456" s="2">
        <v>232</v>
      </c>
      <c r="E456" s="2" t="s">
        <v>45</v>
      </c>
      <c r="F456" s="2">
        <v>19</v>
      </c>
      <c r="G456" s="2">
        <v>3</v>
      </c>
      <c r="H456" s="2" t="s">
        <v>60</v>
      </c>
      <c r="I456" s="2">
        <v>1</v>
      </c>
      <c r="J456" s="2">
        <v>611</v>
      </c>
      <c r="K456" s="2">
        <v>4</v>
      </c>
      <c r="L456" s="2" t="s">
        <v>46</v>
      </c>
      <c r="M456" s="2">
        <v>34</v>
      </c>
      <c r="N456" s="2">
        <v>3</v>
      </c>
      <c r="O456" s="2">
        <v>2</v>
      </c>
      <c r="P456" s="2" t="s">
        <v>53</v>
      </c>
      <c r="Q456" s="2">
        <v>4</v>
      </c>
      <c r="R456" s="2" t="s">
        <v>52</v>
      </c>
      <c r="S456" s="2">
        <v>4262</v>
      </c>
      <c r="T456" s="2">
        <v>22645</v>
      </c>
      <c r="U456" s="2">
        <v>4</v>
      </c>
      <c r="V456" s="2" t="s">
        <v>42</v>
      </c>
      <c r="W456" s="2" t="s">
        <v>43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</row>
    <row r="457" spans="1:35" x14ac:dyDescent="0.25">
      <c r="A457" s="2">
        <v>33</v>
      </c>
      <c r="B457" s="2" t="s">
        <v>43</v>
      </c>
      <c r="C457" s="2" t="s">
        <v>36</v>
      </c>
      <c r="D457" s="2">
        <v>922</v>
      </c>
      <c r="E457" s="2" t="s">
        <v>45</v>
      </c>
      <c r="F457" s="2">
        <v>1</v>
      </c>
      <c r="G457" s="2">
        <v>5</v>
      </c>
      <c r="H457" s="2" t="s">
        <v>51</v>
      </c>
      <c r="I457" s="2">
        <v>1</v>
      </c>
      <c r="J457" s="2">
        <v>612</v>
      </c>
      <c r="K457" s="2">
        <v>1</v>
      </c>
      <c r="L457" s="2" t="s">
        <v>39</v>
      </c>
      <c r="M457" s="2">
        <v>95</v>
      </c>
      <c r="N457" s="2">
        <v>4</v>
      </c>
      <c r="O457" s="2">
        <v>4</v>
      </c>
      <c r="P457" s="2" t="s">
        <v>58</v>
      </c>
      <c r="Q457" s="2">
        <v>3</v>
      </c>
      <c r="R457" s="2" t="s">
        <v>52</v>
      </c>
      <c r="S457" s="2">
        <v>16184</v>
      </c>
      <c r="T457" s="2">
        <v>22578</v>
      </c>
      <c r="U457" s="2">
        <v>4</v>
      </c>
      <c r="V457" s="2" t="s">
        <v>42</v>
      </c>
      <c r="W457" s="2" t="s">
        <v>43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</row>
    <row r="458" spans="1:35" x14ac:dyDescent="0.25">
      <c r="A458" s="2">
        <v>31</v>
      </c>
      <c r="B458" s="2" t="s">
        <v>43</v>
      </c>
      <c r="C458" s="2" t="s">
        <v>36</v>
      </c>
      <c r="D458" s="2">
        <v>688</v>
      </c>
      <c r="E458" s="2" t="s">
        <v>37</v>
      </c>
      <c r="F458" s="2">
        <v>7</v>
      </c>
      <c r="G458" s="2">
        <v>3</v>
      </c>
      <c r="H458" s="2" t="s">
        <v>38</v>
      </c>
      <c r="I458" s="2">
        <v>1</v>
      </c>
      <c r="J458" s="2">
        <v>613</v>
      </c>
      <c r="K458" s="2">
        <v>3</v>
      </c>
      <c r="L458" s="2" t="s">
        <v>46</v>
      </c>
      <c r="M458" s="2">
        <v>44</v>
      </c>
      <c r="N458" s="2">
        <v>2</v>
      </c>
      <c r="O458" s="2">
        <v>3</v>
      </c>
      <c r="P458" s="2" t="s">
        <v>56</v>
      </c>
      <c r="Q458" s="2">
        <v>4</v>
      </c>
      <c r="R458" s="2" t="s">
        <v>52</v>
      </c>
      <c r="S458" s="2">
        <v>11557</v>
      </c>
      <c r="T458" s="2">
        <v>25291</v>
      </c>
      <c r="U458" s="2">
        <v>9</v>
      </c>
      <c r="V458" s="2" t="s">
        <v>42</v>
      </c>
      <c r="W458" s="2" t="s">
        <v>43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</row>
    <row r="459" spans="1:35" x14ac:dyDescent="0.25">
      <c r="A459" s="2">
        <v>18</v>
      </c>
      <c r="B459" s="2" t="s">
        <v>35</v>
      </c>
      <c r="C459" s="2" t="s">
        <v>44</v>
      </c>
      <c r="D459" s="2">
        <v>1306</v>
      </c>
      <c r="E459" s="2" t="s">
        <v>37</v>
      </c>
      <c r="F459" s="2">
        <v>5</v>
      </c>
      <c r="G459" s="2">
        <v>3</v>
      </c>
      <c r="H459" s="2" t="s">
        <v>59</v>
      </c>
      <c r="I459" s="2">
        <v>1</v>
      </c>
      <c r="J459" s="2">
        <v>614</v>
      </c>
      <c r="K459" s="2">
        <v>2</v>
      </c>
      <c r="L459" s="2" t="s">
        <v>46</v>
      </c>
      <c r="M459" s="2">
        <v>69</v>
      </c>
      <c r="N459" s="2">
        <v>3</v>
      </c>
      <c r="O459" s="2">
        <v>1</v>
      </c>
      <c r="P459" s="2" t="s">
        <v>57</v>
      </c>
      <c r="Q459" s="2">
        <v>2</v>
      </c>
      <c r="R459" s="2" t="s">
        <v>41</v>
      </c>
      <c r="S459" s="2">
        <v>1878</v>
      </c>
      <c r="T459" s="2">
        <v>8059</v>
      </c>
      <c r="U459" s="2">
        <v>1</v>
      </c>
      <c r="V459" s="2" t="s">
        <v>42</v>
      </c>
      <c r="W459" s="2" t="s">
        <v>35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</row>
    <row r="460" spans="1:35" x14ac:dyDescent="0.25">
      <c r="A460" s="2">
        <v>40</v>
      </c>
      <c r="B460" s="2" t="s">
        <v>43</v>
      </c>
      <c r="C460" s="2" t="s">
        <v>55</v>
      </c>
      <c r="D460" s="2">
        <v>1094</v>
      </c>
      <c r="E460" s="2" t="s">
        <v>37</v>
      </c>
      <c r="F460" s="2">
        <v>28</v>
      </c>
      <c r="G460" s="2">
        <v>3</v>
      </c>
      <c r="H460" s="2" t="s">
        <v>49</v>
      </c>
      <c r="I460" s="2">
        <v>1</v>
      </c>
      <c r="J460" s="2">
        <v>615</v>
      </c>
      <c r="K460" s="2">
        <v>3</v>
      </c>
      <c r="L460" s="2" t="s">
        <v>46</v>
      </c>
      <c r="M460" s="2">
        <v>58</v>
      </c>
      <c r="N460" s="2">
        <v>1</v>
      </c>
      <c r="O460" s="2">
        <v>3</v>
      </c>
      <c r="P460" s="2" t="s">
        <v>40</v>
      </c>
      <c r="Q460" s="2">
        <v>1</v>
      </c>
      <c r="R460" s="2" t="s">
        <v>52</v>
      </c>
      <c r="S460" s="2">
        <v>10932</v>
      </c>
      <c r="T460" s="2">
        <v>11373</v>
      </c>
      <c r="U460" s="2">
        <v>3</v>
      </c>
      <c r="V460" s="2" t="s">
        <v>42</v>
      </c>
      <c r="W460" s="2" t="s">
        <v>43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</row>
    <row r="461" spans="1:35" x14ac:dyDescent="0.25">
      <c r="A461" s="2">
        <v>41</v>
      </c>
      <c r="B461" s="2" t="s">
        <v>43</v>
      </c>
      <c r="C461" s="2" t="s">
        <v>55</v>
      </c>
      <c r="D461" s="2">
        <v>509</v>
      </c>
      <c r="E461" s="2" t="s">
        <v>45</v>
      </c>
      <c r="F461" s="2">
        <v>2</v>
      </c>
      <c r="G461" s="2">
        <v>4</v>
      </c>
      <c r="H461" s="2" t="s">
        <v>49</v>
      </c>
      <c r="I461" s="2">
        <v>1</v>
      </c>
      <c r="J461" s="2">
        <v>616</v>
      </c>
      <c r="K461" s="2">
        <v>1</v>
      </c>
      <c r="L461" s="2" t="s">
        <v>39</v>
      </c>
      <c r="M461" s="2">
        <v>62</v>
      </c>
      <c r="N461" s="2">
        <v>2</v>
      </c>
      <c r="O461" s="2">
        <v>2</v>
      </c>
      <c r="P461" s="2" t="s">
        <v>54</v>
      </c>
      <c r="Q461" s="2">
        <v>3</v>
      </c>
      <c r="R461" s="2" t="s">
        <v>41</v>
      </c>
      <c r="S461" s="2">
        <v>6811</v>
      </c>
      <c r="T461" s="2">
        <v>2112</v>
      </c>
      <c r="U461" s="2">
        <v>2</v>
      </c>
      <c r="V461" s="2" t="s">
        <v>42</v>
      </c>
      <c r="W461" s="2" t="s">
        <v>35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</row>
    <row r="462" spans="1:35" x14ac:dyDescent="0.25">
      <c r="A462" s="2">
        <v>26</v>
      </c>
      <c r="B462" s="2" t="s">
        <v>43</v>
      </c>
      <c r="C462" s="2" t="s">
        <v>36</v>
      </c>
      <c r="D462" s="2">
        <v>775</v>
      </c>
      <c r="E462" s="2" t="s">
        <v>37</v>
      </c>
      <c r="F462" s="2">
        <v>29</v>
      </c>
      <c r="G462" s="2">
        <v>2</v>
      </c>
      <c r="H462" s="2" t="s">
        <v>51</v>
      </c>
      <c r="I462" s="2">
        <v>1</v>
      </c>
      <c r="J462" s="2">
        <v>618</v>
      </c>
      <c r="K462" s="2">
        <v>1</v>
      </c>
      <c r="L462" s="2" t="s">
        <v>46</v>
      </c>
      <c r="M462" s="2">
        <v>45</v>
      </c>
      <c r="N462" s="2">
        <v>3</v>
      </c>
      <c r="O462" s="2">
        <v>2</v>
      </c>
      <c r="P462" s="2" t="s">
        <v>40</v>
      </c>
      <c r="Q462" s="2">
        <v>3</v>
      </c>
      <c r="R462" s="2" t="s">
        <v>52</v>
      </c>
      <c r="S462" s="2">
        <v>4306</v>
      </c>
      <c r="T462" s="2">
        <v>4267</v>
      </c>
      <c r="U462" s="2">
        <v>5</v>
      </c>
      <c r="V462" s="2" t="s">
        <v>42</v>
      </c>
      <c r="W462" s="2" t="s">
        <v>43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</row>
    <row r="463" spans="1:35" x14ac:dyDescent="0.25">
      <c r="A463" s="2">
        <v>35</v>
      </c>
      <c r="B463" s="2" t="s">
        <v>43</v>
      </c>
      <c r="C463" s="2" t="s">
        <v>36</v>
      </c>
      <c r="D463" s="2">
        <v>195</v>
      </c>
      <c r="E463" s="2" t="s">
        <v>37</v>
      </c>
      <c r="F463" s="2">
        <v>1</v>
      </c>
      <c r="G463" s="2">
        <v>3</v>
      </c>
      <c r="H463" s="2" t="s">
        <v>51</v>
      </c>
      <c r="I463" s="2">
        <v>1</v>
      </c>
      <c r="J463" s="2">
        <v>620</v>
      </c>
      <c r="K463" s="2">
        <v>1</v>
      </c>
      <c r="L463" s="2" t="s">
        <v>39</v>
      </c>
      <c r="M463" s="2">
        <v>80</v>
      </c>
      <c r="N463" s="2">
        <v>3</v>
      </c>
      <c r="O463" s="2">
        <v>2</v>
      </c>
      <c r="P463" s="2" t="s">
        <v>40</v>
      </c>
      <c r="Q463" s="2">
        <v>3</v>
      </c>
      <c r="R463" s="2" t="s">
        <v>41</v>
      </c>
      <c r="S463" s="2">
        <v>4859</v>
      </c>
      <c r="T463" s="2">
        <v>6698</v>
      </c>
      <c r="U463" s="2">
        <v>1</v>
      </c>
      <c r="V463" s="2" t="s">
        <v>42</v>
      </c>
      <c r="W463" s="2" t="s">
        <v>43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</row>
    <row r="464" spans="1:35" x14ac:dyDescent="0.25">
      <c r="A464" s="2">
        <v>34</v>
      </c>
      <c r="B464" s="2" t="s">
        <v>43</v>
      </c>
      <c r="C464" s="2" t="s">
        <v>36</v>
      </c>
      <c r="D464" s="2">
        <v>258</v>
      </c>
      <c r="E464" s="2" t="s">
        <v>37</v>
      </c>
      <c r="F464" s="2">
        <v>21</v>
      </c>
      <c r="G464" s="2">
        <v>4</v>
      </c>
      <c r="H464" s="2" t="s">
        <v>38</v>
      </c>
      <c r="I464" s="2">
        <v>1</v>
      </c>
      <c r="J464" s="2">
        <v>621</v>
      </c>
      <c r="K464" s="2">
        <v>4</v>
      </c>
      <c r="L464" s="2" t="s">
        <v>46</v>
      </c>
      <c r="M464" s="2">
        <v>74</v>
      </c>
      <c r="N464" s="2">
        <v>4</v>
      </c>
      <c r="O464" s="2">
        <v>2</v>
      </c>
      <c r="P464" s="2" t="s">
        <v>40</v>
      </c>
      <c r="Q464" s="2">
        <v>4</v>
      </c>
      <c r="R464" s="2" t="s">
        <v>41</v>
      </c>
      <c r="S464" s="2">
        <v>5337</v>
      </c>
      <c r="T464" s="2">
        <v>19921</v>
      </c>
      <c r="U464" s="2">
        <v>1</v>
      </c>
      <c r="V464" s="2" t="s">
        <v>42</v>
      </c>
      <c r="W464" s="2" t="s">
        <v>43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</row>
    <row r="465" spans="1:35" x14ac:dyDescent="0.25">
      <c r="A465" s="2">
        <v>26</v>
      </c>
      <c r="B465" s="2" t="s">
        <v>35</v>
      </c>
      <c r="C465" s="2" t="s">
        <v>36</v>
      </c>
      <c r="D465" s="2">
        <v>471</v>
      </c>
      <c r="E465" s="2" t="s">
        <v>45</v>
      </c>
      <c r="F465" s="2">
        <v>24</v>
      </c>
      <c r="G465" s="2">
        <v>3</v>
      </c>
      <c r="H465" s="2" t="s">
        <v>60</v>
      </c>
      <c r="I465" s="2">
        <v>1</v>
      </c>
      <c r="J465" s="2">
        <v>622</v>
      </c>
      <c r="K465" s="2">
        <v>3</v>
      </c>
      <c r="L465" s="2" t="s">
        <v>46</v>
      </c>
      <c r="M465" s="2">
        <v>66</v>
      </c>
      <c r="N465" s="2">
        <v>1</v>
      </c>
      <c r="O465" s="2">
        <v>1</v>
      </c>
      <c r="P465" s="2" t="s">
        <v>50</v>
      </c>
      <c r="Q465" s="2">
        <v>4</v>
      </c>
      <c r="R465" s="2" t="s">
        <v>41</v>
      </c>
      <c r="S465" s="2">
        <v>2340</v>
      </c>
      <c r="T465" s="2">
        <v>23213</v>
      </c>
      <c r="U465" s="2">
        <v>1</v>
      </c>
      <c r="V465" s="2" t="s">
        <v>42</v>
      </c>
      <c r="W465" s="2" t="s">
        <v>35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</row>
    <row r="466" spans="1:35" x14ac:dyDescent="0.25">
      <c r="A466" s="2">
        <v>37</v>
      </c>
      <c r="B466" s="2" t="s">
        <v>43</v>
      </c>
      <c r="C466" s="2" t="s">
        <v>36</v>
      </c>
      <c r="D466" s="2">
        <v>799</v>
      </c>
      <c r="E466" s="2" t="s">
        <v>45</v>
      </c>
      <c r="F466" s="2">
        <v>1</v>
      </c>
      <c r="G466" s="2">
        <v>3</v>
      </c>
      <c r="H466" s="2" t="s">
        <v>60</v>
      </c>
      <c r="I466" s="2">
        <v>1</v>
      </c>
      <c r="J466" s="2">
        <v>623</v>
      </c>
      <c r="K466" s="2">
        <v>2</v>
      </c>
      <c r="L466" s="2" t="s">
        <v>39</v>
      </c>
      <c r="M466" s="2">
        <v>59</v>
      </c>
      <c r="N466" s="2">
        <v>3</v>
      </c>
      <c r="O466" s="2">
        <v>3</v>
      </c>
      <c r="P466" s="2" t="s">
        <v>53</v>
      </c>
      <c r="Q466" s="2">
        <v>4</v>
      </c>
      <c r="R466" s="2" t="s">
        <v>41</v>
      </c>
      <c r="S466" s="2">
        <v>7491</v>
      </c>
      <c r="T466" s="2">
        <v>23848</v>
      </c>
      <c r="U466" s="2">
        <v>4</v>
      </c>
      <c r="V466" s="2" t="s">
        <v>42</v>
      </c>
      <c r="W466" s="2" t="s">
        <v>43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</row>
    <row r="467" spans="1:35" x14ac:dyDescent="0.25">
      <c r="A467" s="2">
        <v>46</v>
      </c>
      <c r="B467" s="2" t="s">
        <v>43</v>
      </c>
      <c r="C467" s="2" t="s">
        <v>44</v>
      </c>
      <c r="D467" s="2">
        <v>1034</v>
      </c>
      <c r="E467" s="2" t="s">
        <v>45</v>
      </c>
      <c r="F467" s="2">
        <v>18</v>
      </c>
      <c r="G467" s="2">
        <v>1</v>
      </c>
      <c r="H467" s="2" t="s">
        <v>51</v>
      </c>
      <c r="I467" s="2">
        <v>1</v>
      </c>
      <c r="J467" s="2">
        <v>624</v>
      </c>
      <c r="K467" s="2">
        <v>1</v>
      </c>
      <c r="L467" s="2" t="s">
        <v>39</v>
      </c>
      <c r="M467" s="2">
        <v>86</v>
      </c>
      <c r="N467" s="2">
        <v>3</v>
      </c>
      <c r="O467" s="2">
        <v>3</v>
      </c>
      <c r="P467" s="2" t="s">
        <v>54</v>
      </c>
      <c r="Q467" s="2">
        <v>3</v>
      </c>
      <c r="R467" s="2" t="s">
        <v>48</v>
      </c>
      <c r="S467" s="2">
        <v>10527</v>
      </c>
      <c r="T467" s="2">
        <v>8984</v>
      </c>
      <c r="U467" s="2">
        <v>5</v>
      </c>
      <c r="V467" s="2" t="s">
        <v>42</v>
      </c>
      <c r="W467" s="2" t="s">
        <v>43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</row>
    <row r="468" spans="1:35" x14ac:dyDescent="0.25">
      <c r="A468" s="2">
        <v>41</v>
      </c>
      <c r="B468" s="2" t="s">
        <v>43</v>
      </c>
      <c r="C468" s="2" t="s">
        <v>36</v>
      </c>
      <c r="D468" s="2">
        <v>1276</v>
      </c>
      <c r="E468" s="2" t="s">
        <v>37</v>
      </c>
      <c r="F468" s="2">
        <v>2</v>
      </c>
      <c r="G468" s="2">
        <v>5</v>
      </c>
      <c r="H468" s="2" t="s">
        <v>38</v>
      </c>
      <c r="I468" s="2">
        <v>1</v>
      </c>
      <c r="J468" s="2">
        <v>625</v>
      </c>
      <c r="K468" s="2">
        <v>2</v>
      </c>
      <c r="L468" s="2" t="s">
        <v>39</v>
      </c>
      <c r="M468" s="2">
        <v>91</v>
      </c>
      <c r="N468" s="2">
        <v>3</v>
      </c>
      <c r="O468" s="2">
        <v>4</v>
      </c>
      <c r="P468" s="2" t="s">
        <v>56</v>
      </c>
      <c r="Q468" s="2">
        <v>1</v>
      </c>
      <c r="R468" s="2" t="s">
        <v>48</v>
      </c>
      <c r="S468" s="2">
        <v>16595</v>
      </c>
      <c r="T468" s="2">
        <v>5626</v>
      </c>
      <c r="U468" s="2">
        <v>7</v>
      </c>
      <c r="V468" s="2" t="s">
        <v>42</v>
      </c>
      <c r="W468" s="2" t="s">
        <v>43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</row>
    <row r="469" spans="1:35" x14ac:dyDescent="0.25">
      <c r="A469" s="2">
        <v>37</v>
      </c>
      <c r="B469" s="2" t="s">
        <v>43</v>
      </c>
      <c r="C469" s="2" t="s">
        <v>55</v>
      </c>
      <c r="D469" s="2">
        <v>142</v>
      </c>
      <c r="E469" s="2" t="s">
        <v>37</v>
      </c>
      <c r="F469" s="2">
        <v>9</v>
      </c>
      <c r="G469" s="2">
        <v>4</v>
      </c>
      <c r="H469" s="2" t="s">
        <v>51</v>
      </c>
      <c r="I469" s="2">
        <v>1</v>
      </c>
      <c r="J469" s="2">
        <v>626</v>
      </c>
      <c r="K469" s="2">
        <v>1</v>
      </c>
      <c r="L469" s="2" t="s">
        <v>46</v>
      </c>
      <c r="M469" s="2">
        <v>69</v>
      </c>
      <c r="N469" s="2">
        <v>3</v>
      </c>
      <c r="O469" s="2">
        <v>3</v>
      </c>
      <c r="P469" s="2" t="s">
        <v>40</v>
      </c>
      <c r="Q469" s="2">
        <v>2</v>
      </c>
      <c r="R469" s="2" t="s">
        <v>52</v>
      </c>
      <c r="S469" s="2">
        <v>8834</v>
      </c>
      <c r="T469" s="2">
        <v>24666</v>
      </c>
      <c r="U469" s="2">
        <v>1</v>
      </c>
      <c r="V469" s="2" t="s">
        <v>42</v>
      </c>
      <c r="W469" s="2" t="s">
        <v>43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</row>
    <row r="470" spans="1:35" x14ac:dyDescent="0.25">
      <c r="A470" s="2">
        <v>52</v>
      </c>
      <c r="B470" s="2" t="s">
        <v>43</v>
      </c>
      <c r="C470" s="2" t="s">
        <v>36</v>
      </c>
      <c r="D470" s="2">
        <v>956</v>
      </c>
      <c r="E470" s="2" t="s">
        <v>45</v>
      </c>
      <c r="F470" s="2">
        <v>6</v>
      </c>
      <c r="G470" s="2">
        <v>2</v>
      </c>
      <c r="H470" s="2" t="s">
        <v>60</v>
      </c>
      <c r="I470" s="2">
        <v>1</v>
      </c>
      <c r="J470" s="2">
        <v>630</v>
      </c>
      <c r="K470" s="2">
        <v>4</v>
      </c>
      <c r="L470" s="2" t="s">
        <v>46</v>
      </c>
      <c r="M470" s="2">
        <v>78</v>
      </c>
      <c r="N470" s="2">
        <v>3</v>
      </c>
      <c r="O470" s="2">
        <v>2</v>
      </c>
      <c r="P470" s="2" t="s">
        <v>47</v>
      </c>
      <c r="Q470" s="2">
        <v>1</v>
      </c>
      <c r="R470" s="2" t="s">
        <v>52</v>
      </c>
      <c r="S470" s="2">
        <v>5577</v>
      </c>
      <c r="T470" s="2">
        <v>22087</v>
      </c>
      <c r="U470" s="2">
        <v>3</v>
      </c>
      <c r="V470" s="2" t="s">
        <v>42</v>
      </c>
      <c r="W470" s="2" t="s">
        <v>35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</row>
    <row r="471" spans="1:35" x14ac:dyDescent="0.25">
      <c r="A471" s="2">
        <v>32</v>
      </c>
      <c r="B471" s="2" t="s">
        <v>35</v>
      </c>
      <c r="C471" s="2" t="s">
        <v>55</v>
      </c>
      <c r="D471" s="2">
        <v>1474</v>
      </c>
      <c r="E471" s="2" t="s">
        <v>37</v>
      </c>
      <c r="F471" s="2">
        <v>11</v>
      </c>
      <c r="G471" s="2">
        <v>4</v>
      </c>
      <c r="H471" s="2" t="s">
        <v>49</v>
      </c>
      <c r="I471" s="2">
        <v>1</v>
      </c>
      <c r="J471" s="2">
        <v>631</v>
      </c>
      <c r="K471" s="2">
        <v>4</v>
      </c>
      <c r="L471" s="2" t="s">
        <v>46</v>
      </c>
      <c r="M471" s="2">
        <v>60</v>
      </c>
      <c r="N471" s="2">
        <v>4</v>
      </c>
      <c r="O471" s="2">
        <v>2</v>
      </c>
      <c r="P471" s="2" t="s">
        <v>40</v>
      </c>
      <c r="Q471" s="2">
        <v>3</v>
      </c>
      <c r="R471" s="2" t="s">
        <v>48</v>
      </c>
      <c r="S471" s="2">
        <v>4707</v>
      </c>
      <c r="T471" s="2">
        <v>23914</v>
      </c>
      <c r="U471" s="2">
        <v>8</v>
      </c>
      <c r="V471" s="2" t="s">
        <v>42</v>
      </c>
      <c r="W471" s="2" t="s">
        <v>43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</row>
    <row r="472" spans="1:35" x14ac:dyDescent="0.25">
      <c r="A472" s="2">
        <v>24</v>
      </c>
      <c r="B472" s="2" t="s">
        <v>43</v>
      </c>
      <c r="C472" s="2" t="s">
        <v>44</v>
      </c>
      <c r="D472" s="2">
        <v>535</v>
      </c>
      <c r="E472" s="2" t="s">
        <v>37</v>
      </c>
      <c r="F472" s="2">
        <v>24</v>
      </c>
      <c r="G472" s="2">
        <v>3</v>
      </c>
      <c r="H472" s="2" t="s">
        <v>51</v>
      </c>
      <c r="I472" s="2">
        <v>1</v>
      </c>
      <c r="J472" s="2">
        <v>632</v>
      </c>
      <c r="K472" s="2">
        <v>4</v>
      </c>
      <c r="L472" s="2" t="s">
        <v>46</v>
      </c>
      <c r="M472" s="2">
        <v>38</v>
      </c>
      <c r="N472" s="2">
        <v>3</v>
      </c>
      <c r="O472" s="2">
        <v>1</v>
      </c>
      <c r="P472" s="2" t="s">
        <v>57</v>
      </c>
      <c r="Q472" s="2">
        <v>4</v>
      </c>
      <c r="R472" s="2" t="s">
        <v>48</v>
      </c>
      <c r="S472" s="2">
        <v>2400</v>
      </c>
      <c r="T472" s="2">
        <v>5530</v>
      </c>
      <c r="U472" s="2">
        <v>0</v>
      </c>
      <c r="V472" s="2" t="s">
        <v>42</v>
      </c>
      <c r="W472" s="2" t="s">
        <v>43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</row>
    <row r="473" spans="1:35" x14ac:dyDescent="0.25">
      <c r="A473" s="2">
        <v>38</v>
      </c>
      <c r="B473" s="2" t="s">
        <v>43</v>
      </c>
      <c r="C473" s="2" t="s">
        <v>36</v>
      </c>
      <c r="D473" s="2">
        <v>1495</v>
      </c>
      <c r="E473" s="2" t="s">
        <v>45</v>
      </c>
      <c r="F473" s="2">
        <v>10</v>
      </c>
      <c r="G473" s="2">
        <v>3</v>
      </c>
      <c r="H473" s="2" t="s">
        <v>51</v>
      </c>
      <c r="I473" s="2">
        <v>1</v>
      </c>
      <c r="J473" s="2">
        <v>634</v>
      </c>
      <c r="K473" s="2">
        <v>3</v>
      </c>
      <c r="L473" s="2" t="s">
        <v>39</v>
      </c>
      <c r="M473" s="2">
        <v>76</v>
      </c>
      <c r="N473" s="2">
        <v>3</v>
      </c>
      <c r="O473" s="2">
        <v>2</v>
      </c>
      <c r="P473" s="2" t="s">
        <v>54</v>
      </c>
      <c r="Q473" s="2">
        <v>3</v>
      </c>
      <c r="R473" s="2" t="s">
        <v>48</v>
      </c>
      <c r="S473" s="2">
        <v>9824</v>
      </c>
      <c r="T473" s="2">
        <v>22174</v>
      </c>
      <c r="U473" s="2">
        <v>3</v>
      </c>
      <c r="V473" s="2" t="s">
        <v>42</v>
      </c>
      <c r="W473" s="2" t="s">
        <v>43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</row>
    <row r="474" spans="1:35" x14ac:dyDescent="0.25">
      <c r="A474" s="2">
        <v>37</v>
      </c>
      <c r="B474" s="2" t="s">
        <v>43</v>
      </c>
      <c r="C474" s="2" t="s">
        <v>36</v>
      </c>
      <c r="D474" s="2">
        <v>446</v>
      </c>
      <c r="E474" s="2" t="s">
        <v>45</v>
      </c>
      <c r="F474" s="2">
        <v>1</v>
      </c>
      <c r="G474" s="2">
        <v>4</v>
      </c>
      <c r="H474" s="2" t="s">
        <v>38</v>
      </c>
      <c r="I474" s="2">
        <v>1</v>
      </c>
      <c r="J474" s="2">
        <v>635</v>
      </c>
      <c r="K474" s="2">
        <v>2</v>
      </c>
      <c r="L474" s="2" t="s">
        <v>39</v>
      </c>
      <c r="M474" s="2">
        <v>65</v>
      </c>
      <c r="N474" s="2">
        <v>3</v>
      </c>
      <c r="O474" s="2">
        <v>2</v>
      </c>
      <c r="P474" s="2" t="s">
        <v>53</v>
      </c>
      <c r="Q474" s="2">
        <v>2</v>
      </c>
      <c r="R474" s="2" t="s">
        <v>48</v>
      </c>
      <c r="S474" s="2">
        <v>6447</v>
      </c>
      <c r="T474" s="2">
        <v>15701</v>
      </c>
      <c r="U474" s="2">
        <v>6</v>
      </c>
      <c r="V474" s="2" t="s">
        <v>42</v>
      </c>
      <c r="W474" s="2" t="s">
        <v>43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</row>
    <row r="475" spans="1:35" x14ac:dyDescent="0.25">
      <c r="A475" s="2">
        <v>49</v>
      </c>
      <c r="B475" s="2" t="s">
        <v>43</v>
      </c>
      <c r="C475" s="2" t="s">
        <v>36</v>
      </c>
      <c r="D475" s="2">
        <v>1245</v>
      </c>
      <c r="E475" s="2" t="s">
        <v>45</v>
      </c>
      <c r="F475" s="2">
        <v>18</v>
      </c>
      <c r="G475" s="2">
        <v>4</v>
      </c>
      <c r="H475" s="2" t="s">
        <v>38</v>
      </c>
      <c r="I475" s="2">
        <v>1</v>
      </c>
      <c r="J475" s="2">
        <v>638</v>
      </c>
      <c r="K475" s="2">
        <v>4</v>
      </c>
      <c r="L475" s="2" t="s">
        <v>46</v>
      </c>
      <c r="M475" s="2">
        <v>58</v>
      </c>
      <c r="N475" s="2">
        <v>2</v>
      </c>
      <c r="O475" s="2">
        <v>5</v>
      </c>
      <c r="P475" s="2" t="s">
        <v>58</v>
      </c>
      <c r="Q475" s="2">
        <v>3</v>
      </c>
      <c r="R475" s="2" t="s">
        <v>52</v>
      </c>
      <c r="S475" s="2">
        <v>19502</v>
      </c>
      <c r="T475" s="2">
        <v>2125</v>
      </c>
      <c r="U475" s="2">
        <v>1</v>
      </c>
      <c r="V475" s="2" t="s">
        <v>42</v>
      </c>
      <c r="W475" s="2" t="s">
        <v>35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</row>
    <row r="476" spans="1:35" x14ac:dyDescent="0.25">
      <c r="A476" s="2">
        <v>24</v>
      </c>
      <c r="B476" s="2" t="s">
        <v>43</v>
      </c>
      <c r="C476" s="2" t="s">
        <v>36</v>
      </c>
      <c r="D476" s="2">
        <v>691</v>
      </c>
      <c r="E476" s="2" t="s">
        <v>45</v>
      </c>
      <c r="F476" s="2">
        <v>23</v>
      </c>
      <c r="G476" s="2">
        <v>3</v>
      </c>
      <c r="H476" s="2" t="s">
        <v>51</v>
      </c>
      <c r="I476" s="2">
        <v>1</v>
      </c>
      <c r="J476" s="2">
        <v>639</v>
      </c>
      <c r="K476" s="2">
        <v>2</v>
      </c>
      <c r="L476" s="2" t="s">
        <v>46</v>
      </c>
      <c r="M476" s="2">
        <v>89</v>
      </c>
      <c r="N476" s="2">
        <v>4</v>
      </c>
      <c r="O476" s="2">
        <v>1</v>
      </c>
      <c r="P476" s="2" t="s">
        <v>47</v>
      </c>
      <c r="Q476" s="2">
        <v>4</v>
      </c>
      <c r="R476" s="2" t="s">
        <v>48</v>
      </c>
      <c r="S476" s="2">
        <v>2725</v>
      </c>
      <c r="T476" s="2">
        <v>21630</v>
      </c>
      <c r="U476" s="2">
        <v>1</v>
      </c>
      <c r="V476" s="2" t="s">
        <v>42</v>
      </c>
      <c r="W476" s="2" t="s">
        <v>35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</row>
    <row r="477" spans="1:35" x14ac:dyDescent="0.25">
      <c r="A477" s="2">
        <v>26</v>
      </c>
      <c r="B477" s="2" t="s">
        <v>43</v>
      </c>
      <c r="C477" s="2" t="s">
        <v>36</v>
      </c>
      <c r="D477" s="2">
        <v>703</v>
      </c>
      <c r="E477" s="2" t="s">
        <v>37</v>
      </c>
      <c r="F477" s="2">
        <v>28</v>
      </c>
      <c r="G477" s="2">
        <v>2</v>
      </c>
      <c r="H477" s="2" t="s">
        <v>59</v>
      </c>
      <c r="I477" s="2">
        <v>1</v>
      </c>
      <c r="J477" s="2">
        <v>641</v>
      </c>
      <c r="K477" s="2">
        <v>1</v>
      </c>
      <c r="L477" s="2" t="s">
        <v>46</v>
      </c>
      <c r="M477" s="2">
        <v>66</v>
      </c>
      <c r="N477" s="2">
        <v>3</v>
      </c>
      <c r="O477" s="2">
        <v>2</v>
      </c>
      <c r="P477" s="2" t="s">
        <v>40</v>
      </c>
      <c r="Q477" s="2">
        <v>2</v>
      </c>
      <c r="R477" s="2" t="s">
        <v>48</v>
      </c>
      <c r="S477" s="2">
        <v>6272</v>
      </c>
      <c r="T477" s="2">
        <v>7428</v>
      </c>
      <c r="U477" s="2">
        <v>1</v>
      </c>
      <c r="V477" s="2" t="s">
        <v>42</v>
      </c>
      <c r="W477" s="2" t="s">
        <v>43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</row>
    <row r="478" spans="1:35" x14ac:dyDescent="0.25">
      <c r="A478" s="2">
        <v>24</v>
      </c>
      <c r="B478" s="2" t="s">
        <v>43</v>
      </c>
      <c r="C478" s="2" t="s">
        <v>36</v>
      </c>
      <c r="D478" s="2">
        <v>823</v>
      </c>
      <c r="E478" s="2" t="s">
        <v>45</v>
      </c>
      <c r="F478" s="2">
        <v>17</v>
      </c>
      <c r="G478" s="2">
        <v>2</v>
      </c>
      <c r="H478" s="2" t="s">
        <v>49</v>
      </c>
      <c r="I478" s="2">
        <v>1</v>
      </c>
      <c r="J478" s="2">
        <v>643</v>
      </c>
      <c r="K478" s="2">
        <v>4</v>
      </c>
      <c r="L478" s="2" t="s">
        <v>46</v>
      </c>
      <c r="M478" s="2">
        <v>94</v>
      </c>
      <c r="N478" s="2">
        <v>2</v>
      </c>
      <c r="O478" s="2">
        <v>1</v>
      </c>
      <c r="P478" s="2" t="s">
        <v>50</v>
      </c>
      <c r="Q478" s="2">
        <v>2</v>
      </c>
      <c r="R478" s="2" t="s">
        <v>48</v>
      </c>
      <c r="S478" s="2">
        <v>2127</v>
      </c>
      <c r="T478" s="2">
        <v>9100</v>
      </c>
      <c r="U478" s="2">
        <v>1</v>
      </c>
      <c r="V478" s="2" t="s">
        <v>42</v>
      </c>
      <c r="W478" s="2" t="s">
        <v>43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</row>
    <row r="479" spans="1:35" x14ac:dyDescent="0.25">
      <c r="A479" s="2">
        <v>50</v>
      </c>
      <c r="B479" s="2" t="s">
        <v>43</v>
      </c>
      <c r="C479" s="2" t="s">
        <v>44</v>
      </c>
      <c r="D479" s="2">
        <v>1246</v>
      </c>
      <c r="E479" s="2" t="s">
        <v>61</v>
      </c>
      <c r="F479" s="2">
        <v>3</v>
      </c>
      <c r="G479" s="2">
        <v>3</v>
      </c>
      <c r="H479" s="2" t="s">
        <v>51</v>
      </c>
      <c r="I479" s="2">
        <v>1</v>
      </c>
      <c r="J479" s="2">
        <v>644</v>
      </c>
      <c r="K479" s="2">
        <v>1</v>
      </c>
      <c r="L479" s="2" t="s">
        <v>46</v>
      </c>
      <c r="M479" s="2">
        <v>99</v>
      </c>
      <c r="N479" s="2">
        <v>3</v>
      </c>
      <c r="O479" s="2">
        <v>5</v>
      </c>
      <c r="P479" s="2" t="s">
        <v>56</v>
      </c>
      <c r="Q479" s="2">
        <v>2</v>
      </c>
      <c r="R479" s="2" t="s">
        <v>48</v>
      </c>
      <c r="S479" s="2">
        <v>18200</v>
      </c>
      <c r="T479" s="2">
        <v>7999</v>
      </c>
      <c r="U479" s="2">
        <v>1</v>
      </c>
      <c r="V479" s="2" t="s">
        <v>42</v>
      </c>
      <c r="W479" s="2" t="s">
        <v>43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</row>
    <row r="480" spans="1:35" x14ac:dyDescent="0.25">
      <c r="A480" s="2">
        <v>25</v>
      </c>
      <c r="B480" s="2" t="s">
        <v>43</v>
      </c>
      <c r="C480" s="2" t="s">
        <v>36</v>
      </c>
      <c r="D480" s="2">
        <v>622</v>
      </c>
      <c r="E480" s="2" t="s">
        <v>37</v>
      </c>
      <c r="F480" s="2">
        <v>13</v>
      </c>
      <c r="G480" s="2">
        <v>1</v>
      </c>
      <c r="H480" s="2" t="s">
        <v>51</v>
      </c>
      <c r="I480" s="2">
        <v>1</v>
      </c>
      <c r="J480" s="2">
        <v>645</v>
      </c>
      <c r="K480" s="2">
        <v>2</v>
      </c>
      <c r="L480" s="2" t="s">
        <v>46</v>
      </c>
      <c r="M480" s="2">
        <v>40</v>
      </c>
      <c r="N480" s="2">
        <v>3</v>
      </c>
      <c r="O480" s="2">
        <v>1</v>
      </c>
      <c r="P480" s="2" t="s">
        <v>57</v>
      </c>
      <c r="Q480" s="2">
        <v>3</v>
      </c>
      <c r="R480" s="2" t="s">
        <v>48</v>
      </c>
      <c r="S480" s="2">
        <v>2096</v>
      </c>
      <c r="T480" s="2">
        <v>26376</v>
      </c>
      <c r="U480" s="2">
        <v>1</v>
      </c>
      <c r="V480" s="2" t="s">
        <v>42</v>
      </c>
      <c r="W480" s="2" t="s">
        <v>43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</row>
    <row r="481" spans="1:35" x14ac:dyDescent="0.25">
      <c r="A481" s="2">
        <v>24</v>
      </c>
      <c r="B481" s="2" t="s">
        <v>35</v>
      </c>
      <c r="C481" s="2" t="s">
        <v>44</v>
      </c>
      <c r="D481" s="2">
        <v>1287</v>
      </c>
      <c r="E481" s="2" t="s">
        <v>45</v>
      </c>
      <c r="F481" s="2">
        <v>7</v>
      </c>
      <c r="G481" s="2">
        <v>3</v>
      </c>
      <c r="H481" s="2" t="s">
        <v>38</v>
      </c>
      <c r="I481" s="2">
        <v>1</v>
      </c>
      <c r="J481" s="2">
        <v>647</v>
      </c>
      <c r="K481" s="2">
        <v>1</v>
      </c>
      <c r="L481" s="2" t="s">
        <v>39</v>
      </c>
      <c r="M481" s="2">
        <v>55</v>
      </c>
      <c r="N481" s="2">
        <v>3</v>
      </c>
      <c r="O481" s="2">
        <v>1</v>
      </c>
      <c r="P481" s="2" t="s">
        <v>50</v>
      </c>
      <c r="Q481" s="2">
        <v>3</v>
      </c>
      <c r="R481" s="2" t="s">
        <v>48</v>
      </c>
      <c r="S481" s="2">
        <v>2886</v>
      </c>
      <c r="T481" s="2">
        <v>14168</v>
      </c>
      <c r="U481" s="2">
        <v>1</v>
      </c>
      <c r="V481" s="2" t="s">
        <v>42</v>
      </c>
      <c r="W481" s="2" t="s">
        <v>35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</row>
    <row r="482" spans="1:35" x14ac:dyDescent="0.25">
      <c r="A482" s="2">
        <v>30</v>
      </c>
      <c r="B482" s="2" t="s">
        <v>35</v>
      </c>
      <c r="C482" s="2" t="s">
        <v>44</v>
      </c>
      <c r="D482" s="2">
        <v>448</v>
      </c>
      <c r="E482" s="2" t="s">
        <v>37</v>
      </c>
      <c r="F482" s="2">
        <v>12</v>
      </c>
      <c r="G482" s="2">
        <v>4</v>
      </c>
      <c r="H482" s="2" t="s">
        <v>38</v>
      </c>
      <c r="I482" s="2">
        <v>1</v>
      </c>
      <c r="J482" s="2">
        <v>648</v>
      </c>
      <c r="K482" s="2">
        <v>2</v>
      </c>
      <c r="L482" s="2" t="s">
        <v>46</v>
      </c>
      <c r="M482" s="2">
        <v>74</v>
      </c>
      <c r="N482" s="2">
        <v>2</v>
      </c>
      <c r="O482" s="2">
        <v>1</v>
      </c>
      <c r="P482" s="2" t="s">
        <v>57</v>
      </c>
      <c r="Q482" s="2">
        <v>1</v>
      </c>
      <c r="R482" s="2" t="s">
        <v>48</v>
      </c>
      <c r="S482" s="2">
        <v>2033</v>
      </c>
      <c r="T482" s="2">
        <v>14470</v>
      </c>
      <c r="U482" s="2">
        <v>1</v>
      </c>
      <c r="V482" s="2" t="s">
        <v>42</v>
      </c>
      <c r="W482" s="2" t="s">
        <v>43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</row>
    <row r="483" spans="1:35" x14ac:dyDescent="0.25">
      <c r="A483" s="2">
        <v>34</v>
      </c>
      <c r="B483" s="2" t="s">
        <v>43</v>
      </c>
      <c r="C483" s="2" t="s">
        <v>36</v>
      </c>
      <c r="D483" s="2">
        <v>254</v>
      </c>
      <c r="E483" s="2" t="s">
        <v>45</v>
      </c>
      <c r="F483" s="2">
        <v>1</v>
      </c>
      <c r="G483" s="2">
        <v>2</v>
      </c>
      <c r="H483" s="2" t="s">
        <v>38</v>
      </c>
      <c r="I483" s="2">
        <v>1</v>
      </c>
      <c r="J483" s="2">
        <v>649</v>
      </c>
      <c r="K483" s="2">
        <v>2</v>
      </c>
      <c r="L483" s="2" t="s">
        <v>46</v>
      </c>
      <c r="M483" s="2">
        <v>83</v>
      </c>
      <c r="N483" s="2">
        <v>2</v>
      </c>
      <c r="O483" s="2">
        <v>1</v>
      </c>
      <c r="P483" s="2" t="s">
        <v>47</v>
      </c>
      <c r="Q483" s="2">
        <v>4</v>
      </c>
      <c r="R483" s="2" t="s">
        <v>48</v>
      </c>
      <c r="S483" s="2">
        <v>3622</v>
      </c>
      <c r="T483" s="2">
        <v>22794</v>
      </c>
      <c r="U483" s="2">
        <v>1</v>
      </c>
      <c r="V483" s="2" t="s">
        <v>42</v>
      </c>
      <c r="W483" s="2" t="s">
        <v>35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</row>
    <row r="484" spans="1:35" x14ac:dyDescent="0.25">
      <c r="A484" s="2">
        <v>31</v>
      </c>
      <c r="B484" s="2" t="s">
        <v>35</v>
      </c>
      <c r="C484" s="2" t="s">
        <v>36</v>
      </c>
      <c r="D484" s="2">
        <v>1365</v>
      </c>
      <c r="E484" s="2" t="s">
        <v>37</v>
      </c>
      <c r="F484" s="2">
        <v>13</v>
      </c>
      <c r="G484" s="2">
        <v>4</v>
      </c>
      <c r="H484" s="2" t="s">
        <v>51</v>
      </c>
      <c r="I484" s="2">
        <v>1</v>
      </c>
      <c r="J484" s="2">
        <v>650</v>
      </c>
      <c r="K484" s="2">
        <v>2</v>
      </c>
      <c r="L484" s="2" t="s">
        <v>46</v>
      </c>
      <c r="M484" s="2">
        <v>46</v>
      </c>
      <c r="N484" s="2">
        <v>3</v>
      </c>
      <c r="O484" s="2">
        <v>2</v>
      </c>
      <c r="P484" s="2" t="s">
        <v>40</v>
      </c>
      <c r="Q484" s="2">
        <v>1</v>
      </c>
      <c r="R484" s="2" t="s">
        <v>52</v>
      </c>
      <c r="S484" s="2">
        <v>4233</v>
      </c>
      <c r="T484" s="2">
        <v>11512</v>
      </c>
      <c r="U484" s="2">
        <v>2</v>
      </c>
      <c r="V484" s="2" t="s">
        <v>42</v>
      </c>
      <c r="W484" s="2" t="s">
        <v>43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</row>
    <row r="485" spans="1:35" x14ac:dyDescent="0.25">
      <c r="A485" s="2">
        <v>35</v>
      </c>
      <c r="B485" s="2" t="s">
        <v>43</v>
      </c>
      <c r="C485" s="2" t="s">
        <v>36</v>
      </c>
      <c r="D485" s="2">
        <v>538</v>
      </c>
      <c r="E485" s="2" t="s">
        <v>45</v>
      </c>
      <c r="F485" s="2">
        <v>25</v>
      </c>
      <c r="G485" s="2">
        <v>2</v>
      </c>
      <c r="H485" s="2" t="s">
        <v>49</v>
      </c>
      <c r="I485" s="2">
        <v>1</v>
      </c>
      <c r="J485" s="2">
        <v>652</v>
      </c>
      <c r="K485" s="2">
        <v>1</v>
      </c>
      <c r="L485" s="2" t="s">
        <v>46</v>
      </c>
      <c r="M485" s="2">
        <v>54</v>
      </c>
      <c r="N485" s="2">
        <v>2</v>
      </c>
      <c r="O485" s="2">
        <v>2</v>
      </c>
      <c r="P485" s="2" t="s">
        <v>50</v>
      </c>
      <c r="Q485" s="2">
        <v>4</v>
      </c>
      <c r="R485" s="2" t="s">
        <v>41</v>
      </c>
      <c r="S485" s="2">
        <v>3681</v>
      </c>
      <c r="T485" s="2">
        <v>14004</v>
      </c>
      <c r="U485" s="2">
        <v>4</v>
      </c>
      <c r="V485" s="2" t="s">
        <v>42</v>
      </c>
      <c r="W485" s="2" t="s">
        <v>43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</row>
    <row r="486" spans="1:35" x14ac:dyDescent="0.25">
      <c r="A486" s="2">
        <v>31</v>
      </c>
      <c r="B486" s="2" t="s">
        <v>43</v>
      </c>
      <c r="C486" s="2" t="s">
        <v>36</v>
      </c>
      <c r="D486" s="2">
        <v>525</v>
      </c>
      <c r="E486" s="2" t="s">
        <v>37</v>
      </c>
      <c r="F486" s="2">
        <v>6</v>
      </c>
      <c r="G486" s="2">
        <v>4</v>
      </c>
      <c r="H486" s="2" t="s">
        <v>51</v>
      </c>
      <c r="I486" s="2">
        <v>1</v>
      </c>
      <c r="J486" s="2">
        <v>653</v>
      </c>
      <c r="K486" s="2">
        <v>1</v>
      </c>
      <c r="L486" s="2" t="s">
        <v>46</v>
      </c>
      <c r="M486" s="2">
        <v>66</v>
      </c>
      <c r="N486" s="2">
        <v>4</v>
      </c>
      <c r="O486" s="2">
        <v>2</v>
      </c>
      <c r="P486" s="2" t="s">
        <v>40</v>
      </c>
      <c r="Q486" s="2">
        <v>4</v>
      </c>
      <c r="R486" s="2" t="s">
        <v>52</v>
      </c>
      <c r="S486" s="2">
        <v>5460</v>
      </c>
      <c r="T486" s="2">
        <v>6219</v>
      </c>
      <c r="U486" s="2">
        <v>4</v>
      </c>
      <c r="V486" s="2" t="s">
        <v>42</v>
      </c>
      <c r="W486" s="2" t="s">
        <v>43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</row>
    <row r="487" spans="1:35" x14ac:dyDescent="0.25">
      <c r="A487" s="2">
        <v>27</v>
      </c>
      <c r="B487" s="2" t="s">
        <v>43</v>
      </c>
      <c r="C487" s="2" t="s">
        <v>36</v>
      </c>
      <c r="D487" s="2">
        <v>798</v>
      </c>
      <c r="E487" s="2" t="s">
        <v>45</v>
      </c>
      <c r="F487" s="2">
        <v>6</v>
      </c>
      <c r="G487" s="2">
        <v>4</v>
      </c>
      <c r="H487" s="2" t="s">
        <v>51</v>
      </c>
      <c r="I487" s="2">
        <v>1</v>
      </c>
      <c r="J487" s="2">
        <v>655</v>
      </c>
      <c r="K487" s="2">
        <v>1</v>
      </c>
      <c r="L487" s="2" t="s">
        <v>39</v>
      </c>
      <c r="M487" s="2">
        <v>66</v>
      </c>
      <c r="N487" s="2">
        <v>2</v>
      </c>
      <c r="O487" s="2">
        <v>1</v>
      </c>
      <c r="P487" s="2" t="s">
        <v>47</v>
      </c>
      <c r="Q487" s="2">
        <v>3</v>
      </c>
      <c r="R487" s="2" t="s">
        <v>52</v>
      </c>
      <c r="S487" s="2">
        <v>2187</v>
      </c>
      <c r="T487" s="2">
        <v>5013</v>
      </c>
      <c r="U487" s="2">
        <v>0</v>
      </c>
      <c r="V487" s="2" t="s">
        <v>42</v>
      </c>
      <c r="W487" s="2" t="s">
        <v>43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</row>
    <row r="488" spans="1:35" x14ac:dyDescent="0.25">
      <c r="A488" s="2">
        <v>37</v>
      </c>
      <c r="B488" s="2" t="s">
        <v>43</v>
      </c>
      <c r="C488" s="2" t="s">
        <v>36</v>
      </c>
      <c r="D488" s="2">
        <v>558</v>
      </c>
      <c r="E488" s="2" t="s">
        <v>37</v>
      </c>
      <c r="F488" s="2">
        <v>2</v>
      </c>
      <c r="G488" s="2">
        <v>3</v>
      </c>
      <c r="H488" s="2" t="s">
        <v>59</v>
      </c>
      <c r="I488" s="2">
        <v>1</v>
      </c>
      <c r="J488" s="2">
        <v>656</v>
      </c>
      <c r="K488" s="2">
        <v>4</v>
      </c>
      <c r="L488" s="2" t="s">
        <v>46</v>
      </c>
      <c r="M488" s="2">
        <v>75</v>
      </c>
      <c r="N488" s="2">
        <v>3</v>
      </c>
      <c r="O488" s="2">
        <v>2</v>
      </c>
      <c r="P488" s="2" t="s">
        <v>40</v>
      </c>
      <c r="Q488" s="2">
        <v>3</v>
      </c>
      <c r="R488" s="2" t="s">
        <v>48</v>
      </c>
      <c r="S488" s="2">
        <v>9602</v>
      </c>
      <c r="T488" s="2">
        <v>3010</v>
      </c>
      <c r="U488" s="2">
        <v>4</v>
      </c>
      <c r="V488" s="2" t="s">
        <v>42</v>
      </c>
      <c r="W488" s="2" t="s">
        <v>35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</row>
    <row r="489" spans="1:35" x14ac:dyDescent="0.25">
      <c r="A489" s="2">
        <v>20</v>
      </c>
      <c r="B489" s="2" t="s">
        <v>43</v>
      </c>
      <c r="C489" s="2" t="s">
        <v>36</v>
      </c>
      <c r="D489" s="2">
        <v>959</v>
      </c>
      <c r="E489" s="2" t="s">
        <v>45</v>
      </c>
      <c r="F489" s="2">
        <v>1</v>
      </c>
      <c r="G489" s="2">
        <v>3</v>
      </c>
      <c r="H489" s="2" t="s">
        <v>38</v>
      </c>
      <c r="I489" s="2">
        <v>1</v>
      </c>
      <c r="J489" s="2">
        <v>657</v>
      </c>
      <c r="K489" s="2">
        <v>4</v>
      </c>
      <c r="L489" s="2" t="s">
        <v>39</v>
      </c>
      <c r="M489" s="2">
        <v>83</v>
      </c>
      <c r="N489" s="2">
        <v>2</v>
      </c>
      <c r="O489" s="2">
        <v>1</v>
      </c>
      <c r="P489" s="2" t="s">
        <v>47</v>
      </c>
      <c r="Q489" s="2">
        <v>2</v>
      </c>
      <c r="R489" s="2" t="s">
        <v>41</v>
      </c>
      <c r="S489" s="2">
        <v>2836</v>
      </c>
      <c r="T489" s="2">
        <v>11757</v>
      </c>
      <c r="U489" s="2">
        <v>1</v>
      </c>
      <c r="V489" s="2" t="s">
        <v>42</v>
      </c>
      <c r="W489" s="2" t="s">
        <v>43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</row>
    <row r="490" spans="1:35" x14ac:dyDescent="0.25">
      <c r="A490" s="2">
        <v>42</v>
      </c>
      <c r="B490" s="2" t="s">
        <v>43</v>
      </c>
      <c r="C490" s="2" t="s">
        <v>36</v>
      </c>
      <c r="D490" s="2">
        <v>622</v>
      </c>
      <c r="E490" s="2" t="s">
        <v>45</v>
      </c>
      <c r="F490" s="2">
        <v>2</v>
      </c>
      <c r="G490" s="2">
        <v>4</v>
      </c>
      <c r="H490" s="2" t="s">
        <v>38</v>
      </c>
      <c r="I490" s="2">
        <v>1</v>
      </c>
      <c r="J490" s="2">
        <v>659</v>
      </c>
      <c r="K490" s="2">
        <v>3</v>
      </c>
      <c r="L490" s="2" t="s">
        <v>39</v>
      </c>
      <c r="M490" s="2">
        <v>81</v>
      </c>
      <c r="N490" s="2">
        <v>3</v>
      </c>
      <c r="O490" s="2">
        <v>2</v>
      </c>
      <c r="P490" s="2" t="s">
        <v>54</v>
      </c>
      <c r="Q490" s="2">
        <v>4</v>
      </c>
      <c r="R490" s="2" t="s">
        <v>48</v>
      </c>
      <c r="S490" s="2">
        <v>4089</v>
      </c>
      <c r="T490" s="2">
        <v>5718</v>
      </c>
      <c r="U490" s="2">
        <v>1</v>
      </c>
      <c r="V490" s="2" t="s">
        <v>42</v>
      </c>
      <c r="W490" s="2" t="s">
        <v>43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</row>
    <row r="491" spans="1:35" x14ac:dyDescent="0.25">
      <c r="A491" s="2">
        <v>43</v>
      </c>
      <c r="B491" s="2" t="s">
        <v>43</v>
      </c>
      <c r="C491" s="2" t="s">
        <v>36</v>
      </c>
      <c r="D491" s="2">
        <v>782</v>
      </c>
      <c r="E491" s="2" t="s">
        <v>45</v>
      </c>
      <c r="F491" s="2">
        <v>6</v>
      </c>
      <c r="G491" s="2">
        <v>4</v>
      </c>
      <c r="H491" s="2" t="s">
        <v>49</v>
      </c>
      <c r="I491" s="2">
        <v>1</v>
      </c>
      <c r="J491" s="2">
        <v>661</v>
      </c>
      <c r="K491" s="2">
        <v>2</v>
      </c>
      <c r="L491" s="2" t="s">
        <v>46</v>
      </c>
      <c r="M491" s="2">
        <v>50</v>
      </c>
      <c r="N491" s="2">
        <v>2</v>
      </c>
      <c r="O491" s="2">
        <v>4</v>
      </c>
      <c r="P491" s="2" t="s">
        <v>58</v>
      </c>
      <c r="Q491" s="2">
        <v>4</v>
      </c>
      <c r="R491" s="2" t="s">
        <v>52</v>
      </c>
      <c r="S491" s="2">
        <v>16627</v>
      </c>
      <c r="T491" s="2">
        <v>2671</v>
      </c>
      <c r="U491" s="2">
        <v>4</v>
      </c>
      <c r="V491" s="2" t="s">
        <v>42</v>
      </c>
      <c r="W491" s="2" t="s">
        <v>35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</row>
    <row r="492" spans="1:35" x14ac:dyDescent="0.25">
      <c r="A492" s="2">
        <v>38</v>
      </c>
      <c r="B492" s="2" t="s">
        <v>43</v>
      </c>
      <c r="C492" s="2" t="s">
        <v>36</v>
      </c>
      <c r="D492" s="2">
        <v>362</v>
      </c>
      <c r="E492" s="2" t="s">
        <v>45</v>
      </c>
      <c r="F492" s="2">
        <v>1</v>
      </c>
      <c r="G492" s="2">
        <v>1</v>
      </c>
      <c r="H492" s="2" t="s">
        <v>38</v>
      </c>
      <c r="I492" s="2">
        <v>1</v>
      </c>
      <c r="J492" s="2">
        <v>662</v>
      </c>
      <c r="K492" s="2">
        <v>3</v>
      </c>
      <c r="L492" s="2" t="s">
        <v>39</v>
      </c>
      <c r="M492" s="2">
        <v>43</v>
      </c>
      <c r="N492" s="2">
        <v>3</v>
      </c>
      <c r="O492" s="2">
        <v>1</v>
      </c>
      <c r="P492" s="2" t="s">
        <v>47</v>
      </c>
      <c r="Q492" s="2">
        <v>1</v>
      </c>
      <c r="R492" s="2" t="s">
        <v>41</v>
      </c>
      <c r="S492" s="2">
        <v>2619</v>
      </c>
      <c r="T492" s="2">
        <v>14561</v>
      </c>
      <c r="U492" s="2">
        <v>3</v>
      </c>
      <c r="V492" s="2" t="s">
        <v>42</v>
      </c>
      <c r="W492" s="2" t="s">
        <v>43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</row>
    <row r="493" spans="1:35" x14ac:dyDescent="0.25">
      <c r="A493" s="2">
        <v>43</v>
      </c>
      <c r="B493" s="2" t="s">
        <v>43</v>
      </c>
      <c r="C493" s="2" t="s">
        <v>44</v>
      </c>
      <c r="D493" s="2">
        <v>1001</v>
      </c>
      <c r="E493" s="2" t="s">
        <v>45</v>
      </c>
      <c r="F493" s="2">
        <v>9</v>
      </c>
      <c r="G493" s="2">
        <v>5</v>
      </c>
      <c r="H493" s="2" t="s">
        <v>51</v>
      </c>
      <c r="I493" s="2">
        <v>1</v>
      </c>
      <c r="J493" s="2">
        <v>663</v>
      </c>
      <c r="K493" s="2">
        <v>4</v>
      </c>
      <c r="L493" s="2" t="s">
        <v>46</v>
      </c>
      <c r="M493" s="2">
        <v>72</v>
      </c>
      <c r="N493" s="2">
        <v>3</v>
      </c>
      <c r="O493" s="2">
        <v>2</v>
      </c>
      <c r="P493" s="2" t="s">
        <v>50</v>
      </c>
      <c r="Q493" s="2">
        <v>3</v>
      </c>
      <c r="R493" s="2" t="s">
        <v>52</v>
      </c>
      <c r="S493" s="2">
        <v>5679</v>
      </c>
      <c r="T493" s="2">
        <v>19627</v>
      </c>
      <c r="U493" s="2">
        <v>3</v>
      </c>
      <c r="V493" s="2" t="s">
        <v>42</v>
      </c>
      <c r="W493" s="2" t="s">
        <v>35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</row>
    <row r="494" spans="1:35" x14ac:dyDescent="0.25">
      <c r="A494" s="2">
        <v>48</v>
      </c>
      <c r="B494" s="2" t="s">
        <v>43</v>
      </c>
      <c r="C494" s="2" t="s">
        <v>36</v>
      </c>
      <c r="D494" s="2">
        <v>1236</v>
      </c>
      <c r="E494" s="2" t="s">
        <v>45</v>
      </c>
      <c r="F494" s="2">
        <v>1</v>
      </c>
      <c r="G494" s="2">
        <v>4</v>
      </c>
      <c r="H494" s="2" t="s">
        <v>38</v>
      </c>
      <c r="I494" s="2">
        <v>1</v>
      </c>
      <c r="J494" s="2">
        <v>664</v>
      </c>
      <c r="K494" s="2">
        <v>4</v>
      </c>
      <c r="L494" s="2" t="s">
        <v>39</v>
      </c>
      <c r="M494" s="2">
        <v>40</v>
      </c>
      <c r="N494" s="2">
        <v>2</v>
      </c>
      <c r="O494" s="2">
        <v>4</v>
      </c>
      <c r="P494" s="2" t="s">
        <v>56</v>
      </c>
      <c r="Q494" s="2">
        <v>1</v>
      </c>
      <c r="R494" s="2" t="s">
        <v>48</v>
      </c>
      <c r="S494" s="2">
        <v>15402</v>
      </c>
      <c r="T494" s="2">
        <v>17997</v>
      </c>
      <c r="U494" s="2">
        <v>7</v>
      </c>
      <c r="V494" s="2" t="s">
        <v>42</v>
      </c>
      <c r="W494" s="2" t="s">
        <v>43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</row>
    <row r="495" spans="1:35" x14ac:dyDescent="0.25">
      <c r="A495" s="2">
        <v>44</v>
      </c>
      <c r="B495" s="2" t="s">
        <v>43</v>
      </c>
      <c r="C495" s="2" t="s">
        <v>36</v>
      </c>
      <c r="D495" s="2">
        <v>1112</v>
      </c>
      <c r="E495" s="2" t="s">
        <v>61</v>
      </c>
      <c r="F495" s="2">
        <v>1</v>
      </c>
      <c r="G495" s="2">
        <v>4</v>
      </c>
      <c r="H495" s="2" t="s">
        <v>38</v>
      </c>
      <c r="I495" s="2">
        <v>1</v>
      </c>
      <c r="J495" s="2">
        <v>665</v>
      </c>
      <c r="K495" s="2">
        <v>1</v>
      </c>
      <c r="L495" s="2" t="s">
        <v>39</v>
      </c>
      <c r="M495" s="2">
        <v>50</v>
      </c>
      <c r="N495" s="2">
        <v>2</v>
      </c>
      <c r="O495" s="2">
        <v>2</v>
      </c>
      <c r="P495" s="2" t="s">
        <v>61</v>
      </c>
      <c r="Q495" s="2">
        <v>3</v>
      </c>
      <c r="R495" s="2" t="s">
        <v>41</v>
      </c>
      <c r="S495" s="2">
        <v>5985</v>
      </c>
      <c r="T495" s="2">
        <v>26894</v>
      </c>
      <c r="U495" s="2">
        <v>4</v>
      </c>
      <c r="V495" s="2" t="s">
        <v>42</v>
      </c>
      <c r="W495" s="2" t="s">
        <v>43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</row>
    <row r="496" spans="1:35" x14ac:dyDescent="0.25">
      <c r="A496" s="2">
        <v>34</v>
      </c>
      <c r="B496" s="2" t="s">
        <v>43</v>
      </c>
      <c r="C496" s="2" t="s">
        <v>36</v>
      </c>
      <c r="D496" s="2">
        <v>204</v>
      </c>
      <c r="E496" s="2" t="s">
        <v>37</v>
      </c>
      <c r="F496" s="2">
        <v>14</v>
      </c>
      <c r="G496" s="2">
        <v>3</v>
      </c>
      <c r="H496" s="2" t="s">
        <v>60</v>
      </c>
      <c r="I496" s="2">
        <v>1</v>
      </c>
      <c r="J496" s="2">
        <v>666</v>
      </c>
      <c r="K496" s="2">
        <v>3</v>
      </c>
      <c r="L496" s="2" t="s">
        <v>39</v>
      </c>
      <c r="M496" s="2">
        <v>31</v>
      </c>
      <c r="N496" s="2">
        <v>3</v>
      </c>
      <c r="O496" s="2">
        <v>1</v>
      </c>
      <c r="P496" s="2" t="s">
        <v>57</v>
      </c>
      <c r="Q496" s="2">
        <v>3</v>
      </c>
      <c r="R496" s="2" t="s">
        <v>52</v>
      </c>
      <c r="S496" s="2">
        <v>2579</v>
      </c>
      <c r="T496" s="2">
        <v>2912</v>
      </c>
      <c r="U496" s="2">
        <v>1</v>
      </c>
      <c r="V496" s="2" t="s">
        <v>42</v>
      </c>
      <c r="W496" s="2" t="s">
        <v>35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</row>
    <row r="497" spans="1:35" x14ac:dyDescent="0.25">
      <c r="A497" s="2">
        <v>27</v>
      </c>
      <c r="B497" s="2" t="s">
        <v>35</v>
      </c>
      <c r="C497" s="2" t="s">
        <v>36</v>
      </c>
      <c r="D497" s="2">
        <v>1420</v>
      </c>
      <c r="E497" s="2" t="s">
        <v>37</v>
      </c>
      <c r="F497" s="2">
        <v>2</v>
      </c>
      <c r="G497" s="2">
        <v>1</v>
      </c>
      <c r="H497" s="2" t="s">
        <v>59</v>
      </c>
      <c r="I497" s="2">
        <v>1</v>
      </c>
      <c r="J497" s="2">
        <v>667</v>
      </c>
      <c r="K497" s="2">
        <v>3</v>
      </c>
      <c r="L497" s="2" t="s">
        <v>46</v>
      </c>
      <c r="M497" s="2">
        <v>85</v>
      </c>
      <c r="N497" s="2">
        <v>3</v>
      </c>
      <c r="O497" s="2">
        <v>1</v>
      </c>
      <c r="P497" s="2" t="s">
        <v>57</v>
      </c>
      <c r="Q497" s="2">
        <v>1</v>
      </c>
      <c r="R497" s="2" t="s">
        <v>52</v>
      </c>
      <c r="S497" s="2">
        <v>3041</v>
      </c>
      <c r="T497" s="2">
        <v>16346</v>
      </c>
      <c r="U497" s="2">
        <v>0</v>
      </c>
      <c r="V497" s="2" t="s">
        <v>42</v>
      </c>
      <c r="W497" s="2" t="s">
        <v>43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</row>
    <row r="498" spans="1:35" x14ac:dyDescent="0.25">
      <c r="A498" s="2">
        <v>21</v>
      </c>
      <c r="B498" s="2" t="s">
        <v>43</v>
      </c>
      <c r="C498" s="2" t="s">
        <v>36</v>
      </c>
      <c r="D498" s="2">
        <v>1343</v>
      </c>
      <c r="E498" s="2" t="s">
        <v>37</v>
      </c>
      <c r="F498" s="2">
        <v>22</v>
      </c>
      <c r="G498" s="2">
        <v>1</v>
      </c>
      <c r="H498" s="2" t="s">
        <v>60</v>
      </c>
      <c r="I498" s="2">
        <v>1</v>
      </c>
      <c r="J498" s="2">
        <v>669</v>
      </c>
      <c r="K498" s="2">
        <v>3</v>
      </c>
      <c r="L498" s="2" t="s">
        <v>46</v>
      </c>
      <c r="M498" s="2">
        <v>49</v>
      </c>
      <c r="N498" s="2">
        <v>3</v>
      </c>
      <c r="O498" s="2">
        <v>1</v>
      </c>
      <c r="P498" s="2" t="s">
        <v>57</v>
      </c>
      <c r="Q498" s="2">
        <v>3</v>
      </c>
      <c r="R498" s="2" t="s">
        <v>41</v>
      </c>
      <c r="S498" s="2">
        <v>3447</v>
      </c>
      <c r="T498" s="2">
        <v>24444</v>
      </c>
      <c r="U498" s="2">
        <v>1</v>
      </c>
      <c r="V498" s="2" t="s">
        <v>42</v>
      </c>
      <c r="W498" s="2" t="s">
        <v>43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</row>
    <row r="499" spans="1:35" x14ac:dyDescent="0.25">
      <c r="A499" s="2">
        <v>44</v>
      </c>
      <c r="B499" s="2" t="s">
        <v>43</v>
      </c>
      <c r="C499" s="2" t="s">
        <v>36</v>
      </c>
      <c r="D499" s="2">
        <v>1315</v>
      </c>
      <c r="E499" s="2" t="s">
        <v>45</v>
      </c>
      <c r="F499" s="2">
        <v>3</v>
      </c>
      <c r="G499" s="2">
        <v>4</v>
      </c>
      <c r="H499" s="2" t="s">
        <v>49</v>
      </c>
      <c r="I499" s="2">
        <v>1</v>
      </c>
      <c r="J499" s="2">
        <v>671</v>
      </c>
      <c r="K499" s="2">
        <v>4</v>
      </c>
      <c r="L499" s="2" t="s">
        <v>46</v>
      </c>
      <c r="M499" s="2">
        <v>35</v>
      </c>
      <c r="N499" s="2">
        <v>3</v>
      </c>
      <c r="O499" s="2">
        <v>5</v>
      </c>
      <c r="P499" s="2" t="s">
        <v>56</v>
      </c>
      <c r="Q499" s="2">
        <v>4</v>
      </c>
      <c r="R499" s="2" t="s">
        <v>48</v>
      </c>
      <c r="S499" s="2">
        <v>19513</v>
      </c>
      <c r="T499" s="2">
        <v>9358</v>
      </c>
      <c r="U499" s="2">
        <v>4</v>
      </c>
      <c r="V499" s="2" t="s">
        <v>42</v>
      </c>
      <c r="W499" s="2" t="s">
        <v>35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</row>
    <row r="500" spans="1:35" x14ac:dyDescent="0.25">
      <c r="A500" s="2">
        <v>22</v>
      </c>
      <c r="B500" s="2" t="s">
        <v>43</v>
      </c>
      <c r="C500" s="2" t="s">
        <v>36</v>
      </c>
      <c r="D500" s="2">
        <v>604</v>
      </c>
      <c r="E500" s="2" t="s">
        <v>45</v>
      </c>
      <c r="F500" s="2">
        <v>6</v>
      </c>
      <c r="G500" s="2">
        <v>1</v>
      </c>
      <c r="H500" s="2" t="s">
        <v>51</v>
      </c>
      <c r="I500" s="2">
        <v>1</v>
      </c>
      <c r="J500" s="2">
        <v>675</v>
      </c>
      <c r="K500" s="2">
        <v>1</v>
      </c>
      <c r="L500" s="2" t="s">
        <v>46</v>
      </c>
      <c r="M500" s="2">
        <v>69</v>
      </c>
      <c r="N500" s="2">
        <v>3</v>
      </c>
      <c r="O500" s="2">
        <v>1</v>
      </c>
      <c r="P500" s="2" t="s">
        <v>47</v>
      </c>
      <c r="Q500" s="2">
        <v>3</v>
      </c>
      <c r="R500" s="2" t="s">
        <v>48</v>
      </c>
      <c r="S500" s="2">
        <v>2773</v>
      </c>
      <c r="T500" s="2">
        <v>12145</v>
      </c>
      <c r="U500" s="2">
        <v>0</v>
      </c>
      <c r="V500" s="2" t="s">
        <v>42</v>
      </c>
      <c r="W500" s="2" t="s">
        <v>43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</row>
    <row r="501" spans="1:35" x14ac:dyDescent="0.25">
      <c r="A501" s="2">
        <v>33</v>
      </c>
      <c r="B501" s="2" t="s">
        <v>43</v>
      </c>
      <c r="C501" s="2" t="s">
        <v>36</v>
      </c>
      <c r="D501" s="2">
        <v>1216</v>
      </c>
      <c r="E501" s="2" t="s">
        <v>37</v>
      </c>
      <c r="F501" s="2">
        <v>8</v>
      </c>
      <c r="G501" s="2">
        <v>4</v>
      </c>
      <c r="H501" s="2" t="s">
        <v>59</v>
      </c>
      <c r="I501" s="2">
        <v>1</v>
      </c>
      <c r="J501" s="2">
        <v>677</v>
      </c>
      <c r="K501" s="2">
        <v>3</v>
      </c>
      <c r="L501" s="2" t="s">
        <v>46</v>
      </c>
      <c r="M501" s="2">
        <v>39</v>
      </c>
      <c r="N501" s="2">
        <v>3</v>
      </c>
      <c r="O501" s="2">
        <v>2</v>
      </c>
      <c r="P501" s="2" t="s">
        <v>40</v>
      </c>
      <c r="Q501" s="2">
        <v>3</v>
      </c>
      <c r="R501" s="2" t="s">
        <v>52</v>
      </c>
      <c r="S501" s="2">
        <v>7104</v>
      </c>
      <c r="T501" s="2">
        <v>20431</v>
      </c>
      <c r="U501" s="2">
        <v>0</v>
      </c>
      <c r="V501" s="2" t="s">
        <v>42</v>
      </c>
      <c r="W501" s="2" t="s">
        <v>43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</row>
    <row r="502" spans="1:35" x14ac:dyDescent="0.25">
      <c r="A502" s="2">
        <v>32</v>
      </c>
      <c r="B502" s="2" t="s">
        <v>43</v>
      </c>
      <c r="C502" s="2" t="s">
        <v>36</v>
      </c>
      <c r="D502" s="2">
        <v>646</v>
      </c>
      <c r="E502" s="2" t="s">
        <v>45</v>
      </c>
      <c r="F502" s="2">
        <v>9</v>
      </c>
      <c r="G502" s="2">
        <v>4</v>
      </c>
      <c r="H502" s="2" t="s">
        <v>38</v>
      </c>
      <c r="I502" s="2">
        <v>1</v>
      </c>
      <c r="J502" s="2">
        <v>679</v>
      </c>
      <c r="K502" s="2">
        <v>1</v>
      </c>
      <c r="L502" s="2" t="s">
        <v>39</v>
      </c>
      <c r="M502" s="2">
        <v>92</v>
      </c>
      <c r="N502" s="2">
        <v>3</v>
      </c>
      <c r="O502" s="2">
        <v>2</v>
      </c>
      <c r="P502" s="2" t="s">
        <v>47</v>
      </c>
      <c r="Q502" s="2">
        <v>4</v>
      </c>
      <c r="R502" s="2" t="s">
        <v>48</v>
      </c>
      <c r="S502" s="2">
        <v>6322</v>
      </c>
      <c r="T502" s="2">
        <v>18089</v>
      </c>
      <c r="U502" s="2">
        <v>1</v>
      </c>
      <c r="V502" s="2" t="s">
        <v>42</v>
      </c>
      <c r="W502" s="2" t="s">
        <v>35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</row>
    <row r="503" spans="1:35" x14ac:dyDescent="0.25">
      <c r="A503" s="2">
        <v>30</v>
      </c>
      <c r="B503" s="2" t="s">
        <v>43</v>
      </c>
      <c r="C503" s="2" t="s">
        <v>44</v>
      </c>
      <c r="D503" s="2">
        <v>160</v>
      </c>
      <c r="E503" s="2" t="s">
        <v>45</v>
      </c>
      <c r="F503" s="2">
        <v>3</v>
      </c>
      <c r="G503" s="2">
        <v>3</v>
      </c>
      <c r="H503" s="2" t="s">
        <v>51</v>
      </c>
      <c r="I503" s="2">
        <v>1</v>
      </c>
      <c r="J503" s="2">
        <v>680</v>
      </c>
      <c r="K503" s="2">
        <v>3</v>
      </c>
      <c r="L503" s="2" t="s">
        <v>39</v>
      </c>
      <c r="M503" s="2">
        <v>71</v>
      </c>
      <c r="N503" s="2">
        <v>3</v>
      </c>
      <c r="O503" s="2">
        <v>1</v>
      </c>
      <c r="P503" s="2" t="s">
        <v>47</v>
      </c>
      <c r="Q503" s="2">
        <v>3</v>
      </c>
      <c r="R503" s="2" t="s">
        <v>52</v>
      </c>
      <c r="S503" s="2">
        <v>2083</v>
      </c>
      <c r="T503" s="2">
        <v>22653</v>
      </c>
      <c r="U503" s="2">
        <v>1</v>
      </c>
      <c r="V503" s="2" t="s">
        <v>42</v>
      </c>
      <c r="W503" s="2" t="s">
        <v>43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</row>
    <row r="504" spans="1:35" x14ac:dyDescent="0.25">
      <c r="A504" s="2">
        <v>53</v>
      </c>
      <c r="B504" s="2" t="s">
        <v>43</v>
      </c>
      <c r="C504" s="2" t="s">
        <v>36</v>
      </c>
      <c r="D504" s="2">
        <v>238</v>
      </c>
      <c r="E504" s="2" t="s">
        <v>37</v>
      </c>
      <c r="F504" s="2">
        <v>1</v>
      </c>
      <c r="G504" s="2">
        <v>1</v>
      </c>
      <c r="H504" s="2" t="s">
        <v>51</v>
      </c>
      <c r="I504" s="2">
        <v>1</v>
      </c>
      <c r="J504" s="2">
        <v>682</v>
      </c>
      <c r="K504" s="2">
        <v>4</v>
      </c>
      <c r="L504" s="2" t="s">
        <v>39</v>
      </c>
      <c r="M504" s="2">
        <v>34</v>
      </c>
      <c r="N504" s="2">
        <v>3</v>
      </c>
      <c r="O504" s="2">
        <v>2</v>
      </c>
      <c r="P504" s="2" t="s">
        <v>40</v>
      </c>
      <c r="Q504" s="2">
        <v>1</v>
      </c>
      <c r="R504" s="2" t="s">
        <v>41</v>
      </c>
      <c r="S504" s="2">
        <v>8381</v>
      </c>
      <c r="T504" s="2">
        <v>7507</v>
      </c>
      <c r="U504" s="2">
        <v>7</v>
      </c>
      <c r="V504" s="2" t="s">
        <v>42</v>
      </c>
      <c r="W504" s="2" t="s">
        <v>43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</row>
    <row r="505" spans="1:35" x14ac:dyDescent="0.25">
      <c r="A505" s="2">
        <v>34</v>
      </c>
      <c r="B505" s="2" t="s">
        <v>43</v>
      </c>
      <c r="C505" s="2" t="s">
        <v>36</v>
      </c>
      <c r="D505" s="2">
        <v>1397</v>
      </c>
      <c r="E505" s="2" t="s">
        <v>45</v>
      </c>
      <c r="F505" s="2">
        <v>1</v>
      </c>
      <c r="G505" s="2">
        <v>5</v>
      </c>
      <c r="H505" s="2" t="s">
        <v>38</v>
      </c>
      <c r="I505" s="2">
        <v>1</v>
      </c>
      <c r="J505" s="2">
        <v>683</v>
      </c>
      <c r="K505" s="2">
        <v>2</v>
      </c>
      <c r="L505" s="2" t="s">
        <v>46</v>
      </c>
      <c r="M505" s="2">
        <v>42</v>
      </c>
      <c r="N505" s="2">
        <v>3</v>
      </c>
      <c r="O505" s="2">
        <v>1</v>
      </c>
      <c r="P505" s="2" t="s">
        <v>47</v>
      </c>
      <c r="Q505" s="2">
        <v>4</v>
      </c>
      <c r="R505" s="2" t="s">
        <v>48</v>
      </c>
      <c r="S505" s="2">
        <v>2691</v>
      </c>
      <c r="T505" s="2">
        <v>7660</v>
      </c>
      <c r="U505" s="2">
        <v>1</v>
      </c>
      <c r="V505" s="2" t="s">
        <v>42</v>
      </c>
      <c r="W505" s="2" t="s">
        <v>43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</row>
    <row r="506" spans="1:35" x14ac:dyDescent="0.25">
      <c r="A506" s="2">
        <v>45</v>
      </c>
      <c r="B506" s="2" t="s">
        <v>35</v>
      </c>
      <c r="C506" s="2" t="s">
        <v>44</v>
      </c>
      <c r="D506" s="2">
        <v>306</v>
      </c>
      <c r="E506" s="2" t="s">
        <v>37</v>
      </c>
      <c r="F506" s="2">
        <v>26</v>
      </c>
      <c r="G506" s="2">
        <v>4</v>
      </c>
      <c r="H506" s="2" t="s">
        <v>38</v>
      </c>
      <c r="I506" s="2">
        <v>1</v>
      </c>
      <c r="J506" s="2">
        <v>684</v>
      </c>
      <c r="K506" s="2">
        <v>1</v>
      </c>
      <c r="L506" s="2" t="s">
        <v>39</v>
      </c>
      <c r="M506" s="2">
        <v>100</v>
      </c>
      <c r="N506" s="2">
        <v>3</v>
      </c>
      <c r="O506" s="2">
        <v>2</v>
      </c>
      <c r="P506" s="2" t="s">
        <v>40</v>
      </c>
      <c r="Q506" s="2">
        <v>1</v>
      </c>
      <c r="R506" s="2" t="s">
        <v>48</v>
      </c>
      <c r="S506" s="2">
        <v>4286</v>
      </c>
      <c r="T506" s="2">
        <v>5630</v>
      </c>
      <c r="U506" s="2">
        <v>2</v>
      </c>
      <c r="V506" s="2" t="s">
        <v>42</v>
      </c>
      <c r="W506" s="2" t="s">
        <v>43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</row>
    <row r="507" spans="1:35" x14ac:dyDescent="0.25">
      <c r="A507" s="2">
        <v>26</v>
      </c>
      <c r="B507" s="2" t="s">
        <v>43</v>
      </c>
      <c r="C507" s="2" t="s">
        <v>36</v>
      </c>
      <c r="D507" s="2">
        <v>991</v>
      </c>
      <c r="E507" s="2" t="s">
        <v>45</v>
      </c>
      <c r="F507" s="2">
        <v>6</v>
      </c>
      <c r="G507" s="2">
        <v>3</v>
      </c>
      <c r="H507" s="2" t="s">
        <v>38</v>
      </c>
      <c r="I507" s="2">
        <v>1</v>
      </c>
      <c r="J507" s="2">
        <v>686</v>
      </c>
      <c r="K507" s="2">
        <v>3</v>
      </c>
      <c r="L507" s="2" t="s">
        <v>39</v>
      </c>
      <c r="M507" s="2">
        <v>71</v>
      </c>
      <c r="N507" s="2">
        <v>3</v>
      </c>
      <c r="O507" s="2">
        <v>1</v>
      </c>
      <c r="P507" s="2" t="s">
        <v>50</v>
      </c>
      <c r="Q507" s="2">
        <v>4</v>
      </c>
      <c r="R507" s="2" t="s">
        <v>48</v>
      </c>
      <c r="S507" s="2">
        <v>2659</v>
      </c>
      <c r="T507" s="2">
        <v>17759</v>
      </c>
      <c r="U507" s="2">
        <v>1</v>
      </c>
      <c r="V507" s="2" t="s">
        <v>42</v>
      </c>
      <c r="W507" s="2" t="s">
        <v>35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</row>
    <row r="508" spans="1:35" x14ac:dyDescent="0.25">
      <c r="A508" s="2">
        <v>37</v>
      </c>
      <c r="B508" s="2" t="s">
        <v>43</v>
      </c>
      <c r="C508" s="2" t="s">
        <v>36</v>
      </c>
      <c r="D508" s="2">
        <v>482</v>
      </c>
      <c r="E508" s="2" t="s">
        <v>45</v>
      </c>
      <c r="F508" s="2">
        <v>3</v>
      </c>
      <c r="G508" s="2">
        <v>3</v>
      </c>
      <c r="H508" s="2" t="s">
        <v>49</v>
      </c>
      <c r="I508" s="2">
        <v>1</v>
      </c>
      <c r="J508" s="2">
        <v>689</v>
      </c>
      <c r="K508" s="2">
        <v>3</v>
      </c>
      <c r="L508" s="2" t="s">
        <v>46</v>
      </c>
      <c r="M508" s="2">
        <v>36</v>
      </c>
      <c r="N508" s="2">
        <v>3</v>
      </c>
      <c r="O508" s="2">
        <v>3</v>
      </c>
      <c r="P508" s="2" t="s">
        <v>53</v>
      </c>
      <c r="Q508" s="2">
        <v>3</v>
      </c>
      <c r="R508" s="2" t="s">
        <v>48</v>
      </c>
      <c r="S508" s="2">
        <v>9434</v>
      </c>
      <c r="T508" s="2">
        <v>9606</v>
      </c>
      <c r="U508" s="2">
        <v>1</v>
      </c>
      <c r="V508" s="2" t="s">
        <v>42</v>
      </c>
      <c r="W508" s="2" t="s">
        <v>43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</row>
    <row r="509" spans="1:35" x14ac:dyDescent="0.25">
      <c r="A509" s="2">
        <v>29</v>
      </c>
      <c r="B509" s="2" t="s">
        <v>43</v>
      </c>
      <c r="C509" s="2" t="s">
        <v>36</v>
      </c>
      <c r="D509" s="2">
        <v>1176</v>
      </c>
      <c r="E509" s="2" t="s">
        <v>37</v>
      </c>
      <c r="F509" s="2">
        <v>3</v>
      </c>
      <c r="G509" s="2">
        <v>2</v>
      </c>
      <c r="H509" s="2" t="s">
        <v>51</v>
      </c>
      <c r="I509" s="2">
        <v>1</v>
      </c>
      <c r="J509" s="2">
        <v>690</v>
      </c>
      <c r="K509" s="2">
        <v>2</v>
      </c>
      <c r="L509" s="2" t="s">
        <v>39</v>
      </c>
      <c r="M509" s="2">
        <v>62</v>
      </c>
      <c r="N509" s="2">
        <v>3</v>
      </c>
      <c r="O509" s="2">
        <v>2</v>
      </c>
      <c r="P509" s="2" t="s">
        <v>40</v>
      </c>
      <c r="Q509" s="2">
        <v>3</v>
      </c>
      <c r="R509" s="2" t="s">
        <v>48</v>
      </c>
      <c r="S509" s="2">
        <v>5561</v>
      </c>
      <c r="T509" s="2">
        <v>3487</v>
      </c>
      <c r="U509" s="2">
        <v>1</v>
      </c>
      <c r="V509" s="2" t="s">
        <v>42</v>
      </c>
      <c r="W509" s="2" t="s">
        <v>43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</row>
    <row r="510" spans="1:35" x14ac:dyDescent="0.25">
      <c r="A510" s="2">
        <v>35</v>
      </c>
      <c r="B510" s="2" t="s">
        <v>43</v>
      </c>
      <c r="C510" s="2" t="s">
        <v>36</v>
      </c>
      <c r="D510" s="2">
        <v>1017</v>
      </c>
      <c r="E510" s="2" t="s">
        <v>45</v>
      </c>
      <c r="F510" s="2">
        <v>6</v>
      </c>
      <c r="G510" s="2">
        <v>4</v>
      </c>
      <c r="H510" s="2" t="s">
        <v>38</v>
      </c>
      <c r="I510" s="2">
        <v>1</v>
      </c>
      <c r="J510" s="2">
        <v>691</v>
      </c>
      <c r="K510" s="2">
        <v>2</v>
      </c>
      <c r="L510" s="2" t="s">
        <v>46</v>
      </c>
      <c r="M510" s="2">
        <v>82</v>
      </c>
      <c r="N510" s="2">
        <v>1</v>
      </c>
      <c r="O510" s="2">
        <v>2</v>
      </c>
      <c r="P510" s="2" t="s">
        <v>47</v>
      </c>
      <c r="Q510" s="2">
        <v>4</v>
      </c>
      <c r="R510" s="2" t="s">
        <v>41</v>
      </c>
      <c r="S510" s="2">
        <v>6646</v>
      </c>
      <c r="T510" s="2">
        <v>19368</v>
      </c>
      <c r="U510" s="2">
        <v>1</v>
      </c>
      <c r="V510" s="2" t="s">
        <v>42</v>
      </c>
      <c r="W510" s="2" t="s">
        <v>43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</row>
    <row r="511" spans="1:35" x14ac:dyDescent="0.25">
      <c r="A511" s="2">
        <v>33</v>
      </c>
      <c r="B511" s="2" t="s">
        <v>43</v>
      </c>
      <c r="C511" s="2" t="s">
        <v>44</v>
      </c>
      <c r="D511" s="2">
        <v>1296</v>
      </c>
      <c r="E511" s="2" t="s">
        <v>45</v>
      </c>
      <c r="F511" s="2">
        <v>6</v>
      </c>
      <c r="G511" s="2">
        <v>3</v>
      </c>
      <c r="H511" s="2" t="s">
        <v>38</v>
      </c>
      <c r="I511" s="2">
        <v>1</v>
      </c>
      <c r="J511" s="2">
        <v>692</v>
      </c>
      <c r="K511" s="2">
        <v>3</v>
      </c>
      <c r="L511" s="2" t="s">
        <v>46</v>
      </c>
      <c r="M511" s="2">
        <v>30</v>
      </c>
      <c r="N511" s="2">
        <v>3</v>
      </c>
      <c r="O511" s="2">
        <v>2</v>
      </c>
      <c r="P511" s="2" t="s">
        <v>54</v>
      </c>
      <c r="Q511" s="2">
        <v>4</v>
      </c>
      <c r="R511" s="2" t="s">
        <v>52</v>
      </c>
      <c r="S511" s="2">
        <v>7725</v>
      </c>
      <c r="T511" s="2">
        <v>5335</v>
      </c>
      <c r="U511" s="2">
        <v>3</v>
      </c>
      <c r="V511" s="2" t="s">
        <v>42</v>
      </c>
      <c r="W511" s="2" t="s">
        <v>43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</row>
    <row r="512" spans="1:35" x14ac:dyDescent="0.25">
      <c r="A512" s="2">
        <v>54</v>
      </c>
      <c r="B512" s="2" t="s">
        <v>43</v>
      </c>
      <c r="C512" s="2" t="s">
        <v>36</v>
      </c>
      <c r="D512" s="2">
        <v>397</v>
      </c>
      <c r="E512" s="2" t="s">
        <v>61</v>
      </c>
      <c r="F512" s="2">
        <v>19</v>
      </c>
      <c r="G512" s="2">
        <v>4</v>
      </c>
      <c r="H512" s="2" t="s">
        <v>51</v>
      </c>
      <c r="I512" s="2">
        <v>1</v>
      </c>
      <c r="J512" s="2">
        <v>698</v>
      </c>
      <c r="K512" s="2">
        <v>3</v>
      </c>
      <c r="L512" s="2" t="s">
        <v>46</v>
      </c>
      <c r="M512" s="2">
        <v>88</v>
      </c>
      <c r="N512" s="2">
        <v>3</v>
      </c>
      <c r="O512" s="2">
        <v>3</v>
      </c>
      <c r="P512" s="2" t="s">
        <v>61</v>
      </c>
      <c r="Q512" s="2">
        <v>2</v>
      </c>
      <c r="R512" s="2" t="s">
        <v>48</v>
      </c>
      <c r="S512" s="2">
        <v>10725</v>
      </c>
      <c r="T512" s="2">
        <v>6729</v>
      </c>
      <c r="U512" s="2">
        <v>2</v>
      </c>
      <c r="V512" s="2" t="s">
        <v>42</v>
      </c>
      <c r="W512" s="2" t="s">
        <v>43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</row>
    <row r="513" spans="1:35" x14ac:dyDescent="0.25">
      <c r="A513" s="2">
        <v>36</v>
      </c>
      <c r="B513" s="2" t="s">
        <v>43</v>
      </c>
      <c r="C513" s="2" t="s">
        <v>36</v>
      </c>
      <c r="D513" s="2">
        <v>913</v>
      </c>
      <c r="E513" s="2" t="s">
        <v>45</v>
      </c>
      <c r="F513" s="2">
        <v>9</v>
      </c>
      <c r="G513" s="2">
        <v>2</v>
      </c>
      <c r="H513" s="2" t="s">
        <v>51</v>
      </c>
      <c r="I513" s="2">
        <v>1</v>
      </c>
      <c r="J513" s="2">
        <v>699</v>
      </c>
      <c r="K513" s="2">
        <v>2</v>
      </c>
      <c r="L513" s="2" t="s">
        <v>46</v>
      </c>
      <c r="M513" s="2">
        <v>48</v>
      </c>
      <c r="N513" s="2">
        <v>2</v>
      </c>
      <c r="O513" s="2">
        <v>2</v>
      </c>
      <c r="P513" s="2" t="s">
        <v>53</v>
      </c>
      <c r="Q513" s="2">
        <v>2</v>
      </c>
      <c r="R513" s="2" t="s">
        <v>52</v>
      </c>
      <c r="S513" s="2">
        <v>8847</v>
      </c>
      <c r="T513" s="2">
        <v>13934</v>
      </c>
      <c r="U513" s="2">
        <v>2</v>
      </c>
      <c r="V513" s="2" t="s">
        <v>42</v>
      </c>
      <c r="W513" s="2" t="s">
        <v>35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</row>
    <row r="514" spans="1:35" x14ac:dyDescent="0.25">
      <c r="A514" s="2">
        <v>27</v>
      </c>
      <c r="B514" s="2" t="s">
        <v>43</v>
      </c>
      <c r="C514" s="2" t="s">
        <v>36</v>
      </c>
      <c r="D514" s="2">
        <v>1115</v>
      </c>
      <c r="E514" s="2" t="s">
        <v>45</v>
      </c>
      <c r="F514" s="2">
        <v>3</v>
      </c>
      <c r="G514" s="2">
        <v>4</v>
      </c>
      <c r="H514" s="2" t="s">
        <v>51</v>
      </c>
      <c r="I514" s="2">
        <v>1</v>
      </c>
      <c r="J514" s="2">
        <v>700</v>
      </c>
      <c r="K514" s="2">
        <v>1</v>
      </c>
      <c r="L514" s="2" t="s">
        <v>46</v>
      </c>
      <c r="M514" s="2">
        <v>54</v>
      </c>
      <c r="N514" s="2">
        <v>2</v>
      </c>
      <c r="O514" s="2">
        <v>1</v>
      </c>
      <c r="P514" s="2" t="s">
        <v>47</v>
      </c>
      <c r="Q514" s="2">
        <v>4</v>
      </c>
      <c r="R514" s="2" t="s">
        <v>41</v>
      </c>
      <c r="S514" s="2">
        <v>2045</v>
      </c>
      <c r="T514" s="2">
        <v>15174</v>
      </c>
      <c r="U514" s="2">
        <v>0</v>
      </c>
      <c r="V514" s="2" t="s">
        <v>42</v>
      </c>
      <c r="W514" s="2" t="s">
        <v>43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</row>
    <row r="515" spans="1:35" x14ac:dyDescent="0.25">
      <c r="A515" s="2">
        <v>20</v>
      </c>
      <c r="B515" s="2" t="s">
        <v>35</v>
      </c>
      <c r="C515" s="2" t="s">
        <v>36</v>
      </c>
      <c r="D515" s="2">
        <v>1362</v>
      </c>
      <c r="E515" s="2" t="s">
        <v>45</v>
      </c>
      <c r="F515" s="2">
        <v>10</v>
      </c>
      <c r="G515" s="2">
        <v>1</v>
      </c>
      <c r="H515" s="2" t="s">
        <v>51</v>
      </c>
      <c r="I515" s="2">
        <v>1</v>
      </c>
      <c r="J515" s="2">
        <v>701</v>
      </c>
      <c r="K515" s="2">
        <v>4</v>
      </c>
      <c r="L515" s="2" t="s">
        <v>46</v>
      </c>
      <c r="M515" s="2">
        <v>32</v>
      </c>
      <c r="N515" s="2">
        <v>3</v>
      </c>
      <c r="O515" s="2">
        <v>1</v>
      </c>
      <c r="P515" s="2" t="s">
        <v>47</v>
      </c>
      <c r="Q515" s="2">
        <v>3</v>
      </c>
      <c r="R515" s="2" t="s">
        <v>41</v>
      </c>
      <c r="S515" s="2">
        <v>1009</v>
      </c>
      <c r="T515" s="2">
        <v>26999</v>
      </c>
      <c r="U515" s="2">
        <v>1</v>
      </c>
      <c r="V515" s="2" t="s">
        <v>42</v>
      </c>
      <c r="W515" s="2" t="s">
        <v>35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</row>
    <row r="516" spans="1:35" x14ac:dyDescent="0.25">
      <c r="A516" s="2">
        <v>33</v>
      </c>
      <c r="B516" s="2" t="s">
        <v>35</v>
      </c>
      <c r="C516" s="2" t="s">
        <v>44</v>
      </c>
      <c r="D516" s="2">
        <v>1076</v>
      </c>
      <c r="E516" s="2" t="s">
        <v>45</v>
      </c>
      <c r="F516" s="2">
        <v>3</v>
      </c>
      <c r="G516" s="2">
        <v>3</v>
      </c>
      <c r="H516" s="2" t="s">
        <v>38</v>
      </c>
      <c r="I516" s="2">
        <v>1</v>
      </c>
      <c r="J516" s="2">
        <v>702</v>
      </c>
      <c r="K516" s="2">
        <v>1</v>
      </c>
      <c r="L516" s="2" t="s">
        <v>46</v>
      </c>
      <c r="M516" s="2">
        <v>70</v>
      </c>
      <c r="N516" s="2">
        <v>3</v>
      </c>
      <c r="O516" s="2">
        <v>1</v>
      </c>
      <c r="P516" s="2" t="s">
        <v>47</v>
      </c>
      <c r="Q516" s="2">
        <v>1</v>
      </c>
      <c r="R516" s="2" t="s">
        <v>41</v>
      </c>
      <c r="S516" s="2">
        <v>3348</v>
      </c>
      <c r="T516" s="2">
        <v>3164</v>
      </c>
      <c r="U516" s="2">
        <v>1</v>
      </c>
      <c r="V516" s="2" t="s">
        <v>42</v>
      </c>
      <c r="W516" s="2" t="s">
        <v>35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</row>
    <row r="517" spans="1:35" x14ac:dyDescent="0.25">
      <c r="A517" s="2">
        <v>35</v>
      </c>
      <c r="B517" s="2" t="s">
        <v>43</v>
      </c>
      <c r="C517" s="2" t="s">
        <v>55</v>
      </c>
      <c r="D517" s="2">
        <v>727</v>
      </c>
      <c r="E517" s="2" t="s">
        <v>45</v>
      </c>
      <c r="F517" s="2">
        <v>3</v>
      </c>
      <c r="G517" s="2">
        <v>3</v>
      </c>
      <c r="H517" s="2" t="s">
        <v>38</v>
      </c>
      <c r="I517" s="2">
        <v>1</v>
      </c>
      <c r="J517" s="2">
        <v>704</v>
      </c>
      <c r="K517" s="2">
        <v>3</v>
      </c>
      <c r="L517" s="2" t="s">
        <v>46</v>
      </c>
      <c r="M517" s="2">
        <v>41</v>
      </c>
      <c r="N517" s="2">
        <v>2</v>
      </c>
      <c r="O517" s="2">
        <v>1</v>
      </c>
      <c r="P517" s="2" t="s">
        <v>50</v>
      </c>
      <c r="Q517" s="2">
        <v>3</v>
      </c>
      <c r="R517" s="2" t="s">
        <v>48</v>
      </c>
      <c r="S517" s="2">
        <v>1281</v>
      </c>
      <c r="T517" s="2">
        <v>16900</v>
      </c>
      <c r="U517" s="2">
        <v>1</v>
      </c>
      <c r="V517" s="2" t="s">
        <v>42</v>
      </c>
      <c r="W517" s="2" t="s">
        <v>43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</row>
    <row r="518" spans="1:35" x14ac:dyDescent="0.25">
      <c r="A518" s="2">
        <v>23</v>
      </c>
      <c r="B518" s="2" t="s">
        <v>43</v>
      </c>
      <c r="C518" s="2" t="s">
        <v>36</v>
      </c>
      <c r="D518" s="2">
        <v>885</v>
      </c>
      <c r="E518" s="2" t="s">
        <v>45</v>
      </c>
      <c r="F518" s="2">
        <v>4</v>
      </c>
      <c r="G518" s="2">
        <v>3</v>
      </c>
      <c r="H518" s="2" t="s">
        <v>51</v>
      </c>
      <c r="I518" s="2">
        <v>1</v>
      </c>
      <c r="J518" s="2">
        <v>705</v>
      </c>
      <c r="K518" s="2">
        <v>1</v>
      </c>
      <c r="L518" s="2" t="s">
        <v>46</v>
      </c>
      <c r="M518" s="2">
        <v>58</v>
      </c>
      <c r="N518" s="2">
        <v>4</v>
      </c>
      <c r="O518" s="2">
        <v>1</v>
      </c>
      <c r="P518" s="2" t="s">
        <v>47</v>
      </c>
      <c r="Q518" s="2">
        <v>1</v>
      </c>
      <c r="R518" s="2" t="s">
        <v>48</v>
      </c>
      <c r="S518" s="2">
        <v>2819</v>
      </c>
      <c r="T518" s="2">
        <v>8544</v>
      </c>
      <c r="U518" s="2">
        <v>2</v>
      </c>
      <c r="V518" s="2" t="s">
        <v>42</v>
      </c>
      <c r="W518" s="2" t="s">
        <v>43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</row>
    <row r="519" spans="1:35" x14ac:dyDescent="0.25">
      <c r="A519" s="2">
        <v>25</v>
      </c>
      <c r="B519" s="2" t="s">
        <v>43</v>
      </c>
      <c r="C519" s="2" t="s">
        <v>36</v>
      </c>
      <c r="D519" s="2">
        <v>810</v>
      </c>
      <c r="E519" s="2" t="s">
        <v>37</v>
      </c>
      <c r="F519" s="2">
        <v>8</v>
      </c>
      <c r="G519" s="2">
        <v>3</v>
      </c>
      <c r="H519" s="2" t="s">
        <v>38</v>
      </c>
      <c r="I519" s="2">
        <v>1</v>
      </c>
      <c r="J519" s="2">
        <v>707</v>
      </c>
      <c r="K519" s="2">
        <v>4</v>
      </c>
      <c r="L519" s="2" t="s">
        <v>46</v>
      </c>
      <c r="M519" s="2">
        <v>57</v>
      </c>
      <c r="N519" s="2">
        <v>4</v>
      </c>
      <c r="O519" s="2">
        <v>2</v>
      </c>
      <c r="P519" s="2" t="s">
        <v>40</v>
      </c>
      <c r="Q519" s="2">
        <v>2</v>
      </c>
      <c r="R519" s="2" t="s">
        <v>48</v>
      </c>
      <c r="S519" s="2">
        <v>4851</v>
      </c>
      <c r="T519" s="2">
        <v>15678</v>
      </c>
      <c r="U519" s="2">
        <v>0</v>
      </c>
      <c r="V519" s="2" t="s">
        <v>42</v>
      </c>
      <c r="W519" s="2" t="s">
        <v>43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</row>
    <row r="520" spans="1:35" x14ac:dyDescent="0.25">
      <c r="A520" s="2">
        <v>38</v>
      </c>
      <c r="B520" s="2" t="s">
        <v>43</v>
      </c>
      <c r="C520" s="2" t="s">
        <v>36</v>
      </c>
      <c r="D520" s="2">
        <v>243</v>
      </c>
      <c r="E520" s="2" t="s">
        <v>37</v>
      </c>
      <c r="F520" s="2">
        <v>7</v>
      </c>
      <c r="G520" s="2">
        <v>4</v>
      </c>
      <c r="H520" s="2" t="s">
        <v>59</v>
      </c>
      <c r="I520" s="2">
        <v>1</v>
      </c>
      <c r="J520" s="2">
        <v>709</v>
      </c>
      <c r="K520" s="2">
        <v>4</v>
      </c>
      <c r="L520" s="2" t="s">
        <v>39</v>
      </c>
      <c r="M520" s="2">
        <v>46</v>
      </c>
      <c r="N520" s="2">
        <v>2</v>
      </c>
      <c r="O520" s="2">
        <v>2</v>
      </c>
      <c r="P520" s="2" t="s">
        <v>40</v>
      </c>
      <c r="Q520" s="2">
        <v>4</v>
      </c>
      <c r="R520" s="2" t="s">
        <v>41</v>
      </c>
      <c r="S520" s="2">
        <v>4028</v>
      </c>
      <c r="T520" s="2">
        <v>7791</v>
      </c>
      <c r="U520" s="2">
        <v>0</v>
      </c>
      <c r="V520" s="2" t="s">
        <v>42</v>
      </c>
      <c r="W520" s="2" t="s">
        <v>43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</row>
    <row r="521" spans="1:35" x14ac:dyDescent="0.25">
      <c r="A521" s="2">
        <v>29</v>
      </c>
      <c r="B521" s="2" t="s">
        <v>43</v>
      </c>
      <c r="C521" s="2" t="s">
        <v>44</v>
      </c>
      <c r="D521" s="2">
        <v>806</v>
      </c>
      <c r="E521" s="2" t="s">
        <v>45</v>
      </c>
      <c r="F521" s="2">
        <v>1</v>
      </c>
      <c r="G521" s="2">
        <v>4</v>
      </c>
      <c r="H521" s="2" t="s">
        <v>38</v>
      </c>
      <c r="I521" s="2">
        <v>1</v>
      </c>
      <c r="J521" s="2">
        <v>710</v>
      </c>
      <c r="K521" s="2">
        <v>2</v>
      </c>
      <c r="L521" s="2" t="s">
        <v>46</v>
      </c>
      <c r="M521" s="2">
        <v>76</v>
      </c>
      <c r="N521" s="2">
        <v>1</v>
      </c>
      <c r="O521" s="2">
        <v>1</v>
      </c>
      <c r="P521" s="2" t="s">
        <v>47</v>
      </c>
      <c r="Q521" s="2">
        <v>4</v>
      </c>
      <c r="R521" s="2" t="s">
        <v>52</v>
      </c>
      <c r="S521" s="2">
        <v>2720</v>
      </c>
      <c r="T521" s="2">
        <v>18959</v>
      </c>
      <c r="U521" s="2">
        <v>1</v>
      </c>
      <c r="V521" s="2" t="s">
        <v>42</v>
      </c>
      <c r="W521" s="2" t="s">
        <v>43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</row>
    <row r="522" spans="1:35" x14ac:dyDescent="0.25">
      <c r="A522" s="2">
        <v>48</v>
      </c>
      <c r="B522" s="2" t="s">
        <v>43</v>
      </c>
      <c r="C522" s="2" t="s">
        <v>36</v>
      </c>
      <c r="D522" s="2">
        <v>817</v>
      </c>
      <c r="E522" s="2" t="s">
        <v>37</v>
      </c>
      <c r="F522" s="2">
        <v>2</v>
      </c>
      <c r="G522" s="2">
        <v>1</v>
      </c>
      <c r="H522" s="2" t="s">
        <v>59</v>
      </c>
      <c r="I522" s="2">
        <v>1</v>
      </c>
      <c r="J522" s="2">
        <v>712</v>
      </c>
      <c r="K522" s="2">
        <v>2</v>
      </c>
      <c r="L522" s="2" t="s">
        <v>46</v>
      </c>
      <c r="M522" s="2">
        <v>56</v>
      </c>
      <c r="N522" s="2">
        <v>4</v>
      </c>
      <c r="O522" s="2">
        <v>2</v>
      </c>
      <c r="P522" s="2" t="s">
        <v>40</v>
      </c>
      <c r="Q522" s="2">
        <v>2</v>
      </c>
      <c r="R522" s="2" t="s">
        <v>48</v>
      </c>
      <c r="S522" s="2">
        <v>8120</v>
      </c>
      <c r="T522" s="2">
        <v>18597</v>
      </c>
      <c r="U522" s="2">
        <v>3</v>
      </c>
      <c r="V522" s="2" t="s">
        <v>42</v>
      </c>
      <c r="W522" s="2" t="s">
        <v>43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</row>
    <row r="523" spans="1:35" x14ac:dyDescent="0.25">
      <c r="A523" s="2">
        <v>27</v>
      </c>
      <c r="B523" s="2" t="s">
        <v>43</v>
      </c>
      <c r="C523" s="2" t="s">
        <v>44</v>
      </c>
      <c r="D523" s="2">
        <v>1410</v>
      </c>
      <c r="E523" s="2" t="s">
        <v>37</v>
      </c>
      <c r="F523" s="2">
        <v>3</v>
      </c>
      <c r="G523" s="2">
        <v>1</v>
      </c>
      <c r="H523" s="2" t="s">
        <v>51</v>
      </c>
      <c r="I523" s="2">
        <v>1</v>
      </c>
      <c r="J523" s="2">
        <v>714</v>
      </c>
      <c r="K523" s="2">
        <v>4</v>
      </c>
      <c r="L523" s="2" t="s">
        <v>39</v>
      </c>
      <c r="M523" s="2">
        <v>71</v>
      </c>
      <c r="N523" s="2">
        <v>4</v>
      </c>
      <c r="O523" s="2">
        <v>2</v>
      </c>
      <c r="P523" s="2" t="s">
        <v>40</v>
      </c>
      <c r="Q523" s="2">
        <v>4</v>
      </c>
      <c r="R523" s="2" t="s">
        <v>52</v>
      </c>
      <c r="S523" s="2">
        <v>4647</v>
      </c>
      <c r="T523" s="2">
        <v>16673</v>
      </c>
      <c r="U523" s="2">
        <v>1</v>
      </c>
      <c r="V523" s="2" t="s">
        <v>42</v>
      </c>
      <c r="W523" s="2" t="s">
        <v>35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</row>
    <row r="524" spans="1:35" x14ac:dyDescent="0.25">
      <c r="A524" s="2">
        <v>37</v>
      </c>
      <c r="B524" s="2" t="s">
        <v>43</v>
      </c>
      <c r="C524" s="2" t="s">
        <v>36</v>
      </c>
      <c r="D524" s="2">
        <v>1225</v>
      </c>
      <c r="E524" s="2" t="s">
        <v>45</v>
      </c>
      <c r="F524" s="2">
        <v>10</v>
      </c>
      <c r="G524" s="2">
        <v>2</v>
      </c>
      <c r="H524" s="2" t="s">
        <v>38</v>
      </c>
      <c r="I524" s="2">
        <v>1</v>
      </c>
      <c r="J524" s="2">
        <v>715</v>
      </c>
      <c r="K524" s="2">
        <v>4</v>
      </c>
      <c r="L524" s="2" t="s">
        <v>46</v>
      </c>
      <c r="M524" s="2">
        <v>80</v>
      </c>
      <c r="N524" s="2">
        <v>4</v>
      </c>
      <c r="O524" s="2">
        <v>1</v>
      </c>
      <c r="P524" s="2" t="s">
        <v>47</v>
      </c>
      <c r="Q524" s="2">
        <v>4</v>
      </c>
      <c r="R524" s="2" t="s">
        <v>41</v>
      </c>
      <c r="S524" s="2">
        <v>4680</v>
      </c>
      <c r="T524" s="2">
        <v>15232</v>
      </c>
      <c r="U524" s="2">
        <v>3</v>
      </c>
      <c r="V524" s="2" t="s">
        <v>42</v>
      </c>
      <c r="W524" s="2" t="s">
        <v>43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</row>
    <row r="525" spans="1:35" x14ac:dyDescent="0.25">
      <c r="A525" s="2">
        <v>50</v>
      </c>
      <c r="B525" s="2" t="s">
        <v>43</v>
      </c>
      <c r="C525" s="2" t="s">
        <v>36</v>
      </c>
      <c r="D525" s="2">
        <v>1207</v>
      </c>
      <c r="E525" s="2" t="s">
        <v>45</v>
      </c>
      <c r="F525" s="2">
        <v>28</v>
      </c>
      <c r="G525" s="2">
        <v>1</v>
      </c>
      <c r="H525" s="2" t="s">
        <v>51</v>
      </c>
      <c r="I525" s="2">
        <v>1</v>
      </c>
      <c r="J525" s="2">
        <v>716</v>
      </c>
      <c r="K525" s="2">
        <v>4</v>
      </c>
      <c r="L525" s="2" t="s">
        <v>46</v>
      </c>
      <c r="M525" s="2">
        <v>74</v>
      </c>
      <c r="N525" s="2">
        <v>4</v>
      </c>
      <c r="O525" s="2">
        <v>1</v>
      </c>
      <c r="P525" s="2" t="s">
        <v>50</v>
      </c>
      <c r="Q525" s="2">
        <v>3</v>
      </c>
      <c r="R525" s="2" t="s">
        <v>48</v>
      </c>
      <c r="S525" s="2">
        <v>3221</v>
      </c>
      <c r="T525" s="2">
        <v>3297</v>
      </c>
      <c r="U525" s="2">
        <v>1</v>
      </c>
      <c r="V525" s="2" t="s">
        <v>42</v>
      </c>
      <c r="W525" s="2" t="s">
        <v>35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</row>
    <row r="526" spans="1:35" x14ac:dyDescent="0.25">
      <c r="A526" s="2">
        <v>34</v>
      </c>
      <c r="B526" s="2" t="s">
        <v>43</v>
      </c>
      <c r="C526" s="2" t="s">
        <v>36</v>
      </c>
      <c r="D526" s="2">
        <v>1442</v>
      </c>
      <c r="E526" s="2" t="s">
        <v>45</v>
      </c>
      <c r="F526" s="2">
        <v>9</v>
      </c>
      <c r="G526" s="2">
        <v>3</v>
      </c>
      <c r="H526" s="2" t="s">
        <v>51</v>
      </c>
      <c r="I526" s="2">
        <v>1</v>
      </c>
      <c r="J526" s="2">
        <v>717</v>
      </c>
      <c r="K526" s="2">
        <v>4</v>
      </c>
      <c r="L526" s="2" t="s">
        <v>39</v>
      </c>
      <c r="M526" s="2">
        <v>46</v>
      </c>
      <c r="N526" s="2">
        <v>2</v>
      </c>
      <c r="O526" s="2">
        <v>3</v>
      </c>
      <c r="P526" s="2" t="s">
        <v>54</v>
      </c>
      <c r="Q526" s="2">
        <v>2</v>
      </c>
      <c r="R526" s="2" t="s">
        <v>41</v>
      </c>
      <c r="S526" s="2">
        <v>8621</v>
      </c>
      <c r="T526" s="2">
        <v>17654</v>
      </c>
      <c r="U526" s="2">
        <v>1</v>
      </c>
      <c r="V526" s="2" t="s">
        <v>42</v>
      </c>
      <c r="W526" s="2" t="s">
        <v>43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</row>
    <row r="527" spans="1:35" x14ac:dyDescent="0.25">
      <c r="A527" s="2">
        <v>24</v>
      </c>
      <c r="B527" s="2" t="s">
        <v>35</v>
      </c>
      <c r="C527" s="2" t="s">
        <v>36</v>
      </c>
      <c r="D527" s="2">
        <v>693</v>
      </c>
      <c r="E527" s="2" t="s">
        <v>37</v>
      </c>
      <c r="F527" s="2">
        <v>3</v>
      </c>
      <c r="G527" s="2">
        <v>2</v>
      </c>
      <c r="H527" s="2" t="s">
        <v>38</v>
      </c>
      <c r="I527" s="2">
        <v>1</v>
      </c>
      <c r="J527" s="2">
        <v>720</v>
      </c>
      <c r="K527" s="2">
        <v>1</v>
      </c>
      <c r="L527" s="2" t="s">
        <v>39</v>
      </c>
      <c r="M527" s="2">
        <v>65</v>
      </c>
      <c r="N527" s="2">
        <v>3</v>
      </c>
      <c r="O527" s="2">
        <v>2</v>
      </c>
      <c r="P527" s="2" t="s">
        <v>40</v>
      </c>
      <c r="Q527" s="2">
        <v>3</v>
      </c>
      <c r="R527" s="2" t="s">
        <v>41</v>
      </c>
      <c r="S527" s="2">
        <v>4577</v>
      </c>
      <c r="T527" s="2">
        <v>24785</v>
      </c>
      <c r="U527" s="2">
        <v>9</v>
      </c>
      <c r="V527" s="2" t="s">
        <v>42</v>
      </c>
      <c r="W527" s="2" t="s">
        <v>43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</row>
    <row r="528" spans="1:35" x14ac:dyDescent="0.25">
      <c r="A528" s="2">
        <v>39</v>
      </c>
      <c r="B528" s="2" t="s">
        <v>43</v>
      </c>
      <c r="C528" s="2" t="s">
        <v>36</v>
      </c>
      <c r="D528" s="2">
        <v>408</v>
      </c>
      <c r="E528" s="2" t="s">
        <v>45</v>
      </c>
      <c r="F528" s="2">
        <v>2</v>
      </c>
      <c r="G528" s="2">
        <v>4</v>
      </c>
      <c r="H528" s="2" t="s">
        <v>60</v>
      </c>
      <c r="I528" s="2">
        <v>1</v>
      </c>
      <c r="J528" s="2">
        <v>721</v>
      </c>
      <c r="K528" s="2">
        <v>4</v>
      </c>
      <c r="L528" s="2" t="s">
        <v>39</v>
      </c>
      <c r="M528" s="2">
        <v>80</v>
      </c>
      <c r="N528" s="2">
        <v>2</v>
      </c>
      <c r="O528" s="2">
        <v>2</v>
      </c>
      <c r="P528" s="2" t="s">
        <v>54</v>
      </c>
      <c r="Q528" s="2">
        <v>3</v>
      </c>
      <c r="R528" s="2" t="s">
        <v>41</v>
      </c>
      <c r="S528" s="2">
        <v>4553</v>
      </c>
      <c r="T528" s="2">
        <v>20978</v>
      </c>
      <c r="U528" s="2">
        <v>1</v>
      </c>
      <c r="V528" s="2" t="s">
        <v>42</v>
      </c>
      <c r="W528" s="2" t="s">
        <v>43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</row>
    <row r="529" spans="1:35" x14ac:dyDescent="0.25">
      <c r="A529" s="2">
        <v>32</v>
      </c>
      <c r="B529" s="2" t="s">
        <v>43</v>
      </c>
      <c r="C529" s="2" t="s">
        <v>36</v>
      </c>
      <c r="D529" s="2">
        <v>929</v>
      </c>
      <c r="E529" s="2" t="s">
        <v>37</v>
      </c>
      <c r="F529" s="2">
        <v>10</v>
      </c>
      <c r="G529" s="2">
        <v>3</v>
      </c>
      <c r="H529" s="2" t="s">
        <v>59</v>
      </c>
      <c r="I529" s="2">
        <v>1</v>
      </c>
      <c r="J529" s="2">
        <v>722</v>
      </c>
      <c r="K529" s="2">
        <v>4</v>
      </c>
      <c r="L529" s="2" t="s">
        <v>46</v>
      </c>
      <c r="M529" s="2">
        <v>55</v>
      </c>
      <c r="N529" s="2">
        <v>3</v>
      </c>
      <c r="O529" s="2">
        <v>2</v>
      </c>
      <c r="P529" s="2" t="s">
        <v>40</v>
      </c>
      <c r="Q529" s="2">
        <v>4</v>
      </c>
      <c r="R529" s="2" t="s">
        <v>41</v>
      </c>
      <c r="S529" s="2">
        <v>5396</v>
      </c>
      <c r="T529" s="2">
        <v>21703</v>
      </c>
      <c r="U529" s="2">
        <v>1</v>
      </c>
      <c r="V529" s="2" t="s">
        <v>42</v>
      </c>
      <c r="W529" s="2" t="s">
        <v>43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</row>
    <row r="530" spans="1:35" x14ac:dyDescent="0.25">
      <c r="A530" s="2">
        <v>50</v>
      </c>
      <c r="B530" s="2" t="s">
        <v>35</v>
      </c>
      <c r="C530" s="2" t="s">
        <v>44</v>
      </c>
      <c r="D530" s="2">
        <v>562</v>
      </c>
      <c r="E530" s="2" t="s">
        <v>37</v>
      </c>
      <c r="F530" s="2">
        <v>8</v>
      </c>
      <c r="G530" s="2">
        <v>2</v>
      </c>
      <c r="H530" s="2" t="s">
        <v>60</v>
      </c>
      <c r="I530" s="2">
        <v>1</v>
      </c>
      <c r="J530" s="2">
        <v>723</v>
      </c>
      <c r="K530" s="2">
        <v>2</v>
      </c>
      <c r="L530" s="2" t="s">
        <v>46</v>
      </c>
      <c r="M530" s="2">
        <v>50</v>
      </c>
      <c r="N530" s="2">
        <v>3</v>
      </c>
      <c r="O530" s="2">
        <v>2</v>
      </c>
      <c r="P530" s="2" t="s">
        <v>40</v>
      </c>
      <c r="Q530" s="2">
        <v>3</v>
      </c>
      <c r="R530" s="2" t="s">
        <v>48</v>
      </c>
      <c r="S530" s="2">
        <v>6796</v>
      </c>
      <c r="T530" s="2">
        <v>23452</v>
      </c>
      <c r="U530" s="2">
        <v>3</v>
      </c>
      <c r="V530" s="2" t="s">
        <v>42</v>
      </c>
      <c r="W530" s="2" t="s">
        <v>35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</row>
    <row r="531" spans="1:35" x14ac:dyDescent="0.25">
      <c r="A531" s="2">
        <v>38</v>
      </c>
      <c r="B531" s="2" t="s">
        <v>43</v>
      </c>
      <c r="C531" s="2" t="s">
        <v>36</v>
      </c>
      <c r="D531" s="2">
        <v>827</v>
      </c>
      <c r="E531" s="2" t="s">
        <v>45</v>
      </c>
      <c r="F531" s="2">
        <v>1</v>
      </c>
      <c r="G531" s="2">
        <v>4</v>
      </c>
      <c r="H531" s="2" t="s">
        <v>38</v>
      </c>
      <c r="I531" s="2">
        <v>1</v>
      </c>
      <c r="J531" s="2">
        <v>724</v>
      </c>
      <c r="K531" s="2">
        <v>2</v>
      </c>
      <c r="L531" s="2" t="s">
        <v>39</v>
      </c>
      <c r="M531" s="2">
        <v>33</v>
      </c>
      <c r="N531" s="2">
        <v>4</v>
      </c>
      <c r="O531" s="2">
        <v>2</v>
      </c>
      <c r="P531" s="2" t="s">
        <v>54</v>
      </c>
      <c r="Q531" s="2">
        <v>4</v>
      </c>
      <c r="R531" s="2" t="s">
        <v>41</v>
      </c>
      <c r="S531" s="2">
        <v>7625</v>
      </c>
      <c r="T531" s="2">
        <v>19383</v>
      </c>
      <c r="U531" s="2">
        <v>0</v>
      </c>
      <c r="V531" s="2" t="s">
        <v>42</v>
      </c>
      <c r="W531" s="2" t="s">
        <v>43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</row>
    <row r="532" spans="1:35" x14ac:dyDescent="0.25">
      <c r="A532" s="2">
        <v>27</v>
      </c>
      <c r="B532" s="2" t="s">
        <v>43</v>
      </c>
      <c r="C532" s="2" t="s">
        <v>36</v>
      </c>
      <c r="D532" s="2">
        <v>608</v>
      </c>
      <c r="E532" s="2" t="s">
        <v>45</v>
      </c>
      <c r="F532" s="2">
        <v>1</v>
      </c>
      <c r="G532" s="2">
        <v>2</v>
      </c>
      <c r="H532" s="2" t="s">
        <v>38</v>
      </c>
      <c r="I532" s="2">
        <v>1</v>
      </c>
      <c r="J532" s="2">
        <v>725</v>
      </c>
      <c r="K532" s="2">
        <v>3</v>
      </c>
      <c r="L532" s="2" t="s">
        <v>39</v>
      </c>
      <c r="M532" s="2">
        <v>68</v>
      </c>
      <c r="N532" s="2">
        <v>3</v>
      </c>
      <c r="O532" s="2">
        <v>3</v>
      </c>
      <c r="P532" s="2" t="s">
        <v>53</v>
      </c>
      <c r="Q532" s="2">
        <v>1</v>
      </c>
      <c r="R532" s="2" t="s">
        <v>48</v>
      </c>
      <c r="S532" s="2">
        <v>7412</v>
      </c>
      <c r="T532" s="2">
        <v>6009</v>
      </c>
      <c r="U532" s="2">
        <v>1</v>
      </c>
      <c r="V532" s="2" t="s">
        <v>42</v>
      </c>
      <c r="W532" s="2" t="s">
        <v>43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</row>
    <row r="533" spans="1:35" x14ac:dyDescent="0.25">
      <c r="A533" s="2">
        <v>32</v>
      </c>
      <c r="B533" s="2" t="s">
        <v>43</v>
      </c>
      <c r="C533" s="2" t="s">
        <v>36</v>
      </c>
      <c r="D533" s="2">
        <v>1018</v>
      </c>
      <c r="E533" s="2" t="s">
        <v>45</v>
      </c>
      <c r="F533" s="2">
        <v>3</v>
      </c>
      <c r="G533" s="2">
        <v>2</v>
      </c>
      <c r="H533" s="2" t="s">
        <v>38</v>
      </c>
      <c r="I533" s="2">
        <v>1</v>
      </c>
      <c r="J533" s="2">
        <v>727</v>
      </c>
      <c r="K533" s="2">
        <v>3</v>
      </c>
      <c r="L533" s="2" t="s">
        <v>39</v>
      </c>
      <c r="M533" s="2">
        <v>39</v>
      </c>
      <c r="N533" s="2">
        <v>3</v>
      </c>
      <c r="O533" s="2">
        <v>3</v>
      </c>
      <c r="P533" s="2" t="s">
        <v>58</v>
      </c>
      <c r="Q533" s="2">
        <v>4</v>
      </c>
      <c r="R533" s="2" t="s">
        <v>41</v>
      </c>
      <c r="S533" s="2">
        <v>11159</v>
      </c>
      <c r="T533" s="2">
        <v>19373</v>
      </c>
      <c r="U533" s="2">
        <v>3</v>
      </c>
      <c r="V533" s="2" t="s">
        <v>42</v>
      </c>
      <c r="W533" s="2" t="s">
        <v>43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</row>
    <row r="534" spans="1:35" x14ac:dyDescent="0.25">
      <c r="A534" s="2">
        <v>47</v>
      </c>
      <c r="B534" s="2" t="s">
        <v>43</v>
      </c>
      <c r="C534" s="2" t="s">
        <v>36</v>
      </c>
      <c r="D534" s="2">
        <v>703</v>
      </c>
      <c r="E534" s="2" t="s">
        <v>37</v>
      </c>
      <c r="F534" s="2">
        <v>14</v>
      </c>
      <c r="G534" s="2">
        <v>4</v>
      </c>
      <c r="H534" s="2" t="s">
        <v>59</v>
      </c>
      <c r="I534" s="2">
        <v>1</v>
      </c>
      <c r="J534" s="2">
        <v>728</v>
      </c>
      <c r="K534" s="2">
        <v>4</v>
      </c>
      <c r="L534" s="2" t="s">
        <v>46</v>
      </c>
      <c r="M534" s="2">
        <v>42</v>
      </c>
      <c r="N534" s="2">
        <v>3</v>
      </c>
      <c r="O534" s="2">
        <v>2</v>
      </c>
      <c r="P534" s="2" t="s">
        <v>40</v>
      </c>
      <c r="Q534" s="2">
        <v>1</v>
      </c>
      <c r="R534" s="2" t="s">
        <v>41</v>
      </c>
      <c r="S534" s="2">
        <v>4960</v>
      </c>
      <c r="T534" s="2">
        <v>11825</v>
      </c>
      <c r="U534" s="2">
        <v>2</v>
      </c>
      <c r="V534" s="2" t="s">
        <v>42</v>
      </c>
      <c r="W534" s="2" t="s">
        <v>43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</row>
    <row r="535" spans="1:35" x14ac:dyDescent="0.25">
      <c r="A535" s="2">
        <v>40</v>
      </c>
      <c r="B535" s="2" t="s">
        <v>43</v>
      </c>
      <c r="C535" s="2" t="s">
        <v>44</v>
      </c>
      <c r="D535" s="2">
        <v>580</v>
      </c>
      <c r="E535" s="2" t="s">
        <v>37</v>
      </c>
      <c r="F535" s="2">
        <v>5</v>
      </c>
      <c r="G535" s="2">
        <v>4</v>
      </c>
      <c r="H535" s="2" t="s">
        <v>38</v>
      </c>
      <c r="I535" s="2">
        <v>1</v>
      </c>
      <c r="J535" s="2">
        <v>729</v>
      </c>
      <c r="K535" s="2">
        <v>4</v>
      </c>
      <c r="L535" s="2" t="s">
        <v>46</v>
      </c>
      <c r="M535" s="2">
        <v>48</v>
      </c>
      <c r="N535" s="2">
        <v>2</v>
      </c>
      <c r="O535" s="2">
        <v>3</v>
      </c>
      <c r="P535" s="2" t="s">
        <v>40</v>
      </c>
      <c r="Q535" s="2">
        <v>1</v>
      </c>
      <c r="R535" s="2" t="s">
        <v>48</v>
      </c>
      <c r="S535" s="2">
        <v>10475</v>
      </c>
      <c r="T535" s="2">
        <v>23772</v>
      </c>
      <c r="U535" s="2">
        <v>5</v>
      </c>
      <c r="V535" s="2" t="s">
        <v>42</v>
      </c>
      <c r="W535" s="2" t="s">
        <v>35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</row>
    <row r="536" spans="1:35" x14ac:dyDescent="0.25">
      <c r="A536" s="2">
        <v>53</v>
      </c>
      <c r="B536" s="2" t="s">
        <v>43</v>
      </c>
      <c r="C536" s="2" t="s">
        <v>36</v>
      </c>
      <c r="D536" s="2">
        <v>970</v>
      </c>
      <c r="E536" s="2" t="s">
        <v>45</v>
      </c>
      <c r="F536" s="2">
        <v>7</v>
      </c>
      <c r="G536" s="2">
        <v>3</v>
      </c>
      <c r="H536" s="2" t="s">
        <v>38</v>
      </c>
      <c r="I536" s="2">
        <v>1</v>
      </c>
      <c r="J536" s="2">
        <v>730</v>
      </c>
      <c r="K536" s="2">
        <v>3</v>
      </c>
      <c r="L536" s="2" t="s">
        <v>46</v>
      </c>
      <c r="M536" s="2">
        <v>59</v>
      </c>
      <c r="N536" s="2">
        <v>4</v>
      </c>
      <c r="O536" s="2">
        <v>4</v>
      </c>
      <c r="P536" s="2" t="s">
        <v>58</v>
      </c>
      <c r="Q536" s="2">
        <v>3</v>
      </c>
      <c r="R536" s="2" t="s">
        <v>48</v>
      </c>
      <c r="S536" s="2">
        <v>14814</v>
      </c>
      <c r="T536" s="2">
        <v>13514</v>
      </c>
      <c r="U536" s="2">
        <v>3</v>
      </c>
      <c r="V536" s="2" t="s">
        <v>42</v>
      </c>
      <c r="W536" s="2" t="s">
        <v>43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</row>
    <row r="537" spans="1:35" x14ac:dyDescent="0.25">
      <c r="A537" s="2">
        <v>41</v>
      </c>
      <c r="B537" s="2" t="s">
        <v>43</v>
      </c>
      <c r="C537" s="2" t="s">
        <v>36</v>
      </c>
      <c r="D537" s="2">
        <v>427</v>
      </c>
      <c r="E537" s="2" t="s">
        <v>61</v>
      </c>
      <c r="F537" s="2">
        <v>10</v>
      </c>
      <c r="G537" s="2">
        <v>4</v>
      </c>
      <c r="H537" s="2" t="s">
        <v>61</v>
      </c>
      <c r="I537" s="2">
        <v>1</v>
      </c>
      <c r="J537" s="2">
        <v>731</v>
      </c>
      <c r="K537" s="2">
        <v>2</v>
      </c>
      <c r="L537" s="2" t="s">
        <v>46</v>
      </c>
      <c r="M537" s="2">
        <v>73</v>
      </c>
      <c r="N537" s="2">
        <v>2</v>
      </c>
      <c r="O537" s="2">
        <v>5</v>
      </c>
      <c r="P537" s="2" t="s">
        <v>56</v>
      </c>
      <c r="Q537" s="2">
        <v>4</v>
      </c>
      <c r="R537" s="2" t="s">
        <v>52</v>
      </c>
      <c r="S537" s="2">
        <v>19141</v>
      </c>
      <c r="T537" s="2">
        <v>8861</v>
      </c>
      <c r="U537" s="2">
        <v>3</v>
      </c>
      <c r="V537" s="2" t="s">
        <v>42</v>
      </c>
      <c r="W537" s="2" t="s">
        <v>43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</row>
    <row r="538" spans="1:35" x14ac:dyDescent="0.25">
      <c r="A538" s="2">
        <v>60</v>
      </c>
      <c r="B538" s="2" t="s">
        <v>43</v>
      </c>
      <c r="C538" s="2" t="s">
        <v>36</v>
      </c>
      <c r="D538" s="2">
        <v>1179</v>
      </c>
      <c r="E538" s="2" t="s">
        <v>37</v>
      </c>
      <c r="F538" s="2">
        <v>16</v>
      </c>
      <c r="G538" s="2">
        <v>4</v>
      </c>
      <c r="H538" s="2" t="s">
        <v>59</v>
      </c>
      <c r="I538" s="2">
        <v>1</v>
      </c>
      <c r="J538" s="2">
        <v>732</v>
      </c>
      <c r="K538" s="2">
        <v>1</v>
      </c>
      <c r="L538" s="2" t="s">
        <v>46</v>
      </c>
      <c r="M538" s="2">
        <v>84</v>
      </c>
      <c r="N538" s="2">
        <v>3</v>
      </c>
      <c r="O538" s="2">
        <v>2</v>
      </c>
      <c r="P538" s="2" t="s">
        <v>40</v>
      </c>
      <c r="Q538" s="2">
        <v>1</v>
      </c>
      <c r="R538" s="2" t="s">
        <v>41</v>
      </c>
      <c r="S538" s="2">
        <v>5405</v>
      </c>
      <c r="T538" s="2">
        <v>11924</v>
      </c>
      <c r="U538" s="2">
        <v>8</v>
      </c>
      <c r="V538" s="2" t="s">
        <v>42</v>
      </c>
      <c r="W538" s="2" t="s">
        <v>43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</row>
    <row r="539" spans="1:35" x14ac:dyDescent="0.25">
      <c r="A539" s="2">
        <v>27</v>
      </c>
      <c r="B539" s="2" t="s">
        <v>43</v>
      </c>
      <c r="C539" s="2" t="s">
        <v>44</v>
      </c>
      <c r="D539" s="2">
        <v>294</v>
      </c>
      <c r="E539" s="2" t="s">
        <v>45</v>
      </c>
      <c r="F539" s="2">
        <v>10</v>
      </c>
      <c r="G539" s="2">
        <v>2</v>
      </c>
      <c r="H539" s="2" t="s">
        <v>38</v>
      </c>
      <c r="I539" s="2">
        <v>1</v>
      </c>
      <c r="J539" s="2">
        <v>733</v>
      </c>
      <c r="K539" s="2">
        <v>4</v>
      </c>
      <c r="L539" s="2" t="s">
        <v>46</v>
      </c>
      <c r="M539" s="2">
        <v>32</v>
      </c>
      <c r="N539" s="2">
        <v>3</v>
      </c>
      <c r="O539" s="2">
        <v>3</v>
      </c>
      <c r="P539" s="2" t="s">
        <v>53</v>
      </c>
      <c r="Q539" s="2">
        <v>1</v>
      </c>
      <c r="R539" s="2" t="s">
        <v>52</v>
      </c>
      <c r="S539" s="2">
        <v>8793</v>
      </c>
      <c r="T539" s="2">
        <v>4809</v>
      </c>
      <c r="U539" s="2">
        <v>1</v>
      </c>
      <c r="V539" s="2" t="s">
        <v>42</v>
      </c>
      <c r="W539" s="2" t="s">
        <v>43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</row>
    <row r="540" spans="1:35" x14ac:dyDescent="0.25">
      <c r="A540" s="2">
        <v>41</v>
      </c>
      <c r="B540" s="2" t="s">
        <v>43</v>
      </c>
      <c r="C540" s="2" t="s">
        <v>36</v>
      </c>
      <c r="D540" s="2">
        <v>314</v>
      </c>
      <c r="E540" s="2" t="s">
        <v>61</v>
      </c>
      <c r="F540" s="2">
        <v>1</v>
      </c>
      <c r="G540" s="2">
        <v>3</v>
      </c>
      <c r="H540" s="2" t="s">
        <v>61</v>
      </c>
      <c r="I540" s="2">
        <v>1</v>
      </c>
      <c r="J540" s="2">
        <v>734</v>
      </c>
      <c r="K540" s="2">
        <v>4</v>
      </c>
      <c r="L540" s="2" t="s">
        <v>46</v>
      </c>
      <c r="M540" s="2">
        <v>59</v>
      </c>
      <c r="N540" s="2">
        <v>2</v>
      </c>
      <c r="O540" s="2">
        <v>5</v>
      </c>
      <c r="P540" s="2" t="s">
        <v>56</v>
      </c>
      <c r="Q540" s="2">
        <v>3</v>
      </c>
      <c r="R540" s="2" t="s">
        <v>48</v>
      </c>
      <c r="S540" s="2">
        <v>19189</v>
      </c>
      <c r="T540" s="2">
        <v>19562</v>
      </c>
      <c r="U540" s="2">
        <v>1</v>
      </c>
      <c r="V540" s="2" t="s">
        <v>42</v>
      </c>
      <c r="W540" s="2" t="s">
        <v>43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</row>
    <row r="541" spans="1:35" x14ac:dyDescent="0.25">
      <c r="A541" s="2">
        <v>50</v>
      </c>
      <c r="B541" s="2" t="s">
        <v>43</v>
      </c>
      <c r="C541" s="2" t="s">
        <v>36</v>
      </c>
      <c r="D541" s="2">
        <v>316</v>
      </c>
      <c r="E541" s="2" t="s">
        <v>37</v>
      </c>
      <c r="F541" s="2">
        <v>8</v>
      </c>
      <c r="G541" s="2">
        <v>4</v>
      </c>
      <c r="H541" s="2" t="s">
        <v>59</v>
      </c>
      <c r="I541" s="2">
        <v>1</v>
      </c>
      <c r="J541" s="2">
        <v>738</v>
      </c>
      <c r="K541" s="2">
        <v>4</v>
      </c>
      <c r="L541" s="2" t="s">
        <v>46</v>
      </c>
      <c r="M541" s="2">
        <v>54</v>
      </c>
      <c r="N541" s="2">
        <v>3</v>
      </c>
      <c r="O541" s="2">
        <v>1</v>
      </c>
      <c r="P541" s="2" t="s">
        <v>57</v>
      </c>
      <c r="Q541" s="2">
        <v>2</v>
      </c>
      <c r="R541" s="2" t="s">
        <v>48</v>
      </c>
      <c r="S541" s="2">
        <v>3875</v>
      </c>
      <c r="T541" s="2">
        <v>9983</v>
      </c>
      <c r="U541" s="2">
        <v>7</v>
      </c>
      <c r="V541" s="2" t="s">
        <v>42</v>
      </c>
      <c r="W541" s="2" t="s">
        <v>43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</row>
    <row r="542" spans="1:35" x14ac:dyDescent="0.25">
      <c r="A542" s="2">
        <v>28</v>
      </c>
      <c r="B542" s="2" t="s">
        <v>35</v>
      </c>
      <c r="C542" s="2" t="s">
        <v>36</v>
      </c>
      <c r="D542" s="2">
        <v>654</v>
      </c>
      <c r="E542" s="2" t="s">
        <v>45</v>
      </c>
      <c r="F542" s="2">
        <v>1</v>
      </c>
      <c r="G542" s="2">
        <v>2</v>
      </c>
      <c r="H542" s="2" t="s">
        <v>38</v>
      </c>
      <c r="I542" s="2">
        <v>1</v>
      </c>
      <c r="J542" s="2">
        <v>741</v>
      </c>
      <c r="K542" s="2">
        <v>1</v>
      </c>
      <c r="L542" s="2" t="s">
        <v>39</v>
      </c>
      <c r="M542" s="2">
        <v>67</v>
      </c>
      <c r="N542" s="2">
        <v>1</v>
      </c>
      <c r="O542" s="2">
        <v>1</v>
      </c>
      <c r="P542" s="2" t="s">
        <v>47</v>
      </c>
      <c r="Q542" s="2">
        <v>2</v>
      </c>
      <c r="R542" s="2" t="s">
        <v>41</v>
      </c>
      <c r="S542" s="2">
        <v>2216</v>
      </c>
      <c r="T542" s="2">
        <v>3872</v>
      </c>
      <c r="U542" s="2">
        <v>7</v>
      </c>
      <c r="V542" s="2" t="s">
        <v>42</v>
      </c>
      <c r="W542" s="2" t="s">
        <v>35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</row>
    <row r="543" spans="1:35" x14ac:dyDescent="0.25">
      <c r="A543" s="2">
        <v>36</v>
      </c>
      <c r="B543" s="2" t="s">
        <v>43</v>
      </c>
      <c r="C543" s="2" t="s">
        <v>55</v>
      </c>
      <c r="D543" s="2">
        <v>427</v>
      </c>
      <c r="E543" s="2" t="s">
        <v>45</v>
      </c>
      <c r="F543" s="2">
        <v>8</v>
      </c>
      <c r="G543" s="2">
        <v>3</v>
      </c>
      <c r="H543" s="2" t="s">
        <v>38</v>
      </c>
      <c r="I543" s="2">
        <v>1</v>
      </c>
      <c r="J543" s="2">
        <v>742</v>
      </c>
      <c r="K543" s="2">
        <v>1</v>
      </c>
      <c r="L543" s="2" t="s">
        <v>39</v>
      </c>
      <c r="M543" s="2">
        <v>63</v>
      </c>
      <c r="N543" s="2">
        <v>4</v>
      </c>
      <c r="O543" s="2">
        <v>3</v>
      </c>
      <c r="P543" s="2" t="s">
        <v>58</v>
      </c>
      <c r="Q543" s="2">
        <v>1</v>
      </c>
      <c r="R543" s="2" t="s">
        <v>48</v>
      </c>
      <c r="S543" s="2">
        <v>11713</v>
      </c>
      <c r="T543" s="2">
        <v>20335</v>
      </c>
      <c r="U543" s="2">
        <v>9</v>
      </c>
      <c r="V543" s="2" t="s">
        <v>42</v>
      </c>
      <c r="W543" s="2" t="s">
        <v>43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</row>
    <row r="544" spans="1:35" x14ac:dyDescent="0.25">
      <c r="A544" s="2">
        <v>38</v>
      </c>
      <c r="B544" s="2" t="s">
        <v>43</v>
      </c>
      <c r="C544" s="2" t="s">
        <v>36</v>
      </c>
      <c r="D544" s="2">
        <v>168</v>
      </c>
      <c r="E544" s="2" t="s">
        <v>45</v>
      </c>
      <c r="F544" s="2">
        <v>1</v>
      </c>
      <c r="G544" s="2">
        <v>3</v>
      </c>
      <c r="H544" s="2" t="s">
        <v>38</v>
      </c>
      <c r="I544" s="2">
        <v>1</v>
      </c>
      <c r="J544" s="2">
        <v>743</v>
      </c>
      <c r="K544" s="2">
        <v>3</v>
      </c>
      <c r="L544" s="2" t="s">
        <v>39</v>
      </c>
      <c r="M544" s="2">
        <v>81</v>
      </c>
      <c r="N544" s="2">
        <v>3</v>
      </c>
      <c r="O544" s="2">
        <v>3</v>
      </c>
      <c r="P544" s="2" t="s">
        <v>53</v>
      </c>
      <c r="Q544" s="2">
        <v>3</v>
      </c>
      <c r="R544" s="2" t="s">
        <v>41</v>
      </c>
      <c r="S544" s="2">
        <v>7861</v>
      </c>
      <c r="T544" s="2">
        <v>15397</v>
      </c>
      <c r="U544" s="2">
        <v>4</v>
      </c>
      <c r="V544" s="2" t="s">
        <v>42</v>
      </c>
      <c r="W544" s="2" t="s">
        <v>35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</row>
    <row r="545" spans="1:35" x14ac:dyDescent="0.25">
      <c r="A545" s="2">
        <v>44</v>
      </c>
      <c r="B545" s="2" t="s">
        <v>43</v>
      </c>
      <c r="C545" s="2" t="s">
        <v>55</v>
      </c>
      <c r="D545" s="2">
        <v>381</v>
      </c>
      <c r="E545" s="2" t="s">
        <v>45</v>
      </c>
      <c r="F545" s="2">
        <v>24</v>
      </c>
      <c r="G545" s="2">
        <v>3</v>
      </c>
      <c r="H545" s="2" t="s">
        <v>51</v>
      </c>
      <c r="I545" s="2">
        <v>1</v>
      </c>
      <c r="J545" s="2">
        <v>744</v>
      </c>
      <c r="K545" s="2">
        <v>1</v>
      </c>
      <c r="L545" s="2" t="s">
        <v>46</v>
      </c>
      <c r="M545" s="2">
        <v>49</v>
      </c>
      <c r="N545" s="2">
        <v>1</v>
      </c>
      <c r="O545" s="2">
        <v>1</v>
      </c>
      <c r="P545" s="2" t="s">
        <v>50</v>
      </c>
      <c r="Q545" s="2">
        <v>3</v>
      </c>
      <c r="R545" s="2" t="s">
        <v>41</v>
      </c>
      <c r="S545" s="2">
        <v>3708</v>
      </c>
      <c r="T545" s="2">
        <v>2104</v>
      </c>
      <c r="U545" s="2">
        <v>2</v>
      </c>
      <c r="V545" s="2" t="s">
        <v>42</v>
      </c>
      <c r="W545" s="2" t="s">
        <v>43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</row>
    <row r="546" spans="1:35" x14ac:dyDescent="0.25">
      <c r="A546" s="2">
        <v>47</v>
      </c>
      <c r="B546" s="2" t="s">
        <v>43</v>
      </c>
      <c r="C546" s="2" t="s">
        <v>44</v>
      </c>
      <c r="D546" s="2">
        <v>217</v>
      </c>
      <c r="E546" s="2" t="s">
        <v>37</v>
      </c>
      <c r="F546" s="2">
        <v>3</v>
      </c>
      <c r="G546" s="2">
        <v>3</v>
      </c>
      <c r="H546" s="2" t="s">
        <v>51</v>
      </c>
      <c r="I546" s="2">
        <v>1</v>
      </c>
      <c r="J546" s="2">
        <v>746</v>
      </c>
      <c r="K546" s="2">
        <v>4</v>
      </c>
      <c r="L546" s="2" t="s">
        <v>39</v>
      </c>
      <c r="M546" s="2">
        <v>49</v>
      </c>
      <c r="N546" s="2">
        <v>3</v>
      </c>
      <c r="O546" s="2">
        <v>4</v>
      </c>
      <c r="P546" s="2" t="s">
        <v>40</v>
      </c>
      <c r="Q546" s="2">
        <v>3</v>
      </c>
      <c r="R546" s="2" t="s">
        <v>52</v>
      </c>
      <c r="S546" s="2">
        <v>13770</v>
      </c>
      <c r="T546" s="2">
        <v>10225</v>
      </c>
      <c r="U546" s="2">
        <v>9</v>
      </c>
      <c r="V546" s="2" t="s">
        <v>42</v>
      </c>
      <c r="W546" s="2" t="s">
        <v>35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</row>
    <row r="547" spans="1:35" x14ac:dyDescent="0.25">
      <c r="A547" s="2">
        <v>30</v>
      </c>
      <c r="B547" s="2" t="s">
        <v>43</v>
      </c>
      <c r="C547" s="2" t="s">
        <v>36</v>
      </c>
      <c r="D547" s="2">
        <v>501</v>
      </c>
      <c r="E547" s="2" t="s">
        <v>37</v>
      </c>
      <c r="F547" s="2">
        <v>27</v>
      </c>
      <c r="G547" s="2">
        <v>5</v>
      </c>
      <c r="H547" s="2" t="s">
        <v>59</v>
      </c>
      <c r="I547" s="2">
        <v>1</v>
      </c>
      <c r="J547" s="2">
        <v>747</v>
      </c>
      <c r="K547" s="2">
        <v>3</v>
      </c>
      <c r="L547" s="2" t="s">
        <v>46</v>
      </c>
      <c r="M547" s="2">
        <v>99</v>
      </c>
      <c r="N547" s="2">
        <v>3</v>
      </c>
      <c r="O547" s="2">
        <v>2</v>
      </c>
      <c r="P547" s="2" t="s">
        <v>40</v>
      </c>
      <c r="Q547" s="2">
        <v>4</v>
      </c>
      <c r="R547" s="2" t="s">
        <v>52</v>
      </c>
      <c r="S547" s="2">
        <v>5304</v>
      </c>
      <c r="T547" s="2">
        <v>25275</v>
      </c>
      <c r="U547" s="2">
        <v>7</v>
      </c>
      <c r="V547" s="2" t="s">
        <v>42</v>
      </c>
      <c r="W547" s="2" t="s">
        <v>43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</row>
    <row r="548" spans="1:35" x14ac:dyDescent="0.25">
      <c r="A548" s="2">
        <v>29</v>
      </c>
      <c r="B548" s="2" t="s">
        <v>43</v>
      </c>
      <c r="C548" s="2" t="s">
        <v>36</v>
      </c>
      <c r="D548" s="2">
        <v>1396</v>
      </c>
      <c r="E548" s="2" t="s">
        <v>37</v>
      </c>
      <c r="F548" s="2">
        <v>10</v>
      </c>
      <c r="G548" s="2">
        <v>3</v>
      </c>
      <c r="H548" s="2" t="s">
        <v>38</v>
      </c>
      <c r="I548" s="2">
        <v>1</v>
      </c>
      <c r="J548" s="2">
        <v>749</v>
      </c>
      <c r="K548" s="2">
        <v>3</v>
      </c>
      <c r="L548" s="2" t="s">
        <v>46</v>
      </c>
      <c r="M548" s="2">
        <v>99</v>
      </c>
      <c r="N548" s="2">
        <v>3</v>
      </c>
      <c r="O548" s="2">
        <v>1</v>
      </c>
      <c r="P548" s="2" t="s">
        <v>57</v>
      </c>
      <c r="Q548" s="2">
        <v>3</v>
      </c>
      <c r="R548" s="2" t="s">
        <v>41</v>
      </c>
      <c r="S548" s="2">
        <v>2642</v>
      </c>
      <c r="T548" s="2">
        <v>2755</v>
      </c>
      <c r="U548" s="2">
        <v>1</v>
      </c>
      <c r="V548" s="2" t="s">
        <v>42</v>
      </c>
      <c r="W548" s="2" t="s">
        <v>43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</row>
    <row r="549" spans="1:35" x14ac:dyDescent="0.25">
      <c r="A549" s="2">
        <v>42</v>
      </c>
      <c r="B549" s="2" t="s">
        <v>35</v>
      </c>
      <c r="C549" s="2" t="s">
        <v>44</v>
      </c>
      <c r="D549" s="2">
        <v>933</v>
      </c>
      <c r="E549" s="2" t="s">
        <v>45</v>
      </c>
      <c r="F549" s="2">
        <v>19</v>
      </c>
      <c r="G549" s="2">
        <v>3</v>
      </c>
      <c r="H549" s="2" t="s">
        <v>51</v>
      </c>
      <c r="I549" s="2">
        <v>1</v>
      </c>
      <c r="J549" s="2">
        <v>752</v>
      </c>
      <c r="K549" s="2">
        <v>3</v>
      </c>
      <c r="L549" s="2" t="s">
        <v>46</v>
      </c>
      <c r="M549" s="2">
        <v>57</v>
      </c>
      <c r="N549" s="2">
        <v>4</v>
      </c>
      <c r="O549" s="2">
        <v>1</v>
      </c>
      <c r="P549" s="2" t="s">
        <v>47</v>
      </c>
      <c r="Q549" s="2">
        <v>3</v>
      </c>
      <c r="R549" s="2" t="s">
        <v>52</v>
      </c>
      <c r="S549" s="2">
        <v>2759</v>
      </c>
      <c r="T549" s="2">
        <v>20366</v>
      </c>
      <c r="U549" s="2">
        <v>6</v>
      </c>
      <c r="V549" s="2" t="s">
        <v>42</v>
      </c>
      <c r="W549" s="2" t="s">
        <v>35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</row>
    <row r="550" spans="1:35" x14ac:dyDescent="0.25">
      <c r="A550" s="2">
        <v>43</v>
      </c>
      <c r="B550" s="2" t="s">
        <v>43</v>
      </c>
      <c r="C550" s="2" t="s">
        <v>44</v>
      </c>
      <c r="D550" s="2">
        <v>775</v>
      </c>
      <c r="E550" s="2" t="s">
        <v>37</v>
      </c>
      <c r="F550" s="2">
        <v>15</v>
      </c>
      <c r="G550" s="2">
        <v>3</v>
      </c>
      <c r="H550" s="2" t="s">
        <v>38</v>
      </c>
      <c r="I550" s="2">
        <v>1</v>
      </c>
      <c r="J550" s="2">
        <v>754</v>
      </c>
      <c r="K550" s="2">
        <v>4</v>
      </c>
      <c r="L550" s="2" t="s">
        <v>46</v>
      </c>
      <c r="M550" s="2">
        <v>47</v>
      </c>
      <c r="N550" s="2">
        <v>2</v>
      </c>
      <c r="O550" s="2">
        <v>2</v>
      </c>
      <c r="P550" s="2" t="s">
        <v>40</v>
      </c>
      <c r="Q550" s="2">
        <v>4</v>
      </c>
      <c r="R550" s="2" t="s">
        <v>48</v>
      </c>
      <c r="S550" s="2">
        <v>6804</v>
      </c>
      <c r="T550" s="2">
        <v>23683</v>
      </c>
      <c r="U550" s="2">
        <v>3</v>
      </c>
      <c r="V550" s="2" t="s">
        <v>42</v>
      </c>
      <c r="W550" s="2" t="s">
        <v>43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</row>
    <row r="551" spans="1:35" x14ac:dyDescent="0.25">
      <c r="A551" s="2">
        <v>34</v>
      </c>
      <c r="B551" s="2" t="s">
        <v>43</v>
      </c>
      <c r="C551" s="2" t="s">
        <v>36</v>
      </c>
      <c r="D551" s="2">
        <v>970</v>
      </c>
      <c r="E551" s="2" t="s">
        <v>45</v>
      </c>
      <c r="F551" s="2">
        <v>8</v>
      </c>
      <c r="G551" s="2">
        <v>2</v>
      </c>
      <c r="H551" s="2" t="s">
        <v>51</v>
      </c>
      <c r="I551" s="2">
        <v>1</v>
      </c>
      <c r="J551" s="2">
        <v>757</v>
      </c>
      <c r="K551" s="2">
        <v>2</v>
      </c>
      <c r="L551" s="2" t="s">
        <v>39</v>
      </c>
      <c r="M551" s="2">
        <v>96</v>
      </c>
      <c r="N551" s="2">
        <v>3</v>
      </c>
      <c r="O551" s="2">
        <v>2</v>
      </c>
      <c r="P551" s="2" t="s">
        <v>54</v>
      </c>
      <c r="Q551" s="2">
        <v>3</v>
      </c>
      <c r="R551" s="2" t="s">
        <v>41</v>
      </c>
      <c r="S551" s="2">
        <v>6142</v>
      </c>
      <c r="T551" s="2">
        <v>7360</v>
      </c>
      <c r="U551" s="2">
        <v>3</v>
      </c>
      <c r="V551" s="2" t="s">
        <v>42</v>
      </c>
      <c r="W551" s="2" t="s">
        <v>43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</row>
    <row r="552" spans="1:35" x14ac:dyDescent="0.25">
      <c r="A552" s="2">
        <v>23</v>
      </c>
      <c r="B552" s="2" t="s">
        <v>43</v>
      </c>
      <c r="C552" s="2" t="s">
        <v>36</v>
      </c>
      <c r="D552" s="2">
        <v>650</v>
      </c>
      <c r="E552" s="2" t="s">
        <v>45</v>
      </c>
      <c r="F552" s="2">
        <v>9</v>
      </c>
      <c r="G552" s="2">
        <v>1</v>
      </c>
      <c r="H552" s="2" t="s">
        <v>51</v>
      </c>
      <c r="I552" s="2">
        <v>1</v>
      </c>
      <c r="J552" s="2">
        <v>758</v>
      </c>
      <c r="K552" s="2">
        <v>2</v>
      </c>
      <c r="L552" s="2" t="s">
        <v>46</v>
      </c>
      <c r="M552" s="2">
        <v>37</v>
      </c>
      <c r="N552" s="2">
        <v>3</v>
      </c>
      <c r="O552" s="2">
        <v>1</v>
      </c>
      <c r="P552" s="2" t="s">
        <v>50</v>
      </c>
      <c r="Q552" s="2">
        <v>1</v>
      </c>
      <c r="R552" s="2" t="s">
        <v>48</v>
      </c>
      <c r="S552" s="2">
        <v>2500</v>
      </c>
      <c r="T552" s="2">
        <v>4344</v>
      </c>
      <c r="U552" s="2">
        <v>1</v>
      </c>
      <c r="V552" s="2" t="s">
        <v>42</v>
      </c>
      <c r="W552" s="2" t="s">
        <v>43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</row>
    <row r="553" spans="1:35" x14ac:dyDescent="0.25">
      <c r="A553" s="2">
        <v>39</v>
      </c>
      <c r="B553" s="2" t="s">
        <v>43</v>
      </c>
      <c r="C553" s="2" t="s">
        <v>36</v>
      </c>
      <c r="D553" s="2">
        <v>141</v>
      </c>
      <c r="E553" s="2" t="s">
        <v>61</v>
      </c>
      <c r="F553" s="2">
        <v>3</v>
      </c>
      <c r="G553" s="2">
        <v>3</v>
      </c>
      <c r="H553" s="2" t="s">
        <v>61</v>
      </c>
      <c r="I553" s="2">
        <v>1</v>
      </c>
      <c r="J553" s="2">
        <v>760</v>
      </c>
      <c r="K553" s="2">
        <v>3</v>
      </c>
      <c r="L553" s="2" t="s">
        <v>39</v>
      </c>
      <c r="M553" s="2">
        <v>44</v>
      </c>
      <c r="N553" s="2">
        <v>4</v>
      </c>
      <c r="O553" s="2">
        <v>2</v>
      </c>
      <c r="P553" s="2" t="s">
        <v>61</v>
      </c>
      <c r="Q553" s="2">
        <v>2</v>
      </c>
      <c r="R553" s="2" t="s">
        <v>48</v>
      </c>
      <c r="S553" s="2">
        <v>6389</v>
      </c>
      <c r="T553" s="2">
        <v>18767</v>
      </c>
      <c r="U553" s="2">
        <v>9</v>
      </c>
      <c r="V553" s="2" t="s">
        <v>42</v>
      </c>
      <c r="W553" s="2" t="s">
        <v>43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</row>
    <row r="554" spans="1:35" x14ac:dyDescent="0.25">
      <c r="A554" s="2">
        <v>56</v>
      </c>
      <c r="B554" s="2" t="s">
        <v>43</v>
      </c>
      <c r="C554" s="2" t="s">
        <v>36</v>
      </c>
      <c r="D554" s="2">
        <v>832</v>
      </c>
      <c r="E554" s="2" t="s">
        <v>45</v>
      </c>
      <c r="F554" s="2">
        <v>9</v>
      </c>
      <c r="G554" s="2">
        <v>3</v>
      </c>
      <c r="H554" s="2" t="s">
        <v>51</v>
      </c>
      <c r="I554" s="2">
        <v>1</v>
      </c>
      <c r="J554" s="2">
        <v>762</v>
      </c>
      <c r="K554" s="2">
        <v>3</v>
      </c>
      <c r="L554" s="2" t="s">
        <v>46</v>
      </c>
      <c r="M554" s="2">
        <v>81</v>
      </c>
      <c r="N554" s="2">
        <v>3</v>
      </c>
      <c r="O554" s="2">
        <v>4</v>
      </c>
      <c r="P554" s="2" t="s">
        <v>54</v>
      </c>
      <c r="Q554" s="2">
        <v>4</v>
      </c>
      <c r="R554" s="2" t="s">
        <v>48</v>
      </c>
      <c r="S554" s="2">
        <v>11103</v>
      </c>
      <c r="T554" s="2">
        <v>20420</v>
      </c>
      <c r="U554" s="2">
        <v>7</v>
      </c>
      <c r="V554" s="2" t="s">
        <v>42</v>
      </c>
      <c r="W554" s="2" t="s">
        <v>43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</row>
    <row r="555" spans="1:35" x14ac:dyDescent="0.25">
      <c r="A555" s="2">
        <v>40</v>
      </c>
      <c r="B555" s="2" t="s">
        <v>43</v>
      </c>
      <c r="C555" s="2" t="s">
        <v>36</v>
      </c>
      <c r="D555" s="2">
        <v>804</v>
      </c>
      <c r="E555" s="2" t="s">
        <v>45</v>
      </c>
      <c r="F555" s="2">
        <v>2</v>
      </c>
      <c r="G555" s="2">
        <v>1</v>
      </c>
      <c r="H555" s="2" t="s">
        <v>51</v>
      </c>
      <c r="I555" s="2">
        <v>1</v>
      </c>
      <c r="J555" s="2">
        <v>763</v>
      </c>
      <c r="K555" s="2">
        <v>4</v>
      </c>
      <c r="L555" s="2" t="s">
        <v>39</v>
      </c>
      <c r="M555" s="2">
        <v>86</v>
      </c>
      <c r="N555" s="2">
        <v>2</v>
      </c>
      <c r="O555" s="2">
        <v>1</v>
      </c>
      <c r="P555" s="2" t="s">
        <v>47</v>
      </c>
      <c r="Q555" s="2">
        <v>4</v>
      </c>
      <c r="R555" s="2" t="s">
        <v>41</v>
      </c>
      <c r="S555" s="2">
        <v>2342</v>
      </c>
      <c r="T555" s="2">
        <v>22929</v>
      </c>
      <c r="U555" s="2">
        <v>0</v>
      </c>
      <c r="V555" s="2" t="s">
        <v>42</v>
      </c>
      <c r="W555" s="2" t="s">
        <v>35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</row>
    <row r="556" spans="1:35" x14ac:dyDescent="0.25">
      <c r="A556" s="2">
        <v>27</v>
      </c>
      <c r="B556" s="2" t="s">
        <v>43</v>
      </c>
      <c r="C556" s="2" t="s">
        <v>36</v>
      </c>
      <c r="D556" s="2">
        <v>975</v>
      </c>
      <c r="E556" s="2" t="s">
        <v>45</v>
      </c>
      <c r="F556" s="2">
        <v>7</v>
      </c>
      <c r="G556" s="2">
        <v>3</v>
      </c>
      <c r="H556" s="2" t="s">
        <v>51</v>
      </c>
      <c r="I556" s="2">
        <v>1</v>
      </c>
      <c r="J556" s="2">
        <v>764</v>
      </c>
      <c r="K556" s="2">
        <v>4</v>
      </c>
      <c r="L556" s="2" t="s">
        <v>39</v>
      </c>
      <c r="M556" s="2">
        <v>55</v>
      </c>
      <c r="N556" s="2">
        <v>2</v>
      </c>
      <c r="O556" s="2">
        <v>2</v>
      </c>
      <c r="P556" s="2" t="s">
        <v>54</v>
      </c>
      <c r="Q556" s="2">
        <v>1</v>
      </c>
      <c r="R556" s="2" t="s">
        <v>41</v>
      </c>
      <c r="S556" s="2">
        <v>6811</v>
      </c>
      <c r="T556" s="2">
        <v>23398</v>
      </c>
      <c r="U556" s="2">
        <v>8</v>
      </c>
      <c r="V556" s="2" t="s">
        <v>42</v>
      </c>
      <c r="W556" s="2" t="s">
        <v>43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</row>
    <row r="557" spans="1:35" x14ac:dyDescent="0.25">
      <c r="A557" s="2">
        <v>29</v>
      </c>
      <c r="B557" s="2" t="s">
        <v>43</v>
      </c>
      <c r="C557" s="2" t="s">
        <v>36</v>
      </c>
      <c r="D557" s="2">
        <v>1090</v>
      </c>
      <c r="E557" s="2" t="s">
        <v>37</v>
      </c>
      <c r="F557" s="2">
        <v>10</v>
      </c>
      <c r="G557" s="2">
        <v>3</v>
      </c>
      <c r="H557" s="2" t="s">
        <v>59</v>
      </c>
      <c r="I557" s="2">
        <v>1</v>
      </c>
      <c r="J557" s="2">
        <v>766</v>
      </c>
      <c r="K557" s="2">
        <v>4</v>
      </c>
      <c r="L557" s="2" t="s">
        <v>46</v>
      </c>
      <c r="M557" s="2">
        <v>83</v>
      </c>
      <c r="N557" s="2">
        <v>3</v>
      </c>
      <c r="O557" s="2">
        <v>1</v>
      </c>
      <c r="P557" s="2" t="s">
        <v>57</v>
      </c>
      <c r="Q557" s="2">
        <v>2</v>
      </c>
      <c r="R557" s="2" t="s">
        <v>52</v>
      </c>
      <c r="S557" s="2">
        <v>2297</v>
      </c>
      <c r="T557" s="2">
        <v>17967</v>
      </c>
      <c r="U557" s="2">
        <v>1</v>
      </c>
      <c r="V557" s="2" t="s">
        <v>42</v>
      </c>
      <c r="W557" s="2" t="s">
        <v>43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</row>
    <row r="558" spans="1:35" x14ac:dyDescent="0.25">
      <c r="A558" s="2">
        <v>53</v>
      </c>
      <c r="B558" s="2" t="s">
        <v>43</v>
      </c>
      <c r="C558" s="2" t="s">
        <v>36</v>
      </c>
      <c r="D558" s="2">
        <v>346</v>
      </c>
      <c r="E558" s="2" t="s">
        <v>45</v>
      </c>
      <c r="F558" s="2">
        <v>6</v>
      </c>
      <c r="G558" s="2">
        <v>3</v>
      </c>
      <c r="H558" s="2" t="s">
        <v>38</v>
      </c>
      <c r="I558" s="2">
        <v>1</v>
      </c>
      <c r="J558" s="2">
        <v>769</v>
      </c>
      <c r="K558" s="2">
        <v>4</v>
      </c>
      <c r="L558" s="2" t="s">
        <v>46</v>
      </c>
      <c r="M558" s="2">
        <v>86</v>
      </c>
      <c r="N558" s="2">
        <v>3</v>
      </c>
      <c r="O558" s="2">
        <v>2</v>
      </c>
      <c r="P558" s="2" t="s">
        <v>50</v>
      </c>
      <c r="Q558" s="2">
        <v>4</v>
      </c>
      <c r="R558" s="2" t="s">
        <v>41</v>
      </c>
      <c r="S558" s="2">
        <v>2450</v>
      </c>
      <c r="T558" s="2">
        <v>10919</v>
      </c>
      <c r="U558" s="2">
        <v>2</v>
      </c>
      <c r="V558" s="2" t="s">
        <v>42</v>
      </c>
      <c r="W558" s="2" t="s">
        <v>43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</row>
    <row r="559" spans="1:35" x14ac:dyDescent="0.25">
      <c r="A559" s="2">
        <v>35</v>
      </c>
      <c r="B559" s="2" t="s">
        <v>43</v>
      </c>
      <c r="C559" s="2" t="s">
        <v>55</v>
      </c>
      <c r="D559" s="2">
        <v>1225</v>
      </c>
      <c r="E559" s="2" t="s">
        <v>45</v>
      </c>
      <c r="F559" s="2">
        <v>2</v>
      </c>
      <c r="G559" s="2">
        <v>4</v>
      </c>
      <c r="H559" s="2" t="s">
        <v>38</v>
      </c>
      <c r="I559" s="2">
        <v>1</v>
      </c>
      <c r="J559" s="2">
        <v>771</v>
      </c>
      <c r="K559" s="2">
        <v>4</v>
      </c>
      <c r="L559" s="2" t="s">
        <v>39</v>
      </c>
      <c r="M559" s="2">
        <v>61</v>
      </c>
      <c r="N559" s="2">
        <v>3</v>
      </c>
      <c r="O559" s="2">
        <v>2</v>
      </c>
      <c r="P559" s="2" t="s">
        <v>54</v>
      </c>
      <c r="Q559" s="2">
        <v>1</v>
      </c>
      <c r="R559" s="2" t="s">
        <v>52</v>
      </c>
      <c r="S559" s="2">
        <v>5093</v>
      </c>
      <c r="T559" s="2">
        <v>4761</v>
      </c>
      <c r="U559" s="2">
        <v>2</v>
      </c>
      <c r="V559" s="2" t="s">
        <v>42</v>
      </c>
      <c r="W559" s="2" t="s">
        <v>43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</row>
    <row r="560" spans="1:35" x14ac:dyDescent="0.25">
      <c r="A560" s="2">
        <v>32</v>
      </c>
      <c r="B560" s="2" t="s">
        <v>43</v>
      </c>
      <c r="C560" s="2" t="s">
        <v>44</v>
      </c>
      <c r="D560" s="2">
        <v>430</v>
      </c>
      <c r="E560" s="2" t="s">
        <v>45</v>
      </c>
      <c r="F560" s="2">
        <v>24</v>
      </c>
      <c r="G560" s="2">
        <v>4</v>
      </c>
      <c r="H560" s="2" t="s">
        <v>38</v>
      </c>
      <c r="I560" s="2">
        <v>1</v>
      </c>
      <c r="J560" s="2">
        <v>772</v>
      </c>
      <c r="K560" s="2">
        <v>1</v>
      </c>
      <c r="L560" s="2" t="s">
        <v>46</v>
      </c>
      <c r="M560" s="2">
        <v>80</v>
      </c>
      <c r="N560" s="2">
        <v>3</v>
      </c>
      <c r="O560" s="2">
        <v>2</v>
      </c>
      <c r="P560" s="2" t="s">
        <v>50</v>
      </c>
      <c r="Q560" s="2">
        <v>4</v>
      </c>
      <c r="R560" s="2" t="s">
        <v>48</v>
      </c>
      <c r="S560" s="2">
        <v>5309</v>
      </c>
      <c r="T560" s="2">
        <v>21146</v>
      </c>
      <c r="U560" s="2">
        <v>1</v>
      </c>
      <c r="V560" s="2" t="s">
        <v>42</v>
      </c>
      <c r="W560" s="2" t="s">
        <v>43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</row>
    <row r="561" spans="1:35" x14ac:dyDescent="0.25">
      <c r="A561" s="2">
        <v>38</v>
      </c>
      <c r="B561" s="2" t="s">
        <v>43</v>
      </c>
      <c r="C561" s="2" t="s">
        <v>36</v>
      </c>
      <c r="D561" s="2">
        <v>268</v>
      </c>
      <c r="E561" s="2" t="s">
        <v>45</v>
      </c>
      <c r="F561" s="2">
        <v>2</v>
      </c>
      <c r="G561" s="2">
        <v>5</v>
      </c>
      <c r="H561" s="2" t="s">
        <v>51</v>
      </c>
      <c r="I561" s="2">
        <v>1</v>
      </c>
      <c r="J561" s="2">
        <v>773</v>
      </c>
      <c r="K561" s="2">
        <v>4</v>
      </c>
      <c r="L561" s="2" t="s">
        <v>46</v>
      </c>
      <c r="M561" s="2">
        <v>92</v>
      </c>
      <c r="N561" s="2">
        <v>3</v>
      </c>
      <c r="O561" s="2">
        <v>1</v>
      </c>
      <c r="P561" s="2" t="s">
        <v>47</v>
      </c>
      <c r="Q561" s="2">
        <v>3</v>
      </c>
      <c r="R561" s="2" t="s">
        <v>48</v>
      </c>
      <c r="S561" s="2">
        <v>3057</v>
      </c>
      <c r="T561" s="2">
        <v>20471</v>
      </c>
      <c r="U561" s="2">
        <v>6</v>
      </c>
      <c r="V561" s="2" t="s">
        <v>42</v>
      </c>
      <c r="W561" s="2" t="s">
        <v>35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</row>
    <row r="562" spans="1:35" x14ac:dyDescent="0.25">
      <c r="A562" s="2">
        <v>34</v>
      </c>
      <c r="B562" s="2" t="s">
        <v>43</v>
      </c>
      <c r="C562" s="2" t="s">
        <v>36</v>
      </c>
      <c r="D562" s="2">
        <v>167</v>
      </c>
      <c r="E562" s="2" t="s">
        <v>45</v>
      </c>
      <c r="F562" s="2">
        <v>8</v>
      </c>
      <c r="G562" s="2">
        <v>5</v>
      </c>
      <c r="H562" s="2" t="s">
        <v>38</v>
      </c>
      <c r="I562" s="2">
        <v>1</v>
      </c>
      <c r="J562" s="2">
        <v>775</v>
      </c>
      <c r="K562" s="2">
        <v>2</v>
      </c>
      <c r="L562" s="2" t="s">
        <v>39</v>
      </c>
      <c r="M562" s="2">
        <v>32</v>
      </c>
      <c r="N562" s="2">
        <v>3</v>
      </c>
      <c r="O562" s="2">
        <v>2</v>
      </c>
      <c r="P562" s="2" t="s">
        <v>53</v>
      </c>
      <c r="Q562" s="2">
        <v>1</v>
      </c>
      <c r="R562" s="2" t="s">
        <v>52</v>
      </c>
      <c r="S562" s="2">
        <v>5121</v>
      </c>
      <c r="T562" s="2">
        <v>4187</v>
      </c>
      <c r="U562" s="2">
        <v>3</v>
      </c>
      <c r="V562" s="2" t="s">
        <v>42</v>
      </c>
      <c r="W562" s="2" t="s">
        <v>43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</row>
    <row r="563" spans="1:35" x14ac:dyDescent="0.25">
      <c r="A563" s="2">
        <v>52</v>
      </c>
      <c r="B563" s="2" t="s">
        <v>43</v>
      </c>
      <c r="C563" s="2" t="s">
        <v>36</v>
      </c>
      <c r="D563" s="2">
        <v>621</v>
      </c>
      <c r="E563" s="2" t="s">
        <v>37</v>
      </c>
      <c r="F563" s="2">
        <v>3</v>
      </c>
      <c r="G563" s="2">
        <v>4</v>
      </c>
      <c r="H563" s="2" t="s">
        <v>59</v>
      </c>
      <c r="I563" s="2">
        <v>1</v>
      </c>
      <c r="J563" s="2">
        <v>776</v>
      </c>
      <c r="K563" s="2">
        <v>3</v>
      </c>
      <c r="L563" s="2" t="s">
        <v>46</v>
      </c>
      <c r="M563" s="2">
        <v>31</v>
      </c>
      <c r="N563" s="2">
        <v>2</v>
      </c>
      <c r="O563" s="2">
        <v>4</v>
      </c>
      <c r="P563" s="2" t="s">
        <v>56</v>
      </c>
      <c r="Q563" s="2">
        <v>1</v>
      </c>
      <c r="R563" s="2" t="s">
        <v>48</v>
      </c>
      <c r="S563" s="2">
        <v>16856</v>
      </c>
      <c r="T563" s="2">
        <v>10084</v>
      </c>
      <c r="U563" s="2">
        <v>1</v>
      </c>
      <c r="V563" s="2" t="s">
        <v>42</v>
      </c>
      <c r="W563" s="2" t="s">
        <v>43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</row>
    <row r="564" spans="1:35" x14ac:dyDescent="0.25">
      <c r="A564" s="2">
        <v>33</v>
      </c>
      <c r="B564" s="2" t="s">
        <v>35</v>
      </c>
      <c r="C564" s="2" t="s">
        <v>36</v>
      </c>
      <c r="D564" s="2">
        <v>527</v>
      </c>
      <c r="E564" s="2" t="s">
        <v>45</v>
      </c>
      <c r="F564" s="2">
        <v>1</v>
      </c>
      <c r="G564" s="2">
        <v>4</v>
      </c>
      <c r="H564" s="2" t="s">
        <v>49</v>
      </c>
      <c r="I564" s="2">
        <v>1</v>
      </c>
      <c r="J564" s="2">
        <v>780</v>
      </c>
      <c r="K564" s="2">
        <v>4</v>
      </c>
      <c r="L564" s="2" t="s">
        <v>46</v>
      </c>
      <c r="M564" s="2">
        <v>63</v>
      </c>
      <c r="N564" s="2">
        <v>3</v>
      </c>
      <c r="O564" s="2">
        <v>1</v>
      </c>
      <c r="P564" s="2" t="s">
        <v>47</v>
      </c>
      <c r="Q564" s="2">
        <v>4</v>
      </c>
      <c r="R564" s="2" t="s">
        <v>41</v>
      </c>
      <c r="S564" s="2">
        <v>2686</v>
      </c>
      <c r="T564" s="2">
        <v>5207</v>
      </c>
      <c r="U564" s="2">
        <v>1</v>
      </c>
      <c r="V564" s="2" t="s">
        <v>42</v>
      </c>
      <c r="W564" s="2" t="s">
        <v>35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</row>
    <row r="565" spans="1:35" x14ac:dyDescent="0.25">
      <c r="A565" s="2">
        <v>25</v>
      </c>
      <c r="B565" s="2" t="s">
        <v>43</v>
      </c>
      <c r="C565" s="2" t="s">
        <v>36</v>
      </c>
      <c r="D565" s="2">
        <v>883</v>
      </c>
      <c r="E565" s="2" t="s">
        <v>37</v>
      </c>
      <c r="F565" s="2">
        <v>26</v>
      </c>
      <c r="G565" s="2">
        <v>1</v>
      </c>
      <c r="H565" s="2" t="s">
        <v>51</v>
      </c>
      <c r="I565" s="2">
        <v>1</v>
      </c>
      <c r="J565" s="2">
        <v>781</v>
      </c>
      <c r="K565" s="2">
        <v>3</v>
      </c>
      <c r="L565" s="2" t="s">
        <v>39</v>
      </c>
      <c r="M565" s="2">
        <v>32</v>
      </c>
      <c r="N565" s="2">
        <v>3</v>
      </c>
      <c r="O565" s="2">
        <v>2</v>
      </c>
      <c r="P565" s="2" t="s">
        <v>40</v>
      </c>
      <c r="Q565" s="2">
        <v>4</v>
      </c>
      <c r="R565" s="2" t="s">
        <v>41</v>
      </c>
      <c r="S565" s="2">
        <v>6180</v>
      </c>
      <c r="T565" s="2">
        <v>22807</v>
      </c>
      <c r="U565" s="2">
        <v>1</v>
      </c>
      <c r="V565" s="2" t="s">
        <v>42</v>
      </c>
      <c r="W565" s="2" t="s">
        <v>43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</row>
    <row r="566" spans="1:35" x14ac:dyDescent="0.25">
      <c r="A566" s="2">
        <v>45</v>
      </c>
      <c r="B566" s="2" t="s">
        <v>43</v>
      </c>
      <c r="C566" s="2" t="s">
        <v>36</v>
      </c>
      <c r="D566" s="2">
        <v>954</v>
      </c>
      <c r="E566" s="2" t="s">
        <v>37</v>
      </c>
      <c r="F566" s="2">
        <v>2</v>
      </c>
      <c r="G566" s="2">
        <v>2</v>
      </c>
      <c r="H566" s="2" t="s">
        <v>60</v>
      </c>
      <c r="I566" s="2">
        <v>1</v>
      </c>
      <c r="J566" s="2">
        <v>783</v>
      </c>
      <c r="K566" s="2">
        <v>2</v>
      </c>
      <c r="L566" s="2" t="s">
        <v>46</v>
      </c>
      <c r="M566" s="2">
        <v>46</v>
      </c>
      <c r="N566" s="2">
        <v>1</v>
      </c>
      <c r="O566" s="2">
        <v>2</v>
      </c>
      <c r="P566" s="2" t="s">
        <v>57</v>
      </c>
      <c r="Q566" s="2">
        <v>3</v>
      </c>
      <c r="R566" s="2" t="s">
        <v>41</v>
      </c>
      <c r="S566" s="2">
        <v>6632</v>
      </c>
      <c r="T566" s="2">
        <v>12388</v>
      </c>
      <c r="U566" s="2">
        <v>0</v>
      </c>
      <c r="V566" s="2" t="s">
        <v>42</v>
      </c>
      <c r="W566" s="2" t="s">
        <v>43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</row>
    <row r="567" spans="1:35" x14ac:dyDescent="0.25">
      <c r="A567" s="2">
        <v>23</v>
      </c>
      <c r="B567" s="2" t="s">
        <v>43</v>
      </c>
      <c r="C567" s="2" t="s">
        <v>36</v>
      </c>
      <c r="D567" s="2">
        <v>310</v>
      </c>
      <c r="E567" s="2" t="s">
        <v>45</v>
      </c>
      <c r="F567" s="2">
        <v>10</v>
      </c>
      <c r="G567" s="2">
        <v>1</v>
      </c>
      <c r="H567" s="2" t="s">
        <v>51</v>
      </c>
      <c r="I567" s="2">
        <v>1</v>
      </c>
      <c r="J567" s="2">
        <v>784</v>
      </c>
      <c r="K567" s="2">
        <v>1</v>
      </c>
      <c r="L567" s="2" t="s">
        <v>46</v>
      </c>
      <c r="M567" s="2">
        <v>79</v>
      </c>
      <c r="N567" s="2">
        <v>4</v>
      </c>
      <c r="O567" s="2">
        <v>1</v>
      </c>
      <c r="P567" s="2" t="s">
        <v>47</v>
      </c>
      <c r="Q567" s="2">
        <v>3</v>
      </c>
      <c r="R567" s="2" t="s">
        <v>41</v>
      </c>
      <c r="S567" s="2">
        <v>3505</v>
      </c>
      <c r="T567" s="2">
        <v>19630</v>
      </c>
      <c r="U567" s="2">
        <v>1</v>
      </c>
      <c r="V567" s="2" t="s">
        <v>42</v>
      </c>
      <c r="W567" s="2" t="s">
        <v>43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</row>
    <row r="568" spans="1:35" x14ac:dyDescent="0.25">
      <c r="A568" s="2">
        <v>47</v>
      </c>
      <c r="B568" s="2" t="s">
        <v>35</v>
      </c>
      <c r="C568" s="2" t="s">
        <v>44</v>
      </c>
      <c r="D568" s="2">
        <v>719</v>
      </c>
      <c r="E568" s="2" t="s">
        <v>37</v>
      </c>
      <c r="F568" s="2">
        <v>27</v>
      </c>
      <c r="G568" s="2">
        <v>2</v>
      </c>
      <c r="H568" s="2" t="s">
        <v>38</v>
      </c>
      <c r="I568" s="2">
        <v>1</v>
      </c>
      <c r="J568" s="2">
        <v>785</v>
      </c>
      <c r="K568" s="2">
        <v>2</v>
      </c>
      <c r="L568" s="2" t="s">
        <v>39</v>
      </c>
      <c r="M568" s="2">
        <v>77</v>
      </c>
      <c r="N568" s="2">
        <v>4</v>
      </c>
      <c r="O568" s="2">
        <v>2</v>
      </c>
      <c r="P568" s="2" t="s">
        <v>40</v>
      </c>
      <c r="Q568" s="2">
        <v>3</v>
      </c>
      <c r="R568" s="2" t="s">
        <v>41</v>
      </c>
      <c r="S568" s="2">
        <v>6397</v>
      </c>
      <c r="T568" s="2">
        <v>10339</v>
      </c>
      <c r="U568" s="2">
        <v>4</v>
      </c>
      <c r="V568" s="2" t="s">
        <v>42</v>
      </c>
      <c r="W568" s="2" t="s">
        <v>35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</row>
    <row r="569" spans="1:35" x14ac:dyDescent="0.25">
      <c r="A569" s="2">
        <v>34</v>
      </c>
      <c r="B569" s="2" t="s">
        <v>43</v>
      </c>
      <c r="C569" s="2" t="s">
        <v>36</v>
      </c>
      <c r="D569" s="2">
        <v>304</v>
      </c>
      <c r="E569" s="2" t="s">
        <v>37</v>
      </c>
      <c r="F569" s="2">
        <v>2</v>
      </c>
      <c r="G569" s="2">
        <v>3</v>
      </c>
      <c r="H569" s="2" t="s">
        <v>49</v>
      </c>
      <c r="I569" s="2">
        <v>1</v>
      </c>
      <c r="J569" s="2">
        <v>786</v>
      </c>
      <c r="K569" s="2">
        <v>4</v>
      </c>
      <c r="L569" s="2" t="s">
        <v>46</v>
      </c>
      <c r="M569" s="2">
        <v>60</v>
      </c>
      <c r="N569" s="2">
        <v>3</v>
      </c>
      <c r="O569" s="2">
        <v>2</v>
      </c>
      <c r="P569" s="2" t="s">
        <v>40</v>
      </c>
      <c r="Q569" s="2">
        <v>4</v>
      </c>
      <c r="R569" s="2" t="s">
        <v>41</v>
      </c>
      <c r="S569" s="2">
        <v>6274</v>
      </c>
      <c r="T569" s="2">
        <v>18686</v>
      </c>
      <c r="U569" s="2">
        <v>1</v>
      </c>
      <c r="V569" s="2" t="s">
        <v>42</v>
      </c>
      <c r="W569" s="2" t="s">
        <v>43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</row>
    <row r="570" spans="1:35" x14ac:dyDescent="0.25">
      <c r="A570" s="2">
        <v>55</v>
      </c>
      <c r="B570" s="2" t="s">
        <v>35</v>
      </c>
      <c r="C570" s="2" t="s">
        <v>36</v>
      </c>
      <c r="D570" s="2">
        <v>725</v>
      </c>
      <c r="E570" s="2" t="s">
        <v>45</v>
      </c>
      <c r="F570" s="2">
        <v>2</v>
      </c>
      <c r="G570" s="2">
        <v>3</v>
      </c>
      <c r="H570" s="2" t="s">
        <v>51</v>
      </c>
      <c r="I570" s="2">
        <v>1</v>
      </c>
      <c r="J570" s="2">
        <v>787</v>
      </c>
      <c r="K570" s="2">
        <v>4</v>
      </c>
      <c r="L570" s="2" t="s">
        <v>46</v>
      </c>
      <c r="M570" s="2">
        <v>78</v>
      </c>
      <c r="N570" s="2">
        <v>3</v>
      </c>
      <c r="O570" s="2">
        <v>5</v>
      </c>
      <c r="P570" s="2" t="s">
        <v>56</v>
      </c>
      <c r="Q570" s="2">
        <v>1</v>
      </c>
      <c r="R570" s="2" t="s">
        <v>48</v>
      </c>
      <c r="S570" s="2">
        <v>19859</v>
      </c>
      <c r="T570" s="2">
        <v>21199</v>
      </c>
      <c r="U570" s="2">
        <v>5</v>
      </c>
      <c r="V570" s="2" t="s">
        <v>42</v>
      </c>
      <c r="W570" s="2" t="s">
        <v>35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</row>
    <row r="571" spans="1:35" x14ac:dyDescent="0.25">
      <c r="A571" s="2">
        <v>36</v>
      </c>
      <c r="B571" s="2" t="s">
        <v>43</v>
      </c>
      <c r="C571" s="2" t="s">
        <v>55</v>
      </c>
      <c r="D571" s="2">
        <v>1434</v>
      </c>
      <c r="E571" s="2" t="s">
        <v>37</v>
      </c>
      <c r="F571" s="2">
        <v>8</v>
      </c>
      <c r="G571" s="2">
        <v>4</v>
      </c>
      <c r="H571" s="2" t="s">
        <v>38</v>
      </c>
      <c r="I571" s="2">
        <v>1</v>
      </c>
      <c r="J571" s="2">
        <v>789</v>
      </c>
      <c r="K571" s="2">
        <v>1</v>
      </c>
      <c r="L571" s="2" t="s">
        <v>46</v>
      </c>
      <c r="M571" s="2">
        <v>76</v>
      </c>
      <c r="N571" s="2">
        <v>2</v>
      </c>
      <c r="O571" s="2">
        <v>3</v>
      </c>
      <c r="P571" s="2" t="s">
        <v>40</v>
      </c>
      <c r="Q571" s="2">
        <v>1</v>
      </c>
      <c r="R571" s="2" t="s">
        <v>41</v>
      </c>
      <c r="S571" s="2">
        <v>7587</v>
      </c>
      <c r="T571" s="2">
        <v>14229</v>
      </c>
      <c r="U571" s="2">
        <v>1</v>
      </c>
      <c r="V571" s="2" t="s">
        <v>42</v>
      </c>
      <c r="W571" s="2" t="s">
        <v>43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</row>
    <row r="572" spans="1:35" x14ac:dyDescent="0.25">
      <c r="A572" s="2">
        <v>52</v>
      </c>
      <c r="B572" s="2" t="s">
        <v>43</v>
      </c>
      <c r="C572" s="2" t="s">
        <v>55</v>
      </c>
      <c r="D572" s="2">
        <v>715</v>
      </c>
      <c r="E572" s="2" t="s">
        <v>45</v>
      </c>
      <c r="F572" s="2">
        <v>19</v>
      </c>
      <c r="G572" s="2">
        <v>4</v>
      </c>
      <c r="H572" s="2" t="s">
        <v>51</v>
      </c>
      <c r="I572" s="2">
        <v>1</v>
      </c>
      <c r="J572" s="2">
        <v>791</v>
      </c>
      <c r="K572" s="2">
        <v>4</v>
      </c>
      <c r="L572" s="2" t="s">
        <v>46</v>
      </c>
      <c r="M572" s="2">
        <v>41</v>
      </c>
      <c r="N572" s="2">
        <v>3</v>
      </c>
      <c r="O572" s="2">
        <v>1</v>
      </c>
      <c r="P572" s="2" t="s">
        <v>47</v>
      </c>
      <c r="Q572" s="2">
        <v>4</v>
      </c>
      <c r="R572" s="2" t="s">
        <v>48</v>
      </c>
      <c r="S572" s="2">
        <v>4258</v>
      </c>
      <c r="T572" s="2">
        <v>26589</v>
      </c>
      <c r="U572" s="2">
        <v>0</v>
      </c>
      <c r="V572" s="2" t="s">
        <v>42</v>
      </c>
      <c r="W572" s="2" t="s">
        <v>43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</row>
    <row r="573" spans="1:35" x14ac:dyDescent="0.25">
      <c r="A573" s="2">
        <v>26</v>
      </c>
      <c r="B573" s="2" t="s">
        <v>43</v>
      </c>
      <c r="C573" s="2" t="s">
        <v>44</v>
      </c>
      <c r="D573" s="2">
        <v>575</v>
      </c>
      <c r="E573" s="2" t="s">
        <v>45</v>
      </c>
      <c r="F573" s="2">
        <v>1</v>
      </c>
      <c r="G573" s="2">
        <v>2</v>
      </c>
      <c r="H573" s="2" t="s">
        <v>38</v>
      </c>
      <c r="I573" s="2">
        <v>1</v>
      </c>
      <c r="J573" s="2">
        <v>792</v>
      </c>
      <c r="K573" s="2">
        <v>1</v>
      </c>
      <c r="L573" s="2" t="s">
        <v>39</v>
      </c>
      <c r="M573" s="2">
        <v>71</v>
      </c>
      <c r="N573" s="2">
        <v>1</v>
      </c>
      <c r="O573" s="2">
        <v>1</v>
      </c>
      <c r="P573" s="2" t="s">
        <v>50</v>
      </c>
      <c r="Q573" s="2">
        <v>4</v>
      </c>
      <c r="R573" s="2" t="s">
        <v>52</v>
      </c>
      <c r="S573" s="2">
        <v>4364</v>
      </c>
      <c r="T573" s="2">
        <v>5288</v>
      </c>
      <c r="U573" s="2">
        <v>3</v>
      </c>
      <c r="V573" s="2" t="s">
        <v>42</v>
      </c>
      <c r="W573" s="2" t="s">
        <v>43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</row>
    <row r="574" spans="1:35" x14ac:dyDescent="0.25">
      <c r="A574" s="2">
        <v>29</v>
      </c>
      <c r="B574" s="2" t="s">
        <v>43</v>
      </c>
      <c r="C574" s="2" t="s">
        <v>36</v>
      </c>
      <c r="D574" s="2">
        <v>657</v>
      </c>
      <c r="E574" s="2" t="s">
        <v>45</v>
      </c>
      <c r="F574" s="2">
        <v>27</v>
      </c>
      <c r="G574" s="2">
        <v>3</v>
      </c>
      <c r="H574" s="2" t="s">
        <v>51</v>
      </c>
      <c r="I574" s="2">
        <v>1</v>
      </c>
      <c r="J574" s="2">
        <v>793</v>
      </c>
      <c r="K574" s="2">
        <v>2</v>
      </c>
      <c r="L574" s="2" t="s">
        <v>39</v>
      </c>
      <c r="M574" s="2">
        <v>66</v>
      </c>
      <c r="N574" s="2">
        <v>3</v>
      </c>
      <c r="O574" s="2">
        <v>2</v>
      </c>
      <c r="P574" s="2" t="s">
        <v>54</v>
      </c>
      <c r="Q574" s="2">
        <v>3</v>
      </c>
      <c r="R574" s="2" t="s">
        <v>48</v>
      </c>
      <c r="S574" s="2">
        <v>4335</v>
      </c>
      <c r="T574" s="2">
        <v>25549</v>
      </c>
      <c r="U574" s="2">
        <v>4</v>
      </c>
      <c r="V574" s="2" t="s">
        <v>42</v>
      </c>
      <c r="W574" s="2" t="s">
        <v>43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</row>
    <row r="575" spans="1:35" x14ac:dyDescent="0.25">
      <c r="A575" s="2">
        <v>26</v>
      </c>
      <c r="B575" s="2" t="s">
        <v>35</v>
      </c>
      <c r="C575" s="2" t="s">
        <v>36</v>
      </c>
      <c r="D575" s="2">
        <v>1146</v>
      </c>
      <c r="E575" s="2" t="s">
        <v>37</v>
      </c>
      <c r="F575" s="2">
        <v>8</v>
      </c>
      <c r="G575" s="2">
        <v>3</v>
      </c>
      <c r="H575" s="2" t="s">
        <v>60</v>
      </c>
      <c r="I575" s="2">
        <v>1</v>
      </c>
      <c r="J575" s="2">
        <v>796</v>
      </c>
      <c r="K575" s="2">
        <v>4</v>
      </c>
      <c r="L575" s="2" t="s">
        <v>46</v>
      </c>
      <c r="M575" s="2">
        <v>38</v>
      </c>
      <c r="N575" s="2">
        <v>2</v>
      </c>
      <c r="O575" s="2">
        <v>2</v>
      </c>
      <c r="P575" s="2" t="s">
        <v>40</v>
      </c>
      <c r="Q575" s="2">
        <v>1</v>
      </c>
      <c r="R575" s="2" t="s">
        <v>41</v>
      </c>
      <c r="S575" s="2">
        <v>5326</v>
      </c>
      <c r="T575" s="2">
        <v>3064</v>
      </c>
      <c r="U575" s="2">
        <v>6</v>
      </c>
      <c r="V575" s="2" t="s">
        <v>42</v>
      </c>
      <c r="W575" s="2" t="s">
        <v>43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</row>
    <row r="576" spans="1:35" x14ac:dyDescent="0.25">
      <c r="A576" s="2">
        <v>34</v>
      </c>
      <c r="B576" s="2" t="s">
        <v>43</v>
      </c>
      <c r="C576" s="2" t="s">
        <v>36</v>
      </c>
      <c r="D576" s="2">
        <v>182</v>
      </c>
      <c r="E576" s="2" t="s">
        <v>45</v>
      </c>
      <c r="F576" s="2">
        <v>1</v>
      </c>
      <c r="G576" s="2">
        <v>4</v>
      </c>
      <c r="H576" s="2" t="s">
        <v>38</v>
      </c>
      <c r="I576" s="2">
        <v>1</v>
      </c>
      <c r="J576" s="2">
        <v>797</v>
      </c>
      <c r="K576" s="2">
        <v>2</v>
      </c>
      <c r="L576" s="2" t="s">
        <v>39</v>
      </c>
      <c r="M576" s="2">
        <v>72</v>
      </c>
      <c r="N576" s="2">
        <v>4</v>
      </c>
      <c r="O576" s="2">
        <v>1</v>
      </c>
      <c r="P576" s="2" t="s">
        <v>47</v>
      </c>
      <c r="Q576" s="2">
        <v>4</v>
      </c>
      <c r="R576" s="2" t="s">
        <v>41</v>
      </c>
      <c r="S576" s="2">
        <v>3280</v>
      </c>
      <c r="T576" s="2">
        <v>13551</v>
      </c>
      <c r="U576" s="2">
        <v>2</v>
      </c>
      <c r="V576" s="2" t="s">
        <v>42</v>
      </c>
      <c r="W576" s="2" t="s">
        <v>43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</row>
    <row r="577" spans="1:35" x14ac:dyDescent="0.25">
      <c r="A577" s="2">
        <v>54</v>
      </c>
      <c r="B577" s="2" t="s">
        <v>43</v>
      </c>
      <c r="C577" s="2" t="s">
        <v>36</v>
      </c>
      <c r="D577" s="2">
        <v>376</v>
      </c>
      <c r="E577" s="2" t="s">
        <v>45</v>
      </c>
      <c r="F577" s="2">
        <v>19</v>
      </c>
      <c r="G577" s="2">
        <v>4</v>
      </c>
      <c r="H577" s="2" t="s">
        <v>51</v>
      </c>
      <c r="I577" s="2">
        <v>1</v>
      </c>
      <c r="J577" s="2">
        <v>799</v>
      </c>
      <c r="K577" s="2">
        <v>4</v>
      </c>
      <c r="L577" s="2" t="s">
        <v>39</v>
      </c>
      <c r="M577" s="2">
        <v>95</v>
      </c>
      <c r="N577" s="2">
        <v>3</v>
      </c>
      <c r="O577" s="2">
        <v>2</v>
      </c>
      <c r="P577" s="2" t="s">
        <v>53</v>
      </c>
      <c r="Q577" s="2">
        <v>1</v>
      </c>
      <c r="R577" s="2" t="s">
        <v>52</v>
      </c>
      <c r="S577" s="2">
        <v>5485</v>
      </c>
      <c r="T577" s="2">
        <v>22670</v>
      </c>
      <c r="U577" s="2">
        <v>9</v>
      </c>
      <c r="V577" s="2" t="s">
        <v>42</v>
      </c>
      <c r="W577" s="2" t="s">
        <v>35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</row>
    <row r="578" spans="1:35" x14ac:dyDescent="0.25">
      <c r="A578" s="2">
        <v>27</v>
      </c>
      <c r="B578" s="2" t="s">
        <v>43</v>
      </c>
      <c r="C578" s="2" t="s">
        <v>44</v>
      </c>
      <c r="D578" s="2">
        <v>829</v>
      </c>
      <c r="E578" s="2" t="s">
        <v>37</v>
      </c>
      <c r="F578" s="2">
        <v>8</v>
      </c>
      <c r="G578" s="2">
        <v>1</v>
      </c>
      <c r="H578" s="2" t="s">
        <v>59</v>
      </c>
      <c r="I578" s="2">
        <v>1</v>
      </c>
      <c r="J578" s="2">
        <v>800</v>
      </c>
      <c r="K578" s="2">
        <v>3</v>
      </c>
      <c r="L578" s="2" t="s">
        <v>46</v>
      </c>
      <c r="M578" s="2">
        <v>84</v>
      </c>
      <c r="N578" s="2">
        <v>3</v>
      </c>
      <c r="O578" s="2">
        <v>2</v>
      </c>
      <c r="P578" s="2" t="s">
        <v>40</v>
      </c>
      <c r="Q578" s="2">
        <v>4</v>
      </c>
      <c r="R578" s="2" t="s">
        <v>48</v>
      </c>
      <c r="S578" s="2">
        <v>4342</v>
      </c>
      <c r="T578" s="2">
        <v>24008</v>
      </c>
      <c r="U578" s="2">
        <v>0</v>
      </c>
      <c r="V578" s="2" t="s">
        <v>42</v>
      </c>
      <c r="W578" s="2" t="s">
        <v>43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</row>
    <row r="579" spans="1:35" x14ac:dyDescent="0.25">
      <c r="A579" s="2">
        <v>37</v>
      </c>
      <c r="B579" s="2" t="s">
        <v>43</v>
      </c>
      <c r="C579" s="2" t="s">
        <v>36</v>
      </c>
      <c r="D579" s="2">
        <v>571</v>
      </c>
      <c r="E579" s="2" t="s">
        <v>45</v>
      </c>
      <c r="F579" s="2">
        <v>10</v>
      </c>
      <c r="G579" s="2">
        <v>1</v>
      </c>
      <c r="H579" s="2" t="s">
        <v>38</v>
      </c>
      <c r="I579" s="2">
        <v>1</v>
      </c>
      <c r="J579" s="2">
        <v>802</v>
      </c>
      <c r="K579" s="2">
        <v>4</v>
      </c>
      <c r="L579" s="2" t="s">
        <v>39</v>
      </c>
      <c r="M579" s="2">
        <v>82</v>
      </c>
      <c r="N579" s="2">
        <v>3</v>
      </c>
      <c r="O579" s="2">
        <v>1</v>
      </c>
      <c r="P579" s="2" t="s">
        <v>47</v>
      </c>
      <c r="Q579" s="2">
        <v>1</v>
      </c>
      <c r="R579" s="2" t="s">
        <v>52</v>
      </c>
      <c r="S579" s="2">
        <v>2782</v>
      </c>
      <c r="T579" s="2">
        <v>19905</v>
      </c>
      <c r="U579" s="2">
        <v>0</v>
      </c>
      <c r="V579" s="2" t="s">
        <v>42</v>
      </c>
      <c r="W579" s="2" t="s">
        <v>35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</row>
    <row r="580" spans="1:35" x14ac:dyDescent="0.25">
      <c r="A580" s="2">
        <v>38</v>
      </c>
      <c r="B580" s="2" t="s">
        <v>43</v>
      </c>
      <c r="C580" s="2" t="s">
        <v>44</v>
      </c>
      <c r="D580" s="2">
        <v>240</v>
      </c>
      <c r="E580" s="2" t="s">
        <v>45</v>
      </c>
      <c r="F580" s="2">
        <v>2</v>
      </c>
      <c r="G580" s="2">
        <v>4</v>
      </c>
      <c r="H580" s="2" t="s">
        <v>38</v>
      </c>
      <c r="I580" s="2">
        <v>1</v>
      </c>
      <c r="J580" s="2">
        <v>803</v>
      </c>
      <c r="K580" s="2">
        <v>1</v>
      </c>
      <c r="L580" s="2" t="s">
        <v>39</v>
      </c>
      <c r="M580" s="2">
        <v>75</v>
      </c>
      <c r="N580" s="2">
        <v>4</v>
      </c>
      <c r="O580" s="2">
        <v>2</v>
      </c>
      <c r="P580" s="2" t="s">
        <v>53</v>
      </c>
      <c r="Q580" s="2">
        <v>1</v>
      </c>
      <c r="R580" s="2" t="s">
        <v>41</v>
      </c>
      <c r="S580" s="2">
        <v>5980</v>
      </c>
      <c r="T580" s="2">
        <v>26085</v>
      </c>
      <c r="U580" s="2">
        <v>6</v>
      </c>
      <c r="V580" s="2" t="s">
        <v>42</v>
      </c>
      <c r="W580" s="2" t="s">
        <v>35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</row>
    <row r="581" spans="1:35" x14ac:dyDescent="0.25">
      <c r="A581" s="2">
        <v>34</v>
      </c>
      <c r="B581" s="2" t="s">
        <v>43</v>
      </c>
      <c r="C581" s="2" t="s">
        <v>36</v>
      </c>
      <c r="D581" s="2">
        <v>121</v>
      </c>
      <c r="E581" s="2" t="s">
        <v>45</v>
      </c>
      <c r="F581" s="2">
        <v>2</v>
      </c>
      <c r="G581" s="2">
        <v>4</v>
      </c>
      <c r="H581" s="2" t="s">
        <v>51</v>
      </c>
      <c r="I581" s="2">
        <v>1</v>
      </c>
      <c r="J581" s="2">
        <v>804</v>
      </c>
      <c r="K581" s="2">
        <v>3</v>
      </c>
      <c r="L581" s="2" t="s">
        <v>39</v>
      </c>
      <c r="M581" s="2">
        <v>86</v>
      </c>
      <c r="N581" s="2">
        <v>2</v>
      </c>
      <c r="O581" s="2">
        <v>1</v>
      </c>
      <c r="P581" s="2" t="s">
        <v>47</v>
      </c>
      <c r="Q581" s="2">
        <v>1</v>
      </c>
      <c r="R581" s="2" t="s">
        <v>41</v>
      </c>
      <c r="S581" s="2">
        <v>4381</v>
      </c>
      <c r="T581" s="2">
        <v>7530</v>
      </c>
      <c r="U581" s="2">
        <v>1</v>
      </c>
      <c r="V581" s="2" t="s">
        <v>42</v>
      </c>
      <c r="W581" s="2" t="s">
        <v>43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</row>
    <row r="582" spans="1:35" x14ac:dyDescent="0.25">
      <c r="A582" s="2">
        <v>35</v>
      </c>
      <c r="B582" s="2" t="s">
        <v>43</v>
      </c>
      <c r="C582" s="2" t="s">
        <v>36</v>
      </c>
      <c r="D582" s="2">
        <v>384</v>
      </c>
      <c r="E582" s="2" t="s">
        <v>37</v>
      </c>
      <c r="F582" s="2">
        <v>8</v>
      </c>
      <c r="G582" s="2">
        <v>4</v>
      </c>
      <c r="H582" s="2" t="s">
        <v>38</v>
      </c>
      <c r="I582" s="2">
        <v>1</v>
      </c>
      <c r="J582" s="2">
        <v>805</v>
      </c>
      <c r="K582" s="2">
        <v>1</v>
      </c>
      <c r="L582" s="2" t="s">
        <v>39</v>
      </c>
      <c r="M582" s="2">
        <v>72</v>
      </c>
      <c r="N582" s="2">
        <v>3</v>
      </c>
      <c r="O582" s="2">
        <v>1</v>
      </c>
      <c r="P582" s="2" t="s">
        <v>57</v>
      </c>
      <c r="Q582" s="2">
        <v>4</v>
      </c>
      <c r="R582" s="2" t="s">
        <v>48</v>
      </c>
      <c r="S582" s="2">
        <v>2572</v>
      </c>
      <c r="T582" s="2">
        <v>20317</v>
      </c>
      <c r="U582" s="2">
        <v>1</v>
      </c>
      <c r="V582" s="2" t="s">
        <v>42</v>
      </c>
      <c r="W582" s="2" t="s">
        <v>43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</row>
    <row r="583" spans="1:35" x14ac:dyDescent="0.25">
      <c r="A583" s="2">
        <v>30</v>
      </c>
      <c r="B583" s="2" t="s">
        <v>43</v>
      </c>
      <c r="C583" s="2" t="s">
        <v>36</v>
      </c>
      <c r="D583" s="2">
        <v>921</v>
      </c>
      <c r="E583" s="2" t="s">
        <v>45</v>
      </c>
      <c r="F583" s="2">
        <v>1</v>
      </c>
      <c r="G583" s="2">
        <v>3</v>
      </c>
      <c r="H583" s="2" t="s">
        <v>38</v>
      </c>
      <c r="I583" s="2">
        <v>1</v>
      </c>
      <c r="J583" s="2">
        <v>806</v>
      </c>
      <c r="K583" s="2">
        <v>4</v>
      </c>
      <c r="L583" s="2" t="s">
        <v>46</v>
      </c>
      <c r="M583" s="2">
        <v>38</v>
      </c>
      <c r="N583" s="2">
        <v>1</v>
      </c>
      <c r="O583" s="2">
        <v>1</v>
      </c>
      <c r="P583" s="2" t="s">
        <v>50</v>
      </c>
      <c r="Q583" s="2">
        <v>3</v>
      </c>
      <c r="R583" s="2" t="s">
        <v>48</v>
      </c>
      <c r="S583" s="2">
        <v>3833</v>
      </c>
      <c r="T583" s="2">
        <v>24375</v>
      </c>
      <c r="U583" s="2">
        <v>3</v>
      </c>
      <c r="V583" s="2" t="s">
        <v>42</v>
      </c>
      <c r="W583" s="2" t="s">
        <v>43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</row>
    <row r="584" spans="1:35" x14ac:dyDescent="0.25">
      <c r="A584" s="2">
        <v>40</v>
      </c>
      <c r="B584" s="2" t="s">
        <v>43</v>
      </c>
      <c r="C584" s="2" t="s">
        <v>44</v>
      </c>
      <c r="D584" s="2">
        <v>791</v>
      </c>
      <c r="E584" s="2" t="s">
        <v>45</v>
      </c>
      <c r="F584" s="2">
        <v>2</v>
      </c>
      <c r="G584" s="2">
        <v>2</v>
      </c>
      <c r="H584" s="2" t="s">
        <v>51</v>
      </c>
      <c r="I584" s="2">
        <v>1</v>
      </c>
      <c r="J584" s="2">
        <v>807</v>
      </c>
      <c r="K584" s="2">
        <v>3</v>
      </c>
      <c r="L584" s="2" t="s">
        <v>39</v>
      </c>
      <c r="M584" s="2">
        <v>38</v>
      </c>
      <c r="N584" s="2">
        <v>4</v>
      </c>
      <c r="O584" s="2">
        <v>2</v>
      </c>
      <c r="P584" s="2" t="s">
        <v>54</v>
      </c>
      <c r="Q584" s="2">
        <v>2</v>
      </c>
      <c r="R584" s="2" t="s">
        <v>48</v>
      </c>
      <c r="S584" s="2">
        <v>4244</v>
      </c>
      <c r="T584" s="2">
        <v>9931</v>
      </c>
      <c r="U584" s="2">
        <v>1</v>
      </c>
      <c r="V584" s="2" t="s">
        <v>42</v>
      </c>
      <c r="W584" s="2" t="s">
        <v>43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</row>
    <row r="585" spans="1:35" x14ac:dyDescent="0.25">
      <c r="A585" s="2">
        <v>34</v>
      </c>
      <c r="B585" s="2" t="s">
        <v>43</v>
      </c>
      <c r="C585" s="2" t="s">
        <v>36</v>
      </c>
      <c r="D585" s="2">
        <v>1111</v>
      </c>
      <c r="E585" s="2" t="s">
        <v>37</v>
      </c>
      <c r="F585" s="2">
        <v>8</v>
      </c>
      <c r="G585" s="2">
        <v>2</v>
      </c>
      <c r="H585" s="2" t="s">
        <v>38</v>
      </c>
      <c r="I585" s="2">
        <v>1</v>
      </c>
      <c r="J585" s="2">
        <v>808</v>
      </c>
      <c r="K585" s="2">
        <v>3</v>
      </c>
      <c r="L585" s="2" t="s">
        <v>39</v>
      </c>
      <c r="M585" s="2">
        <v>93</v>
      </c>
      <c r="N585" s="2">
        <v>3</v>
      </c>
      <c r="O585" s="2">
        <v>2</v>
      </c>
      <c r="P585" s="2" t="s">
        <v>40</v>
      </c>
      <c r="Q585" s="2">
        <v>1</v>
      </c>
      <c r="R585" s="2" t="s">
        <v>48</v>
      </c>
      <c r="S585" s="2">
        <v>6500</v>
      </c>
      <c r="T585" s="2">
        <v>13305</v>
      </c>
      <c r="U585" s="2">
        <v>5</v>
      </c>
      <c r="V585" s="2" t="s">
        <v>42</v>
      </c>
      <c r="W585" s="2" t="s">
        <v>43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</row>
    <row r="586" spans="1:35" x14ac:dyDescent="0.25">
      <c r="A586" s="2">
        <v>42</v>
      </c>
      <c r="B586" s="2" t="s">
        <v>43</v>
      </c>
      <c r="C586" s="2" t="s">
        <v>44</v>
      </c>
      <c r="D586" s="2">
        <v>570</v>
      </c>
      <c r="E586" s="2" t="s">
        <v>45</v>
      </c>
      <c r="F586" s="2">
        <v>8</v>
      </c>
      <c r="G586" s="2">
        <v>3</v>
      </c>
      <c r="H586" s="2" t="s">
        <v>38</v>
      </c>
      <c r="I586" s="2">
        <v>1</v>
      </c>
      <c r="J586" s="2">
        <v>809</v>
      </c>
      <c r="K586" s="2">
        <v>2</v>
      </c>
      <c r="L586" s="2" t="s">
        <v>46</v>
      </c>
      <c r="M586" s="2">
        <v>66</v>
      </c>
      <c r="N586" s="2">
        <v>3</v>
      </c>
      <c r="O586" s="2">
        <v>5</v>
      </c>
      <c r="P586" s="2" t="s">
        <v>56</v>
      </c>
      <c r="Q586" s="2">
        <v>4</v>
      </c>
      <c r="R586" s="2" t="s">
        <v>52</v>
      </c>
      <c r="S586" s="2">
        <v>18430</v>
      </c>
      <c r="T586" s="2">
        <v>16225</v>
      </c>
      <c r="U586" s="2">
        <v>1</v>
      </c>
      <c r="V586" s="2" t="s">
        <v>42</v>
      </c>
      <c r="W586" s="2" t="s">
        <v>43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</row>
    <row r="587" spans="1:35" x14ac:dyDescent="0.25">
      <c r="A587" s="2">
        <v>23</v>
      </c>
      <c r="B587" s="2" t="s">
        <v>35</v>
      </c>
      <c r="C587" s="2" t="s">
        <v>36</v>
      </c>
      <c r="D587" s="2">
        <v>1243</v>
      </c>
      <c r="E587" s="2" t="s">
        <v>45</v>
      </c>
      <c r="F587" s="2">
        <v>6</v>
      </c>
      <c r="G587" s="2">
        <v>3</v>
      </c>
      <c r="H587" s="2" t="s">
        <v>38</v>
      </c>
      <c r="I587" s="2">
        <v>1</v>
      </c>
      <c r="J587" s="2">
        <v>811</v>
      </c>
      <c r="K587" s="2">
        <v>3</v>
      </c>
      <c r="L587" s="2" t="s">
        <v>46</v>
      </c>
      <c r="M587" s="2">
        <v>63</v>
      </c>
      <c r="N587" s="2">
        <v>4</v>
      </c>
      <c r="O587" s="2">
        <v>1</v>
      </c>
      <c r="P587" s="2" t="s">
        <v>50</v>
      </c>
      <c r="Q587" s="2">
        <v>1</v>
      </c>
      <c r="R587" s="2" t="s">
        <v>48</v>
      </c>
      <c r="S587" s="2">
        <v>1601</v>
      </c>
      <c r="T587" s="2">
        <v>3445</v>
      </c>
      <c r="U587" s="2">
        <v>1</v>
      </c>
      <c r="V587" s="2" t="s">
        <v>42</v>
      </c>
      <c r="W587" s="2" t="s">
        <v>35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</row>
    <row r="588" spans="1:35" x14ac:dyDescent="0.25">
      <c r="A588" s="2">
        <v>24</v>
      </c>
      <c r="B588" s="2" t="s">
        <v>43</v>
      </c>
      <c r="C588" s="2" t="s">
        <v>55</v>
      </c>
      <c r="D588" s="2">
        <v>1092</v>
      </c>
      <c r="E588" s="2" t="s">
        <v>45</v>
      </c>
      <c r="F588" s="2">
        <v>9</v>
      </c>
      <c r="G588" s="2">
        <v>3</v>
      </c>
      <c r="H588" s="2" t="s">
        <v>38</v>
      </c>
      <c r="I588" s="2">
        <v>1</v>
      </c>
      <c r="J588" s="2">
        <v>812</v>
      </c>
      <c r="K588" s="2">
        <v>3</v>
      </c>
      <c r="L588" s="2" t="s">
        <v>46</v>
      </c>
      <c r="M588" s="2">
        <v>60</v>
      </c>
      <c r="N588" s="2">
        <v>2</v>
      </c>
      <c r="O588" s="2">
        <v>1</v>
      </c>
      <c r="P588" s="2" t="s">
        <v>50</v>
      </c>
      <c r="Q588" s="2">
        <v>2</v>
      </c>
      <c r="R588" s="2" t="s">
        <v>52</v>
      </c>
      <c r="S588" s="2">
        <v>2694</v>
      </c>
      <c r="T588" s="2">
        <v>26551</v>
      </c>
      <c r="U588" s="2">
        <v>1</v>
      </c>
      <c r="V588" s="2" t="s">
        <v>42</v>
      </c>
      <c r="W588" s="2" t="s">
        <v>43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</row>
    <row r="589" spans="1:35" x14ac:dyDescent="0.25">
      <c r="A589" s="2">
        <v>52</v>
      </c>
      <c r="B589" s="2" t="s">
        <v>43</v>
      </c>
      <c r="C589" s="2" t="s">
        <v>36</v>
      </c>
      <c r="D589" s="2">
        <v>1325</v>
      </c>
      <c r="E589" s="2" t="s">
        <v>45</v>
      </c>
      <c r="F589" s="2">
        <v>11</v>
      </c>
      <c r="G589" s="2">
        <v>4</v>
      </c>
      <c r="H589" s="2" t="s">
        <v>38</v>
      </c>
      <c r="I589" s="2">
        <v>1</v>
      </c>
      <c r="J589" s="2">
        <v>813</v>
      </c>
      <c r="K589" s="2">
        <v>4</v>
      </c>
      <c r="L589" s="2" t="s">
        <v>39</v>
      </c>
      <c r="M589" s="2">
        <v>82</v>
      </c>
      <c r="N589" s="2">
        <v>3</v>
      </c>
      <c r="O589" s="2">
        <v>2</v>
      </c>
      <c r="P589" s="2" t="s">
        <v>50</v>
      </c>
      <c r="Q589" s="2">
        <v>3</v>
      </c>
      <c r="R589" s="2" t="s">
        <v>48</v>
      </c>
      <c r="S589" s="2">
        <v>3149</v>
      </c>
      <c r="T589" s="2">
        <v>21821</v>
      </c>
      <c r="U589" s="2">
        <v>8</v>
      </c>
      <c r="V589" s="2" t="s">
        <v>42</v>
      </c>
      <c r="W589" s="2" t="s">
        <v>43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</row>
    <row r="590" spans="1:35" x14ac:dyDescent="0.25">
      <c r="A590" s="2">
        <v>50</v>
      </c>
      <c r="B590" s="2" t="s">
        <v>43</v>
      </c>
      <c r="C590" s="2" t="s">
        <v>36</v>
      </c>
      <c r="D590" s="2">
        <v>691</v>
      </c>
      <c r="E590" s="2" t="s">
        <v>45</v>
      </c>
      <c r="F590" s="2">
        <v>2</v>
      </c>
      <c r="G590" s="2">
        <v>3</v>
      </c>
      <c r="H590" s="2" t="s">
        <v>51</v>
      </c>
      <c r="I590" s="2">
        <v>1</v>
      </c>
      <c r="J590" s="2">
        <v>815</v>
      </c>
      <c r="K590" s="2">
        <v>3</v>
      </c>
      <c r="L590" s="2" t="s">
        <v>46</v>
      </c>
      <c r="M590" s="2">
        <v>64</v>
      </c>
      <c r="N590" s="2">
        <v>3</v>
      </c>
      <c r="O590" s="2">
        <v>4</v>
      </c>
      <c r="P590" s="2" t="s">
        <v>58</v>
      </c>
      <c r="Q590" s="2">
        <v>3</v>
      </c>
      <c r="R590" s="2" t="s">
        <v>48</v>
      </c>
      <c r="S590" s="2">
        <v>17639</v>
      </c>
      <c r="T590" s="2">
        <v>6881</v>
      </c>
      <c r="U590" s="2">
        <v>5</v>
      </c>
      <c r="V590" s="2" t="s">
        <v>42</v>
      </c>
      <c r="W590" s="2" t="s">
        <v>43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</row>
    <row r="591" spans="1:35" x14ac:dyDescent="0.25">
      <c r="A591" s="2">
        <v>29</v>
      </c>
      <c r="B591" s="2" t="s">
        <v>35</v>
      </c>
      <c r="C591" s="2" t="s">
        <v>36</v>
      </c>
      <c r="D591" s="2">
        <v>805</v>
      </c>
      <c r="E591" s="2" t="s">
        <v>45</v>
      </c>
      <c r="F591" s="2">
        <v>1</v>
      </c>
      <c r="G591" s="2">
        <v>2</v>
      </c>
      <c r="H591" s="2" t="s">
        <v>38</v>
      </c>
      <c r="I591" s="2">
        <v>1</v>
      </c>
      <c r="J591" s="2">
        <v>816</v>
      </c>
      <c r="K591" s="2">
        <v>2</v>
      </c>
      <c r="L591" s="2" t="s">
        <v>39</v>
      </c>
      <c r="M591" s="2">
        <v>36</v>
      </c>
      <c r="N591" s="2">
        <v>2</v>
      </c>
      <c r="O591" s="2">
        <v>1</v>
      </c>
      <c r="P591" s="2" t="s">
        <v>50</v>
      </c>
      <c r="Q591" s="2">
        <v>1</v>
      </c>
      <c r="R591" s="2" t="s">
        <v>48</v>
      </c>
      <c r="S591" s="2">
        <v>2319</v>
      </c>
      <c r="T591" s="2">
        <v>6689</v>
      </c>
      <c r="U591" s="2">
        <v>1</v>
      </c>
      <c r="V591" s="2" t="s">
        <v>42</v>
      </c>
      <c r="W591" s="2" t="s">
        <v>35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</row>
    <row r="592" spans="1:35" x14ac:dyDescent="0.25">
      <c r="A592" s="2">
        <v>33</v>
      </c>
      <c r="B592" s="2" t="s">
        <v>43</v>
      </c>
      <c r="C592" s="2" t="s">
        <v>36</v>
      </c>
      <c r="D592" s="2">
        <v>213</v>
      </c>
      <c r="E592" s="2" t="s">
        <v>45</v>
      </c>
      <c r="F592" s="2">
        <v>7</v>
      </c>
      <c r="G592" s="2">
        <v>3</v>
      </c>
      <c r="H592" s="2" t="s">
        <v>51</v>
      </c>
      <c r="I592" s="2">
        <v>1</v>
      </c>
      <c r="J592" s="2">
        <v>817</v>
      </c>
      <c r="K592" s="2">
        <v>3</v>
      </c>
      <c r="L592" s="2" t="s">
        <v>46</v>
      </c>
      <c r="M592" s="2">
        <v>49</v>
      </c>
      <c r="N592" s="2">
        <v>3</v>
      </c>
      <c r="O592" s="2">
        <v>3</v>
      </c>
      <c r="P592" s="2" t="s">
        <v>58</v>
      </c>
      <c r="Q592" s="2">
        <v>3</v>
      </c>
      <c r="R592" s="2" t="s">
        <v>48</v>
      </c>
      <c r="S592" s="2">
        <v>11691</v>
      </c>
      <c r="T592" s="2">
        <v>25995</v>
      </c>
      <c r="U592" s="2">
        <v>0</v>
      </c>
      <c r="V592" s="2" t="s">
        <v>42</v>
      </c>
      <c r="W592" s="2" t="s">
        <v>43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</row>
    <row r="593" spans="1:35" x14ac:dyDescent="0.25">
      <c r="A593" s="2">
        <v>33</v>
      </c>
      <c r="B593" s="2" t="s">
        <v>35</v>
      </c>
      <c r="C593" s="2" t="s">
        <v>36</v>
      </c>
      <c r="D593" s="2">
        <v>118</v>
      </c>
      <c r="E593" s="2" t="s">
        <v>37</v>
      </c>
      <c r="F593" s="2">
        <v>16</v>
      </c>
      <c r="G593" s="2">
        <v>3</v>
      </c>
      <c r="H593" s="2" t="s">
        <v>59</v>
      </c>
      <c r="I593" s="2">
        <v>1</v>
      </c>
      <c r="J593" s="2">
        <v>819</v>
      </c>
      <c r="K593" s="2">
        <v>1</v>
      </c>
      <c r="L593" s="2" t="s">
        <v>39</v>
      </c>
      <c r="M593" s="2">
        <v>69</v>
      </c>
      <c r="N593" s="2">
        <v>3</v>
      </c>
      <c r="O593" s="2">
        <v>2</v>
      </c>
      <c r="P593" s="2" t="s">
        <v>40</v>
      </c>
      <c r="Q593" s="2">
        <v>1</v>
      </c>
      <c r="R593" s="2" t="s">
        <v>41</v>
      </c>
      <c r="S593" s="2">
        <v>5324</v>
      </c>
      <c r="T593" s="2">
        <v>26507</v>
      </c>
      <c r="U593" s="2">
        <v>5</v>
      </c>
      <c r="V593" s="2" t="s">
        <v>42</v>
      </c>
      <c r="W593" s="2" t="s">
        <v>43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</row>
    <row r="594" spans="1:35" x14ac:dyDescent="0.25">
      <c r="A594" s="2">
        <v>47</v>
      </c>
      <c r="B594" s="2" t="s">
        <v>43</v>
      </c>
      <c r="C594" s="2" t="s">
        <v>36</v>
      </c>
      <c r="D594" s="2">
        <v>202</v>
      </c>
      <c r="E594" s="2" t="s">
        <v>45</v>
      </c>
      <c r="F594" s="2">
        <v>2</v>
      </c>
      <c r="G594" s="2">
        <v>2</v>
      </c>
      <c r="H594" s="2" t="s">
        <v>49</v>
      </c>
      <c r="I594" s="2">
        <v>1</v>
      </c>
      <c r="J594" s="2">
        <v>820</v>
      </c>
      <c r="K594" s="2">
        <v>3</v>
      </c>
      <c r="L594" s="2" t="s">
        <v>39</v>
      </c>
      <c r="M594" s="2">
        <v>33</v>
      </c>
      <c r="N594" s="2">
        <v>3</v>
      </c>
      <c r="O594" s="2">
        <v>4</v>
      </c>
      <c r="P594" s="2" t="s">
        <v>56</v>
      </c>
      <c r="Q594" s="2">
        <v>4</v>
      </c>
      <c r="R594" s="2" t="s">
        <v>48</v>
      </c>
      <c r="S594" s="2">
        <v>16752</v>
      </c>
      <c r="T594" s="2">
        <v>12982</v>
      </c>
      <c r="U594" s="2">
        <v>1</v>
      </c>
      <c r="V594" s="2" t="s">
        <v>42</v>
      </c>
      <c r="W594" s="2" t="s">
        <v>35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</row>
    <row r="595" spans="1:35" x14ac:dyDescent="0.25">
      <c r="A595" s="2">
        <v>36</v>
      </c>
      <c r="B595" s="2" t="s">
        <v>43</v>
      </c>
      <c r="C595" s="2" t="s">
        <v>36</v>
      </c>
      <c r="D595" s="2">
        <v>676</v>
      </c>
      <c r="E595" s="2" t="s">
        <v>45</v>
      </c>
      <c r="F595" s="2">
        <v>1</v>
      </c>
      <c r="G595" s="2">
        <v>3</v>
      </c>
      <c r="H595" s="2" t="s">
        <v>49</v>
      </c>
      <c r="I595" s="2">
        <v>1</v>
      </c>
      <c r="J595" s="2">
        <v>823</v>
      </c>
      <c r="K595" s="2">
        <v>3</v>
      </c>
      <c r="L595" s="2" t="s">
        <v>39</v>
      </c>
      <c r="M595" s="2">
        <v>35</v>
      </c>
      <c r="N595" s="2">
        <v>3</v>
      </c>
      <c r="O595" s="2">
        <v>2</v>
      </c>
      <c r="P595" s="2" t="s">
        <v>53</v>
      </c>
      <c r="Q595" s="2">
        <v>2</v>
      </c>
      <c r="R595" s="2" t="s">
        <v>48</v>
      </c>
      <c r="S595" s="2">
        <v>5228</v>
      </c>
      <c r="T595" s="2">
        <v>23361</v>
      </c>
      <c r="U595" s="2">
        <v>0</v>
      </c>
      <c r="V595" s="2" t="s">
        <v>42</v>
      </c>
      <c r="W595" s="2" t="s">
        <v>43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</row>
    <row r="596" spans="1:35" x14ac:dyDescent="0.25">
      <c r="A596" s="2">
        <v>29</v>
      </c>
      <c r="B596" s="2" t="s">
        <v>43</v>
      </c>
      <c r="C596" s="2" t="s">
        <v>36</v>
      </c>
      <c r="D596" s="2">
        <v>1252</v>
      </c>
      <c r="E596" s="2" t="s">
        <v>45</v>
      </c>
      <c r="F596" s="2">
        <v>23</v>
      </c>
      <c r="G596" s="2">
        <v>2</v>
      </c>
      <c r="H596" s="2" t="s">
        <v>38</v>
      </c>
      <c r="I596" s="2">
        <v>1</v>
      </c>
      <c r="J596" s="2">
        <v>824</v>
      </c>
      <c r="K596" s="2">
        <v>3</v>
      </c>
      <c r="L596" s="2" t="s">
        <v>46</v>
      </c>
      <c r="M596" s="2">
        <v>81</v>
      </c>
      <c r="N596" s="2">
        <v>4</v>
      </c>
      <c r="O596" s="2">
        <v>1</v>
      </c>
      <c r="P596" s="2" t="s">
        <v>47</v>
      </c>
      <c r="Q596" s="2">
        <v>3</v>
      </c>
      <c r="R596" s="2" t="s">
        <v>48</v>
      </c>
      <c r="S596" s="2">
        <v>2700</v>
      </c>
      <c r="T596" s="2">
        <v>23779</v>
      </c>
      <c r="U596" s="2">
        <v>1</v>
      </c>
      <c r="V596" s="2" t="s">
        <v>42</v>
      </c>
      <c r="W596" s="2" t="s">
        <v>43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</row>
    <row r="597" spans="1:35" x14ac:dyDescent="0.25">
      <c r="A597" s="2">
        <v>58</v>
      </c>
      <c r="B597" s="2" t="s">
        <v>35</v>
      </c>
      <c r="C597" s="2" t="s">
        <v>36</v>
      </c>
      <c r="D597" s="2">
        <v>286</v>
      </c>
      <c r="E597" s="2" t="s">
        <v>45</v>
      </c>
      <c r="F597" s="2">
        <v>2</v>
      </c>
      <c r="G597" s="2">
        <v>4</v>
      </c>
      <c r="H597" s="2" t="s">
        <v>38</v>
      </c>
      <c r="I597" s="2">
        <v>1</v>
      </c>
      <c r="J597" s="2">
        <v>825</v>
      </c>
      <c r="K597" s="2">
        <v>4</v>
      </c>
      <c r="L597" s="2" t="s">
        <v>46</v>
      </c>
      <c r="M597" s="2">
        <v>31</v>
      </c>
      <c r="N597" s="2">
        <v>3</v>
      </c>
      <c r="O597" s="2">
        <v>5</v>
      </c>
      <c r="P597" s="2" t="s">
        <v>58</v>
      </c>
      <c r="Q597" s="2">
        <v>2</v>
      </c>
      <c r="R597" s="2" t="s">
        <v>41</v>
      </c>
      <c r="S597" s="2">
        <v>19246</v>
      </c>
      <c r="T597" s="2">
        <v>25761</v>
      </c>
      <c r="U597" s="2">
        <v>7</v>
      </c>
      <c r="V597" s="2" t="s">
        <v>42</v>
      </c>
      <c r="W597" s="2" t="s">
        <v>35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</row>
    <row r="598" spans="1:35" x14ac:dyDescent="0.25">
      <c r="A598" s="2">
        <v>35</v>
      </c>
      <c r="B598" s="2" t="s">
        <v>43</v>
      </c>
      <c r="C598" s="2" t="s">
        <v>36</v>
      </c>
      <c r="D598" s="2">
        <v>1258</v>
      </c>
      <c r="E598" s="2" t="s">
        <v>45</v>
      </c>
      <c r="F598" s="2">
        <v>1</v>
      </c>
      <c r="G598" s="2">
        <v>4</v>
      </c>
      <c r="H598" s="2" t="s">
        <v>38</v>
      </c>
      <c r="I598" s="2">
        <v>1</v>
      </c>
      <c r="J598" s="2">
        <v>826</v>
      </c>
      <c r="K598" s="2">
        <v>4</v>
      </c>
      <c r="L598" s="2" t="s">
        <v>39</v>
      </c>
      <c r="M598" s="2">
        <v>40</v>
      </c>
      <c r="N598" s="2">
        <v>4</v>
      </c>
      <c r="O598" s="2">
        <v>1</v>
      </c>
      <c r="P598" s="2" t="s">
        <v>47</v>
      </c>
      <c r="Q598" s="2">
        <v>3</v>
      </c>
      <c r="R598" s="2" t="s">
        <v>41</v>
      </c>
      <c r="S598" s="2">
        <v>2506</v>
      </c>
      <c r="T598" s="2">
        <v>13301</v>
      </c>
      <c r="U598" s="2">
        <v>3</v>
      </c>
      <c r="V598" s="2" t="s">
        <v>42</v>
      </c>
      <c r="W598" s="2" t="s">
        <v>43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</row>
    <row r="599" spans="1:35" x14ac:dyDescent="0.25">
      <c r="A599" s="2">
        <v>42</v>
      </c>
      <c r="B599" s="2" t="s">
        <v>43</v>
      </c>
      <c r="C599" s="2" t="s">
        <v>36</v>
      </c>
      <c r="D599" s="2">
        <v>932</v>
      </c>
      <c r="E599" s="2" t="s">
        <v>45</v>
      </c>
      <c r="F599" s="2">
        <v>1</v>
      </c>
      <c r="G599" s="2">
        <v>2</v>
      </c>
      <c r="H599" s="2" t="s">
        <v>38</v>
      </c>
      <c r="I599" s="2">
        <v>1</v>
      </c>
      <c r="J599" s="2">
        <v>827</v>
      </c>
      <c r="K599" s="2">
        <v>4</v>
      </c>
      <c r="L599" s="2" t="s">
        <v>39</v>
      </c>
      <c r="M599" s="2">
        <v>43</v>
      </c>
      <c r="N599" s="2">
        <v>2</v>
      </c>
      <c r="O599" s="2">
        <v>2</v>
      </c>
      <c r="P599" s="2" t="s">
        <v>53</v>
      </c>
      <c r="Q599" s="2">
        <v>4</v>
      </c>
      <c r="R599" s="2" t="s">
        <v>48</v>
      </c>
      <c r="S599" s="2">
        <v>6062</v>
      </c>
      <c r="T599" s="2">
        <v>4051</v>
      </c>
      <c r="U599" s="2">
        <v>9</v>
      </c>
      <c r="V599" s="2" t="s">
        <v>42</v>
      </c>
      <c r="W599" s="2" t="s">
        <v>35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</row>
    <row r="600" spans="1:35" x14ac:dyDescent="0.25">
      <c r="A600" s="2">
        <v>28</v>
      </c>
      <c r="B600" s="2" t="s">
        <v>35</v>
      </c>
      <c r="C600" s="2" t="s">
        <v>36</v>
      </c>
      <c r="D600" s="2">
        <v>890</v>
      </c>
      <c r="E600" s="2" t="s">
        <v>45</v>
      </c>
      <c r="F600" s="2">
        <v>2</v>
      </c>
      <c r="G600" s="2">
        <v>4</v>
      </c>
      <c r="H600" s="2" t="s">
        <v>51</v>
      </c>
      <c r="I600" s="2">
        <v>1</v>
      </c>
      <c r="J600" s="2">
        <v>828</v>
      </c>
      <c r="K600" s="2">
        <v>3</v>
      </c>
      <c r="L600" s="2" t="s">
        <v>46</v>
      </c>
      <c r="M600" s="2">
        <v>46</v>
      </c>
      <c r="N600" s="2">
        <v>3</v>
      </c>
      <c r="O600" s="2">
        <v>1</v>
      </c>
      <c r="P600" s="2" t="s">
        <v>47</v>
      </c>
      <c r="Q600" s="2">
        <v>3</v>
      </c>
      <c r="R600" s="2" t="s">
        <v>41</v>
      </c>
      <c r="S600" s="2">
        <v>4382</v>
      </c>
      <c r="T600" s="2">
        <v>16374</v>
      </c>
      <c r="U600" s="2">
        <v>6</v>
      </c>
      <c r="V600" s="2" t="s">
        <v>42</v>
      </c>
      <c r="W600" s="2" t="s">
        <v>43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</row>
    <row r="601" spans="1:35" x14ac:dyDescent="0.25">
      <c r="A601" s="2">
        <v>36</v>
      </c>
      <c r="B601" s="2" t="s">
        <v>43</v>
      </c>
      <c r="C601" s="2" t="s">
        <v>36</v>
      </c>
      <c r="D601" s="2">
        <v>1041</v>
      </c>
      <c r="E601" s="2" t="s">
        <v>61</v>
      </c>
      <c r="F601" s="2">
        <v>13</v>
      </c>
      <c r="G601" s="2">
        <v>3</v>
      </c>
      <c r="H601" s="2" t="s">
        <v>61</v>
      </c>
      <c r="I601" s="2">
        <v>1</v>
      </c>
      <c r="J601" s="2">
        <v>829</v>
      </c>
      <c r="K601" s="2">
        <v>3</v>
      </c>
      <c r="L601" s="2" t="s">
        <v>46</v>
      </c>
      <c r="M601" s="2">
        <v>36</v>
      </c>
      <c r="N601" s="2">
        <v>3</v>
      </c>
      <c r="O601" s="2">
        <v>1</v>
      </c>
      <c r="P601" s="2" t="s">
        <v>61</v>
      </c>
      <c r="Q601" s="2">
        <v>2</v>
      </c>
      <c r="R601" s="2" t="s">
        <v>48</v>
      </c>
      <c r="S601" s="2">
        <v>2143</v>
      </c>
      <c r="T601" s="2">
        <v>25527</v>
      </c>
      <c r="U601" s="2">
        <v>4</v>
      </c>
      <c r="V601" s="2" t="s">
        <v>42</v>
      </c>
      <c r="W601" s="2" t="s">
        <v>43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</row>
    <row r="602" spans="1:35" x14ac:dyDescent="0.25">
      <c r="A602" s="2">
        <v>32</v>
      </c>
      <c r="B602" s="2" t="s">
        <v>43</v>
      </c>
      <c r="C602" s="2" t="s">
        <v>36</v>
      </c>
      <c r="D602" s="2">
        <v>859</v>
      </c>
      <c r="E602" s="2" t="s">
        <v>45</v>
      </c>
      <c r="F602" s="2">
        <v>4</v>
      </c>
      <c r="G602" s="2">
        <v>3</v>
      </c>
      <c r="H602" s="2" t="s">
        <v>38</v>
      </c>
      <c r="I602" s="2">
        <v>1</v>
      </c>
      <c r="J602" s="2">
        <v>830</v>
      </c>
      <c r="K602" s="2">
        <v>3</v>
      </c>
      <c r="L602" s="2" t="s">
        <v>39</v>
      </c>
      <c r="M602" s="2">
        <v>98</v>
      </c>
      <c r="N602" s="2">
        <v>2</v>
      </c>
      <c r="O602" s="2">
        <v>2</v>
      </c>
      <c r="P602" s="2" t="s">
        <v>53</v>
      </c>
      <c r="Q602" s="2">
        <v>3</v>
      </c>
      <c r="R602" s="2" t="s">
        <v>48</v>
      </c>
      <c r="S602" s="2">
        <v>6162</v>
      </c>
      <c r="T602" s="2">
        <v>19124</v>
      </c>
      <c r="U602" s="2">
        <v>1</v>
      </c>
      <c r="V602" s="2" t="s">
        <v>42</v>
      </c>
      <c r="W602" s="2" t="s">
        <v>43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</row>
    <row r="603" spans="1:35" x14ac:dyDescent="0.25">
      <c r="A603" s="2">
        <v>40</v>
      </c>
      <c r="B603" s="2" t="s">
        <v>43</v>
      </c>
      <c r="C603" s="2" t="s">
        <v>44</v>
      </c>
      <c r="D603" s="2">
        <v>720</v>
      </c>
      <c r="E603" s="2" t="s">
        <v>45</v>
      </c>
      <c r="F603" s="2">
        <v>16</v>
      </c>
      <c r="G603" s="2">
        <v>4</v>
      </c>
      <c r="H603" s="2" t="s">
        <v>51</v>
      </c>
      <c r="I603" s="2">
        <v>1</v>
      </c>
      <c r="J603" s="2">
        <v>832</v>
      </c>
      <c r="K603" s="2">
        <v>1</v>
      </c>
      <c r="L603" s="2" t="s">
        <v>46</v>
      </c>
      <c r="M603" s="2">
        <v>51</v>
      </c>
      <c r="N603" s="2">
        <v>2</v>
      </c>
      <c r="O603" s="2">
        <v>2</v>
      </c>
      <c r="P603" s="2" t="s">
        <v>50</v>
      </c>
      <c r="Q603" s="2">
        <v>3</v>
      </c>
      <c r="R603" s="2" t="s">
        <v>41</v>
      </c>
      <c r="S603" s="2">
        <v>5094</v>
      </c>
      <c r="T603" s="2">
        <v>11983</v>
      </c>
      <c r="U603" s="2">
        <v>6</v>
      </c>
      <c r="V603" s="2" t="s">
        <v>42</v>
      </c>
      <c r="W603" s="2" t="s">
        <v>43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</row>
    <row r="604" spans="1:35" x14ac:dyDescent="0.25">
      <c r="A604" s="2">
        <v>30</v>
      </c>
      <c r="B604" s="2" t="s">
        <v>43</v>
      </c>
      <c r="C604" s="2" t="s">
        <v>36</v>
      </c>
      <c r="D604" s="2">
        <v>946</v>
      </c>
      <c r="E604" s="2" t="s">
        <v>45</v>
      </c>
      <c r="F604" s="2">
        <v>2</v>
      </c>
      <c r="G604" s="2">
        <v>3</v>
      </c>
      <c r="H604" s="2" t="s">
        <v>51</v>
      </c>
      <c r="I604" s="2">
        <v>1</v>
      </c>
      <c r="J604" s="2">
        <v>833</v>
      </c>
      <c r="K604" s="2">
        <v>3</v>
      </c>
      <c r="L604" s="2" t="s">
        <v>39</v>
      </c>
      <c r="M604" s="2">
        <v>52</v>
      </c>
      <c r="N604" s="2">
        <v>2</v>
      </c>
      <c r="O604" s="2">
        <v>2</v>
      </c>
      <c r="P604" s="2" t="s">
        <v>53</v>
      </c>
      <c r="Q604" s="2">
        <v>4</v>
      </c>
      <c r="R604" s="2" t="s">
        <v>41</v>
      </c>
      <c r="S604" s="2">
        <v>6877</v>
      </c>
      <c r="T604" s="2">
        <v>20234</v>
      </c>
      <c r="U604" s="2">
        <v>5</v>
      </c>
      <c r="V604" s="2" t="s">
        <v>42</v>
      </c>
      <c r="W604" s="2" t="s">
        <v>35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</row>
    <row r="605" spans="1:35" x14ac:dyDescent="0.25">
      <c r="A605" s="2">
        <v>45</v>
      </c>
      <c r="B605" s="2" t="s">
        <v>43</v>
      </c>
      <c r="C605" s="2" t="s">
        <v>36</v>
      </c>
      <c r="D605" s="2">
        <v>252</v>
      </c>
      <c r="E605" s="2" t="s">
        <v>45</v>
      </c>
      <c r="F605" s="2">
        <v>2</v>
      </c>
      <c r="G605" s="2">
        <v>3</v>
      </c>
      <c r="H605" s="2" t="s">
        <v>38</v>
      </c>
      <c r="I605" s="2">
        <v>1</v>
      </c>
      <c r="J605" s="2">
        <v>834</v>
      </c>
      <c r="K605" s="2">
        <v>2</v>
      </c>
      <c r="L605" s="2" t="s">
        <v>39</v>
      </c>
      <c r="M605" s="2">
        <v>95</v>
      </c>
      <c r="N605" s="2">
        <v>2</v>
      </c>
      <c r="O605" s="2">
        <v>1</v>
      </c>
      <c r="P605" s="2" t="s">
        <v>47</v>
      </c>
      <c r="Q605" s="2">
        <v>3</v>
      </c>
      <c r="R605" s="2" t="s">
        <v>41</v>
      </c>
      <c r="S605" s="2">
        <v>2274</v>
      </c>
      <c r="T605" s="2">
        <v>6153</v>
      </c>
      <c r="U605" s="2">
        <v>1</v>
      </c>
      <c r="V605" s="2" t="s">
        <v>42</v>
      </c>
      <c r="W605" s="2" t="s">
        <v>43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</row>
    <row r="606" spans="1:35" x14ac:dyDescent="0.25">
      <c r="A606" s="2">
        <v>42</v>
      </c>
      <c r="B606" s="2" t="s">
        <v>43</v>
      </c>
      <c r="C606" s="2" t="s">
        <v>36</v>
      </c>
      <c r="D606" s="2">
        <v>933</v>
      </c>
      <c r="E606" s="2" t="s">
        <v>45</v>
      </c>
      <c r="F606" s="2">
        <v>29</v>
      </c>
      <c r="G606" s="2">
        <v>3</v>
      </c>
      <c r="H606" s="2" t="s">
        <v>38</v>
      </c>
      <c r="I606" s="2">
        <v>1</v>
      </c>
      <c r="J606" s="2">
        <v>836</v>
      </c>
      <c r="K606" s="2">
        <v>2</v>
      </c>
      <c r="L606" s="2" t="s">
        <v>46</v>
      </c>
      <c r="M606" s="2">
        <v>98</v>
      </c>
      <c r="N606" s="2">
        <v>3</v>
      </c>
      <c r="O606" s="2">
        <v>2</v>
      </c>
      <c r="P606" s="2" t="s">
        <v>53</v>
      </c>
      <c r="Q606" s="2">
        <v>2</v>
      </c>
      <c r="R606" s="2" t="s">
        <v>48</v>
      </c>
      <c r="S606" s="2">
        <v>4434</v>
      </c>
      <c r="T606" s="2">
        <v>11806</v>
      </c>
      <c r="U606" s="2">
        <v>1</v>
      </c>
      <c r="V606" s="2" t="s">
        <v>42</v>
      </c>
      <c r="W606" s="2" t="s">
        <v>43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</row>
    <row r="607" spans="1:35" x14ac:dyDescent="0.25">
      <c r="A607" s="2">
        <v>38</v>
      </c>
      <c r="B607" s="2" t="s">
        <v>43</v>
      </c>
      <c r="C607" s="2" t="s">
        <v>44</v>
      </c>
      <c r="D607" s="2">
        <v>471</v>
      </c>
      <c r="E607" s="2" t="s">
        <v>45</v>
      </c>
      <c r="F607" s="2">
        <v>12</v>
      </c>
      <c r="G607" s="2">
        <v>3</v>
      </c>
      <c r="H607" s="2" t="s">
        <v>38</v>
      </c>
      <c r="I607" s="2">
        <v>1</v>
      </c>
      <c r="J607" s="2">
        <v>837</v>
      </c>
      <c r="K607" s="2">
        <v>1</v>
      </c>
      <c r="L607" s="2" t="s">
        <v>46</v>
      </c>
      <c r="M607" s="2">
        <v>45</v>
      </c>
      <c r="N607" s="2">
        <v>2</v>
      </c>
      <c r="O607" s="2">
        <v>2</v>
      </c>
      <c r="P607" s="2" t="s">
        <v>54</v>
      </c>
      <c r="Q607" s="2">
        <v>1</v>
      </c>
      <c r="R607" s="2" t="s">
        <v>52</v>
      </c>
      <c r="S607" s="2">
        <v>6288</v>
      </c>
      <c r="T607" s="2">
        <v>4284</v>
      </c>
      <c r="U607" s="2">
        <v>2</v>
      </c>
      <c r="V607" s="2" t="s">
        <v>42</v>
      </c>
      <c r="W607" s="2" t="s">
        <v>43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</row>
    <row r="608" spans="1:35" x14ac:dyDescent="0.25">
      <c r="A608" s="2">
        <v>34</v>
      </c>
      <c r="B608" s="2" t="s">
        <v>43</v>
      </c>
      <c r="C608" s="2" t="s">
        <v>44</v>
      </c>
      <c r="D608" s="2">
        <v>702</v>
      </c>
      <c r="E608" s="2" t="s">
        <v>45</v>
      </c>
      <c r="F608" s="2">
        <v>16</v>
      </c>
      <c r="G608" s="2">
        <v>4</v>
      </c>
      <c r="H608" s="2" t="s">
        <v>38</v>
      </c>
      <c r="I608" s="2">
        <v>1</v>
      </c>
      <c r="J608" s="2">
        <v>838</v>
      </c>
      <c r="K608" s="2">
        <v>3</v>
      </c>
      <c r="L608" s="2" t="s">
        <v>39</v>
      </c>
      <c r="M608" s="2">
        <v>100</v>
      </c>
      <c r="N608" s="2">
        <v>2</v>
      </c>
      <c r="O608" s="2">
        <v>1</v>
      </c>
      <c r="P608" s="2" t="s">
        <v>47</v>
      </c>
      <c r="Q608" s="2">
        <v>4</v>
      </c>
      <c r="R608" s="2" t="s">
        <v>41</v>
      </c>
      <c r="S608" s="2">
        <v>2553</v>
      </c>
      <c r="T608" s="2">
        <v>8306</v>
      </c>
      <c r="U608" s="2">
        <v>1</v>
      </c>
      <c r="V608" s="2" t="s">
        <v>42</v>
      </c>
      <c r="W608" s="2" t="s">
        <v>43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</row>
    <row r="609" spans="1:35" x14ac:dyDescent="0.25">
      <c r="A609" s="2">
        <v>49</v>
      </c>
      <c r="B609" s="2" t="s">
        <v>35</v>
      </c>
      <c r="C609" s="2" t="s">
        <v>36</v>
      </c>
      <c r="D609" s="2">
        <v>1184</v>
      </c>
      <c r="E609" s="2" t="s">
        <v>37</v>
      </c>
      <c r="F609" s="2">
        <v>11</v>
      </c>
      <c r="G609" s="2">
        <v>3</v>
      </c>
      <c r="H609" s="2" t="s">
        <v>59</v>
      </c>
      <c r="I609" s="2">
        <v>1</v>
      </c>
      <c r="J609" s="2">
        <v>840</v>
      </c>
      <c r="K609" s="2">
        <v>3</v>
      </c>
      <c r="L609" s="2" t="s">
        <v>39</v>
      </c>
      <c r="M609" s="2">
        <v>43</v>
      </c>
      <c r="N609" s="2">
        <v>3</v>
      </c>
      <c r="O609" s="2">
        <v>3</v>
      </c>
      <c r="P609" s="2" t="s">
        <v>40</v>
      </c>
      <c r="Q609" s="2">
        <v>4</v>
      </c>
      <c r="R609" s="2" t="s">
        <v>48</v>
      </c>
      <c r="S609" s="2">
        <v>7654</v>
      </c>
      <c r="T609" s="2">
        <v>5860</v>
      </c>
      <c r="U609" s="2">
        <v>1</v>
      </c>
      <c r="V609" s="2" t="s">
        <v>42</v>
      </c>
      <c r="W609" s="2" t="s">
        <v>43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</row>
    <row r="610" spans="1:35" x14ac:dyDescent="0.25">
      <c r="A610" s="2">
        <v>55</v>
      </c>
      <c r="B610" s="2" t="s">
        <v>35</v>
      </c>
      <c r="C610" s="2" t="s">
        <v>36</v>
      </c>
      <c r="D610" s="2">
        <v>436</v>
      </c>
      <c r="E610" s="2" t="s">
        <v>37</v>
      </c>
      <c r="F610" s="2">
        <v>2</v>
      </c>
      <c r="G610" s="2">
        <v>1</v>
      </c>
      <c r="H610" s="2" t="s">
        <v>51</v>
      </c>
      <c r="I610" s="2">
        <v>1</v>
      </c>
      <c r="J610" s="2">
        <v>842</v>
      </c>
      <c r="K610" s="2">
        <v>3</v>
      </c>
      <c r="L610" s="2" t="s">
        <v>46</v>
      </c>
      <c r="M610" s="2">
        <v>37</v>
      </c>
      <c r="N610" s="2">
        <v>3</v>
      </c>
      <c r="O610" s="2">
        <v>2</v>
      </c>
      <c r="P610" s="2" t="s">
        <v>40</v>
      </c>
      <c r="Q610" s="2">
        <v>4</v>
      </c>
      <c r="R610" s="2" t="s">
        <v>41</v>
      </c>
      <c r="S610" s="2">
        <v>5160</v>
      </c>
      <c r="T610" s="2">
        <v>21519</v>
      </c>
      <c r="U610" s="2">
        <v>4</v>
      </c>
      <c r="V610" s="2" t="s">
        <v>42</v>
      </c>
      <c r="W610" s="2" t="s">
        <v>43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</row>
    <row r="611" spans="1:35" x14ac:dyDescent="0.25">
      <c r="A611" s="2">
        <v>43</v>
      </c>
      <c r="B611" s="2" t="s">
        <v>43</v>
      </c>
      <c r="C611" s="2" t="s">
        <v>36</v>
      </c>
      <c r="D611" s="2">
        <v>589</v>
      </c>
      <c r="E611" s="2" t="s">
        <v>45</v>
      </c>
      <c r="F611" s="2">
        <v>14</v>
      </c>
      <c r="G611" s="2">
        <v>2</v>
      </c>
      <c r="H611" s="2" t="s">
        <v>38</v>
      </c>
      <c r="I611" s="2">
        <v>1</v>
      </c>
      <c r="J611" s="2">
        <v>843</v>
      </c>
      <c r="K611" s="2">
        <v>2</v>
      </c>
      <c r="L611" s="2" t="s">
        <v>46</v>
      </c>
      <c r="M611" s="2">
        <v>94</v>
      </c>
      <c r="N611" s="2">
        <v>3</v>
      </c>
      <c r="O611" s="2">
        <v>4</v>
      </c>
      <c r="P611" s="2" t="s">
        <v>58</v>
      </c>
      <c r="Q611" s="2">
        <v>1</v>
      </c>
      <c r="R611" s="2" t="s">
        <v>48</v>
      </c>
      <c r="S611" s="2">
        <v>17159</v>
      </c>
      <c r="T611" s="2">
        <v>5200</v>
      </c>
      <c r="U611" s="2">
        <v>6</v>
      </c>
      <c r="V611" s="2" t="s">
        <v>42</v>
      </c>
      <c r="W611" s="2" t="s">
        <v>43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</row>
    <row r="612" spans="1:35" x14ac:dyDescent="0.25">
      <c r="A612" s="2">
        <v>27</v>
      </c>
      <c r="B612" s="2" t="s">
        <v>43</v>
      </c>
      <c r="C612" s="2" t="s">
        <v>36</v>
      </c>
      <c r="D612" s="2">
        <v>269</v>
      </c>
      <c r="E612" s="2" t="s">
        <v>45</v>
      </c>
      <c r="F612" s="2">
        <v>5</v>
      </c>
      <c r="G612" s="2">
        <v>1</v>
      </c>
      <c r="H612" s="2" t="s">
        <v>60</v>
      </c>
      <c r="I612" s="2">
        <v>1</v>
      </c>
      <c r="J612" s="2">
        <v>844</v>
      </c>
      <c r="K612" s="2">
        <v>3</v>
      </c>
      <c r="L612" s="2" t="s">
        <v>46</v>
      </c>
      <c r="M612" s="2">
        <v>42</v>
      </c>
      <c r="N612" s="2">
        <v>2</v>
      </c>
      <c r="O612" s="2">
        <v>3</v>
      </c>
      <c r="P612" s="2" t="s">
        <v>58</v>
      </c>
      <c r="Q612" s="2">
        <v>4</v>
      </c>
      <c r="R612" s="2" t="s">
        <v>52</v>
      </c>
      <c r="S612" s="2">
        <v>12808</v>
      </c>
      <c r="T612" s="2">
        <v>8842</v>
      </c>
      <c r="U612" s="2">
        <v>1</v>
      </c>
      <c r="V612" s="2" t="s">
        <v>42</v>
      </c>
      <c r="W612" s="2" t="s">
        <v>35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</row>
    <row r="613" spans="1:35" x14ac:dyDescent="0.25">
      <c r="A613" s="2">
        <v>35</v>
      </c>
      <c r="B613" s="2" t="s">
        <v>43</v>
      </c>
      <c r="C613" s="2" t="s">
        <v>36</v>
      </c>
      <c r="D613" s="2">
        <v>950</v>
      </c>
      <c r="E613" s="2" t="s">
        <v>45</v>
      </c>
      <c r="F613" s="2">
        <v>7</v>
      </c>
      <c r="G613" s="2">
        <v>3</v>
      </c>
      <c r="H613" s="2" t="s">
        <v>49</v>
      </c>
      <c r="I613" s="2">
        <v>1</v>
      </c>
      <c r="J613" s="2">
        <v>845</v>
      </c>
      <c r="K613" s="2">
        <v>3</v>
      </c>
      <c r="L613" s="2" t="s">
        <v>46</v>
      </c>
      <c r="M613" s="2">
        <v>59</v>
      </c>
      <c r="N613" s="2">
        <v>3</v>
      </c>
      <c r="O613" s="2">
        <v>3</v>
      </c>
      <c r="P613" s="2" t="s">
        <v>53</v>
      </c>
      <c r="Q613" s="2">
        <v>3</v>
      </c>
      <c r="R613" s="2" t="s">
        <v>41</v>
      </c>
      <c r="S613" s="2">
        <v>10221</v>
      </c>
      <c r="T613" s="2">
        <v>18869</v>
      </c>
      <c r="U613" s="2">
        <v>3</v>
      </c>
      <c r="V613" s="2" t="s">
        <v>42</v>
      </c>
      <c r="W613" s="2" t="s">
        <v>43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</row>
    <row r="614" spans="1:35" x14ac:dyDescent="0.25">
      <c r="A614" s="2">
        <v>28</v>
      </c>
      <c r="B614" s="2" t="s">
        <v>43</v>
      </c>
      <c r="C614" s="2" t="s">
        <v>36</v>
      </c>
      <c r="D614" s="2">
        <v>760</v>
      </c>
      <c r="E614" s="2" t="s">
        <v>37</v>
      </c>
      <c r="F614" s="2">
        <v>2</v>
      </c>
      <c r="G614" s="2">
        <v>4</v>
      </c>
      <c r="H614" s="2" t="s">
        <v>59</v>
      </c>
      <c r="I614" s="2">
        <v>1</v>
      </c>
      <c r="J614" s="2">
        <v>846</v>
      </c>
      <c r="K614" s="2">
        <v>2</v>
      </c>
      <c r="L614" s="2" t="s">
        <v>39</v>
      </c>
      <c r="M614" s="2">
        <v>81</v>
      </c>
      <c r="N614" s="2">
        <v>3</v>
      </c>
      <c r="O614" s="2">
        <v>2</v>
      </c>
      <c r="P614" s="2" t="s">
        <v>40</v>
      </c>
      <c r="Q614" s="2">
        <v>2</v>
      </c>
      <c r="R614" s="2" t="s">
        <v>48</v>
      </c>
      <c r="S614" s="2">
        <v>4779</v>
      </c>
      <c r="T614" s="2">
        <v>3698</v>
      </c>
      <c r="U614" s="2">
        <v>1</v>
      </c>
      <c r="V614" s="2" t="s">
        <v>42</v>
      </c>
      <c r="W614" s="2" t="s">
        <v>35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</row>
    <row r="615" spans="1:35" x14ac:dyDescent="0.25">
      <c r="A615" s="2">
        <v>34</v>
      </c>
      <c r="B615" s="2" t="s">
        <v>43</v>
      </c>
      <c r="C615" s="2" t="s">
        <v>36</v>
      </c>
      <c r="D615" s="2">
        <v>829</v>
      </c>
      <c r="E615" s="2" t="s">
        <v>61</v>
      </c>
      <c r="F615" s="2">
        <v>3</v>
      </c>
      <c r="G615" s="2">
        <v>2</v>
      </c>
      <c r="H615" s="2" t="s">
        <v>61</v>
      </c>
      <c r="I615" s="2">
        <v>1</v>
      </c>
      <c r="J615" s="2">
        <v>847</v>
      </c>
      <c r="K615" s="2">
        <v>3</v>
      </c>
      <c r="L615" s="2" t="s">
        <v>46</v>
      </c>
      <c r="M615" s="2">
        <v>88</v>
      </c>
      <c r="N615" s="2">
        <v>3</v>
      </c>
      <c r="O615" s="2">
        <v>1</v>
      </c>
      <c r="P615" s="2" t="s">
        <v>61</v>
      </c>
      <c r="Q615" s="2">
        <v>4</v>
      </c>
      <c r="R615" s="2" t="s">
        <v>48</v>
      </c>
      <c r="S615" s="2">
        <v>3737</v>
      </c>
      <c r="T615" s="2">
        <v>2243</v>
      </c>
      <c r="U615" s="2">
        <v>0</v>
      </c>
      <c r="V615" s="2" t="s">
        <v>42</v>
      </c>
      <c r="W615" s="2" t="s">
        <v>43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</row>
    <row r="616" spans="1:35" x14ac:dyDescent="0.25">
      <c r="A616" s="2">
        <v>26</v>
      </c>
      <c r="B616" s="2" t="s">
        <v>35</v>
      </c>
      <c r="C616" s="2" t="s">
        <v>44</v>
      </c>
      <c r="D616" s="2">
        <v>887</v>
      </c>
      <c r="E616" s="2" t="s">
        <v>45</v>
      </c>
      <c r="F616" s="2">
        <v>5</v>
      </c>
      <c r="G616" s="2">
        <v>2</v>
      </c>
      <c r="H616" s="2" t="s">
        <v>51</v>
      </c>
      <c r="I616" s="2">
        <v>1</v>
      </c>
      <c r="J616" s="2">
        <v>848</v>
      </c>
      <c r="K616" s="2">
        <v>3</v>
      </c>
      <c r="L616" s="2" t="s">
        <v>39</v>
      </c>
      <c r="M616" s="2">
        <v>88</v>
      </c>
      <c r="N616" s="2">
        <v>2</v>
      </c>
      <c r="O616" s="2">
        <v>1</v>
      </c>
      <c r="P616" s="2" t="s">
        <v>47</v>
      </c>
      <c r="Q616" s="2">
        <v>3</v>
      </c>
      <c r="R616" s="2" t="s">
        <v>48</v>
      </c>
      <c r="S616" s="2">
        <v>2366</v>
      </c>
      <c r="T616" s="2">
        <v>20898</v>
      </c>
      <c r="U616" s="2">
        <v>1</v>
      </c>
      <c r="V616" s="2" t="s">
        <v>42</v>
      </c>
      <c r="W616" s="2" t="s">
        <v>35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</row>
    <row r="617" spans="1:35" x14ac:dyDescent="0.25">
      <c r="A617" s="2">
        <v>27</v>
      </c>
      <c r="B617" s="2" t="s">
        <v>43</v>
      </c>
      <c r="C617" s="2" t="s">
        <v>55</v>
      </c>
      <c r="D617" s="2">
        <v>443</v>
      </c>
      <c r="E617" s="2" t="s">
        <v>45</v>
      </c>
      <c r="F617" s="2">
        <v>3</v>
      </c>
      <c r="G617" s="2">
        <v>3</v>
      </c>
      <c r="H617" s="2" t="s">
        <v>51</v>
      </c>
      <c r="I617" s="2">
        <v>1</v>
      </c>
      <c r="J617" s="2">
        <v>850</v>
      </c>
      <c r="K617" s="2">
        <v>4</v>
      </c>
      <c r="L617" s="2" t="s">
        <v>46</v>
      </c>
      <c r="M617" s="2">
        <v>50</v>
      </c>
      <c r="N617" s="2">
        <v>3</v>
      </c>
      <c r="O617" s="2">
        <v>1</v>
      </c>
      <c r="P617" s="2" t="s">
        <v>47</v>
      </c>
      <c r="Q617" s="2">
        <v>4</v>
      </c>
      <c r="R617" s="2" t="s">
        <v>48</v>
      </c>
      <c r="S617" s="2">
        <v>1706</v>
      </c>
      <c r="T617" s="2">
        <v>16571</v>
      </c>
      <c r="U617" s="2">
        <v>1</v>
      </c>
      <c r="V617" s="2" t="s">
        <v>42</v>
      </c>
      <c r="W617" s="2" t="s">
        <v>43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</row>
    <row r="618" spans="1:35" x14ac:dyDescent="0.25">
      <c r="A618" s="2">
        <v>51</v>
      </c>
      <c r="B618" s="2" t="s">
        <v>43</v>
      </c>
      <c r="C618" s="2" t="s">
        <v>36</v>
      </c>
      <c r="D618" s="2">
        <v>1318</v>
      </c>
      <c r="E618" s="2" t="s">
        <v>37</v>
      </c>
      <c r="F618" s="2">
        <v>26</v>
      </c>
      <c r="G618" s="2">
        <v>4</v>
      </c>
      <c r="H618" s="2" t="s">
        <v>59</v>
      </c>
      <c r="I618" s="2">
        <v>1</v>
      </c>
      <c r="J618" s="2">
        <v>851</v>
      </c>
      <c r="K618" s="2">
        <v>1</v>
      </c>
      <c r="L618" s="2" t="s">
        <v>39</v>
      </c>
      <c r="M618" s="2">
        <v>66</v>
      </c>
      <c r="N618" s="2">
        <v>3</v>
      </c>
      <c r="O618" s="2">
        <v>4</v>
      </c>
      <c r="P618" s="2" t="s">
        <v>56</v>
      </c>
      <c r="Q618" s="2">
        <v>3</v>
      </c>
      <c r="R618" s="2" t="s">
        <v>48</v>
      </c>
      <c r="S618" s="2">
        <v>16307</v>
      </c>
      <c r="T618" s="2">
        <v>5594</v>
      </c>
      <c r="U618" s="2">
        <v>2</v>
      </c>
      <c r="V618" s="2" t="s">
        <v>42</v>
      </c>
      <c r="W618" s="2" t="s">
        <v>43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</row>
    <row r="619" spans="1:35" x14ac:dyDescent="0.25">
      <c r="A619" s="2">
        <v>44</v>
      </c>
      <c r="B619" s="2" t="s">
        <v>43</v>
      </c>
      <c r="C619" s="2" t="s">
        <v>36</v>
      </c>
      <c r="D619" s="2">
        <v>625</v>
      </c>
      <c r="E619" s="2" t="s">
        <v>45</v>
      </c>
      <c r="F619" s="2">
        <v>4</v>
      </c>
      <c r="G619" s="2">
        <v>3</v>
      </c>
      <c r="H619" s="2" t="s">
        <v>51</v>
      </c>
      <c r="I619" s="2">
        <v>1</v>
      </c>
      <c r="J619" s="2">
        <v>852</v>
      </c>
      <c r="K619" s="2">
        <v>4</v>
      </c>
      <c r="L619" s="2" t="s">
        <v>46</v>
      </c>
      <c r="M619" s="2">
        <v>50</v>
      </c>
      <c r="N619" s="2">
        <v>3</v>
      </c>
      <c r="O619" s="2">
        <v>2</v>
      </c>
      <c r="P619" s="2" t="s">
        <v>54</v>
      </c>
      <c r="Q619" s="2">
        <v>2</v>
      </c>
      <c r="R619" s="2" t="s">
        <v>41</v>
      </c>
      <c r="S619" s="2">
        <v>5933</v>
      </c>
      <c r="T619" s="2">
        <v>5197</v>
      </c>
      <c r="U619" s="2">
        <v>9</v>
      </c>
      <c r="V619" s="2" t="s">
        <v>42</v>
      </c>
      <c r="W619" s="2" t="s">
        <v>43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</row>
    <row r="620" spans="1:35" x14ac:dyDescent="0.25">
      <c r="A620" s="2">
        <v>25</v>
      </c>
      <c r="B620" s="2" t="s">
        <v>43</v>
      </c>
      <c r="C620" s="2" t="s">
        <v>36</v>
      </c>
      <c r="D620" s="2">
        <v>180</v>
      </c>
      <c r="E620" s="2" t="s">
        <v>45</v>
      </c>
      <c r="F620" s="2">
        <v>2</v>
      </c>
      <c r="G620" s="2">
        <v>1</v>
      </c>
      <c r="H620" s="2" t="s">
        <v>51</v>
      </c>
      <c r="I620" s="2">
        <v>1</v>
      </c>
      <c r="J620" s="2">
        <v>854</v>
      </c>
      <c r="K620" s="2">
        <v>1</v>
      </c>
      <c r="L620" s="2" t="s">
        <v>46</v>
      </c>
      <c r="M620" s="2">
        <v>65</v>
      </c>
      <c r="N620" s="2">
        <v>4</v>
      </c>
      <c r="O620" s="2">
        <v>1</v>
      </c>
      <c r="P620" s="2" t="s">
        <v>47</v>
      </c>
      <c r="Q620" s="2">
        <v>1</v>
      </c>
      <c r="R620" s="2" t="s">
        <v>41</v>
      </c>
      <c r="S620" s="2">
        <v>3424</v>
      </c>
      <c r="T620" s="2">
        <v>21632</v>
      </c>
      <c r="U620" s="2">
        <v>7</v>
      </c>
      <c r="V620" s="2" t="s">
        <v>42</v>
      </c>
      <c r="W620" s="2" t="s">
        <v>43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</row>
    <row r="621" spans="1:35" x14ac:dyDescent="0.25">
      <c r="A621" s="2">
        <v>33</v>
      </c>
      <c r="B621" s="2" t="s">
        <v>43</v>
      </c>
      <c r="C621" s="2" t="s">
        <v>36</v>
      </c>
      <c r="D621" s="2">
        <v>586</v>
      </c>
      <c r="E621" s="2" t="s">
        <v>37</v>
      </c>
      <c r="F621" s="2">
        <v>1</v>
      </c>
      <c r="G621" s="2">
        <v>3</v>
      </c>
      <c r="H621" s="2" t="s">
        <v>51</v>
      </c>
      <c r="I621" s="2">
        <v>1</v>
      </c>
      <c r="J621" s="2">
        <v>855</v>
      </c>
      <c r="K621" s="2">
        <v>1</v>
      </c>
      <c r="L621" s="2" t="s">
        <v>46</v>
      </c>
      <c r="M621" s="2">
        <v>48</v>
      </c>
      <c r="N621" s="2">
        <v>4</v>
      </c>
      <c r="O621" s="2">
        <v>2</v>
      </c>
      <c r="P621" s="2" t="s">
        <v>40</v>
      </c>
      <c r="Q621" s="2">
        <v>1</v>
      </c>
      <c r="R621" s="2" t="s">
        <v>52</v>
      </c>
      <c r="S621" s="2">
        <v>4037</v>
      </c>
      <c r="T621" s="2">
        <v>21816</v>
      </c>
      <c r="U621" s="2">
        <v>1</v>
      </c>
      <c r="V621" s="2" t="s">
        <v>42</v>
      </c>
      <c r="W621" s="2" t="s">
        <v>43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</row>
    <row r="622" spans="1:35" x14ac:dyDescent="0.25">
      <c r="A622" s="2">
        <v>35</v>
      </c>
      <c r="B622" s="2" t="s">
        <v>43</v>
      </c>
      <c r="C622" s="2" t="s">
        <v>36</v>
      </c>
      <c r="D622" s="2">
        <v>1343</v>
      </c>
      <c r="E622" s="2" t="s">
        <v>45</v>
      </c>
      <c r="F622" s="2">
        <v>27</v>
      </c>
      <c r="G622" s="2">
        <v>1</v>
      </c>
      <c r="H622" s="2" t="s">
        <v>51</v>
      </c>
      <c r="I622" s="2">
        <v>1</v>
      </c>
      <c r="J622" s="2">
        <v>856</v>
      </c>
      <c r="K622" s="2">
        <v>3</v>
      </c>
      <c r="L622" s="2" t="s">
        <v>39</v>
      </c>
      <c r="M622" s="2">
        <v>53</v>
      </c>
      <c r="N622" s="2">
        <v>2</v>
      </c>
      <c r="O622" s="2">
        <v>1</v>
      </c>
      <c r="P622" s="2" t="s">
        <v>47</v>
      </c>
      <c r="Q622" s="2">
        <v>1</v>
      </c>
      <c r="R622" s="2" t="s">
        <v>41</v>
      </c>
      <c r="S622" s="2">
        <v>2559</v>
      </c>
      <c r="T622" s="2">
        <v>17852</v>
      </c>
      <c r="U622" s="2">
        <v>1</v>
      </c>
      <c r="V622" s="2" t="s">
        <v>42</v>
      </c>
      <c r="W622" s="2" t="s">
        <v>43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</row>
    <row r="623" spans="1:35" x14ac:dyDescent="0.25">
      <c r="A623" s="2">
        <v>36</v>
      </c>
      <c r="B623" s="2" t="s">
        <v>43</v>
      </c>
      <c r="C623" s="2" t="s">
        <v>36</v>
      </c>
      <c r="D623" s="2">
        <v>928</v>
      </c>
      <c r="E623" s="2" t="s">
        <v>37</v>
      </c>
      <c r="F623" s="2">
        <v>1</v>
      </c>
      <c r="G623" s="2">
        <v>2</v>
      </c>
      <c r="H623" s="2" t="s">
        <v>38</v>
      </c>
      <c r="I623" s="2">
        <v>1</v>
      </c>
      <c r="J623" s="2">
        <v>857</v>
      </c>
      <c r="K623" s="2">
        <v>2</v>
      </c>
      <c r="L623" s="2" t="s">
        <v>46</v>
      </c>
      <c r="M623" s="2">
        <v>56</v>
      </c>
      <c r="N623" s="2">
        <v>3</v>
      </c>
      <c r="O623" s="2">
        <v>2</v>
      </c>
      <c r="P623" s="2" t="s">
        <v>40</v>
      </c>
      <c r="Q623" s="2">
        <v>4</v>
      </c>
      <c r="R623" s="2" t="s">
        <v>48</v>
      </c>
      <c r="S623" s="2">
        <v>6201</v>
      </c>
      <c r="T623" s="2">
        <v>2823</v>
      </c>
      <c r="U623" s="2">
        <v>1</v>
      </c>
      <c r="V623" s="2" t="s">
        <v>42</v>
      </c>
      <c r="W623" s="2" t="s">
        <v>35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</row>
    <row r="624" spans="1:35" x14ac:dyDescent="0.25">
      <c r="A624" s="2">
        <v>32</v>
      </c>
      <c r="B624" s="2" t="s">
        <v>43</v>
      </c>
      <c r="C624" s="2" t="s">
        <v>36</v>
      </c>
      <c r="D624" s="2">
        <v>117</v>
      </c>
      <c r="E624" s="2" t="s">
        <v>37</v>
      </c>
      <c r="F624" s="2">
        <v>13</v>
      </c>
      <c r="G624" s="2">
        <v>4</v>
      </c>
      <c r="H624" s="2" t="s">
        <v>38</v>
      </c>
      <c r="I624" s="2">
        <v>1</v>
      </c>
      <c r="J624" s="2">
        <v>859</v>
      </c>
      <c r="K624" s="2">
        <v>2</v>
      </c>
      <c r="L624" s="2" t="s">
        <v>46</v>
      </c>
      <c r="M624" s="2">
        <v>73</v>
      </c>
      <c r="N624" s="2">
        <v>3</v>
      </c>
      <c r="O624" s="2">
        <v>2</v>
      </c>
      <c r="P624" s="2" t="s">
        <v>40</v>
      </c>
      <c r="Q624" s="2">
        <v>4</v>
      </c>
      <c r="R624" s="2" t="s">
        <v>52</v>
      </c>
      <c r="S624" s="2">
        <v>4403</v>
      </c>
      <c r="T624" s="2">
        <v>9250</v>
      </c>
      <c r="U624" s="2">
        <v>2</v>
      </c>
      <c r="V624" s="2" t="s">
        <v>42</v>
      </c>
      <c r="W624" s="2" t="s">
        <v>43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</row>
    <row r="625" spans="1:35" x14ac:dyDescent="0.25">
      <c r="A625" s="2">
        <v>30</v>
      </c>
      <c r="B625" s="2" t="s">
        <v>43</v>
      </c>
      <c r="C625" s="2" t="s">
        <v>44</v>
      </c>
      <c r="D625" s="2">
        <v>1012</v>
      </c>
      <c r="E625" s="2" t="s">
        <v>45</v>
      </c>
      <c r="F625" s="2">
        <v>5</v>
      </c>
      <c r="G625" s="2">
        <v>4</v>
      </c>
      <c r="H625" s="2" t="s">
        <v>38</v>
      </c>
      <c r="I625" s="2">
        <v>1</v>
      </c>
      <c r="J625" s="2">
        <v>861</v>
      </c>
      <c r="K625" s="2">
        <v>2</v>
      </c>
      <c r="L625" s="2" t="s">
        <v>46</v>
      </c>
      <c r="M625" s="2">
        <v>75</v>
      </c>
      <c r="N625" s="2">
        <v>2</v>
      </c>
      <c r="O625" s="2">
        <v>1</v>
      </c>
      <c r="P625" s="2" t="s">
        <v>47</v>
      </c>
      <c r="Q625" s="2">
        <v>4</v>
      </c>
      <c r="R625" s="2" t="s">
        <v>52</v>
      </c>
      <c r="S625" s="2">
        <v>3761</v>
      </c>
      <c r="T625" s="2">
        <v>2373</v>
      </c>
      <c r="U625" s="2">
        <v>9</v>
      </c>
      <c r="V625" s="2" t="s">
        <v>42</v>
      </c>
      <c r="W625" s="2" t="s">
        <v>43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</row>
    <row r="626" spans="1:35" x14ac:dyDescent="0.25">
      <c r="A626" s="2">
        <v>53</v>
      </c>
      <c r="B626" s="2" t="s">
        <v>43</v>
      </c>
      <c r="C626" s="2" t="s">
        <v>36</v>
      </c>
      <c r="D626" s="2">
        <v>661</v>
      </c>
      <c r="E626" s="2" t="s">
        <v>37</v>
      </c>
      <c r="F626" s="2">
        <v>7</v>
      </c>
      <c r="G626" s="2">
        <v>2</v>
      </c>
      <c r="H626" s="2" t="s">
        <v>59</v>
      </c>
      <c r="I626" s="2">
        <v>1</v>
      </c>
      <c r="J626" s="2">
        <v>862</v>
      </c>
      <c r="K626" s="2">
        <v>1</v>
      </c>
      <c r="L626" s="2" t="s">
        <v>39</v>
      </c>
      <c r="M626" s="2">
        <v>78</v>
      </c>
      <c r="N626" s="2">
        <v>2</v>
      </c>
      <c r="O626" s="2">
        <v>3</v>
      </c>
      <c r="P626" s="2" t="s">
        <v>40</v>
      </c>
      <c r="Q626" s="2">
        <v>4</v>
      </c>
      <c r="R626" s="2" t="s">
        <v>48</v>
      </c>
      <c r="S626" s="2">
        <v>10934</v>
      </c>
      <c r="T626" s="2">
        <v>20715</v>
      </c>
      <c r="U626" s="2">
        <v>7</v>
      </c>
      <c r="V626" s="2" t="s">
        <v>42</v>
      </c>
      <c r="W626" s="2" t="s">
        <v>35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</row>
    <row r="627" spans="1:35" x14ac:dyDescent="0.25">
      <c r="A627" s="2">
        <v>45</v>
      </c>
      <c r="B627" s="2" t="s">
        <v>43</v>
      </c>
      <c r="C627" s="2" t="s">
        <v>36</v>
      </c>
      <c r="D627" s="2">
        <v>930</v>
      </c>
      <c r="E627" s="2" t="s">
        <v>37</v>
      </c>
      <c r="F627" s="2">
        <v>9</v>
      </c>
      <c r="G627" s="2">
        <v>3</v>
      </c>
      <c r="H627" s="2" t="s">
        <v>59</v>
      </c>
      <c r="I627" s="2">
        <v>1</v>
      </c>
      <c r="J627" s="2">
        <v>864</v>
      </c>
      <c r="K627" s="2">
        <v>4</v>
      </c>
      <c r="L627" s="2" t="s">
        <v>46</v>
      </c>
      <c r="M627" s="2">
        <v>74</v>
      </c>
      <c r="N627" s="2">
        <v>3</v>
      </c>
      <c r="O627" s="2">
        <v>3</v>
      </c>
      <c r="P627" s="2" t="s">
        <v>40</v>
      </c>
      <c r="Q627" s="2">
        <v>1</v>
      </c>
      <c r="R627" s="2" t="s">
        <v>52</v>
      </c>
      <c r="S627" s="2">
        <v>10761</v>
      </c>
      <c r="T627" s="2">
        <v>19239</v>
      </c>
      <c r="U627" s="2">
        <v>4</v>
      </c>
      <c r="V627" s="2" t="s">
        <v>42</v>
      </c>
      <c r="W627" s="2" t="s">
        <v>35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</row>
    <row r="628" spans="1:35" x14ac:dyDescent="0.25">
      <c r="A628" s="2">
        <v>32</v>
      </c>
      <c r="B628" s="2" t="s">
        <v>43</v>
      </c>
      <c r="C628" s="2" t="s">
        <v>36</v>
      </c>
      <c r="D628" s="2">
        <v>638</v>
      </c>
      <c r="E628" s="2" t="s">
        <v>45</v>
      </c>
      <c r="F628" s="2">
        <v>8</v>
      </c>
      <c r="G628" s="2">
        <v>2</v>
      </c>
      <c r="H628" s="2" t="s">
        <v>51</v>
      </c>
      <c r="I628" s="2">
        <v>1</v>
      </c>
      <c r="J628" s="2">
        <v>865</v>
      </c>
      <c r="K628" s="2">
        <v>3</v>
      </c>
      <c r="L628" s="2" t="s">
        <v>39</v>
      </c>
      <c r="M628" s="2">
        <v>91</v>
      </c>
      <c r="N628" s="2">
        <v>4</v>
      </c>
      <c r="O628" s="2">
        <v>2</v>
      </c>
      <c r="P628" s="2" t="s">
        <v>47</v>
      </c>
      <c r="Q628" s="2">
        <v>3</v>
      </c>
      <c r="R628" s="2" t="s">
        <v>48</v>
      </c>
      <c r="S628" s="2">
        <v>5175</v>
      </c>
      <c r="T628" s="2">
        <v>22162</v>
      </c>
      <c r="U628" s="2">
        <v>5</v>
      </c>
      <c r="V628" s="2" t="s">
        <v>42</v>
      </c>
      <c r="W628" s="2" t="s">
        <v>43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</row>
    <row r="629" spans="1:35" x14ac:dyDescent="0.25">
      <c r="A629" s="2">
        <v>52</v>
      </c>
      <c r="B629" s="2" t="s">
        <v>43</v>
      </c>
      <c r="C629" s="2" t="s">
        <v>44</v>
      </c>
      <c r="D629" s="2">
        <v>890</v>
      </c>
      <c r="E629" s="2" t="s">
        <v>45</v>
      </c>
      <c r="F629" s="2">
        <v>25</v>
      </c>
      <c r="G629" s="2">
        <v>4</v>
      </c>
      <c r="H629" s="2" t="s">
        <v>51</v>
      </c>
      <c r="I629" s="2">
        <v>1</v>
      </c>
      <c r="J629" s="2">
        <v>867</v>
      </c>
      <c r="K629" s="2">
        <v>3</v>
      </c>
      <c r="L629" s="2" t="s">
        <v>39</v>
      </c>
      <c r="M629" s="2">
        <v>81</v>
      </c>
      <c r="N629" s="2">
        <v>2</v>
      </c>
      <c r="O629" s="2">
        <v>4</v>
      </c>
      <c r="P629" s="2" t="s">
        <v>53</v>
      </c>
      <c r="Q629" s="2">
        <v>4</v>
      </c>
      <c r="R629" s="2" t="s">
        <v>48</v>
      </c>
      <c r="S629" s="2">
        <v>13826</v>
      </c>
      <c r="T629" s="2">
        <v>19028</v>
      </c>
      <c r="U629" s="2">
        <v>3</v>
      </c>
      <c r="V629" s="2" t="s">
        <v>42</v>
      </c>
      <c r="W629" s="2" t="s">
        <v>43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</row>
    <row r="630" spans="1:35" x14ac:dyDescent="0.25">
      <c r="A630" s="2">
        <v>37</v>
      </c>
      <c r="B630" s="2" t="s">
        <v>43</v>
      </c>
      <c r="C630" s="2" t="s">
        <v>36</v>
      </c>
      <c r="D630" s="2">
        <v>342</v>
      </c>
      <c r="E630" s="2" t="s">
        <v>37</v>
      </c>
      <c r="F630" s="2">
        <v>16</v>
      </c>
      <c r="G630" s="2">
        <v>4</v>
      </c>
      <c r="H630" s="2" t="s">
        <v>59</v>
      </c>
      <c r="I630" s="2">
        <v>1</v>
      </c>
      <c r="J630" s="2">
        <v>868</v>
      </c>
      <c r="K630" s="2">
        <v>4</v>
      </c>
      <c r="L630" s="2" t="s">
        <v>46</v>
      </c>
      <c r="M630" s="2">
        <v>66</v>
      </c>
      <c r="N630" s="2">
        <v>2</v>
      </c>
      <c r="O630" s="2">
        <v>2</v>
      </c>
      <c r="P630" s="2" t="s">
        <v>40</v>
      </c>
      <c r="Q630" s="2">
        <v>3</v>
      </c>
      <c r="R630" s="2" t="s">
        <v>52</v>
      </c>
      <c r="S630" s="2">
        <v>6334</v>
      </c>
      <c r="T630" s="2">
        <v>24558</v>
      </c>
      <c r="U630" s="2">
        <v>4</v>
      </c>
      <c r="V630" s="2" t="s">
        <v>42</v>
      </c>
      <c r="W630" s="2" t="s">
        <v>43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</row>
    <row r="631" spans="1:35" x14ac:dyDescent="0.25">
      <c r="A631" s="2">
        <v>28</v>
      </c>
      <c r="B631" s="2" t="s">
        <v>43</v>
      </c>
      <c r="C631" s="2" t="s">
        <v>36</v>
      </c>
      <c r="D631" s="2">
        <v>1169</v>
      </c>
      <c r="E631" s="2" t="s">
        <v>61</v>
      </c>
      <c r="F631" s="2">
        <v>8</v>
      </c>
      <c r="G631" s="2">
        <v>2</v>
      </c>
      <c r="H631" s="2" t="s">
        <v>51</v>
      </c>
      <c r="I631" s="2">
        <v>1</v>
      </c>
      <c r="J631" s="2">
        <v>869</v>
      </c>
      <c r="K631" s="2">
        <v>2</v>
      </c>
      <c r="L631" s="2" t="s">
        <v>46</v>
      </c>
      <c r="M631" s="2">
        <v>63</v>
      </c>
      <c r="N631" s="2">
        <v>2</v>
      </c>
      <c r="O631" s="2">
        <v>1</v>
      </c>
      <c r="P631" s="2" t="s">
        <v>61</v>
      </c>
      <c r="Q631" s="2">
        <v>4</v>
      </c>
      <c r="R631" s="2" t="s">
        <v>52</v>
      </c>
      <c r="S631" s="2">
        <v>4936</v>
      </c>
      <c r="T631" s="2">
        <v>23965</v>
      </c>
      <c r="U631" s="2">
        <v>1</v>
      </c>
      <c r="V631" s="2" t="s">
        <v>42</v>
      </c>
      <c r="W631" s="2" t="s">
        <v>43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</row>
    <row r="632" spans="1:35" x14ac:dyDescent="0.25">
      <c r="A632" s="2">
        <v>22</v>
      </c>
      <c r="B632" s="2" t="s">
        <v>43</v>
      </c>
      <c r="C632" s="2" t="s">
        <v>36</v>
      </c>
      <c r="D632" s="2">
        <v>1230</v>
      </c>
      <c r="E632" s="2" t="s">
        <v>45</v>
      </c>
      <c r="F632" s="2">
        <v>1</v>
      </c>
      <c r="G632" s="2">
        <v>2</v>
      </c>
      <c r="H632" s="2" t="s">
        <v>38</v>
      </c>
      <c r="I632" s="2">
        <v>1</v>
      </c>
      <c r="J632" s="2">
        <v>872</v>
      </c>
      <c r="K632" s="2">
        <v>4</v>
      </c>
      <c r="L632" s="2" t="s">
        <v>46</v>
      </c>
      <c r="M632" s="2">
        <v>33</v>
      </c>
      <c r="N632" s="2">
        <v>2</v>
      </c>
      <c r="O632" s="2">
        <v>2</v>
      </c>
      <c r="P632" s="2" t="s">
        <v>53</v>
      </c>
      <c r="Q632" s="2">
        <v>4</v>
      </c>
      <c r="R632" s="2" t="s">
        <v>48</v>
      </c>
      <c r="S632" s="2">
        <v>4775</v>
      </c>
      <c r="T632" s="2">
        <v>19146</v>
      </c>
      <c r="U632" s="2">
        <v>6</v>
      </c>
      <c r="V632" s="2" t="s">
        <v>42</v>
      </c>
      <c r="W632" s="2" t="s">
        <v>43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</row>
    <row r="633" spans="1:35" x14ac:dyDescent="0.25">
      <c r="A633" s="2">
        <v>44</v>
      </c>
      <c r="B633" s="2" t="s">
        <v>43</v>
      </c>
      <c r="C633" s="2" t="s">
        <v>36</v>
      </c>
      <c r="D633" s="2">
        <v>986</v>
      </c>
      <c r="E633" s="2" t="s">
        <v>45</v>
      </c>
      <c r="F633" s="2">
        <v>8</v>
      </c>
      <c r="G633" s="2">
        <v>4</v>
      </c>
      <c r="H633" s="2" t="s">
        <v>38</v>
      </c>
      <c r="I633" s="2">
        <v>1</v>
      </c>
      <c r="J633" s="2">
        <v>874</v>
      </c>
      <c r="K633" s="2">
        <v>1</v>
      </c>
      <c r="L633" s="2" t="s">
        <v>46</v>
      </c>
      <c r="M633" s="2">
        <v>62</v>
      </c>
      <c r="N633" s="2">
        <v>4</v>
      </c>
      <c r="O633" s="2">
        <v>1</v>
      </c>
      <c r="P633" s="2" t="s">
        <v>50</v>
      </c>
      <c r="Q633" s="2">
        <v>4</v>
      </c>
      <c r="R633" s="2" t="s">
        <v>48</v>
      </c>
      <c r="S633" s="2">
        <v>2818</v>
      </c>
      <c r="T633" s="2">
        <v>5044</v>
      </c>
      <c r="U633" s="2">
        <v>2</v>
      </c>
      <c r="V633" s="2" t="s">
        <v>42</v>
      </c>
      <c r="W633" s="2" t="s">
        <v>35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</row>
    <row r="634" spans="1:35" x14ac:dyDescent="0.25">
      <c r="A634" s="2">
        <v>42</v>
      </c>
      <c r="B634" s="2" t="s">
        <v>43</v>
      </c>
      <c r="C634" s="2" t="s">
        <v>44</v>
      </c>
      <c r="D634" s="2">
        <v>1271</v>
      </c>
      <c r="E634" s="2" t="s">
        <v>45</v>
      </c>
      <c r="F634" s="2">
        <v>2</v>
      </c>
      <c r="G634" s="2">
        <v>1</v>
      </c>
      <c r="H634" s="2" t="s">
        <v>51</v>
      </c>
      <c r="I634" s="2">
        <v>1</v>
      </c>
      <c r="J634" s="2">
        <v>875</v>
      </c>
      <c r="K634" s="2">
        <v>2</v>
      </c>
      <c r="L634" s="2" t="s">
        <v>46</v>
      </c>
      <c r="M634" s="2">
        <v>35</v>
      </c>
      <c r="N634" s="2">
        <v>3</v>
      </c>
      <c r="O634" s="2">
        <v>1</v>
      </c>
      <c r="P634" s="2" t="s">
        <v>47</v>
      </c>
      <c r="Q634" s="2">
        <v>4</v>
      </c>
      <c r="R634" s="2" t="s">
        <v>41</v>
      </c>
      <c r="S634" s="2">
        <v>2515</v>
      </c>
      <c r="T634" s="2">
        <v>9068</v>
      </c>
      <c r="U634" s="2">
        <v>5</v>
      </c>
      <c r="V634" s="2" t="s">
        <v>42</v>
      </c>
      <c r="W634" s="2" t="s">
        <v>35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</row>
    <row r="635" spans="1:35" x14ac:dyDescent="0.25">
      <c r="A635" s="2">
        <v>36</v>
      </c>
      <c r="B635" s="2" t="s">
        <v>43</v>
      </c>
      <c r="C635" s="2" t="s">
        <v>36</v>
      </c>
      <c r="D635" s="2">
        <v>1278</v>
      </c>
      <c r="E635" s="2" t="s">
        <v>61</v>
      </c>
      <c r="F635" s="2">
        <v>8</v>
      </c>
      <c r="G635" s="2">
        <v>3</v>
      </c>
      <c r="H635" s="2" t="s">
        <v>38</v>
      </c>
      <c r="I635" s="2">
        <v>1</v>
      </c>
      <c r="J635" s="2">
        <v>878</v>
      </c>
      <c r="K635" s="2">
        <v>1</v>
      </c>
      <c r="L635" s="2" t="s">
        <v>46</v>
      </c>
      <c r="M635" s="2">
        <v>77</v>
      </c>
      <c r="N635" s="2">
        <v>2</v>
      </c>
      <c r="O635" s="2">
        <v>1</v>
      </c>
      <c r="P635" s="2" t="s">
        <v>61</v>
      </c>
      <c r="Q635" s="2">
        <v>1</v>
      </c>
      <c r="R635" s="2" t="s">
        <v>48</v>
      </c>
      <c r="S635" s="2">
        <v>2342</v>
      </c>
      <c r="T635" s="2">
        <v>8635</v>
      </c>
      <c r="U635" s="2">
        <v>0</v>
      </c>
      <c r="V635" s="2" t="s">
        <v>42</v>
      </c>
      <c r="W635" s="2" t="s">
        <v>43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</row>
    <row r="636" spans="1:35" x14ac:dyDescent="0.25">
      <c r="A636" s="2">
        <v>25</v>
      </c>
      <c r="B636" s="2" t="s">
        <v>43</v>
      </c>
      <c r="C636" s="2" t="s">
        <v>36</v>
      </c>
      <c r="D636" s="2">
        <v>141</v>
      </c>
      <c r="E636" s="2" t="s">
        <v>37</v>
      </c>
      <c r="F636" s="2">
        <v>3</v>
      </c>
      <c r="G636" s="2">
        <v>1</v>
      </c>
      <c r="H636" s="2" t="s">
        <v>49</v>
      </c>
      <c r="I636" s="2">
        <v>1</v>
      </c>
      <c r="J636" s="2">
        <v>879</v>
      </c>
      <c r="K636" s="2">
        <v>3</v>
      </c>
      <c r="L636" s="2" t="s">
        <v>46</v>
      </c>
      <c r="M636" s="2">
        <v>98</v>
      </c>
      <c r="N636" s="2">
        <v>3</v>
      </c>
      <c r="O636" s="2">
        <v>2</v>
      </c>
      <c r="P636" s="2" t="s">
        <v>40</v>
      </c>
      <c r="Q636" s="2">
        <v>1</v>
      </c>
      <c r="R636" s="2" t="s">
        <v>48</v>
      </c>
      <c r="S636" s="2">
        <v>4194</v>
      </c>
      <c r="T636" s="2">
        <v>14363</v>
      </c>
      <c r="U636" s="2">
        <v>1</v>
      </c>
      <c r="V636" s="2" t="s">
        <v>42</v>
      </c>
      <c r="W636" s="2" t="s">
        <v>35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</row>
    <row r="637" spans="1:35" x14ac:dyDescent="0.25">
      <c r="A637" s="2">
        <v>35</v>
      </c>
      <c r="B637" s="2" t="s">
        <v>43</v>
      </c>
      <c r="C637" s="2" t="s">
        <v>36</v>
      </c>
      <c r="D637" s="2">
        <v>607</v>
      </c>
      <c r="E637" s="2" t="s">
        <v>45</v>
      </c>
      <c r="F637" s="2">
        <v>9</v>
      </c>
      <c r="G637" s="2">
        <v>3</v>
      </c>
      <c r="H637" s="2" t="s">
        <v>38</v>
      </c>
      <c r="I637" s="2">
        <v>1</v>
      </c>
      <c r="J637" s="2">
        <v>880</v>
      </c>
      <c r="K637" s="2">
        <v>4</v>
      </c>
      <c r="L637" s="2" t="s">
        <v>39</v>
      </c>
      <c r="M637" s="2">
        <v>66</v>
      </c>
      <c r="N637" s="2">
        <v>2</v>
      </c>
      <c r="O637" s="2">
        <v>3</v>
      </c>
      <c r="P637" s="2" t="s">
        <v>53</v>
      </c>
      <c r="Q637" s="2">
        <v>3</v>
      </c>
      <c r="R637" s="2" t="s">
        <v>48</v>
      </c>
      <c r="S637" s="2">
        <v>10685</v>
      </c>
      <c r="T637" s="2">
        <v>23457</v>
      </c>
      <c r="U637" s="2">
        <v>1</v>
      </c>
      <c r="V637" s="2" t="s">
        <v>42</v>
      </c>
      <c r="W637" s="2" t="s">
        <v>35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</row>
    <row r="638" spans="1:35" x14ac:dyDescent="0.25">
      <c r="A638" s="2">
        <v>35</v>
      </c>
      <c r="B638" s="2" t="s">
        <v>35</v>
      </c>
      <c r="C638" s="2" t="s">
        <v>44</v>
      </c>
      <c r="D638" s="2">
        <v>130</v>
      </c>
      <c r="E638" s="2" t="s">
        <v>45</v>
      </c>
      <c r="F638" s="2">
        <v>25</v>
      </c>
      <c r="G638" s="2">
        <v>4</v>
      </c>
      <c r="H638" s="2" t="s">
        <v>38</v>
      </c>
      <c r="I638" s="2">
        <v>1</v>
      </c>
      <c r="J638" s="2">
        <v>881</v>
      </c>
      <c r="K638" s="2">
        <v>4</v>
      </c>
      <c r="L638" s="2" t="s">
        <v>39</v>
      </c>
      <c r="M638" s="2">
        <v>96</v>
      </c>
      <c r="N638" s="2">
        <v>3</v>
      </c>
      <c r="O638" s="2">
        <v>1</v>
      </c>
      <c r="P638" s="2" t="s">
        <v>47</v>
      </c>
      <c r="Q638" s="2">
        <v>2</v>
      </c>
      <c r="R638" s="2" t="s">
        <v>52</v>
      </c>
      <c r="S638" s="2">
        <v>2022</v>
      </c>
      <c r="T638" s="2">
        <v>16612</v>
      </c>
      <c r="U638" s="2">
        <v>1</v>
      </c>
      <c r="V638" s="2" t="s">
        <v>42</v>
      </c>
      <c r="W638" s="2" t="s">
        <v>35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</row>
    <row r="639" spans="1:35" x14ac:dyDescent="0.25">
      <c r="A639" s="2">
        <v>32</v>
      </c>
      <c r="B639" s="2" t="s">
        <v>43</v>
      </c>
      <c r="C639" s="2" t="s">
        <v>55</v>
      </c>
      <c r="D639" s="2">
        <v>300</v>
      </c>
      <c r="E639" s="2" t="s">
        <v>45</v>
      </c>
      <c r="F639" s="2">
        <v>1</v>
      </c>
      <c r="G639" s="2">
        <v>3</v>
      </c>
      <c r="H639" s="2" t="s">
        <v>38</v>
      </c>
      <c r="I639" s="2">
        <v>1</v>
      </c>
      <c r="J639" s="2">
        <v>882</v>
      </c>
      <c r="K639" s="2">
        <v>4</v>
      </c>
      <c r="L639" s="2" t="s">
        <v>46</v>
      </c>
      <c r="M639" s="2">
        <v>61</v>
      </c>
      <c r="N639" s="2">
        <v>3</v>
      </c>
      <c r="O639" s="2">
        <v>1</v>
      </c>
      <c r="P639" s="2" t="s">
        <v>50</v>
      </c>
      <c r="Q639" s="2">
        <v>4</v>
      </c>
      <c r="R639" s="2" t="s">
        <v>52</v>
      </c>
      <c r="S639" s="2">
        <v>2314</v>
      </c>
      <c r="T639" s="2">
        <v>9148</v>
      </c>
      <c r="U639" s="2">
        <v>0</v>
      </c>
      <c r="V639" s="2" t="s">
        <v>42</v>
      </c>
      <c r="W639" s="2" t="s">
        <v>43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</row>
    <row r="640" spans="1:35" x14ac:dyDescent="0.25">
      <c r="A640" s="2">
        <v>25</v>
      </c>
      <c r="B640" s="2" t="s">
        <v>43</v>
      </c>
      <c r="C640" s="2" t="s">
        <v>36</v>
      </c>
      <c r="D640" s="2">
        <v>583</v>
      </c>
      <c r="E640" s="2" t="s">
        <v>37</v>
      </c>
      <c r="F640" s="2">
        <v>4</v>
      </c>
      <c r="G640" s="2">
        <v>1</v>
      </c>
      <c r="H640" s="2" t="s">
        <v>59</v>
      </c>
      <c r="I640" s="2">
        <v>1</v>
      </c>
      <c r="J640" s="2">
        <v>885</v>
      </c>
      <c r="K640" s="2">
        <v>3</v>
      </c>
      <c r="L640" s="2" t="s">
        <v>46</v>
      </c>
      <c r="M640" s="2">
        <v>87</v>
      </c>
      <c r="N640" s="2">
        <v>2</v>
      </c>
      <c r="O640" s="2">
        <v>2</v>
      </c>
      <c r="P640" s="2" t="s">
        <v>40</v>
      </c>
      <c r="Q640" s="2">
        <v>1</v>
      </c>
      <c r="R640" s="2" t="s">
        <v>48</v>
      </c>
      <c r="S640" s="2">
        <v>4256</v>
      </c>
      <c r="T640" s="2">
        <v>18154</v>
      </c>
      <c r="U640" s="2">
        <v>1</v>
      </c>
      <c r="V640" s="2" t="s">
        <v>42</v>
      </c>
      <c r="W640" s="2" t="s">
        <v>43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</row>
    <row r="641" spans="1:35" x14ac:dyDescent="0.25">
      <c r="A641" s="2">
        <v>49</v>
      </c>
      <c r="B641" s="2" t="s">
        <v>43</v>
      </c>
      <c r="C641" s="2" t="s">
        <v>36</v>
      </c>
      <c r="D641" s="2">
        <v>1418</v>
      </c>
      <c r="E641" s="2" t="s">
        <v>45</v>
      </c>
      <c r="F641" s="2">
        <v>1</v>
      </c>
      <c r="G641" s="2">
        <v>3</v>
      </c>
      <c r="H641" s="2" t="s">
        <v>60</v>
      </c>
      <c r="I641" s="2">
        <v>1</v>
      </c>
      <c r="J641" s="2">
        <v>887</v>
      </c>
      <c r="K641" s="2">
        <v>3</v>
      </c>
      <c r="L641" s="2" t="s">
        <v>39</v>
      </c>
      <c r="M641" s="2">
        <v>36</v>
      </c>
      <c r="N641" s="2">
        <v>3</v>
      </c>
      <c r="O641" s="2">
        <v>1</v>
      </c>
      <c r="P641" s="2" t="s">
        <v>47</v>
      </c>
      <c r="Q641" s="2">
        <v>1</v>
      </c>
      <c r="R641" s="2" t="s">
        <v>48</v>
      </c>
      <c r="S641" s="2">
        <v>3580</v>
      </c>
      <c r="T641" s="2">
        <v>10554</v>
      </c>
      <c r="U641" s="2">
        <v>2</v>
      </c>
      <c r="V641" s="2" t="s">
        <v>42</v>
      </c>
      <c r="W641" s="2" t="s">
        <v>43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</row>
    <row r="642" spans="1:35" x14ac:dyDescent="0.25">
      <c r="A642" s="2">
        <v>24</v>
      </c>
      <c r="B642" s="2" t="s">
        <v>43</v>
      </c>
      <c r="C642" s="2" t="s">
        <v>55</v>
      </c>
      <c r="D642" s="2">
        <v>1269</v>
      </c>
      <c r="E642" s="2" t="s">
        <v>45</v>
      </c>
      <c r="F642" s="2">
        <v>4</v>
      </c>
      <c r="G642" s="2">
        <v>1</v>
      </c>
      <c r="H642" s="2" t="s">
        <v>38</v>
      </c>
      <c r="I642" s="2">
        <v>1</v>
      </c>
      <c r="J642" s="2">
        <v>888</v>
      </c>
      <c r="K642" s="2">
        <v>1</v>
      </c>
      <c r="L642" s="2" t="s">
        <v>46</v>
      </c>
      <c r="M642" s="2">
        <v>46</v>
      </c>
      <c r="N642" s="2">
        <v>2</v>
      </c>
      <c r="O642" s="2">
        <v>1</v>
      </c>
      <c r="P642" s="2" t="s">
        <v>50</v>
      </c>
      <c r="Q642" s="2">
        <v>4</v>
      </c>
      <c r="R642" s="2" t="s">
        <v>48</v>
      </c>
      <c r="S642" s="2">
        <v>3162</v>
      </c>
      <c r="T642" s="2">
        <v>10778</v>
      </c>
      <c r="U642" s="2">
        <v>0</v>
      </c>
      <c r="V642" s="2" t="s">
        <v>42</v>
      </c>
      <c r="W642" s="2" t="s">
        <v>43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</row>
    <row r="643" spans="1:35" x14ac:dyDescent="0.25">
      <c r="A643" s="2">
        <v>32</v>
      </c>
      <c r="B643" s="2" t="s">
        <v>43</v>
      </c>
      <c r="C643" s="2" t="s">
        <v>44</v>
      </c>
      <c r="D643" s="2">
        <v>379</v>
      </c>
      <c r="E643" s="2" t="s">
        <v>37</v>
      </c>
      <c r="F643" s="2">
        <v>5</v>
      </c>
      <c r="G643" s="2">
        <v>2</v>
      </c>
      <c r="H643" s="2" t="s">
        <v>38</v>
      </c>
      <c r="I643" s="2">
        <v>1</v>
      </c>
      <c r="J643" s="2">
        <v>889</v>
      </c>
      <c r="K643" s="2">
        <v>2</v>
      </c>
      <c r="L643" s="2" t="s">
        <v>46</v>
      </c>
      <c r="M643" s="2">
        <v>48</v>
      </c>
      <c r="N643" s="2">
        <v>3</v>
      </c>
      <c r="O643" s="2">
        <v>2</v>
      </c>
      <c r="P643" s="2" t="s">
        <v>40</v>
      </c>
      <c r="Q643" s="2">
        <v>2</v>
      </c>
      <c r="R643" s="2" t="s">
        <v>48</v>
      </c>
      <c r="S643" s="2">
        <v>6524</v>
      </c>
      <c r="T643" s="2">
        <v>8891</v>
      </c>
      <c r="U643" s="2">
        <v>1</v>
      </c>
      <c r="V643" s="2" t="s">
        <v>42</v>
      </c>
      <c r="W643" s="2" t="s">
        <v>43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</row>
    <row r="644" spans="1:35" x14ac:dyDescent="0.25">
      <c r="A644" s="2">
        <v>38</v>
      </c>
      <c r="B644" s="2" t="s">
        <v>43</v>
      </c>
      <c r="C644" s="2" t="s">
        <v>36</v>
      </c>
      <c r="D644" s="2">
        <v>395</v>
      </c>
      <c r="E644" s="2" t="s">
        <v>37</v>
      </c>
      <c r="F644" s="2">
        <v>9</v>
      </c>
      <c r="G644" s="2">
        <v>3</v>
      </c>
      <c r="H644" s="2" t="s">
        <v>59</v>
      </c>
      <c r="I644" s="2">
        <v>1</v>
      </c>
      <c r="J644" s="2">
        <v>893</v>
      </c>
      <c r="K644" s="2">
        <v>2</v>
      </c>
      <c r="L644" s="2" t="s">
        <v>46</v>
      </c>
      <c r="M644" s="2">
        <v>98</v>
      </c>
      <c r="N644" s="2">
        <v>2</v>
      </c>
      <c r="O644" s="2">
        <v>1</v>
      </c>
      <c r="P644" s="2" t="s">
        <v>57</v>
      </c>
      <c r="Q644" s="2">
        <v>2</v>
      </c>
      <c r="R644" s="2" t="s">
        <v>48</v>
      </c>
      <c r="S644" s="2">
        <v>2899</v>
      </c>
      <c r="T644" s="2">
        <v>12102</v>
      </c>
      <c r="U644" s="2">
        <v>0</v>
      </c>
      <c r="V644" s="2" t="s">
        <v>42</v>
      </c>
      <c r="W644" s="2" t="s">
        <v>43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</row>
    <row r="645" spans="1:35" x14ac:dyDescent="0.25">
      <c r="A645" s="2">
        <v>42</v>
      </c>
      <c r="B645" s="2" t="s">
        <v>43</v>
      </c>
      <c r="C645" s="2" t="s">
        <v>36</v>
      </c>
      <c r="D645" s="2">
        <v>1265</v>
      </c>
      <c r="E645" s="2" t="s">
        <v>45</v>
      </c>
      <c r="F645" s="2">
        <v>3</v>
      </c>
      <c r="G645" s="2">
        <v>3</v>
      </c>
      <c r="H645" s="2" t="s">
        <v>38</v>
      </c>
      <c r="I645" s="2">
        <v>1</v>
      </c>
      <c r="J645" s="2">
        <v>894</v>
      </c>
      <c r="K645" s="2">
        <v>3</v>
      </c>
      <c r="L645" s="2" t="s">
        <v>39</v>
      </c>
      <c r="M645" s="2">
        <v>95</v>
      </c>
      <c r="N645" s="2">
        <v>4</v>
      </c>
      <c r="O645" s="2">
        <v>2</v>
      </c>
      <c r="P645" s="2" t="s">
        <v>50</v>
      </c>
      <c r="Q645" s="2">
        <v>4</v>
      </c>
      <c r="R645" s="2" t="s">
        <v>48</v>
      </c>
      <c r="S645" s="2">
        <v>5231</v>
      </c>
      <c r="T645" s="2">
        <v>23726</v>
      </c>
      <c r="U645" s="2">
        <v>2</v>
      </c>
      <c r="V645" s="2" t="s">
        <v>42</v>
      </c>
      <c r="W645" s="2" t="s">
        <v>35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</row>
    <row r="646" spans="1:35" x14ac:dyDescent="0.25">
      <c r="A646" s="2">
        <v>31</v>
      </c>
      <c r="B646" s="2" t="s">
        <v>43</v>
      </c>
      <c r="C646" s="2" t="s">
        <v>36</v>
      </c>
      <c r="D646" s="2">
        <v>1222</v>
      </c>
      <c r="E646" s="2" t="s">
        <v>45</v>
      </c>
      <c r="F646" s="2">
        <v>11</v>
      </c>
      <c r="G646" s="2">
        <v>4</v>
      </c>
      <c r="H646" s="2" t="s">
        <v>38</v>
      </c>
      <c r="I646" s="2">
        <v>1</v>
      </c>
      <c r="J646" s="2">
        <v>895</v>
      </c>
      <c r="K646" s="2">
        <v>4</v>
      </c>
      <c r="L646" s="2" t="s">
        <v>46</v>
      </c>
      <c r="M646" s="2">
        <v>48</v>
      </c>
      <c r="N646" s="2">
        <v>3</v>
      </c>
      <c r="O646" s="2">
        <v>1</v>
      </c>
      <c r="P646" s="2" t="s">
        <v>47</v>
      </c>
      <c r="Q646" s="2">
        <v>4</v>
      </c>
      <c r="R646" s="2" t="s">
        <v>48</v>
      </c>
      <c r="S646" s="2">
        <v>2356</v>
      </c>
      <c r="T646" s="2">
        <v>14871</v>
      </c>
      <c r="U646" s="2">
        <v>3</v>
      </c>
      <c r="V646" s="2" t="s">
        <v>42</v>
      </c>
      <c r="W646" s="2" t="s">
        <v>35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</row>
    <row r="647" spans="1:35" x14ac:dyDescent="0.25">
      <c r="A647" s="2">
        <v>29</v>
      </c>
      <c r="B647" s="2" t="s">
        <v>35</v>
      </c>
      <c r="C647" s="2" t="s">
        <v>36</v>
      </c>
      <c r="D647" s="2">
        <v>341</v>
      </c>
      <c r="E647" s="2" t="s">
        <v>37</v>
      </c>
      <c r="F647" s="2">
        <v>1</v>
      </c>
      <c r="G647" s="2">
        <v>3</v>
      </c>
      <c r="H647" s="2" t="s">
        <v>51</v>
      </c>
      <c r="I647" s="2">
        <v>1</v>
      </c>
      <c r="J647" s="2">
        <v>896</v>
      </c>
      <c r="K647" s="2">
        <v>2</v>
      </c>
      <c r="L647" s="2" t="s">
        <v>39</v>
      </c>
      <c r="M647" s="2">
        <v>48</v>
      </c>
      <c r="N647" s="2">
        <v>2</v>
      </c>
      <c r="O647" s="2">
        <v>1</v>
      </c>
      <c r="P647" s="2" t="s">
        <v>57</v>
      </c>
      <c r="Q647" s="2">
        <v>3</v>
      </c>
      <c r="R647" s="2" t="s">
        <v>52</v>
      </c>
      <c r="S647" s="2">
        <v>2800</v>
      </c>
      <c r="T647" s="2">
        <v>23522</v>
      </c>
      <c r="U647" s="2">
        <v>6</v>
      </c>
      <c r="V647" s="2" t="s">
        <v>42</v>
      </c>
      <c r="W647" s="2" t="s">
        <v>35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</row>
    <row r="648" spans="1:35" x14ac:dyDescent="0.25">
      <c r="A648" s="2">
        <v>53</v>
      </c>
      <c r="B648" s="2" t="s">
        <v>43</v>
      </c>
      <c r="C648" s="2" t="s">
        <v>36</v>
      </c>
      <c r="D648" s="2">
        <v>868</v>
      </c>
      <c r="E648" s="2" t="s">
        <v>37</v>
      </c>
      <c r="F648" s="2">
        <v>8</v>
      </c>
      <c r="G648" s="2">
        <v>3</v>
      </c>
      <c r="H648" s="2" t="s">
        <v>59</v>
      </c>
      <c r="I648" s="2">
        <v>1</v>
      </c>
      <c r="J648" s="2">
        <v>897</v>
      </c>
      <c r="K648" s="2">
        <v>1</v>
      </c>
      <c r="L648" s="2" t="s">
        <v>46</v>
      </c>
      <c r="M648" s="2">
        <v>73</v>
      </c>
      <c r="N648" s="2">
        <v>3</v>
      </c>
      <c r="O648" s="2">
        <v>4</v>
      </c>
      <c r="P648" s="2" t="s">
        <v>40</v>
      </c>
      <c r="Q648" s="2">
        <v>4</v>
      </c>
      <c r="R648" s="2" t="s">
        <v>48</v>
      </c>
      <c r="S648" s="2">
        <v>11836</v>
      </c>
      <c r="T648" s="2">
        <v>22789</v>
      </c>
      <c r="U648" s="2">
        <v>5</v>
      </c>
      <c r="V648" s="2" t="s">
        <v>42</v>
      </c>
      <c r="W648" s="2" t="s">
        <v>43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</row>
    <row r="649" spans="1:35" x14ac:dyDescent="0.25">
      <c r="A649" s="2">
        <v>35</v>
      </c>
      <c r="B649" s="2" t="s">
        <v>43</v>
      </c>
      <c r="C649" s="2" t="s">
        <v>36</v>
      </c>
      <c r="D649" s="2">
        <v>672</v>
      </c>
      <c r="E649" s="2" t="s">
        <v>45</v>
      </c>
      <c r="F649" s="2">
        <v>25</v>
      </c>
      <c r="G649" s="2">
        <v>3</v>
      </c>
      <c r="H649" s="2" t="s">
        <v>60</v>
      </c>
      <c r="I649" s="2">
        <v>1</v>
      </c>
      <c r="J649" s="2">
        <v>899</v>
      </c>
      <c r="K649" s="2">
        <v>4</v>
      </c>
      <c r="L649" s="2" t="s">
        <v>46</v>
      </c>
      <c r="M649" s="2">
        <v>78</v>
      </c>
      <c r="N649" s="2">
        <v>2</v>
      </c>
      <c r="O649" s="2">
        <v>3</v>
      </c>
      <c r="P649" s="2" t="s">
        <v>53</v>
      </c>
      <c r="Q649" s="2">
        <v>2</v>
      </c>
      <c r="R649" s="2" t="s">
        <v>48</v>
      </c>
      <c r="S649" s="2">
        <v>10903</v>
      </c>
      <c r="T649" s="2">
        <v>9129</v>
      </c>
      <c r="U649" s="2">
        <v>3</v>
      </c>
      <c r="V649" s="2" t="s">
        <v>42</v>
      </c>
      <c r="W649" s="2" t="s">
        <v>43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</row>
    <row r="650" spans="1:35" x14ac:dyDescent="0.25">
      <c r="A650" s="2">
        <v>37</v>
      </c>
      <c r="B650" s="2" t="s">
        <v>43</v>
      </c>
      <c r="C650" s="2" t="s">
        <v>44</v>
      </c>
      <c r="D650" s="2">
        <v>1231</v>
      </c>
      <c r="E650" s="2" t="s">
        <v>37</v>
      </c>
      <c r="F650" s="2">
        <v>21</v>
      </c>
      <c r="G650" s="2">
        <v>2</v>
      </c>
      <c r="H650" s="2" t="s">
        <v>51</v>
      </c>
      <c r="I650" s="2">
        <v>1</v>
      </c>
      <c r="J650" s="2">
        <v>900</v>
      </c>
      <c r="K650" s="2">
        <v>3</v>
      </c>
      <c r="L650" s="2" t="s">
        <v>39</v>
      </c>
      <c r="M650" s="2">
        <v>54</v>
      </c>
      <c r="N650" s="2">
        <v>3</v>
      </c>
      <c r="O650" s="2">
        <v>1</v>
      </c>
      <c r="P650" s="2" t="s">
        <v>57</v>
      </c>
      <c r="Q650" s="2">
        <v>4</v>
      </c>
      <c r="R650" s="2" t="s">
        <v>48</v>
      </c>
      <c r="S650" s="2">
        <v>2973</v>
      </c>
      <c r="T650" s="2">
        <v>21222</v>
      </c>
      <c r="U650" s="2">
        <v>5</v>
      </c>
      <c r="V650" s="2" t="s">
        <v>42</v>
      </c>
      <c r="W650" s="2" t="s">
        <v>43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</row>
    <row r="651" spans="1:35" x14ac:dyDescent="0.25">
      <c r="A651" s="2">
        <v>53</v>
      </c>
      <c r="B651" s="2" t="s">
        <v>43</v>
      </c>
      <c r="C651" s="2" t="s">
        <v>36</v>
      </c>
      <c r="D651" s="2">
        <v>102</v>
      </c>
      <c r="E651" s="2" t="s">
        <v>45</v>
      </c>
      <c r="F651" s="2">
        <v>23</v>
      </c>
      <c r="G651" s="2">
        <v>4</v>
      </c>
      <c r="H651" s="2" t="s">
        <v>38</v>
      </c>
      <c r="I651" s="2">
        <v>1</v>
      </c>
      <c r="J651" s="2">
        <v>901</v>
      </c>
      <c r="K651" s="2">
        <v>4</v>
      </c>
      <c r="L651" s="2" t="s">
        <v>39</v>
      </c>
      <c r="M651" s="2">
        <v>72</v>
      </c>
      <c r="N651" s="2">
        <v>3</v>
      </c>
      <c r="O651" s="2">
        <v>4</v>
      </c>
      <c r="P651" s="2" t="s">
        <v>58</v>
      </c>
      <c r="Q651" s="2">
        <v>4</v>
      </c>
      <c r="R651" s="2" t="s">
        <v>41</v>
      </c>
      <c r="S651" s="2">
        <v>14275</v>
      </c>
      <c r="T651" s="2">
        <v>20206</v>
      </c>
      <c r="U651" s="2">
        <v>6</v>
      </c>
      <c r="V651" s="2" t="s">
        <v>42</v>
      </c>
      <c r="W651" s="2" t="s">
        <v>43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</row>
    <row r="652" spans="1:35" x14ac:dyDescent="0.25">
      <c r="A652" s="2">
        <v>43</v>
      </c>
      <c r="B652" s="2" t="s">
        <v>43</v>
      </c>
      <c r="C652" s="2" t="s">
        <v>44</v>
      </c>
      <c r="D652" s="2">
        <v>422</v>
      </c>
      <c r="E652" s="2" t="s">
        <v>45</v>
      </c>
      <c r="F652" s="2">
        <v>1</v>
      </c>
      <c r="G652" s="2">
        <v>3</v>
      </c>
      <c r="H652" s="2" t="s">
        <v>38</v>
      </c>
      <c r="I652" s="2">
        <v>1</v>
      </c>
      <c r="J652" s="2">
        <v>902</v>
      </c>
      <c r="K652" s="2">
        <v>4</v>
      </c>
      <c r="L652" s="2" t="s">
        <v>39</v>
      </c>
      <c r="M652" s="2">
        <v>33</v>
      </c>
      <c r="N652" s="2">
        <v>3</v>
      </c>
      <c r="O652" s="2">
        <v>2</v>
      </c>
      <c r="P652" s="2" t="s">
        <v>54</v>
      </c>
      <c r="Q652" s="2">
        <v>4</v>
      </c>
      <c r="R652" s="2" t="s">
        <v>48</v>
      </c>
      <c r="S652" s="2">
        <v>5562</v>
      </c>
      <c r="T652" s="2">
        <v>21782</v>
      </c>
      <c r="U652" s="2">
        <v>4</v>
      </c>
      <c r="V652" s="2" t="s">
        <v>42</v>
      </c>
      <c r="W652" s="2" t="s">
        <v>43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</row>
    <row r="653" spans="1:35" x14ac:dyDescent="0.25">
      <c r="A653" s="2">
        <v>47</v>
      </c>
      <c r="B653" s="2" t="s">
        <v>43</v>
      </c>
      <c r="C653" s="2" t="s">
        <v>36</v>
      </c>
      <c r="D653" s="2">
        <v>249</v>
      </c>
      <c r="E653" s="2" t="s">
        <v>37</v>
      </c>
      <c r="F653" s="2">
        <v>2</v>
      </c>
      <c r="G653" s="2">
        <v>2</v>
      </c>
      <c r="H653" s="2" t="s">
        <v>59</v>
      </c>
      <c r="I653" s="2">
        <v>1</v>
      </c>
      <c r="J653" s="2">
        <v>903</v>
      </c>
      <c r="K653" s="2">
        <v>3</v>
      </c>
      <c r="L653" s="2" t="s">
        <v>39</v>
      </c>
      <c r="M653" s="2">
        <v>35</v>
      </c>
      <c r="N653" s="2">
        <v>3</v>
      </c>
      <c r="O653" s="2">
        <v>2</v>
      </c>
      <c r="P653" s="2" t="s">
        <v>40</v>
      </c>
      <c r="Q653" s="2">
        <v>4</v>
      </c>
      <c r="R653" s="2" t="s">
        <v>48</v>
      </c>
      <c r="S653" s="2">
        <v>4537</v>
      </c>
      <c r="T653" s="2">
        <v>17783</v>
      </c>
      <c r="U653" s="2">
        <v>0</v>
      </c>
      <c r="V653" s="2" t="s">
        <v>42</v>
      </c>
      <c r="W653" s="2" t="s">
        <v>35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</row>
    <row r="654" spans="1:35" x14ac:dyDescent="0.25">
      <c r="A654" s="2">
        <v>37</v>
      </c>
      <c r="B654" s="2" t="s">
        <v>43</v>
      </c>
      <c r="C654" s="2" t="s">
        <v>55</v>
      </c>
      <c r="D654" s="2">
        <v>1252</v>
      </c>
      <c r="E654" s="2" t="s">
        <v>37</v>
      </c>
      <c r="F654" s="2">
        <v>19</v>
      </c>
      <c r="G654" s="2">
        <v>2</v>
      </c>
      <c r="H654" s="2" t="s">
        <v>51</v>
      </c>
      <c r="I654" s="2">
        <v>1</v>
      </c>
      <c r="J654" s="2">
        <v>904</v>
      </c>
      <c r="K654" s="2">
        <v>1</v>
      </c>
      <c r="L654" s="2" t="s">
        <v>46</v>
      </c>
      <c r="M654" s="2">
        <v>32</v>
      </c>
      <c r="N654" s="2">
        <v>3</v>
      </c>
      <c r="O654" s="2">
        <v>3</v>
      </c>
      <c r="P654" s="2" t="s">
        <v>40</v>
      </c>
      <c r="Q654" s="2">
        <v>2</v>
      </c>
      <c r="R654" s="2" t="s">
        <v>41</v>
      </c>
      <c r="S654" s="2">
        <v>7642</v>
      </c>
      <c r="T654" s="2">
        <v>4814</v>
      </c>
      <c r="U654" s="2">
        <v>1</v>
      </c>
      <c r="V654" s="2" t="s">
        <v>42</v>
      </c>
      <c r="W654" s="2" t="s">
        <v>35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</row>
    <row r="655" spans="1:35" x14ac:dyDescent="0.25">
      <c r="A655" s="2">
        <v>50</v>
      </c>
      <c r="B655" s="2" t="s">
        <v>43</v>
      </c>
      <c r="C655" s="2" t="s">
        <v>55</v>
      </c>
      <c r="D655" s="2">
        <v>881</v>
      </c>
      <c r="E655" s="2" t="s">
        <v>45</v>
      </c>
      <c r="F655" s="2">
        <v>2</v>
      </c>
      <c r="G655" s="2">
        <v>4</v>
      </c>
      <c r="H655" s="2" t="s">
        <v>38</v>
      </c>
      <c r="I655" s="2">
        <v>1</v>
      </c>
      <c r="J655" s="2">
        <v>905</v>
      </c>
      <c r="K655" s="2">
        <v>1</v>
      </c>
      <c r="L655" s="2" t="s">
        <v>46</v>
      </c>
      <c r="M655" s="2">
        <v>98</v>
      </c>
      <c r="N655" s="2">
        <v>3</v>
      </c>
      <c r="O655" s="2">
        <v>4</v>
      </c>
      <c r="P655" s="2" t="s">
        <v>56</v>
      </c>
      <c r="Q655" s="2">
        <v>1</v>
      </c>
      <c r="R655" s="2" t="s">
        <v>52</v>
      </c>
      <c r="S655" s="2">
        <v>17924</v>
      </c>
      <c r="T655" s="2">
        <v>4544</v>
      </c>
      <c r="U655" s="2">
        <v>1</v>
      </c>
      <c r="V655" s="2" t="s">
        <v>42</v>
      </c>
      <c r="W655" s="2" t="s">
        <v>43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</row>
    <row r="656" spans="1:35" x14ac:dyDescent="0.25">
      <c r="A656" s="2">
        <v>39</v>
      </c>
      <c r="B656" s="2" t="s">
        <v>43</v>
      </c>
      <c r="C656" s="2" t="s">
        <v>36</v>
      </c>
      <c r="D656" s="2">
        <v>1383</v>
      </c>
      <c r="E656" s="2" t="s">
        <v>61</v>
      </c>
      <c r="F656" s="2">
        <v>2</v>
      </c>
      <c r="G656" s="2">
        <v>3</v>
      </c>
      <c r="H656" s="2" t="s">
        <v>38</v>
      </c>
      <c r="I656" s="2">
        <v>1</v>
      </c>
      <c r="J656" s="2">
        <v>909</v>
      </c>
      <c r="K656" s="2">
        <v>4</v>
      </c>
      <c r="L656" s="2" t="s">
        <v>39</v>
      </c>
      <c r="M656" s="2">
        <v>42</v>
      </c>
      <c r="N656" s="2">
        <v>2</v>
      </c>
      <c r="O656" s="2">
        <v>2</v>
      </c>
      <c r="P656" s="2" t="s">
        <v>61</v>
      </c>
      <c r="Q656" s="2">
        <v>4</v>
      </c>
      <c r="R656" s="2" t="s">
        <v>48</v>
      </c>
      <c r="S656" s="2">
        <v>5204</v>
      </c>
      <c r="T656" s="2">
        <v>7790</v>
      </c>
      <c r="U656" s="2">
        <v>8</v>
      </c>
      <c r="V656" s="2" t="s">
        <v>42</v>
      </c>
      <c r="W656" s="2" t="s">
        <v>43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</row>
    <row r="657" spans="1:35" x14ac:dyDescent="0.25">
      <c r="A657" s="2">
        <v>33</v>
      </c>
      <c r="B657" s="2" t="s">
        <v>43</v>
      </c>
      <c r="C657" s="2" t="s">
        <v>36</v>
      </c>
      <c r="D657" s="2">
        <v>1075</v>
      </c>
      <c r="E657" s="2" t="s">
        <v>61</v>
      </c>
      <c r="F657" s="2">
        <v>3</v>
      </c>
      <c r="G657" s="2">
        <v>2</v>
      </c>
      <c r="H657" s="2" t="s">
        <v>61</v>
      </c>
      <c r="I657" s="2">
        <v>1</v>
      </c>
      <c r="J657" s="2">
        <v>910</v>
      </c>
      <c r="K657" s="2">
        <v>4</v>
      </c>
      <c r="L657" s="2" t="s">
        <v>46</v>
      </c>
      <c r="M657" s="2">
        <v>57</v>
      </c>
      <c r="N657" s="2">
        <v>3</v>
      </c>
      <c r="O657" s="2">
        <v>1</v>
      </c>
      <c r="P657" s="2" t="s">
        <v>61</v>
      </c>
      <c r="Q657" s="2">
        <v>2</v>
      </c>
      <c r="R657" s="2" t="s">
        <v>52</v>
      </c>
      <c r="S657" s="2">
        <v>2277</v>
      </c>
      <c r="T657" s="2">
        <v>22650</v>
      </c>
      <c r="U657" s="2">
        <v>3</v>
      </c>
      <c r="V657" s="2" t="s">
        <v>42</v>
      </c>
      <c r="W657" s="2" t="s">
        <v>35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</row>
    <row r="658" spans="1:35" x14ac:dyDescent="0.25">
      <c r="A658" s="2">
        <v>32</v>
      </c>
      <c r="B658" s="2" t="s">
        <v>35</v>
      </c>
      <c r="C658" s="2" t="s">
        <v>36</v>
      </c>
      <c r="D658" s="2">
        <v>374</v>
      </c>
      <c r="E658" s="2" t="s">
        <v>45</v>
      </c>
      <c r="F658" s="2">
        <v>25</v>
      </c>
      <c r="G658" s="2">
        <v>4</v>
      </c>
      <c r="H658" s="2" t="s">
        <v>38</v>
      </c>
      <c r="I658" s="2">
        <v>1</v>
      </c>
      <c r="J658" s="2">
        <v>911</v>
      </c>
      <c r="K658" s="2">
        <v>1</v>
      </c>
      <c r="L658" s="2" t="s">
        <v>46</v>
      </c>
      <c r="M658" s="2">
        <v>87</v>
      </c>
      <c r="N658" s="2">
        <v>3</v>
      </c>
      <c r="O658" s="2">
        <v>1</v>
      </c>
      <c r="P658" s="2" t="s">
        <v>50</v>
      </c>
      <c r="Q658" s="2">
        <v>4</v>
      </c>
      <c r="R658" s="2" t="s">
        <v>41</v>
      </c>
      <c r="S658" s="2">
        <v>2795</v>
      </c>
      <c r="T658" s="2">
        <v>18016</v>
      </c>
      <c r="U658" s="2">
        <v>1</v>
      </c>
      <c r="V658" s="2" t="s">
        <v>42</v>
      </c>
      <c r="W658" s="2" t="s">
        <v>35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</row>
    <row r="659" spans="1:35" x14ac:dyDescent="0.25">
      <c r="A659" s="2">
        <v>29</v>
      </c>
      <c r="B659" s="2" t="s">
        <v>43</v>
      </c>
      <c r="C659" s="2" t="s">
        <v>36</v>
      </c>
      <c r="D659" s="2">
        <v>1086</v>
      </c>
      <c r="E659" s="2" t="s">
        <v>45</v>
      </c>
      <c r="F659" s="2">
        <v>7</v>
      </c>
      <c r="G659" s="2">
        <v>1</v>
      </c>
      <c r="H659" s="2" t="s">
        <v>51</v>
      </c>
      <c r="I659" s="2">
        <v>1</v>
      </c>
      <c r="J659" s="2">
        <v>912</v>
      </c>
      <c r="K659" s="2">
        <v>1</v>
      </c>
      <c r="L659" s="2" t="s">
        <v>39</v>
      </c>
      <c r="M659" s="2">
        <v>62</v>
      </c>
      <c r="N659" s="2">
        <v>2</v>
      </c>
      <c r="O659" s="2">
        <v>1</v>
      </c>
      <c r="P659" s="2" t="s">
        <v>50</v>
      </c>
      <c r="Q659" s="2">
        <v>4</v>
      </c>
      <c r="R659" s="2" t="s">
        <v>52</v>
      </c>
      <c r="S659" s="2">
        <v>2532</v>
      </c>
      <c r="T659" s="2">
        <v>6054</v>
      </c>
      <c r="U659" s="2">
        <v>6</v>
      </c>
      <c r="V659" s="2" t="s">
        <v>42</v>
      </c>
      <c r="W659" s="2" t="s">
        <v>43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</row>
    <row r="660" spans="1:35" x14ac:dyDescent="0.25">
      <c r="A660" s="2">
        <v>44</v>
      </c>
      <c r="B660" s="2" t="s">
        <v>43</v>
      </c>
      <c r="C660" s="2" t="s">
        <v>36</v>
      </c>
      <c r="D660" s="2">
        <v>661</v>
      </c>
      <c r="E660" s="2" t="s">
        <v>45</v>
      </c>
      <c r="F660" s="2">
        <v>9</v>
      </c>
      <c r="G660" s="2">
        <v>2</v>
      </c>
      <c r="H660" s="2" t="s">
        <v>38</v>
      </c>
      <c r="I660" s="2">
        <v>1</v>
      </c>
      <c r="J660" s="2">
        <v>913</v>
      </c>
      <c r="K660" s="2">
        <v>2</v>
      </c>
      <c r="L660" s="2" t="s">
        <v>46</v>
      </c>
      <c r="M660" s="2">
        <v>61</v>
      </c>
      <c r="N660" s="2">
        <v>3</v>
      </c>
      <c r="O660" s="2">
        <v>1</v>
      </c>
      <c r="P660" s="2" t="s">
        <v>47</v>
      </c>
      <c r="Q660" s="2">
        <v>1</v>
      </c>
      <c r="R660" s="2" t="s">
        <v>48</v>
      </c>
      <c r="S660" s="2">
        <v>2559</v>
      </c>
      <c r="T660" s="2">
        <v>7508</v>
      </c>
      <c r="U660" s="2">
        <v>1</v>
      </c>
      <c r="V660" s="2" t="s">
        <v>42</v>
      </c>
      <c r="W660" s="2" t="s">
        <v>35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</row>
    <row r="661" spans="1:35" x14ac:dyDescent="0.25">
      <c r="A661" s="2">
        <v>28</v>
      </c>
      <c r="B661" s="2" t="s">
        <v>43</v>
      </c>
      <c r="C661" s="2" t="s">
        <v>36</v>
      </c>
      <c r="D661" s="2">
        <v>821</v>
      </c>
      <c r="E661" s="2" t="s">
        <v>37</v>
      </c>
      <c r="F661" s="2">
        <v>5</v>
      </c>
      <c r="G661" s="2">
        <v>4</v>
      </c>
      <c r="H661" s="2" t="s">
        <v>51</v>
      </c>
      <c r="I661" s="2">
        <v>1</v>
      </c>
      <c r="J661" s="2">
        <v>916</v>
      </c>
      <c r="K661" s="2">
        <v>1</v>
      </c>
      <c r="L661" s="2" t="s">
        <v>46</v>
      </c>
      <c r="M661" s="2">
        <v>98</v>
      </c>
      <c r="N661" s="2">
        <v>3</v>
      </c>
      <c r="O661" s="2">
        <v>2</v>
      </c>
      <c r="P661" s="2" t="s">
        <v>40</v>
      </c>
      <c r="Q661" s="2">
        <v>4</v>
      </c>
      <c r="R661" s="2" t="s">
        <v>41</v>
      </c>
      <c r="S661" s="2">
        <v>4908</v>
      </c>
      <c r="T661" s="2">
        <v>24252</v>
      </c>
      <c r="U661" s="2">
        <v>1</v>
      </c>
      <c r="V661" s="2" t="s">
        <v>42</v>
      </c>
      <c r="W661" s="2" t="s">
        <v>43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</row>
    <row r="662" spans="1:35" x14ac:dyDescent="0.25">
      <c r="A662" s="2">
        <v>58</v>
      </c>
      <c r="B662" s="2" t="s">
        <v>35</v>
      </c>
      <c r="C662" s="2" t="s">
        <v>44</v>
      </c>
      <c r="D662" s="2">
        <v>781</v>
      </c>
      <c r="E662" s="2" t="s">
        <v>45</v>
      </c>
      <c r="F662" s="2">
        <v>2</v>
      </c>
      <c r="G662" s="2">
        <v>1</v>
      </c>
      <c r="H662" s="2" t="s">
        <v>38</v>
      </c>
      <c r="I662" s="2">
        <v>1</v>
      </c>
      <c r="J662" s="2">
        <v>918</v>
      </c>
      <c r="K662" s="2">
        <v>4</v>
      </c>
      <c r="L662" s="2" t="s">
        <v>46</v>
      </c>
      <c r="M662" s="2">
        <v>57</v>
      </c>
      <c r="N662" s="2">
        <v>2</v>
      </c>
      <c r="O662" s="2">
        <v>1</v>
      </c>
      <c r="P662" s="2" t="s">
        <v>50</v>
      </c>
      <c r="Q662" s="2">
        <v>4</v>
      </c>
      <c r="R662" s="2" t="s">
        <v>52</v>
      </c>
      <c r="S662" s="2">
        <v>2380</v>
      </c>
      <c r="T662" s="2">
        <v>13384</v>
      </c>
      <c r="U662" s="2">
        <v>9</v>
      </c>
      <c r="V662" s="2" t="s">
        <v>42</v>
      </c>
      <c r="W662" s="2" t="s">
        <v>35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</row>
    <row r="663" spans="1:35" x14ac:dyDescent="0.25">
      <c r="A663" s="2">
        <v>43</v>
      </c>
      <c r="B663" s="2" t="s">
        <v>43</v>
      </c>
      <c r="C663" s="2" t="s">
        <v>36</v>
      </c>
      <c r="D663" s="2">
        <v>177</v>
      </c>
      <c r="E663" s="2" t="s">
        <v>45</v>
      </c>
      <c r="F663" s="2">
        <v>8</v>
      </c>
      <c r="G663" s="2">
        <v>3</v>
      </c>
      <c r="H663" s="2" t="s">
        <v>38</v>
      </c>
      <c r="I663" s="2">
        <v>1</v>
      </c>
      <c r="J663" s="2">
        <v>920</v>
      </c>
      <c r="K663" s="2">
        <v>1</v>
      </c>
      <c r="L663" s="2" t="s">
        <v>39</v>
      </c>
      <c r="M663" s="2">
        <v>55</v>
      </c>
      <c r="N663" s="2">
        <v>3</v>
      </c>
      <c r="O663" s="2">
        <v>2</v>
      </c>
      <c r="P663" s="2" t="s">
        <v>53</v>
      </c>
      <c r="Q663" s="2">
        <v>2</v>
      </c>
      <c r="R663" s="2" t="s">
        <v>52</v>
      </c>
      <c r="S663" s="2">
        <v>4765</v>
      </c>
      <c r="T663" s="2">
        <v>23814</v>
      </c>
      <c r="U663" s="2">
        <v>4</v>
      </c>
      <c r="V663" s="2" t="s">
        <v>42</v>
      </c>
      <c r="W663" s="2" t="s">
        <v>43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</row>
    <row r="664" spans="1:35" x14ac:dyDescent="0.25">
      <c r="A664" s="2">
        <v>20</v>
      </c>
      <c r="B664" s="2" t="s">
        <v>35</v>
      </c>
      <c r="C664" s="2" t="s">
        <v>36</v>
      </c>
      <c r="D664" s="2">
        <v>500</v>
      </c>
      <c r="E664" s="2" t="s">
        <v>37</v>
      </c>
      <c r="F664" s="2">
        <v>2</v>
      </c>
      <c r="G664" s="2">
        <v>3</v>
      </c>
      <c r="H664" s="2" t="s">
        <v>51</v>
      </c>
      <c r="I664" s="2">
        <v>1</v>
      </c>
      <c r="J664" s="2">
        <v>922</v>
      </c>
      <c r="K664" s="2">
        <v>3</v>
      </c>
      <c r="L664" s="2" t="s">
        <v>39</v>
      </c>
      <c r="M664" s="2">
        <v>49</v>
      </c>
      <c r="N664" s="2">
        <v>2</v>
      </c>
      <c r="O664" s="2">
        <v>1</v>
      </c>
      <c r="P664" s="2" t="s">
        <v>57</v>
      </c>
      <c r="Q664" s="2">
        <v>3</v>
      </c>
      <c r="R664" s="2" t="s">
        <v>41</v>
      </c>
      <c r="S664" s="2">
        <v>2044</v>
      </c>
      <c r="T664" s="2">
        <v>22052</v>
      </c>
      <c r="U664" s="2">
        <v>1</v>
      </c>
      <c r="V664" s="2" t="s">
        <v>42</v>
      </c>
      <c r="W664" s="2" t="s">
        <v>43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</row>
    <row r="665" spans="1:35" x14ac:dyDescent="0.25">
      <c r="A665" s="2">
        <v>21</v>
      </c>
      <c r="B665" s="2" t="s">
        <v>35</v>
      </c>
      <c r="C665" s="2" t="s">
        <v>36</v>
      </c>
      <c r="D665" s="2">
        <v>1427</v>
      </c>
      <c r="E665" s="2" t="s">
        <v>45</v>
      </c>
      <c r="F665" s="2">
        <v>18</v>
      </c>
      <c r="G665" s="2">
        <v>1</v>
      </c>
      <c r="H665" s="2" t="s">
        <v>49</v>
      </c>
      <c r="I665" s="2">
        <v>1</v>
      </c>
      <c r="J665" s="2">
        <v>923</v>
      </c>
      <c r="K665" s="2">
        <v>4</v>
      </c>
      <c r="L665" s="2" t="s">
        <v>39</v>
      </c>
      <c r="M665" s="2">
        <v>65</v>
      </c>
      <c r="N665" s="2">
        <v>3</v>
      </c>
      <c r="O665" s="2">
        <v>1</v>
      </c>
      <c r="P665" s="2" t="s">
        <v>47</v>
      </c>
      <c r="Q665" s="2">
        <v>4</v>
      </c>
      <c r="R665" s="2" t="s">
        <v>41</v>
      </c>
      <c r="S665" s="2">
        <v>2693</v>
      </c>
      <c r="T665" s="2">
        <v>8870</v>
      </c>
      <c r="U665" s="2">
        <v>1</v>
      </c>
      <c r="V665" s="2" t="s">
        <v>42</v>
      </c>
      <c r="W665" s="2" t="s">
        <v>43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</row>
    <row r="666" spans="1:35" x14ac:dyDescent="0.25">
      <c r="A666" s="2">
        <v>36</v>
      </c>
      <c r="B666" s="2" t="s">
        <v>43</v>
      </c>
      <c r="C666" s="2" t="s">
        <v>36</v>
      </c>
      <c r="D666" s="2">
        <v>1425</v>
      </c>
      <c r="E666" s="2" t="s">
        <v>45</v>
      </c>
      <c r="F666" s="2">
        <v>14</v>
      </c>
      <c r="G666" s="2">
        <v>1</v>
      </c>
      <c r="H666" s="2" t="s">
        <v>38</v>
      </c>
      <c r="I666" s="2">
        <v>1</v>
      </c>
      <c r="J666" s="2">
        <v>924</v>
      </c>
      <c r="K666" s="2">
        <v>3</v>
      </c>
      <c r="L666" s="2" t="s">
        <v>46</v>
      </c>
      <c r="M666" s="2">
        <v>68</v>
      </c>
      <c r="N666" s="2">
        <v>3</v>
      </c>
      <c r="O666" s="2">
        <v>2</v>
      </c>
      <c r="P666" s="2" t="s">
        <v>54</v>
      </c>
      <c r="Q666" s="2">
        <v>4</v>
      </c>
      <c r="R666" s="2" t="s">
        <v>48</v>
      </c>
      <c r="S666" s="2">
        <v>6586</v>
      </c>
      <c r="T666" s="2">
        <v>4821</v>
      </c>
      <c r="U666" s="2">
        <v>0</v>
      </c>
      <c r="V666" s="2" t="s">
        <v>42</v>
      </c>
      <c r="W666" s="2" t="s">
        <v>35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</row>
    <row r="667" spans="1:35" x14ac:dyDescent="0.25">
      <c r="A667" s="2">
        <v>47</v>
      </c>
      <c r="B667" s="2" t="s">
        <v>43</v>
      </c>
      <c r="C667" s="2" t="s">
        <v>36</v>
      </c>
      <c r="D667" s="2">
        <v>1454</v>
      </c>
      <c r="E667" s="2" t="s">
        <v>37</v>
      </c>
      <c r="F667" s="2">
        <v>2</v>
      </c>
      <c r="G667" s="2">
        <v>4</v>
      </c>
      <c r="H667" s="2" t="s">
        <v>38</v>
      </c>
      <c r="I667" s="2">
        <v>1</v>
      </c>
      <c r="J667" s="2">
        <v>925</v>
      </c>
      <c r="K667" s="2">
        <v>4</v>
      </c>
      <c r="L667" s="2" t="s">
        <v>39</v>
      </c>
      <c r="M667" s="2">
        <v>65</v>
      </c>
      <c r="N667" s="2">
        <v>2</v>
      </c>
      <c r="O667" s="2">
        <v>1</v>
      </c>
      <c r="P667" s="2" t="s">
        <v>57</v>
      </c>
      <c r="Q667" s="2">
        <v>4</v>
      </c>
      <c r="R667" s="2" t="s">
        <v>41</v>
      </c>
      <c r="S667" s="2">
        <v>3294</v>
      </c>
      <c r="T667" s="2">
        <v>13137</v>
      </c>
      <c r="U667" s="2">
        <v>1</v>
      </c>
      <c r="V667" s="2" t="s">
        <v>42</v>
      </c>
      <c r="W667" s="2" t="s">
        <v>35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</row>
    <row r="668" spans="1:35" x14ac:dyDescent="0.25">
      <c r="A668" s="2">
        <v>22</v>
      </c>
      <c r="B668" s="2" t="s">
        <v>35</v>
      </c>
      <c r="C668" s="2" t="s">
        <v>36</v>
      </c>
      <c r="D668" s="2">
        <v>617</v>
      </c>
      <c r="E668" s="2" t="s">
        <v>45</v>
      </c>
      <c r="F668" s="2">
        <v>3</v>
      </c>
      <c r="G668" s="2">
        <v>1</v>
      </c>
      <c r="H668" s="2" t="s">
        <v>38</v>
      </c>
      <c r="I668" s="2">
        <v>1</v>
      </c>
      <c r="J668" s="2">
        <v>926</v>
      </c>
      <c r="K668" s="2">
        <v>2</v>
      </c>
      <c r="L668" s="2" t="s">
        <v>39</v>
      </c>
      <c r="M668" s="2">
        <v>34</v>
      </c>
      <c r="N668" s="2">
        <v>3</v>
      </c>
      <c r="O668" s="2">
        <v>2</v>
      </c>
      <c r="P668" s="2" t="s">
        <v>53</v>
      </c>
      <c r="Q668" s="2">
        <v>3</v>
      </c>
      <c r="R668" s="2" t="s">
        <v>48</v>
      </c>
      <c r="S668" s="2">
        <v>4171</v>
      </c>
      <c r="T668" s="2">
        <v>10022</v>
      </c>
      <c r="U668" s="2">
        <v>0</v>
      </c>
      <c r="V668" s="2" t="s">
        <v>42</v>
      </c>
      <c r="W668" s="2" t="s">
        <v>35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</row>
    <row r="669" spans="1:35" x14ac:dyDescent="0.25">
      <c r="A669" s="2">
        <v>41</v>
      </c>
      <c r="B669" s="2" t="s">
        <v>35</v>
      </c>
      <c r="C669" s="2" t="s">
        <v>36</v>
      </c>
      <c r="D669" s="2">
        <v>1085</v>
      </c>
      <c r="E669" s="2" t="s">
        <v>45</v>
      </c>
      <c r="F669" s="2">
        <v>2</v>
      </c>
      <c r="G669" s="2">
        <v>4</v>
      </c>
      <c r="H669" s="2" t="s">
        <v>38</v>
      </c>
      <c r="I669" s="2">
        <v>1</v>
      </c>
      <c r="J669" s="2">
        <v>927</v>
      </c>
      <c r="K669" s="2">
        <v>2</v>
      </c>
      <c r="L669" s="2" t="s">
        <v>39</v>
      </c>
      <c r="M669" s="2">
        <v>57</v>
      </c>
      <c r="N669" s="2">
        <v>1</v>
      </c>
      <c r="O669" s="2">
        <v>1</v>
      </c>
      <c r="P669" s="2" t="s">
        <v>50</v>
      </c>
      <c r="Q669" s="2">
        <v>4</v>
      </c>
      <c r="R669" s="2" t="s">
        <v>52</v>
      </c>
      <c r="S669" s="2">
        <v>2778</v>
      </c>
      <c r="T669" s="2">
        <v>17725</v>
      </c>
      <c r="U669" s="2">
        <v>4</v>
      </c>
      <c r="V669" s="2" t="s">
        <v>42</v>
      </c>
      <c r="W669" s="2" t="s">
        <v>35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</row>
    <row r="670" spans="1:35" x14ac:dyDescent="0.25">
      <c r="A670" s="2">
        <v>28</v>
      </c>
      <c r="B670" s="2" t="s">
        <v>43</v>
      </c>
      <c r="C670" s="2" t="s">
        <v>36</v>
      </c>
      <c r="D670" s="2">
        <v>995</v>
      </c>
      <c r="E670" s="2" t="s">
        <v>45</v>
      </c>
      <c r="F670" s="2">
        <v>9</v>
      </c>
      <c r="G670" s="2">
        <v>3</v>
      </c>
      <c r="H670" s="2" t="s">
        <v>51</v>
      </c>
      <c r="I670" s="2">
        <v>1</v>
      </c>
      <c r="J670" s="2">
        <v>930</v>
      </c>
      <c r="K670" s="2">
        <v>3</v>
      </c>
      <c r="L670" s="2" t="s">
        <v>39</v>
      </c>
      <c r="M670" s="2">
        <v>77</v>
      </c>
      <c r="N670" s="2">
        <v>3</v>
      </c>
      <c r="O670" s="2">
        <v>1</v>
      </c>
      <c r="P670" s="2" t="s">
        <v>47</v>
      </c>
      <c r="Q670" s="2">
        <v>3</v>
      </c>
      <c r="R670" s="2" t="s">
        <v>52</v>
      </c>
      <c r="S670" s="2">
        <v>2377</v>
      </c>
      <c r="T670" s="2">
        <v>9834</v>
      </c>
      <c r="U670" s="2">
        <v>5</v>
      </c>
      <c r="V670" s="2" t="s">
        <v>42</v>
      </c>
      <c r="W670" s="2" t="s">
        <v>43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</row>
    <row r="671" spans="1:35" x14ac:dyDescent="0.25">
      <c r="A671" s="2">
        <v>39</v>
      </c>
      <c r="B671" s="2" t="s">
        <v>35</v>
      </c>
      <c r="C671" s="2" t="s">
        <v>36</v>
      </c>
      <c r="D671" s="2">
        <v>1122</v>
      </c>
      <c r="E671" s="2" t="s">
        <v>45</v>
      </c>
      <c r="F671" s="2">
        <v>6</v>
      </c>
      <c r="G671" s="2">
        <v>3</v>
      </c>
      <c r="H671" s="2" t="s">
        <v>51</v>
      </c>
      <c r="I671" s="2">
        <v>1</v>
      </c>
      <c r="J671" s="2">
        <v>932</v>
      </c>
      <c r="K671" s="2">
        <v>4</v>
      </c>
      <c r="L671" s="2" t="s">
        <v>46</v>
      </c>
      <c r="M671" s="2">
        <v>70</v>
      </c>
      <c r="N671" s="2">
        <v>3</v>
      </c>
      <c r="O671" s="2">
        <v>1</v>
      </c>
      <c r="P671" s="2" t="s">
        <v>50</v>
      </c>
      <c r="Q671" s="2">
        <v>1</v>
      </c>
      <c r="R671" s="2" t="s">
        <v>48</v>
      </c>
      <c r="S671" s="2">
        <v>2404</v>
      </c>
      <c r="T671" s="2">
        <v>4303</v>
      </c>
      <c r="U671" s="2">
        <v>7</v>
      </c>
      <c r="V671" s="2" t="s">
        <v>42</v>
      </c>
      <c r="W671" s="2" t="s">
        <v>35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</row>
    <row r="672" spans="1:35" x14ac:dyDescent="0.25">
      <c r="A672" s="2">
        <v>27</v>
      </c>
      <c r="B672" s="2" t="s">
        <v>43</v>
      </c>
      <c r="C672" s="2" t="s">
        <v>36</v>
      </c>
      <c r="D672" s="2">
        <v>618</v>
      </c>
      <c r="E672" s="2" t="s">
        <v>45</v>
      </c>
      <c r="F672" s="2">
        <v>4</v>
      </c>
      <c r="G672" s="2">
        <v>3</v>
      </c>
      <c r="H672" s="2" t="s">
        <v>38</v>
      </c>
      <c r="I672" s="2">
        <v>1</v>
      </c>
      <c r="J672" s="2">
        <v>933</v>
      </c>
      <c r="K672" s="2">
        <v>2</v>
      </c>
      <c r="L672" s="2" t="s">
        <v>39</v>
      </c>
      <c r="M672" s="2">
        <v>76</v>
      </c>
      <c r="N672" s="2">
        <v>3</v>
      </c>
      <c r="O672" s="2">
        <v>1</v>
      </c>
      <c r="P672" s="2" t="s">
        <v>47</v>
      </c>
      <c r="Q672" s="2">
        <v>3</v>
      </c>
      <c r="R672" s="2" t="s">
        <v>41</v>
      </c>
      <c r="S672" s="2">
        <v>2318</v>
      </c>
      <c r="T672" s="2">
        <v>17808</v>
      </c>
      <c r="U672" s="2">
        <v>1</v>
      </c>
      <c r="V672" s="2" t="s">
        <v>42</v>
      </c>
      <c r="W672" s="2" t="s">
        <v>43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</row>
    <row r="673" spans="1:35" x14ac:dyDescent="0.25">
      <c r="A673" s="2">
        <v>34</v>
      </c>
      <c r="B673" s="2" t="s">
        <v>43</v>
      </c>
      <c r="C673" s="2" t="s">
        <v>36</v>
      </c>
      <c r="D673" s="2">
        <v>546</v>
      </c>
      <c r="E673" s="2" t="s">
        <v>45</v>
      </c>
      <c r="F673" s="2">
        <v>10</v>
      </c>
      <c r="G673" s="2">
        <v>3</v>
      </c>
      <c r="H673" s="2" t="s">
        <v>38</v>
      </c>
      <c r="I673" s="2">
        <v>1</v>
      </c>
      <c r="J673" s="2">
        <v>934</v>
      </c>
      <c r="K673" s="2">
        <v>2</v>
      </c>
      <c r="L673" s="2" t="s">
        <v>46</v>
      </c>
      <c r="M673" s="2">
        <v>83</v>
      </c>
      <c r="N673" s="2">
        <v>3</v>
      </c>
      <c r="O673" s="2">
        <v>1</v>
      </c>
      <c r="P673" s="2" t="s">
        <v>50</v>
      </c>
      <c r="Q673" s="2">
        <v>2</v>
      </c>
      <c r="R673" s="2" t="s">
        <v>52</v>
      </c>
      <c r="S673" s="2">
        <v>2008</v>
      </c>
      <c r="T673" s="2">
        <v>6896</v>
      </c>
      <c r="U673" s="2">
        <v>1</v>
      </c>
      <c r="V673" s="2" t="s">
        <v>42</v>
      </c>
      <c r="W673" s="2" t="s">
        <v>43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</row>
    <row r="674" spans="1:35" x14ac:dyDescent="0.25">
      <c r="A674" s="2">
        <v>42</v>
      </c>
      <c r="B674" s="2" t="s">
        <v>43</v>
      </c>
      <c r="C674" s="2" t="s">
        <v>36</v>
      </c>
      <c r="D674" s="2">
        <v>462</v>
      </c>
      <c r="E674" s="2" t="s">
        <v>37</v>
      </c>
      <c r="F674" s="2">
        <v>14</v>
      </c>
      <c r="G674" s="2">
        <v>2</v>
      </c>
      <c r="H674" s="2" t="s">
        <v>51</v>
      </c>
      <c r="I674" s="2">
        <v>1</v>
      </c>
      <c r="J674" s="2">
        <v>936</v>
      </c>
      <c r="K674" s="2">
        <v>3</v>
      </c>
      <c r="L674" s="2" t="s">
        <v>39</v>
      </c>
      <c r="M674" s="2">
        <v>68</v>
      </c>
      <c r="N674" s="2">
        <v>2</v>
      </c>
      <c r="O674" s="2">
        <v>2</v>
      </c>
      <c r="P674" s="2" t="s">
        <v>40</v>
      </c>
      <c r="Q674" s="2">
        <v>3</v>
      </c>
      <c r="R674" s="2" t="s">
        <v>41</v>
      </c>
      <c r="S674" s="2">
        <v>6244</v>
      </c>
      <c r="T674" s="2">
        <v>7824</v>
      </c>
      <c r="U674" s="2">
        <v>7</v>
      </c>
      <c r="V674" s="2" t="s">
        <v>42</v>
      </c>
      <c r="W674" s="2" t="s">
        <v>43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</row>
    <row r="675" spans="1:35" x14ac:dyDescent="0.25">
      <c r="A675" s="2">
        <v>33</v>
      </c>
      <c r="B675" s="2" t="s">
        <v>43</v>
      </c>
      <c r="C675" s="2" t="s">
        <v>36</v>
      </c>
      <c r="D675" s="2">
        <v>1198</v>
      </c>
      <c r="E675" s="2" t="s">
        <v>45</v>
      </c>
      <c r="F675" s="2">
        <v>1</v>
      </c>
      <c r="G675" s="2">
        <v>4</v>
      </c>
      <c r="H675" s="2" t="s">
        <v>49</v>
      </c>
      <c r="I675" s="2">
        <v>1</v>
      </c>
      <c r="J675" s="2">
        <v>939</v>
      </c>
      <c r="K675" s="2">
        <v>3</v>
      </c>
      <c r="L675" s="2" t="s">
        <v>46</v>
      </c>
      <c r="M675" s="2">
        <v>100</v>
      </c>
      <c r="N675" s="2">
        <v>2</v>
      </c>
      <c r="O675" s="2">
        <v>1</v>
      </c>
      <c r="P675" s="2" t="s">
        <v>47</v>
      </c>
      <c r="Q675" s="2">
        <v>1</v>
      </c>
      <c r="R675" s="2" t="s">
        <v>41</v>
      </c>
      <c r="S675" s="2">
        <v>2799</v>
      </c>
      <c r="T675" s="2">
        <v>3339</v>
      </c>
      <c r="U675" s="2">
        <v>3</v>
      </c>
      <c r="V675" s="2" t="s">
        <v>42</v>
      </c>
      <c r="W675" s="2" t="s">
        <v>35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</row>
    <row r="676" spans="1:35" x14ac:dyDescent="0.25">
      <c r="A676" s="2">
        <v>58</v>
      </c>
      <c r="B676" s="2" t="s">
        <v>43</v>
      </c>
      <c r="C676" s="2" t="s">
        <v>36</v>
      </c>
      <c r="D676" s="2">
        <v>1272</v>
      </c>
      <c r="E676" s="2" t="s">
        <v>45</v>
      </c>
      <c r="F676" s="2">
        <v>5</v>
      </c>
      <c r="G676" s="2">
        <v>3</v>
      </c>
      <c r="H676" s="2" t="s">
        <v>60</v>
      </c>
      <c r="I676" s="2">
        <v>1</v>
      </c>
      <c r="J676" s="2">
        <v>940</v>
      </c>
      <c r="K676" s="2">
        <v>3</v>
      </c>
      <c r="L676" s="2" t="s">
        <v>39</v>
      </c>
      <c r="M676" s="2">
        <v>37</v>
      </c>
      <c r="N676" s="2">
        <v>2</v>
      </c>
      <c r="O676" s="2">
        <v>3</v>
      </c>
      <c r="P676" s="2" t="s">
        <v>54</v>
      </c>
      <c r="Q676" s="2">
        <v>2</v>
      </c>
      <c r="R676" s="2" t="s">
        <v>52</v>
      </c>
      <c r="S676" s="2">
        <v>10552</v>
      </c>
      <c r="T676" s="2">
        <v>9255</v>
      </c>
      <c r="U676" s="2">
        <v>2</v>
      </c>
      <c r="V676" s="2" t="s">
        <v>42</v>
      </c>
      <c r="W676" s="2" t="s">
        <v>35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</row>
    <row r="677" spans="1:35" x14ac:dyDescent="0.25">
      <c r="A677" s="2">
        <v>31</v>
      </c>
      <c r="B677" s="2" t="s">
        <v>43</v>
      </c>
      <c r="C677" s="2" t="s">
        <v>36</v>
      </c>
      <c r="D677" s="2">
        <v>154</v>
      </c>
      <c r="E677" s="2" t="s">
        <v>37</v>
      </c>
      <c r="F677" s="2">
        <v>7</v>
      </c>
      <c r="G677" s="2">
        <v>4</v>
      </c>
      <c r="H677" s="2" t="s">
        <v>38</v>
      </c>
      <c r="I677" s="2">
        <v>1</v>
      </c>
      <c r="J677" s="2">
        <v>941</v>
      </c>
      <c r="K677" s="2">
        <v>2</v>
      </c>
      <c r="L677" s="2" t="s">
        <v>46</v>
      </c>
      <c r="M677" s="2">
        <v>41</v>
      </c>
      <c r="N677" s="2">
        <v>2</v>
      </c>
      <c r="O677" s="2">
        <v>1</v>
      </c>
      <c r="P677" s="2" t="s">
        <v>57</v>
      </c>
      <c r="Q677" s="2">
        <v>3</v>
      </c>
      <c r="R677" s="2" t="s">
        <v>48</v>
      </c>
      <c r="S677" s="2">
        <v>2329</v>
      </c>
      <c r="T677" s="2">
        <v>11737</v>
      </c>
      <c r="U677" s="2">
        <v>3</v>
      </c>
      <c r="V677" s="2" t="s">
        <v>42</v>
      </c>
      <c r="W677" s="2" t="s">
        <v>43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</row>
    <row r="678" spans="1:35" x14ac:dyDescent="0.25">
      <c r="A678" s="2">
        <v>35</v>
      </c>
      <c r="B678" s="2" t="s">
        <v>43</v>
      </c>
      <c r="C678" s="2" t="s">
        <v>36</v>
      </c>
      <c r="D678" s="2">
        <v>1137</v>
      </c>
      <c r="E678" s="2" t="s">
        <v>45</v>
      </c>
      <c r="F678" s="2">
        <v>21</v>
      </c>
      <c r="G678" s="2">
        <v>1</v>
      </c>
      <c r="H678" s="2" t="s">
        <v>38</v>
      </c>
      <c r="I678" s="2">
        <v>1</v>
      </c>
      <c r="J678" s="2">
        <v>942</v>
      </c>
      <c r="K678" s="2">
        <v>4</v>
      </c>
      <c r="L678" s="2" t="s">
        <v>39</v>
      </c>
      <c r="M678" s="2">
        <v>51</v>
      </c>
      <c r="N678" s="2">
        <v>3</v>
      </c>
      <c r="O678" s="2">
        <v>2</v>
      </c>
      <c r="P678" s="2" t="s">
        <v>54</v>
      </c>
      <c r="Q678" s="2">
        <v>4</v>
      </c>
      <c r="R678" s="2" t="s">
        <v>48</v>
      </c>
      <c r="S678" s="2">
        <v>4014</v>
      </c>
      <c r="T678" s="2">
        <v>19170</v>
      </c>
      <c r="U678" s="2">
        <v>1</v>
      </c>
      <c r="V678" s="2" t="s">
        <v>42</v>
      </c>
      <c r="W678" s="2" t="s">
        <v>35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</row>
    <row r="679" spans="1:35" x14ac:dyDescent="0.25">
      <c r="A679" s="2">
        <v>49</v>
      </c>
      <c r="B679" s="2" t="s">
        <v>43</v>
      </c>
      <c r="C679" s="2" t="s">
        <v>36</v>
      </c>
      <c r="D679" s="2">
        <v>527</v>
      </c>
      <c r="E679" s="2" t="s">
        <v>45</v>
      </c>
      <c r="F679" s="2">
        <v>8</v>
      </c>
      <c r="G679" s="2">
        <v>2</v>
      </c>
      <c r="H679" s="2" t="s">
        <v>49</v>
      </c>
      <c r="I679" s="2">
        <v>1</v>
      </c>
      <c r="J679" s="2">
        <v>944</v>
      </c>
      <c r="K679" s="2">
        <v>1</v>
      </c>
      <c r="L679" s="2" t="s">
        <v>39</v>
      </c>
      <c r="M679" s="2">
        <v>51</v>
      </c>
      <c r="N679" s="2">
        <v>3</v>
      </c>
      <c r="O679" s="2">
        <v>3</v>
      </c>
      <c r="P679" s="2" t="s">
        <v>50</v>
      </c>
      <c r="Q679" s="2">
        <v>2</v>
      </c>
      <c r="R679" s="2" t="s">
        <v>48</v>
      </c>
      <c r="S679" s="2">
        <v>7403</v>
      </c>
      <c r="T679" s="2">
        <v>22477</v>
      </c>
      <c r="U679" s="2">
        <v>4</v>
      </c>
      <c r="V679" s="2" t="s">
        <v>42</v>
      </c>
      <c r="W679" s="2" t="s">
        <v>43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</row>
    <row r="680" spans="1:35" x14ac:dyDescent="0.25">
      <c r="A680" s="2">
        <v>48</v>
      </c>
      <c r="B680" s="2" t="s">
        <v>43</v>
      </c>
      <c r="C680" s="2" t="s">
        <v>36</v>
      </c>
      <c r="D680" s="2">
        <v>1469</v>
      </c>
      <c r="E680" s="2" t="s">
        <v>45</v>
      </c>
      <c r="F680" s="2">
        <v>20</v>
      </c>
      <c r="G680" s="2">
        <v>4</v>
      </c>
      <c r="H680" s="2" t="s">
        <v>51</v>
      </c>
      <c r="I680" s="2">
        <v>1</v>
      </c>
      <c r="J680" s="2">
        <v>945</v>
      </c>
      <c r="K680" s="2">
        <v>4</v>
      </c>
      <c r="L680" s="2" t="s">
        <v>46</v>
      </c>
      <c r="M680" s="2">
        <v>51</v>
      </c>
      <c r="N680" s="2">
        <v>3</v>
      </c>
      <c r="O680" s="2">
        <v>1</v>
      </c>
      <c r="P680" s="2" t="s">
        <v>47</v>
      </c>
      <c r="Q680" s="2">
        <v>3</v>
      </c>
      <c r="R680" s="2" t="s">
        <v>48</v>
      </c>
      <c r="S680" s="2">
        <v>2259</v>
      </c>
      <c r="T680" s="2">
        <v>5543</v>
      </c>
      <c r="U680" s="2">
        <v>4</v>
      </c>
      <c r="V680" s="2" t="s">
        <v>42</v>
      </c>
      <c r="W680" s="2" t="s">
        <v>43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</row>
    <row r="681" spans="1:35" x14ac:dyDescent="0.25">
      <c r="A681" s="2">
        <v>31</v>
      </c>
      <c r="B681" s="2" t="s">
        <v>43</v>
      </c>
      <c r="C681" s="2" t="s">
        <v>55</v>
      </c>
      <c r="D681" s="2">
        <v>1188</v>
      </c>
      <c r="E681" s="2" t="s">
        <v>37</v>
      </c>
      <c r="F681" s="2">
        <v>20</v>
      </c>
      <c r="G681" s="2">
        <v>2</v>
      </c>
      <c r="H681" s="2" t="s">
        <v>59</v>
      </c>
      <c r="I681" s="2">
        <v>1</v>
      </c>
      <c r="J681" s="2">
        <v>947</v>
      </c>
      <c r="K681" s="2">
        <v>4</v>
      </c>
      <c r="L681" s="2" t="s">
        <v>39</v>
      </c>
      <c r="M681" s="2">
        <v>45</v>
      </c>
      <c r="N681" s="2">
        <v>3</v>
      </c>
      <c r="O681" s="2">
        <v>2</v>
      </c>
      <c r="P681" s="2" t="s">
        <v>40</v>
      </c>
      <c r="Q681" s="2">
        <v>3</v>
      </c>
      <c r="R681" s="2" t="s">
        <v>48</v>
      </c>
      <c r="S681" s="2">
        <v>6932</v>
      </c>
      <c r="T681" s="2">
        <v>24406</v>
      </c>
      <c r="U681" s="2">
        <v>1</v>
      </c>
      <c r="V681" s="2" t="s">
        <v>42</v>
      </c>
      <c r="W681" s="2" t="s">
        <v>43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</row>
    <row r="682" spans="1:35" x14ac:dyDescent="0.25">
      <c r="A682" s="2">
        <v>36</v>
      </c>
      <c r="B682" s="2" t="s">
        <v>43</v>
      </c>
      <c r="C682" s="2" t="s">
        <v>36</v>
      </c>
      <c r="D682" s="2">
        <v>188</v>
      </c>
      <c r="E682" s="2" t="s">
        <v>45</v>
      </c>
      <c r="F682" s="2">
        <v>7</v>
      </c>
      <c r="G682" s="2">
        <v>4</v>
      </c>
      <c r="H682" s="2" t="s">
        <v>49</v>
      </c>
      <c r="I682" s="2">
        <v>1</v>
      </c>
      <c r="J682" s="2">
        <v>949</v>
      </c>
      <c r="K682" s="2">
        <v>2</v>
      </c>
      <c r="L682" s="2" t="s">
        <v>46</v>
      </c>
      <c r="M682" s="2">
        <v>65</v>
      </c>
      <c r="N682" s="2">
        <v>3</v>
      </c>
      <c r="O682" s="2">
        <v>1</v>
      </c>
      <c r="P682" s="2" t="s">
        <v>47</v>
      </c>
      <c r="Q682" s="2">
        <v>4</v>
      </c>
      <c r="R682" s="2" t="s">
        <v>41</v>
      </c>
      <c r="S682" s="2">
        <v>4678</v>
      </c>
      <c r="T682" s="2">
        <v>23293</v>
      </c>
      <c r="U682" s="2">
        <v>2</v>
      </c>
      <c r="V682" s="2" t="s">
        <v>42</v>
      </c>
      <c r="W682" s="2" t="s">
        <v>43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</row>
    <row r="683" spans="1:35" x14ac:dyDescent="0.25">
      <c r="A683" s="2">
        <v>38</v>
      </c>
      <c r="B683" s="2" t="s">
        <v>43</v>
      </c>
      <c r="C683" s="2" t="s">
        <v>36</v>
      </c>
      <c r="D683" s="2">
        <v>1333</v>
      </c>
      <c r="E683" s="2" t="s">
        <v>45</v>
      </c>
      <c r="F683" s="2">
        <v>1</v>
      </c>
      <c r="G683" s="2">
        <v>3</v>
      </c>
      <c r="H683" s="2" t="s">
        <v>60</v>
      </c>
      <c r="I683" s="2">
        <v>1</v>
      </c>
      <c r="J683" s="2">
        <v>950</v>
      </c>
      <c r="K683" s="2">
        <v>4</v>
      </c>
      <c r="L683" s="2" t="s">
        <v>39</v>
      </c>
      <c r="M683" s="2">
        <v>80</v>
      </c>
      <c r="N683" s="2">
        <v>3</v>
      </c>
      <c r="O683" s="2">
        <v>3</v>
      </c>
      <c r="P683" s="2" t="s">
        <v>58</v>
      </c>
      <c r="Q683" s="2">
        <v>1</v>
      </c>
      <c r="R683" s="2" t="s">
        <v>48</v>
      </c>
      <c r="S683" s="2">
        <v>13582</v>
      </c>
      <c r="T683" s="2">
        <v>16292</v>
      </c>
      <c r="U683" s="2">
        <v>1</v>
      </c>
      <c r="V683" s="2" t="s">
        <v>42</v>
      </c>
      <c r="W683" s="2" t="s">
        <v>43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</row>
    <row r="684" spans="1:35" x14ac:dyDescent="0.25">
      <c r="A684" s="2">
        <v>32</v>
      </c>
      <c r="B684" s="2" t="s">
        <v>43</v>
      </c>
      <c r="C684" s="2" t="s">
        <v>55</v>
      </c>
      <c r="D684" s="2">
        <v>1184</v>
      </c>
      <c r="E684" s="2" t="s">
        <v>45</v>
      </c>
      <c r="F684" s="2">
        <v>1</v>
      </c>
      <c r="G684" s="2">
        <v>3</v>
      </c>
      <c r="H684" s="2" t="s">
        <v>38</v>
      </c>
      <c r="I684" s="2">
        <v>1</v>
      </c>
      <c r="J684" s="2">
        <v>951</v>
      </c>
      <c r="K684" s="2">
        <v>3</v>
      </c>
      <c r="L684" s="2" t="s">
        <v>39</v>
      </c>
      <c r="M684" s="2">
        <v>70</v>
      </c>
      <c r="N684" s="2">
        <v>2</v>
      </c>
      <c r="O684" s="2">
        <v>1</v>
      </c>
      <c r="P684" s="2" t="s">
        <v>50</v>
      </c>
      <c r="Q684" s="2">
        <v>2</v>
      </c>
      <c r="R684" s="2" t="s">
        <v>48</v>
      </c>
      <c r="S684" s="2">
        <v>2332</v>
      </c>
      <c r="T684" s="2">
        <v>3974</v>
      </c>
      <c r="U684" s="2">
        <v>6</v>
      </c>
      <c r="V684" s="2" t="s">
        <v>42</v>
      </c>
      <c r="W684" s="2" t="s">
        <v>43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</row>
    <row r="685" spans="1:35" x14ac:dyDescent="0.25">
      <c r="A685" s="2">
        <v>25</v>
      </c>
      <c r="B685" s="2" t="s">
        <v>35</v>
      </c>
      <c r="C685" s="2" t="s">
        <v>36</v>
      </c>
      <c r="D685" s="2">
        <v>867</v>
      </c>
      <c r="E685" s="2" t="s">
        <v>37</v>
      </c>
      <c r="F685" s="2">
        <v>19</v>
      </c>
      <c r="G685" s="2">
        <v>2</v>
      </c>
      <c r="H685" s="2" t="s">
        <v>59</v>
      </c>
      <c r="I685" s="2">
        <v>1</v>
      </c>
      <c r="J685" s="2">
        <v>952</v>
      </c>
      <c r="K685" s="2">
        <v>3</v>
      </c>
      <c r="L685" s="2" t="s">
        <v>46</v>
      </c>
      <c r="M685" s="2">
        <v>36</v>
      </c>
      <c r="N685" s="2">
        <v>2</v>
      </c>
      <c r="O685" s="2">
        <v>1</v>
      </c>
      <c r="P685" s="2" t="s">
        <v>57</v>
      </c>
      <c r="Q685" s="2">
        <v>2</v>
      </c>
      <c r="R685" s="2" t="s">
        <v>48</v>
      </c>
      <c r="S685" s="2">
        <v>2413</v>
      </c>
      <c r="T685" s="2">
        <v>18798</v>
      </c>
      <c r="U685" s="2">
        <v>1</v>
      </c>
      <c r="V685" s="2" t="s">
        <v>42</v>
      </c>
      <c r="W685" s="2" t="s">
        <v>35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</row>
    <row r="686" spans="1:35" x14ac:dyDescent="0.25">
      <c r="A686" s="2">
        <v>40</v>
      </c>
      <c r="B686" s="2" t="s">
        <v>43</v>
      </c>
      <c r="C686" s="2" t="s">
        <v>36</v>
      </c>
      <c r="D686" s="2">
        <v>658</v>
      </c>
      <c r="E686" s="2" t="s">
        <v>37</v>
      </c>
      <c r="F686" s="2">
        <v>10</v>
      </c>
      <c r="G686" s="2">
        <v>4</v>
      </c>
      <c r="H686" s="2" t="s">
        <v>59</v>
      </c>
      <c r="I686" s="2">
        <v>1</v>
      </c>
      <c r="J686" s="2">
        <v>954</v>
      </c>
      <c r="K686" s="2">
        <v>1</v>
      </c>
      <c r="L686" s="2" t="s">
        <v>46</v>
      </c>
      <c r="M686" s="2">
        <v>67</v>
      </c>
      <c r="N686" s="2">
        <v>2</v>
      </c>
      <c r="O686" s="2">
        <v>3</v>
      </c>
      <c r="P686" s="2" t="s">
        <v>40</v>
      </c>
      <c r="Q686" s="2">
        <v>2</v>
      </c>
      <c r="R686" s="2" t="s">
        <v>52</v>
      </c>
      <c r="S686" s="2">
        <v>9705</v>
      </c>
      <c r="T686" s="2">
        <v>20652</v>
      </c>
      <c r="U686" s="2">
        <v>2</v>
      </c>
      <c r="V686" s="2" t="s">
        <v>42</v>
      </c>
      <c r="W686" s="2" t="s">
        <v>43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</row>
    <row r="687" spans="1:35" x14ac:dyDescent="0.25">
      <c r="A687" s="2">
        <v>26</v>
      </c>
      <c r="B687" s="2" t="s">
        <v>43</v>
      </c>
      <c r="C687" s="2" t="s">
        <v>44</v>
      </c>
      <c r="D687" s="2">
        <v>1283</v>
      </c>
      <c r="E687" s="2" t="s">
        <v>37</v>
      </c>
      <c r="F687" s="2">
        <v>1</v>
      </c>
      <c r="G687" s="2">
        <v>3</v>
      </c>
      <c r="H687" s="2" t="s">
        <v>51</v>
      </c>
      <c r="I687" s="2">
        <v>1</v>
      </c>
      <c r="J687" s="2">
        <v>956</v>
      </c>
      <c r="K687" s="2">
        <v>3</v>
      </c>
      <c r="L687" s="2" t="s">
        <v>46</v>
      </c>
      <c r="M687" s="2">
        <v>52</v>
      </c>
      <c r="N687" s="2">
        <v>2</v>
      </c>
      <c r="O687" s="2">
        <v>2</v>
      </c>
      <c r="P687" s="2" t="s">
        <v>40</v>
      </c>
      <c r="Q687" s="2">
        <v>1</v>
      </c>
      <c r="R687" s="2" t="s">
        <v>41</v>
      </c>
      <c r="S687" s="2">
        <v>4294</v>
      </c>
      <c r="T687" s="2">
        <v>11148</v>
      </c>
      <c r="U687" s="2">
        <v>1</v>
      </c>
      <c r="V687" s="2" t="s">
        <v>42</v>
      </c>
      <c r="W687" s="2" t="s">
        <v>43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</row>
    <row r="688" spans="1:35" x14ac:dyDescent="0.25">
      <c r="A688" s="2">
        <v>41</v>
      </c>
      <c r="B688" s="2" t="s">
        <v>43</v>
      </c>
      <c r="C688" s="2" t="s">
        <v>36</v>
      </c>
      <c r="D688" s="2">
        <v>263</v>
      </c>
      <c r="E688" s="2" t="s">
        <v>45</v>
      </c>
      <c r="F688" s="2">
        <v>6</v>
      </c>
      <c r="G688" s="2">
        <v>3</v>
      </c>
      <c r="H688" s="2" t="s">
        <v>51</v>
      </c>
      <c r="I688" s="2">
        <v>1</v>
      </c>
      <c r="J688" s="2">
        <v>957</v>
      </c>
      <c r="K688" s="2">
        <v>4</v>
      </c>
      <c r="L688" s="2" t="s">
        <v>46</v>
      </c>
      <c r="M688" s="2">
        <v>59</v>
      </c>
      <c r="N688" s="2">
        <v>3</v>
      </c>
      <c r="O688" s="2">
        <v>1</v>
      </c>
      <c r="P688" s="2" t="s">
        <v>50</v>
      </c>
      <c r="Q688" s="2">
        <v>1</v>
      </c>
      <c r="R688" s="2" t="s">
        <v>41</v>
      </c>
      <c r="S688" s="2">
        <v>4721</v>
      </c>
      <c r="T688" s="2">
        <v>3119</v>
      </c>
      <c r="U688" s="2">
        <v>2</v>
      </c>
      <c r="V688" s="2" t="s">
        <v>42</v>
      </c>
      <c r="W688" s="2" t="s">
        <v>35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</row>
    <row r="689" spans="1:35" x14ac:dyDescent="0.25">
      <c r="A689" s="2">
        <v>36</v>
      </c>
      <c r="B689" s="2" t="s">
        <v>43</v>
      </c>
      <c r="C689" s="2" t="s">
        <v>36</v>
      </c>
      <c r="D689" s="2">
        <v>938</v>
      </c>
      <c r="E689" s="2" t="s">
        <v>45</v>
      </c>
      <c r="F689" s="2">
        <v>2</v>
      </c>
      <c r="G689" s="2">
        <v>4</v>
      </c>
      <c r="H689" s="2" t="s">
        <v>51</v>
      </c>
      <c r="I689" s="2">
        <v>1</v>
      </c>
      <c r="J689" s="2">
        <v>958</v>
      </c>
      <c r="K689" s="2">
        <v>3</v>
      </c>
      <c r="L689" s="2" t="s">
        <v>46</v>
      </c>
      <c r="M689" s="2">
        <v>79</v>
      </c>
      <c r="N689" s="2">
        <v>3</v>
      </c>
      <c r="O689" s="2">
        <v>1</v>
      </c>
      <c r="P689" s="2" t="s">
        <v>50</v>
      </c>
      <c r="Q689" s="2">
        <v>3</v>
      </c>
      <c r="R689" s="2" t="s">
        <v>41</v>
      </c>
      <c r="S689" s="2">
        <v>2519</v>
      </c>
      <c r="T689" s="2">
        <v>12287</v>
      </c>
      <c r="U689" s="2">
        <v>4</v>
      </c>
      <c r="V689" s="2" t="s">
        <v>42</v>
      </c>
      <c r="W689" s="2" t="s">
        <v>43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</row>
    <row r="690" spans="1:35" x14ac:dyDescent="0.25">
      <c r="A690" s="2">
        <v>19</v>
      </c>
      <c r="B690" s="2" t="s">
        <v>35</v>
      </c>
      <c r="C690" s="2" t="s">
        <v>36</v>
      </c>
      <c r="D690" s="2">
        <v>419</v>
      </c>
      <c r="E690" s="2" t="s">
        <v>37</v>
      </c>
      <c r="F690" s="2">
        <v>21</v>
      </c>
      <c r="G690" s="2">
        <v>3</v>
      </c>
      <c r="H690" s="2" t="s">
        <v>49</v>
      </c>
      <c r="I690" s="2">
        <v>1</v>
      </c>
      <c r="J690" s="2">
        <v>959</v>
      </c>
      <c r="K690" s="2">
        <v>4</v>
      </c>
      <c r="L690" s="2" t="s">
        <v>46</v>
      </c>
      <c r="M690" s="2">
        <v>37</v>
      </c>
      <c r="N690" s="2">
        <v>2</v>
      </c>
      <c r="O690" s="2">
        <v>1</v>
      </c>
      <c r="P690" s="2" t="s">
        <v>57</v>
      </c>
      <c r="Q690" s="2">
        <v>2</v>
      </c>
      <c r="R690" s="2" t="s">
        <v>41</v>
      </c>
      <c r="S690" s="2">
        <v>2121</v>
      </c>
      <c r="T690" s="2">
        <v>9947</v>
      </c>
      <c r="U690" s="2">
        <v>1</v>
      </c>
      <c r="V690" s="2" t="s">
        <v>42</v>
      </c>
      <c r="W690" s="2" t="s">
        <v>35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</row>
    <row r="691" spans="1:35" x14ac:dyDescent="0.25">
      <c r="A691" s="2">
        <v>20</v>
      </c>
      <c r="B691" s="2" t="s">
        <v>35</v>
      </c>
      <c r="C691" s="2" t="s">
        <v>36</v>
      </c>
      <c r="D691" s="2">
        <v>129</v>
      </c>
      <c r="E691" s="2" t="s">
        <v>45</v>
      </c>
      <c r="F691" s="2">
        <v>4</v>
      </c>
      <c r="G691" s="2">
        <v>3</v>
      </c>
      <c r="H691" s="2" t="s">
        <v>60</v>
      </c>
      <c r="I691" s="2">
        <v>1</v>
      </c>
      <c r="J691" s="2">
        <v>960</v>
      </c>
      <c r="K691" s="2">
        <v>1</v>
      </c>
      <c r="L691" s="2" t="s">
        <v>46</v>
      </c>
      <c r="M691" s="2">
        <v>84</v>
      </c>
      <c r="N691" s="2">
        <v>3</v>
      </c>
      <c r="O691" s="2">
        <v>1</v>
      </c>
      <c r="P691" s="2" t="s">
        <v>50</v>
      </c>
      <c r="Q691" s="2">
        <v>1</v>
      </c>
      <c r="R691" s="2" t="s">
        <v>41</v>
      </c>
      <c r="S691" s="2">
        <v>2973</v>
      </c>
      <c r="T691" s="2">
        <v>13008</v>
      </c>
      <c r="U691" s="2">
        <v>1</v>
      </c>
      <c r="V691" s="2" t="s">
        <v>42</v>
      </c>
      <c r="W691" s="2" t="s">
        <v>43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</row>
    <row r="692" spans="1:35" x14ac:dyDescent="0.25">
      <c r="A692" s="2">
        <v>31</v>
      </c>
      <c r="B692" s="2" t="s">
        <v>43</v>
      </c>
      <c r="C692" s="2" t="s">
        <v>36</v>
      </c>
      <c r="D692" s="2">
        <v>616</v>
      </c>
      <c r="E692" s="2" t="s">
        <v>45</v>
      </c>
      <c r="F692" s="2">
        <v>12</v>
      </c>
      <c r="G692" s="2">
        <v>3</v>
      </c>
      <c r="H692" s="2" t="s">
        <v>51</v>
      </c>
      <c r="I692" s="2">
        <v>1</v>
      </c>
      <c r="J692" s="2">
        <v>961</v>
      </c>
      <c r="K692" s="2">
        <v>4</v>
      </c>
      <c r="L692" s="2" t="s">
        <v>39</v>
      </c>
      <c r="M692" s="2">
        <v>41</v>
      </c>
      <c r="N692" s="2">
        <v>3</v>
      </c>
      <c r="O692" s="2">
        <v>2</v>
      </c>
      <c r="P692" s="2" t="s">
        <v>54</v>
      </c>
      <c r="Q692" s="2">
        <v>4</v>
      </c>
      <c r="R692" s="2" t="s">
        <v>48</v>
      </c>
      <c r="S692" s="2">
        <v>5855</v>
      </c>
      <c r="T692" s="2">
        <v>17369</v>
      </c>
      <c r="U692" s="2">
        <v>0</v>
      </c>
      <c r="V692" s="2" t="s">
        <v>42</v>
      </c>
      <c r="W692" s="2" t="s">
        <v>35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</row>
    <row r="693" spans="1:35" x14ac:dyDescent="0.25">
      <c r="A693" s="2">
        <v>40</v>
      </c>
      <c r="B693" s="2" t="s">
        <v>43</v>
      </c>
      <c r="C693" s="2" t="s">
        <v>44</v>
      </c>
      <c r="D693" s="2">
        <v>1469</v>
      </c>
      <c r="E693" s="2" t="s">
        <v>45</v>
      </c>
      <c r="F693" s="2">
        <v>9</v>
      </c>
      <c r="G693" s="2">
        <v>4</v>
      </c>
      <c r="H693" s="2" t="s">
        <v>51</v>
      </c>
      <c r="I693" s="2">
        <v>1</v>
      </c>
      <c r="J693" s="2">
        <v>964</v>
      </c>
      <c r="K693" s="2">
        <v>4</v>
      </c>
      <c r="L693" s="2" t="s">
        <v>46</v>
      </c>
      <c r="M693" s="2">
        <v>35</v>
      </c>
      <c r="N693" s="2">
        <v>3</v>
      </c>
      <c r="O693" s="2">
        <v>1</v>
      </c>
      <c r="P693" s="2" t="s">
        <v>47</v>
      </c>
      <c r="Q693" s="2">
        <v>2</v>
      </c>
      <c r="R693" s="2" t="s">
        <v>52</v>
      </c>
      <c r="S693" s="2">
        <v>3617</v>
      </c>
      <c r="T693" s="2">
        <v>25063</v>
      </c>
      <c r="U693" s="2">
        <v>8</v>
      </c>
      <c r="V693" s="2" t="s">
        <v>42</v>
      </c>
      <c r="W693" s="2" t="s">
        <v>35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</row>
    <row r="694" spans="1:35" x14ac:dyDescent="0.25">
      <c r="A694" s="2">
        <v>32</v>
      </c>
      <c r="B694" s="2" t="s">
        <v>43</v>
      </c>
      <c r="C694" s="2" t="s">
        <v>36</v>
      </c>
      <c r="D694" s="2">
        <v>498</v>
      </c>
      <c r="E694" s="2" t="s">
        <v>45</v>
      </c>
      <c r="F694" s="2">
        <v>3</v>
      </c>
      <c r="G694" s="2">
        <v>4</v>
      </c>
      <c r="H694" s="2" t="s">
        <v>51</v>
      </c>
      <c r="I694" s="2">
        <v>1</v>
      </c>
      <c r="J694" s="2">
        <v>966</v>
      </c>
      <c r="K694" s="2">
        <v>3</v>
      </c>
      <c r="L694" s="2" t="s">
        <v>39</v>
      </c>
      <c r="M694" s="2">
        <v>93</v>
      </c>
      <c r="N694" s="2">
        <v>3</v>
      </c>
      <c r="O694" s="2">
        <v>2</v>
      </c>
      <c r="P694" s="2" t="s">
        <v>53</v>
      </c>
      <c r="Q694" s="2">
        <v>1</v>
      </c>
      <c r="R694" s="2" t="s">
        <v>48</v>
      </c>
      <c r="S694" s="2">
        <v>6725</v>
      </c>
      <c r="T694" s="2">
        <v>13554</v>
      </c>
      <c r="U694" s="2">
        <v>1</v>
      </c>
      <c r="V694" s="2" t="s">
        <v>42</v>
      </c>
      <c r="W694" s="2" t="s">
        <v>43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</row>
    <row r="695" spans="1:35" x14ac:dyDescent="0.25">
      <c r="A695" s="2">
        <v>36</v>
      </c>
      <c r="B695" s="2" t="s">
        <v>35</v>
      </c>
      <c r="C695" s="2" t="s">
        <v>36</v>
      </c>
      <c r="D695" s="2">
        <v>530</v>
      </c>
      <c r="E695" s="2" t="s">
        <v>37</v>
      </c>
      <c r="F695" s="2">
        <v>3</v>
      </c>
      <c r="G695" s="2">
        <v>1</v>
      </c>
      <c r="H695" s="2" t="s">
        <v>38</v>
      </c>
      <c r="I695" s="2">
        <v>1</v>
      </c>
      <c r="J695" s="2">
        <v>967</v>
      </c>
      <c r="K695" s="2">
        <v>3</v>
      </c>
      <c r="L695" s="2" t="s">
        <v>46</v>
      </c>
      <c r="M695" s="2">
        <v>51</v>
      </c>
      <c r="N695" s="2">
        <v>2</v>
      </c>
      <c r="O695" s="2">
        <v>3</v>
      </c>
      <c r="P695" s="2" t="s">
        <v>40</v>
      </c>
      <c r="Q695" s="2">
        <v>4</v>
      </c>
      <c r="R695" s="2" t="s">
        <v>48</v>
      </c>
      <c r="S695" s="2">
        <v>10325</v>
      </c>
      <c r="T695" s="2">
        <v>5518</v>
      </c>
      <c r="U695" s="2">
        <v>1</v>
      </c>
      <c r="V695" s="2" t="s">
        <v>42</v>
      </c>
      <c r="W695" s="2" t="s">
        <v>35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</row>
    <row r="696" spans="1:35" x14ac:dyDescent="0.25">
      <c r="A696" s="2">
        <v>33</v>
      </c>
      <c r="B696" s="2" t="s">
        <v>43</v>
      </c>
      <c r="C696" s="2" t="s">
        <v>36</v>
      </c>
      <c r="D696" s="2">
        <v>1069</v>
      </c>
      <c r="E696" s="2" t="s">
        <v>45</v>
      </c>
      <c r="F696" s="2">
        <v>1</v>
      </c>
      <c r="G696" s="2">
        <v>3</v>
      </c>
      <c r="H696" s="2" t="s">
        <v>38</v>
      </c>
      <c r="I696" s="2">
        <v>1</v>
      </c>
      <c r="J696" s="2">
        <v>969</v>
      </c>
      <c r="K696" s="2">
        <v>2</v>
      </c>
      <c r="L696" s="2" t="s">
        <v>39</v>
      </c>
      <c r="M696" s="2">
        <v>42</v>
      </c>
      <c r="N696" s="2">
        <v>2</v>
      </c>
      <c r="O696" s="2">
        <v>2</v>
      </c>
      <c r="P696" s="2" t="s">
        <v>54</v>
      </c>
      <c r="Q696" s="2">
        <v>4</v>
      </c>
      <c r="R696" s="2" t="s">
        <v>41</v>
      </c>
      <c r="S696" s="2">
        <v>6949</v>
      </c>
      <c r="T696" s="2">
        <v>12291</v>
      </c>
      <c r="U696" s="2">
        <v>0</v>
      </c>
      <c r="V696" s="2" t="s">
        <v>42</v>
      </c>
      <c r="W696" s="2" t="s">
        <v>43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</row>
    <row r="697" spans="1:35" x14ac:dyDescent="0.25">
      <c r="A697" s="2">
        <v>37</v>
      </c>
      <c r="B697" s="2" t="s">
        <v>35</v>
      </c>
      <c r="C697" s="2" t="s">
        <v>36</v>
      </c>
      <c r="D697" s="2">
        <v>625</v>
      </c>
      <c r="E697" s="2" t="s">
        <v>37</v>
      </c>
      <c r="F697" s="2">
        <v>1</v>
      </c>
      <c r="G697" s="2">
        <v>4</v>
      </c>
      <c r="H697" s="2" t="s">
        <v>38</v>
      </c>
      <c r="I697" s="2">
        <v>1</v>
      </c>
      <c r="J697" s="2">
        <v>970</v>
      </c>
      <c r="K697" s="2">
        <v>1</v>
      </c>
      <c r="L697" s="2" t="s">
        <v>46</v>
      </c>
      <c r="M697" s="2">
        <v>46</v>
      </c>
      <c r="N697" s="2">
        <v>2</v>
      </c>
      <c r="O697" s="2">
        <v>3</v>
      </c>
      <c r="P697" s="2" t="s">
        <v>40</v>
      </c>
      <c r="Q697" s="2">
        <v>3</v>
      </c>
      <c r="R697" s="2" t="s">
        <v>48</v>
      </c>
      <c r="S697" s="2">
        <v>10609</v>
      </c>
      <c r="T697" s="2">
        <v>14922</v>
      </c>
      <c r="U697" s="2">
        <v>5</v>
      </c>
      <c r="V697" s="2" t="s">
        <v>42</v>
      </c>
      <c r="W697" s="2" t="s">
        <v>43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</row>
    <row r="698" spans="1:35" x14ac:dyDescent="0.25">
      <c r="A698" s="2">
        <v>45</v>
      </c>
      <c r="B698" s="2" t="s">
        <v>43</v>
      </c>
      <c r="C698" s="2" t="s">
        <v>55</v>
      </c>
      <c r="D698" s="2">
        <v>805</v>
      </c>
      <c r="E698" s="2" t="s">
        <v>45</v>
      </c>
      <c r="F698" s="2">
        <v>4</v>
      </c>
      <c r="G698" s="2">
        <v>2</v>
      </c>
      <c r="H698" s="2" t="s">
        <v>38</v>
      </c>
      <c r="I698" s="2">
        <v>1</v>
      </c>
      <c r="J698" s="2">
        <v>972</v>
      </c>
      <c r="K698" s="2">
        <v>3</v>
      </c>
      <c r="L698" s="2" t="s">
        <v>46</v>
      </c>
      <c r="M698" s="2">
        <v>57</v>
      </c>
      <c r="N698" s="2">
        <v>3</v>
      </c>
      <c r="O698" s="2">
        <v>2</v>
      </c>
      <c r="P698" s="2" t="s">
        <v>50</v>
      </c>
      <c r="Q698" s="2">
        <v>2</v>
      </c>
      <c r="R698" s="2" t="s">
        <v>48</v>
      </c>
      <c r="S698" s="2">
        <v>4447</v>
      </c>
      <c r="T698" s="2">
        <v>23163</v>
      </c>
      <c r="U698" s="2">
        <v>1</v>
      </c>
      <c r="V698" s="2" t="s">
        <v>42</v>
      </c>
      <c r="W698" s="2" t="s">
        <v>43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</row>
    <row r="699" spans="1:35" x14ac:dyDescent="0.25">
      <c r="A699" s="2">
        <v>29</v>
      </c>
      <c r="B699" s="2" t="s">
        <v>43</v>
      </c>
      <c r="C699" s="2" t="s">
        <v>44</v>
      </c>
      <c r="D699" s="2">
        <v>1404</v>
      </c>
      <c r="E699" s="2" t="s">
        <v>37</v>
      </c>
      <c r="F699" s="2">
        <v>20</v>
      </c>
      <c r="G699" s="2">
        <v>3</v>
      </c>
      <c r="H699" s="2" t="s">
        <v>60</v>
      </c>
      <c r="I699" s="2">
        <v>1</v>
      </c>
      <c r="J699" s="2">
        <v>974</v>
      </c>
      <c r="K699" s="2">
        <v>3</v>
      </c>
      <c r="L699" s="2" t="s">
        <v>39</v>
      </c>
      <c r="M699" s="2">
        <v>84</v>
      </c>
      <c r="N699" s="2">
        <v>3</v>
      </c>
      <c r="O699" s="2">
        <v>1</v>
      </c>
      <c r="P699" s="2" t="s">
        <v>57</v>
      </c>
      <c r="Q699" s="2">
        <v>4</v>
      </c>
      <c r="R699" s="2" t="s">
        <v>48</v>
      </c>
      <c r="S699" s="2">
        <v>2157</v>
      </c>
      <c r="T699" s="2">
        <v>18203</v>
      </c>
      <c r="U699" s="2">
        <v>1</v>
      </c>
      <c r="V699" s="2" t="s">
        <v>42</v>
      </c>
      <c r="W699" s="2" t="s">
        <v>43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</row>
    <row r="700" spans="1:35" x14ac:dyDescent="0.25">
      <c r="A700" s="2">
        <v>35</v>
      </c>
      <c r="B700" s="2" t="s">
        <v>43</v>
      </c>
      <c r="C700" s="2" t="s">
        <v>36</v>
      </c>
      <c r="D700" s="2">
        <v>1219</v>
      </c>
      <c r="E700" s="2" t="s">
        <v>37</v>
      </c>
      <c r="F700" s="2">
        <v>18</v>
      </c>
      <c r="G700" s="2">
        <v>3</v>
      </c>
      <c r="H700" s="2" t="s">
        <v>51</v>
      </c>
      <c r="I700" s="2">
        <v>1</v>
      </c>
      <c r="J700" s="2">
        <v>975</v>
      </c>
      <c r="K700" s="2">
        <v>3</v>
      </c>
      <c r="L700" s="2" t="s">
        <v>39</v>
      </c>
      <c r="M700" s="2">
        <v>86</v>
      </c>
      <c r="N700" s="2">
        <v>3</v>
      </c>
      <c r="O700" s="2">
        <v>2</v>
      </c>
      <c r="P700" s="2" t="s">
        <v>40</v>
      </c>
      <c r="Q700" s="2">
        <v>3</v>
      </c>
      <c r="R700" s="2" t="s">
        <v>48</v>
      </c>
      <c r="S700" s="2">
        <v>4601</v>
      </c>
      <c r="T700" s="2">
        <v>6179</v>
      </c>
      <c r="U700" s="2">
        <v>1</v>
      </c>
      <c r="V700" s="2" t="s">
        <v>42</v>
      </c>
      <c r="W700" s="2" t="s">
        <v>43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</row>
    <row r="701" spans="1:35" x14ac:dyDescent="0.25">
      <c r="A701" s="2">
        <v>52</v>
      </c>
      <c r="B701" s="2" t="s">
        <v>43</v>
      </c>
      <c r="C701" s="2" t="s">
        <v>36</v>
      </c>
      <c r="D701" s="2">
        <v>1053</v>
      </c>
      <c r="E701" s="2" t="s">
        <v>45</v>
      </c>
      <c r="F701" s="2">
        <v>1</v>
      </c>
      <c r="G701" s="2">
        <v>2</v>
      </c>
      <c r="H701" s="2" t="s">
        <v>38</v>
      </c>
      <c r="I701" s="2">
        <v>1</v>
      </c>
      <c r="J701" s="2">
        <v>976</v>
      </c>
      <c r="K701" s="2">
        <v>4</v>
      </c>
      <c r="L701" s="2" t="s">
        <v>46</v>
      </c>
      <c r="M701" s="2">
        <v>70</v>
      </c>
      <c r="N701" s="2">
        <v>3</v>
      </c>
      <c r="O701" s="2">
        <v>4</v>
      </c>
      <c r="P701" s="2" t="s">
        <v>56</v>
      </c>
      <c r="Q701" s="2">
        <v>4</v>
      </c>
      <c r="R701" s="2" t="s">
        <v>48</v>
      </c>
      <c r="S701" s="2">
        <v>17099</v>
      </c>
      <c r="T701" s="2">
        <v>13829</v>
      </c>
      <c r="U701" s="2">
        <v>2</v>
      </c>
      <c r="V701" s="2" t="s">
        <v>42</v>
      </c>
      <c r="W701" s="2" t="s">
        <v>43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</row>
    <row r="702" spans="1:35" x14ac:dyDescent="0.25">
      <c r="A702" s="2">
        <v>58</v>
      </c>
      <c r="B702" s="2" t="s">
        <v>35</v>
      </c>
      <c r="C702" s="2" t="s">
        <v>36</v>
      </c>
      <c r="D702" s="2">
        <v>289</v>
      </c>
      <c r="E702" s="2" t="s">
        <v>45</v>
      </c>
      <c r="F702" s="2">
        <v>2</v>
      </c>
      <c r="G702" s="2">
        <v>3</v>
      </c>
      <c r="H702" s="2" t="s">
        <v>60</v>
      </c>
      <c r="I702" s="2">
        <v>1</v>
      </c>
      <c r="J702" s="2">
        <v>977</v>
      </c>
      <c r="K702" s="2">
        <v>4</v>
      </c>
      <c r="L702" s="2" t="s">
        <v>46</v>
      </c>
      <c r="M702" s="2">
        <v>51</v>
      </c>
      <c r="N702" s="2">
        <v>3</v>
      </c>
      <c r="O702" s="2">
        <v>1</v>
      </c>
      <c r="P702" s="2" t="s">
        <v>47</v>
      </c>
      <c r="Q702" s="2">
        <v>3</v>
      </c>
      <c r="R702" s="2" t="s">
        <v>41</v>
      </c>
      <c r="S702" s="2">
        <v>2479</v>
      </c>
      <c r="T702" s="2">
        <v>26227</v>
      </c>
      <c r="U702" s="2">
        <v>4</v>
      </c>
      <c r="V702" s="2" t="s">
        <v>42</v>
      </c>
      <c r="W702" s="2" t="s">
        <v>43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</row>
    <row r="703" spans="1:35" x14ac:dyDescent="0.25">
      <c r="A703" s="2">
        <v>53</v>
      </c>
      <c r="B703" s="2" t="s">
        <v>43</v>
      </c>
      <c r="C703" s="2" t="s">
        <v>36</v>
      </c>
      <c r="D703" s="2">
        <v>1376</v>
      </c>
      <c r="E703" s="2" t="s">
        <v>37</v>
      </c>
      <c r="F703" s="2">
        <v>2</v>
      </c>
      <c r="G703" s="2">
        <v>2</v>
      </c>
      <c r="H703" s="2" t="s">
        <v>51</v>
      </c>
      <c r="I703" s="2">
        <v>1</v>
      </c>
      <c r="J703" s="2">
        <v>981</v>
      </c>
      <c r="K703" s="2">
        <v>3</v>
      </c>
      <c r="L703" s="2" t="s">
        <v>46</v>
      </c>
      <c r="M703" s="2">
        <v>45</v>
      </c>
      <c r="N703" s="2">
        <v>3</v>
      </c>
      <c r="O703" s="2">
        <v>4</v>
      </c>
      <c r="P703" s="2" t="s">
        <v>56</v>
      </c>
      <c r="Q703" s="2">
        <v>3</v>
      </c>
      <c r="R703" s="2" t="s">
        <v>52</v>
      </c>
      <c r="S703" s="2">
        <v>14852</v>
      </c>
      <c r="T703" s="2">
        <v>13938</v>
      </c>
      <c r="U703" s="2">
        <v>6</v>
      </c>
      <c r="V703" s="2" t="s">
        <v>42</v>
      </c>
      <c r="W703" s="2" t="s">
        <v>43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</row>
    <row r="704" spans="1:35" x14ac:dyDescent="0.25">
      <c r="A704" s="2">
        <v>30</v>
      </c>
      <c r="B704" s="2" t="s">
        <v>43</v>
      </c>
      <c r="C704" s="2" t="s">
        <v>36</v>
      </c>
      <c r="D704" s="2">
        <v>231</v>
      </c>
      <c r="E704" s="2" t="s">
        <v>37</v>
      </c>
      <c r="F704" s="2">
        <v>8</v>
      </c>
      <c r="G704" s="2">
        <v>2</v>
      </c>
      <c r="H704" s="2" t="s">
        <v>49</v>
      </c>
      <c r="I704" s="2">
        <v>1</v>
      </c>
      <c r="J704" s="2">
        <v>982</v>
      </c>
      <c r="K704" s="2">
        <v>3</v>
      </c>
      <c r="L704" s="2" t="s">
        <v>46</v>
      </c>
      <c r="M704" s="2">
        <v>62</v>
      </c>
      <c r="N704" s="2">
        <v>3</v>
      </c>
      <c r="O704" s="2">
        <v>3</v>
      </c>
      <c r="P704" s="2" t="s">
        <v>40</v>
      </c>
      <c r="Q704" s="2">
        <v>3</v>
      </c>
      <c r="R704" s="2" t="s">
        <v>52</v>
      </c>
      <c r="S704" s="2">
        <v>7264</v>
      </c>
      <c r="T704" s="2">
        <v>9977</v>
      </c>
      <c r="U704" s="2">
        <v>5</v>
      </c>
      <c r="V704" s="2" t="s">
        <v>42</v>
      </c>
      <c r="W704" s="2" t="s">
        <v>43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</row>
    <row r="705" spans="1:35" x14ac:dyDescent="0.25">
      <c r="A705" s="2">
        <v>38</v>
      </c>
      <c r="B705" s="2" t="s">
        <v>43</v>
      </c>
      <c r="C705" s="2" t="s">
        <v>55</v>
      </c>
      <c r="D705" s="2">
        <v>152</v>
      </c>
      <c r="E705" s="2" t="s">
        <v>37</v>
      </c>
      <c r="F705" s="2">
        <v>10</v>
      </c>
      <c r="G705" s="2">
        <v>3</v>
      </c>
      <c r="H705" s="2" t="s">
        <v>60</v>
      </c>
      <c r="I705" s="2">
        <v>1</v>
      </c>
      <c r="J705" s="2">
        <v>983</v>
      </c>
      <c r="K705" s="2">
        <v>3</v>
      </c>
      <c r="L705" s="2" t="s">
        <v>39</v>
      </c>
      <c r="M705" s="2">
        <v>85</v>
      </c>
      <c r="N705" s="2">
        <v>3</v>
      </c>
      <c r="O705" s="2">
        <v>2</v>
      </c>
      <c r="P705" s="2" t="s">
        <v>40</v>
      </c>
      <c r="Q705" s="2">
        <v>4</v>
      </c>
      <c r="R705" s="2" t="s">
        <v>41</v>
      </c>
      <c r="S705" s="2">
        <v>5666</v>
      </c>
      <c r="T705" s="2">
        <v>19899</v>
      </c>
      <c r="U705" s="2">
        <v>1</v>
      </c>
      <c r="V705" s="2" t="s">
        <v>42</v>
      </c>
      <c r="W705" s="2" t="s">
        <v>35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</row>
    <row r="706" spans="1:35" x14ac:dyDescent="0.25">
      <c r="A706" s="2">
        <v>35</v>
      </c>
      <c r="B706" s="2" t="s">
        <v>43</v>
      </c>
      <c r="C706" s="2" t="s">
        <v>36</v>
      </c>
      <c r="D706" s="2">
        <v>882</v>
      </c>
      <c r="E706" s="2" t="s">
        <v>37</v>
      </c>
      <c r="F706" s="2">
        <v>3</v>
      </c>
      <c r="G706" s="2">
        <v>4</v>
      </c>
      <c r="H706" s="2" t="s">
        <v>38</v>
      </c>
      <c r="I706" s="2">
        <v>1</v>
      </c>
      <c r="J706" s="2">
        <v>984</v>
      </c>
      <c r="K706" s="2">
        <v>4</v>
      </c>
      <c r="L706" s="2" t="s">
        <v>46</v>
      </c>
      <c r="M706" s="2">
        <v>92</v>
      </c>
      <c r="N706" s="2">
        <v>3</v>
      </c>
      <c r="O706" s="2">
        <v>3</v>
      </c>
      <c r="P706" s="2" t="s">
        <v>40</v>
      </c>
      <c r="Q706" s="2">
        <v>4</v>
      </c>
      <c r="R706" s="2" t="s">
        <v>52</v>
      </c>
      <c r="S706" s="2">
        <v>7823</v>
      </c>
      <c r="T706" s="2">
        <v>6812</v>
      </c>
      <c r="U706" s="2">
        <v>6</v>
      </c>
      <c r="V706" s="2" t="s">
        <v>42</v>
      </c>
      <c r="W706" s="2" t="s">
        <v>43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</row>
    <row r="707" spans="1:35" x14ac:dyDescent="0.25">
      <c r="A707" s="2">
        <v>39</v>
      </c>
      <c r="B707" s="2" t="s">
        <v>43</v>
      </c>
      <c r="C707" s="2" t="s">
        <v>36</v>
      </c>
      <c r="D707" s="2">
        <v>903</v>
      </c>
      <c r="E707" s="2" t="s">
        <v>37</v>
      </c>
      <c r="F707" s="2">
        <v>2</v>
      </c>
      <c r="G707" s="2">
        <v>5</v>
      </c>
      <c r="H707" s="2" t="s">
        <v>38</v>
      </c>
      <c r="I707" s="2">
        <v>1</v>
      </c>
      <c r="J707" s="2">
        <v>985</v>
      </c>
      <c r="K707" s="2">
        <v>1</v>
      </c>
      <c r="L707" s="2" t="s">
        <v>46</v>
      </c>
      <c r="M707" s="2">
        <v>41</v>
      </c>
      <c r="N707" s="2">
        <v>4</v>
      </c>
      <c r="O707" s="2">
        <v>3</v>
      </c>
      <c r="P707" s="2" t="s">
        <v>40</v>
      </c>
      <c r="Q707" s="2">
        <v>3</v>
      </c>
      <c r="R707" s="2" t="s">
        <v>41</v>
      </c>
      <c r="S707" s="2">
        <v>7880</v>
      </c>
      <c r="T707" s="2">
        <v>2560</v>
      </c>
      <c r="U707" s="2">
        <v>0</v>
      </c>
      <c r="V707" s="2" t="s">
        <v>42</v>
      </c>
      <c r="W707" s="2" t="s">
        <v>43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</row>
    <row r="708" spans="1:35" x14ac:dyDescent="0.25">
      <c r="A708" s="2">
        <v>40</v>
      </c>
      <c r="B708" s="2" t="s">
        <v>35</v>
      </c>
      <c r="C708" s="2" t="s">
        <v>55</v>
      </c>
      <c r="D708" s="2">
        <v>1479</v>
      </c>
      <c r="E708" s="2" t="s">
        <v>37</v>
      </c>
      <c r="F708" s="2">
        <v>24</v>
      </c>
      <c r="G708" s="2">
        <v>3</v>
      </c>
      <c r="H708" s="2" t="s">
        <v>38</v>
      </c>
      <c r="I708" s="2">
        <v>1</v>
      </c>
      <c r="J708" s="2">
        <v>986</v>
      </c>
      <c r="K708" s="2">
        <v>2</v>
      </c>
      <c r="L708" s="2" t="s">
        <v>39</v>
      </c>
      <c r="M708" s="2">
        <v>100</v>
      </c>
      <c r="N708" s="2">
        <v>4</v>
      </c>
      <c r="O708" s="2">
        <v>4</v>
      </c>
      <c r="P708" s="2" t="s">
        <v>40</v>
      </c>
      <c r="Q708" s="2">
        <v>2</v>
      </c>
      <c r="R708" s="2" t="s">
        <v>41</v>
      </c>
      <c r="S708" s="2">
        <v>13194</v>
      </c>
      <c r="T708" s="2">
        <v>17071</v>
      </c>
      <c r="U708" s="2">
        <v>4</v>
      </c>
      <c r="V708" s="2" t="s">
        <v>42</v>
      </c>
      <c r="W708" s="2" t="s">
        <v>35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</row>
    <row r="709" spans="1:35" x14ac:dyDescent="0.25">
      <c r="A709" s="2">
        <v>47</v>
      </c>
      <c r="B709" s="2" t="s">
        <v>43</v>
      </c>
      <c r="C709" s="2" t="s">
        <v>44</v>
      </c>
      <c r="D709" s="2">
        <v>1379</v>
      </c>
      <c r="E709" s="2" t="s">
        <v>45</v>
      </c>
      <c r="F709" s="2">
        <v>16</v>
      </c>
      <c r="G709" s="2">
        <v>4</v>
      </c>
      <c r="H709" s="2" t="s">
        <v>51</v>
      </c>
      <c r="I709" s="2">
        <v>1</v>
      </c>
      <c r="J709" s="2">
        <v>987</v>
      </c>
      <c r="K709" s="2">
        <v>3</v>
      </c>
      <c r="L709" s="2" t="s">
        <v>46</v>
      </c>
      <c r="M709" s="2">
        <v>64</v>
      </c>
      <c r="N709" s="2">
        <v>4</v>
      </c>
      <c r="O709" s="2">
        <v>2</v>
      </c>
      <c r="P709" s="2" t="s">
        <v>53</v>
      </c>
      <c r="Q709" s="2">
        <v>3</v>
      </c>
      <c r="R709" s="2" t="s">
        <v>52</v>
      </c>
      <c r="S709" s="2">
        <v>5067</v>
      </c>
      <c r="T709" s="2">
        <v>6759</v>
      </c>
      <c r="U709" s="2">
        <v>1</v>
      </c>
      <c r="V709" s="2" t="s">
        <v>42</v>
      </c>
      <c r="W709" s="2" t="s">
        <v>35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</row>
    <row r="710" spans="1:35" x14ac:dyDescent="0.25">
      <c r="A710" s="2">
        <v>36</v>
      </c>
      <c r="B710" s="2" t="s">
        <v>43</v>
      </c>
      <c r="C710" s="2" t="s">
        <v>55</v>
      </c>
      <c r="D710" s="2">
        <v>1229</v>
      </c>
      <c r="E710" s="2" t="s">
        <v>37</v>
      </c>
      <c r="F710" s="2">
        <v>8</v>
      </c>
      <c r="G710" s="2">
        <v>4</v>
      </c>
      <c r="H710" s="2" t="s">
        <v>60</v>
      </c>
      <c r="I710" s="2">
        <v>1</v>
      </c>
      <c r="J710" s="2">
        <v>990</v>
      </c>
      <c r="K710" s="2">
        <v>1</v>
      </c>
      <c r="L710" s="2" t="s">
        <v>46</v>
      </c>
      <c r="M710" s="2">
        <v>84</v>
      </c>
      <c r="N710" s="2">
        <v>3</v>
      </c>
      <c r="O710" s="2">
        <v>2</v>
      </c>
      <c r="P710" s="2" t="s">
        <v>40</v>
      </c>
      <c r="Q710" s="2">
        <v>4</v>
      </c>
      <c r="R710" s="2" t="s">
        <v>52</v>
      </c>
      <c r="S710" s="2">
        <v>5079</v>
      </c>
      <c r="T710" s="2">
        <v>25952</v>
      </c>
      <c r="U710" s="2">
        <v>4</v>
      </c>
      <c r="V710" s="2" t="s">
        <v>42</v>
      </c>
      <c r="W710" s="2" t="s">
        <v>43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</row>
    <row r="711" spans="1:35" x14ac:dyDescent="0.25">
      <c r="A711" s="2">
        <v>31</v>
      </c>
      <c r="B711" s="2" t="s">
        <v>35</v>
      </c>
      <c r="C711" s="2" t="s">
        <v>55</v>
      </c>
      <c r="D711" s="2">
        <v>335</v>
      </c>
      <c r="E711" s="2" t="s">
        <v>45</v>
      </c>
      <c r="F711" s="2">
        <v>9</v>
      </c>
      <c r="G711" s="2">
        <v>2</v>
      </c>
      <c r="H711" s="2" t="s">
        <v>51</v>
      </c>
      <c r="I711" s="2">
        <v>1</v>
      </c>
      <c r="J711" s="2">
        <v>991</v>
      </c>
      <c r="K711" s="2">
        <v>3</v>
      </c>
      <c r="L711" s="2" t="s">
        <v>46</v>
      </c>
      <c r="M711" s="2">
        <v>46</v>
      </c>
      <c r="N711" s="2">
        <v>2</v>
      </c>
      <c r="O711" s="2">
        <v>1</v>
      </c>
      <c r="P711" s="2" t="s">
        <v>47</v>
      </c>
      <c r="Q711" s="2">
        <v>1</v>
      </c>
      <c r="R711" s="2" t="s">
        <v>41</v>
      </c>
      <c r="S711" s="2">
        <v>2321</v>
      </c>
      <c r="T711" s="2">
        <v>10322</v>
      </c>
      <c r="U711" s="2">
        <v>0</v>
      </c>
      <c r="V711" s="2" t="s">
        <v>42</v>
      </c>
      <c r="W711" s="2" t="s">
        <v>35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</row>
    <row r="712" spans="1:35" x14ac:dyDescent="0.25">
      <c r="A712" s="2">
        <v>33</v>
      </c>
      <c r="B712" s="2" t="s">
        <v>43</v>
      </c>
      <c r="C712" s="2" t="s">
        <v>55</v>
      </c>
      <c r="D712" s="2">
        <v>722</v>
      </c>
      <c r="E712" s="2" t="s">
        <v>37</v>
      </c>
      <c r="F712" s="2">
        <v>17</v>
      </c>
      <c r="G712" s="2">
        <v>3</v>
      </c>
      <c r="H712" s="2" t="s">
        <v>38</v>
      </c>
      <c r="I712" s="2">
        <v>1</v>
      </c>
      <c r="J712" s="2">
        <v>992</v>
      </c>
      <c r="K712" s="2">
        <v>4</v>
      </c>
      <c r="L712" s="2" t="s">
        <v>46</v>
      </c>
      <c r="M712" s="2">
        <v>38</v>
      </c>
      <c r="N712" s="2">
        <v>3</v>
      </c>
      <c r="O712" s="2">
        <v>4</v>
      </c>
      <c r="P712" s="2" t="s">
        <v>56</v>
      </c>
      <c r="Q712" s="2">
        <v>3</v>
      </c>
      <c r="R712" s="2" t="s">
        <v>41</v>
      </c>
      <c r="S712" s="2">
        <v>17444</v>
      </c>
      <c r="T712" s="2">
        <v>20489</v>
      </c>
      <c r="U712" s="2">
        <v>1</v>
      </c>
      <c r="V712" s="2" t="s">
        <v>42</v>
      </c>
      <c r="W712" s="2" t="s">
        <v>43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</row>
    <row r="713" spans="1:35" x14ac:dyDescent="0.25">
      <c r="A713" s="2">
        <v>29</v>
      </c>
      <c r="B713" s="2" t="s">
        <v>35</v>
      </c>
      <c r="C713" s="2" t="s">
        <v>36</v>
      </c>
      <c r="D713" s="2">
        <v>906</v>
      </c>
      <c r="E713" s="2" t="s">
        <v>45</v>
      </c>
      <c r="F713" s="2">
        <v>10</v>
      </c>
      <c r="G713" s="2">
        <v>3</v>
      </c>
      <c r="H713" s="2" t="s">
        <v>38</v>
      </c>
      <c r="I713" s="2">
        <v>1</v>
      </c>
      <c r="J713" s="2">
        <v>994</v>
      </c>
      <c r="K713" s="2">
        <v>4</v>
      </c>
      <c r="L713" s="2" t="s">
        <v>39</v>
      </c>
      <c r="M713" s="2">
        <v>92</v>
      </c>
      <c r="N713" s="2">
        <v>2</v>
      </c>
      <c r="O713" s="2">
        <v>1</v>
      </c>
      <c r="P713" s="2" t="s">
        <v>47</v>
      </c>
      <c r="Q713" s="2">
        <v>1</v>
      </c>
      <c r="R713" s="2" t="s">
        <v>41</v>
      </c>
      <c r="S713" s="2">
        <v>2404</v>
      </c>
      <c r="T713" s="2">
        <v>11479</v>
      </c>
      <c r="U713" s="2">
        <v>6</v>
      </c>
      <c r="V713" s="2" t="s">
        <v>42</v>
      </c>
      <c r="W713" s="2" t="s">
        <v>35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</row>
    <row r="714" spans="1:35" x14ac:dyDescent="0.25">
      <c r="A714" s="2">
        <v>33</v>
      </c>
      <c r="B714" s="2" t="s">
        <v>43</v>
      </c>
      <c r="C714" s="2" t="s">
        <v>36</v>
      </c>
      <c r="D714" s="2">
        <v>461</v>
      </c>
      <c r="E714" s="2" t="s">
        <v>45</v>
      </c>
      <c r="F714" s="2">
        <v>13</v>
      </c>
      <c r="G714" s="2">
        <v>1</v>
      </c>
      <c r="H714" s="2" t="s">
        <v>38</v>
      </c>
      <c r="I714" s="2">
        <v>1</v>
      </c>
      <c r="J714" s="2">
        <v>995</v>
      </c>
      <c r="K714" s="2">
        <v>2</v>
      </c>
      <c r="L714" s="2" t="s">
        <v>39</v>
      </c>
      <c r="M714" s="2">
        <v>53</v>
      </c>
      <c r="N714" s="2">
        <v>3</v>
      </c>
      <c r="O714" s="2">
        <v>1</v>
      </c>
      <c r="P714" s="2" t="s">
        <v>47</v>
      </c>
      <c r="Q714" s="2">
        <v>4</v>
      </c>
      <c r="R714" s="2" t="s">
        <v>41</v>
      </c>
      <c r="S714" s="2">
        <v>3452</v>
      </c>
      <c r="T714" s="2">
        <v>17241</v>
      </c>
      <c r="U714" s="2">
        <v>3</v>
      </c>
      <c r="V714" s="2" t="s">
        <v>42</v>
      </c>
      <c r="W714" s="2" t="s">
        <v>43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</row>
    <row r="715" spans="1:35" x14ac:dyDescent="0.25">
      <c r="A715" s="2">
        <v>45</v>
      </c>
      <c r="B715" s="2" t="s">
        <v>43</v>
      </c>
      <c r="C715" s="2" t="s">
        <v>36</v>
      </c>
      <c r="D715" s="2">
        <v>974</v>
      </c>
      <c r="E715" s="2" t="s">
        <v>45</v>
      </c>
      <c r="F715" s="2">
        <v>1</v>
      </c>
      <c r="G715" s="2">
        <v>4</v>
      </c>
      <c r="H715" s="2" t="s">
        <v>51</v>
      </c>
      <c r="I715" s="2">
        <v>1</v>
      </c>
      <c r="J715" s="2">
        <v>996</v>
      </c>
      <c r="K715" s="2">
        <v>4</v>
      </c>
      <c r="L715" s="2" t="s">
        <v>39</v>
      </c>
      <c r="M715" s="2">
        <v>91</v>
      </c>
      <c r="N715" s="2">
        <v>3</v>
      </c>
      <c r="O715" s="2">
        <v>1</v>
      </c>
      <c r="P715" s="2" t="s">
        <v>50</v>
      </c>
      <c r="Q715" s="2">
        <v>4</v>
      </c>
      <c r="R715" s="2" t="s">
        <v>52</v>
      </c>
      <c r="S715" s="2">
        <v>2270</v>
      </c>
      <c r="T715" s="2">
        <v>11005</v>
      </c>
      <c r="U715" s="2">
        <v>3</v>
      </c>
      <c r="V715" s="2" t="s">
        <v>42</v>
      </c>
      <c r="W715" s="2" t="s">
        <v>43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</row>
    <row r="716" spans="1:35" x14ac:dyDescent="0.25">
      <c r="A716" s="2">
        <v>50</v>
      </c>
      <c r="B716" s="2" t="s">
        <v>43</v>
      </c>
      <c r="C716" s="2" t="s">
        <v>36</v>
      </c>
      <c r="D716" s="2">
        <v>1126</v>
      </c>
      <c r="E716" s="2" t="s">
        <v>45</v>
      </c>
      <c r="F716" s="2">
        <v>1</v>
      </c>
      <c r="G716" s="2">
        <v>2</v>
      </c>
      <c r="H716" s="2" t="s">
        <v>51</v>
      </c>
      <c r="I716" s="2">
        <v>1</v>
      </c>
      <c r="J716" s="2">
        <v>997</v>
      </c>
      <c r="K716" s="2">
        <v>4</v>
      </c>
      <c r="L716" s="2" t="s">
        <v>46</v>
      </c>
      <c r="M716" s="2">
        <v>66</v>
      </c>
      <c r="N716" s="2">
        <v>3</v>
      </c>
      <c r="O716" s="2">
        <v>4</v>
      </c>
      <c r="P716" s="2" t="s">
        <v>58</v>
      </c>
      <c r="Q716" s="2">
        <v>4</v>
      </c>
      <c r="R716" s="2" t="s">
        <v>52</v>
      </c>
      <c r="S716" s="2">
        <v>17399</v>
      </c>
      <c r="T716" s="2">
        <v>6615</v>
      </c>
      <c r="U716" s="2">
        <v>9</v>
      </c>
      <c r="V716" s="2" t="s">
        <v>42</v>
      </c>
      <c r="W716" s="2" t="s">
        <v>43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</row>
    <row r="717" spans="1:35" x14ac:dyDescent="0.25">
      <c r="A717" s="2">
        <v>33</v>
      </c>
      <c r="B717" s="2" t="s">
        <v>43</v>
      </c>
      <c r="C717" s="2" t="s">
        <v>44</v>
      </c>
      <c r="D717" s="2">
        <v>827</v>
      </c>
      <c r="E717" s="2" t="s">
        <v>45</v>
      </c>
      <c r="F717" s="2">
        <v>1</v>
      </c>
      <c r="G717" s="2">
        <v>4</v>
      </c>
      <c r="H717" s="2" t="s">
        <v>49</v>
      </c>
      <c r="I717" s="2">
        <v>1</v>
      </c>
      <c r="J717" s="2">
        <v>998</v>
      </c>
      <c r="K717" s="2">
        <v>3</v>
      </c>
      <c r="L717" s="2" t="s">
        <v>39</v>
      </c>
      <c r="M717" s="2">
        <v>84</v>
      </c>
      <c r="N717" s="2">
        <v>4</v>
      </c>
      <c r="O717" s="2">
        <v>2</v>
      </c>
      <c r="P717" s="2" t="s">
        <v>54</v>
      </c>
      <c r="Q717" s="2">
        <v>2</v>
      </c>
      <c r="R717" s="2" t="s">
        <v>48</v>
      </c>
      <c r="S717" s="2">
        <v>5488</v>
      </c>
      <c r="T717" s="2">
        <v>20161</v>
      </c>
      <c r="U717" s="2">
        <v>1</v>
      </c>
      <c r="V717" s="2" t="s">
        <v>42</v>
      </c>
      <c r="W717" s="2" t="s">
        <v>35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</row>
    <row r="718" spans="1:35" x14ac:dyDescent="0.25">
      <c r="A718" s="2">
        <v>41</v>
      </c>
      <c r="B718" s="2" t="s">
        <v>43</v>
      </c>
      <c r="C718" s="2" t="s">
        <v>44</v>
      </c>
      <c r="D718" s="2">
        <v>840</v>
      </c>
      <c r="E718" s="2" t="s">
        <v>45</v>
      </c>
      <c r="F718" s="2">
        <v>9</v>
      </c>
      <c r="G718" s="2">
        <v>3</v>
      </c>
      <c r="H718" s="2" t="s">
        <v>51</v>
      </c>
      <c r="I718" s="2">
        <v>1</v>
      </c>
      <c r="J718" s="2">
        <v>999</v>
      </c>
      <c r="K718" s="2">
        <v>1</v>
      </c>
      <c r="L718" s="2" t="s">
        <v>46</v>
      </c>
      <c r="M718" s="2">
        <v>64</v>
      </c>
      <c r="N718" s="2">
        <v>3</v>
      </c>
      <c r="O718" s="2">
        <v>5</v>
      </c>
      <c r="P718" s="2" t="s">
        <v>58</v>
      </c>
      <c r="Q718" s="2">
        <v>3</v>
      </c>
      <c r="R718" s="2" t="s">
        <v>52</v>
      </c>
      <c r="S718" s="2">
        <v>19419</v>
      </c>
      <c r="T718" s="2">
        <v>3735</v>
      </c>
      <c r="U718" s="2">
        <v>2</v>
      </c>
      <c r="V718" s="2" t="s">
        <v>42</v>
      </c>
      <c r="W718" s="2" t="s">
        <v>43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</row>
    <row r="719" spans="1:35" x14ac:dyDescent="0.25">
      <c r="A719" s="2">
        <v>27</v>
      </c>
      <c r="B719" s="2" t="s">
        <v>43</v>
      </c>
      <c r="C719" s="2" t="s">
        <v>36</v>
      </c>
      <c r="D719" s="2">
        <v>1134</v>
      </c>
      <c r="E719" s="2" t="s">
        <v>45</v>
      </c>
      <c r="F719" s="2">
        <v>16</v>
      </c>
      <c r="G719" s="2">
        <v>4</v>
      </c>
      <c r="H719" s="2" t="s">
        <v>60</v>
      </c>
      <c r="I719" s="2">
        <v>1</v>
      </c>
      <c r="J719" s="2">
        <v>1001</v>
      </c>
      <c r="K719" s="2">
        <v>3</v>
      </c>
      <c r="L719" s="2" t="s">
        <v>39</v>
      </c>
      <c r="M719" s="2">
        <v>37</v>
      </c>
      <c r="N719" s="2">
        <v>3</v>
      </c>
      <c r="O719" s="2">
        <v>1</v>
      </c>
      <c r="P719" s="2" t="s">
        <v>50</v>
      </c>
      <c r="Q719" s="2">
        <v>2</v>
      </c>
      <c r="R719" s="2" t="s">
        <v>48</v>
      </c>
      <c r="S719" s="2">
        <v>2811</v>
      </c>
      <c r="T719" s="2">
        <v>12086</v>
      </c>
      <c r="U719" s="2">
        <v>9</v>
      </c>
      <c r="V719" s="2" t="s">
        <v>42</v>
      </c>
      <c r="W719" s="2" t="s">
        <v>43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</row>
    <row r="720" spans="1:35" x14ac:dyDescent="0.25">
      <c r="A720" s="2">
        <v>45</v>
      </c>
      <c r="B720" s="2" t="s">
        <v>43</v>
      </c>
      <c r="C720" s="2" t="s">
        <v>55</v>
      </c>
      <c r="D720" s="2">
        <v>248</v>
      </c>
      <c r="E720" s="2" t="s">
        <v>45</v>
      </c>
      <c r="F720" s="2">
        <v>23</v>
      </c>
      <c r="G720" s="2">
        <v>2</v>
      </c>
      <c r="H720" s="2" t="s">
        <v>38</v>
      </c>
      <c r="I720" s="2">
        <v>1</v>
      </c>
      <c r="J720" s="2">
        <v>1002</v>
      </c>
      <c r="K720" s="2">
        <v>4</v>
      </c>
      <c r="L720" s="2" t="s">
        <v>46</v>
      </c>
      <c r="M720" s="2">
        <v>42</v>
      </c>
      <c r="N720" s="2">
        <v>3</v>
      </c>
      <c r="O720" s="2">
        <v>2</v>
      </c>
      <c r="P720" s="2" t="s">
        <v>50</v>
      </c>
      <c r="Q720" s="2">
        <v>1</v>
      </c>
      <c r="R720" s="2" t="s">
        <v>48</v>
      </c>
      <c r="S720" s="2">
        <v>3633</v>
      </c>
      <c r="T720" s="2">
        <v>14039</v>
      </c>
      <c r="U720" s="2">
        <v>1</v>
      </c>
      <c r="V720" s="2" t="s">
        <v>42</v>
      </c>
      <c r="W720" s="2" t="s">
        <v>35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</row>
    <row r="721" spans="1:35" x14ac:dyDescent="0.25">
      <c r="A721" s="2">
        <v>47</v>
      </c>
      <c r="B721" s="2" t="s">
        <v>43</v>
      </c>
      <c r="C721" s="2" t="s">
        <v>36</v>
      </c>
      <c r="D721" s="2">
        <v>955</v>
      </c>
      <c r="E721" s="2" t="s">
        <v>37</v>
      </c>
      <c r="F721" s="2">
        <v>4</v>
      </c>
      <c r="G721" s="2">
        <v>2</v>
      </c>
      <c r="H721" s="2" t="s">
        <v>38</v>
      </c>
      <c r="I721" s="2">
        <v>1</v>
      </c>
      <c r="J721" s="2">
        <v>1003</v>
      </c>
      <c r="K721" s="2">
        <v>4</v>
      </c>
      <c r="L721" s="2" t="s">
        <v>39</v>
      </c>
      <c r="M721" s="2">
        <v>83</v>
      </c>
      <c r="N721" s="2">
        <v>3</v>
      </c>
      <c r="O721" s="2">
        <v>2</v>
      </c>
      <c r="P721" s="2" t="s">
        <v>40</v>
      </c>
      <c r="Q721" s="2">
        <v>4</v>
      </c>
      <c r="R721" s="2" t="s">
        <v>41</v>
      </c>
      <c r="S721" s="2">
        <v>4163</v>
      </c>
      <c r="T721" s="2">
        <v>8571</v>
      </c>
      <c r="U721" s="2">
        <v>1</v>
      </c>
      <c r="V721" s="2" t="s">
        <v>42</v>
      </c>
      <c r="W721" s="2" t="s">
        <v>35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</row>
    <row r="722" spans="1:35" x14ac:dyDescent="0.25">
      <c r="A722" s="2">
        <v>30</v>
      </c>
      <c r="B722" s="2" t="s">
        <v>35</v>
      </c>
      <c r="C722" s="2" t="s">
        <v>36</v>
      </c>
      <c r="D722" s="2">
        <v>138</v>
      </c>
      <c r="E722" s="2" t="s">
        <v>45</v>
      </c>
      <c r="F722" s="2">
        <v>22</v>
      </c>
      <c r="G722" s="2">
        <v>3</v>
      </c>
      <c r="H722" s="2" t="s">
        <v>38</v>
      </c>
      <c r="I722" s="2">
        <v>1</v>
      </c>
      <c r="J722" s="2">
        <v>1004</v>
      </c>
      <c r="K722" s="2">
        <v>1</v>
      </c>
      <c r="L722" s="2" t="s">
        <v>39</v>
      </c>
      <c r="M722" s="2">
        <v>48</v>
      </c>
      <c r="N722" s="2">
        <v>3</v>
      </c>
      <c r="O722" s="2">
        <v>1</v>
      </c>
      <c r="P722" s="2" t="s">
        <v>47</v>
      </c>
      <c r="Q722" s="2">
        <v>3</v>
      </c>
      <c r="R722" s="2" t="s">
        <v>48</v>
      </c>
      <c r="S722" s="2">
        <v>2132</v>
      </c>
      <c r="T722" s="2">
        <v>11539</v>
      </c>
      <c r="U722" s="2">
        <v>4</v>
      </c>
      <c r="V722" s="2" t="s">
        <v>42</v>
      </c>
      <c r="W722" s="2" t="s">
        <v>35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</row>
    <row r="723" spans="1:35" x14ac:dyDescent="0.25">
      <c r="A723" s="2">
        <v>50</v>
      </c>
      <c r="B723" s="2" t="s">
        <v>43</v>
      </c>
      <c r="C723" s="2" t="s">
        <v>36</v>
      </c>
      <c r="D723" s="2">
        <v>939</v>
      </c>
      <c r="E723" s="2" t="s">
        <v>45</v>
      </c>
      <c r="F723" s="2">
        <v>24</v>
      </c>
      <c r="G723" s="2">
        <v>3</v>
      </c>
      <c r="H723" s="2" t="s">
        <v>38</v>
      </c>
      <c r="I723" s="2">
        <v>1</v>
      </c>
      <c r="J723" s="2">
        <v>1005</v>
      </c>
      <c r="K723" s="2">
        <v>4</v>
      </c>
      <c r="L723" s="2" t="s">
        <v>46</v>
      </c>
      <c r="M723" s="2">
        <v>95</v>
      </c>
      <c r="N723" s="2">
        <v>3</v>
      </c>
      <c r="O723" s="2">
        <v>4</v>
      </c>
      <c r="P723" s="2" t="s">
        <v>53</v>
      </c>
      <c r="Q723" s="2">
        <v>3</v>
      </c>
      <c r="R723" s="2" t="s">
        <v>48</v>
      </c>
      <c r="S723" s="2">
        <v>13973</v>
      </c>
      <c r="T723" s="2">
        <v>4161</v>
      </c>
      <c r="U723" s="2">
        <v>3</v>
      </c>
      <c r="V723" s="2" t="s">
        <v>42</v>
      </c>
      <c r="W723" s="2" t="s">
        <v>35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</row>
    <row r="724" spans="1:35" x14ac:dyDescent="0.25">
      <c r="A724" s="2">
        <v>38</v>
      </c>
      <c r="B724" s="2" t="s">
        <v>43</v>
      </c>
      <c r="C724" s="2" t="s">
        <v>44</v>
      </c>
      <c r="D724" s="2">
        <v>1391</v>
      </c>
      <c r="E724" s="2" t="s">
        <v>45</v>
      </c>
      <c r="F724" s="2">
        <v>10</v>
      </c>
      <c r="G724" s="2">
        <v>1</v>
      </c>
      <c r="H724" s="2" t="s">
        <v>51</v>
      </c>
      <c r="I724" s="2">
        <v>1</v>
      </c>
      <c r="J724" s="2">
        <v>1006</v>
      </c>
      <c r="K724" s="2">
        <v>3</v>
      </c>
      <c r="L724" s="2" t="s">
        <v>46</v>
      </c>
      <c r="M724" s="2">
        <v>66</v>
      </c>
      <c r="N724" s="2">
        <v>3</v>
      </c>
      <c r="O724" s="2">
        <v>1</v>
      </c>
      <c r="P724" s="2" t="s">
        <v>47</v>
      </c>
      <c r="Q724" s="2">
        <v>3</v>
      </c>
      <c r="R724" s="2" t="s">
        <v>48</v>
      </c>
      <c r="S724" s="2">
        <v>2684</v>
      </c>
      <c r="T724" s="2">
        <v>12127</v>
      </c>
      <c r="U724" s="2">
        <v>0</v>
      </c>
      <c r="V724" s="2" t="s">
        <v>42</v>
      </c>
      <c r="W724" s="2" t="s">
        <v>43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</row>
    <row r="725" spans="1:35" x14ac:dyDescent="0.25">
      <c r="A725" s="2">
        <v>46</v>
      </c>
      <c r="B725" s="2" t="s">
        <v>43</v>
      </c>
      <c r="C725" s="2" t="s">
        <v>36</v>
      </c>
      <c r="D725" s="2">
        <v>566</v>
      </c>
      <c r="E725" s="2" t="s">
        <v>45</v>
      </c>
      <c r="F725" s="2">
        <v>7</v>
      </c>
      <c r="G725" s="2">
        <v>2</v>
      </c>
      <c r="H725" s="2" t="s">
        <v>51</v>
      </c>
      <c r="I725" s="2">
        <v>1</v>
      </c>
      <c r="J725" s="2">
        <v>1007</v>
      </c>
      <c r="K725" s="2">
        <v>4</v>
      </c>
      <c r="L725" s="2" t="s">
        <v>46</v>
      </c>
      <c r="M725" s="2">
        <v>75</v>
      </c>
      <c r="N725" s="2">
        <v>3</v>
      </c>
      <c r="O725" s="2">
        <v>3</v>
      </c>
      <c r="P725" s="2" t="s">
        <v>53</v>
      </c>
      <c r="Q725" s="2">
        <v>3</v>
      </c>
      <c r="R725" s="2" t="s">
        <v>52</v>
      </c>
      <c r="S725" s="2">
        <v>10845</v>
      </c>
      <c r="T725" s="2">
        <v>24208</v>
      </c>
      <c r="U725" s="2">
        <v>6</v>
      </c>
      <c r="V725" s="2" t="s">
        <v>42</v>
      </c>
      <c r="W725" s="2" t="s">
        <v>43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</row>
    <row r="726" spans="1:35" x14ac:dyDescent="0.25">
      <c r="A726" s="2">
        <v>24</v>
      </c>
      <c r="B726" s="2" t="s">
        <v>43</v>
      </c>
      <c r="C726" s="2" t="s">
        <v>36</v>
      </c>
      <c r="D726" s="2">
        <v>1206</v>
      </c>
      <c r="E726" s="2" t="s">
        <v>45</v>
      </c>
      <c r="F726" s="2">
        <v>17</v>
      </c>
      <c r="G726" s="2">
        <v>1</v>
      </c>
      <c r="H726" s="2" t="s">
        <v>51</v>
      </c>
      <c r="I726" s="2">
        <v>1</v>
      </c>
      <c r="J726" s="2">
        <v>1009</v>
      </c>
      <c r="K726" s="2">
        <v>4</v>
      </c>
      <c r="L726" s="2" t="s">
        <v>39</v>
      </c>
      <c r="M726" s="2">
        <v>41</v>
      </c>
      <c r="N726" s="2">
        <v>2</v>
      </c>
      <c r="O726" s="2">
        <v>2</v>
      </c>
      <c r="P726" s="2" t="s">
        <v>53</v>
      </c>
      <c r="Q726" s="2">
        <v>3</v>
      </c>
      <c r="R726" s="2" t="s">
        <v>52</v>
      </c>
      <c r="S726" s="2">
        <v>4377</v>
      </c>
      <c r="T726" s="2">
        <v>24117</v>
      </c>
      <c r="U726" s="2">
        <v>1</v>
      </c>
      <c r="V726" s="2" t="s">
        <v>42</v>
      </c>
      <c r="W726" s="2" t="s">
        <v>43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</row>
    <row r="727" spans="1:35" x14ac:dyDescent="0.25">
      <c r="A727" s="2">
        <v>35</v>
      </c>
      <c r="B727" s="2" t="s">
        <v>35</v>
      </c>
      <c r="C727" s="2" t="s">
        <v>36</v>
      </c>
      <c r="D727" s="2">
        <v>622</v>
      </c>
      <c r="E727" s="2" t="s">
        <v>45</v>
      </c>
      <c r="F727" s="2">
        <v>14</v>
      </c>
      <c r="G727" s="2">
        <v>4</v>
      </c>
      <c r="H727" s="2" t="s">
        <v>49</v>
      </c>
      <c r="I727" s="2">
        <v>1</v>
      </c>
      <c r="J727" s="2">
        <v>1010</v>
      </c>
      <c r="K727" s="2">
        <v>3</v>
      </c>
      <c r="L727" s="2" t="s">
        <v>46</v>
      </c>
      <c r="M727" s="2">
        <v>39</v>
      </c>
      <c r="N727" s="2">
        <v>2</v>
      </c>
      <c r="O727" s="2">
        <v>1</v>
      </c>
      <c r="P727" s="2" t="s">
        <v>50</v>
      </c>
      <c r="Q727" s="2">
        <v>2</v>
      </c>
      <c r="R727" s="2" t="s">
        <v>52</v>
      </c>
      <c r="S727" s="2">
        <v>3743</v>
      </c>
      <c r="T727" s="2">
        <v>10074</v>
      </c>
      <c r="U727" s="2">
        <v>1</v>
      </c>
      <c r="V727" s="2" t="s">
        <v>42</v>
      </c>
      <c r="W727" s="2" t="s">
        <v>35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</row>
    <row r="728" spans="1:35" x14ac:dyDescent="0.25">
      <c r="A728" s="2">
        <v>31</v>
      </c>
      <c r="B728" s="2" t="s">
        <v>43</v>
      </c>
      <c r="C728" s="2" t="s">
        <v>44</v>
      </c>
      <c r="D728" s="2">
        <v>853</v>
      </c>
      <c r="E728" s="2" t="s">
        <v>45</v>
      </c>
      <c r="F728" s="2">
        <v>1</v>
      </c>
      <c r="G728" s="2">
        <v>1</v>
      </c>
      <c r="H728" s="2" t="s">
        <v>38</v>
      </c>
      <c r="I728" s="2">
        <v>1</v>
      </c>
      <c r="J728" s="2">
        <v>1011</v>
      </c>
      <c r="K728" s="2">
        <v>3</v>
      </c>
      <c r="L728" s="2" t="s">
        <v>39</v>
      </c>
      <c r="M728" s="2">
        <v>96</v>
      </c>
      <c r="N728" s="2">
        <v>3</v>
      </c>
      <c r="O728" s="2">
        <v>2</v>
      </c>
      <c r="P728" s="2" t="s">
        <v>53</v>
      </c>
      <c r="Q728" s="2">
        <v>1</v>
      </c>
      <c r="R728" s="2" t="s">
        <v>48</v>
      </c>
      <c r="S728" s="2">
        <v>4148</v>
      </c>
      <c r="T728" s="2">
        <v>11275</v>
      </c>
      <c r="U728" s="2">
        <v>1</v>
      </c>
      <c r="V728" s="2" t="s">
        <v>42</v>
      </c>
      <c r="W728" s="2" t="s">
        <v>43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</row>
    <row r="729" spans="1:35" x14ac:dyDescent="0.25">
      <c r="A729" s="2">
        <v>18</v>
      </c>
      <c r="B729" s="2" t="s">
        <v>43</v>
      </c>
      <c r="C729" s="2" t="s">
        <v>55</v>
      </c>
      <c r="D729" s="2">
        <v>287</v>
      </c>
      <c r="E729" s="2" t="s">
        <v>45</v>
      </c>
      <c r="F729" s="2">
        <v>5</v>
      </c>
      <c r="G729" s="2">
        <v>2</v>
      </c>
      <c r="H729" s="2" t="s">
        <v>38</v>
      </c>
      <c r="I729" s="2">
        <v>1</v>
      </c>
      <c r="J729" s="2">
        <v>1012</v>
      </c>
      <c r="K729" s="2">
        <v>2</v>
      </c>
      <c r="L729" s="2" t="s">
        <v>46</v>
      </c>
      <c r="M729" s="2">
        <v>73</v>
      </c>
      <c r="N729" s="2">
        <v>3</v>
      </c>
      <c r="O729" s="2">
        <v>1</v>
      </c>
      <c r="P729" s="2" t="s">
        <v>47</v>
      </c>
      <c r="Q729" s="2">
        <v>4</v>
      </c>
      <c r="R729" s="2" t="s">
        <v>41</v>
      </c>
      <c r="S729" s="2">
        <v>1051</v>
      </c>
      <c r="T729" s="2">
        <v>13493</v>
      </c>
      <c r="U729" s="2">
        <v>1</v>
      </c>
      <c r="V729" s="2" t="s">
        <v>42</v>
      </c>
      <c r="W729" s="2" t="s">
        <v>43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</row>
    <row r="730" spans="1:35" x14ac:dyDescent="0.25">
      <c r="A730" s="2">
        <v>54</v>
      </c>
      <c r="B730" s="2" t="s">
        <v>43</v>
      </c>
      <c r="C730" s="2" t="s">
        <v>36</v>
      </c>
      <c r="D730" s="2">
        <v>1441</v>
      </c>
      <c r="E730" s="2" t="s">
        <v>45</v>
      </c>
      <c r="F730" s="2">
        <v>17</v>
      </c>
      <c r="G730" s="2">
        <v>3</v>
      </c>
      <c r="H730" s="2" t="s">
        <v>60</v>
      </c>
      <c r="I730" s="2">
        <v>1</v>
      </c>
      <c r="J730" s="2">
        <v>1013</v>
      </c>
      <c r="K730" s="2">
        <v>3</v>
      </c>
      <c r="L730" s="2" t="s">
        <v>39</v>
      </c>
      <c r="M730" s="2">
        <v>56</v>
      </c>
      <c r="N730" s="2">
        <v>3</v>
      </c>
      <c r="O730" s="2">
        <v>3</v>
      </c>
      <c r="P730" s="2" t="s">
        <v>53</v>
      </c>
      <c r="Q730" s="2">
        <v>3</v>
      </c>
      <c r="R730" s="2" t="s">
        <v>48</v>
      </c>
      <c r="S730" s="2">
        <v>10739</v>
      </c>
      <c r="T730" s="2">
        <v>13943</v>
      </c>
      <c r="U730" s="2">
        <v>8</v>
      </c>
      <c r="V730" s="2" t="s">
        <v>42</v>
      </c>
      <c r="W730" s="2" t="s">
        <v>43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</row>
    <row r="731" spans="1:35" x14ac:dyDescent="0.25">
      <c r="A731" s="2">
        <v>35</v>
      </c>
      <c r="B731" s="2" t="s">
        <v>43</v>
      </c>
      <c r="C731" s="2" t="s">
        <v>36</v>
      </c>
      <c r="D731" s="2">
        <v>583</v>
      </c>
      <c r="E731" s="2" t="s">
        <v>45</v>
      </c>
      <c r="F731" s="2">
        <v>25</v>
      </c>
      <c r="G731" s="2">
        <v>4</v>
      </c>
      <c r="H731" s="2" t="s">
        <v>51</v>
      </c>
      <c r="I731" s="2">
        <v>1</v>
      </c>
      <c r="J731" s="2">
        <v>1014</v>
      </c>
      <c r="K731" s="2">
        <v>3</v>
      </c>
      <c r="L731" s="2" t="s">
        <v>39</v>
      </c>
      <c r="M731" s="2">
        <v>57</v>
      </c>
      <c r="N731" s="2">
        <v>3</v>
      </c>
      <c r="O731" s="2">
        <v>3</v>
      </c>
      <c r="P731" s="2" t="s">
        <v>54</v>
      </c>
      <c r="Q731" s="2">
        <v>3</v>
      </c>
      <c r="R731" s="2" t="s">
        <v>52</v>
      </c>
      <c r="S731" s="2">
        <v>10388</v>
      </c>
      <c r="T731" s="2">
        <v>6975</v>
      </c>
      <c r="U731" s="2">
        <v>1</v>
      </c>
      <c r="V731" s="2" t="s">
        <v>42</v>
      </c>
      <c r="W731" s="2" t="s">
        <v>35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</row>
    <row r="732" spans="1:35" x14ac:dyDescent="0.25">
      <c r="A732" s="2">
        <v>30</v>
      </c>
      <c r="B732" s="2" t="s">
        <v>43</v>
      </c>
      <c r="C732" s="2" t="s">
        <v>36</v>
      </c>
      <c r="D732" s="2">
        <v>153</v>
      </c>
      <c r="E732" s="2" t="s">
        <v>45</v>
      </c>
      <c r="F732" s="2">
        <v>8</v>
      </c>
      <c r="G732" s="2">
        <v>2</v>
      </c>
      <c r="H732" s="2" t="s">
        <v>38</v>
      </c>
      <c r="I732" s="2">
        <v>1</v>
      </c>
      <c r="J732" s="2">
        <v>1015</v>
      </c>
      <c r="K732" s="2">
        <v>2</v>
      </c>
      <c r="L732" s="2" t="s">
        <v>39</v>
      </c>
      <c r="M732" s="2">
        <v>73</v>
      </c>
      <c r="N732" s="2">
        <v>4</v>
      </c>
      <c r="O732" s="2">
        <v>3</v>
      </c>
      <c r="P732" s="2" t="s">
        <v>58</v>
      </c>
      <c r="Q732" s="2">
        <v>1</v>
      </c>
      <c r="R732" s="2" t="s">
        <v>48</v>
      </c>
      <c r="S732" s="2">
        <v>11416</v>
      </c>
      <c r="T732" s="2">
        <v>17802</v>
      </c>
      <c r="U732" s="2">
        <v>0</v>
      </c>
      <c r="V732" s="2" t="s">
        <v>42</v>
      </c>
      <c r="W732" s="2" t="s">
        <v>35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</row>
    <row r="733" spans="1:35" x14ac:dyDescent="0.25">
      <c r="A733" s="2">
        <v>20</v>
      </c>
      <c r="B733" s="2" t="s">
        <v>35</v>
      </c>
      <c r="C733" s="2" t="s">
        <v>36</v>
      </c>
      <c r="D733" s="2">
        <v>1097</v>
      </c>
      <c r="E733" s="2" t="s">
        <v>45</v>
      </c>
      <c r="F733" s="2">
        <v>11</v>
      </c>
      <c r="G733" s="2">
        <v>3</v>
      </c>
      <c r="H733" s="2" t="s">
        <v>51</v>
      </c>
      <c r="I733" s="2">
        <v>1</v>
      </c>
      <c r="J733" s="2">
        <v>1016</v>
      </c>
      <c r="K733" s="2">
        <v>4</v>
      </c>
      <c r="L733" s="2" t="s">
        <v>39</v>
      </c>
      <c r="M733" s="2">
        <v>98</v>
      </c>
      <c r="N733" s="2">
        <v>2</v>
      </c>
      <c r="O733" s="2">
        <v>1</v>
      </c>
      <c r="P733" s="2" t="s">
        <v>47</v>
      </c>
      <c r="Q733" s="2">
        <v>1</v>
      </c>
      <c r="R733" s="2" t="s">
        <v>41</v>
      </c>
      <c r="S733" s="2">
        <v>2600</v>
      </c>
      <c r="T733" s="2">
        <v>18275</v>
      </c>
      <c r="U733" s="2">
        <v>1</v>
      </c>
      <c r="V733" s="2" t="s">
        <v>42</v>
      </c>
      <c r="W733" s="2" t="s">
        <v>35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</row>
    <row r="734" spans="1:35" x14ac:dyDescent="0.25">
      <c r="A734" s="2">
        <v>30</v>
      </c>
      <c r="B734" s="2" t="s">
        <v>35</v>
      </c>
      <c r="C734" s="2" t="s">
        <v>44</v>
      </c>
      <c r="D734" s="2">
        <v>109</v>
      </c>
      <c r="E734" s="2" t="s">
        <v>45</v>
      </c>
      <c r="F734" s="2">
        <v>5</v>
      </c>
      <c r="G734" s="2">
        <v>3</v>
      </c>
      <c r="H734" s="2" t="s">
        <v>51</v>
      </c>
      <c r="I734" s="2">
        <v>1</v>
      </c>
      <c r="J734" s="2">
        <v>1017</v>
      </c>
      <c r="K734" s="2">
        <v>2</v>
      </c>
      <c r="L734" s="2" t="s">
        <v>39</v>
      </c>
      <c r="M734" s="2">
        <v>60</v>
      </c>
      <c r="N734" s="2">
        <v>3</v>
      </c>
      <c r="O734" s="2">
        <v>1</v>
      </c>
      <c r="P734" s="2" t="s">
        <v>50</v>
      </c>
      <c r="Q734" s="2">
        <v>2</v>
      </c>
      <c r="R734" s="2" t="s">
        <v>41</v>
      </c>
      <c r="S734" s="2">
        <v>2422</v>
      </c>
      <c r="T734" s="2">
        <v>25725</v>
      </c>
      <c r="U734" s="2">
        <v>0</v>
      </c>
      <c r="V734" s="2" t="s">
        <v>42</v>
      </c>
      <c r="W734" s="2" t="s">
        <v>43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</row>
    <row r="735" spans="1:35" x14ac:dyDescent="0.25">
      <c r="A735" s="2">
        <v>26</v>
      </c>
      <c r="B735" s="2" t="s">
        <v>43</v>
      </c>
      <c r="C735" s="2" t="s">
        <v>36</v>
      </c>
      <c r="D735" s="2">
        <v>1066</v>
      </c>
      <c r="E735" s="2" t="s">
        <v>45</v>
      </c>
      <c r="F735" s="2">
        <v>2</v>
      </c>
      <c r="G735" s="2">
        <v>2</v>
      </c>
      <c r="H735" s="2" t="s">
        <v>51</v>
      </c>
      <c r="I735" s="2">
        <v>1</v>
      </c>
      <c r="J735" s="2">
        <v>1018</v>
      </c>
      <c r="K735" s="2">
        <v>4</v>
      </c>
      <c r="L735" s="2" t="s">
        <v>46</v>
      </c>
      <c r="M735" s="2">
        <v>32</v>
      </c>
      <c r="N735" s="2">
        <v>4</v>
      </c>
      <c r="O735" s="2">
        <v>2</v>
      </c>
      <c r="P735" s="2" t="s">
        <v>53</v>
      </c>
      <c r="Q735" s="2">
        <v>4</v>
      </c>
      <c r="R735" s="2" t="s">
        <v>48</v>
      </c>
      <c r="S735" s="2">
        <v>5472</v>
      </c>
      <c r="T735" s="2">
        <v>3334</v>
      </c>
      <c r="U735" s="2">
        <v>1</v>
      </c>
      <c r="V735" s="2" t="s">
        <v>42</v>
      </c>
      <c r="W735" s="2" t="s">
        <v>43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</row>
    <row r="736" spans="1:35" x14ac:dyDescent="0.25">
      <c r="A736" s="2">
        <v>22</v>
      </c>
      <c r="B736" s="2" t="s">
        <v>43</v>
      </c>
      <c r="C736" s="2" t="s">
        <v>36</v>
      </c>
      <c r="D736" s="2">
        <v>217</v>
      </c>
      <c r="E736" s="2" t="s">
        <v>45</v>
      </c>
      <c r="F736" s="2">
        <v>8</v>
      </c>
      <c r="G736" s="2">
        <v>1</v>
      </c>
      <c r="H736" s="2" t="s">
        <v>38</v>
      </c>
      <c r="I736" s="2">
        <v>1</v>
      </c>
      <c r="J736" s="2">
        <v>1019</v>
      </c>
      <c r="K736" s="2">
        <v>2</v>
      </c>
      <c r="L736" s="2" t="s">
        <v>46</v>
      </c>
      <c r="M736" s="2">
        <v>94</v>
      </c>
      <c r="N736" s="2">
        <v>1</v>
      </c>
      <c r="O736" s="2">
        <v>1</v>
      </c>
      <c r="P736" s="2" t="s">
        <v>50</v>
      </c>
      <c r="Q736" s="2">
        <v>1</v>
      </c>
      <c r="R736" s="2" t="s">
        <v>48</v>
      </c>
      <c r="S736" s="2">
        <v>2451</v>
      </c>
      <c r="T736" s="2">
        <v>6881</v>
      </c>
      <c r="U736" s="2">
        <v>1</v>
      </c>
      <c r="V736" s="2" t="s">
        <v>42</v>
      </c>
      <c r="W736" s="2" t="s">
        <v>43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</row>
    <row r="737" spans="1:35" x14ac:dyDescent="0.25">
      <c r="A737" s="2">
        <v>48</v>
      </c>
      <c r="B737" s="2" t="s">
        <v>43</v>
      </c>
      <c r="C737" s="2" t="s">
        <v>36</v>
      </c>
      <c r="D737" s="2">
        <v>277</v>
      </c>
      <c r="E737" s="2" t="s">
        <v>45</v>
      </c>
      <c r="F737" s="2">
        <v>6</v>
      </c>
      <c r="G737" s="2">
        <v>3</v>
      </c>
      <c r="H737" s="2" t="s">
        <v>38</v>
      </c>
      <c r="I737" s="2">
        <v>1</v>
      </c>
      <c r="J737" s="2">
        <v>1022</v>
      </c>
      <c r="K737" s="2">
        <v>1</v>
      </c>
      <c r="L737" s="2" t="s">
        <v>46</v>
      </c>
      <c r="M737" s="2">
        <v>97</v>
      </c>
      <c r="N737" s="2">
        <v>2</v>
      </c>
      <c r="O737" s="2">
        <v>2</v>
      </c>
      <c r="P737" s="2" t="s">
        <v>54</v>
      </c>
      <c r="Q737" s="2">
        <v>3</v>
      </c>
      <c r="R737" s="2" t="s">
        <v>41</v>
      </c>
      <c r="S737" s="2">
        <v>4240</v>
      </c>
      <c r="T737" s="2">
        <v>13119</v>
      </c>
      <c r="U737" s="2">
        <v>2</v>
      </c>
      <c r="V737" s="2" t="s">
        <v>42</v>
      </c>
      <c r="W737" s="2" t="s">
        <v>43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</row>
    <row r="738" spans="1:35" x14ac:dyDescent="0.25">
      <c r="A738" s="2">
        <v>48</v>
      </c>
      <c r="B738" s="2" t="s">
        <v>43</v>
      </c>
      <c r="C738" s="2" t="s">
        <v>36</v>
      </c>
      <c r="D738" s="2">
        <v>1355</v>
      </c>
      <c r="E738" s="2" t="s">
        <v>45</v>
      </c>
      <c r="F738" s="2">
        <v>4</v>
      </c>
      <c r="G738" s="2">
        <v>4</v>
      </c>
      <c r="H738" s="2" t="s">
        <v>38</v>
      </c>
      <c r="I738" s="2">
        <v>1</v>
      </c>
      <c r="J738" s="2">
        <v>1024</v>
      </c>
      <c r="K738" s="2">
        <v>3</v>
      </c>
      <c r="L738" s="2" t="s">
        <v>46</v>
      </c>
      <c r="M738" s="2">
        <v>78</v>
      </c>
      <c r="N738" s="2">
        <v>2</v>
      </c>
      <c r="O738" s="2">
        <v>3</v>
      </c>
      <c r="P738" s="2" t="s">
        <v>54</v>
      </c>
      <c r="Q738" s="2">
        <v>3</v>
      </c>
      <c r="R738" s="2" t="s">
        <v>41</v>
      </c>
      <c r="S738" s="2">
        <v>10999</v>
      </c>
      <c r="T738" s="2">
        <v>22245</v>
      </c>
      <c r="U738" s="2">
        <v>7</v>
      </c>
      <c r="V738" s="2" t="s">
        <v>42</v>
      </c>
      <c r="W738" s="2" t="s">
        <v>43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</row>
    <row r="739" spans="1:35" x14ac:dyDescent="0.25">
      <c r="A739" s="2">
        <v>41</v>
      </c>
      <c r="B739" s="2" t="s">
        <v>43</v>
      </c>
      <c r="C739" s="2" t="s">
        <v>36</v>
      </c>
      <c r="D739" s="2">
        <v>549</v>
      </c>
      <c r="E739" s="2" t="s">
        <v>45</v>
      </c>
      <c r="F739" s="2">
        <v>7</v>
      </c>
      <c r="G739" s="2">
        <v>2</v>
      </c>
      <c r="H739" s="2" t="s">
        <v>51</v>
      </c>
      <c r="I739" s="2">
        <v>1</v>
      </c>
      <c r="J739" s="2">
        <v>1025</v>
      </c>
      <c r="K739" s="2">
        <v>4</v>
      </c>
      <c r="L739" s="2" t="s">
        <v>39</v>
      </c>
      <c r="M739" s="2">
        <v>42</v>
      </c>
      <c r="N739" s="2">
        <v>3</v>
      </c>
      <c r="O739" s="2">
        <v>2</v>
      </c>
      <c r="P739" s="2" t="s">
        <v>53</v>
      </c>
      <c r="Q739" s="2">
        <v>3</v>
      </c>
      <c r="R739" s="2" t="s">
        <v>41</v>
      </c>
      <c r="S739" s="2">
        <v>5003</v>
      </c>
      <c r="T739" s="2">
        <v>23371</v>
      </c>
      <c r="U739" s="2">
        <v>6</v>
      </c>
      <c r="V739" s="2" t="s">
        <v>42</v>
      </c>
      <c r="W739" s="2" t="s">
        <v>43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</row>
    <row r="740" spans="1:35" x14ac:dyDescent="0.25">
      <c r="A740" s="2">
        <v>39</v>
      </c>
      <c r="B740" s="2" t="s">
        <v>43</v>
      </c>
      <c r="C740" s="2" t="s">
        <v>36</v>
      </c>
      <c r="D740" s="2">
        <v>466</v>
      </c>
      <c r="E740" s="2" t="s">
        <v>45</v>
      </c>
      <c r="F740" s="2">
        <v>1</v>
      </c>
      <c r="G740" s="2">
        <v>1</v>
      </c>
      <c r="H740" s="2" t="s">
        <v>38</v>
      </c>
      <c r="I740" s="2">
        <v>1</v>
      </c>
      <c r="J740" s="2">
        <v>1026</v>
      </c>
      <c r="K740" s="2">
        <v>4</v>
      </c>
      <c r="L740" s="2" t="s">
        <v>39</v>
      </c>
      <c r="M740" s="2">
        <v>65</v>
      </c>
      <c r="N740" s="2">
        <v>2</v>
      </c>
      <c r="O740" s="2">
        <v>4</v>
      </c>
      <c r="P740" s="2" t="s">
        <v>53</v>
      </c>
      <c r="Q740" s="2">
        <v>4</v>
      </c>
      <c r="R740" s="2" t="s">
        <v>48</v>
      </c>
      <c r="S740" s="2">
        <v>12742</v>
      </c>
      <c r="T740" s="2">
        <v>7060</v>
      </c>
      <c r="U740" s="2">
        <v>1</v>
      </c>
      <c r="V740" s="2" t="s">
        <v>42</v>
      </c>
      <c r="W740" s="2" t="s">
        <v>43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</row>
    <row r="741" spans="1:35" x14ac:dyDescent="0.25">
      <c r="A741" s="2">
        <v>27</v>
      </c>
      <c r="B741" s="2" t="s">
        <v>43</v>
      </c>
      <c r="C741" s="2" t="s">
        <v>36</v>
      </c>
      <c r="D741" s="2">
        <v>1055</v>
      </c>
      <c r="E741" s="2" t="s">
        <v>45</v>
      </c>
      <c r="F741" s="2">
        <v>2</v>
      </c>
      <c r="G741" s="2">
        <v>4</v>
      </c>
      <c r="H741" s="2" t="s">
        <v>38</v>
      </c>
      <c r="I741" s="2">
        <v>1</v>
      </c>
      <c r="J741" s="2">
        <v>1027</v>
      </c>
      <c r="K741" s="2">
        <v>1</v>
      </c>
      <c r="L741" s="2" t="s">
        <v>39</v>
      </c>
      <c r="M741" s="2">
        <v>47</v>
      </c>
      <c r="N741" s="2">
        <v>3</v>
      </c>
      <c r="O741" s="2">
        <v>2</v>
      </c>
      <c r="P741" s="2" t="s">
        <v>53</v>
      </c>
      <c r="Q741" s="2">
        <v>4</v>
      </c>
      <c r="R741" s="2" t="s">
        <v>48</v>
      </c>
      <c r="S741" s="2">
        <v>4227</v>
      </c>
      <c r="T741" s="2">
        <v>4658</v>
      </c>
      <c r="U741" s="2">
        <v>0</v>
      </c>
      <c r="V741" s="2" t="s">
        <v>42</v>
      </c>
      <c r="W741" s="2" t="s">
        <v>43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</row>
    <row r="742" spans="1:35" x14ac:dyDescent="0.25">
      <c r="A742" s="2">
        <v>35</v>
      </c>
      <c r="B742" s="2" t="s">
        <v>43</v>
      </c>
      <c r="C742" s="2" t="s">
        <v>36</v>
      </c>
      <c r="D742" s="2">
        <v>802</v>
      </c>
      <c r="E742" s="2" t="s">
        <v>45</v>
      </c>
      <c r="F742" s="2">
        <v>10</v>
      </c>
      <c r="G742" s="2">
        <v>3</v>
      </c>
      <c r="H742" s="2" t="s">
        <v>49</v>
      </c>
      <c r="I742" s="2">
        <v>1</v>
      </c>
      <c r="J742" s="2">
        <v>1028</v>
      </c>
      <c r="K742" s="2">
        <v>2</v>
      </c>
      <c r="L742" s="2" t="s">
        <v>46</v>
      </c>
      <c r="M742" s="2">
        <v>45</v>
      </c>
      <c r="N742" s="2">
        <v>3</v>
      </c>
      <c r="O742" s="2">
        <v>1</v>
      </c>
      <c r="P742" s="2" t="s">
        <v>50</v>
      </c>
      <c r="Q742" s="2">
        <v>4</v>
      </c>
      <c r="R742" s="2" t="s">
        <v>52</v>
      </c>
      <c r="S742" s="2">
        <v>3917</v>
      </c>
      <c r="T742" s="2">
        <v>9541</v>
      </c>
      <c r="U742" s="2">
        <v>1</v>
      </c>
      <c r="V742" s="2" t="s">
        <v>42</v>
      </c>
      <c r="W742" s="2" t="s">
        <v>43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</row>
    <row r="743" spans="1:35" x14ac:dyDescent="0.25">
      <c r="A743" s="2">
        <v>42</v>
      </c>
      <c r="B743" s="2" t="s">
        <v>43</v>
      </c>
      <c r="C743" s="2" t="s">
        <v>36</v>
      </c>
      <c r="D743" s="2">
        <v>265</v>
      </c>
      <c r="E743" s="2" t="s">
        <v>37</v>
      </c>
      <c r="F743" s="2">
        <v>5</v>
      </c>
      <c r="G743" s="2">
        <v>2</v>
      </c>
      <c r="H743" s="2" t="s">
        <v>59</v>
      </c>
      <c r="I743" s="2">
        <v>1</v>
      </c>
      <c r="J743" s="2">
        <v>1029</v>
      </c>
      <c r="K743" s="2">
        <v>4</v>
      </c>
      <c r="L743" s="2" t="s">
        <v>46</v>
      </c>
      <c r="M743" s="2">
        <v>90</v>
      </c>
      <c r="N743" s="2">
        <v>3</v>
      </c>
      <c r="O743" s="2">
        <v>5</v>
      </c>
      <c r="P743" s="2" t="s">
        <v>56</v>
      </c>
      <c r="Q743" s="2">
        <v>3</v>
      </c>
      <c r="R743" s="2" t="s">
        <v>48</v>
      </c>
      <c r="S743" s="2">
        <v>18303</v>
      </c>
      <c r="T743" s="2">
        <v>7770</v>
      </c>
      <c r="U743" s="2">
        <v>6</v>
      </c>
      <c r="V743" s="2" t="s">
        <v>42</v>
      </c>
      <c r="W743" s="2" t="s">
        <v>43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</row>
    <row r="744" spans="1:35" x14ac:dyDescent="0.25">
      <c r="A744" s="2">
        <v>50</v>
      </c>
      <c r="B744" s="2" t="s">
        <v>43</v>
      </c>
      <c r="C744" s="2" t="s">
        <v>36</v>
      </c>
      <c r="D744" s="2">
        <v>804</v>
      </c>
      <c r="E744" s="2" t="s">
        <v>45</v>
      </c>
      <c r="F744" s="2">
        <v>9</v>
      </c>
      <c r="G744" s="2">
        <v>3</v>
      </c>
      <c r="H744" s="2" t="s">
        <v>38</v>
      </c>
      <c r="I744" s="2">
        <v>1</v>
      </c>
      <c r="J744" s="2">
        <v>1030</v>
      </c>
      <c r="K744" s="2">
        <v>1</v>
      </c>
      <c r="L744" s="2" t="s">
        <v>46</v>
      </c>
      <c r="M744" s="2">
        <v>64</v>
      </c>
      <c r="N744" s="2">
        <v>3</v>
      </c>
      <c r="O744" s="2">
        <v>1</v>
      </c>
      <c r="P744" s="2" t="s">
        <v>50</v>
      </c>
      <c r="Q744" s="2">
        <v>4</v>
      </c>
      <c r="R744" s="2" t="s">
        <v>48</v>
      </c>
      <c r="S744" s="2">
        <v>2380</v>
      </c>
      <c r="T744" s="2">
        <v>20165</v>
      </c>
      <c r="U744" s="2">
        <v>4</v>
      </c>
      <c r="V744" s="2" t="s">
        <v>42</v>
      </c>
      <c r="W744" s="2" t="s">
        <v>43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</row>
    <row r="745" spans="1:35" x14ac:dyDescent="0.25">
      <c r="A745" s="2">
        <v>59</v>
      </c>
      <c r="B745" s="2" t="s">
        <v>43</v>
      </c>
      <c r="C745" s="2" t="s">
        <v>36</v>
      </c>
      <c r="D745" s="2">
        <v>715</v>
      </c>
      <c r="E745" s="2" t="s">
        <v>45</v>
      </c>
      <c r="F745" s="2">
        <v>2</v>
      </c>
      <c r="G745" s="2">
        <v>3</v>
      </c>
      <c r="H745" s="2" t="s">
        <v>38</v>
      </c>
      <c r="I745" s="2">
        <v>1</v>
      </c>
      <c r="J745" s="2">
        <v>1032</v>
      </c>
      <c r="K745" s="2">
        <v>3</v>
      </c>
      <c r="L745" s="2" t="s">
        <v>39</v>
      </c>
      <c r="M745" s="2">
        <v>69</v>
      </c>
      <c r="N745" s="2">
        <v>2</v>
      </c>
      <c r="O745" s="2">
        <v>4</v>
      </c>
      <c r="P745" s="2" t="s">
        <v>53</v>
      </c>
      <c r="Q745" s="2">
        <v>4</v>
      </c>
      <c r="R745" s="2" t="s">
        <v>41</v>
      </c>
      <c r="S745" s="2">
        <v>13726</v>
      </c>
      <c r="T745" s="2">
        <v>21829</v>
      </c>
      <c r="U745" s="2">
        <v>3</v>
      </c>
      <c r="V745" s="2" t="s">
        <v>42</v>
      </c>
      <c r="W745" s="2" t="s">
        <v>35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</row>
    <row r="746" spans="1:35" x14ac:dyDescent="0.25">
      <c r="A746" s="2">
        <v>37</v>
      </c>
      <c r="B746" s="2" t="s">
        <v>35</v>
      </c>
      <c r="C746" s="2" t="s">
        <v>36</v>
      </c>
      <c r="D746" s="2">
        <v>1141</v>
      </c>
      <c r="E746" s="2" t="s">
        <v>45</v>
      </c>
      <c r="F746" s="2">
        <v>11</v>
      </c>
      <c r="G746" s="2">
        <v>2</v>
      </c>
      <c r="H746" s="2" t="s">
        <v>51</v>
      </c>
      <c r="I746" s="2">
        <v>1</v>
      </c>
      <c r="J746" s="2">
        <v>1033</v>
      </c>
      <c r="K746" s="2">
        <v>1</v>
      </c>
      <c r="L746" s="2" t="s">
        <v>39</v>
      </c>
      <c r="M746" s="2">
        <v>61</v>
      </c>
      <c r="N746" s="2">
        <v>1</v>
      </c>
      <c r="O746" s="2">
        <v>2</v>
      </c>
      <c r="P746" s="2" t="s">
        <v>54</v>
      </c>
      <c r="Q746" s="2">
        <v>2</v>
      </c>
      <c r="R746" s="2" t="s">
        <v>48</v>
      </c>
      <c r="S746" s="2">
        <v>4777</v>
      </c>
      <c r="T746" s="2">
        <v>14382</v>
      </c>
      <c r="U746" s="2">
        <v>5</v>
      </c>
      <c r="V746" s="2" t="s">
        <v>42</v>
      </c>
      <c r="W746" s="2" t="s">
        <v>43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</row>
    <row r="747" spans="1:35" x14ac:dyDescent="0.25">
      <c r="A747" s="2">
        <v>55</v>
      </c>
      <c r="B747" s="2" t="s">
        <v>43</v>
      </c>
      <c r="C747" s="2" t="s">
        <v>44</v>
      </c>
      <c r="D747" s="2">
        <v>135</v>
      </c>
      <c r="E747" s="2" t="s">
        <v>45</v>
      </c>
      <c r="F747" s="2">
        <v>18</v>
      </c>
      <c r="G747" s="2">
        <v>4</v>
      </c>
      <c r="H747" s="2" t="s">
        <v>51</v>
      </c>
      <c r="I747" s="2">
        <v>1</v>
      </c>
      <c r="J747" s="2">
        <v>1034</v>
      </c>
      <c r="K747" s="2">
        <v>3</v>
      </c>
      <c r="L747" s="2" t="s">
        <v>46</v>
      </c>
      <c r="M747" s="2">
        <v>62</v>
      </c>
      <c r="N747" s="2">
        <v>3</v>
      </c>
      <c r="O747" s="2">
        <v>2</v>
      </c>
      <c r="P747" s="2" t="s">
        <v>54</v>
      </c>
      <c r="Q747" s="2">
        <v>2</v>
      </c>
      <c r="R747" s="2" t="s">
        <v>48</v>
      </c>
      <c r="S747" s="2">
        <v>6385</v>
      </c>
      <c r="T747" s="2">
        <v>12992</v>
      </c>
      <c r="U747" s="2">
        <v>3</v>
      </c>
      <c r="V747" s="2" t="s">
        <v>42</v>
      </c>
      <c r="W747" s="2" t="s">
        <v>35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</row>
    <row r="748" spans="1:35" x14ac:dyDescent="0.25">
      <c r="A748" s="2">
        <v>41</v>
      </c>
      <c r="B748" s="2" t="s">
        <v>43</v>
      </c>
      <c r="C748" s="2" t="s">
        <v>55</v>
      </c>
      <c r="D748" s="2">
        <v>247</v>
      </c>
      <c r="E748" s="2" t="s">
        <v>45</v>
      </c>
      <c r="F748" s="2">
        <v>7</v>
      </c>
      <c r="G748" s="2">
        <v>1</v>
      </c>
      <c r="H748" s="2" t="s">
        <v>38</v>
      </c>
      <c r="I748" s="2">
        <v>1</v>
      </c>
      <c r="J748" s="2">
        <v>1035</v>
      </c>
      <c r="K748" s="2">
        <v>2</v>
      </c>
      <c r="L748" s="2" t="s">
        <v>39</v>
      </c>
      <c r="M748" s="2">
        <v>55</v>
      </c>
      <c r="N748" s="2">
        <v>1</v>
      </c>
      <c r="O748" s="2">
        <v>5</v>
      </c>
      <c r="P748" s="2" t="s">
        <v>58</v>
      </c>
      <c r="Q748" s="2">
        <v>3</v>
      </c>
      <c r="R748" s="2" t="s">
        <v>52</v>
      </c>
      <c r="S748" s="2">
        <v>19973</v>
      </c>
      <c r="T748" s="2">
        <v>20284</v>
      </c>
      <c r="U748" s="2">
        <v>1</v>
      </c>
      <c r="V748" s="2" t="s">
        <v>42</v>
      </c>
      <c r="W748" s="2" t="s">
        <v>43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</row>
    <row r="749" spans="1:35" x14ac:dyDescent="0.25">
      <c r="A749" s="2">
        <v>38</v>
      </c>
      <c r="B749" s="2" t="s">
        <v>43</v>
      </c>
      <c r="C749" s="2" t="s">
        <v>36</v>
      </c>
      <c r="D749" s="2">
        <v>1035</v>
      </c>
      <c r="E749" s="2" t="s">
        <v>37</v>
      </c>
      <c r="F749" s="2">
        <v>3</v>
      </c>
      <c r="G749" s="2">
        <v>4</v>
      </c>
      <c r="H749" s="2" t="s">
        <v>38</v>
      </c>
      <c r="I749" s="2">
        <v>1</v>
      </c>
      <c r="J749" s="2">
        <v>1036</v>
      </c>
      <c r="K749" s="2">
        <v>2</v>
      </c>
      <c r="L749" s="2" t="s">
        <v>46</v>
      </c>
      <c r="M749" s="2">
        <v>42</v>
      </c>
      <c r="N749" s="2">
        <v>3</v>
      </c>
      <c r="O749" s="2">
        <v>2</v>
      </c>
      <c r="P749" s="2" t="s">
        <v>40</v>
      </c>
      <c r="Q749" s="2">
        <v>4</v>
      </c>
      <c r="R749" s="2" t="s">
        <v>41</v>
      </c>
      <c r="S749" s="2">
        <v>6861</v>
      </c>
      <c r="T749" s="2">
        <v>4981</v>
      </c>
      <c r="U749" s="2">
        <v>8</v>
      </c>
      <c r="V749" s="2" t="s">
        <v>42</v>
      </c>
      <c r="W749" s="2" t="s">
        <v>35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</row>
    <row r="750" spans="1:35" x14ac:dyDescent="0.25">
      <c r="A750" s="2">
        <v>26</v>
      </c>
      <c r="B750" s="2" t="s">
        <v>35</v>
      </c>
      <c r="C750" s="2" t="s">
        <v>55</v>
      </c>
      <c r="D750" s="2">
        <v>265</v>
      </c>
      <c r="E750" s="2" t="s">
        <v>37</v>
      </c>
      <c r="F750" s="2">
        <v>29</v>
      </c>
      <c r="G750" s="2">
        <v>2</v>
      </c>
      <c r="H750" s="2" t="s">
        <v>51</v>
      </c>
      <c r="I750" s="2">
        <v>1</v>
      </c>
      <c r="J750" s="2">
        <v>1037</v>
      </c>
      <c r="K750" s="2">
        <v>2</v>
      </c>
      <c r="L750" s="2" t="s">
        <v>46</v>
      </c>
      <c r="M750" s="2">
        <v>79</v>
      </c>
      <c r="N750" s="2">
        <v>1</v>
      </c>
      <c r="O750" s="2">
        <v>2</v>
      </c>
      <c r="P750" s="2" t="s">
        <v>40</v>
      </c>
      <c r="Q750" s="2">
        <v>1</v>
      </c>
      <c r="R750" s="2" t="s">
        <v>41</v>
      </c>
      <c r="S750" s="2">
        <v>4969</v>
      </c>
      <c r="T750" s="2">
        <v>21813</v>
      </c>
      <c r="U750" s="2">
        <v>8</v>
      </c>
      <c r="V750" s="2" t="s">
        <v>42</v>
      </c>
      <c r="W750" s="2" t="s">
        <v>43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</row>
    <row r="751" spans="1:35" x14ac:dyDescent="0.25">
      <c r="A751" s="2">
        <v>52</v>
      </c>
      <c r="B751" s="2" t="s">
        <v>35</v>
      </c>
      <c r="C751" s="2" t="s">
        <v>36</v>
      </c>
      <c r="D751" s="2">
        <v>266</v>
      </c>
      <c r="E751" s="2" t="s">
        <v>37</v>
      </c>
      <c r="F751" s="2">
        <v>2</v>
      </c>
      <c r="G751" s="2">
        <v>1</v>
      </c>
      <c r="H751" s="2" t="s">
        <v>59</v>
      </c>
      <c r="I751" s="2">
        <v>1</v>
      </c>
      <c r="J751" s="2">
        <v>1038</v>
      </c>
      <c r="K751" s="2">
        <v>1</v>
      </c>
      <c r="L751" s="2" t="s">
        <v>39</v>
      </c>
      <c r="M751" s="2">
        <v>57</v>
      </c>
      <c r="N751" s="2">
        <v>1</v>
      </c>
      <c r="O751" s="2">
        <v>5</v>
      </c>
      <c r="P751" s="2" t="s">
        <v>56</v>
      </c>
      <c r="Q751" s="2">
        <v>4</v>
      </c>
      <c r="R751" s="2" t="s">
        <v>48</v>
      </c>
      <c r="S751" s="2">
        <v>19845</v>
      </c>
      <c r="T751" s="2">
        <v>25846</v>
      </c>
      <c r="U751" s="2">
        <v>1</v>
      </c>
      <c r="V751" s="2" t="s">
        <v>42</v>
      </c>
      <c r="W751" s="2" t="s">
        <v>43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</row>
    <row r="752" spans="1:35" x14ac:dyDescent="0.25">
      <c r="A752" s="2">
        <v>44</v>
      </c>
      <c r="B752" s="2" t="s">
        <v>43</v>
      </c>
      <c r="C752" s="2" t="s">
        <v>36</v>
      </c>
      <c r="D752" s="2">
        <v>1448</v>
      </c>
      <c r="E752" s="2" t="s">
        <v>37</v>
      </c>
      <c r="F752" s="2">
        <v>28</v>
      </c>
      <c r="G752" s="2">
        <v>3</v>
      </c>
      <c r="H752" s="2" t="s">
        <v>51</v>
      </c>
      <c r="I752" s="2">
        <v>1</v>
      </c>
      <c r="J752" s="2">
        <v>1039</v>
      </c>
      <c r="K752" s="2">
        <v>4</v>
      </c>
      <c r="L752" s="2" t="s">
        <v>39</v>
      </c>
      <c r="M752" s="2">
        <v>53</v>
      </c>
      <c r="N752" s="2">
        <v>4</v>
      </c>
      <c r="O752" s="2">
        <v>4</v>
      </c>
      <c r="P752" s="2" t="s">
        <v>40</v>
      </c>
      <c r="Q752" s="2">
        <v>4</v>
      </c>
      <c r="R752" s="2" t="s">
        <v>48</v>
      </c>
      <c r="S752" s="2">
        <v>13320</v>
      </c>
      <c r="T752" s="2">
        <v>11737</v>
      </c>
      <c r="U752" s="2">
        <v>3</v>
      </c>
      <c r="V752" s="2" t="s">
        <v>42</v>
      </c>
      <c r="W752" s="2" t="s">
        <v>35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</row>
    <row r="753" spans="1:35" x14ac:dyDescent="0.25">
      <c r="A753" s="2">
        <v>50</v>
      </c>
      <c r="B753" s="2" t="s">
        <v>43</v>
      </c>
      <c r="C753" s="2" t="s">
        <v>55</v>
      </c>
      <c r="D753" s="2">
        <v>145</v>
      </c>
      <c r="E753" s="2" t="s">
        <v>37</v>
      </c>
      <c r="F753" s="2">
        <v>1</v>
      </c>
      <c r="G753" s="2">
        <v>3</v>
      </c>
      <c r="H753" s="2" t="s">
        <v>38</v>
      </c>
      <c r="I753" s="2">
        <v>1</v>
      </c>
      <c r="J753" s="2">
        <v>1040</v>
      </c>
      <c r="K753" s="2">
        <v>4</v>
      </c>
      <c r="L753" s="2" t="s">
        <v>39</v>
      </c>
      <c r="M753" s="2">
        <v>95</v>
      </c>
      <c r="N753" s="2">
        <v>3</v>
      </c>
      <c r="O753" s="2">
        <v>2</v>
      </c>
      <c r="P753" s="2" t="s">
        <v>40</v>
      </c>
      <c r="Q753" s="2">
        <v>3</v>
      </c>
      <c r="R753" s="2" t="s">
        <v>48</v>
      </c>
      <c r="S753" s="2">
        <v>6347</v>
      </c>
      <c r="T753" s="2">
        <v>24920</v>
      </c>
      <c r="U753" s="2">
        <v>0</v>
      </c>
      <c r="V753" s="2" t="s">
        <v>42</v>
      </c>
      <c r="W753" s="2" t="s">
        <v>43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</row>
    <row r="754" spans="1:35" x14ac:dyDescent="0.25">
      <c r="A754" s="2">
        <v>36</v>
      </c>
      <c r="B754" s="2" t="s">
        <v>35</v>
      </c>
      <c r="C754" s="2" t="s">
        <v>36</v>
      </c>
      <c r="D754" s="2">
        <v>885</v>
      </c>
      <c r="E754" s="2" t="s">
        <v>45</v>
      </c>
      <c r="F754" s="2">
        <v>16</v>
      </c>
      <c r="G754" s="2">
        <v>4</v>
      </c>
      <c r="H754" s="2" t="s">
        <v>38</v>
      </c>
      <c r="I754" s="2">
        <v>1</v>
      </c>
      <c r="J754" s="2">
        <v>1042</v>
      </c>
      <c r="K754" s="2">
        <v>3</v>
      </c>
      <c r="L754" s="2" t="s">
        <v>39</v>
      </c>
      <c r="M754" s="2">
        <v>43</v>
      </c>
      <c r="N754" s="2">
        <v>4</v>
      </c>
      <c r="O754" s="2">
        <v>1</v>
      </c>
      <c r="P754" s="2" t="s">
        <v>50</v>
      </c>
      <c r="Q754" s="2">
        <v>1</v>
      </c>
      <c r="R754" s="2" t="s">
        <v>41</v>
      </c>
      <c r="S754" s="2">
        <v>2743</v>
      </c>
      <c r="T754" s="2">
        <v>8269</v>
      </c>
      <c r="U754" s="2">
        <v>1</v>
      </c>
      <c r="V754" s="2" t="s">
        <v>42</v>
      </c>
      <c r="W754" s="2" t="s">
        <v>43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</row>
    <row r="755" spans="1:35" x14ac:dyDescent="0.25">
      <c r="A755" s="2">
        <v>39</v>
      </c>
      <c r="B755" s="2" t="s">
        <v>43</v>
      </c>
      <c r="C755" s="2" t="s">
        <v>44</v>
      </c>
      <c r="D755" s="2">
        <v>945</v>
      </c>
      <c r="E755" s="2" t="s">
        <v>45</v>
      </c>
      <c r="F755" s="2">
        <v>22</v>
      </c>
      <c r="G755" s="2">
        <v>3</v>
      </c>
      <c r="H755" s="2" t="s">
        <v>51</v>
      </c>
      <c r="I755" s="2">
        <v>1</v>
      </c>
      <c r="J755" s="2">
        <v>1043</v>
      </c>
      <c r="K755" s="2">
        <v>4</v>
      </c>
      <c r="L755" s="2" t="s">
        <v>39</v>
      </c>
      <c r="M755" s="2">
        <v>82</v>
      </c>
      <c r="N755" s="2">
        <v>3</v>
      </c>
      <c r="O755" s="2">
        <v>3</v>
      </c>
      <c r="P755" s="2" t="s">
        <v>53</v>
      </c>
      <c r="Q755" s="2">
        <v>1</v>
      </c>
      <c r="R755" s="2" t="s">
        <v>41</v>
      </c>
      <c r="S755" s="2">
        <v>10880</v>
      </c>
      <c r="T755" s="2">
        <v>5083</v>
      </c>
      <c r="U755" s="2">
        <v>1</v>
      </c>
      <c r="V755" s="2" t="s">
        <v>42</v>
      </c>
      <c r="W755" s="2" t="s">
        <v>35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</row>
    <row r="756" spans="1:35" x14ac:dyDescent="0.25">
      <c r="A756" s="2">
        <v>33</v>
      </c>
      <c r="B756" s="2" t="s">
        <v>43</v>
      </c>
      <c r="C756" s="2" t="s">
        <v>55</v>
      </c>
      <c r="D756" s="2">
        <v>1038</v>
      </c>
      <c r="E756" s="2" t="s">
        <v>37</v>
      </c>
      <c r="F756" s="2">
        <v>8</v>
      </c>
      <c r="G756" s="2">
        <v>1</v>
      </c>
      <c r="H756" s="2" t="s">
        <v>38</v>
      </c>
      <c r="I756" s="2">
        <v>1</v>
      </c>
      <c r="J756" s="2">
        <v>1044</v>
      </c>
      <c r="K756" s="2">
        <v>2</v>
      </c>
      <c r="L756" s="2" t="s">
        <v>39</v>
      </c>
      <c r="M756" s="2">
        <v>88</v>
      </c>
      <c r="N756" s="2">
        <v>2</v>
      </c>
      <c r="O756" s="2">
        <v>1</v>
      </c>
      <c r="P756" s="2" t="s">
        <v>57</v>
      </c>
      <c r="Q756" s="2">
        <v>4</v>
      </c>
      <c r="R756" s="2" t="s">
        <v>41</v>
      </c>
      <c r="S756" s="2">
        <v>2342</v>
      </c>
      <c r="T756" s="2">
        <v>21437</v>
      </c>
      <c r="U756" s="2">
        <v>0</v>
      </c>
      <c r="V756" s="2" t="s">
        <v>42</v>
      </c>
      <c r="W756" s="2" t="s">
        <v>43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</row>
    <row r="757" spans="1:35" x14ac:dyDescent="0.25">
      <c r="A757" s="2">
        <v>45</v>
      </c>
      <c r="B757" s="2" t="s">
        <v>43</v>
      </c>
      <c r="C757" s="2" t="s">
        <v>36</v>
      </c>
      <c r="D757" s="2">
        <v>1234</v>
      </c>
      <c r="E757" s="2" t="s">
        <v>37</v>
      </c>
      <c r="F757" s="2">
        <v>11</v>
      </c>
      <c r="G757" s="2">
        <v>2</v>
      </c>
      <c r="H757" s="2" t="s">
        <v>38</v>
      </c>
      <c r="I757" s="2">
        <v>1</v>
      </c>
      <c r="J757" s="2">
        <v>1045</v>
      </c>
      <c r="K757" s="2">
        <v>4</v>
      </c>
      <c r="L757" s="2" t="s">
        <v>39</v>
      </c>
      <c r="M757" s="2">
        <v>90</v>
      </c>
      <c r="N757" s="2">
        <v>3</v>
      </c>
      <c r="O757" s="2">
        <v>4</v>
      </c>
      <c r="P757" s="2" t="s">
        <v>56</v>
      </c>
      <c r="Q757" s="2">
        <v>4</v>
      </c>
      <c r="R757" s="2" t="s">
        <v>48</v>
      </c>
      <c r="S757" s="2">
        <v>17650</v>
      </c>
      <c r="T757" s="2">
        <v>5404</v>
      </c>
      <c r="U757" s="2">
        <v>3</v>
      </c>
      <c r="V757" s="2" t="s">
        <v>42</v>
      </c>
      <c r="W757" s="2" t="s">
        <v>43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</row>
    <row r="758" spans="1:35" x14ac:dyDescent="0.25">
      <c r="A758" s="2">
        <v>32</v>
      </c>
      <c r="B758" s="2" t="s">
        <v>43</v>
      </c>
      <c r="C758" s="2" t="s">
        <v>55</v>
      </c>
      <c r="D758" s="2">
        <v>1109</v>
      </c>
      <c r="E758" s="2" t="s">
        <v>45</v>
      </c>
      <c r="F758" s="2">
        <v>29</v>
      </c>
      <c r="G758" s="2">
        <v>4</v>
      </c>
      <c r="H758" s="2" t="s">
        <v>51</v>
      </c>
      <c r="I758" s="2">
        <v>1</v>
      </c>
      <c r="J758" s="2">
        <v>1046</v>
      </c>
      <c r="K758" s="2">
        <v>4</v>
      </c>
      <c r="L758" s="2" t="s">
        <v>39</v>
      </c>
      <c r="M758" s="2">
        <v>69</v>
      </c>
      <c r="N758" s="2">
        <v>3</v>
      </c>
      <c r="O758" s="2">
        <v>1</v>
      </c>
      <c r="P758" s="2" t="s">
        <v>50</v>
      </c>
      <c r="Q758" s="2">
        <v>3</v>
      </c>
      <c r="R758" s="2" t="s">
        <v>41</v>
      </c>
      <c r="S758" s="2">
        <v>4025</v>
      </c>
      <c r="T758" s="2">
        <v>11135</v>
      </c>
      <c r="U758" s="2">
        <v>9</v>
      </c>
      <c r="V758" s="2" t="s">
        <v>42</v>
      </c>
      <c r="W758" s="2" t="s">
        <v>43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</row>
    <row r="759" spans="1:35" x14ac:dyDescent="0.25">
      <c r="A759" s="2">
        <v>34</v>
      </c>
      <c r="B759" s="2" t="s">
        <v>43</v>
      </c>
      <c r="C759" s="2" t="s">
        <v>36</v>
      </c>
      <c r="D759" s="2">
        <v>216</v>
      </c>
      <c r="E759" s="2" t="s">
        <v>37</v>
      </c>
      <c r="F759" s="2">
        <v>1</v>
      </c>
      <c r="G759" s="2">
        <v>4</v>
      </c>
      <c r="H759" s="2" t="s">
        <v>59</v>
      </c>
      <c r="I759" s="2">
        <v>1</v>
      </c>
      <c r="J759" s="2">
        <v>1047</v>
      </c>
      <c r="K759" s="2">
        <v>2</v>
      </c>
      <c r="L759" s="2" t="s">
        <v>46</v>
      </c>
      <c r="M759" s="2">
        <v>75</v>
      </c>
      <c r="N759" s="2">
        <v>4</v>
      </c>
      <c r="O759" s="2">
        <v>2</v>
      </c>
      <c r="P759" s="2" t="s">
        <v>40</v>
      </c>
      <c r="Q759" s="2">
        <v>4</v>
      </c>
      <c r="R759" s="2" t="s">
        <v>52</v>
      </c>
      <c r="S759" s="2">
        <v>9725</v>
      </c>
      <c r="T759" s="2">
        <v>12278</v>
      </c>
      <c r="U759" s="2">
        <v>0</v>
      </c>
      <c r="V759" s="2" t="s">
        <v>42</v>
      </c>
      <c r="W759" s="2" t="s">
        <v>43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</row>
    <row r="760" spans="1:35" x14ac:dyDescent="0.25">
      <c r="A760" s="2">
        <v>59</v>
      </c>
      <c r="B760" s="2" t="s">
        <v>43</v>
      </c>
      <c r="C760" s="2" t="s">
        <v>36</v>
      </c>
      <c r="D760" s="2">
        <v>1089</v>
      </c>
      <c r="E760" s="2" t="s">
        <v>37</v>
      </c>
      <c r="F760" s="2">
        <v>1</v>
      </c>
      <c r="G760" s="2">
        <v>2</v>
      </c>
      <c r="H760" s="2" t="s">
        <v>60</v>
      </c>
      <c r="I760" s="2">
        <v>1</v>
      </c>
      <c r="J760" s="2">
        <v>1048</v>
      </c>
      <c r="K760" s="2">
        <v>2</v>
      </c>
      <c r="L760" s="2" t="s">
        <v>46</v>
      </c>
      <c r="M760" s="2">
        <v>66</v>
      </c>
      <c r="N760" s="2">
        <v>3</v>
      </c>
      <c r="O760" s="2">
        <v>3</v>
      </c>
      <c r="P760" s="2" t="s">
        <v>56</v>
      </c>
      <c r="Q760" s="2">
        <v>4</v>
      </c>
      <c r="R760" s="2" t="s">
        <v>48</v>
      </c>
      <c r="S760" s="2">
        <v>11904</v>
      </c>
      <c r="T760" s="2">
        <v>11038</v>
      </c>
      <c r="U760" s="2">
        <v>3</v>
      </c>
      <c r="V760" s="2" t="s">
        <v>42</v>
      </c>
      <c r="W760" s="2" t="s">
        <v>35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</row>
    <row r="761" spans="1:35" x14ac:dyDescent="0.25">
      <c r="A761" s="2">
        <v>45</v>
      </c>
      <c r="B761" s="2" t="s">
        <v>43</v>
      </c>
      <c r="C761" s="2" t="s">
        <v>36</v>
      </c>
      <c r="D761" s="2">
        <v>788</v>
      </c>
      <c r="E761" s="2" t="s">
        <v>61</v>
      </c>
      <c r="F761" s="2">
        <v>24</v>
      </c>
      <c r="G761" s="2">
        <v>4</v>
      </c>
      <c r="H761" s="2" t="s">
        <v>51</v>
      </c>
      <c r="I761" s="2">
        <v>1</v>
      </c>
      <c r="J761" s="2">
        <v>1049</v>
      </c>
      <c r="K761" s="2">
        <v>2</v>
      </c>
      <c r="L761" s="2" t="s">
        <v>46</v>
      </c>
      <c r="M761" s="2">
        <v>36</v>
      </c>
      <c r="N761" s="2">
        <v>3</v>
      </c>
      <c r="O761" s="2">
        <v>1</v>
      </c>
      <c r="P761" s="2" t="s">
        <v>61</v>
      </c>
      <c r="Q761" s="2">
        <v>2</v>
      </c>
      <c r="R761" s="2" t="s">
        <v>41</v>
      </c>
      <c r="S761" s="2">
        <v>2177</v>
      </c>
      <c r="T761" s="2">
        <v>8318</v>
      </c>
      <c r="U761" s="2">
        <v>1</v>
      </c>
      <c r="V761" s="2" t="s">
        <v>42</v>
      </c>
      <c r="W761" s="2" t="s">
        <v>43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</row>
    <row r="762" spans="1:35" x14ac:dyDescent="0.25">
      <c r="A762" s="2">
        <v>53</v>
      </c>
      <c r="B762" s="2" t="s">
        <v>43</v>
      </c>
      <c r="C762" s="2" t="s">
        <v>44</v>
      </c>
      <c r="D762" s="2">
        <v>124</v>
      </c>
      <c r="E762" s="2" t="s">
        <v>37</v>
      </c>
      <c r="F762" s="2">
        <v>2</v>
      </c>
      <c r="G762" s="2">
        <v>3</v>
      </c>
      <c r="H762" s="2" t="s">
        <v>59</v>
      </c>
      <c r="I762" s="2">
        <v>1</v>
      </c>
      <c r="J762" s="2">
        <v>1050</v>
      </c>
      <c r="K762" s="2">
        <v>3</v>
      </c>
      <c r="L762" s="2" t="s">
        <v>39</v>
      </c>
      <c r="M762" s="2">
        <v>38</v>
      </c>
      <c r="N762" s="2">
        <v>2</v>
      </c>
      <c r="O762" s="2">
        <v>3</v>
      </c>
      <c r="P762" s="2" t="s">
        <v>40</v>
      </c>
      <c r="Q762" s="2">
        <v>2</v>
      </c>
      <c r="R762" s="2" t="s">
        <v>48</v>
      </c>
      <c r="S762" s="2">
        <v>7525</v>
      </c>
      <c r="T762" s="2">
        <v>23537</v>
      </c>
      <c r="U762" s="2">
        <v>2</v>
      </c>
      <c r="V762" s="2" t="s">
        <v>42</v>
      </c>
      <c r="W762" s="2" t="s">
        <v>43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</row>
    <row r="763" spans="1:35" x14ac:dyDescent="0.25">
      <c r="A763" s="2">
        <v>36</v>
      </c>
      <c r="B763" s="2" t="s">
        <v>35</v>
      </c>
      <c r="C763" s="2" t="s">
        <v>36</v>
      </c>
      <c r="D763" s="2">
        <v>660</v>
      </c>
      <c r="E763" s="2" t="s">
        <v>45</v>
      </c>
      <c r="F763" s="2">
        <v>15</v>
      </c>
      <c r="G763" s="2">
        <v>3</v>
      </c>
      <c r="H763" s="2" t="s">
        <v>49</v>
      </c>
      <c r="I763" s="2">
        <v>1</v>
      </c>
      <c r="J763" s="2">
        <v>1052</v>
      </c>
      <c r="K763" s="2">
        <v>1</v>
      </c>
      <c r="L763" s="2" t="s">
        <v>46</v>
      </c>
      <c r="M763" s="2">
        <v>81</v>
      </c>
      <c r="N763" s="2">
        <v>3</v>
      </c>
      <c r="O763" s="2">
        <v>2</v>
      </c>
      <c r="P763" s="2" t="s">
        <v>50</v>
      </c>
      <c r="Q763" s="2">
        <v>3</v>
      </c>
      <c r="R763" s="2" t="s">
        <v>52</v>
      </c>
      <c r="S763" s="2">
        <v>4834</v>
      </c>
      <c r="T763" s="2">
        <v>7858</v>
      </c>
      <c r="U763" s="2">
        <v>7</v>
      </c>
      <c r="V763" s="2" t="s">
        <v>42</v>
      </c>
      <c r="W763" s="2" t="s">
        <v>43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</row>
    <row r="764" spans="1:35" x14ac:dyDescent="0.25">
      <c r="A764" s="2">
        <v>26</v>
      </c>
      <c r="B764" s="2" t="s">
        <v>35</v>
      </c>
      <c r="C764" s="2" t="s">
        <v>44</v>
      </c>
      <c r="D764" s="2">
        <v>342</v>
      </c>
      <c r="E764" s="2" t="s">
        <v>45</v>
      </c>
      <c r="F764" s="2">
        <v>2</v>
      </c>
      <c r="G764" s="2">
        <v>3</v>
      </c>
      <c r="H764" s="2" t="s">
        <v>38</v>
      </c>
      <c r="I764" s="2">
        <v>1</v>
      </c>
      <c r="J764" s="2">
        <v>1053</v>
      </c>
      <c r="K764" s="2">
        <v>1</v>
      </c>
      <c r="L764" s="2" t="s">
        <v>46</v>
      </c>
      <c r="M764" s="2">
        <v>57</v>
      </c>
      <c r="N764" s="2">
        <v>3</v>
      </c>
      <c r="O764" s="2">
        <v>1</v>
      </c>
      <c r="P764" s="2" t="s">
        <v>47</v>
      </c>
      <c r="Q764" s="2">
        <v>1</v>
      </c>
      <c r="R764" s="2" t="s">
        <v>48</v>
      </c>
      <c r="S764" s="2">
        <v>2042</v>
      </c>
      <c r="T764" s="2">
        <v>15346</v>
      </c>
      <c r="U764" s="2">
        <v>6</v>
      </c>
      <c r="V764" s="2" t="s">
        <v>42</v>
      </c>
      <c r="W764" s="2" t="s">
        <v>35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</row>
    <row r="765" spans="1:35" x14ac:dyDescent="0.25">
      <c r="A765" s="2">
        <v>34</v>
      </c>
      <c r="B765" s="2" t="s">
        <v>43</v>
      </c>
      <c r="C765" s="2" t="s">
        <v>36</v>
      </c>
      <c r="D765" s="2">
        <v>1333</v>
      </c>
      <c r="E765" s="2" t="s">
        <v>37</v>
      </c>
      <c r="F765" s="2">
        <v>10</v>
      </c>
      <c r="G765" s="2">
        <v>4</v>
      </c>
      <c r="H765" s="2" t="s">
        <v>38</v>
      </c>
      <c r="I765" s="2">
        <v>1</v>
      </c>
      <c r="J765" s="2">
        <v>1055</v>
      </c>
      <c r="K765" s="2">
        <v>3</v>
      </c>
      <c r="L765" s="2" t="s">
        <v>39</v>
      </c>
      <c r="M765" s="2">
        <v>87</v>
      </c>
      <c r="N765" s="2">
        <v>3</v>
      </c>
      <c r="O765" s="2">
        <v>1</v>
      </c>
      <c r="P765" s="2" t="s">
        <v>57</v>
      </c>
      <c r="Q765" s="2">
        <v>3</v>
      </c>
      <c r="R765" s="2" t="s">
        <v>48</v>
      </c>
      <c r="S765" s="2">
        <v>2220</v>
      </c>
      <c r="T765" s="2">
        <v>18410</v>
      </c>
      <c r="U765" s="2">
        <v>1</v>
      </c>
      <c r="V765" s="2" t="s">
        <v>42</v>
      </c>
      <c r="W765" s="2" t="s">
        <v>35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</row>
    <row r="766" spans="1:35" x14ac:dyDescent="0.25">
      <c r="A766" s="2">
        <v>28</v>
      </c>
      <c r="B766" s="2" t="s">
        <v>43</v>
      </c>
      <c r="C766" s="2" t="s">
        <v>36</v>
      </c>
      <c r="D766" s="2">
        <v>1144</v>
      </c>
      <c r="E766" s="2" t="s">
        <v>37</v>
      </c>
      <c r="F766" s="2">
        <v>10</v>
      </c>
      <c r="G766" s="2">
        <v>1</v>
      </c>
      <c r="H766" s="2" t="s">
        <v>51</v>
      </c>
      <c r="I766" s="2">
        <v>1</v>
      </c>
      <c r="J766" s="2">
        <v>1056</v>
      </c>
      <c r="K766" s="2">
        <v>4</v>
      </c>
      <c r="L766" s="2" t="s">
        <v>46</v>
      </c>
      <c r="M766" s="2">
        <v>74</v>
      </c>
      <c r="N766" s="2">
        <v>3</v>
      </c>
      <c r="O766" s="2">
        <v>1</v>
      </c>
      <c r="P766" s="2" t="s">
        <v>57</v>
      </c>
      <c r="Q766" s="2">
        <v>2</v>
      </c>
      <c r="R766" s="2" t="s">
        <v>48</v>
      </c>
      <c r="S766" s="2">
        <v>1052</v>
      </c>
      <c r="T766" s="2">
        <v>23384</v>
      </c>
      <c r="U766" s="2">
        <v>1</v>
      </c>
      <c r="V766" s="2" t="s">
        <v>42</v>
      </c>
      <c r="W766" s="2" t="s">
        <v>43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</row>
    <row r="767" spans="1:35" x14ac:dyDescent="0.25">
      <c r="A767" s="2">
        <v>38</v>
      </c>
      <c r="B767" s="2" t="s">
        <v>43</v>
      </c>
      <c r="C767" s="2" t="s">
        <v>44</v>
      </c>
      <c r="D767" s="2">
        <v>1186</v>
      </c>
      <c r="E767" s="2" t="s">
        <v>45</v>
      </c>
      <c r="F767" s="2">
        <v>3</v>
      </c>
      <c r="G767" s="2">
        <v>4</v>
      </c>
      <c r="H767" s="2" t="s">
        <v>49</v>
      </c>
      <c r="I767" s="2">
        <v>1</v>
      </c>
      <c r="J767" s="2">
        <v>1060</v>
      </c>
      <c r="K767" s="2">
        <v>3</v>
      </c>
      <c r="L767" s="2" t="s">
        <v>46</v>
      </c>
      <c r="M767" s="2">
        <v>44</v>
      </c>
      <c r="N767" s="2">
        <v>3</v>
      </c>
      <c r="O767" s="2">
        <v>1</v>
      </c>
      <c r="P767" s="2" t="s">
        <v>47</v>
      </c>
      <c r="Q767" s="2">
        <v>3</v>
      </c>
      <c r="R767" s="2" t="s">
        <v>48</v>
      </c>
      <c r="S767" s="2">
        <v>2821</v>
      </c>
      <c r="T767" s="2">
        <v>2997</v>
      </c>
      <c r="U767" s="2">
        <v>3</v>
      </c>
      <c r="V767" s="2" t="s">
        <v>42</v>
      </c>
      <c r="W767" s="2" t="s">
        <v>43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</row>
    <row r="768" spans="1:35" x14ac:dyDescent="0.25">
      <c r="A768" s="2">
        <v>50</v>
      </c>
      <c r="B768" s="2" t="s">
        <v>43</v>
      </c>
      <c r="C768" s="2" t="s">
        <v>36</v>
      </c>
      <c r="D768" s="2">
        <v>1464</v>
      </c>
      <c r="E768" s="2" t="s">
        <v>45</v>
      </c>
      <c r="F768" s="2">
        <v>2</v>
      </c>
      <c r="G768" s="2">
        <v>4</v>
      </c>
      <c r="H768" s="2" t="s">
        <v>51</v>
      </c>
      <c r="I768" s="2">
        <v>1</v>
      </c>
      <c r="J768" s="2">
        <v>1061</v>
      </c>
      <c r="K768" s="2">
        <v>2</v>
      </c>
      <c r="L768" s="2" t="s">
        <v>46</v>
      </c>
      <c r="M768" s="2">
        <v>62</v>
      </c>
      <c r="N768" s="2">
        <v>3</v>
      </c>
      <c r="O768" s="2">
        <v>5</v>
      </c>
      <c r="P768" s="2" t="s">
        <v>58</v>
      </c>
      <c r="Q768" s="2">
        <v>3</v>
      </c>
      <c r="R768" s="2" t="s">
        <v>48</v>
      </c>
      <c r="S768" s="2">
        <v>19237</v>
      </c>
      <c r="T768" s="2">
        <v>12853</v>
      </c>
      <c r="U768" s="2">
        <v>2</v>
      </c>
      <c r="V768" s="2" t="s">
        <v>42</v>
      </c>
      <c r="W768" s="2" t="s">
        <v>35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</row>
    <row r="769" spans="1:35" x14ac:dyDescent="0.25">
      <c r="A769" s="2">
        <v>37</v>
      </c>
      <c r="B769" s="2" t="s">
        <v>43</v>
      </c>
      <c r="C769" s="2" t="s">
        <v>36</v>
      </c>
      <c r="D769" s="2">
        <v>124</v>
      </c>
      <c r="E769" s="2" t="s">
        <v>45</v>
      </c>
      <c r="F769" s="2">
        <v>3</v>
      </c>
      <c r="G769" s="2">
        <v>3</v>
      </c>
      <c r="H769" s="2" t="s">
        <v>49</v>
      </c>
      <c r="I769" s="2">
        <v>1</v>
      </c>
      <c r="J769" s="2">
        <v>1062</v>
      </c>
      <c r="K769" s="2">
        <v>4</v>
      </c>
      <c r="L769" s="2" t="s">
        <v>39</v>
      </c>
      <c r="M769" s="2">
        <v>35</v>
      </c>
      <c r="N769" s="2">
        <v>3</v>
      </c>
      <c r="O769" s="2">
        <v>2</v>
      </c>
      <c r="P769" s="2" t="s">
        <v>54</v>
      </c>
      <c r="Q769" s="2">
        <v>2</v>
      </c>
      <c r="R769" s="2" t="s">
        <v>41</v>
      </c>
      <c r="S769" s="2">
        <v>4107</v>
      </c>
      <c r="T769" s="2">
        <v>13848</v>
      </c>
      <c r="U769" s="2">
        <v>3</v>
      </c>
      <c r="V769" s="2" t="s">
        <v>42</v>
      </c>
      <c r="W769" s="2" t="s">
        <v>43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</row>
    <row r="770" spans="1:35" x14ac:dyDescent="0.25">
      <c r="A770" s="2">
        <v>40</v>
      </c>
      <c r="B770" s="2" t="s">
        <v>43</v>
      </c>
      <c r="C770" s="2" t="s">
        <v>36</v>
      </c>
      <c r="D770" s="2">
        <v>300</v>
      </c>
      <c r="E770" s="2" t="s">
        <v>37</v>
      </c>
      <c r="F770" s="2">
        <v>26</v>
      </c>
      <c r="G770" s="2">
        <v>3</v>
      </c>
      <c r="H770" s="2" t="s">
        <v>59</v>
      </c>
      <c r="I770" s="2">
        <v>1</v>
      </c>
      <c r="J770" s="2">
        <v>1066</v>
      </c>
      <c r="K770" s="2">
        <v>3</v>
      </c>
      <c r="L770" s="2" t="s">
        <v>46</v>
      </c>
      <c r="M770" s="2">
        <v>74</v>
      </c>
      <c r="N770" s="2">
        <v>3</v>
      </c>
      <c r="O770" s="2">
        <v>2</v>
      </c>
      <c r="P770" s="2" t="s">
        <v>40</v>
      </c>
      <c r="Q770" s="2">
        <v>1</v>
      </c>
      <c r="R770" s="2" t="s">
        <v>48</v>
      </c>
      <c r="S770" s="2">
        <v>8396</v>
      </c>
      <c r="T770" s="2">
        <v>22217</v>
      </c>
      <c r="U770" s="2">
        <v>1</v>
      </c>
      <c r="V770" s="2" t="s">
        <v>42</v>
      </c>
      <c r="W770" s="2" t="s">
        <v>43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</row>
    <row r="771" spans="1:35" x14ac:dyDescent="0.25">
      <c r="A771" s="2">
        <v>26</v>
      </c>
      <c r="B771" s="2" t="s">
        <v>43</v>
      </c>
      <c r="C771" s="2" t="s">
        <v>44</v>
      </c>
      <c r="D771" s="2">
        <v>921</v>
      </c>
      <c r="E771" s="2" t="s">
        <v>45</v>
      </c>
      <c r="F771" s="2">
        <v>1</v>
      </c>
      <c r="G771" s="2">
        <v>1</v>
      </c>
      <c r="H771" s="2" t="s">
        <v>51</v>
      </c>
      <c r="I771" s="2">
        <v>1</v>
      </c>
      <c r="J771" s="2">
        <v>1068</v>
      </c>
      <c r="K771" s="2">
        <v>1</v>
      </c>
      <c r="L771" s="2" t="s">
        <v>39</v>
      </c>
      <c r="M771" s="2">
        <v>66</v>
      </c>
      <c r="N771" s="2">
        <v>2</v>
      </c>
      <c r="O771" s="2">
        <v>1</v>
      </c>
      <c r="P771" s="2" t="s">
        <v>47</v>
      </c>
      <c r="Q771" s="2">
        <v>3</v>
      </c>
      <c r="R771" s="2" t="s">
        <v>52</v>
      </c>
      <c r="S771" s="2">
        <v>2007</v>
      </c>
      <c r="T771" s="2">
        <v>25265</v>
      </c>
      <c r="U771" s="2">
        <v>1</v>
      </c>
      <c r="V771" s="2" t="s">
        <v>42</v>
      </c>
      <c r="W771" s="2" t="s">
        <v>43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</row>
    <row r="772" spans="1:35" x14ac:dyDescent="0.25">
      <c r="A772" s="2">
        <v>46</v>
      </c>
      <c r="B772" s="2" t="s">
        <v>43</v>
      </c>
      <c r="C772" s="2" t="s">
        <v>36</v>
      </c>
      <c r="D772" s="2">
        <v>430</v>
      </c>
      <c r="E772" s="2" t="s">
        <v>45</v>
      </c>
      <c r="F772" s="2">
        <v>1</v>
      </c>
      <c r="G772" s="2">
        <v>4</v>
      </c>
      <c r="H772" s="2" t="s">
        <v>51</v>
      </c>
      <c r="I772" s="2">
        <v>1</v>
      </c>
      <c r="J772" s="2">
        <v>1069</v>
      </c>
      <c r="K772" s="2">
        <v>4</v>
      </c>
      <c r="L772" s="2" t="s">
        <v>46</v>
      </c>
      <c r="M772" s="2">
        <v>40</v>
      </c>
      <c r="N772" s="2">
        <v>3</v>
      </c>
      <c r="O772" s="2">
        <v>5</v>
      </c>
      <c r="P772" s="2" t="s">
        <v>58</v>
      </c>
      <c r="Q772" s="2">
        <v>4</v>
      </c>
      <c r="R772" s="2" t="s">
        <v>52</v>
      </c>
      <c r="S772" s="2">
        <v>19627</v>
      </c>
      <c r="T772" s="2">
        <v>21445</v>
      </c>
      <c r="U772" s="2">
        <v>9</v>
      </c>
      <c r="V772" s="2" t="s">
        <v>42</v>
      </c>
      <c r="W772" s="2" t="s">
        <v>43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</row>
    <row r="773" spans="1:35" x14ac:dyDescent="0.25">
      <c r="A773" s="2">
        <v>54</v>
      </c>
      <c r="B773" s="2" t="s">
        <v>43</v>
      </c>
      <c r="C773" s="2" t="s">
        <v>36</v>
      </c>
      <c r="D773" s="2">
        <v>1082</v>
      </c>
      <c r="E773" s="2" t="s">
        <v>37</v>
      </c>
      <c r="F773" s="2">
        <v>2</v>
      </c>
      <c r="G773" s="2">
        <v>4</v>
      </c>
      <c r="H773" s="2" t="s">
        <v>38</v>
      </c>
      <c r="I773" s="2">
        <v>1</v>
      </c>
      <c r="J773" s="2">
        <v>1070</v>
      </c>
      <c r="K773" s="2">
        <v>3</v>
      </c>
      <c r="L773" s="2" t="s">
        <v>39</v>
      </c>
      <c r="M773" s="2">
        <v>41</v>
      </c>
      <c r="N773" s="2">
        <v>2</v>
      </c>
      <c r="O773" s="2">
        <v>3</v>
      </c>
      <c r="P773" s="2" t="s">
        <v>40</v>
      </c>
      <c r="Q773" s="2">
        <v>3</v>
      </c>
      <c r="R773" s="2" t="s">
        <v>48</v>
      </c>
      <c r="S773" s="2">
        <v>10686</v>
      </c>
      <c r="T773" s="2">
        <v>8392</v>
      </c>
      <c r="U773" s="2">
        <v>6</v>
      </c>
      <c r="V773" s="2" t="s">
        <v>42</v>
      </c>
      <c r="W773" s="2" t="s">
        <v>43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</row>
    <row r="774" spans="1:35" x14ac:dyDescent="0.25">
      <c r="A774" s="2">
        <v>56</v>
      </c>
      <c r="B774" s="2" t="s">
        <v>43</v>
      </c>
      <c r="C774" s="2" t="s">
        <v>44</v>
      </c>
      <c r="D774" s="2">
        <v>1240</v>
      </c>
      <c r="E774" s="2" t="s">
        <v>45</v>
      </c>
      <c r="F774" s="2">
        <v>9</v>
      </c>
      <c r="G774" s="2">
        <v>3</v>
      </c>
      <c r="H774" s="2" t="s">
        <v>51</v>
      </c>
      <c r="I774" s="2">
        <v>1</v>
      </c>
      <c r="J774" s="2">
        <v>1071</v>
      </c>
      <c r="K774" s="2">
        <v>1</v>
      </c>
      <c r="L774" s="2" t="s">
        <v>39</v>
      </c>
      <c r="M774" s="2">
        <v>63</v>
      </c>
      <c r="N774" s="2">
        <v>3</v>
      </c>
      <c r="O774" s="2">
        <v>1</v>
      </c>
      <c r="P774" s="2" t="s">
        <v>47</v>
      </c>
      <c r="Q774" s="2">
        <v>3</v>
      </c>
      <c r="R774" s="2" t="s">
        <v>48</v>
      </c>
      <c r="S774" s="2">
        <v>2942</v>
      </c>
      <c r="T774" s="2">
        <v>12154</v>
      </c>
      <c r="U774" s="2">
        <v>2</v>
      </c>
      <c r="V774" s="2" t="s">
        <v>42</v>
      </c>
      <c r="W774" s="2" t="s">
        <v>43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</row>
    <row r="775" spans="1:35" x14ac:dyDescent="0.25">
      <c r="A775" s="2">
        <v>36</v>
      </c>
      <c r="B775" s="2" t="s">
        <v>43</v>
      </c>
      <c r="C775" s="2" t="s">
        <v>36</v>
      </c>
      <c r="D775" s="2">
        <v>796</v>
      </c>
      <c r="E775" s="2" t="s">
        <v>45</v>
      </c>
      <c r="F775" s="2">
        <v>12</v>
      </c>
      <c r="G775" s="2">
        <v>5</v>
      </c>
      <c r="H775" s="2" t="s">
        <v>51</v>
      </c>
      <c r="I775" s="2">
        <v>1</v>
      </c>
      <c r="J775" s="2">
        <v>1073</v>
      </c>
      <c r="K775" s="2">
        <v>4</v>
      </c>
      <c r="L775" s="2" t="s">
        <v>39</v>
      </c>
      <c r="M775" s="2">
        <v>51</v>
      </c>
      <c r="N775" s="2">
        <v>2</v>
      </c>
      <c r="O775" s="2">
        <v>3</v>
      </c>
      <c r="P775" s="2" t="s">
        <v>53</v>
      </c>
      <c r="Q775" s="2">
        <v>4</v>
      </c>
      <c r="R775" s="2" t="s">
        <v>41</v>
      </c>
      <c r="S775" s="2">
        <v>8858</v>
      </c>
      <c r="T775" s="2">
        <v>15669</v>
      </c>
      <c r="U775" s="2">
        <v>0</v>
      </c>
      <c r="V775" s="2" t="s">
        <v>42</v>
      </c>
      <c r="W775" s="2" t="s">
        <v>43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</row>
    <row r="776" spans="1:35" x14ac:dyDescent="0.25">
      <c r="A776" s="2">
        <v>55</v>
      </c>
      <c r="B776" s="2" t="s">
        <v>43</v>
      </c>
      <c r="C776" s="2" t="s">
        <v>55</v>
      </c>
      <c r="D776" s="2">
        <v>444</v>
      </c>
      <c r="E776" s="2" t="s">
        <v>45</v>
      </c>
      <c r="F776" s="2">
        <v>2</v>
      </c>
      <c r="G776" s="2">
        <v>1</v>
      </c>
      <c r="H776" s="2" t="s">
        <v>51</v>
      </c>
      <c r="I776" s="2">
        <v>1</v>
      </c>
      <c r="J776" s="2">
        <v>1074</v>
      </c>
      <c r="K776" s="2">
        <v>3</v>
      </c>
      <c r="L776" s="2" t="s">
        <v>46</v>
      </c>
      <c r="M776" s="2">
        <v>40</v>
      </c>
      <c r="N776" s="2">
        <v>2</v>
      </c>
      <c r="O776" s="2">
        <v>4</v>
      </c>
      <c r="P776" s="2" t="s">
        <v>56</v>
      </c>
      <c r="Q776" s="2">
        <v>1</v>
      </c>
      <c r="R776" s="2" t="s">
        <v>41</v>
      </c>
      <c r="S776" s="2">
        <v>16756</v>
      </c>
      <c r="T776" s="2">
        <v>17323</v>
      </c>
      <c r="U776" s="2">
        <v>7</v>
      </c>
      <c r="V776" s="2" t="s">
        <v>42</v>
      </c>
      <c r="W776" s="2" t="s">
        <v>43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</row>
    <row r="777" spans="1:35" x14ac:dyDescent="0.25">
      <c r="A777" s="2">
        <v>43</v>
      </c>
      <c r="B777" s="2" t="s">
        <v>43</v>
      </c>
      <c r="C777" s="2" t="s">
        <v>36</v>
      </c>
      <c r="D777" s="2">
        <v>415</v>
      </c>
      <c r="E777" s="2" t="s">
        <v>37</v>
      </c>
      <c r="F777" s="2">
        <v>25</v>
      </c>
      <c r="G777" s="2">
        <v>3</v>
      </c>
      <c r="H777" s="2" t="s">
        <v>51</v>
      </c>
      <c r="I777" s="2">
        <v>1</v>
      </c>
      <c r="J777" s="2">
        <v>1076</v>
      </c>
      <c r="K777" s="2">
        <v>3</v>
      </c>
      <c r="L777" s="2" t="s">
        <v>46</v>
      </c>
      <c r="M777" s="2">
        <v>79</v>
      </c>
      <c r="N777" s="2">
        <v>2</v>
      </c>
      <c r="O777" s="2">
        <v>3</v>
      </c>
      <c r="P777" s="2" t="s">
        <v>40</v>
      </c>
      <c r="Q777" s="2">
        <v>4</v>
      </c>
      <c r="R777" s="2" t="s">
        <v>52</v>
      </c>
      <c r="S777" s="2">
        <v>10798</v>
      </c>
      <c r="T777" s="2">
        <v>5268</v>
      </c>
      <c r="U777" s="2">
        <v>5</v>
      </c>
      <c r="V777" s="2" t="s">
        <v>42</v>
      </c>
      <c r="W777" s="2" t="s">
        <v>43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</row>
    <row r="778" spans="1:35" x14ac:dyDescent="0.25">
      <c r="A778" s="2">
        <v>20</v>
      </c>
      <c r="B778" s="2" t="s">
        <v>35</v>
      </c>
      <c r="C778" s="2" t="s">
        <v>44</v>
      </c>
      <c r="D778" s="2">
        <v>769</v>
      </c>
      <c r="E778" s="2" t="s">
        <v>37</v>
      </c>
      <c r="F778" s="2">
        <v>9</v>
      </c>
      <c r="G778" s="2">
        <v>3</v>
      </c>
      <c r="H778" s="2" t="s">
        <v>59</v>
      </c>
      <c r="I778" s="2">
        <v>1</v>
      </c>
      <c r="J778" s="2">
        <v>1077</v>
      </c>
      <c r="K778" s="2">
        <v>4</v>
      </c>
      <c r="L778" s="2" t="s">
        <v>39</v>
      </c>
      <c r="M778" s="2">
        <v>54</v>
      </c>
      <c r="N778" s="2">
        <v>3</v>
      </c>
      <c r="O778" s="2">
        <v>1</v>
      </c>
      <c r="P778" s="2" t="s">
        <v>57</v>
      </c>
      <c r="Q778" s="2">
        <v>4</v>
      </c>
      <c r="R778" s="2" t="s">
        <v>41</v>
      </c>
      <c r="S778" s="2">
        <v>2323</v>
      </c>
      <c r="T778" s="2">
        <v>17205</v>
      </c>
      <c r="U778" s="2">
        <v>1</v>
      </c>
      <c r="V778" s="2" t="s">
        <v>42</v>
      </c>
      <c r="W778" s="2" t="s">
        <v>35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</row>
    <row r="779" spans="1:35" x14ac:dyDescent="0.25">
      <c r="A779" s="2">
        <v>21</v>
      </c>
      <c r="B779" s="2" t="s">
        <v>35</v>
      </c>
      <c r="C779" s="2" t="s">
        <v>36</v>
      </c>
      <c r="D779" s="2">
        <v>1334</v>
      </c>
      <c r="E779" s="2" t="s">
        <v>45</v>
      </c>
      <c r="F779" s="2">
        <v>10</v>
      </c>
      <c r="G779" s="2">
        <v>3</v>
      </c>
      <c r="H779" s="2" t="s">
        <v>38</v>
      </c>
      <c r="I779" s="2">
        <v>1</v>
      </c>
      <c r="J779" s="2">
        <v>1079</v>
      </c>
      <c r="K779" s="2">
        <v>3</v>
      </c>
      <c r="L779" s="2" t="s">
        <v>39</v>
      </c>
      <c r="M779" s="2">
        <v>36</v>
      </c>
      <c r="N779" s="2">
        <v>2</v>
      </c>
      <c r="O779" s="2">
        <v>1</v>
      </c>
      <c r="P779" s="2" t="s">
        <v>50</v>
      </c>
      <c r="Q779" s="2">
        <v>1</v>
      </c>
      <c r="R779" s="2" t="s">
        <v>41</v>
      </c>
      <c r="S779" s="2">
        <v>1416</v>
      </c>
      <c r="T779" s="2">
        <v>17258</v>
      </c>
      <c r="U779" s="2">
        <v>1</v>
      </c>
      <c r="V779" s="2" t="s">
        <v>42</v>
      </c>
      <c r="W779" s="2" t="s">
        <v>43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</row>
    <row r="780" spans="1:35" x14ac:dyDescent="0.25">
      <c r="A780" s="2">
        <v>46</v>
      </c>
      <c r="B780" s="2" t="s">
        <v>43</v>
      </c>
      <c r="C780" s="2" t="s">
        <v>36</v>
      </c>
      <c r="D780" s="2">
        <v>1003</v>
      </c>
      <c r="E780" s="2" t="s">
        <v>45</v>
      </c>
      <c r="F780" s="2">
        <v>8</v>
      </c>
      <c r="G780" s="2">
        <v>4</v>
      </c>
      <c r="H780" s="2" t="s">
        <v>38</v>
      </c>
      <c r="I780" s="2">
        <v>1</v>
      </c>
      <c r="J780" s="2">
        <v>1080</v>
      </c>
      <c r="K780" s="2">
        <v>4</v>
      </c>
      <c r="L780" s="2" t="s">
        <v>39</v>
      </c>
      <c r="M780" s="2">
        <v>74</v>
      </c>
      <c r="N780" s="2">
        <v>2</v>
      </c>
      <c r="O780" s="2">
        <v>2</v>
      </c>
      <c r="P780" s="2" t="s">
        <v>47</v>
      </c>
      <c r="Q780" s="2">
        <v>1</v>
      </c>
      <c r="R780" s="2" t="s">
        <v>52</v>
      </c>
      <c r="S780" s="2">
        <v>4615</v>
      </c>
      <c r="T780" s="2">
        <v>21029</v>
      </c>
      <c r="U780" s="2">
        <v>8</v>
      </c>
      <c r="V780" s="2" t="s">
        <v>42</v>
      </c>
      <c r="W780" s="2" t="s">
        <v>35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</row>
    <row r="781" spans="1:35" x14ac:dyDescent="0.25">
      <c r="A781" s="2">
        <v>51</v>
      </c>
      <c r="B781" s="2" t="s">
        <v>35</v>
      </c>
      <c r="C781" s="2" t="s">
        <v>36</v>
      </c>
      <c r="D781" s="2">
        <v>1323</v>
      </c>
      <c r="E781" s="2" t="s">
        <v>45</v>
      </c>
      <c r="F781" s="2">
        <v>4</v>
      </c>
      <c r="G781" s="2">
        <v>4</v>
      </c>
      <c r="H781" s="2" t="s">
        <v>38</v>
      </c>
      <c r="I781" s="2">
        <v>1</v>
      </c>
      <c r="J781" s="2">
        <v>1081</v>
      </c>
      <c r="K781" s="2">
        <v>1</v>
      </c>
      <c r="L781" s="2" t="s">
        <v>46</v>
      </c>
      <c r="M781" s="2">
        <v>34</v>
      </c>
      <c r="N781" s="2">
        <v>3</v>
      </c>
      <c r="O781" s="2">
        <v>1</v>
      </c>
      <c r="P781" s="2" t="s">
        <v>47</v>
      </c>
      <c r="Q781" s="2">
        <v>3</v>
      </c>
      <c r="R781" s="2" t="s">
        <v>48</v>
      </c>
      <c r="S781" s="2">
        <v>2461</v>
      </c>
      <c r="T781" s="2">
        <v>10332</v>
      </c>
      <c r="U781" s="2">
        <v>9</v>
      </c>
      <c r="V781" s="2" t="s">
        <v>42</v>
      </c>
      <c r="W781" s="2" t="s">
        <v>35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</row>
    <row r="782" spans="1:35" x14ac:dyDescent="0.25">
      <c r="A782" s="2">
        <v>28</v>
      </c>
      <c r="B782" s="2" t="s">
        <v>35</v>
      </c>
      <c r="C782" s="2" t="s">
        <v>55</v>
      </c>
      <c r="D782" s="2">
        <v>1366</v>
      </c>
      <c r="E782" s="2" t="s">
        <v>45</v>
      </c>
      <c r="F782" s="2">
        <v>24</v>
      </c>
      <c r="G782" s="2">
        <v>2</v>
      </c>
      <c r="H782" s="2" t="s">
        <v>60</v>
      </c>
      <c r="I782" s="2">
        <v>1</v>
      </c>
      <c r="J782" s="2">
        <v>1082</v>
      </c>
      <c r="K782" s="2">
        <v>2</v>
      </c>
      <c r="L782" s="2" t="s">
        <v>46</v>
      </c>
      <c r="M782" s="2">
        <v>72</v>
      </c>
      <c r="N782" s="2">
        <v>2</v>
      </c>
      <c r="O782" s="2">
        <v>3</v>
      </c>
      <c r="P782" s="2" t="s">
        <v>54</v>
      </c>
      <c r="Q782" s="2">
        <v>1</v>
      </c>
      <c r="R782" s="2" t="s">
        <v>41</v>
      </c>
      <c r="S782" s="2">
        <v>8722</v>
      </c>
      <c r="T782" s="2">
        <v>12355</v>
      </c>
      <c r="U782" s="2">
        <v>1</v>
      </c>
      <c r="V782" s="2" t="s">
        <v>42</v>
      </c>
      <c r="W782" s="2" t="s">
        <v>43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</row>
    <row r="783" spans="1:35" x14ac:dyDescent="0.25">
      <c r="A783" s="2">
        <v>26</v>
      </c>
      <c r="B783" s="2" t="s">
        <v>43</v>
      </c>
      <c r="C783" s="2" t="s">
        <v>36</v>
      </c>
      <c r="D783" s="2">
        <v>192</v>
      </c>
      <c r="E783" s="2" t="s">
        <v>45</v>
      </c>
      <c r="F783" s="2">
        <v>1</v>
      </c>
      <c r="G783" s="2">
        <v>2</v>
      </c>
      <c r="H783" s="2" t="s">
        <v>51</v>
      </c>
      <c r="I783" s="2">
        <v>1</v>
      </c>
      <c r="J783" s="2">
        <v>1083</v>
      </c>
      <c r="K783" s="2">
        <v>1</v>
      </c>
      <c r="L783" s="2" t="s">
        <v>46</v>
      </c>
      <c r="M783" s="2">
        <v>59</v>
      </c>
      <c r="N783" s="2">
        <v>2</v>
      </c>
      <c r="O783" s="2">
        <v>1</v>
      </c>
      <c r="P783" s="2" t="s">
        <v>50</v>
      </c>
      <c r="Q783" s="2">
        <v>1</v>
      </c>
      <c r="R783" s="2" t="s">
        <v>48</v>
      </c>
      <c r="S783" s="2">
        <v>3955</v>
      </c>
      <c r="T783" s="2">
        <v>11141</v>
      </c>
      <c r="U783" s="2">
        <v>1</v>
      </c>
      <c r="V783" s="2" t="s">
        <v>42</v>
      </c>
      <c r="W783" s="2" t="s">
        <v>43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</row>
    <row r="784" spans="1:35" x14ac:dyDescent="0.25">
      <c r="A784" s="2">
        <v>30</v>
      </c>
      <c r="B784" s="2" t="s">
        <v>43</v>
      </c>
      <c r="C784" s="2" t="s">
        <v>36</v>
      </c>
      <c r="D784" s="2">
        <v>1176</v>
      </c>
      <c r="E784" s="2" t="s">
        <v>45</v>
      </c>
      <c r="F784" s="2">
        <v>20</v>
      </c>
      <c r="G784" s="2">
        <v>3</v>
      </c>
      <c r="H784" s="2" t="s">
        <v>49</v>
      </c>
      <c r="I784" s="2">
        <v>1</v>
      </c>
      <c r="J784" s="2">
        <v>1084</v>
      </c>
      <c r="K784" s="2">
        <v>3</v>
      </c>
      <c r="L784" s="2" t="s">
        <v>46</v>
      </c>
      <c r="M784" s="2">
        <v>85</v>
      </c>
      <c r="N784" s="2">
        <v>3</v>
      </c>
      <c r="O784" s="2">
        <v>2</v>
      </c>
      <c r="P784" s="2" t="s">
        <v>53</v>
      </c>
      <c r="Q784" s="2">
        <v>1</v>
      </c>
      <c r="R784" s="2" t="s">
        <v>48</v>
      </c>
      <c r="S784" s="2">
        <v>9957</v>
      </c>
      <c r="T784" s="2">
        <v>9096</v>
      </c>
      <c r="U784" s="2">
        <v>0</v>
      </c>
      <c r="V784" s="2" t="s">
        <v>42</v>
      </c>
      <c r="W784" s="2" t="s">
        <v>43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</row>
    <row r="785" spans="1:35" x14ac:dyDescent="0.25">
      <c r="A785" s="2">
        <v>41</v>
      </c>
      <c r="B785" s="2" t="s">
        <v>43</v>
      </c>
      <c r="C785" s="2" t="s">
        <v>36</v>
      </c>
      <c r="D785" s="2">
        <v>509</v>
      </c>
      <c r="E785" s="2" t="s">
        <v>45</v>
      </c>
      <c r="F785" s="2">
        <v>7</v>
      </c>
      <c r="G785" s="2">
        <v>2</v>
      </c>
      <c r="H785" s="2" t="s">
        <v>60</v>
      </c>
      <c r="I785" s="2">
        <v>1</v>
      </c>
      <c r="J785" s="2">
        <v>1085</v>
      </c>
      <c r="K785" s="2">
        <v>2</v>
      </c>
      <c r="L785" s="2" t="s">
        <v>39</v>
      </c>
      <c r="M785" s="2">
        <v>43</v>
      </c>
      <c r="N785" s="2">
        <v>4</v>
      </c>
      <c r="O785" s="2">
        <v>1</v>
      </c>
      <c r="P785" s="2" t="s">
        <v>47</v>
      </c>
      <c r="Q785" s="2">
        <v>3</v>
      </c>
      <c r="R785" s="2" t="s">
        <v>48</v>
      </c>
      <c r="S785" s="2">
        <v>3376</v>
      </c>
      <c r="T785" s="2">
        <v>18863</v>
      </c>
      <c r="U785" s="2">
        <v>1</v>
      </c>
      <c r="V785" s="2" t="s">
        <v>42</v>
      </c>
      <c r="W785" s="2" t="s">
        <v>43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</row>
    <row r="786" spans="1:35" x14ac:dyDescent="0.25">
      <c r="A786" s="2">
        <v>38</v>
      </c>
      <c r="B786" s="2" t="s">
        <v>43</v>
      </c>
      <c r="C786" s="2" t="s">
        <v>36</v>
      </c>
      <c r="D786" s="2">
        <v>330</v>
      </c>
      <c r="E786" s="2" t="s">
        <v>45</v>
      </c>
      <c r="F786" s="2">
        <v>17</v>
      </c>
      <c r="G786" s="2">
        <v>1</v>
      </c>
      <c r="H786" s="2" t="s">
        <v>38</v>
      </c>
      <c r="I786" s="2">
        <v>1</v>
      </c>
      <c r="J786" s="2">
        <v>1088</v>
      </c>
      <c r="K786" s="2">
        <v>3</v>
      </c>
      <c r="L786" s="2" t="s">
        <v>39</v>
      </c>
      <c r="M786" s="2">
        <v>65</v>
      </c>
      <c r="N786" s="2">
        <v>2</v>
      </c>
      <c r="O786" s="2">
        <v>3</v>
      </c>
      <c r="P786" s="2" t="s">
        <v>54</v>
      </c>
      <c r="Q786" s="2">
        <v>3</v>
      </c>
      <c r="R786" s="2" t="s">
        <v>48</v>
      </c>
      <c r="S786" s="2">
        <v>8823</v>
      </c>
      <c r="T786" s="2">
        <v>24608</v>
      </c>
      <c r="U786" s="2">
        <v>0</v>
      </c>
      <c r="V786" s="2" t="s">
        <v>42</v>
      </c>
      <c r="W786" s="2" t="s">
        <v>43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</row>
    <row r="787" spans="1:35" x14ac:dyDescent="0.25">
      <c r="A787" s="2">
        <v>40</v>
      </c>
      <c r="B787" s="2" t="s">
        <v>43</v>
      </c>
      <c r="C787" s="2" t="s">
        <v>36</v>
      </c>
      <c r="D787" s="2">
        <v>1492</v>
      </c>
      <c r="E787" s="2" t="s">
        <v>45</v>
      </c>
      <c r="F787" s="2">
        <v>20</v>
      </c>
      <c r="G787" s="2">
        <v>4</v>
      </c>
      <c r="H787" s="2" t="s">
        <v>60</v>
      </c>
      <c r="I787" s="2">
        <v>1</v>
      </c>
      <c r="J787" s="2">
        <v>1092</v>
      </c>
      <c r="K787" s="2">
        <v>1</v>
      </c>
      <c r="L787" s="2" t="s">
        <v>46</v>
      </c>
      <c r="M787" s="2">
        <v>61</v>
      </c>
      <c r="N787" s="2">
        <v>3</v>
      </c>
      <c r="O787" s="2">
        <v>3</v>
      </c>
      <c r="P787" s="2" t="s">
        <v>54</v>
      </c>
      <c r="Q787" s="2">
        <v>4</v>
      </c>
      <c r="R787" s="2" t="s">
        <v>48</v>
      </c>
      <c r="S787" s="2">
        <v>10322</v>
      </c>
      <c r="T787" s="2">
        <v>26542</v>
      </c>
      <c r="U787" s="2">
        <v>4</v>
      </c>
      <c r="V787" s="2" t="s">
        <v>42</v>
      </c>
      <c r="W787" s="2" t="s">
        <v>43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</row>
    <row r="788" spans="1:35" x14ac:dyDescent="0.25">
      <c r="A788" s="2">
        <v>27</v>
      </c>
      <c r="B788" s="2" t="s">
        <v>43</v>
      </c>
      <c r="C788" s="2" t="s">
        <v>55</v>
      </c>
      <c r="D788" s="2">
        <v>1277</v>
      </c>
      <c r="E788" s="2" t="s">
        <v>45</v>
      </c>
      <c r="F788" s="2">
        <v>8</v>
      </c>
      <c r="G788" s="2">
        <v>5</v>
      </c>
      <c r="H788" s="2" t="s">
        <v>38</v>
      </c>
      <c r="I788" s="2">
        <v>1</v>
      </c>
      <c r="J788" s="2">
        <v>1094</v>
      </c>
      <c r="K788" s="2">
        <v>1</v>
      </c>
      <c r="L788" s="2" t="s">
        <v>46</v>
      </c>
      <c r="M788" s="2">
        <v>87</v>
      </c>
      <c r="N788" s="2">
        <v>1</v>
      </c>
      <c r="O788" s="2">
        <v>1</v>
      </c>
      <c r="P788" s="2" t="s">
        <v>50</v>
      </c>
      <c r="Q788" s="2">
        <v>3</v>
      </c>
      <c r="R788" s="2" t="s">
        <v>48</v>
      </c>
      <c r="S788" s="2">
        <v>4621</v>
      </c>
      <c r="T788" s="2">
        <v>5869</v>
      </c>
      <c r="U788" s="2">
        <v>1</v>
      </c>
      <c r="V788" s="2" t="s">
        <v>42</v>
      </c>
      <c r="W788" s="2" t="s">
        <v>43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</row>
    <row r="789" spans="1:35" x14ac:dyDescent="0.25">
      <c r="A789" s="2">
        <v>55</v>
      </c>
      <c r="B789" s="2" t="s">
        <v>43</v>
      </c>
      <c r="C789" s="2" t="s">
        <v>44</v>
      </c>
      <c r="D789" s="2">
        <v>1091</v>
      </c>
      <c r="E789" s="2" t="s">
        <v>45</v>
      </c>
      <c r="F789" s="2">
        <v>2</v>
      </c>
      <c r="G789" s="2">
        <v>1</v>
      </c>
      <c r="H789" s="2" t="s">
        <v>38</v>
      </c>
      <c r="I789" s="2">
        <v>1</v>
      </c>
      <c r="J789" s="2">
        <v>1096</v>
      </c>
      <c r="K789" s="2">
        <v>4</v>
      </c>
      <c r="L789" s="2" t="s">
        <v>46</v>
      </c>
      <c r="M789" s="2">
        <v>65</v>
      </c>
      <c r="N789" s="2">
        <v>3</v>
      </c>
      <c r="O789" s="2">
        <v>3</v>
      </c>
      <c r="P789" s="2" t="s">
        <v>53</v>
      </c>
      <c r="Q789" s="2">
        <v>2</v>
      </c>
      <c r="R789" s="2" t="s">
        <v>48</v>
      </c>
      <c r="S789" s="2">
        <v>10976</v>
      </c>
      <c r="T789" s="2">
        <v>15813</v>
      </c>
      <c r="U789" s="2">
        <v>3</v>
      </c>
      <c r="V789" s="2" t="s">
        <v>42</v>
      </c>
      <c r="W789" s="2" t="s">
        <v>43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</row>
    <row r="790" spans="1:35" x14ac:dyDescent="0.25">
      <c r="A790" s="2">
        <v>28</v>
      </c>
      <c r="B790" s="2" t="s">
        <v>43</v>
      </c>
      <c r="C790" s="2" t="s">
        <v>36</v>
      </c>
      <c r="D790" s="2">
        <v>857</v>
      </c>
      <c r="E790" s="2" t="s">
        <v>45</v>
      </c>
      <c r="F790" s="2">
        <v>10</v>
      </c>
      <c r="G790" s="2">
        <v>3</v>
      </c>
      <c r="H790" s="2" t="s">
        <v>49</v>
      </c>
      <c r="I790" s="2">
        <v>1</v>
      </c>
      <c r="J790" s="2">
        <v>1097</v>
      </c>
      <c r="K790" s="2">
        <v>3</v>
      </c>
      <c r="L790" s="2" t="s">
        <v>39</v>
      </c>
      <c r="M790" s="2">
        <v>59</v>
      </c>
      <c r="N790" s="2">
        <v>3</v>
      </c>
      <c r="O790" s="2">
        <v>2</v>
      </c>
      <c r="P790" s="2" t="s">
        <v>47</v>
      </c>
      <c r="Q790" s="2">
        <v>3</v>
      </c>
      <c r="R790" s="2" t="s">
        <v>41</v>
      </c>
      <c r="S790" s="2">
        <v>3660</v>
      </c>
      <c r="T790" s="2">
        <v>7909</v>
      </c>
      <c r="U790" s="2">
        <v>3</v>
      </c>
      <c r="V790" s="2" t="s">
        <v>42</v>
      </c>
      <c r="W790" s="2" t="s">
        <v>43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</row>
    <row r="791" spans="1:35" x14ac:dyDescent="0.25">
      <c r="A791" s="2">
        <v>44</v>
      </c>
      <c r="B791" s="2" t="s">
        <v>35</v>
      </c>
      <c r="C791" s="2" t="s">
        <v>36</v>
      </c>
      <c r="D791" s="2">
        <v>1376</v>
      </c>
      <c r="E791" s="2" t="s">
        <v>61</v>
      </c>
      <c r="F791" s="2">
        <v>1</v>
      </c>
      <c r="G791" s="2">
        <v>2</v>
      </c>
      <c r="H791" s="2" t="s">
        <v>51</v>
      </c>
      <c r="I791" s="2">
        <v>1</v>
      </c>
      <c r="J791" s="2">
        <v>1098</v>
      </c>
      <c r="K791" s="2">
        <v>2</v>
      </c>
      <c r="L791" s="2" t="s">
        <v>46</v>
      </c>
      <c r="M791" s="2">
        <v>91</v>
      </c>
      <c r="N791" s="2">
        <v>2</v>
      </c>
      <c r="O791" s="2">
        <v>3</v>
      </c>
      <c r="P791" s="2" t="s">
        <v>61</v>
      </c>
      <c r="Q791" s="2">
        <v>1</v>
      </c>
      <c r="R791" s="2" t="s">
        <v>48</v>
      </c>
      <c r="S791" s="2">
        <v>10482</v>
      </c>
      <c r="T791" s="2">
        <v>2326</v>
      </c>
      <c r="U791" s="2">
        <v>9</v>
      </c>
      <c r="V791" s="2" t="s">
        <v>42</v>
      </c>
      <c r="W791" s="2" t="s">
        <v>43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</row>
    <row r="792" spans="1:35" x14ac:dyDescent="0.25">
      <c r="A792" s="2">
        <v>33</v>
      </c>
      <c r="B792" s="2" t="s">
        <v>43</v>
      </c>
      <c r="C792" s="2" t="s">
        <v>36</v>
      </c>
      <c r="D792" s="2">
        <v>654</v>
      </c>
      <c r="E792" s="2" t="s">
        <v>45</v>
      </c>
      <c r="F792" s="2">
        <v>5</v>
      </c>
      <c r="G792" s="2">
        <v>3</v>
      </c>
      <c r="H792" s="2" t="s">
        <v>38</v>
      </c>
      <c r="I792" s="2">
        <v>1</v>
      </c>
      <c r="J792" s="2">
        <v>1099</v>
      </c>
      <c r="K792" s="2">
        <v>4</v>
      </c>
      <c r="L792" s="2" t="s">
        <v>46</v>
      </c>
      <c r="M792" s="2">
        <v>34</v>
      </c>
      <c r="N792" s="2">
        <v>2</v>
      </c>
      <c r="O792" s="2">
        <v>3</v>
      </c>
      <c r="P792" s="2" t="s">
        <v>54</v>
      </c>
      <c r="Q792" s="2">
        <v>4</v>
      </c>
      <c r="R792" s="2" t="s">
        <v>52</v>
      </c>
      <c r="S792" s="2">
        <v>7119</v>
      </c>
      <c r="T792" s="2">
        <v>21214</v>
      </c>
      <c r="U792" s="2">
        <v>4</v>
      </c>
      <c r="V792" s="2" t="s">
        <v>42</v>
      </c>
      <c r="W792" s="2" t="s">
        <v>43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</row>
    <row r="793" spans="1:35" x14ac:dyDescent="0.25">
      <c r="A793" s="2">
        <v>35</v>
      </c>
      <c r="B793" s="2" t="s">
        <v>35</v>
      </c>
      <c r="C793" s="2" t="s">
        <v>36</v>
      </c>
      <c r="D793" s="2">
        <v>1204</v>
      </c>
      <c r="E793" s="2" t="s">
        <v>37</v>
      </c>
      <c r="F793" s="2">
        <v>4</v>
      </c>
      <c r="G793" s="2">
        <v>3</v>
      </c>
      <c r="H793" s="2" t="s">
        <v>60</v>
      </c>
      <c r="I793" s="2">
        <v>1</v>
      </c>
      <c r="J793" s="2">
        <v>1100</v>
      </c>
      <c r="K793" s="2">
        <v>4</v>
      </c>
      <c r="L793" s="2" t="s">
        <v>46</v>
      </c>
      <c r="M793" s="2">
        <v>86</v>
      </c>
      <c r="N793" s="2">
        <v>3</v>
      </c>
      <c r="O793" s="2">
        <v>3</v>
      </c>
      <c r="P793" s="2" t="s">
        <v>40</v>
      </c>
      <c r="Q793" s="2">
        <v>1</v>
      </c>
      <c r="R793" s="2" t="s">
        <v>41</v>
      </c>
      <c r="S793" s="2">
        <v>9582</v>
      </c>
      <c r="T793" s="2">
        <v>10333</v>
      </c>
      <c r="U793" s="2">
        <v>0</v>
      </c>
      <c r="V793" s="2" t="s">
        <v>42</v>
      </c>
      <c r="W793" s="2" t="s">
        <v>35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</row>
    <row r="794" spans="1:35" x14ac:dyDescent="0.25">
      <c r="A794" s="2">
        <v>33</v>
      </c>
      <c r="B794" s="2" t="s">
        <v>35</v>
      </c>
      <c r="C794" s="2" t="s">
        <v>44</v>
      </c>
      <c r="D794" s="2">
        <v>827</v>
      </c>
      <c r="E794" s="2" t="s">
        <v>45</v>
      </c>
      <c r="F794" s="2">
        <v>29</v>
      </c>
      <c r="G794" s="2">
        <v>4</v>
      </c>
      <c r="H794" s="2" t="s">
        <v>51</v>
      </c>
      <c r="I794" s="2">
        <v>1</v>
      </c>
      <c r="J794" s="2">
        <v>1101</v>
      </c>
      <c r="K794" s="2">
        <v>1</v>
      </c>
      <c r="L794" s="2" t="s">
        <v>39</v>
      </c>
      <c r="M794" s="2">
        <v>54</v>
      </c>
      <c r="N794" s="2">
        <v>2</v>
      </c>
      <c r="O794" s="2">
        <v>2</v>
      </c>
      <c r="P794" s="2" t="s">
        <v>47</v>
      </c>
      <c r="Q794" s="2">
        <v>3</v>
      </c>
      <c r="R794" s="2" t="s">
        <v>41</v>
      </c>
      <c r="S794" s="2">
        <v>4508</v>
      </c>
      <c r="T794" s="2">
        <v>3129</v>
      </c>
      <c r="U794" s="2">
        <v>1</v>
      </c>
      <c r="V794" s="2" t="s">
        <v>42</v>
      </c>
      <c r="W794" s="2" t="s">
        <v>43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</row>
    <row r="795" spans="1:35" x14ac:dyDescent="0.25">
      <c r="A795" s="2">
        <v>28</v>
      </c>
      <c r="B795" s="2" t="s">
        <v>43</v>
      </c>
      <c r="C795" s="2" t="s">
        <v>36</v>
      </c>
      <c r="D795" s="2">
        <v>895</v>
      </c>
      <c r="E795" s="2" t="s">
        <v>45</v>
      </c>
      <c r="F795" s="2">
        <v>15</v>
      </c>
      <c r="G795" s="2">
        <v>2</v>
      </c>
      <c r="H795" s="2" t="s">
        <v>38</v>
      </c>
      <c r="I795" s="2">
        <v>1</v>
      </c>
      <c r="J795" s="2">
        <v>1102</v>
      </c>
      <c r="K795" s="2">
        <v>1</v>
      </c>
      <c r="L795" s="2" t="s">
        <v>46</v>
      </c>
      <c r="M795" s="2">
        <v>50</v>
      </c>
      <c r="N795" s="2">
        <v>3</v>
      </c>
      <c r="O795" s="2">
        <v>1</v>
      </c>
      <c r="P795" s="2" t="s">
        <v>50</v>
      </c>
      <c r="Q795" s="2">
        <v>3</v>
      </c>
      <c r="R795" s="2" t="s">
        <v>52</v>
      </c>
      <c r="S795" s="2">
        <v>2207</v>
      </c>
      <c r="T795" s="2">
        <v>22482</v>
      </c>
      <c r="U795" s="2">
        <v>1</v>
      </c>
      <c r="V795" s="2" t="s">
        <v>42</v>
      </c>
      <c r="W795" s="2" t="s">
        <v>43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</row>
    <row r="796" spans="1:35" x14ac:dyDescent="0.25">
      <c r="A796" s="2">
        <v>34</v>
      </c>
      <c r="B796" s="2" t="s">
        <v>43</v>
      </c>
      <c r="C796" s="2" t="s">
        <v>44</v>
      </c>
      <c r="D796" s="2">
        <v>618</v>
      </c>
      <c r="E796" s="2" t="s">
        <v>45</v>
      </c>
      <c r="F796" s="2">
        <v>3</v>
      </c>
      <c r="G796" s="2">
        <v>1</v>
      </c>
      <c r="H796" s="2" t="s">
        <v>38</v>
      </c>
      <c r="I796" s="2">
        <v>1</v>
      </c>
      <c r="J796" s="2">
        <v>1103</v>
      </c>
      <c r="K796" s="2">
        <v>1</v>
      </c>
      <c r="L796" s="2" t="s">
        <v>46</v>
      </c>
      <c r="M796" s="2">
        <v>45</v>
      </c>
      <c r="N796" s="2">
        <v>3</v>
      </c>
      <c r="O796" s="2">
        <v>2</v>
      </c>
      <c r="P796" s="2" t="s">
        <v>54</v>
      </c>
      <c r="Q796" s="2">
        <v>4</v>
      </c>
      <c r="R796" s="2" t="s">
        <v>41</v>
      </c>
      <c r="S796" s="2">
        <v>7756</v>
      </c>
      <c r="T796" s="2">
        <v>22266</v>
      </c>
      <c r="U796" s="2">
        <v>0</v>
      </c>
      <c r="V796" s="2" t="s">
        <v>42</v>
      </c>
      <c r="W796" s="2" t="s">
        <v>43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</row>
    <row r="797" spans="1:35" x14ac:dyDescent="0.25">
      <c r="A797" s="2">
        <v>37</v>
      </c>
      <c r="B797" s="2" t="s">
        <v>43</v>
      </c>
      <c r="C797" s="2" t="s">
        <v>36</v>
      </c>
      <c r="D797" s="2">
        <v>309</v>
      </c>
      <c r="E797" s="2" t="s">
        <v>37</v>
      </c>
      <c r="F797" s="2">
        <v>10</v>
      </c>
      <c r="G797" s="2">
        <v>4</v>
      </c>
      <c r="H797" s="2" t="s">
        <v>38</v>
      </c>
      <c r="I797" s="2">
        <v>1</v>
      </c>
      <c r="J797" s="2">
        <v>1105</v>
      </c>
      <c r="K797" s="2">
        <v>4</v>
      </c>
      <c r="L797" s="2" t="s">
        <v>39</v>
      </c>
      <c r="M797" s="2">
        <v>88</v>
      </c>
      <c r="N797" s="2">
        <v>2</v>
      </c>
      <c r="O797" s="2">
        <v>2</v>
      </c>
      <c r="P797" s="2" t="s">
        <v>40</v>
      </c>
      <c r="Q797" s="2">
        <v>4</v>
      </c>
      <c r="R797" s="2" t="s">
        <v>52</v>
      </c>
      <c r="S797" s="2">
        <v>6694</v>
      </c>
      <c r="T797" s="2">
        <v>24223</v>
      </c>
      <c r="U797" s="2">
        <v>2</v>
      </c>
      <c r="V797" s="2" t="s">
        <v>42</v>
      </c>
      <c r="W797" s="2" t="s">
        <v>35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</row>
    <row r="798" spans="1:35" x14ac:dyDescent="0.25">
      <c r="A798" s="2">
        <v>25</v>
      </c>
      <c r="B798" s="2" t="s">
        <v>35</v>
      </c>
      <c r="C798" s="2" t="s">
        <v>36</v>
      </c>
      <c r="D798" s="2">
        <v>1219</v>
      </c>
      <c r="E798" s="2" t="s">
        <v>45</v>
      </c>
      <c r="F798" s="2">
        <v>4</v>
      </c>
      <c r="G798" s="2">
        <v>1</v>
      </c>
      <c r="H798" s="2" t="s">
        <v>60</v>
      </c>
      <c r="I798" s="2">
        <v>1</v>
      </c>
      <c r="J798" s="2">
        <v>1106</v>
      </c>
      <c r="K798" s="2">
        <v>4</v>
      </c>
      <c r="L798" s="2" t="s">
        <v>46</v>
      </c>
      <c r="M798" s="2">
        <v>32</v>
      </c>
      <c r="N798" s="2">
        <v>3</v>
      </c>
      <c r="O798" s="2">
        <v>1</v>
      </c>
      <c r="P798" s="2" t="s">
        <v>50</v>
      </c>
      <c r="Q798" s="2">
        <v>4</v>
      </c>
      <c r="R798" s="2" t="s">
        <v>48</v>
      </c>
      <c r="S798" s="2">
        <v>3691</v>
      </c>
      <c r="T798" s="2">
        <v>4605</v>
      </c>
      <c r="U798" s="2">
        <v>1</v>
      </c>
      <c r="V798" s="2" t="s">
        <v>42</v>
      </c>
      <c r="W798" s="2" t="s">
        <v>35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</row>
    <row r="799" spans="1:35" x14ac:dyDescent="0.25">
      <c r="A799" s="2">
        <v>26</v>
      </c>
      <c r="B799" s="2" t="s">
        <v>35</v>
      </c>
      <c r="C799" s="2" t="s">
        <v>36</v>
      </c>
      <c r="D799" s="2">
        <v>1330</v>
      </c>
      <c r="E799" s="2" t="s">
        <v>45</v>
      </c>
      <c r="F799" s="2">
        <v>21</v>
      </c>
      <c r="G799" s="2">
        <v>3</v>
      </c>
      <c r="H799" s="2" t="s">
        <v>51</v>
      </c>
      <c r="I799" s="2">
        <v>1</v>
      </c>
      <c r="J799" s="2">
        <v>1107</v>
      </c>
      <c r="K799" s="2">
        <v>1</v>
      </c>
      <c r="L799" s="2" t="s">
        <v>46</v>
      </c>
      <c r="M799" s="2">
        <v>37</v>
      </c>
      <c r="N799" s="2">
        <v>3</v>
      </c>
      <c r="O799" s="2">
        <v>1</v>
      </c>
      <c r="P799" s="2" t="s">
        <v>50</v>
      </c>
      <c r="Q799" s="2">
        <v>3</v>
      </c>
      <c r="R799" s="2" t="s">
        <v>52</v>
      </c>
      <c r="S799" s="2">
        <v>2377</v>
      </c>
      <c r="T799" s="2">
        <v>19373</v>
      </c>
      <c r="U799" s="2">
        <v>1</v>
      </c>
      <c r="V799" s="2" t="s">
        <v>42</v>
      </c>
      <c r="W799" s="2" t="s">
        <v>43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</row>
    <row r="800" spans="1:35" x14ac:dyDescent="0.25">
      <c r="A800" s="2">
        <v>33</v>
      </c>
      <c r="B800" s="2" t="s">
        <v>35</v>
      </c>
      <c r="C800" s="2" t="s">
        <v>36</v>
      </c>
      <c r="D800" s="2">
        <v>1017</v>
      </c>
      <c r="E800" s="2" t="s">
        <v>45</v>
      </c>
      <c r="F800" s="2">
        <v>25</v>
      </c>
      <c r="G800" s="2">
        <v>3</v>
      </c>
      <c r="H800" s="2" t="s">
        <v>51</v>
      </c>
      <c r="I800" s="2">
        <v>1</v>
      </c>
      <c r="J800" s="2">
        <v>1108</v>
      </c>
      <c r="K800" s="2">
        <v>1</v>
      </c>
      <c r="L800" s="2" t="s">
        <v>46</v>
      </c>
      <c r="M800" s="2">
        <v>55</v>
      </c>
      <c r="N800" s="2">
        <v>2</v>
      </c>
      <c r="O800" s="2">
        <v>1</v>
      </c>
      <c r="P800" s="2" t="s">
        <v>47</v>
      </c>
      <c r="Q800" s="2">
        <v>2</v>
      </c>
      <c r="R800" s="2" t="s">
        <v>41</v>
      </c>
      <c r="S800" s="2">
        <v>2313</v>
      </c>
      <c r="T800" s="2">
        <v>2993</v>
      </c>
      <c r="U800" s="2">
        <v>4</v>
      </c>
      <c r="V800" s="2" t="s">
        <v>42</v>
      </c>
      <c r="W800" s="2" t="s">
        <v>35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</row>
    <row r="801" spans="1:35" x14ac:dyDescent="0.25">
      <c r="A801" s="2">
        <v>42</v>
      </c>
      <c r="B801" s="2" t="s">
        <v>43</v>
      </c>
      <c r="C801" s="2" t="s">
        <v>36</v>
      </c>
      <c r="D801" s="2">
        <v>469</v>
      </c>
      <c r="E801" s="2" t="s">
        <v>45</v>
      </c>
      <c r="F801" s="2">
        <v>2</v>
      </c>
      <c r="G801" s="2">
        <v>2</v>
      </c>
      <c r="H801" s="2" t="s">
        <v>51</v>
      </c>
      <c r="I801" s="2">
        <v>1</v>
      </c>
      <c r="J801" s="2">
        <v>1109</v>
      </c>
      <c r="K801" s="2">
        <v>4</v>
      </c>
      <c r="L801" s="2" t="s">
        <v>46</v>
      </c>
      <c r="M801" s="2">
        <v>35</v>
      </c>
      <c r="N801" s="2">
        <v>3</v>
      </c>
      <c r="O801" s="2">
        <v>4</v>
      </c>
      <c r="P801" s="2" t="s">
        <v>56</v>
      </c>
      <c r="Q801" s="2">
        <v>1</v>
      </c>
      <c r="R801" s="2" t="s">
        <v>48</v>
      </c>
      <c r="S801" s="2">
        <v>17665</v>
      </c>
      <c r="T801" s="2">
        <v>14399</v>
      </c>
      <c r="U801" s="2">
        <v>0</v>
      </c>
      <c r="V801" s="2" t="s">
        <v>42</v>
      </c>
      <c r="W801" s="2" t="s">
        <v>43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</row>
    <row r="802" spans="1:35" x14ac:dyDescent="0.25">
      <c r="A802" s="2">
        <v>28</v>
      </c>
      <c r="B802" s="2" t="s">
        <v>35</v>
      </c>
      <c r="C802" s="2" t="s">
        <v>44</v>
      </c>
      <c r="D802" s="2">
        <v>1009</v>
      </c>
      <c r="E802" s="2" t="s">
        <v>45</v>
      </c>
      <c r="F802" s="2">
        <v>1</v>
      </c>
      <c r="G802" s="2">
        <v>3</v>
      </c>
      <c r="H802" s="2" t="s">
        <v>51</v>
      </c>
      <c r="I802" s="2">
        <v>1</v>
      </c>
      <c r="J802" s="2">
        <v>1111</v>
      </c>
      <c r="K802" s="2">
        <v>1</v>
      </c>
      <c r="L802" s="2" t="s">
        <v>46</v>
      </c>
      <c r="M802" s="2">
        <v>45</v>
      </c>
      <c r="N802" s="2">
        <v>2</v>
      </c>
      <c r="O802" s="2">
        <v>1</v>
      </c>
      <c r="P802" s="2" t="s">
        <v>50</v>
      </c>
      <c r="Q802" s="2">
        <v>2</v>
      </c>
      <c r="R802" s="2" t="s">
        <v>52</v>
      </c>
      <c r="S802" s="2">
        <v>2596</v>
      </c>
      <c r="T802" s="2">
        <v>7160</v>
      </c>
      <c r="U802" s="2">
        <v>1</v>
      </c>
      <c r="V802" s="2" t="s">
        <v>42</v>
      </c>
      <c r="W802" s="2" t="s">
        <v>43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</row>
    <row r="803" spans="1:35" x14ac:dyDescent="0.25">
      <c r="A803" s="2">
        <v>50</v>
      </c>
      <c r="B803" s="2" t="s">
        <v>35</v>
      </c>
      <c r="C803" s="2" t="s">
        <v>44</v>
      </c>
      <c r="D803" s="2">
        <v>959</v>
      </c>
      <c r="E803" s="2" t="s">
        <v>37</v>
      </c>
      <c r="F803" s="2">
        <v>1</v>
      </c>
      <c r="G803" s="2">
        <v>4</v>
      </c>
      <c r="H803" s="2" t="s">
        <v>49</v>
      </c>
      <c r="I803" s="2">
        <v>1</v>
      </c>
      <c r="J803" s="2">
        <v>1113</v>
      </c>
      <c r="K803" s="2">
        <v>4</v>
      </c>
      <c r="L803" s="2" t="s">
        <v>46</v>
      </c>
      <c r="M803" s="2">
        <v>81</v>
      </c>
      <c r="N803" s="2">
        <v>3</v>
      </c>
      <c r="O803" s="2">
        <v>2</v>
      </c>
      <c r="P803" s="2" t="s">
        <v>40</v>
      </c>
      <c r="Q803" s="2">
        <v>3</v>
      </c>
      <c r="R803" s="2" t="s">
        <v>41</v>
      </c>
      <c r="S803" s="2">
        <v>4728</v>
      </c>
      <c r="T803" s="2">
        <v>17251</v>
      </c>
      <c r="U803" s="2">
        <v>3</v>
      </c>
      <c r="V803" s="2" t="s">
        <v>42</v>
      </c>
      <c r="W803" s="2" t="s">
        <v>35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</row>
    <row r="804" spans="1:35" x14ac:dyDescent="0.25">
      <c r="A804" s="2">
        <v>33</v>
      </c>
      <c r="B804" s="2" t="s">
        <v>43</v>
      </c>
      <c r="C804" s="2" t="s">
        <v>44</v>
      </c>
      <c r="D804" s="2">
        <v>970</v>
      </c>
      <c r="E804" s="2" t="s">
        <v>37</v>
      </c>
      <c r="F804" s="2">
        <v>7</v>
      </c>
      <c r="G804" s="2">
        <v>3</v>
      </c>
      <c r="H804" s="2" t="s">
        <v>38</v>
      </c>
      <c r="I804" s="2">
        <v>1</v>
      </c>
      <c r="J804" s="2">
        <v>1114</v>
      </c>
      <c r="K804" s="2">
        <v>4</v>
      </c>
      <c r="L804" s="2" t="s">
        <v>39</v>
      </c>
      <c r="M804" s="2">
        <v>30</v>
      </c>
      <c r="N804" s="2">
        <v>3</v>
      </c>
      <c r="O804" s="2">
        <v>2</v>
      </c>
      <c r="P804" s="2" t="s">
        <v>40</v>
      </c>
      <c r="Q804" s="2">
        <v>2</v>
      </c>
      <c r="R804" s="2" t="s">
        <v>48</v>
      </c>
      <c r="S804" s="2">
        <v>4302</v>
      </c>
      <c r="T804" s="2">
        <v>13401</v>
      </c>
      <c r="U804" s="2">
        <v>0</v>
      </c>
      <c r="V804" s="2" t="s">
        <v>42</v>
      </c>
      <c r="W804" s="2" t="s">
        <v>43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</row>
    <row r="805" spans="1:35" x14ac:dyDescent="0.25">
      <c r="A805" s="2">
        <v>34</v>
      </c>
      <c r="B805" s="2" t="s">
        <v>43</v>
      </c>
      <c r="C805" s="2" t="s">
        <v>55</v>
      </c>
      <c r="D805" s="2">
        <v>697</v>
      </c>
      <c r="E805" s="2" t="s">
        <v>45</v>
      </c>
      <c r="F805" s="2">
        <v>3</v>
      </c>
      <c r="G805" s="2">
        <v>4</v>
      </c>
      <c r="H805" s="2" t="s">
        <v>38</v>
      </c>
      <c r="I805" s="2">
        <v>1</v>
      </c>
      <c r="J805" s="2">
        <v>1115</v>
      </c>
      <c r="K805" s="2">
        <v>3</v>
      </c>
      <c r="L805" s="2" t="s">
        <v>46</v>
      </c>
      <c r="M805" s="2">
        <v>40</v>
      </c>
      <c r="N805" s="2">
        <v>2</v>
      </c>
      <c r="O805" s="2">
        <v>1</v>
      </c>
      <c r="P805" s="2" t="s">
        <v>47</v>
      </c>
      <c r="Q805" s="2">
        <v>4</v>
      </c>
      <c r="R805" s="2" t="s">
        <v>48</v>
      </c>
      <c r="S805" s="2">
        <v>2979</v>
      </c>
      <c r="T805" s="2">
        <v>22478</v>
      </c>
      <c r="U805" s="2">
        <v>3</v>
      </c>
      <c r="V805" s="2" t="s">
        <v>42</v>
      </c>
      <c r="W805" s="2" t="s">
        <v>43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</row>
    <row r="806" spans="1:35" x14ac:dyDescent="0.25">
      <c r="A806" s="2">
        <v>48</v>
      </c>
      <c r="B806" s="2" t="s">
        <v>43</v>
      </c>
      <c r="C806" s="2" t="s">
        <v>55</v>
      </c>
      <c r="D806" s="2">
        <v>1262</v>
      </c>
      <c r="E806" s="2" t="s">
        <v>45</v>
      </c>
      <c r="F806" s="2">
        <v>1</v>
      </c>
      <c r="G806" s="2">
        <v>4</v>
      </c>
      <c r="H806" s="2" t="s">
        <v>51</v>
      </c>
      <c r="I806" s="2">
        <v>1</v>
      </c>
      <c r="J806" s="2">
        <v>1116</v>
      </c>
      <c r="K806" s="2">
        <v>1</v>
      </c>
      <c r="L806" s="2" t="s">
        <v>46</v>
      </c>
      <c r="M806" s="2">
        <v>35</v>
      </c>
      <c r="N806" s="2">
        <v>4</v>
      </c>
      <c r="O806" s="2">
        <v>4</v>
      </c>
      <c r="P806" s="2" t="s">
        <v>56</v>
      </c>
      <c r="Q806" s="2">
        <v>4</v>
      </c>
      <c r="R806" s="2" t="s">
        <v>41</v>
      </c>
      <c r="S806" s="2">
        <v>16885</v>
      </c>
      <c r="T806" s="2">
        <v>16154</v>
      </c>
      <c r="U806" s="2">
        <v>2</v>
      </c>
      <c r="V806" s="2" t="s">
        <v>42</v>
      </c>
      <c r="W806" s="2" t="s">
        <v>43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</row>
    <row r="807" spans="1:35" x14ac:dyDescent="0.25">
      <c r="A807" s="2">
        <v>45</v>
      </c>
      <c r="B807" s="2" t="s">
        <v>43</v>
      </c>
      <c r="C807" s="2" t="s">
        <v>55</v>
      </c>
      <c r="D807" s="2">
        <v>1050</v>
      </c>
      <c r="E807" s="2" t="s">
        <v>37</v>
      </c>
      <c r="F807" s="2">
        <v>9</v>
      </c>
      <c r="G807" s="2">
        <v>4</v>
      </c>
      <c r="H807" s="2" t="s">
        <v>38</v>
      </c>
      <c r="I807" s="2">
        <v>1</v>
      </c>
      <c r="J807" s="2">
        <v>1117</v>
      </c>
      <c r="K807" s="2">
        <v>2</v>
      </c>
      <c r="L807" s="2" t="s">
        <v>39</v>
      </c>
      <c r="M807" s="2">
        <v>65</v>
      </c>
      <c r="N807" s="2">
        <v>2</v>
      </c>
      <c r="O807" s="2">
        <v>2</v>
      </c>
      <c r="P807" s="2" t="s">
        <v>40</v>
      </c>
      <c r="Q807" s="2">
        <v>3</v>
      </c>
      <c r="R807" s="2" t="s">
        <v>48</v>
      </c>
      <c r="S807" s="2">
        <v>5593</v>
      </c>
      <c r="T807" s="2">
        <v>17970</v>
      </c>
      <c r="U807" s="2">
        <v>1</v>
      </c>
      <c r="V807" s="2" t="s">
        <v>42</v>
      </c>
      <c r="W807" s="2" t="s">
        <v>43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</row>
    <row r="808" spans="1:35" x14ac:dyDescent="0.25">
      <c r="A808" s="2">
        <v>52</v>
      </c>
      <c r="B808" s="2" t="s">
        <v>43</v>
      </c>
      <c r="C808" s="2" t="s">
        <v>36</v>
      </c>
      <c r="D808" s="2">
        <v>994</v>
      </c>
      <c r="E808" s="2" t="s">
        <v>45</v>
      </c>
      <c r="F808" s="2">
        <v>7</v>
      </c>
      <c r="G808" s="2">
        <v>4</v>
      </c>
      <c r="H808" s="2" t="s">
        <v>38</v>
      </c>
      <c r="I808" s="2">
        <v>1</v>
      </c>
      <c r="J808" s="2">
        <v>1118</v>
      </c>
      <c r="K808" s="2">
        <v>2</v>
      </c>
      <c r="L808" s="2" t="s">
        <v>46</v>
      </c>
      <c r="M808" s="2">
        <v>87</v>
      </c>
      <c r="N808" s="2">
        <v>3</v>
      </c>
      <c r="O808" s="2">
        <v>3</v>
      </c>
      <c r="P808" s="2" t="s">
        <v>54</v>
      </c>
      <c r="Q808" s="2">
        <v>2</v>
      </c>
      <c r="R808" s="2" t="s">
        <v>41</v>
      </c>
      <c r="S808" s="2">
        <v>10445</v>
      </c>
      <c r="T808" s="2">
        <v>15322</v>
      </c>
      <c r="U808" s="2">
        <v>7</v>
      </c>
      <c r="V808" s="2" t="s">
        <v>42</v>
      </c>
      <c r="W808" s="2" t="s">
        <v>43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</row>
    <row r="809" spans="1:35" x14ac:dyDescent="0.25">
      <c r="A809" s="2">
        <v>38</v>
      </c>
      <c r="B809" s="2" t="s">
        <v>43</v>
      </c>
      <c r="C809" s="2" t="s">
        <v>36</v>
      </c>
      <c r="D809" s="2">
        <v>770</v>
      </c>
      <c r="E809" s="2" t="s">
        <v>37</v>
      </c>
      <c r="F809" s="2">
        <v>10</v>
      </c>
      <c r="G809" s="2">
        <v>4</v>
      </c>
      <c r="H809" s="2" t="s">
        <v>59</v>
      </c>
      <c r="I809" s="2">
        <v>1</v>
      </c>
      <c r="J809" s="2">
        <v>1119</v>
      </c>
      <c r="K809" s="2">
        <v>3</v>
      </c>
      <c r="L809" s="2" t="s">
        <v>46</v>
      </c>
      <c r="M809" s="2">
        <v>73</v>
      </c>
      <c r="N809" s="2">
        <v>2</v>
      </c>
      <c r="O809" s="2">
        <v>3</v>
      </c>
      <c r="P809" s="2" t="s">
        <v>40</v>
      </c>
      <c r="Q809" s="2">
        <v>3</v>
      </c>
      <c r="R809" s="2" t="s">
        <v>52</v>
      </c>
      <c r="S809" s="2">
        <v>8740</v>
      </c>
      <c r="T809" s="2">
        <v>5569</v>
      </c>
      <c r="U809" s="2">
        <v>0</v>
      </c>
      <c r="V809" s="2" t="s">
        <v>42</v>
      </c>
      <c r="W809" s="2" t="s">
        <v>35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</row>
    <row r="810" spans="1:35" x14ac:dyDescent="0.25">
      <c r="A810" s="2">
        <v>29</v>
      </c>
      <c r="B810" s="2" t="s">
        <v>43</v>
      </c>
      <c r="C810" s="2" t="s">
        <v>36</v>
      </c>
      <c r="D810" s="2">
        <v>1107</v>
      </c>
      <c r="E810" s="2" t="s">
        <v>45</v>
      </c>
      <c r="F810" s="2">
        <v>28</v>
      </c>
      <c r="G810" s="2">
        <v>4</v>
      </c>
      <c r="H810" s="2" t="s">
        <v>38</v>
      </c>
      <c r="I810" s="2">
        <v>1</v>
      </c>
      <c r="J810" s="2">
        <v>1120</v>
      </c>
      <c r="K810" s="2">
        <v>3</v>
      </c>
      <c r="L810" s="2" t="s">
        <v>39</v>
      </c>
      <c r="M810" s="2">
        <v>93</v>
      </c>
      <c r="N810" s="2">
        <v>3</v>
      </c>
      <c r="O810" s="2">
        <v>1</v>
      </c>
      <c r="P810" s="2" t="s">
        <v>47</v>
      </c>
      <c r="Q810" s="2">
        <v>4</v>
      </c>
      <c r="R810" s="2" t="s">
        <v>52</v>
      </c>
      <c r="S810" s="2">
        <v>2514</v>
      </c>
      <c r="T810" s="2">
        <v>26968</v>
      </c>
      <c r="U810" s="2">
        <v>4</v>
      </c>
      <c r="V810" s="2" t="s">
        <v>42</v>
      </c>
      <c r="W810" s="2" t="s">
        <v>43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</row>
    <row r="811" spans="1:35" x14ac:dyDescent="0.25">
      <c r="A811" s="2">
        <v>28</v>
      </c>
      <c r="B811" s="2" t="s">
        <v>43</v>
      </c>
      <c r="C811" s="2" t="s">
        <v>36</v>
      </c>
      <c r="D811" s="2">
        <v>950</v>
      </c>
      <c r="E811" s="2" t="s">
        <v>45</v>
      </c>
      <c r="F811" s="2">
        <v>3</v>
      </c>
      <c r="G811" s="2">
        <v>3</v>
      </c>
      <c r="H811" s="2" t="s">
        <v>51</v>
      </c>
      <c r="I811" s="2">
        <v>1</v>
      </c>
      <c r="J811" s="2">
        <v>1121</v>
      </c>
      <c r="K811" s="2">
        <v>4</v>
      </c>
      <c r="L811" s="2" t="s">
        <v>39</v>
      </c>
      <c r="M811" s="2">
        <v>93</v>
      </c>
      <c r="N811" s="2">
        <v>3</v>
      </c>
      <c r="O811" s="2">
        <v>3</v>
      </c>
      <c r="P811" s="2" t="s">
        <v>53</v>
      </c>
      <c r="Q811" s="2">
        <v>2</v>
      </c>
      <c r="R811" s="2" t="s">
        <v>52</v>
      </c>
      <c r="S811" s="2">
        <v>7655</v>
      </c>
      <c r="T811" s="2">
        <v>8039</v>
      </c>
      <c r="U811" s="2">
        <v>0</v>
      </c>
      <c r="V811" s="2" t="s">
        <v>42</v>
      </c>
      <c r="W811" s="2" t="s">
        <v>43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</row>
    <row r="812" spans="1:35" x14ac:dyDescent="0.25">
      <c r="A812" s="2">
        <v>46</v>
      </c>
      <c r="B812" s="2" t="s">
        <v>43</v>
      </c>
      <c r="C812" s="2" t="s">
        <v>36</v>
      </c>
      <c r="D812" s="2">
        <v>406</v>
      </c>
      <c r="E812" s="2" t="s">
        <v>37</v>
      </c>
      <c r="F812" s="2">
        <v>3</v>
      </c>
      <c r="G812" s="2">
        <v>1</v>
      </c>
      <c r="H812" s="2" t="s">
        <v>59</v>
      </c>
      <c r="I812" s="2">
        <v>1</v>
      </c>
      <c r="J812" s="2">
        <v>1124</v>
      </c>
      <c r="K812" s="2">
        <v>1</v>
      </c>
      <c r="L812" s="2" t="s">
        <v>46</v>
      </c>
      <c r="M812" s="2">
        <v>52</v>
      </c>
      <c r="N812" s="2">
        <v>3</v>
      </c>
      <c r="O812" s="2">
        <v>4</v>
      </c>
      <c r="P812" s="2" t="s">
        <v>56</v>
      </c>
      <c r="Q812" s="2">
        <v>3</v>
      </c>
      <c r="R812" s="2" t="s">
        <v>48</v>
      </c>
      <c r="S812" s="2">
        <v>17465</v>
      </c>
      <c r="T812" s="2">
        <v>15596</v>
      </c>
      <c r="U812" s="2">
        <v>3</v>
      </c>
      <c r="V812" s="2" t="s">
        <v>42</v>
      </c>
      <c r="W812" s="2" t="s">
        <v>43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</row>
    <row r="813" spans="1:35" x14ac:dyDescent="0.25">
      <c r="A813" s="2">
        <v>38</v>
      </c>
      <c r="B813" s="2" t="s">
        <v>43</v>
      </c>
      <c r="C813" s="2" t="s">
        <v>36</v>
      </c>
      <c r="D813" s="2">
        <v>130</v>
      </c>
      <c r="E813" s="2" t="s">
        <v>37</v>
      </c>
      <c r="F813" s="2">
        <v>2</v>
      </c>
      <c r="G813" s="2">
        <v>2</v>
      </c>
      <c r="H813" s="2" t="s">
        <v>59</v>
      </c>
      <c r="I813" s="2">
        <v>1</v>
      </c>
      <c r="J813" s="2">
        <v>1125</v>
      </c>
      <c r="K813" s="2">
        <v>4</v>
      </c>
      <c r="L813" s="2" t="s">
        <v>46</v>
      </c>
      <c r="M813" s="2">
        <v>32</v>
      </c>
      <c r="N813" s="2">
        <v>3</v>
      </c>
      <c r="O813" s="2">
        <v>3</v>
      </c>
      <c r="P813" s="2" t="s">
        <v>40</v>
      </c>
      <c r="Q813" s="2">
        <v>2</v>
      </c>
      <c r="R813" s="2" t="s">
        <v>41</v>
      </c>
      <c r="S813" s="2">
        <v>7351</v>
      </c>
      <c r="T813" s="2">
        <v>20619</v>
      </c>
      <c r="U813" s="2">
        <v>7</v>
      </c>
      <c r="V813" s="2" t="s">
        <v>42</v>
      </c>
      <c r="W813" s="2" t="s">
        <v>43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</row>
    <row r="814" spans="1:35" x14ac:dyDescent="0.25">
      <c r="A814" s="2">
        <v>43</v>
      </c>
      <c r="B814" s="2" t="s">
        <v>43</v>
      </c>
      <c r="C814" s="2" t="s">
        <v>44</v>
      </c>
      <c r="D814" s="2">
        <v>1082</v>
      </c>
      <c r="E814" s="2" t="s">
        <v>45</v>
      </c>
      <c r="F814" s="2">
        <v>27</v>
      </c>
      <c r="G814" s="2">
        <v>3</v>
      </c>
      <c r="H814" s="2" t="s">
        <v>38</v>
      </c>
      <c r="I814" s="2">
        <v>1</v>
      </c>
      <c r="J814" s="2">
        <v>1126</v>
      </c>
      <c r="K814" s="2">
        <v>3</v>
      </c>
      <c r="L814" s="2" t="s">
        <v>39</v>
      </c>
      <c r="M814" s="2">
        <v>83</v>
      </c>
      <c r="N814" s="2">
        <v>3</v>
      </c>
      <c r="O814" s="2">
        <v>3</v>
      </c>
      <c r="P814" s="2" t="s">
        <v>53</v>
      </c>
      <c r="Q814" s="2">
        <v>1</v>
      </c>
      <c r="R814" s="2" t="s">
        <v>48</v>
      </c>
      <c r="S814" s="2">
        <v>10820</v>
      </c>
      <c r="T814" s="2">
        <v>11535</v>
      </c>
      <c r="U814" s="2">
        <v>8</v>
      </c>
      <c r="V814" s="2" t="s">
        <v>42</v>
      </c>
      <c r="W814" s="2" t="s">
        <v>43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</row>
    <row r="815" spans="1:35" x14ac:dyDescent="0.25">
      <c r="A815" s="2">
        <v>39</v>
      </c>
      <c r="B815" s="2" t="s">
        <v>35</v>
      </c>
      <c r="C815" s="2" t="s">
        <v>44</v>
      </c>
      <c r="D815" s="2">
        <v>203</v>
      </c>
      <c r="E815" s="2" t="s">
        <v>45</v>
      </c>
      <c r="F815" s="2">
        <v>2</v>
      </c>
      <c r="G815" s="2">
        <v>3</v>
      </c>
      <c r="H815" s="2" t="s">
        <v>38</v>
      </c>
      <c r="I815" s="2">
        <v>1</v>
      </c>
      <c r="J815" s="2">
        <v>1127</v>
      </c>
      <c r="K815" s="2">
        <v>1</v>
      </c>
      <c r="L815" s="2" t="s">
        <v>46</v>
      </c>
      <c r="M815" s="2">
        <v>84</v>
      </c>
      <c r="N815" s="2">
        <v>3</v>
      </c>
      <c r="O815" s="2">
        <v>4</v>
      </c>
      <c r="P815" s="2" t="s">
        <v>54</v>
      </c>
      <c r="Q815" s="2">
        <v>4</v>
      </c>
      <c r="R815" s="2" t="s">
        <v>52</v>
      </c>
      <c r="S815" s="2">
        <v>12169</v>
      </c>
      <c r="T815" s="2">
        <v>13547</v>
      </c>
      <c r="U815" s="2">
        <v>7</v>
      </c>
      <c r="V815" s="2" t="s">
        <v>42</v>
      </c>
      <c r="W815" s="2" t="s">
        <v>43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</row>
    <row r="816" spans="1:35" x14ac:dyDescent="0.25">
      <c r="A816" s="2">
        <v>40</v>
      </c>
      <c r="B816" s="2" t="s">
        <v>43</v>
      </c>
      <c r="C816" s="2" t="s">
        <v>36</v>
      </c>
      <c r="D816" s="2">
        <v>1308</v>
      </c>
      <c r="E816" s="2" t="s">
        <v>45</v>
      </c>
      <c r="F816" s="2">
        <v>14</v>
      </c>
      <c r="G816" s="2">
        <v>3</v>
      </c>
      <c r="H816" s="2" t="s">
        <v>51</v>
      </c>
      <c r="I816" s="2">
        <v>1</v>
      </c>
      <c r="J816" s="2">
        <v>1128</v>
      </c>
      <c r="K816" s="2">
        <v>3</v>
      </c>
      <c r="L816" s="2" t="s">
        <v>46</v>
      </c>
      <c r="M816" s="2">
        <v>44</v>
      </c>
      <c r="N816" s="2">
        <v>2</v>
      </c>
      <c r="O816" s="2">
        <v>5</v>
      </c>
      <c r="P816" s="2" t="s">
        <v>58</v>
      </c>
      <c r="Q816" s="2">
        <v>3</v>
      </c>
      <c r="R816" s="2" t="s">
        <v>41</v>
      </c>
      <c r="S816" s="2">
        <v>19626</v>
      </c>
      <c r="T816" s="2">
        <v>17544</v>
      </c>
      <c r="U816" s="2">
        <v>1</v>
      </c>
      <c r="V816" s="2" t="s">
        <v>42</v>
      </c>
      <c r="W816" s="2" t="s">
        <v>43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</row>
    <row r="817" spans="1:35" x14ac:dyDescent="0.25">
      <c r="A817" s="2">
        <v>21</v>
      </c>
      <c r="B817" s="2" t="s">
        <v>43</v>
      </c>
      <c r="C817" s="2" t="s">
        <v>36</v>
      </c>
      <c r="D817" s="2">
        <v>984</v>
      </c>
      <c r="E817" s="2" t="s">
        <v>45</v>
      </c>
      <c r="F817" s="2">
        <v>1</v>
      </c>
      <c r="G817" s="2">
        <v>1</v>
      </c>
      <c r="H817" s="2" t="s">
        <v>60</v>
      </c>
      <c r="I817" s="2">
        <v>1</v>
      </c>
      <c r="J817" s="2">
        <v>1131</v>
      </c>
      <c r="K817" s="2">
        <v>4</v>
      </c>
      <c r="L817" s="2" t="s">
        <v>39</v>
      </c>
      <c r="M817" s="2">
        <v>70</v>
      </c>
      <c r="N817" s="2">
        <v>2</v>
      </c>
      <c r="O817" s="2">
        <v>1</v>
      </c>
      <c r="P817" s="2" t="s">
        <v>47</v>
      </c>
      <c r="Q817" s="2">
        <v>2</v>
      </c>
      <c r="R817" s="2" t="s">
        <v>41</v>
      </c>
      <c r="S817" s="2">
        <v>2070</v>
      </c>
      <c r="T817" s="2">
        <v>25326</v>
      </c>
      <c r="U817" s="2">
        <v>1</v>
      </c>
      <c r="V817" s="2" t="s">
        <v>42</v>
      </c>
      <c r="W817" s="2" t="s">
        <v>35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</row>
    <row r="818" spans="1:35" x14ac:dyDescent="0.25">
      <c r="A818" s="2">
        <v>39</v>
      </c>
      <c r="B818" s="2" t="s">
        <v>43</v>
      </c>
      <c r="C818" s="2" t="s">
        <v>55</v>
      </c>
      <c r="D818" s="2">
        <v>439</v>
      </c>
      <c r="E818" s="2" t="s">
        <v>45</v>
      </c>
      <c r="F818" s="2">
        <v>9</v>
      </c>
      <c r="G818" s="2">
        <v>3</v>
      </c>
      <c r="H818" s="2" t="s">
        <v>38</v>
      </c>
      <c r="I818" s="2">
        <v>1</v>
      </c>
      <c r="J818" s="2">
        <v>1132</v>
      </c>
      <c r="K818" s="2">
        <v>3</v>
      </c>
      <c r="L818" s="2" t="s">
        <v>46</v>
      </c>
      <c r="M818" s="2">
        <v>70</v>
      </c>
      <c r="N818" s="2">
        <v>3</v>
      </c>
      <c r="O818" s="2">
        <v>2</v>
      </c>
      <c r="P818" s="2" t="s">
        <v>50</v>
      </c>
      <c r="Q818" s="2">
        <v>2</v>
      </c>
      <c r="R818" s="2" t="s">
        <v>41</v>
      </c>
      <c r="S818" s="2">
        <v>6782</v>
      </c>
      <c r="T818" s="2">
        <v>8770</v>
      </c>
      <c r="U818" s="2">
        <v>9</v>
      </c>
      <c r="V818" s="2" t="s">
        <v>42</v>
      </c>
      <c r="W818" s="2" t="s">
        <v>43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</row>
    <row r="819" spans="1:35" x14ac:dyDescent="0.25">
      <c r="A819" s="2">
        <v>36</v>
      </c>
      <c r="B819" s="2" t="s">
        <v>43</v>
      </c>
      <c r="C819" s="2" t="s">
        <v>55</v>
      </c>
      <c r="D819" s="2">
        <v>217</v>
      </c>
      <c r="E819" s="2" t="s">
        <v>45</v>
      </c>
      <c r="F819" s="2">
        <v>18</v>
      </c>
      <c r="G819" s="2">
        <v>4</v>
      </c>
      <c r="H819" s="2" t="s">
        <v>38</v>
      </c>
      <c r="I819" s="2">
        <v>1</v>
      </c>
      <c r="J819" s="2">
        <v>1133</v>
      </c>
      <c r="K819" s="2">
        <v>1</v>
      </c>
      <c r="L819" s="2" t="s">
        <v>46</v>
      </c>
      <c r="M819" s="2">
        <v>78</v>
      </c>
      <c r="N819" s="2">
        <v>3</v>
      </c>
      <c r="O819" s="2">
        <v>2</v>
      </c>
      <c r="P819" s="2" t="s">
        <v>53</v>
      </c>
      <c r="Q819" s="2">
        <v>4</v>
      </c>
      <c r="R819" s="2" t="s">
        <v>41</v>
      </c>
      <c r="S819" s="2">
        <v>7779</v>
      </c>
      <c r="T819" s="2">
        <v>23238</v>
      </c>
      <c r="U819" s="2">
        <v>2</v>
      </c>
      <c r="V819" s="2" t="s">
        <v>42</v>
      </c>
      <c r="W819" s="2" t="s">
        <v>43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</row>
    <row r="820" spans="1:35" x14ac:dyDescent="0.25">
      <c r="A820" s="2">
        <v>31</v>
      </c>
      <c r="B820" s="2" t="s">
        <v>43</v>
      </c>
      <c r="C820" s="2" t="s">
        <v>44</v>
      </c>
      <c r="D820" s="2">
        <v>793</v>
      </c>
      <c r="E820" s="2" t="s">
        <v>37</v>
      </c>
      <c r="F820" s="2">
        <v>20</v>
      </c>
      <c r="G820" s="2">
        <v>3</v>
      </c>
      <c r="H820" s="2" t="s">
        <v>38</v>
      </c>
      <c r="I820" s="2">
        <v>1</v>
      </c>
      <c r="J820" s="2">
        <v>1135</v>
      </c>
      <c r="K820" s="2">
        <v>3</v>
      </c>
      <c r="L820" s="2" t="s">
        <v>46</v>
      </c>
      <c r="M820" s="2">
        <v>67</v>
      </c>
      <c r="N820" s="2">
        <v>4</v>
      </c>
      <c r="O820" s="2">
        <v>1</v>
      </c>
      <c r="P820" s="2" t="s">
        <v>57</v>
      </c>
      <c r="Q820" s="2">
        <v>4</v>
      </c>
      <c r="R820" s="2" t="s">
        <v>48</v>
      </c>
      <c r="S820" s="2">
        <v>2791</v>
      </c>
      <c r="T820" s="2">
        <v>21981</v>
      </c>
      <c r="U820" s="2">
        <v>0</v>
      </c>
      <c r="V820" s="2" t="s">
        <v>42</v>
      </c>
      <c r="W820" s="2" t="s">
        <v>43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</row>
    <row r="821" spans="1:35" x14ac:dyDescent="0.25">
      <c r="A821" s="2">
        <v>28</v>
      </c>
      <c r="B821" s="2" t="s">
        <v>43</v>
      </c>
      <c r="C821" s="2" t="s">
        <v>36</v>
      </c>
      <c r="D821" s="2">
        <v>1451</v>
      </c>
      <c r="E821" s="2" t="s">
        <v>45</v>
      </c>
      <c r="F821" s="2">
        <v>2</v>
      </c>
      <c r="G821" s="2">
        <v>1</v>
      </c>
      <c r="H821" s="2" t="s">
        <v>38</v>
      </c>
      <c r="I821" s="2">
        <v>1</v>
      </c>
      <c r="J821" s="2">
        <v>1136</v>
      </c>
      <c r="K821" s="2">
        <v>1</v>
      </c>
      <c r="L821" s="2" t="s">
        <v>46</v>
      </c>
      <c r="M821" s="2">
        <v>67</v>
      </c>
      <c r="N821" s="2">
        <v>2</v>
      </c>
      <c r="O821" s="2">
        <v>1</v>
      </c>
      <c r="P821" s="2" t="s">
        <v>47</v>
      </c>
      <c r="Q821" s="2">
        <v>2</v>
      </c>
      <c r="R821" s="2" t="s">
        <v>48</v>
      </c>
      <c r="S821" s="2">
        <v>3201</v>
      </c>
      <c r="T821" s="2">
        <v>19911</v>
      </c>
      <c r="U821" s="2">
        <v>0</v>
      </c>
      <c r="V821" s="2" t="s">
        <v>42</v>
      </c>
      <c r="W821" s="2" t="s">
        <v>43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</row>
    <row r="822" spans="1:35" x14ac:dyDescent="0.25">
      <c r="A822" s="2">
        <v>35</v>
      </c>
      <c r="B822" s="2" t="s">
        <v>43</v>
      </c>
      <c r="C822" s="2" t="s">
        <v>44</v>
      </c>
      <c r="D822" s="2">
        <v>1182</v>
      </c>
      <c r="E822" s="2" t="s">
        <v>37</v>
      </c>
      <c r="F822" s="2">
        <v>11</v>
      </c>
      <c r="G822" s="2">
        <v>2</v>
      </c>
      <c r="H822" s="2" t="s">
        <v>59</v>
      </c>
      <c r="I822" s="2">
        <v>1</v>
      </c>
      <c r="J822" s="2">
        <v>1137</v>
      </c>
      <c r="K822" s="2">
        <v>4</v>
      </c>
      <c r="L822" s="2" t="s">
        <v>46</v>
      </c>
      <c r="M822" s="2">
        <v>54</v>
      </c>
      <c r="N822" s="2">
        <v>3</v>
      </c>
      <c r="O822" s="2">
        <v>2</v>
      </c>
      <c r="P822" s="2" t="s">
        <v>40</v>
      </c>
      <c r="Q822" s="2">
        <v>4</v>
      </c>
      <c r="R822" s="2" t="s">
        <v>52</v>
      </c>
      <c r="S822" s="2">
        <v>4968</v>
      </c>
      <c r="T822" s="2">
        <v>18500</v>
      </c>
      <c r="U822" s="2">
        <v>1</v>
      </c>
      <c r="V822" s="2" t="s">
        <v>42</v>
      </c>
      <c r="W822" s="2" t="s">
        <v>43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</row>
    <row r="823" spans="1:35" x14ac:dyDescent="0.25">
      <c r="A823" s="2">
        <v>49</v>
      </c>
      <c r="B823" s="2" t="s">
        <v>43</v>
      </c>
      <c r="C823" s="2" t="s">
        <v>36</v>
      </c>
      <c r="D823" s="2">
        <v>174</v>
      </c>
      <c r="E823" s="2" t="s">
        <v>37</v>
      </c>
      <c r="F823" s="2">
        <v>8</v>
      </c>
      <c r="G823" s="2">
        <v>4</v>
      </c>
      <c r="H823" s="2" t="s">
        <v>60</v>
      </c>
      <c r="I823" s="2">
        <v>1</v>
      </c>
      <c r="J823" s="2">
        <v>1138</v>
      </c>
      <c r="K823" s="2">
        <v>4</v>
      </c>
      <c r="L823" s="2" t="s">
        <v>46</v>
      </c>
      <c r="M823" s="2">
        <v>56</v>
      </c>
      <c r="N823" s="2">
        <v>2</v>
      </c>
      <c r="O823" s="2">
        <v>4</v>
      </c>
      <c r="P823" s="2" t="s">
        <v>40</v>
      </c>
      <c r="Q823" s="2">
        <v>2</v>
      </c>
      <c r="R823" s="2" t="s">
        <v>48</v>
      </c>
      <c r="S823" s="2">
        <v>13120</v>
      </c>
      <c r="T823" s="2">
        <v>11879</v>
      </c>
      <c r="U823" s="2">
        <v>6</v>
      </c>
      <c r="V823" s="2" t="s">
        <v>42</v>
      </c>
      <c r="W823" s="2" t="s">
        <v>43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</row>
    <row r="824" spans="1:35" x14ac:dyDescent="0.25">
      <c r="A824" s="2">
        <v>34</v>
      </c>
      <c r="B824" s="2" t="s">
        <v>43</v>
      </c>
      <c r="C824" s="2" t="s">
        <v>44</v>
      </c>
      <c r="D824" s="2">
        <v>1003</v>
      </c>
      <c r="E824" s="2" t="s">
        <v>45</v>
      </c>
      <c r="F824" s="2">
        <v>2</v>
      </c>
      <c r="G824" s="2">
        <v>2</v>
      </c>
      <c r="H824" s="2" t="s">
        <v>38</v>
      </c>
      <c r="I824" s="2">
        <v>1</v>
      </c>
      <c r="J824" s="2">
        <v>1140</v>
      </c>
      <c r="K824" s="2">
        <v>4</v>
      </c>
      <c r="L824" s="2" t="s">
        <v>46</v>
      </c>
      <c r="M824" s="2">
        <v>95</v>
      </c>
      <c r="N824" s="2">
        <v>3</v>
      </c>
      <c r="O824" s="2">
        <v>2</v>
      </c>
      <c r="P824" s="2" t="s">
        <v>53</v>
      </c>
      <c r="Q824" s="2">
        <v>3</v>
      </c>
      <c r="R824" s="2" t="s">
        <v>41</v>
      </c>
      <c r="S824" s="2">
        <v>4033</v>
      </c>
      <c r="T824" s="2">
        <v>15834</v>
      </c>
      <c r="U824" s="2">
        <v>2</v>
      </c>
      <c r="V824" s="2" t="s">
        <v>42</v>
      </c>
      <c r="W824" s="2" t="s">
        <v>43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</row>
    <row r="825" spans="1:35" x14ac:dyDescent="0.25">
      <c r="A825" s="2">
        <v>29</v>
      </c>
      <c r="B825" s="2" t="s">
        <v>43</v>
      </c>
      <c r="C825" s="2" t="s">
        <v>44</v>
      </c>
      <c r="D825" s="2">
        <v>490</v>
      </c>
      <c r="E825" s="2" t="s">
        <v>45</v>
      </c>
      <c r="F825" s="2">
        <v>10</v>
      </c>
      <c r="G825" s="2">
        <v>3</v>
      </c>
      <c r="H825" s="2" t="s">
        <v>38</v>
      </c>
      <c r="I825" s="2">
        <v>1</v>
      </c>
      <c r="J825" s="2">
        <v>1143</v>
      </c>
      <c r="K825" s="2">
        <v>4</v>
      </c>
      <c r="L825" s="2" t="s">
        <v>39</v>
      </c>
      <c r="M825" s="2">
        <v>61</v>
      </c>
      <c r="N825" s="2">
        <v>3</v>
      </c>
      <c r="O825" s="2">
        <v>1</v>
      </c>
      <c r="P825" s="2" t="s">
        <v>47</v>
      </c>
      <c r="Q825" s="2">
        <v>2</v>
      </c>
      <c r="R825" s="2" t="s">
        <v>52</v>
      </c>
      <c r="S825" s="2">
        <v>3291</v>
      </c>
      <c r="T825" s="2">
        <v>17940</v>
      </c>
      <c r="U825" s="2">
        <v>0</v>
      </c>
      <c r="V825" s="2" t="s">
        <v>42</v>
      </c>
      <c r="W825" s="2" t="s">
        <v>43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</row>
    <row r="826" spans="1:35" x14ac:dyDescent="0.25">
      <c r="A826" s="2">
        <v>42</v>
      </c>
      <c r="B826" s="2" t="s">
        <v>43</v>
      </c>
      <c r="C826" s="2" t="s">
        <v>36</v>
      </c>
      <c r="D826" s="2">
        <v>188</v>
      </c>
      <c r="E826" s="2" t="s">
        <v>45</v>
      </c>
      <c r="F826" s="2">
        <v>29</v>
      </c>
      <c r="G826" s="2">
        <v>3</v>
      </c>
      <c r="H826" s="2" t="s">
        <v>51</v>
      </c>
      <c r="I826" s="2">
        <v>1</v>
      </c>
      <c r="J826" s="2">
        <v>1148</v>
      </c>
      <c r="K826" s="2">
        <v>2</v>
      </c>
      <c r="L826" s="2" t="s">
        <v>46</v>
      </c>
      <c r="M826" s="2">
        <v>56</v>
      </c>
      <c r="N826" s="2">
        <v>1</v>
      </c>
      <c r="O826" s="2">
        <v>2</v>
      </c>
      <c r="P826" s="2" t="s">
        <v>50</v>
      </c>
      <c r="Q826" s="2">
        <v>4</v>
      </c>
      <c r="R826" s="2" t="s">
        <v>41</v>
      </c>
      <c r="S826" s="2">
        <v>4272</v>
      </c>
      <c r="T826" s="2">
        <v>9558</v>
      </c>
      <c r="U826" s="2">
        <v>4</v>
      </c>
      <c r="V826" s="2" t="s">
        <v>42</v>
      </c>
      <c r="W826" s="2" t="s">
        <v>43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</row>
    <row r="827" spans="1:35" x14ac:dyDescent="0.25">
      <c r="A827" s="2">
        <v>29</v>
      </c>
      <c r="B827" s="2" t="s">
        <v>43</v>
      </c>
      <c r="C827" s="2" t="s">
        <v>36</v>
      </c>
      <c r="D827" s="2">
        <v>718</v>
      </c>
      <c r="E827" s="2" t="s">
        <v>45</v>
      </c>
      <c r="F827" s="2">
        <v>8</v>
      </c>
      <c r="G827" s="2">
        <v>1</v>
      </c>
      <c r="H827" s="2" t="s">
        <v>51</v>
      </c>
      <c r="I827" s="2">
        <v>1</v>
      </c>
      <c r="J827" s="2">
        <v>1150</v>
      </c>
      <c r="K827" s="2">
        <v>2</v>
      </c>
      <c r="L827" s="2" t="s">
        <v>46</v>
      </c>
      <c r="M827" s="2">
        <v>79</v>
      </c>
      <c r="N827" s="2">
        <v>2</v>
      </c>
      <c r="O827" s="2">
        <v>2</v>
      </c>
      <c r="P827" s="2" t="s">
        <v>53</v>
      </c>
      <c r="Q827" s="2">
        <v>4</v>
      </c>
      <c r="R827" s="2" t="s">
        <v>48</v>
      </c>
      <c r="S827" s="2">
        <v>5056</v>
      </c>
      <c r="T827" s="2">
        <v>17689</v>
      </c>
      <c r="U827" s="2">
        <v>1</v>
      </c>
      <c r="V827" s="2" t="s">
        <v>42</v>
      </c>
      <c r="W827" s="2" t="s">
        <v>35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</row>
    <row r="828" spans="1:35" x14ac:dyDescent="0.25">
      <c r="A828" s="2">
        <v>38</v>
      </c>
      <c r="B828" s="2" t="s">
        <v>43</v>
      </c>
      <c r="C828" s="2" t="s">
        <v>36</v>
      </c>
      <c r="D828" s="2">
        <v>433</v>
      </c>
      <c r="E828" s="2" t="s">
        <v>61</v>
      </c>
      <c r="F828" s="2">
        <v>1</v>
      </c>
      <c r="G828" s="2">
        <v>3</v>
      </c>
      <c r="H828" s="2" t="s">
        <v>61</v>
      </c>
      <c r="I828" s="2">
        <v>1</v>
      </c>
      <c r="J828" s="2">
        <v>1152</v>
      </c>
      <c r="K828" s="2">
        <v>3</v>
      </c>
      <c r="L828" s="2" t="s">
        <v>46</v>
      </c>
      <c r="M828" s="2">
        <v>37</v>
      </c>
      <c r="N828" s="2">
        <v>4</v>
      </c>
      <c r="O828" s="2">
        <v>1</v>
      </c>
      <c r="P828" s="2" t="s">
        <v>61</v>
      </c>
      <c r="Q828" s="2">
        <v>3</v>
      </c>
      <c r="R828" s="2" t="s">
        <v>48</v>
      </c>
      <c r="S828" s="2">
        <v>2844</v>
      </c>
      <c r="T828" s="2">
        <v>6004</v>
      </c>
      <c r="U828" s="2">
        <v>1</v>
      </c>
      <c r="V828" s="2" t="s">
        <v>42</v>
      </c>
      <c r="W828" s="2" t="s">
        <v>43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</row>
    <row r="829" spans="1:35" x14ac:dyDescent="0.25">
      <c r="A829" s="2">
        <v>28</v>
      </c>
      <c r="B829" s="2" t="s">
        <v>43</v>
      </c>
      <c r="C829" s="2" t="s">
        <v>44</v>
      </c>
      <c r="D829" s="2">
        <v>773</v>
      </c>
      <c r="E829" s="2" t="s">
        <v>45</v>
      </c>
      <c r="F829" s="2">
        <v>6</v>
      </c>
      <c r="G829" s="2">
        <v>3</v>
      </c>
      <c r="H829" s="2" t="s">
        <v>38</v>
      </c>
      <c r="I829" s="2">
        <v>1</v>
      </c>
      <c r="J829" s="2">
        <v>1154</v>
      </c>
      <c r="K829" s="2">
        <v>3</v>
      </c>
      <c r="L829" s="2" t="s">
        <v>46</v>
      </c>
      <c r="M829" s="2">
        <v>39</v>
      </c>
      <c r="N829" s="2">
        <v>2</v>
      </c>
      <c r="O829" s="2">
        <v>1</v>
      </c>
      <c r="P829" s="2" t="s">
        <v>47</v>
      </c>
      <c r="Q829" s="2">
        <v>3</v>
      </c>
      <c r="R829" s="2" t="s">
        <v>52</v>
      </c>
      <c r="S829" s="2">
        <v>2703</v>
      </c>
      <c r="T829" s="2">
        <v>22088</v>
      </c>
      <c r="U829" s="2">
        <v>1</v>
      </c>
      <c r="V829" s="2" t="s">
        <v>42</v>
      </c>
      <c r="W829" s="2" t="s">
        <v>35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</row>
    <row r="830" spans="1:35" x14ac:dyDescent="0.25">
      <c r="A830" s="2">
        <v>18</v>
      </c>
      <c r="B830" s="2" t="s">
        <v>35</v>
      </c>
      <c r="C830" s="2" t="s">
        <v>55</v>
      </c>
      <c r="D830" s="2">
        <v>247</v>
      </c>
      <c r="E830" s="2" t="s">
        <v>45</v>
      </c>
      <c r="F830" s="2">
        <v>8</v>
      </c>
      <c r="G830" s="2">
        <v>1</v>
      </c>
      <c r="H830" s="2" t="s">
        <v>51</v>
      </c>
      <c r="I830" s="2">
        <v>1</v>
      </c>
      <c r="J830" s="2">
        <v>1156</v>
      </c>
      <c r="K830" s="2">
        <v>3</v>
      </c>
      <c r="L830" s="2" t="s">
        <v>46</v>
      </c>
      <c r="M830" s="2">
        <v>80</v>
      </c>
      <c r="N830" s="2">
        <v>3</v>
      </c>
      <c r="O830" s="2">
        <v>1</v>
      </c>
      <c r="P830" s="2" t="s">
        <v>50</v>
      </c>
      <c r="Q830" s="2">
        <v>3</v>
      </c>
      <c r="R830" s="2" t="s">
        <v>41</v>
      </c>
      <c r="S830" s="2">
        <v>1904</v>
      </c>
      <c r="T830" s="2">
        <v>13556</v>
      </c>
      <c r="U830" s="2">
        <v>1</v>
      </c>
      <c r="V830" s="2" t="s">
        <v>42</v>
      </c>
      <c r="W830" s="2" t="s">
        <v>43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</row>
    <row r="831" spans="1:35" x14ac:dyDescent="0.25">
      <c r="A831" s="2">
        <v>33</v>
      </c>
      <c r="B831" s="2" t="s">
        <v>35</v>
      </c>
      <c r="C831" s="2" t="s">
        <v>36</v>
      </c>
      <c r="D831" s="2">
        <v>603</v>
      </c>
      <c r="E831" s="2" t="s">
        <v>37</v>
      </c>
      <c r="F831" s="2">
        <v>9</v>
      </c>
      <c r="G831" s="2">
        <v>4</v>
      </c>
      <c r="H831" s="2" t="s">
        <v>59</v>
      </c>
      <c r="I831" s="2">
        <v>1</v>
      </c>
      <c r="J831" s="2">
        <v>1157</v>
      </c>
      <c r="K831" s="2">
        <v>1</v>
      </c>
      <c r="L831" s="2" t="s">
        <v>39</v>
      </c>
      <c r="M831" s="2">
        <v>77</v>
      </c>
      <c r="N831" s="2">
        <v>3</v>
      </c>
      <c r="O831" s="2">
        <v>2</v>
      </c>
      <c r="P831" s="2" t="s">
        <v>40</v>
      </c>
      <c r="Q831" s="2">
        <v>1</v>
      </c>
      <c r="R831" s="2" t="s">
        <v>41</v>
      </c>
      <c r="S831" s="2">
        <v>8224</v>
      </c>
      <c r="T831" s="2">
        <v>18385</v>
      </c>
      <c r="U831" s="2">
        <v>0</v>
      </c>
      <c r="V831" s="2" t="s">
        <v>42</v>
      </c>
      <c r="W831" s="2" t="s">
        <v>35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</row>
    <row r="832" spans="1:35" x14ac:dyDescent="0.25">
      <c r="A832" s="2">
        <v>41</v>
      </c>
      <c r="B832" s="2" t="s">
        <v>43</v>
      </c>
      <c r="C832" s="2" t="s">
        <v>36</v>
      </c>
      <c r="D832" s="2">
        <v>167</v>
      </c>
      <c r="E832" s="2" t="s">
        <v>45</v>
      </c>
      <c r="F832" s="2">
        <v>12</v>
      </c>
      <c r="G832" s="2">
        <v>4</v>
      </c>
      <c r="H832" s="2" t="s">
        <v>38</v>
      </c>
      <c r="I832" s="2">
        <v>1</v>
      </c>
      <c r="J832" s="2">
        <v>1158</v>
      </c>
      <c r="K832" s="2">
        <v>2</v>
      </c>
      <c r="L832" s="2" t="s">
        <v>46</v>
      </c>
      <c r="M832" s="2">
        <v>46</v>
      </c>
      <c r="N832" s="2">
        <v>3</v>
      </c>
      <c r="O832" s="2">
        <v>1</v>
      </c>
      <c r="P832" s="2" t="s">
        <v>50</v>
      </c>
      <c r="Q832" s="2">
        <v>4</v>
      </c>
      <c r="R832" s="2" t="s">
        <v>48</v>
      </c>
      <c r="S832" s="2">
        <v>4766</v>
      </c>
      <c r="T832" s="2">
        <v>9051</v>
      </c>
      <c r="U832" s="2">
        <v>3</v>
      </c>
      <c r="V832" s="2" t="s">
        <v>42</v>
      </c>
      <c r="W832" s="2" t="s">
        <v>35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</row>
    <row r="833" spans="1:35" x14ac:dyDescent="0.25">
      <c r="A833" s="2">
        <v>31</v>
      </c>
      <c r="B833" s="2" t="s">
        <v>35</v>
      </c>
      <c r="C833" s="2" t="s">
        <v>44</v>
      </c>
      <c r="D833" s="2">
        <v>874</v>
      </c>
      <c r="E833" s="2" t="s">
        <v>45</v>
      </c>
      <c r="F833" s="2">
        <v>15</v>
      </c>
      <c r="G833" s="2">
        <v>3</v>
      </c>
      <c r="H833" s="2" t="s">
        <v>51</v>
      </c>
      <c r="I833" s="2">
        <v>1</v>
      </c>
      <c r="J833" s="2">
        <v>1160</v>
      </c>
      <c r="K833" s="2">
        <v>3</v>
      </c>
      <c r="L833" s="2" t="s">
        <v>46</v>
      </c>
      <c r="M833" s="2">
        <v>72</v>
      </c>
      <c r="N833" s="2">
        <v>3</v>
      </c>
      <c r="O833" s="2">
        <v>1</v>
      </c>
      <c r="P833" s="2" t="s">
        <v>50</v>
      </c>
      <c r="Q833" s="2">
        <v>3</v>
      </c>
      <c r="R833" s="2" t="s">
        <v>48</v>
      </c>
      <c r="S833" s="2">
        <v>2610</v>
      </c>
      <c r="T833" s="2">
        <v>6233</v>
      </c>
      <c r="U833" s="2">
        <v>1</v>
      </c>
      <c r="V833" s="2" t="s">
        <v>42</v>
      </c>
      <c r="W833" s="2" t="s">
        <v>43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</row>
    <row r="834" spans="1:35" x14ac:dyDescent="0.25">
      <c r="A834" s="2">
        <v>37</v>
      </c>
      <c r="B834" s="2" t="s">
        <v>43</v>
      </c>
      <c r="C834" s="2" t="s">
        <v>36</v>
      </c>
      <c r="D834" s="2">
        <v>367</v>
      </c>
      <c r="E834" s="2" t="s">
        <v>45</v>
      </c>
      <c r="F834" s="2">
        <v>25</v>
      </c>
      <c r="G834" s="2">
        <v>2</v>
      </c>
      <c r="H834" s="2" t="s">
        <v>51</v>
      </c>
      <c r="I834" s="2">
        <v>1</v>
      </c>
      <c r="J834" s="2">
        <v>1161</v>
      </c>
      <c r="K834" s="2">
        <v>3</v>
      </c>
      <c r="L834" s="2" t="s">
        <v>39</v>
      </c>
      <c r="M834" s="2">
        <v>52</v>
      </c>
      <c r="N834" s="2">
        <v>2</v>
      </c>
      <c r="O834" s="2">
        <v>2</v>
      </c>
      <c r="P834" s="2" t="s">
        <v>54</v>
      </c>
      <c r="Q834" s="2">
        <v>4</v>
      </c>
      <c r="R834" s="2" t="s">
        <v>52</v>
      </c>
      <c r="S834" s="2">
        <v>5731</v>
      </c>
      <c r="T834" s="2">
        <v>17171</v>
      </c>
      <c r="U834" s="2">
        <v>7</v>
      </c>
      <c r="V834" s="2" t="s">
        <v>42</v>
      </c>
      <c r="W834" s="2" t="s">
        <v>43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</row>
    <row r="835" spans="1:35" x14ac:dyDescent="0.25">
      <c r="A835" s="2">
        <v>27</v>
      </c>
      <c r="B835" s="2" t="s">
        <v>43</v>
      </c>
      <c r="C835" s="2" t="s">
        <v>36</v>
      </c>
      <c r="D835" s="2">
        <v>199</v>
      </c>
      <c r="E835" s="2" t="s">
        <v>45</v>
      </c>
      <c r="F835" s="2">
        <v>6</v>
      </c>
      <c r="G835" s="2">
        <v>3</v>
      </c>
      <c r="H835" s="2" t="s">
        <v>38</v>
      </c>
      <c r="I835" s="2">
        <v>1</v>
      </c>
      <c r="J835" s="2">
        <v>1162</v>
      </c>
      <c r="K835" s="2">
        <v>4</v>
      </c>
      <c r="L835" s="2" t="s">
        <v>46</v>
      </c>
      <c r="M835" s="2">
        <v>55</v>
      </c>
      <c r="N835" s="2">
        <v>2</v>
      </c>
      <c r="O835" s="2">
        <v>1</v>
      </c>
      <c r="P835" s="2" t="s">
        <v>47</v>
      </c>
      <c r="Q835" s="2">
        <v>3</v>
      </c>
      <c r="R835" s="2" t="s">
        <v>48</v>
      </c>
      <c r="S835" s="2">
        <v>2539</v>
      </c>
      <c r="T835" s="2">
        <v>7950</v>
      </c>
      <c r="U835" s="2">
        <v>1</v>
      </c>
      <c r="V835" s="2" t="s">
        <v>42</v>
      </c>
      <c r="W835" s="2" t="s">
        <v>43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</row>
    <row r="836" spans="1:35" x14ac:dyDescent="0.25">
      <c r="A836" s="2">
        <v>34</v>
      </c>
      <c r="B836" s="2" t="s">
        <v>43</v>
      </c>
      <c r="C836" s="2" t="s">
        <v>36</v>
      </c>
      <c r="D836" s="2">
        <v>1400</v>
      </c>
      <c r="E836" s="2" t="s">
        <v>37</v>
      </c>
      <c r="F836" s="2">
        <v>9</v>
      </c>
      <c r="G836" s="2">
        <v>1</v>
      </c>
      <c r="H836" s="2" t="s">
        <v>38</v>
      </c>
      <c r="I836" s="2">
        <v>1</v>
      </c>
      <c r="J836" s="2">
        <v>1163</v>
      </c>
      <c r="K836" s="2">
        <v>2</v>
      </c>
      <c r="L836" s="2" t="s">
        <v>39</v>
      </c>
      <c r="M836" s="2">
        <v>70</v>
      </c>
      <c r="N836" s="2">
        <v>3</v>
      </c>
      <c r="O836" s="2">
        <v>2</v>
      </c>
      <c r="P836" s="2" t="s">
        <v>40</v>
      </c>
      <c r="Q836" s="2">
        <v>3</v>
      </c>
      <c r="R836" s="2" t="s">
        <v>48</v>
      </c>
      <c r="S836" s="2">
        <v>5714</v>
      </c>
      <c r="T836" s="2">
        <v>5829</v>
      </c>
      <c r="U836" s="2">
        <v>1</v>
      </c>
      <c r="V836" s="2" t="s">
        <v>42</v>
      </c>
      <c r="W836" s="2" t="s">
        <v>43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</row>
    <row r="837" spans="1:35" x14ac:dyDescent="0.25">
      <c r="A837" s="2">
        <v>35</v>
      </c>
      <c r="B837" s="2" t="s">
        <v>43</v>
      </c>
      <c r="C837" s="2" t="s">
        <v>36</v>
      </c>
      <c r="D837" s="2">
        <v>528</v>
      </c>
      <c r="E837" s="2" t="s">
        <v>61</v>
      </c>
      <c r="F837" s="2">
        <v>8</v>
      </c>
      <c r="G837" s="2">
        <v>4</v>
      </c>
      <c r="H837" s="2" t="s">
        <v>60</v>
      </c>
      <c r="I837" s="2">
        <v>1</v>
      </c>
      <c r="J837" s="2">
        <v>1164</v>
      </c>
      <c r="K837" s="2">
        <v>3</v>
      </c>
      <c r="L837" s="2" t="s">
        <v>46</v>
      </c>
      <c r="M837" s="2">
        <v>100</v>
      </c>
      <c r="N837" s="2">
        <v>3</v>
      </c>
      <c r="O837" s="2">
        <v>1</v>
      </c>
      <c r="P837" s="2" t="s">
        <v>61</v>
      </c>
      <c r="Q837" s="2">
        <v>3</v>
      </c>
      <c r="R837" s="2" t="s">
        <v>41</v>
      </c>
      <c r="S837" s="2">
        <v>4323</v>
      </c>
      <c r="T837" s="2">
        <v>7108</v>
      </c>
      <c r="U837" s="2">
        <v>1</v>
      </c>
      <c r="V837" s="2" t="s">
        <v>42</v>
      </c>
      <c r="W837" s="2" t="s">
        <v>43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</row>
    <row r="838" spans="1:35" x14ac:dyDescent="0.25">
      <c r="A838" s="2">
        <v>29</v>
      </c>
      <c r="B838" s="2" t="s">
        <v>35</v>
      </c>
      <c r="C838" s="2" t="s">
        <v>36</v>
      </c>
      <c r="D838" s="2">
        <v>408</v>
      </c>
      <c r="E838" s="2" t="s">
        <v>37</v>
      </c>
      <c r="F838" s="2">
        <v>23</v>
      </c>
      <c r="G838" s="2">
        <v>1</v>
      </c>
      <c r="H838" s="2" t="s">
        <v>38</v>
      </c>
      <c r="I838" s="2">
        <v>1</v>
      </c>
      <c r="J838" s="2">
        <v>1165</v>
      </c>
      <c r="K838" s="2">
        <v>4</v>
      </c>
      <c r="L838" s="2" t="s">
        <v>39</v>
      </c>
      <c r="M838" s="2">
        <v>45</v>
      </c>
      <c r="N838" s="2">
        <v>2</v>
      </c>
      <c r="O838" s="2">
        <v>3</v>
      </c>
      <c r="P838" s="2" t="s">
        <v>40</v>
      </c>
      <c r="Q838" s="2">
        <v>1</v>
      </c>
      <c r="R838" s="2" t="s">
        <v>48</v>
      </c>
      <c r="S838" s="2">
        <v>7336</v>
      </c>
      <c r="T838" s="2">
        <v>11162</v>
      </c>
      <c r="U838" s="2">
        <v>1</v>
      </c>
      <c r="V838" s="2" t="s">
        <v>42</v>
      </c>
      <c r="W838" s="2" t="s">
        <v>43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</row>
    <row r="839" spans="1:35" x14ac:dyDescent="0.25">
      <c r="A839" s="2">
        <v>40</v>
      </c>
      <c r="B839" s="2" t="s">
        <v>43</v>
      </c>
      <c r="C839" s="2" t="s">
        <v>44</v>
      </c>
      <c r="D839" s="2">
        <v>593</v>
      </c>
      <c r="E839" s="2" t="s">
        <v>45</v>
      </c>
      <c r="F839" s="2">
        <v>9</v>
      </c>
      <c r="G839" s="2">
        <v>4</v>
      </c>
      <c r="H839" s="2" t="s">
        <v>51</v>
      </c>
      <c r="I839" s="2">
        <v>1</v>
      </c>
      <c r="J839" s="2">
        <v>1166</v>
      </c>
      <c r="K839" s="2">
        <v>2</v>
      </c>
      <c r="L839" s="2" t="s">
        <v>39</v>
      </c>
      <c r="M839" s="2">
        <v>88</v>
      </c>
      <c r="N839" s="2">
        <v>3</v>
      </c>
      <c r="O839" s="2">
        <v>3</v>
      </c>
      <c r="P839" s="2" t="s">
        <v>58</v>
      </c>
      <c r="Q839" s="2">
        <v>3</v>
      </c>
      <c r="R839" s="2" t="s">
        <v>41</v>
      </c>
      <c r="S839" s="2">
        <v>13499</v>
      </c>
      <c r="T839" s="2">
        <v>13782</v>
      </c>
      <c r="U839" s="2">
        <v>9</v>
      </c>
      <c r="V839" s="2" t="s">
        <v>42</v>
      </c>
      <c r="W839" s="2" t="s">
        <v>43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</row>
    <row r="840" spans="1:35" x14ac:dyDescent="0.25">
      <c r="A840" s="2">
        <v>42</v>
      </c>
      <c r="B840" s="2" t="s">
        <v>35</v>
      </c>
      <c r="C840" s="2" t="s">
        <v>44</v>
      </c>
      <c r="D840" s="2">
        <v>481</v>
      </c>
      <c r="E840" s="2" t="s">
        <v>37</v>
      </c>
      <c r="F840" s="2">
        <v>12</v>
      </c>
      <c r="G840" s="2">
        <v>3</v>
      </c>
      <c r="H840" s="2" t="s">
        <v>38</v>
      </c>
      <c r="I840" s="2">
        <v>1</v>
      </c>
      <c r="J840" s="2">
        <v>1167</v>
      </c>
      <c r="K840" s="2">
        <v>3</v>
      </c>
      <c r="L840" s="2" t="s">
        <v>46</v>
      </c>
      <c r="M840" s="2">
        <v>44</v>
      </c>
      <c r="N840" s="2">
        <v>3</v>
      </c>
      <c r="O840" s="2">
        <v>4</v>
      </c>
      <c r="P840" s="2" t="s">
        <v>40</v>
      </c>
      <c r="Q840" s="2">
        <v>1</v>
      </c>
      <c r="R840" s="2" t="s">
        <v>41</v>
      </c>
      <c r="S840" s="2">
        <v>13758</v>
      </c>
      <c r="T840" s="2">
        <v>2447</v>
      </c>
      <c r="U840" s="2">
        <v>0</v>
      </c>
      <c r="V840" s="2" t="s">
        <v>42</v>
      </c>
      <c r="W840" s="2" t="s">
        <v>35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</row>
    <row r="841" spans="1:35" x14ac:dyDescent="0.25">
      <c r="A841" s="2">
        <v>42</v>
      </c>
      <c r="B841" s="2" t="s">
        <v>43</v>
      </c>
      <c r="C841" s="2" t="s">
        <v>36</v>
      </c>
      <c r="D841" s="2">
        <v>647</v>
      </c>
      <c r="E841" s="2" t="s">
        <v>37</v>
      </c>
      <c r="F841" s="2">
        <v>4</v>
      </c>
      <c r="G841" s="2">
        <v>4</v>
      </c>
      <c r="H841" s="2" t="s">
        <v>59</v>
      </c>
      <c r="I841" s="2">
        <v>1</v>
      </c>
      <c r="J841" s="2">
        <v>1171</v>
      </c>
      <c r="K841" s="2">
        <v>2</v>
      </c>
      <c r="L841" s="2" t="s">
        <v>46</v>
      </c>
      <c r="M841" s="2">
        <v>45</v>
      </c>
      <c r="N841" s="2">
        <v>3</v>
      </c>
      <c r="O841" s="2">
        <v>2</v>
      </c>
      <c r="P841" s="2" t="s">
        <v>40</v>
      </c>
      <c r="Q841" s="2">
        <v>1</v>
      </c>
      <c r="R841" s="2" t="s">
        <v>41</v>
      </c>
      <c r="S841" s="2">
        <v>5155</v>
      </c>
      <c r="T841" s="2">
        <v>2253</v>
      </c>
      <c r="U841" s="2">
        <v>7</v>
      </c>
      <c r="V841" s="2" t="s">
        <v>42</v>
      </c>
      <c r="W841" s="2" t="s">
        <v>43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</row>
    <row r="842" spans="1:35" x14ac:dyDescent="0.25">
      <c r="A842" s="2">
        <v>35</v>
      </c>
      <c r="B842" s="2" t="s">
        <v>43</v>
      </c>
      <c r="C842" s="2" t="s">
        <v>36</v>
      </c>
      <c r="D842" s="2">
        <v>982</v>
      </c>
      <c r="E842" s="2" t="s">
        <v>45</v>
      </c>
      <c r="F842" s="2">
        <v>1</v>
      </c>
      <c r="G842" s="2">
        <v>4</v>
      </c>
      <c r="H842" s="2" t="s">
        <v>51</v>
      </c>
      <c r="I842" s="2">
        <v>1</v>
      </c>
      <c r="J842" s="2">
        <v>1172</v>
      </c>
      <c r="K842" s="2">
        <v>4</v>
      </c>
      <c r="L842" s="2" t="s">
        <v>46</v>
      </c>
      <c r="M842" s="2">
        <v>58</v>
      </c>
      <c r="N842" s="2">
        <v>2</v>
      </c>
      <c r="O842" s="2">
        <v>1</v>
      </c>
      <c r="P842" s="2" t="s">
        <v>50</v>
      </c>
      <c r="Q842" s="2">
        <v>3</v>
      </c>
      <c r="R842" s="2" t="s">
        <v>48</v>
      </c>
      <c r="S842" s="2">
        <v>2258</v>
      </c>
      <c r="T842" s="2">
        <v>16340</v>
      </c>
      <c r="U842" s="2">
        <v>6</v>
      </c>
      <c r="V842" s="2" t="s">
        <v>42</v>
      </c>
      <c r="W842" s="2" t="s">
        <v>43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</row>
    <row r="843" spans="1:35" x14ac:dyDescent="0.25">
      <c r="A843" s="2">
        <v>24</v>
      </c>
      <c r="B843" s="2" t="s">
        <v>43</v>
      </c>
      <c r="C843" s="2" t="s">
        <v>36</v>
      </c>
      <c r="D843" s="2">
        <v>477</v>
      </c>
      <c r="E843" s="2" t="s">
        <v>45</v>
      </c>
      <c r="F843" s="2">
        <v>24</v>
      </c>
      <c r="G843" s="2">
        <v>3</v>
      </c>
      <c r="H843" s="2" t="s">
        <v>51</v>
      </c>
      <c r="I843" s="2">
        <v>1</v>
      </c>
      <c r="J843" s="2">
        <v>1173</v>
      </c>
      <c r="K843" s="2">
        <v>4</v>
      </c>
      <c r="L843" s="2" t="s">
        <v>46</v>
      </c>
      <c r="M843" s="2">
        <v>49</v>
      </c>
      <c r="N843" s="2">
        <v>3</v>
      </c>
      <c r="O843" s="2">
        <v>1</v>
      </c>
      <c r="P843" s="2" t="s">
        <v>50</v>
      </c>
      <c r="Q843" s="2">
        <v>2</v>
      </c>
      <c r="R843" s="2" t="s">
        <v>41</v>
      </c>
      <c r="S843" s="2">
        <v>3597</v>
      </c>
      <c r="T843" s="2">
        <v>6409</v>
      </c>
      <c r="U843" s="2">
        <v>8</v>
      </c>
      <c r="V843" s="2" t="s">
        <v>42</v>
      </c>
      <c r="W843" s="2" t="s">
        <v>43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</row>
    <row r="844" spans="1:35" x14ac:dyDescent="0.25">
      <c r="A844" s="2">
        <v>28</v>
      </c>
      <c r="B844" s="2" t="s">
        <v>35</v>
      </c>
      <c r="C844" s="2" t="s">
        <v>36</v>
      </c>
      <c r="D844" s="2">
        <v>1485</v>
      </c>
      <c r="E844" s="2" t="s">
        <v>45</v>
      </c>
      <c r="F844" s="2">
        <v>12</v>
      </c>
      <c r="G844" s="2">
        <v>1</v>
      </c>
      <c r="H844" s="2" t="s">
        <v>38</v>
      </c>
      <c r="I844" s="2">
        <v>1</v>
      </c>
      <c r="J844" s="2">
        <v>1175</v>
      </c>
      <c r="K844" s="2">
        <v>3</v>
      </c>
      <c r="L844" s="2" t="s">
        <v>39</v>
      </c>
      <c r="M844" s="2">
        <v>79</v>
      </c>
      <c r="N844" s="2">
        <v>3</v>
      </c>
      <c r="O844" s="2">
        <v>1</v>
      </c>
      <c r="P844" s="2" t="s">
        <v>50</v>
      </c>
      <c r="Q844" s="2">
        <v>4</v>
      </c>
      <c r="R844" s="2" t="s">
        <v>48</v>
      </c>
      <c r="S844" s="2">
        <v>2515</v>
      </c>
      <c r="T844" s="2">
        <v>22955</v>
      </c>
      <c r="U844" s="2">
        <v>1</v>
      </c>
      <c r="V844" s="2" t="s">
        <v>42</v>
      </c>
      <c r="W844" s="2" t="s">
        <v>35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</row>
    <row r="845" spans="1:35" x14ac:dyDescent="0.25">
      <c r="A845" s="2">
        <v>26</v>
      </c>
      <c r="B845" s="2" t="s">
        <v>43</v>
      </c>
      <c r="C845" s="2" t="s">
        <v>36</v>
      </c>
      <c r="D845" s="2">
        <v>1384</v>
      </c>
      <c r="E845" s="2" t="s">
        <v>45</v>
      </c>
      <c r="F845" s="2">
        <v>3</v>
      </c>
      <c r="G845" s="2">
        <v>4</v>
      </c>
      <c r="H845" s="2" t="s">
        <v>51</v>
      </c>
      <c r="I845" s="2">
        <v>1</v>
      </c>
      <c r="J845" s="2">
        <v>1177</v>
      </c>
      <c r="K845" s="2">
        <v>1</v>
      </c>
      <c r="L845" s="2" t="s">
        <v>46</v>
      </c>
      <c r="M845" s="2">
        <v>82</v>
      </c>
      <c r="N845" s="2">
        <v>4</v>
      </c>
      <c r="O845" s="2">
        <v>1</v>
      </c>
      <c r="P845" s="2" t="s">
        <v>50</v>
      </c>
      <c r="Q845" s="2">
        <v>4</v>
      </c>
      <c r="R845" s="2" t="s">
        <v>48</v>
      </c>
      <c r="S845" s="2">
        <v>4420</v>
      </c>
      <c r="T845" s="2">
        <v>13421</v>
      </c>
      <c r="U845" s="2">
        <v>1</v>
      </c>
      <c r="V845" s="2" t="s">
        <v>42</v>
      </c>
      <c r="W845" s="2" t="s">
        <v>43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</row>
    <row r="846" spans="1:35" x14ac:dyDescent="0.25">
      <c r="A846" s="2">
        <v>30</v>
      </c>
      <c r="B846" s="2" t="s">
        <v>43</v>
      </c>
      <c r="C846" s="2" t="s">
        <v>36</v>
      </c>
      <c r="D846" s="2">
        <v>852</v>
      </c>
      <c r="E846" s="2" t="s">
        <v>37</v>
      </c>
      <c r="F846" s="2">
        <v>10</v>
      </c>
      <c r="G846" s="2">
        <v>3</v>
      </c>
      <c r="H846" s="2" t="s">
        <v>59</v>
      </c>
      <c r="I846" s="2">
        <v>1</v>
      </c>
      <c r="J846" s="2">
        <v>1179</v>
      </c>
      <c r="K846" s="2">
        <v>3</v>
      </c>
      <c r="L846" s="2" t="s">
        <v>46</v>
      </c>
      <c r="M846" s="2">
        <v>72</v>
      </c>
      <c r="N846" s="2">
        <v>2</v>
      </c>
      <c r="O846" s="2">
        <v>2</v>
      </c>
      <c r="P846" s="2" t="s">
        <v>40</v>
      </c>
      <c r="Q846" s="2">
        <v>3</v>
      </c>
      <c r="R846" s="2" t="s">
        <v>48</v>
      </c>
      <c r="S846" s="2">
        <v>6578</v>
      </c>
      <c r="T846" s="2">
        <v>2706</v>
      </c>
      <c r="U846" s="2">
        <v>1</v>
      </c>
      <c r="V846" s="2" t="s">
        <v>42</v>
      </c>
      <c r="W846" s="2" t="s">
        <v>43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</row>
    <row r="847" spans="1:35" x14ac:dyDescent="0.25">
      <c r="A847" s="2">
        <v>40</v>
      </c>
      <c r="B847" s="2" t="s">
        <v>43</v>
      </c>
      <c r="C847" s="2" t="s">
        <v>44</v>
      </c>
      <c r="D847" s="2">
        <v>902</v>
      </c>
      <c r="E847" s="2" t="s">
        <v>45</v>
      </c>
      <c r="F847" s="2">
        <v>26</v>
      </c>
      <c r="G847" s="2">
        <v>2</v>
      </c>
      <c r="H847" s="2" t="s">
        <v>51</v>
      </c>
      <c r="I847" s="2">
        <v>1</v>
      </c>
      <c r="J847" s="2">
        <v>1180</v>
      </c>
      <c r="K847" s="2">
        <v>3</v>
      </c>
      <c r="L847" s="2" t="s">
        <v>39</v>
      </c>
      <c r="M847" s="2">
        <v>92</v>
      </c>
      <c r="N847" s="2">
        <v>2</v>
      </c>
      <c r="O847" s="2">
        <v>2</v>
      </c>
      <c r="P847" s="2" t="s">
        <v>47</v>
      </c>
      <c r="Q847" s="2">
        <v>4</v>
      </c>
      <c r="R847" s="2" t="s">
        <v>48</v>
      </c>
      <c r="S847" s="2">
        <v>4422</v>
      </c>
      <c r="T847" s="2">
        <v>21203</v>
      </c>
      <c r="U847" s="2">
        <v>3</v>
      </c>
      <c r="V847" s="2" t="s">
        <v>42</v>
      </c>
      <c r="W847" s="2" t="s">
        <v>35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</row>
    <row r="848" spans="1:35" x14ac:dyDescent="0.25">
      <c r="A848" s="2">
        <v>35</v>
      </c>
      <c r="B848" s="2" t="s">
        <v>43</v>
      </c>
      <c r="C848" s="2" t="s">
        <v>36</v>
      </c>
      <c r="D848" s="2">
        <v>819</v>
      </c>
      <c r="E848" s="2" t="s">
        <v>45</v>
      </c>
      <c r="F848" s="2">
        <v>2</v>
      </c>
      <c r="G848" s="2">
        <v>3</v>
      </c>
      <c r="H848" s="2" t="s">
        <v>38</v>
      </c>
      <c r="I848" s="2">
        <v>1</v>
      </c>
      <c r="J848" s="2">
        <v>1182</v>
      </c>
      <c r="K848" s="2">
        <v>3</v>
      </c>
      <c r="L848" s="2" t="s">
        <v>46</v>
      </c>
      <c r="M848" s="2">
        <v>44</v>
      </c>
      <c r="N848" s="2">
        <v>2</v>
      </c>
      <c r="O848" s="2">
        <v>3</v>
      </c>
      <c r="P848" s="2" t="s">
        <v>53</v>
      </c>
      <c r="Q848" s="2">
        <v>2</v>
      </c>
      <c r="R848" s="2" t="s">
        <v>52</v>
      </c>
      <c r="S848" s="2">
        <v>10274</v>
      </c>
      <c r="T848" s="2">
        <v>19588</v>
      </c>
      <c r="U848" s="2">
        <v>2</v>
      </c>
      <c r="V848" s="2" t="s">
        <v>42</v>
      </c>
      <c r="W848" s="2" t="s">
        <v>43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</row>
    <row r="849" spans="1:35" x14ac:dyDescent="0.25">
      <c r="A849" s="2">
        <v>34</v>
      </c>
      <c r="B849" s="2" t="s">
        <v>43</v>
      </c>
      <c r="C849" s="2" t="s">
        <v>44</v>
      </c>
      <c r="D849" s="2">
        <v>669</v>
      </c>
      <c r="E849" s="2" t="s">
        <v>45</v>
      </c>
      <c r="F849" s="2">
        <v>1</v>
      </c>
      <c r="G849" s="2">
        <v>3</v>
      </c>
      <c r="H849" s="2" t="s">
        <v>51</v>
      </c>
      <c r="I849" s="2">
        <v>1</v>
      </c>
      <c r="J849" s="2">
        <v>1184</v>
      </c>
      <c r="K849" s="2">
        <v>4</v>
      </c>
      <c r="L849" s="2" t="s">
        <v>46</v>
      </c>
      <c r="M849" s="2">
        <v>97</v>
      </c>
      <c r="N849" s="2">
        <v>2</v>
      </c>
      <c r="O849" s="2">
        <v>2</v>
      </c>
      <c r="P849" s="2" t="s">
        <v>54</v>
      </c>
      <c r="Q849" s="2">
        <v>1</v>
      </c>
      <c r="R849" s="2" t="s">
        <v>41</v>
      </c>
      <c r="S849" s="2">
        <v>5343</v>
      </c>
      <c r="T849" s="2">
        <v>25755</v>
      </c>
      <c r="U849" s="2">
        <v>0</v>
      </c>
      <c r="V849" s="2" t="s">
        <v>42</v>
      </c>
      <c r="W849" s="2" t="s">
        <v>43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</row>
    <row r="850" spans="1:35" x14ac:dyDescent="0.25">
      <c r="A850" s="2">
        <v>35</v>
      </c>
      <c r="B850" s="2" t="s">
        <v>43</v>
      </c>
      <c r="C850" s="2" t="s">
        <v>44</v>
      </c>
      <c r="D850" s="2">
        <v>636</v>
      </c>
      <c r="E850" s="2" t="s">
        <v>45</v>
      </c>
      <c r="F850" s="2">
        <v>4</v>
      </c>
      <c r="G850" s="2">
        <v>4</v>
      </c>
      <c r="H850" s="2" t="s">
        <v>49</v>
      </c>
      <c r="I850" s="2">
        <v>1</v>
      </c>
      <c r="J850" s="2">
        <v>1185</v>
      </c>
      <c r="K850" s="2">
        <v>4</v>
      </c>
      <c r="L850" s="2" t="s">
        <v>46</v>
      </c>
      <c r="M850" s="2">
        <v>47</v>
      </c>
      <c r="N850" s="2">
        <v>2</v>
      </c>
      <c r="O850" s="2">
        <v>1</v>
      </c>
      <c r="P850" s="2" t="s">
        <v>50</v>
      </c>
      <c r="Q850" s="2">
        <v>4</v>
      </c>
      <c r="R850" s="2" t="s">
        <v>48</v>
      </c>
      <c r="S850" s="2">
        <v>2376</v>
      </c>
      <c r="T850" s="2">
        <v>26537</v>
      </c>
      <c r="U850" s="2">
        <v>1</v>
      </c>
      <c r="V850" s="2" t="s">
        <v>42</v>
      </c>
      <c r="W850" s="2" t="s">
        <v>43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</row>
    <row r="851" spans="1:35" x14ac:dyDescent="0.25">
      <c r="A851" s="2">
        <v>43</v>
      </c>
      <c r="B851" s="2" t="s">
        <v>35</v>
      </c>
      <c r="C851" s="2" t="s">
        <v>36</v>
      </c>
      <c r="D851" s="2">
        <v>1372</v>
      </c>
      <c r="E851" s="2" t="s">
        <v>37</v>
      </c>
      <c r="F851" s="2">
        <v>9</v>
      </c>
      <c r="G851" s="2">
        <v>3</v>
      </c>
      <c r="H851" s="2" t="s">
        <v>59</v>
      </c>
      <c r="I851" s="2">
        <v>1</v>
      </c>
      <c r="J851" s="2">
        <v>1188</v>
      </c>
      <c r="K851" s="2">
        <v>1</v>
      </c>
      <c r="L851" s="2" t="s">
        <v>39</v>
      </c>
      <c r="M851" s="2">
        <v>85</v>
      </c>
      <c r="N851" s="2">
        <v>1</v>
      </c>
      <c r="O851" s="2">
        <v>2</v>
      </c>
      <c r="P851" s="2" t="s">
        <v>40</v>
      </c>
      <c r="Q851" s="2">
        <v>3</v>
      </c>
      <c r="R851" s="2" t="s">
        <v>41</v>
      </c>
      <c r="S851" s="2">
        <v>5346</v>
      </c>
      <c r="T851" s="2">
        <v>9489</v>
      </c>
      <c r="U851" s="2">
        <v>8</v>
      </c>
      <c r="V851" s="2" t="s">
        <v>42</v>
      </c>
      <c r="W851" s="2" t="s">
        <v>43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</row>
    <row r="852" spans="1:35" x14ac:dyDescent="0.25">
      <c r="A852" s="2">
        <v>32</v>
      </c>
      <c r="B852" s="2" t="s">
        <v>43</v>
      </c>
      <c r="C852" s="2" t="s">
        <v>55</v>
      </c>
      <c r="D852" s="2">
        <v>862</v>
      </c>
      <c r="E852" s="2" t="s">
        <v>37</v>
      </c>
      <c r="F852" s="2">
        <v>2</v>
      </c>
      <c r="G852" s="2">
        <v>1</v>
      </c>
      <c r="H852" s="2" t="s">
        <v>38</v>
      </c>
      <c r="I852" s="2">
        <v>1</v>
      </c>
      <c r="J852" s="2">
        <v>1190</v>
      </c>
      <c r="K852" s="2">
        <v>3</v>
      </c>
      <c r="L852" s="2" t="s">
        <v>39</v>
      </c>
      <c r="M852" s="2">
        <v>76</v>
      </c>
      <c r="N852" s="2">
        <v>3</v>
      </c>
      <c r="O852" s="2">
        <v>1</v>
      </c>
      <c r="P852" s="2" t="s">
        <v>57</v>
      </c>
      <c r="Q852" s="2">
        <v>1</v>
      </c>
      <c r="R852" s="2" t="s">
        <v>52</v>
      </c>
      <c r="S852" s="2">
        <v>2827</v>
      </c>
      <c r="T852" s="2">
        <v>14947</v>
      </c>
      <c r="U852" s="2">
        <v>1</v>
      </c>
      <c r="V852" s="2" t="s">
        <v>42</v>
      </c>
      <c r="W852" s="2" t="s">
        <v>43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</row>
    <row r="853" spans="1:35" x14ac:dyDescent="0.25">
      <c r="A853" s="2">
        <v>56</v>
      </c>
      <c r="B853" s="2" t="s">
        <v>43</v>
      </c>
      <c r="C853" s="2" t="s">
        <v>36</v>
      </c>
      <c r="D853" s="2">
        <v>718</v>
      </c>
      <c r="E853" s="2" t="s">
        <v>45</v>
      </c>
      <c r="F853" s="2">
        <v>4</v>
      </c>
      <c r="G853" s="2">
        <v>4</v>
      </c>
      <c r="H853" s="2" t="s">
        <v>60</v>
      </c>
      <c r="I853" s="2">
        <v>1</v>
      </c>
      <c r="J853" s="2">
        <v>1191</v>
      </c>
      <c r="K853" s="2">
        <v>4</v>
      </c>
      <c r="L853" s="2" t="s">
        <v>39</v>
      </c>
      <c r="M853" s="2">
        <v>92</v>
      </c>
      <c r="N853" s="2">
        <v>3</v>
      </c>
      <c r="O853" s="2">
        <v>5</v>
      </c>
      <c r="P853" s="2" t="s">
        <v>56</v>
      </c>
      <c r="Q853" s="2">
        <v>1</v>
      </c>
      <c r="R853" s="2" t="s">
        <v>52</v>
      </c>
      <c r="S853" s="2">
        <v>19943</v>
      </c>
      <c r="T853" s="2">
        <v>18575</v>
      </c>
      <c r="U853" s="2">
        <v>4</v>
      </c>
      <c r="V853" s="2" t="s">
        <v>42</v>
      </c>
      <c r="W853" s="2" t="s">
        <v>43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</row>
    <row r="854" spans="1:35" x14ac:dyDescent="0.25">
      <c r="A854" s="2">
        <v>29</v>
      </c>
      <c r="B854" s="2" t="s">
        <v>43</v>
      </c>
      <c r="C854" s="2" t="s">
        <v>36</v>
      </c>
      <c r="D854" s="2">
        <v>1401</v>
      </c>
      <c r="E854" s="2" t="s">
        <v>45</v>
      </c>
      <c r="F854" s="2">
        <v>6</v>
      </c>
      <c r="G854" s="2">
        <v>1</v>
      </c>
      <c r="H854" s="2" t="s">
        <v>51</v>
      </c>
      <c r="I854" s="2">
        <v>1</v>
      </c>
      <c r="J854" s="2">
        <v>1192</v>
      </c>
      <c r="K854" s="2">
        <v>2</v>
      </c>
      <c r="L854" s="2" t="s">
        <v>39</v>
      </c>
      <c r="M854" s="2">
        <v>54</v>
      </c>
      <c r="N854" s="2">
        <v>3</v>
      </c>
      <c r="O854" s="2">
        <v>1</v>
      </c>
      <c r="P854" s="2" t="s">
        <v>50</v>
      </c>
      <c r="Q854" s="2">
        <v>4</v>
      </c>
      <c r="R854" s="2" t="s">
        <v>48</v>
      </c>
      <c r="S854" s="2">
        <v>3131</v>
      </c>
      <c r="T854" s="2">
        <v>26342</v>
      </c>
      <c r="U854" s="2">
        <v>1</v>
      </c>
      <c r="V854" s="2" t="s">
        <v>42</v>
      </c>
      <c r="W854" s="2" t="s">
        <v>43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</row>
    <row r="855" spans="1:35" x14ac:dyDescent="0.25">
      <c r="A855" s="2">
        <v>19</v>
      </c>
      <c r="B855" s="2" t="s">
        <v>43</v>
      </c>
      <c r="C855" s="2" t="s">
        <v>36</v>
      </c>
      <c r="D855" s="2">
        <v>645</v>
      </c>
      <c r="E855" s="2" t="s">
        <v>45</v>
      </c>
      <c r="F855" s="2">
        <v>9</v>
      </c>
      <c r="G855" s="2">
        <v>2</v>
      </c>
      <c r="H855" s="2" t="s">
        <v>38</v>
      </c>
      <c r="I855" s="2">
        <v>1</v>
      </c>
      <c r="J855" s="2">
        <v>1193</v>
      </c>
      <c r="K855" s="2">
        <v>3</v>
      </c>
      <c r="L855" s="2" t="s">
        <v>46</v>
      </c>
      <c r="M855" s="2">
        <v>54</v>
      </c>
      <c r="N855" s="2">
        <v>3</v>
      </c>
      <c r="O855" s="2">
        <v>1</v>
      </c>
      <c r="P855" s="2" t="s">
        <v>47</v>
      </c>
      <c r="Q855" s="2">
        <v>1</v>
      </c>
      <c r="R855" s="2" t="s">
        <v>41</v>
      </c>
      <c r="S855" s="2">
        <v>2552</v>
      </c>
      <c r="T855" s="2">
        <v>7172</v>
      </c>
      <c r="U855" s="2">
        <v>1</v>
      </c>
      <c r="V855" s="2" t="s">
        <v>42</v>
      </c>
      <c r="W855" s="2" t="s">
        <v>43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</row>
    <row r="856" spans="1:35" x14ac:dyDescent="0.25">
      <c r="A856" s="2">
        <v>45</v>
      </c>
      <c r="B856" s="2" t="s">
        <v>43</v>
      </c>
      <c r="C856" s="2" t="s">
        <v>36</v>
      </c>
      <c r="D856" s="2">
        <v>1457</v>
      </c>
      <c r="E856" s="2" t="s">
        <v>45</v>
      </c>
      <c r="F856" s="2">
        <v>7</v>
      </c>
      <c r="G856" s="2">
        <v>3</v>
      </c>
      <c r="H856" s="2" t="s">
        <v>51</v>
      </c>
      <c r="I856" s="2">
        <v>1</v>
      </c>
      <c r="J856" s="2">
        <v>1195</v>
      </c>
      <c r="K856" s="2">
        <v>1</v>
      </c>
      <c r="L856" s="2" t="s">
        <v>39</v>
      </c>
      <c r="M856" s="2">
        <v>83</v>
      </c>
      <c r="N856" s="2">
        <v>3</v>
      </c>
      <c r="O856" s="2">
        <v>1</v>
      </c>
      <c r="P856" s="2" t="s">
        <v>47</v>
      </c>
      <c r="Q856" s="2">
        <v>3</v>
      </c>
      <c r="R856" s="2" t="s">
        <v>48</v>
      </c>
      <c r="S856" s="2">
        <v>4477</v>
      </c>
      <c r="T856" s="2">
        <v>20100</v>
      </c>
      <c r="U856" s="2">
        <v>4</v>
      </c>
      <c r="V856" s="2" t="s">
        <v>42</v>
      </c>
      <c r="W856" s="2" t="s">
        <v>35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</row>
    <row r="857" spans="1:35" x14ac:dyDescent="0.25">
      <c r="A857" s="2">
        <v>37</v>
      </c>
      <c r="B857" s="2" t="s">
        <v>43</v>
      </c>
      <c r="C857" s="2" t="s">
        <v>36</v>
      </c>
      <c r="D857" s="2">
        <v>977</v>
      </c>
      <c r="E857" s="2" t="s">
        <v>45</v>
      </c>
      <c r="F857" s="2">
        <v>1</v>
      </c>
      <c r="G857" s="2">
        <v>3</v>
      </c>
      <c r="H857" s="2" t="s">
        <v>38</v>
      </c>
      <c r="I857" s="2">
        <v>1</v>
      </c>
      <c r="J857" s="2">
        <v>1196</v>
      </c>
      <c r="K857" s="2">
        <v>4</v>
      </c>
      <c r="L857" s="2" t="s">
        <v>39</v>
      </c>
      <c r="M857" s="2">
        <v>56</v>
      </c>
      <c r="N857" s="2">
        <v>2</v>
      </c>
      <c r="O857" s="2">
        <v>2</v>
      </c>
      <c r="P857" s="2" t="s">
        <v>53</v>
      </c>
      <c r="Q857" s="2">
        <v>4</v>
      </c>
      <c r="R857" s="2" t="s">
        <v>48</v>
      </c>
      <c r="S857" s="2">
        <v>6474</v>
      </c>
      <c r="T857" s="2">
        <v>9961</v>
      </c>
      <c r="U857" s="2">
        <v>1</v>
      </c>
      <c r="V857" s="2" t="s">
        <v>42</v>
      </c>
      <c r="W857" s="2" t="s">
        <v>43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</row>
    <row r="858" spans="1:35" x14ac:dyDescent="0.25">
      <c r="A858" s="2">
        <v>20</v>
      </c>
      <c r="B858" s="2" t="s">
        <v>43</v>
      </c>
      <c r="C858" s="2" t="s">
        <v>36</v>
      </c>
      <c r="D858" s="2">
        <v>805</v>
      </c>
      <c r="E858" s="2" t="s">
        <v>45</v>
      </c>
      <c r="F858" s="2">
        <v>3</v>
      </c>
      <c r="G858" s="2">
        <v>3</v>
      </c>
      <c r="H858" s="2" t="s">
        <v>38</v>
      </c>
      <c r="I858" s="2">
        <v>1</v>
      </c>
      <c r="J858" s="2">
        <v>1198</v>
      </c>
      <c r="K858" s="2">
        <v>1</v>
      </c>
      <c r="L858" s="2" t="s">
        <v>46</v>
      </c>
      <c r="M858" s="2">
        <v>87</v>
      </c>
      <c r="N858" s="2">
        <v>2</v>
      </c>
      <c r="O858" s="2">
        <v>1</v>
      </c>
      <c r="P858" s="2" t="s">
        <v>50</v>
      </c>
      <c r="Q858" s="2">
        <v>3</v>
      </c>
      <c r="R858" s="2" t="s">
        <v>41</v>
      </c>
      <c r="S858" s="2">
        <v>3033</v>
      </c>
      <c r="T858" s="2">
        <v>12828</v>
      </c>
      <c r="U858" s="2">
        <v>1</v>
      </c>
      <c r="V858" s="2" t="s">
        <v>42</v>
      </c>
      <c r="W858" s="2" t="s">
        <v>43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</row>
    <row r="859" spans="1:35" x14ac:dyDescent="0.25">
      <c r="A859" s="2">
        <v>44</v>
      </c>
      <c r="B859" s="2" t="s">
        <v>35</v>
      </c>
      <c r="C859" s="2" t="s">
        <v>36</v>
      </c>
      <c r="D859" s="2">
        <v>1097</v>
      </c>
      <c r="E859" s="2" t="s">
        <v>45</v>
      </c>
      <c r="F859" s="2">
        <v>10</v>
      </c>
      <c r="G859" s="2">
        <v>4</v>
      </c>
      <c r="H859" s="2" t="s">
        <v>38</v>
      </c>
      <c r="I859" s="2">
        <v>1</v>
      </c>
      <c r="J859" s="2">
        <v>1200</v>
      </c>
      <c r="K859" s="2">
        <v>3</v>
      </c>
      <c r="L859" s="2" t="s">
        <v>46</v>
      </c>
      <c r="M859" s="2">
        <v>96</v>
      </c>
      <c r="N859" s="2">
        <v>3</v>
      </c>
      <c r="O859" s="2">
        <v>1</v>
      </c>
      <c r="P859" s="2" t="s">
        <v>47</v>
      </c>
      <c r="Q859" s="2">
        <v>3</v>
      </c>
      <c r="R859" s="2" t="s">
        <v>41</v>
      </c>
      <c r="S859" s="2">
        <v>2936</v>
      </c>
      <c r="T859" s="2">
        <v>10826</v>
      </c>
      <c r="U859" s="2">
        <v>1</v>
      </c>
      <c r="V859" s="2" t="s">
        <v>42</v>
      </c>
      <c r="W859" s="2" t="s">
        <v>35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</row>
    <row r="860" spans="1:35" x14ac:dyDescent="0.25">
      <c r="A860" s="2">
        <v>53</v>
      </c>
      <c r="B860" s="2" t="s">
        <v>43</v>
      </c>
      <c r="C860" s="2" t="s">
        <v>36</v>
      </c>
      <c r="D860" s="2">
        <v>1223</v>
      </c>
      <c r="E860" s="2" t="s">
        <v>45</v>
      </c>
      <c r="F860" s="2">
        <v>7</v>
      </c>
      <c r="G860" s="2">
        <v>2</v>
      </c>
      <c r="H860" s="2" t="s">
        <v>51</v>
      </c>
      <c r="I860" s="2">
        <v>1</v>
      </c>
      <c r="J860" s="2">
        <v>1201</v>
      </c>
      <c r="K860" s="2">
        <v>4</v>
      </c>
      <c r="L860" s="2" t="s">
        <v>39</v>
      </c>
      <c r="M860" s="2">
        <v>50</v>
      </c>
      <c r="N860" s="2">
        <v>3</v>
      </c>
      <c r="O860" s="2">
        <v>5</v>
      </c>
      <c r="P860" s="2" t="s">
        <v>56</v>
      </c>
      <c r="Q860" s="2">
        <v>3</v>
      </c>
      <c r="R860" s="2" t="s">
        <v>52</v>
      </c>
      <c r="S860" s="2">
        <v>18606</v>
      </c>
      <c r="T860" s="2">
        <v>18640</v>
      </c>
      <c r="U860" s="2">
        <v>3</v>
      </c>
      <c r="V860" s="2" t="s">
        <v>42</v>
      </c>
      <c r="W860" s="2" t="s">
        <v>43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</row>
    <row r="861" spans="1:35" x14ac:dyDescent="0.25">
      <c r="A861" s="2">
        <v>29</v>
      </c>
      <c r="B861" s="2" t="s">
        <v>43</v>
      </c>
      <c r="C861" s="2" t="s">
        <v>36</v>
      </c>
      <c r="D861" s="2">
        <v>942</v>
      </c>
      <c r="E861" s="2" t="s">
        <v>45</v>
      </c>
      <c r="F861" s="2">
        <v>15</v>
      </c>
      <c r="G861" s="2">
        <v>1</v>
      </c>
      <c r="H861" s="2" t="s">
        <v>38</v>
      </c>
      <c r="I861" s="2">
        <v>1</v>
      </c>
      <c r="J861" s="2">
        <v>1202</v>
      </c>
      <c r="K861" s="2">
        <v>2</v>
      </c>
      <c r="L861" s="2" t="s">
        <v>39</v>
      </c>
      <c r="M861" s="2">
        <v>69</v>
      </c>
      <c r="N861" s="2">
        <v>1</v>
      </c>
      <c r="O861" s="2">
        <v>1</v>
      </c>
      <c r="P861" s="2" t="s">
        <v>47</v>
      </c>
      <c r="Q861" s="2">
        <v>4</v>
      </c>
      <c r="R861" s="2" t="s">
        <v>48</v>
      </c>
      <c r="S861" s="2">
        <v>2168</v>
      </c>
      <c r="T861" s="2">
        <v>26933</v>
      </c>
      <c r="U861" s="2">
        <v>0</v>
      </c>
      <c r="V861" s="2" t="s">
        <v>42</v>
      </c>
      <c r="W861" s="2" t="s">
        <v>35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</row>
    <row r="862" spans="1:35" x14ac:dyDescent="0.25">
      <c r="A862" s="2">
        <v>22</v>
      </c>
      <c r="B862" s="2" t="s">
        <v>35</v>
      </c>
      <c r="C862" s="2" t="s">
        <v>44</v>
      </c>
      <c r="D862" s="2">
        <v>1256</v>
      </c>
      <c r="E862" s="2" t="s">
        <v>45</v>
      </c>
      <c r="F862" s="2">
        <v>3</v>
      </c>
      <c r="G862" s="2">
        <v>4</v>
      </c>
      <c r="H862" s="2" t="s">
        <v>38</v>
      </c>
      <c r="I862" s="2">
        <v>1</v>
      </c>
      <c r="J862" s="2">
        <v>1203</v>
      </c>
      <c r="K862" s="2">
        <v>3</v>
      </c>
      <c r="L862" s="2" t="s">
        <v>46</v>
      </c>
      <c r="M862" s="2">
        <v>48</v>
      </c>
      <c r="N862" s="2">
        <v>2</v>
      </c>
      <c r="O862" s="2">
        <v>1</v>
      </c>
      <c r="P862" s="2" t="s">
        <v>47</v>
      </c>
      <c r="Q862" s="2">
        <v>4</v>
      </c>
      <c r="R862" s="2" t="s">
        <v>48</v>
      </c>
      <c r="S862" s="2">
        <v>2853</v>
      </c>
      <c r="T862" s="2">
        <v>4223</v>
      </c>
      <c r="U862" s="2">
        <v>0</v>
      </c>
      <c r="V862" s="2" t="s">
        <v>42</v>
      </c>
      <c r="W862" s="2" t="s">
        <v>35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</row>
    <row r="863" spans="1:35" x14ac:dyDescent="0.25">
      <c r="A863" s="2">
        <v>46</v>
      </c>
      <c r="B863" s="2" t="s">
        <v>43</v>
      </c>
      <c r="C863" s="2" t="s">
        <v>36</v>
      </c>
      <c r="D863" s="2">
        <v>1402</v>
      </c>
      <c r="E863" s="2" t="s">
        <v>37</v>
      </c>
      <c r="F863" s="2">
        <v>2</v>
      </c>
      <c r="G863" s="2">
        <v>3</v>
      </c>
      <c r="H863" s="2" t="s">
        <v>59</v>
      </c>
      <c r="I863" s="2">
        <v>1</v>
      </c>
      <c r="J863" s="2">
        <v>1204</v>
      </c>
      <c r="K863" s="2">
        <v>3</v>
      </c>
      <c r="L863" s="2" t="s">
        <v>39</v>
      </c>
      <c r="M863" s="2">
        <v>69</v>
      </c>
      <c r="N863" s="2">
        <v>3</v>
      </c>
      <c r="O863" s="2">
        <v>4</v>
      </c>
      <c r="P863" s="2" t="s">
        <v>56</v>
      </c>
      <c r="Q863" s="2">
        <v>1</v>
      </c>
      <c r="R863" s="2" t="s">
        <v>48</v>
      </c>
      <c r="S863" s="2">
        <v>17048</v>
      </c>
      <c r="T863" s="2">
        <v>24097</v>
      </c>
      <c r="U863" s="2">
        <v>8</v>
      </c>
      <c r="V863" s="2" t="s">
        <v>42</v>
      </c>
      <c r="W863" s="2" t="s">
        <v>43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</row>
    <row r="864" spans="1:35" x14ac:dyDescent="0.25">
      <c r="A864" s="2">
        <v>44</v>
      </c>
      <c r="B864" s="2" t="s">
        <v>43</v>
      </c>
      <c r="C864" s="2" t="s">
        <v>55</v>
      </c>
      <c r="D864" s="2">
        <v>111</v>
      </c>
      <c r="E864" s="2" t="s">
        <v>45</v>
      </c>
      <c r="F864" s="2">
        <v>17</v>
      </c>
      <c r="G864" s="2">
        <v>3</v>
      </c>
      <c r="H864" s="2" t="s">
        <v>38</v>
      </c>
      <c r="I864" s="2">
        <v>1</v>
      </c>
      <c r="J864" s="2">
        <v>1206</v>
      </c>
      <c r="K864" s="2">
        <v>4</v>
      </c>
      <c r="L864" s="2" t="s">
        <v>46</v>
      </c>
      <c r="M864" s="2">
        <v>74</v>
      </c>
      <c r="N864" s="2">
        <v>1</v>
      </c>
      <c r="O864" s="2">
        <v>1</v>
      </c>
      <c r="P864" s="2" t="s">
        <v>47</v>
      </c>
      <c r="Q864" s="2">
        <v>3</v>
      </c>
      <c r="R864" s="2" t="s">
        <v>41</v>
      </c>
      <c r="S864" s="2">
        <v>2290</v>
      </c>
      <c r="T864" s="2">
        <v>4279</v>
      </c>
      <c r="U864" s="2">
        <v>2</v>
      </c>
      <c r="V864" s="2" t="s">
        <v>42</v>
      </c>
      <c r="W864" s="2" t="s">
        <v>43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</row>
    <row r="865" spans="1:35" x14ac:dyDescent="0.25">
      <c r="A865" s="2">
        <v>33</v>
      </c>
      <c r="B865" s="2" t="s">
        <v>43</v>
      </c>
      <c r="C865" s="2" t="s">
        <v>36</v>
      </c>
      <c r="D865" s="2">
        <v>147</v>
      </c>
      <c r="E865" s="2" t="s">
        <v>61</v>
      </c>
      <c r="F865" s="2">
        <v>2</v>
      </c>
      <c r="G865" s="2">
        <v>3</v>
      </c>
      <c r="H865" s="2" t="s">
        <v>61</v>
      </c>
      <c r="I865" s="2">
        <v>1</v>
      </c>
      <c r="J865" s="2">
        <v>1207</v>
      </c>
      <c r="K865" s="2">
        <v>2</v>
      </c>
      <c r="L865" s="2" t="s">
        <v>46</v>
      </c>
      <c r="M865" s="2">
        <v>99</v>
      </c>
      <c r="N865" s="2">
        <v>3</v>
      </c>
      <c r="O865" s="2">
        <v>1</v>
      </c>
      <c r="P865" s="2" t="s">
        <v>61</v>
      </c>
      <c r="Q865" s="2">
        <v>3</v>
      </c>
      <c r="R865" s="2" t="s">
        <v>48</v>
      </c>
      <c r="S865" s="2">
        <v>3600</v>
      </c>
      <c r="T865" s="2">
        <v>8429</v>
      </c>
      <c r="U865" s="2">
        <v>1</v>
      </c>
      <c r="V865" s="2" t="s">
        <v>42</v>
      </c>
      <c r="W865" s="2" t="s">
        <v>43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</row>
    <row r="866" spans="1:35" x14ac:dyDescent="0.25">
      <c r="A866" s="2">
        <v>41</v>
      </c>
      <c r="B866" s="2" t="s">
        <v>35</v>
      </c>
      <c r="C866" s="2" t="s">
        <v>55</v>
      </c>
      <c r="D866" s="2">
        <v>906</v>
      </c>
      <c r="E866" s="2" t="s">
        <v>45</v>
      </c>
      <c r="F866" s="2">
        <v>5</v>
      </c>
      <c r="G866" s="2">
        <v>2</v>
      </c>
      <c r="H866" s="2" t="s">
        <v>38</v>
      </c>
      <c r="I866" s="2">
        <v>1</v>
      </c>
      <c r="J866" s="2">
        <v>1210</v>
      </c>
      <c r="K866" s="2">
        <v>1</v>
      </c>
      <c r="L866" s="2" t="s">
        <v>46</v>
      </c>
      <c r="M866" s="2">
        <v>95</v>
      </c>
      <c r="N866" s="2">
        <v>2</v>
      </c>
      <c r="O866" s="2">
        <v>1</v>
      </c>
      <c r="P866" s="2" t="s">
        <v>47</v>
      </c>
      <c r="Q866" s="2">
        <v>1</v>
      </c>
      <c r="R866" s="2" t="s">
        <v>52</v>
      </c>
      <c r="S866" s="2">
        <v>2107</v>
      </c>
      <c r="T866" s="2">
        <v>20293</v>
      </c>
      <c r="U866" s="2">
        <v>6</v>
      </c>
      <c r="V866" s="2" t="s">
        <v>42</v>
      </c>
      <c r="W866" s="2" t="s">
        <v>43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</row>
    <row r="867" spans="1:35" x14ac:dyDescent="0.25">
      <c r="A867" s="2">
        <v>30</v>
      </c>
      <c r="B867" s="2" t="s">
        <v>43</v>
      </c>
      <c r="C867" s="2" t="s">
        <v>36</v>
      </c>
      <c r="D867" s="2">
        <v>1329</v>
      </c>
      <c r="E867" s="2" t="s">
        <v>37</v>
      </c>
      <c r="F867" s="2">
        <v>29</v>
      </c>
      <c r="G867" s="2">
        <v>4</v>
      </c>
      <c r="H867" s="2" t="s">
        <v>38</v>
      </c>
      <c r="I867" s="2">
        <v>1</v>
      </c>
      <c r="J867" s="2">
        <v>1211</v>
      </c>
      <c r="K867" s="2">
        <v>3</v>
      </c>
      <c r="L867" s="2" t="s">
        <v>46</v>
      </c>
      <c r="M867" s="2">
        <v>61</v>
      </c>
      <c r="N867" s="2">
        <v>3</v>
      </c>
      <c r="O867" s="2">
        <v>2</v>
      </c>
      <c r="P867" s="2" t="s">
        <v>40</v>
      </c>
      <c r="Q867" s="2">
        <v>1</v>
      </c>
      <c r="R867" s="2" t="s">
        <v>52</v>
      </c>
      <c r="S867" s="2">
        <v>4115</v>
      </c>
      <c r="T867" s="2">
        <v>13192</v>
      </c>
      <c r="U867" s="2">
        <v>8</v>
      </c>
      <c r="V867" s="2" t="s">
        <v>42</v>
      </c>
      <c r="W867" s="2" t="s">
        <v>43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</row>
    <row r="868" spans="1:35" x14ac:dyDescent="0.25">
      <c r="A868" s="2">
        <v>40</v>
      </c>
      <c r="B868" s="2" t="s">
        <v>43</v>
      </c>
      <c r="C868" s="2" t="s">
        <v>44</v>
      </c>
      <c r="D868" s="2">
        <v>1184</v>
      </c>
      <c r="E868" s="2" t="s">
        <v>37</v>
      </c>
      <c r="F868" s="2">
        <v>2</v>
      </c>
      <c r="G868" s="2">
        <v>4</v>
      </c>
      <c r="H868" s="2" t="s">
        <v>51</v>
      </c>
      <c r="I868" s="2">
        <v>1</v>
      </c>
      <c r="J868" s="2">
        <v>1212</v>
      </c>
      <c r="K868" s="2">
        <v>2</v>
      </c>
      <c r="L868" s="2" t="s">
        <v>46</v>
      </c>
      <c r="M868" s="2">
        <v>62</v>
      </c>
      <c r="N868" s="2">
        <v>3</v>
      </c>
      <c r="O868" s="2">
        <v>2</v>
      </c>
      <c r="P868" s="2" t="s">
        <v>40</v>
      </c>
      <c r="Q868" s="2">
        <v>2</v>
      </c>
      <c r="R868" s="2" t="s">
        <v>48</v>
      </c>
      <c r="S868" s="2">
        <v>4327</v>
      </c>
      <c r="T868" s="2">
        <v>25440</v>
      </c>
      <c r="U868" s="2">
        <v>5</v>
      </c>
      <c r="V868" s="2" t="s">
        <v>42</v>
      </c>
      <c r="W868" s="2" t="s">
        <v>43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</row>
    <row r="869" spans="1:35" x14ac:dyDescent="0.25">
      <c r="A869" s="2">
        <v>50</v>
      </c>
      <c r="B869" s="2" t="s">
        <v>43</v>
      </c>
      <c r="C869" s="2" t="s">
        <v>44</v>
      </c>
      <c r="D869" s="2">
        <v>1421</v>
      </c>
      <c r="E869" s="2" t="s">
        <v>45</v>
      </c>
      <c r="F869" s="2">
        <v>2</v>
      </c>
      <c r="G869" s="2">
        <v>3</v>
      </c>
      <c r="H869" s="2" t="s">
        <v>51</v>
      </c>
      <c r="I869" s="2">
        <v>1</v>
      </c>
      <c r="J869" s="2">
        <v>1215</v>
      </c>
      <c r="K869" s="2">
        <v>4</v>
      </c>
      <c r="L869" s="2" t="s">
        <v>39</v>
      </c>
      <c r="M869" s="2">
        <v>30</v>
      </c>
      <c r="N869" s="2">
        <v>3</v>
      </c>
      <c r="O869" s="2">
        <v>4</v>
      </c>
      <c r="P869" s="2" t="s">
        <v>56</v>
      </c>
      <c r="Q869" s="2">
        <v>1</v>
      </c>
      <c r="R869" s="2" t="s">
        <v>48</v>
      </c>
      <c r="S869" s="2">
        <v>17856</v>
      </c>
      <c r="T869" s="2">
        <v>9490</v>
      </c>
      <c r="U869" s="2">
        <v>2</v>
      </c>
      <c r="V869" s="2" t="s">
        <v>42</v>
      </c>
      <c r="W869" s="2" t="s">
        <v>43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</row>
    <row r="870" spans="1:35" x14ac:dyDescent="0.25">
      <c r="A870" s="2">
        <v>28</v>
      </c>
      <c r="B870" s="2" t="s">
        <v>43</v>
      </c>
      <c r="C870" s="2" t="s">
        <v>36</v>
      </c>
      <c r="D870" s="2">
        <v>1179</v>
      </c>
      <c r="E870" s="2" t="s">
        <v>45</v>
      </c>
      <c r="F870" s="2">
        <v>19</v>
      </c>
      <c r="G870" s="2">
        <v>4</v>
      </c>
      <c r="H870" s="2" t="s">
        <v>51</v>
      </c>
      <c r="I870" s="2">
        <v>1</v>
      </c>
      <c r="J870" s="2">
        <v>1216</v>
      </c>
      <c r="K870" s="2">
        <v>4</v>
      </c>
      <c r="L870" s="2" t="s">
        <v>46</v>
      </c>
      <c r="M870" s="2">
        <v>78</v>
      </c>
      <c r="N870" s="2">
        <v>2</v>
      </c>
      <c r="O870" s="2">
        <v>1</v>
      </c>
      <c r="P870" s="2" t="s">
        <v>50</v>
      </c>
      <c r="Q870" s="2">
        <v>1</v>
      </c>
      <c r="R870" s="2" t="s">
        <v>48</v>
      </c>
      <c r="S870" s="2">
        <v>3196</v>
      </c>
      <c r="T870" s="2">
        <v>12449</v>
      </c>
      <c r="U870" s="2">
        <v>1</v>
      </c>
      <c r="V870" s="2" t="s">
        <v>42</v>
      </c>
      <c r="W870" s="2" t="s">
        <v>43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</row>
    <row r="871" spans="1:35" x14ac:dyDescent="0.25">
      <c r="A871" s="2">
        <v>46</v>
      </c>
      <c r="B871" s="2" t="s">
        <v>43</v>
      </c>
      <c r="C871" s="2" t="s">
        <v>36</v>
      </c>
      <c r="D871" s="2">
        <v>1450</v>
      </c>
      <c r="E871" s="2" t="s">
        <v>45</v>
      </c>
      <c r="F871" s="2">
        <v>15</v>
      </c>
      <c r="G871" s="2">
        <v>2</v>
      </c>
      <c r="H871" s="2" t="s">
        <v>38</v>
      </c>
      <c r="I871" s="2">
        <v>1</v>
      </c>
      <c r="J871" s="2">
        <v>1217</v>
      </c>
      <c r="K871" s="2">
        <v>4</v>
      </c>
      <c r="L871" s="2" t="s">
        <v>46</v>
      </c>
      <c r="M871" s="2">
        <v>52</v>
      </c>
      <c r="N871" s="2">
        <v>3</v>
      </c>
      <c r="O871" s="2">
        <v>5</v>
      </c>
      <c r="P871" s="2" t="s">
        <v>58</v>
      </c>
      <c r="Q871" s="2">
        <v>2</v>
      </c>
      <c r="R871" s="2" t="s">
        <v>48</v>
      </c>
      <c r="S871" s="2">
        <v>19081</v>
      </c>
      <c r="T871" s="2">
        <v>10849</v>
      </c>
      <c r="U871" s="2">
        <v>5</v>
      </c>
      <c r="V871" s="2" t="s">
        <v>42</v>
      </c>
      <c r="W871" s="2" t="s">
        <v>43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</row>
    <row r="872" spans="1:35" x14ac:dyDescent="0.25">
      <c r="A872" s="2">
        <v>35</v>
      </c>
      <c r="B872" s="2" t="s">
        <v>43</v>
      </c>
      <c r="C872" s="2" t="s">
        <v>36</v>
      </c>
      <c r="D872" s="2">
        <v>1361</v>
      </c>
      <c r="E872" s="2" t="s">
        <v>37</v>
      </c>
      <c r="F872" s="2">
        <v>17</v>
      </c>
      <c r="G872" s="2">
        <v>4</v>
      </c>
      <c r="H872" s="2" t="s">
        <v>38</v>
      </c>
      <c r="I872" s="2">
        <v>1</v>
      </c>
      <c r="J872" s="2">
        <v>1218</v>
      </c>
      <c r="K872" s="2">
        <v>3</v>
      </c>
      <c r="L872" s="2" t="s">
        <v>46</v>
      </c>
      <c r="M872" s="2">
        <v>94</v>
      </c>
      <c r="N872" s="2">
        <v>3</v>
      </c>
      <c r="O872" s="2">
        <v>2</v>
      </c>
      <c r="P872" s="2" t="s">
        <v>40</v>
      </c>
      <c r="Q872" s="2">
        <v>1</v>
      </c>
      <c r="R872" s="2" t="s">
        <v>48</v>
      </c>
      <c r="S872" s="2">
        <v>8966</v>
      </c>
      <c r="T872" s="2">
        <v>21026</v>
      </c>
      <c r="U872" s="2">
        <v>3</v>
      </c>
      <c r="V872" s="2" t="s">
        <v>42</v>
      </c>
      <c r="W872" s="2" t="s">
        <v>35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</row>
    <row r="873" spans="1:35" x14ac:dyDescent="0.25">
      <c r="A873" s="2">
        <v>24</v>
      </c>
      <c r="B873" s="2" t="s">
        <v>35</v>
      </c>
      <c r="C873" s="2" t="s">
        <v>36</v>
      </c>
      <c r="D873" s="2">
        <v>984</v>
      </c>
      <c r="E873" s="2" t="s">
        <v>45</v>
      </c>
      <c r="F873" s="2">
        <v>17</v>
      </c>
      <c r="G873" s="2">
        <v>2</v>
      </c>
      <c r="H873" s="2" t="s">
        <v>38</v>
      </c>
      <c r="I873" s="2">
        <v>1</v>
      </c>
      <c r="J873" s="2">
        <v>1219</v>
      </c>
      <c r="K873" s="2">
        <v>4</v>
      </c>
      <c r="L873" s="2" t="s">
        <v>39</v>
      </c>
      <c r="M873" s="2">
        <v>97</v>
      </c>
      <c r="N873" s="2">
        <v>3</v>
      </c>
      <c r="O873" s="2">
        <v>1</v>
      </c>
      <c r="P873" s="2" t="s">
        <v>50</v>
      </c>
      <c r="Q873" s="2">
        <v>2</v>
      </c>
      <c r="R873" s="2" t="s">
        <v>48</v>
      </c>
      <c r="S873" s="2">
        <v>2210</v>
      </c>
      <c r="T873" s="2">
        <v>3372</v>
      </c>
      <c r="U873" s="2">
        <v>1</v>
      </c>
      <c r="V873" s="2" t="s">
        <v>42</v>
      </c>
      <c r="W873" s="2" t="s">
        <v>43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</row>
    <row r="874" spans="1:35" x14ac:dyDescent="0.25">
      <c r="A874" s="2">
        <v>33</v>
      </c>
      <c r="B874" s="2" t="s">
        <v>43</v>
      </c>
      <c r="C874" s="2" t="s">
        <v>44</v>
      </c>
      <c r="D874" s="2">
        <v>1146</v>
      </c>
      <c r="E874" s="2" t="s">
        <v>37</v>
      </c>
      <c r="F874" s="2">
        <v>25</v>
      </c>
      <c r="G874" s="2">
        <v>3</v>
      </c>
      <c r="H874" s="2" t="s">
        <v>51</v>
      </c>
      <c r="I874" s="2">
        <v>1</v>
      </c>
      <c r="J874" s="2">
        <v>1220</v>
      </c>
      <c r="K874" s="2">
        <v>2</v>
      </c>
      <c r="L874" s="2" t="s">
        <v>39</v>
      </c>
      <c r="M874" s="2">
        <v>82</v>
      </c>
      <c r="N874" s="2">
        <v>3</v>
      </c>
      <c r="O874" s="2">
        <v>2</v>
      </c>
      <c r="P874" s="2" t="s">
        <v>40</v>
      </c>
      <c r="Q874" s="2">
        <v>3</v>
      </c>
      <c r="R874" s="2" t="s">
        <v>48</v>
      </c>
      <c r="S874" s="2">
        <v>4539</v>
      </c>
      <c r="T874" s="2">
        <v>4905</v>
      </c>
      <c r="U874" s="2">
        <v>1</v>
      </c>
      <c r="V874" s="2" t="s">
        <v>42</v>
      </c>
      <c r="W874" s="2" t="s">
        <v>43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</row>
    <row r="875" spans="1:35" x14ac:dyDescent="0.25">
      <c r="A875" s="2">
        <v>36</v>
      </c>
      <c r="B875" s="2" t="s">
        <v>43</v>
      </c>
      <c r="C875" s="2" t="s">
        <v>36</v>
      </c>
      <c r="D875" s="2">
        <v>917</v>
      </c>
      <c r="E875" s="2" t="s">
        <v>45</v>
      </c>
      <c r="F875" s="2">
        <v>6</v>
      </c>
      <c r="G875" s="2">
        <v>4</v>
      </c>
      <c r="H875" s="2" t="s">
        <v>38</v>
      </c>
      <c r="I875" s="2">
        <v>1</v>
      </c>
      <c r="J875" s="2">
        <v>1221</v>
      </c>
      <c r="K875" s="2">
        <v>3</v>
      </c>
      <c r="L875" s="2" t="s">
        <v>46</v>
      </c>
      <c r="M875" s="2">
        <v>60</v>
      </c>
      <c r="N875" s="2">
        <v>1</v>
      </c>
      <c r="O875" s="2">
        <v>1</v>
      </c>
      <c r="P875" s="2" t="s">
        <v>50</v>
      </c>
      <c r="Q875" s="2">
        <v>3</v>
      </c>
      <c r="R875" s="2" t="s">
        <v>52</v>
      </c>
      <c r="S875" s="2">
        <v>2741</v>
      </c>
      <c r="T875" s="2">
        <v>6865</v>
      </c>
      <c r="U875" s="2">
        <v>1</v>
      </c>
      <c r="V875" s="2" t="s">
        <v>42</v>
      </c>
      <c r="W875" s="2" t="s">
        <v>43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</row>
    <row r="876" spans="1:35" x14ac:dyDescent="0.25">
      <c r="A876" s="2">
        <v>30</v>
      </c>
      <c r="B876" s="2" t="s">
        <v>43</v>
      </c>
      <c r="C876" s="2" t="s">
        <v>36</v>
      </c>
      <c r="D876" s="2">
        <v>853</v>
      </c>
      <c r="E876" s="2" t="s">
        <v>45</v>
      </c>
      <c r="F876" s="2">
        <v>7</v>
      </c>
      <c r="G876" s="2">
        <v>4</v>
      </c>
      <c r="H876" s="2" t="s">
        <v>38</v>
      </c>
      <c r="I876" s="2">
        <v>1</v>
      </c>
      <c r="J876" s="2">
        <v>1224</v>
      </c>
      <c r="K876" s="2">
        <v>3</v>
      </c>
      <c r="L876" s="2" t="s">
        <v>46</v>
      </c>
      <c r="M876" s="2">
        <v>49</v>
      </c>
      <c r="N876" s="2">
        <v>3</v>
      </c>
      <c r="O876" s="2">
        <v>2</v>
      </c>
      <c r="P876" s="2" t="s">
        <v>50</v>
      </c>
      <c r="Q876" s="2">
        <v>3</v>
      </c>
      <c r="R876" s="2" t="s">
        <v>52</v>
      </c>
      <c r="S876" s="2">
        <v>3491</v>
      </c>
      <c r="T876" s="2">
        <v>11309</v>
      </c>
      <c r="U876" s="2">
        <v>1</v>
      </c>
      <c r="V876" s="2" t="s">
        <v>42</v>
      </c>
      <c r="W876" s="2" t="s">
        <v>43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</row>
    <row r="877" spans="1:35" x14ac:dyDescent="0.25">
      <c r="A877" s="2">
        <v>44</v>
      </c>
      <c r="B877" s="2" t="s">
        <v>43</v>
      </c>
      <c r="C877" s="2" t="s">
        <v>36</v>
      </c>
      <c r="D877" s="2">
        <v>200</v>
      </c>
      <c r="E877" s="2" t="s">
        <v>45</v>
      </c>
      <c r="F877" s="2">
        <v>29</v>
      </c>
      <c r="G877" s="2">
        <v>4</v>
      </c>
      <c r="H877" s="2" t="s">
        <v>49</v>
      </c>
      <c r="I877" s="2">
        <v>1</v>
      </c>
      <c r="J877" s="2">
        <v>1225</v>
      </c>
      <c r="K877" s="2">
        <v>4</v>
      </c>
      <c r="L877" s="2" t="s">
        <v>46</v>
      </c>
      <c r="M877" s="2">
        <v>32</v>
      </c>
      <c r="N877" s="2">
        <v>3</v>
      </c>
      <c r="O877" s="2">
        <v>2</v>
      </c>
      <c r="P877" s="2" t="s">
        <v>47</v>
      </c>
      <c r="Q877" s="2">
        <v>4</v>
      </c>
      <c r="R877" s="2" t="s">
        <v>41</v>
      </c>
      <c r="S877" s="2">
        <v>4541</v>
      </c>
      <c r="T877" s="2">
        <v>7744</v>
      </c>
      <c r="U877" s="2">
        <v>1</v>
      </c>
      <c r="V877" s="2" t="s">
        <v>42</v>
      </c>
      <c r="W877" s="2" t="s">
        <v>43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</row>
    <row r="878" spans="1:35" x14ac:dyDescent="0.25">
      <c r="A878" s="2">
        <v>20</v>
      </c>
      <c r="B878" s="2" t="s">
        <v>43</v>
      </c>
      <c r="C878" s="2" t="s">
        <v>36</v>
      </c>
      <c r="D878" s="2">
        <v>654</v>
      </c>
      <c r="E878" s="2" t="s">
        <v>37</v>
      </c>
      <c r="F878" s="2">
        <v>21</v>
      </c>
      <c r="G878" s="2">
        <v>3</v>
      </c>
      <c r="H878" s="2" t="s">
        <v>59</v>
      </c>
      <c r="I878" s="2">
        <v>1</v>
      </c>
      <c r="J878" s="2">
        <v>1226</v>
      </c>
      <c r="K878" s="2">
        <v>3</v>
      </c>
      <c r="L878" s="2" t="s">
        <v>46</v>
      </c>
      <c r="M878" s="2">
        <v>43</v>
      </c>
      <c r="N878" s="2">
        <v>4</v>
      </c>
      <c r="O878" s="2">
        <v>1</v>
      </c>
      <c r="P878" s="2" t="s">
        <v>57</v>
      </c>
      <c r="Q878" s="2">
        <v>4</v>
      </c>
      <c r="R878" s="2" t="s">
        <v>41</v>
      </c>
      <c r="S878" s="2">
        <v>2678</v>
      </c>
      <c r="T878" s="2">
        <v>5050</v>
      </c>
      <c r="U878" s="2">
        <v>1</v>
      </c>
      <c r="V878" s="2" t="s">
        <v>42</v>
      </c>
      <c r="W878" s="2" t="s">
        <v>43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</row>
    <row r="879" spans="1:35" x14ac:dyDescent="0.25">
      <c r="A879" s="2">
        <v>46</v>
      </c>
      <c r="B879" s="2" t="s">
        <v>43</v>
      </c>
      <c r="C879" s="2" t="s">
        <v>36</v>
      </c>
      <c r="D879" s="2">
        <v>150</v>
      </c>
      <c r="E879" s="2" t="s">
        <v>45</v>
      </c>
      <c r="F879" s="2">
        <v>2</v>
      </c>
      <c r="G879" s="2">
        <v>4</v>
      </c>
      <c r="H879" s="2" t="s">
        <v>60</v>
      </c>
      <c r="I879" s="2">
        <v>1</v>
      </c>
      <c r="J879" s="2">
        <v>1228</v>
      </c>
      <c r="K879" s="2">
        <v>4</v>
      </c>
      <c r="L879" s="2" t="s">
        <v>46</v>
      </c>
      <c r="M879" s="2">
        <v>60</v>
      </c>
      <c r="N879" s="2">
        <v>3</v>
      </c>
      <c r="O879" s="2">
        <v>2</v>
      </c>
      <c r="P879" s="2" t="s">
        <v>53</v>
      </c>
      <c r="Q879" s="2">
        <v>4</v>
      </c>
      <c r="R879" s="2" t="s">
        <v>52</v>
      </c>
      <c r="S879" s="2">
        <v>7379</v>
      </c>
      <c r="T879" s="2">
        <v>17433</v>
      </c>
      <c r="U879" s="2">
        <v>2</v>
      </c>
      <c r="V879" s="2" t="s">
        <v>42</v>
      </c>
      <c r="W879" s="2" t="s">
        <v>43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</row>
    <row r="880" spans="1:35" x14ac:dyDescent="0.25">
      <c r="A880" s="2">
        <v>42</v>
      </c>
      <c r="B880" s="2" t="s">
        <v>43</v>
      </c>
      <c r="C880" s="2" t="s">
        <v>55</v>
      </c>
      <c r="D880" s="2">
        <v>179</v>
      </c>
      <c r="E880" s="2" t="s">
        <v>61</v>
      </c>
      <c r="F880" s="2">
        <v>2</v>
      </c>
      <c r="G880" s="2">
        <v>5</v>
      </c>
      <c r="H880" s="2" t="s">
        <v>51</v>
      </c>
      <c r="I880" s="2">
        <v>1</v>
      </c>
      <c r="J880" s="2">
        <v>1231</v>
      </c>
      <c r="K880" s="2">
        <v>4</v>
      </c>
      <c r="L880" s="2" t="s">
        <v>46</v>
      </c>
      <c r="M880" s="2">
        <v>79</v>
      </c>
      <c r="N880" s="2">
        <v>4</v>
      </c>
      <c r="O880" s="2">
        <v>2</v>
      </c>
      <c r="P880" s="2" t="s">
        <v>61</v>
      </c>
      <c r="Q880" s="2">
        <v>1</v>
      </c>
      <c r="R880" s="2" t="s">
        <v>48</v>
      </c>
      <c r="S880" s="2">
        <v>6272</v>
      </c>
      <c r="T880" s="2">
        <v>12858</v>
      </c>
      <c r="U880" s="2">
        <v>7</v>
      </c>
      <c r="V880" s="2" t="s">
        <v>42</v>
      </c>
      <c r="W880" s="2" t="s">
        <v>43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</row>
    <row r="881" spans="1:35" x14ac:dyDescent="0.25">
      <c r="A881" s="2">
        <v>60</v>
      </c>
      <c r="B881" s="2" t="s">
        <v>43</v>
      </c>
      <c r="C881" s="2" t="s">
        <v>36</v>
      </c>
      <c r="D881" s="2">
        <v>696</v>
      </c>
      <c r="E881" s="2" t="s">
        <v>37</v>
      </c>
      <c r="F881" s="2">
        <v>7</v>
      </c>
      <c r="G881" s="2">
        <v>4</v>
      </c>
      <c r="H881" s="2" t="s">
        <v>59</v>
      </c>
      <c r="I881" s="2">
        <v>1</v>
      </c>
      <c r="J881" s="2">
        <v>1233</v>
      </c>
      <c r="K881" s="2">
        <v>2</v>
      </c>
      <c r="L881" s="2" t="s">
        <v>46</v>
      </c>
      <c r="M881" s="2">
        <v>52</v>
      </c>
      <c r="N881" s="2">
        <v>4</v>
      </c>
      <c r="O881" s="2">
        <v>2</v>
      </c>
      <c r="P881" s="2" t="s">
        <v>40</v>
      </c>
      <c r="Q881" s="2">
        <v>4</v>
      </c>
      <c r="R881" s="2" t="s">
        <v>52</v>
      </c>
      <c r="S881" s="2">
        <v>5220</v>
      </c>
      <c r="T881" s="2">
        <v>10893</v>
      </c>
      <c r="U881" s="2">
        <v>0</v>
      </c>
      <c r="V881" s="2" t="s">
        <v>42</v>
      </c>
      <c r="W881" s="2" t="s">
        <v>35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</row>
    <row r="882" spans="1:35" x14ac:dyDescent="0.25">
      <c r="A882" s="2">
        <v>32</v>
      </c>
      <c r="B882" s="2" t="s">
        <v>43</v>
      </c>
      <c r="C882" s="2" t="s">
        <v>44</v>
      </c>
      <c r="D882" s="2">
        <v>116</v>
      </c>
      <c r="E882" s="2" t="s">
        <v>45</v>
      </c>
      <c r="F882" s="2">
        <v>13</v>
      </c>
      <c r="G882" s="2">
        <v>3</v>
      </c>
      <c r="H882" s="2" t="s">
        <v>49</v>
      </c>
      <c r="I882" s="2">
        <v>1</v>
      </c>
      <c r="J882" s="2">
        <v>1234</v>
      </c>
      <c r="K882" s="2">
        <v>3</v>
      </c>
      <c r="L882" s="2" t="s">
        <v>39</v>
      </c>
      <c r="M882" s="2">
        <v>77</v>
      </c>
      <c r="N882" s="2">
        <v>2</v>
      </c>
      <c r="O882" s="2">
        <v>1</v>
      </c>
      <c r="P882" s="2" t="s">
        <v>50</v>
      </c>
      <c r="Q882" s="2">
        <v>2</v>
      </c>
      <c r="R882" s="2" t="s">
        <v>48</v>
      </c>
      <c r="S882" s="2">
        <v>2743</v>
      </c>
      <c r="T882" s="2">
        <v>7331</v>
      </c>
      <c r="U882" s="2">
        <v>1</v>
      </c>
      <c r="V882" s="2" t="s">
        <v>42</v>
      </c>
      <c r="W882" s="2" t="s">
        <v>43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</row>
    <row r="883" spans="1:35" x14ac:dyDescent="0.25">
      <c r="A883" s="2">
        <v>32</v>
      </c>
      <c r="B883" s="2" t="s">
        <v>43</v>
      </c>
      <c r="C883" s="2" t="s">
        <v>44</v>
      </c>
      <c r="D883" s="2">
        <v>1316</v>
      </c>
      <c r="E883" s="2" t="s">
        <v>45</v>
      </c>
      <c r="F883" s="2">
        <v>2</v>
      </c>
      <c r="G883" s="2">
        <v>2</v>
      </c>
      <c r="H883" s="2" t="s">
        <v>38</v>
      </c>
      <c r="I883" s="2">
        <v>1</v>
      </c>
      <c r="J883" s="2">
        <v>1235</v>
      </c>
      <c r="K883" s="2">
        <v>4</v>
      </c>
      <c r="L883" s="2" t="s">
        <v>39</v>
      </c>
      <c r="M883" s="2">
        <v>38</v>
      </c>
      <c r="N883" s="2">
        <v>3</v>
      </c>
      <c r="O883" s="2">
        <v>2</v>
      </c>
      <c r="P883" s="2" t="s">
        <v>47</v>
      </c>
      <c r="Q883" s="2">
        <v>3</v>
      </c>
      <c r="R883" s="2" t="s">
        <v>41</v>
      </c>
      <c r="S883" s="2">
        <v>4998</v>
      </c>
      <c r="T883" s="2">
        <v>2338</v>
      </c>
      <c r="U883" s="2">
        <v>4</v>
      </c>
      <c r="V883" s="2" t="s">
        <v>42</v>
      </c>
      <c r="W883" s="2" t="s">
        <v>35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</row>
    <row r="884" spans="1:35" x14ac:dyDescent="0.25">
      <c r="A884" s="2">
        <v>36</v>
      </c>
      <c r="B884" s="2" t="s">
        <v>43</v>
      </c>
      <c r="C884" s="2" t="s">
        <v>36</v>
      </c>
      <c r="D884" s="2">
        <v>363</v>
      </c>
      <c r="E884" s="2" t="s">
        <v>45</v>
      </c>
      <c r="F884" s="2">
        <v>1</v>
      </c>
      <c r="G884" s="2">
        <v>3</v>
      </c>
      <c r="H884" s="2" t="s">
        <v>60</v>
      </c>
      <c r="I884" s="2">
        <v>1</v>
      </c>
      <c r="J884" s="2">
        <v>1237</v>
      </c>
      <c r="K884" s="2">
        <v>3</v>
      </c>
      <c r="L884" s="2" t="s">
        <v>39</v>
      </c>
      <c r="M884" s="2">
        <v>77</v>
      </c>
      <c r="N884" s="2">
        <v>1</v>
      </c>
      <c r="O884" s="2">
        <v>3</v>
      </c>
      <c r="P884" s="2" t="s">
        <v>53</v>
      </c>
      <c r="Q884" s="2">
        <v>1</v>
      </c>
      <c r="R884" s="2" t="s">
        <v>52</v>
      </c>
      <c r="S884" s="2">
        <v>10252</v>
      </c>
      <c r="T884" s="2">
        <v>4235</v>
      </c>
      <c r="U884" s="2">
        <v>2</v>
      </c>
      <c r="V884" s="2" t="s">
        <v>42</v>
      </c>
      <c r="W884" s="2" t="s">
        <v>35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</row>
    <row r="885" spans="1:35" x14ac:dyDescent="0.25">
      <c r="A885" s="2">
        <v>33</v>
      </c>
      <c r="B885" s="2" t="s">
        <v>43</v>
      </c>
      <c r="C885" s="2" t="s">
        <v>36</v>
      </c>
      <c r="D885" s="2">
        <v>117</v>
      </c>
      <c r="E885" s="2" t="s">
        <v>45</v>
      </c>
      <c r="F885" s="2">
        <v>9</v>
      </c>
      <c r="G885" s="2">
        <v>3</v>
      </c>
      <c r="H885" s="2" t="s">
        <v>51</v>
      </c>
      <c r="I885" s="2">
        <v>1</v>
      </c>
      <c r="J885" s="2">
        <v>1238</v>
      </c>
      <c r="K885" s="2">
        <v>1</v>
      </c>
      <c r="L885" s="2" t="s">
        <v>46</v>
      </c>
      <c r="M885" s="2">
        <v>60</v>
      </c>
      <c r="N885" s="2">
        <v>3</v>
      </c>
      <c r="O885" s="2">
        <v>1</v>
      </c>
      <c r="P885" s="2" t="s">
        <v>47</v>
      </c>
      <c r="Q885" s="2">
        <v>4</v>
      </c>
      <c r="R885" s="2" t="s">
        <v>48</v>
      </c>
      <c r="S885" s="2">
        <v>2781</v>
      </c>
      <c r="T885" s="2">
        <v>6311</v>
      </c>
      <c r="U885" s="2">
        <v>0</v>
      </c>
      <c r="V885" s="2" t="s">
        <v>42</v>
      </c>
      <c r="W885" s="2" t="s">
        <v>43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</row>
    <row r="886" spans="1:35" x14ac:dyDescent="0.25">
      <c r="A886" s="2">
        <v>40</v>
      </c>
      <c r="B886" s="2" t="s">
        <v>43</v>
      </c>
      <c r="C886" s="2" t="s">
        <v>36</v>
      </c>
      <c r="D886" s="2">
        <v>107</v>
      </c>
      <c r="E886" s="2" t="s">
        <v>37</v>
      </c>
      <c r="F886" s="2">
        <v>10</v>
      </c>
      <c r="G886" s="2">
        <v>3</v>
      </c>
      <c r="H886" s="2" t="s">
        <v>60</v>
      </c>
      <c r="I886" s="2">
        <v>1</v>
      </c>
      <c r="J886" s="2">
        <v>1239</v>
      </c>
      <c r="K886" s="2">
        <v>2</v>
      </c>
      <c r="L886" s="2" t="s">
        <v>39</v>
      </c>
      <c r="M886" s="2">
        <v>84</v>
      </c>
      <c r="N886" s="2">
        <v>2</v>
      </c>
      <c r="O886" s="2">
        <v>2</v>
      </c>
      <c r="P886" s="2" t="s">
        <v>40</v>
      </c>
      <c r="Q886" s="2">
        <v>2</v>
      </c>
      <c r="R886" s="2" t="s">
        <v>52</v>
      </c>
      <c r="S886" s="2">
        <v>6852</v>
      </c>
      <c r="T886" s="2">
        <v>11591</v>
      </c>
      <c r="U886" s="2">
        <v>7</v>
      </c>
      <c r="V886" s="2" t="s">
        <v>42</v>
      </c>
      <c r="W886" s="2" t="s">
        <v>43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</row>
    <row r="887" spans="1:35" x14ac:dyDescent="0.25">
      <c r="A887" s="2">
        <v>25</v>
      </c>
      <c r="B887" s="2" t="s">
        <v>43</v>
      </c>
      <c r="C887" s="2" t="s">
        <v>36</v>
      </c>
      <c r="D887" s="2">
        <v>1356</v>
      </c>
      <c r="E887" s="2" t="s">
        <v>37</v>
      </c>
      <c r="F887" s="2">
        <v>10</v>
      </c>
      <c r="G887" s="2">
        <v>4</v>
      </c>
      <c r="H887" s="2" t="s">
        <v>38</v>
      </c>
      <c r="I887" s="2">
        <v>1</v>
      </c>
      <c r="J887" s="2">
        <v>1240</v>
      </c>
      <c r="K887" s="2">
        <v>3</v>
      </c>
      <c r="L887" s="2" t="s">
        <v>46</v>
      </c>
      <c r="M887" s="2">
        <v>57</v>
      </c>
      <c r="N887" s="2">
        <v>3</v>
      </c>
      <c r="O887" s="2">
        <v>2</v>
      </c>
      <c r="P887" s="2" t="s">
        <v>40</v>
      </c>
      <c r="Q887" s="2">
        <v>4</v>
      </c>
      <c r="R887" s="2" t="s">
        <v>41</v>
      </c>
      <c r="S887" s="2">
        <v>4950</v>
      </c>
      <c r="T887" s="2">
        <v>20623</v>
      </c>
      <c r="U887" s="2">
        <v>0</v>
      </c>
      <c r="V887" s="2" t="s">
        <v>42</v>
      </c>
      <c r="W887" s="2" t="s">
        <v>43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</row>
    <row r="888" spans="1:35" x14ac:dyDescent="0.25">
      <c r="A888" s="2">
        <v>30</v>
      </c>
      <c r="B888" s="2" t="s">
        <v>43</v>
      </c>
      <c r="C888" s="2" t="s">
        <v>36</v>
      </c>
      <c r="D888" s="2">
        <v>1465</v>
      </c>
      <c r="E888" s="2" t="s">
        <v>45</v>
      </c>
      <c r="F888" s="2">
        <v>1</v>
      </c>
      <c r="G888" s="2">
        <v>3</v>
      </c>
      <c r="H888" s="2" t="s">
        <v>51</v>
      </c>
      <c r="I888" s="2">
        <v>1</v>
      </c>
      <c r="J888" s="2">
        <v>1241</v>
      </c>
      <c r="K888" s="2">
        <v>4</v>
      </c>
      <c r="L888" s="2" t="s">
        <v>46</v>
      </c>
      <c r="M888" s="2">
        <v>63</v>
      </c>
      <c r="N888" s="2">
        <v>3</v>
      </c>
      <c r="O888" s="2">
        <v>1</v>
      </c>
      <c r="P888" s="2" t="s">
        <v>47</v>
      </c>
      <c r="Q888" s="2">
        <v>2</v>
      </c>
      <c r="R888" s="2" t="s">
        <v>48</v>
      </c>
      <c r="S888" s="2">
        <v>3579</v>
      </c>
      <c r="T888" s="2">
        <v>9369</v>
      </c>
      <c r="U888" s="2">
        <v>0</v>
      </c>
      <c r="V888" s="2" t="s">
        <v>42</v>
      </c>
      <c r="W888" s="2" t="s">
        <v>35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</row>
    <row r="889" spans="1:35" x14ac:dyDescent="0.25">
      <c r="A889" s="2">
        <v>42</v>
      </c>
      <c r="B889" s="2" t="s">
        <v>43</v>
      </c>
      <c r="C889" s="2" t="s">
        <v>44</v>
      </c>
      <c r="D889" s="2">
        <v>458</v>
      </c>
      <c r="E889" s="2" t="s">
        <v>45</v>
      </c>
      <c r="F889" s="2">
        <v>26</v>
      </c>
      <c r="G889" s="2">
        <v>5</v>
      </c>
      <c r="H889" s="2" t="s">
        <v>51</v>
      </c>
      <c r="I889" s="2">
        <v>1</v>
      </c>
      <c r="J889" s="2">
        <v>1242</v>
      </c>
      <c r="K889" s="2">
        <v>1</v>
      </c>
      <c r="L889" s="2" t="s">
        <v>39</v>
      </c>
      <c r="M889" s="2">
        <v>60</v>
      </c>
      <c r="N889" s="2">
        <v>3</v>
      </c>
      <c r="O889" s="2">
        <v>3</v>
      </c>
      <c r="P889" s="2" t="s">
        <v>58</v>
      </c>
      <c r="Q889" s="2">
        <v>1</v>
      </c>
      <c r="R889" s="2" t="s">
        <v>48</v>
      </c>
      <c r="S889" s="2">
        <v>13191</v>
      </c>
      <c r="T889" s="2">
        <v>23281</v>
      </c>
      <c r="U889" s="2">
        <v>3</v>
      </c>
      <c r="V889" s="2" t="s">
        <v>42</v>
      </c>
      <c r="W889" s="2" t="s">
        <v>35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</row>
    <row r="890" spans="1:35" x14ac:dyDescent="0.25">
      <c r="A890" s="2">
        <v>35</v>
      </c>
      <c r="B890" s="2" t="s">
        <v>43</v>
      </c>
      <c r="C890" s="2" t="s">
        <v>55</v>
      </c>
      <c r="D890" s="2">
        <v>1212</v>
      </c>
      <c r="E890" s="2" t="s">
        <v>37</v>
      </c>
      <c r="F890" s="2">
        <v>8</v>
      </c>
      <c r="G890" s="2">
        <v>2</v>
      </c>
      <c r="H890" s="2" t="s">
        <v>59</v>
      </c>
      <c r="I890" s="2">
        <v>1</v>
      </c>
      <c r="J890" s="2">
        <v>1243</v>
      </c>
      <c r="K890" s="2">
        <v>3</v>
      </c>
      <c r="L890" s="2" t="s">
        <v>39</v>
      </c>
      <c r="M890" s="2">
        <v>78</v>
      </c>
      <c r="N890" s="2">
        <v>2</v>
      </c>
      <c r="O890" s="2">
        <v>3</v>
      </c>
      <c r="P890" s="2" t="s">
        <v>40</v>
      </c>
      <c r="Q890" s="2">
        <v>4</v>
      </c>
      <c r="R890" s="2" t="s">
        <v>48</v>
      </c>
      <c r="S890" s="2">
        <v>10377</v>
      </c>
      <c r="T890" s="2">
        <v>13755</v>
      </c>
      <c r="U890" s="2">
        <v>4</v>
      </c>
      <c r="V890" s="2" t="s">
        <v>42</v>
      </c>
      <c r="W890" s="2" t="s">
        <v>35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</row>
    <row r="891" spans="1:35" x14ac:dyDescent="0.25">
      <c r="A891" s="2">
        <v>27</v>
      </c>
      <c r="B891" s="2" t="s">
        <v>43</v>
      </c>
      <c r="C891" s="2" t="s">
        <v>36</v>
      </c>
      <c r="D891" s="2">
        <v>1103</v>
      </c>
      <c r="E891" s="2" t="s">
        <v>45</v>
      </c>
      <c r="F891" s="2">
        <v>14</v>
      </c>
      <c r="G891" s="2">
        <v>3</v>
      </c>
      <c r="H891" s="2" t="s">
        <v>38</v>
      </c>
      <c r="I891" s="2">
        <v>1</v>
      </c>
      <c r="J891" s="2">
        <v>1244</v>
      </c>
      <c r="K891" s="2">
        <v>1</v>
      </c>
      <c r="L891" s="2" t="s">
        <v>46</v>
      </c>
      <c r="M891" s="2">
        <v>42</v>
      </c>
      <c r="N891" s="2">
        <v>3</v>
      </c>
      <c r="O891" s="2">
        <v>1</v>
      </c>
      <c r="P891" s="2" t="s">
        <v>47</v>
      </c>
      <c r="Q891" s="2">
        <v>1</v>
      </c>
      <c r="R891" s="2" t="s">
        <v>48</v>
      </c>
      <c r="S891" s="2">
        <v>2235</v>
      </c>
      <c r="T891" s="2">
        <v>14377</v>
      </c>
      <c r="U891" s="2">
        <v>1</v>
      </c>
      <c r="V891" s="2" t="s">
        <v>42</v>
      </c>
      <c r="W891" s="2" t="s">
        <v>35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</row>
    <row r="892" spans="1:35" x14ac:dyDescent="0.25">
      <c r="A892" s="2">
        <v>54</v>
      </c>
      <c r="B892" s="2" t="s">
        <v>43</v>
      </c>
      <c r="C892" s="2" t="s">
        <v>44</v>
      </c>
      <c r="D892" s="2">
        <v>966</v>
      </c>
      <c r="E892" s="2" t="s">
        <v>45</v>
      </c>
      <c r="F892" s="2">
        <v>1</v>
      </c>
      <c r="G892" s="2">
        <v>4</v>
      </c>
      <c r="H892" s="2" t="s">
        <v>38</v>
      </c>
      <c r="I892" s="2">
        <v>1</v>
      </c>
      <c r="J892" s="2">
        <v>1245</v>
      </c>
      <c r="K892" s="2">
        <v>4</v>
      </c>
      <c r="L892" s="2" t="s">
        <v>39</v>
      </c>
      <c r="M892" s="2">
        <v>53</v>
      </c>
      <c r="N892" s="2">
        <v>3</v>
      </c>
      <c r="O892" s="2">
        <v>3</v>
      </c>
      <c r="P892" s="2" t="s">
        <v>53</v>
      </c>
      <c r="Q892" s="2">
        <v>3</v>
      </c>
      <c r="R892" s="2" t="s">
        <v>52</v>
      </c>
      <c r="S892" s="2">
        <v>10502</v>
      </c>
      <c r="T892" s="2">
        <v>9659</v>
      </c>
      <c r="U892" s="2">
        <v>7</v>
      </c>
      <c r="V892" s="2" t="s">
        <v>42</v>
      </c>
      <c r="W892" s="2" t="s">
        <v>43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</row>
    <row r="893" spans="1:35" x14ac:dyDescent="0.25">
      <c r="A893" s="2">
        <v>44</v>
      </c>
      <c r="B893" s="2" t="s">
        <v>43</v>
      </c>
      <c r="C893" s="2" t="s">
        <v>36</v>
      </c>
      <c r="D893" s="2">
        <v>1117</v>
      </c>
      <c r="E893" s="2" t="s">
        <v>45</v>
      </c>
      <c r="F893" s="2">
        <v>2</v>
      </c>
      <c r="G893" s="2">
        <v>1</v>
      </c>
      <c r="H893" s="2" t="s">
        <v>38</v>
      </c>
      <c r="I893" s="2">
        <v>1</v>
      </c>
      <c r="J893" s="2">
        <v>1246</v>
      </c>
      <c r="K893" s="2">
        <v>1</v>
      </c>
      <c r="L893" s="2" t="s">
        <v>39</v>
      </c>
      <c r="M893" s="2">
        <v>72</v>
      </c>
      <c r="N893" s="2">
        <v>4</v>
      </c>
      <c r="O893" s="2">
        <v>1</v>
      </c>
      <c r="P893" s="2" t="s">
        <v>47</v>
      </c>
      <c r="Q893" s="2">
        <v>4</v>
      </c>
      <c r="R893" s="2" t="s">
        <v>48</v>
      </c>
      <c r="S893" s="2">
        <v>2011</v>
      </c>
      <c r="T893" s="2">
        <v>19982</v>
      </c>
      <c r="U893" s="2">
        <v>1</v>
      </c>
      <c r="V893" s="2" t="s">
        <v>42</v>
      </c>
      <c r="W893" s="2" t="s">
        <v>43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</row>
    <row r="894" spans="1:35" x14ac:dyDescent="0.25">
      <c r="A894" s="2">
        <v>19</v>
      </c>
      <c r="B894" s="2" t="s">
        <v>35</v>
      </c>
      <c r="C894" s="2" t="s">
        <v>55</v>
      </c>
      <c r="D894" s="2">
        <v>504</v>
      </c>
      <c r="E894" s="2" t="s">
        <v>45</v>
      </c>
      <c r="F894" s="2">
        <v>10</v>
      </c>
      <c r="G894" s="2">
        <v>3</v>
      </c>
      <c r="H894" s="2" t="s">
        <v>51</v>
      </c>
      <c r="I894" s="2">
        <v>1</v>
      </c>
      <c r="J894" s="2">
        <v>1248</v>
      </c>
      <c r="K894" s="2">
        <v>1</v>
      </c>
      <c r="L894" s="2" t="s">
        <v>39</v>
      </c>
      <c r="M894" s="2">
        <v>96</v>
      </c>
      <c r="N894" s="2">
        <v>2</v>
      </c>
      <c r="O894" s="2">
        <v>1</v>
      </c>
      <c r="P894" s="2" t="s">
        <v>47</v>
      </c>
      <c r="Q894" s="2">
        <v>2</v>
      </c>
      <c r="R894" s="2" t="s">
        <v>41</v>
      </c>
      <c r="S894" s="2">
        <v>1859</v>
      </c>
      <c r="T894" s="2">
        <v>6148</v>
      </c>
      <c r="U894" s="2">
        <v>1</v>
      </c>
      <c r="V894" s="2" t="s">
        <v>42</v>
      </c>
      <c r="W894" s="2" t="s">
        <v>35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</row>
    <row r="895" spans="1:35" x14ac:dyDescent="0.25">
      <c r="A895" s="2">
        <v>29</v>
      </c>
      <c r="B895" s="2" t="s">
        <v>43</v>
      </c>
      <c r="C895" s="2" t="s">
        <v>36</v>
      </c>
      <c r="D895" s="2">
        <v>1010</v>
      </c>
      <c r="E895" s="2" t="s">
        <v>45</v>
      </c>
      <c r="F895" s="2">
        <v>1</v>
      </c>
      <c r="G895" s="2">
        <v>3</v>
      </c>
      <c r="H895" s="2" t="s">
        <v>38</v>
      </c>
      <c r="I895" s="2">
        <v>1</v>
      </c>
      <c r="J895" s="2">
        <v>1249</v>
      </c>
      <c r="K895" s="2">
        <v>1</v>
      </c>
      <c r="L895" s="2" t="s">
        <v>39</v>
      </c>
      <c r="M895" s="2">
        <v>97</v>
      </c>
      <c r="N895" s="2">
        <v>3</v>
      </c>
      <c r="O895" s="2">
        <v>1</v>
      </c>
      <c r="P895" s="2" t="s">
        <v>47</v>
      </c>
      <c r="Q895" s="2">
        <v>4</v>
      </c>
      <c r="R895" s="2" t="s">
        <v>52</v>
      </c>
      <c r="S895" s="2">
        <v>3760</v>
      </c>
      <c r="T895" s="2">
        <v>5598</v>
      </c>
      <c r="U895" s="2">
        <v>1</v>
      </c>
      <c r="V895" s="2" t="s">
        <v>42</v>
      </c>
      <c r="W895" s="2" t="s">
        <v>43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</row>
    <row r="896" spans="1:35" x14ac:dyDescent="0.25">
      <c r="A896" s="2">
        <v>54</v>
      </c>
      <c r="B896" s="2" t="s">
        <v>43</v>
      </c>
      <c r="C896" s="2" t="s">
        <v>36</v>
      </c>
      <c r="D896" s="2">
        <v>685</v>
      </c>
      <c r="E896" s="2" t="s">
        <v>45</v>
      </c>
      <c r="F896" s="2">
        <v>3</v>
      </c>
      <c r="G896" s="2">
        <v>3</v>
      </c>
      <c r="H896" s="2" t="s">
        <v>38</v>
      </c>
      <c r="I896" s="2">
        <v>1</v>
      </c>
      <c r="J896" s="2">
        <v>1250</v>
      </c>
      <c r="K896" s="2">
        <v>4</v>
      </c>
      <c r="L896" s="2" t="s">
        <v>46</v>
      </c>
      <c r="M896" s="2">
        <v>85</v>
      </c>
      <c r="N896" s="2">
        <v>3</v>
      </c>
      <c r="O896" s="2">
        <v>4</v>
      </c>
      <c r="P896" s="2" t="s">
        <v>58</v>
      </c>
      <c r="Q896" s="2">
        <v>4</v>
      </c>
      <c r="R896" s="2" t="s">
        <v>48</v>
      </c>
      <c r="S896" s="2">
        <v>17779</v>
      </c>
      <c r="T896" s="2">
        <v>23474</v>
      </c>
      <c r="U896" s="2">
        <v>3</v>
      </c>
      <c r="V896" s="2" t="s">
        <v>42</v>
      </c>
      <c r="W896" s="2" t="s">
        <v>43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</row>
    <row r="897" spans="1:35" x14ac:dyDescent="0.25">
      <c r="A897" s="2">
        <v>31</v>
      </c>
      <c r="B897" s="2" t="s">
        <v>43</v>
      </c>
      <c r="C897" s="2" t="s">
        <v>36</v>
      </c>
      <c r="D897" s="2">
        <v>1332</v>
      </c>
      <c r="E897" s="2" t="s">
        <v>45</v>
      </c>
      <c r="F897" s="2">
        <v>11</v>
      </c>
      <c r="G897" s="2">
        <v>2</v>
      </c>
      <c r="H897" s="2" t="s">
        <v>51</v>
      </c>
      <c r="I897" s="2">
        <v>1</v>
      </c>
      <c r="J897" s="2">
        <v>1251</v>
      </c>
      <c r="K897" s="2">
        <v>3</v>
      </c>
      <c r="L897" s="2" t="s">
        <v>46</v>
      </c>
      <c r="M897" s="2">
        <v>80</v>
      </c>
      <c r="N897" s="2">
        <v>3</v>
      </c>
      <c r="O897" s="2">
        <v>2</v>
      </c>
      <c r="P897" s="2" t="s">
        <v>54</v>
      </c>
      <c r="Q897" s="2">
        <v>1</v>
      </c>
      <c r="R897" s="2" t="s">
        <v>48</v>
      </c>
      <c r="S897" s="2">
        <v>6833</v>
      </c>
      <c r="T897" s="2">
        <v>17089</v>
      </c>
      <c r="U897" s="2">
        <v>1</v>
      </c>
      <c r="V897" s="2" t="s">
        <v>42</v>
      </c>
      <c r="W897" s="2" t="s">
        <v>35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</row>
    <row r="898" spans="1:35" x14ac:dyDescent="0.25">
      <c r="A898" s="2">
        <v>31</v>
      </c>
      <c r="B898" s="2" t="s">
        <v>43</v>
      </c>
      <c r="C898" s="2" t="s">
        <v>36</v>
      </c>
      <c r="D898" s="2">
        <v>1062</v>
      </c>
      <c r="E898" s="2" t="s">
        <v>45</v>
      </c>
      <c r="F898" s="2">
        <v>24</v>
      </c>
      <c r="G898" s="2">
        <v>3</v>
      </c>
      <c r="H898" s="2" t="s">
        <v>51</v>
      </c>
      <c r="I898" s="2">
        <v>1</v>
      </c>
      <c r="J898" s="2">
        <v>1252</v>
      </c>
      <c r="K898" s="2">
        <v>3</v>
      </c>
      <c r="L898" s="2" t="s">
        <v>39</v>
      </c>
      <c r="M898" s="2">
        <v>96</v>
      </c>
      <c r="N898" s="2">
        <v>2</v>
      </c>
      <c r="O898" s="2">
        <v>2</v>
      </c>
      <c r="P898" s="2" t="s">
        <v>54</v>
      </c>
      <c r="Q898" s="2">
        <v>1</v>
      </c>
      <c r="R898" s="2" t="s">
        <v>41</v>
      </c>
      <c r="S898" s="2">
        <v>6812</v>
      </c>
      <c r="T898" s="2">
        <v>17198</v>
      </c>
      <c r="U898" s="2">
        <v>1</v>
      </c>
      <c r="V898" s="2" t="s">
        <v>42</v>
      </c>
      <c r="W898" s="2" t="s">
        <v>43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</row>
    <row r="899" spans="1:35" x14ac:dyDescent="0.25">
      <c r="A899" s="2">
        <v>59</v>
      </c>
      <c r="B899" s="2" t="s">
        <v>43</v>
      </c>
      <c r="C899" s="2" t="s">
        <v>36</v>
      </c>
      <c r="D899" s="2">
        <v>326</v>
      </c>
      <c r="E899" s="2" t="s">
        <v>37</v>
      </c>
      <c r="F899" s="2">
        <v>3</v>
      </c>
      <c r="G899" s="2">
        <v>3</v>
      </c>
      <c r="H899" s="2" t="s">
        <v>38</v>
      </c>
      <c r="I899" s="2">
        <v>1</v>
      </c>
      <c r="J899" s="2">
        <v>1254</v>
      </c>
      <c r="K899" s="2">
        <v>3</v>
      </c>
      <c r="L899" s="2" t="s">
        <v>39</v>
      </c>
      <c r="M899" s="2">
        <v>48</v>
      </c>
      <c r="N899" s="2">
        <v>2</v>
      </c>
      <c r="O899" s="2">
        <v>2</v>
      </c>
      <c r="P899" s="2" t="s">
        <v>40</v>
      </c>
      <c r="Q899" s="2">
        <v>4</v>
      </c>
      <c r="R899" s="2" t="s">
        <v>41</v>
      </c>
      <c r="S899" s="2">
        <v>5171</v>
      </c>
      <c r="T899" s="2">
        <v>16490</v>
      </c>
      <c r="U899" s="2">
        <v>5</v>
      </c>
      <c r="V899" s="2" t="s">
        <v>42</v>
      </c>
      <c r="W899" s="2" t="s">
        <v>43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</row>
    <row r="900" spans="1:35" x14ac:dyDescent="0.25">
      <c r="A900" s="2">
        <v>43</v>
      </c>
      <c r="B900" s="2" t="s">
        <v>43</v>
      </c>
      <c r="C900" s="2" t="s">
        <v>36</v>
      </c>
      <c r="D900" s="2">
        <v>920</v>
      </c>
      <c r="E900" s="2" t="s">
        <v>45</v>
      </c>
      <c r="F900" s="2">
        <v>3</v>
      </c>
      <c r="G900" s="2">
        <v>3</v>
      </c>
      <c r="H900" s="2" t="s">
        <v>38</v>
      </c>
      <c r="I900" s="2">
        <v>1</v>
      </c>
      <c r="J900" s="2">
        <v>1255</v>
      </c>
      <c r="K900" s="2">
        <v>3</v>
      </c>
      <c r="L900" s="2" t="s">
        <v>46</v>
      </c>
      <c r="M900" s="2">
        <v>96</v>
      </c>
      <c r="N900" s="2">
        <v>1</v>
      </c>
      <c r="O900" s="2">
        <v>5</v>
      </c>
      <c r="P900" s="2" t="s">
        <v>58</v>
      </c>
      <c r="Q900" s="2">
        <v>4</v>
      </c>
      <c r="R900" s="2" t="s">
        <v>48</v>
      </c>
      <c r="S900" s="2">
        <v>19740</v>
      </c>
      <c r="T900" s="2">
        <v>18625</v>
      </c>
      <c r="U900" s="2">
        <v>3</v>
      </c>
      <c r="V900" s="2" t="s">
        <v>42</v>
      </c>
      <c r="W900" s="2" t="s">
        <v>43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</row>
    <row r="901" spans="1:35" x14ac:dyDescent="0.25">
      <c r="A901" s="2">
        <v>49</v>
      </c>
      <c r="B901" s="2" t="s">
        <v>43</v>
      </c>
      <c r="C901" s="2" t="s">
        <v>36</v>
      </c>
      <c r="D901" s="2">
        <v>1098</v>
      </c>
      <c r="E901" s="2" t="s">
        <v>45</v>
      </c>
      <c r="F901" s="2">
        <v>4</v>
      </c>
      <c r="G901" s="2">
        <v>2</v>
      </c>
      <c r="H901" s="2" t="s">
        <v>51</v>
      </c>
      <c r="I901" s="2">
        <v>1</v>
      </c>
      <c r="J901" s="2">
        <v>1256</v>
      </c>
      <c r="K901" s="2">
        <v>1</v>
      </c>
      <c r="L901" s="2" t="s">
        <v>46</v>
      </c>
      <c r="M901" s="2">
        <v>85</v>
      </c>
      <c r="N901" s="2">
        <v>2</v>
      </c>
      <c r="O901" s="2">
        <v>5</v>
      </c>
      <c r="P901" s="2" t="s">
        <v>56</v>
      </c>
      <c r="Q901" s="2">
        <v>3</v>
      </c>
      <c r="R901" s="2" t="s">
        <v>48</v>
      </c>
      <c r="S901" s="2">
        <v>18711</v>
      </c>
      <c r="T901" s="2">
        <v>12124</v>
      </c>
      <c r="U901" s="2">
        <v>2</v>
      </c>
      <c r="V901" s="2" t="s">
        <v>42</v>
      </c>
      <c r="W901" s="2" t="s">
        <v>43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</row>
    <row r="902" spans="1:35" x14ac:dyDescent="0.25">
      <c r="A902" s="2">
        <v>36</v>
      </c>
      <c r="B902" s="2" t="s">
        <v>43</v>
      </c>
      <c r="C902" s="2" t="s">
        <v>44</v>
      </c>
      <c r="D902" s="2">
        <v>469</v>
      </c>
      <c r="E902" s="2" t="s">
        <v>45</v>
      </c>
      <c r="F902" s="2">
        <v>3</v>
      </c>
      <c r="G902" s="2">
        <v>3</v>
      </c>
      <c r="H902" s="2" t="s">
        <v>60</v>
      </c>
      <c r="I902" s="2">
        <v>1</v>
      </c>
      <c r="J902" s="2">
        <v>1257</v>
      </c>
      <c r="K902" s="2">
        <v>3</v>
      </c>
      <c r="L902" s="2" t="s">
        <v>46</v>
      </c>
      <c r="M902" s="2">
        <v>46</v>
      </c>
      <c r="N902" s="2">
        <v>3</v>
      </c>
      <c r="O902" s="2">
        <v>1</v>
      </c>
      <c r="P902" s="2" t="s">
        <v>47</v>
      </c>
      <c r="Q902" s="2">
        <v>2</v>
      </c>
      <c r="R902" s="2" t="s">
        <v>48</v>
      </c>
      <c r="S902" s="2">
        <v>3692</v>
      </c>
      <c r="T902" s="2">
        <v>9256</v>
      </c>
      <c r="U902" s="2">
        <v>1</v>
      </c>
      <c r="V902" s="2" t="s">
        <v>42</v>
      </c>
      <c r="W902" s="2" t="s">
        <v>43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</row>
    <row r="903" spans="1:35" x14ac:dyDescent="0.25">
      <c r="A903" s="2">
        <v>48</v>
      </c>
      <c r="B903" s="2" t="s">
        <v>43</v>
      </c>
      <c r="C903" s="2" t="s">
        <v>36</v>
      </c>
      <c r="D903" s="2">
        <v>969</v>
      </c>
      <c r="E903" s="2" t="s">
        <v>45</v>
      </c>
      <c r="F903" s="2">
        <v>2</v>
      </c>
      <c r="G903" s="2">
        <v>2</v>
      </c>
      <c r="H903" s="2" t="s">
        <v>60</v>
      </c>
      <c r="I903" s="2">
        <v>1</v>
      </c>
      <c r="J903" s="2">
        <v>1258</v>
      </c>
      <c r="K903" s="2">
        <v>4</v>
      </c>
      <c r="L903" s="2" t="s">
        <v>46</v>
      </c>
      <c r="M903" s="2">
        <v>76</v>
      </c>
      <c r="N903" s="2">
        <v>4</v>
      </c>
      <c r="O903" s="2">
        <v>1</v>
      </c>
      <c r="P903" s="2" t="s">
        <v>50</v>
      </c>
      <c r="Q903" s="2">
        <v>2</v>
      </c>
      <c r="R903" s="2" t="s">
        <v>41</v>
      </c>
      <c r="S903" s="2">
        <v>2559</v>
      </c>
      <c r="T903" s="2">
        <v>16620</v>
      </c>
      <c r="U903" s="2">
        <v>5</v>
      </c>
      <c r="V903" s="2" t="s">
        <v>42</v>
      </c>
      <c r="W903" s="2" t="s">
        <v>43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</row>
    <row r="904" spans="1:35" x14ac:dyDescent="0.25">
      <c r="A904" s="2">
        <v>27</v>
      </c>
      <c r="B904" s="2" t="s">
        <v>43</v>
      </c>
      <c r="C904" s="2" t="s">
        <v>36</v>
      </c>
      <c r="D904" s="2">
        <v>1167</v>
      </c>
      <c r="E904" s="2" t="s">
        <v>45</v>
      </c>
      <c r="F904" s="2">
        <v>4</v>
      </c>
      <c r="G904" s="2">
        <v>2</v>
      </c>
      <c r="H904" s="2" t="s">
        <v>38</v>
      </c>
      <c r="I904" s="2">
        <v>1</v>
      </c>
      <c r="J904" s="2">
        <v>1259</v>
      </c>
      <c r="K904" s="2">
        <v>1</v>
      </c>
      <c r="L904" s="2" t="s">
        <v>46</v>
      </c>
      <c r="M904" s="2">
        <v>76</v>
      </c>
      <c r="N904" s="2">
        <v>3</v>
      </c>
      <c r="O904" s="2">
        <v>1</v>
      </c>
      <c r="P904" s="2" t="s">
        <v>47</v>
      </c>
      <c r="Q904" s="2">
        <v>3</v>
      </c>
      <c r="R904" s="2" t="s">
        <v>52</v>
      </c>
      <c r="S904" s="2">
        <v>2517</v>
      </c>
      <c r="T904" s="2">
        <v>3208</v>
      </c>
      <c r="U904" s="2">
        <v>1</v>
      </c>
      <c r="V904" s="2" t="s">
        <v>42</v>
      </c>
      <c r="W904" s="2" t="s">
        <v>43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</row>
    <row r="905" spans="1:35" x14ac:dyDescent="0.25">
      <c r="A905" s="2">
        <v>29</v>
      </c>
      <c r="B905" s="2" t="s">
        <v>43</v>
      </c>
      <c r="C905" s="2" t="s">
        <v>36</v>
      </c>
      <c r="D905" s="2">
        <v>1329</v>
      </c>
      <c r="E905" s="2" t="s">
        <v>45</v>
      </c>
      <c r="F905" s="2">
        <v>7</v>
      </c>
      <c r="G905" s="2">
        <v>3</v>
      </c>
      <c r="H905" s="2" t="s">
        <v>38</v>
      </c>
      <c r="I905" s="2">
        <v>1</v>
      </c>
      <c r="J905" s="2">
        <v>1260</v>
      </c>
      <c r="K905" s="2">
        <v>3</v>
      </c>
      <c r="L905" s="2" t="s">
        <v>46</v>
      </c>
      <c r="M905" s="2">
        <v>82</v>
      </c>
      <c r="N905" s="2">
        <v>3</v>
      </c>
      <c r="O905" s="2">
        <v>2</v>
      </c>
      <c r="P905" s="2" t="s">
        <v>54</v>
      </c>
      <c r="Q905" s="2">
        <v>4</v>
      </c>
      <c r="R905" s="2" t="s">
        <v>52</v>
      </c>
      <c r="S905" s="2">
        <v>6623</v>
      </c>
      <c r="T905" s="2">
        <v>4204</v>
      </c>
      <c r="U905" s="2">
        <v>1</v>
      </c>
      <c r="V905" s="2" t="s">
        <v>42</v>
      </c>
      <c r="W905" s="2" t="s">
        <v>35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</row>
    <row r="906" spans="1:35" x14ac:dyDescent="0.25">
      <c r="A906" s="2">
        <v>48</v>
      </c>
      <c r="B906" s="2" t="s">
        <v>43</v>
      </c>
      <c r="C906" s="2" t="s">
        <v>36</v>
      </c>
      <c r="D906" s="2">
        <v>715</v>
      </c>
      <c r="E906" s="2" t="s">
        <v>45</v>
      </c>
      <c r="F906" s="2">
        <v>1</v>
      </c>
      <c r="G906" s="2">
        <v>3</v>
      </c>
      <c r="H906" s="2" t="s">
        <v>38</v>
      </c>
      <c r="I906" s="2">
        <v>1</v>
      </c>
      <c r="J906" s="2">
        <v>1263</v>
      </c>
      <c r="K906" s="2">
        <v>4</v>
      </c>
      <c r="L906" s="2" t="s">
        <v>46</v>
      </c>
      <c r="M906" s="2">
        <v>76</v>
      </c>
      <c r="N906" s="2">
        <v>2</v>
      </c>
      <c r="O906" s="2">
        <v>5</v>
      </c>
      <c r="P906" s="2" t="s">
        <v>58</v>
      </c>
      <c r="Q906" s="2">
        <v>4</v>
      </c>
      <c r="R906" s="2" t="s">
        <v>41</v>
      </c>
      <c r="S906" s="2">
        <v>18265</v>
      </c>
      <c r="T906" s="2">
        <v>8733</v>
      </c>
      <c r="U906" s="2">
        <v>6</v>
      </c>
      <c r="V906" s="2" t="s">
        <v>42</v>
      </c>
      <c r="W906" s="2" t="s">
        <v>43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</row>
    <row r="907" spans="1:35" x14ac:dyDescent="0.25">
      <c r="A907" s="2">
        <v>29</v>
      </c>
      <c r="B907" s="2" t="s">
        <v>43</v>
      </c>
      <c r="C907" s="2" t="s">
        <v>36</v>
      </c>
      <c r="D907" s="2">
        <v>694</v>
      </c>
      <c r="E907" s="2" t="s">
        <v>45</v>
      </c>
      <c r="F907" s="2">
        <v>1</v>
      </c>
      <c r="G907" s="2">
        <v>3</v>
      </c>
      <c r="H907" s="2" t="s">
        <v>38</v>
      </c>
      <c r="I907" s="2">
        <v>1</v>
      </c>
      <c r="J907" s="2">
        <v>1264</v>
      </c>
      <c r="K907" s="2">
        <v>4</v>
      </c>
      <c r="L907" s="2" t="s">
        <v>39</v>
      </c>
      <c r="M907" s="2">
        <v>87</v>
      </c>
      <c r="N907" s="2">
        <v>2</v>
      </c>
      <c r="O907" s="2">
        <v>4</v>
      </c>
      <c r="P907" s="2" t="s">
        <v>58</v>
      </c>
      <c r="Q907" s="2">
        <v>4</v>
      </c>
      <c r="R907" s="2" t="s">
        <v>52</v>
      </c>
      <c r="S907" s="2">
        <v>16124</v>
      </c>
      <c r="T907" s="2">
        <v>3423</v>
      </c>
      <c r="U907" s="2">
        <v>3</v>
      </c>
      <c r="V907" s="2" t="s">
        <v>42</v>
      </c>
      <c r="W907" s="2" t="s">
        <v>43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</row>
    <row r="908" spans="1:35" x14ac:dyDescent="0.25">
      <c r="A908" s="2">
        <v>34</v>
      </c>
      <c r="B908" s="2" t="s">
        <v>43</v>
      </c>
      <c r="C908" s="2" t="s">
        <v>36</v>
      </c>
      <c r="D908" s="2">
        <v>1320</v>
      </c>
      <c r="E908" s="2" t="s">
        <v>45</v>
      </c>
      <c r="F908" s="2">
        <v>20</v>
      </c>
      <c r="G908" s="2">
        <v>3</v>
      </c>
      <c r="H908" s="2" t="s">
        <v>60</v>
      </c>
      <c r="I908" s="2">
        <v>1</v>
      </c>
      <c r="J908" s="2">
        <v>1265</v>
      </c>
      <c r="K908" s="2">
        <v>3</v>
      </c>
      <c r="L908" s="2" t="s">
        <v>39</v>
      </c>
      <c r="M908" s="2">
        <v>89</v>
      </c>
      <c r="N908" s="2">
        <v>4</v>
      </c>
      <c r="O908" s="2">
        <v>1</v>
      </c>
      <c r="P908" s="2" t="s">
        <v>47</v>
      </c>
      <c r="Q908" s="2">
        <v>3</v>
      </c>
      <c r="R908" s="2" t="s">
        <v>48</v>
      </c>
      <c r="S908" s="2">
        <v>2585</v>
      </c>
      <c r="T908" s="2">
        <v>21643</v>
      </c>
      <c r="U908" s="2">
        <v>0</v>
      </c>
      <c r="V908" s="2" t="s">
        <v>42</v>
      </c>
      <c r="W908" s="2" t="s">
        <v>43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</row>
    <row r="909" spans="1:35" x14ac:dyDescent="0.25">
      <c r="A909" s="2">
        <v>44</v>
      </c>
      <c r="B909" s="2" t="s">
        <v>43</v>
      </c>
      <c r="C909" s="2" t="s">
        <v>36</v>
      </c>
      <c r="D909" s="2">
        <v>1099</v>
      </c>
      <c r="E909" s="2" t="s">
        <v>37</v>
      </c>
      <c r="F909" s="2">
        <v>5</v>
      </c>
      <c r="G909" s="2">
        <v>3</v>
      </c>
      <c r="H909" s="2" t="s">
        <v>59</v>
      </c>
      <c r="I909" s="2">
        <v>1</v>
      </c>
      <c r="J909" s="2">
        <v>1267</v>
      </c>
      <c r="K909" s="2">
        <v>2</v>
      </c>
      <c r="L909" s="2" t="s">
        <v>46</v>
      </c>
      <c r="M909" s="2">
        <v>88</v>
      </c>
      <c r="N909" s="2">
        <v>3</v>
      </c>
      <c r="O909" s="2">
        <v>5</v>
      </c>
      <c r="P909" s="2" t="s">
        <v>56</v>
      </c>
      <c r="Q909" s="2">
        <v>2</v>
      </c>
      <c r="R909" s="2" t="s">
        <v>48</v>
      </c>
      <c r="S909" s="2">
        <v>18213</v>
      </c>
      <c r="T909" s="2">
        <v>8751</v>
      </c>
      <c r="U909" s="2">
        <v>7</v>
      </c>
      <c r="V909" s="2" t="s">
        <v>42</v>
      </c>
      <c r="W909" s="2" t="s">
        <v>43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</row>
    <row r="910" spans="1:35" x14ac:dyDescent="0.25">
      <c r="A910" s="2">
        <v>33</v>
      </c>
      <c r="B910" s="2" t="s">
        <v>43</v>
      </c>
      <c r="C910" s="2" t="s">
        <v>36</v>
      </c>
      <c r="D910" s="2">
        <v>536</v>
      </c>
      <c r="E910" s="2" t="s">
        <v>37</v>
      </c>
      <c r="F910" s="2">
        <v>10</v>
      </c>
      <c r="G910" s="2">
        <v>5</v>
      </c>
      <c r="H910" s="2" t="s">
        <v>59</v>
      </c>
      <c r="I910" s="2">
        <v>1</v>
      </c>
      <c r="J910" s="2">
        <v>1268</v>
      </c>
      <c r="K910" s="2">
        <v>4</v>
      </c>
      <c r="L910" s="2" t="s">
        <v>46</v>
      </c>
      <c r="M910" s="2">
        <v>82</v>
      </c>
      <c r="N910" s="2">
        <v>4</v>
      </c>
      <c r="O910" s="2">
        <v>3</v>
      </c>
      <c r="P910" s="2" t="s">
        <v>40</v>
      </c>
      <c r="Q910" s="2">
        <v>3</v>
      </c>
      <c r="R910" s="2" t="s">
        <v>52</v>
      </c>
      <c r="S910" s="2">
        <v>8380</v>
      </c>
      <c r="T910" s="2">
        <v>21708</v>
      </c>
      <c r="U910" s="2">
        <v>0</v>
      </c>
      <c r="V910" s="2" t="s">
        <v>42</v>
      </c>
      <c r="W910" s="2" t="s">
        <v>35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</row>
    <row r="911" spans="1:35" x14ac:dyDescent="0.25">
      <c r="A911" s="2">
        <v>19</v>
      </c>
      <c r="B911" s="2" t="s">
        <v>43</v>
      </c>
      <c r="C911" s="2" t="s">
        <v>36</v>
      </c>
      <c r="D911" s="2">
        <v>265</v>
      </c>
      <c r="E911" s="2" t="s">
        <v>45</v>
      </c>
      <c r="F911" s="2">
        <v>25</v>
      </c>
      <c r="G911" s="2">
        <v>3</v>
      </c>
      <c r="H911" s="2" t="s">
        <v>38</v>
      </c>
      <c r="I911" s="2">
        <v>1</v>
      </c>
      <c r="J911" s="2">
        <v>1269</v>
      </c>
      <c r="K911" s="2">
        <v>2</v>
      </c>
      <c r="L911" s="2" t="s">
        <v>39</v>
      </c>
      <c r="M911" s="2">
        <v>57</v>
      </c>
      <c r="N911" s="2">
        <v>4</v>
      </c>
      <c r="O911" s="2">
        <v>1</v>
      </c>
      <c r="P911" s="2" t="s">
        <v>47</v>
      </c>
      <c r="Q911" s="2">
        <v>4</v>
      </c>
      <c r="R911" s="2" t="s">
        <v>41</v>
      </c>
      <c r="S911" s="2">
        <v>2994</v>
      </c>
      <c r="T911" s="2">
        <v>21221</v>
      </c>
      <c r="U911" s="2">
        <v>1</v>
      </c>
      <c r="V911" s="2" t="s">
        <v>42</v>
      </c>
      <c r="W911" s="2" t="s">
        <v>35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</row>
    <row r="912" spans="1:35" x14ac:dyDescent="0.25">
      <c r="A912" s="2">
        <v>23</v>
      </c>
      <c r="B912" s="2" t="s">
        <v>43</v>
      </c>
      <c r="C912" s="2" t="s">
        <v>36</v>
      </c>
      <c r="D912" s="2">
        <v>373</v>
      </c>
      <c r="E912" s="2" t="s">
        <v>45</v>
      </c>
      <c r="F912" s="2">
        <v>1</v>
      </c>
      <c r="G912" s="2">
        <v>2</v>
      </c>
      <c r="H912" s="2" t="s">
        <v>38</v>
      </c>
      <c r="I912" s="2">
        <v>1</v>
      </c>
      <c r="J912" s="2">
        <v>1270</v>
      </c>
      <c r="K912" s="2">
        <v>4</v>
      </c>
      <c r="L912" s="2" t="s">
        <v>46</v>
      </c>
      <c r="M912" s="2">
        <v>47</v>
      </c>
      <c r="N912" s="2">
        <v>3</v>
      </c>
      <c r="O912" s="2">
        <v>1</v>
      </c>
      <c r="P912" s="2" t="s">
        <v>47</v>
      </c>
      <c r="Q912" s="2">
        <v>3</v>
      </c>
      <c r="R912" s="2" t="s">
        <v>48</v>
      </c>
      <c r="S912" s="2">
        <v>1223</v>
      </c>
      <c r="T912" s="2">
        <v>16901</v>
      </c>
      <c r="U912" s="2">
        <v>1</v>
      </c>
      <c r="V912" s="2" t="s">
        <v>42</v>
      </c>
      <c r="W912" s="2" t="s">
        <v>43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</row>
    <row r="913" spans="1:35" x14ac:dyDescent="0.25">
      <c r="A913" s="2">
        <v>25</v>
      </c>
      <c r="B913" s="2" t="s">
        <v>35</v>
      </c>
      <c r="C913" s="2" t="s">
        <v>44</v>
      </c>
      <c r="D913" s="2">
        <v>599</v>
      </c>
      <c r="E913" s="2" t="s">
        <v>37</v>
      </c>
      <c r="F913" s="2">
        <v>24</v>
      </c>
      <c r="G913" s="2">
        <v>1</v>
      </c>
      <c r="H913" s="2" t="s">
        <v>38</v>
      </c>
      <c r="I913" s="2">
        <v>1</v>
      </c>
      <c r="J913" s="2">
        <v>1273</v>
      </c>
      <c r="K913" s="2">
        <v>3</v>
      </c>
      <c r="L913" s="2" t="s">
        <v>46</v>
      </c>
      <c r="M913" s="2">
        <v>73</v>
      </c>
      <c r="N913" s="2">
        <v>1</v>
      </c>
      <c r="O913" s="2">
        <v>1</v>
      </c>
      <c r="P913" s="2" t="s">
        <v>57</v>
      </c>
      <c r="Q913" s="2">
        <v>4</v>
      </c>
      <c r="R913" s="2" t="s">
        <v>41</v>
      </c>
      <c r="S913" s="2">
        <v>1118</v>
      </c>
      <c r="T913" s="2">
        <v>8040</v>
      </c>
      <c r="U913" s="2">
        <v>1</v>
      </c>
      <c r="V913" s="2" t="s">
        <v>42</v>
      </c>
      <c r="W913" s="2" t="s">
        <v>35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</row>
    <row r="914" spans="1:35" x14ac:dyDescent="0.25">
      <c r="A914" s="2">
        <v>26</v>
      </c>
      <c r="B914" s="2" t="s">
        <v>43</v>
      </c>
      <c r="C914" s="2" t="s">
        <v>36</v>
      </c>
      <c r="D914" s="2">
        <v>583</v>
      </c>
      <c r="E914" s="2" t="s">
        <v>45</v>
      </c>
      <c r="F914" s="2">
        <v>4</v>
      </c>
      <c r="G914" s="2">
        <v>2</v>
      </c>
      <c r="H914" s="2" t="s">
        <v>38</v>
      </c>
      <c r="I914" s="2">
        <v>1</v>
      </c>
      <c r="J914" s="2">
        <v>1275</v>
      </c>
      <c r="K914" s="2">
        <v>3</v>
      </c>
      <c r="L914" s="2" t="s">
        <v>46</v>
      </c>
      <c r="M914" s="2">
        <v>53</v>
      </c>
      <c r="N914" s="2">
        <v>3</v>
      </c>
      <c r="O914" s="2">
        <v>1</v>
      </c>
      <c r="P914" s="2" t="s">
        <v>47</v>
      </c>
      <c r="Q914" s="2">
        <v>4</v>
      </c>
      <c r="R914" s="2" t="s">
        <v>41</v>
      </c>
      <c r="S914" s="2">
        <v>2875</v>
      </c>
      <c r="T914" s="2">
        <v>9973</v>
      </c>
      <c r="U914" s="2">
        <v>1</v>
      </c>
      <c r="V914" s="2" t="s">
        <v>42</v>
      </c>
      <c r="W914" s="2" t="s">
        <v>35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</row>
    <row r="915" spans="1:35" x14ac:dyDescent="0.25">
      <c r="A915" s="2">
        <v>45</v>
      </c>
      <c r="B915" s="2" t="s">
        <v>35</v>
      </c>
      <c r="C915" s="2" t="s">
        <v>36</v>
      </c>
      <c r="D915" s="2">
        <v>1449</v>
      </c>
      <c r="E915" s="2" t="s">
        <v>37</v>
      </c>
      <c r="F915" s="2">
        <v>2</v>
      </c>
      <c r="G915" s="2">
        <v>3</v>
      </c>
      <c r="H915" s="2" t="s">
        <v>59</v>
      </c>
      <c r="I915" s="2">
        <v>1</v>
      </c>
      <c r="J915" s="2">
        <v>1277</v>
      </c>
      <c r="K915" s="2">
        <v>1</v>
      </c>
      <c r="L915" s="2" t="s">
        <v>39</v>
      </c>
      <c r="M915" s="2">
        <v>94</v>
      </c>
      <c r="N915" s="2">
        <v>1</v>
      </c>
      <c r="O915" s="2">
        <v>5</v>
      </c>
      <c r="P915" s="2" t="s">
        <v>56</v>
      </c>
      <c r="Q915" s="2">
        <v>2</v>
      </c>
      <c r="R915" s="2" t="s">
        <v>41</v>
      </c>
      <c r="S915" s="2">
        <v>18824</v>
      </c>
      <c r="T915" s="2">
        <v>2493</v>
      </c>
      <c r="U915" s="2">
        <v>2</v>
      </c>
      <c r="V915" s="2" t="s">
        <v>42</v>
      </c>
      <c r="W915" s="2" t="s">
        <v>35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</row>
    <row r="916" spans="1:35" x14ac:dyDescent="0.25">
      <c r="A916" s="2">
        <v>55</v>
      </c>
      <c r="B916" s="2" t="s">
        <v>43</v>
      </c>
      <c r="C916" s="2" t="s">
        <v>55</v>
      </c>
      <c r="D916" s="2">
        <v>177</v>
      </c>
      <c r="E916" s="2" t="s">
        <v>45</v>
      </c>
      <c r="F916" s="2">
        <v>8</v>
      </c>
      <c r="G916" s="2">
        <v>1</v>
      </c>
      <c r="H916" s="2" t="s">
        <v>51</v>
      </c>
      <c r="I916" s="2">
        <v>1</v>
      </c>
      <c r="J916" s="2">
        <v>1278</v>
      </c>
      <c r="K916" s="2">
        <v>4</v>
      </c>
      <c r="L916" s="2" t="s">
        <v>46</v>
      </c>
      <c r="M916" s="2">
        <v>37</v>
      </c>
      <c r="N916" s="2">
        <v>2</v>
      </c>
      <c r="O916" s="2">
        <v>4</v>
      </c>
      <c r="P916" s="2" t="s">
        <v>54</v>
      </c>
      <c r="Q916" s="2">
        <v>2</v>
      </c>
      <c r="R916" s="2" t="s">
        <v>52</v>
      </c>
      <c r="S916" s="2">
        <v>13577</v>
      </c>
      <c r="T916" s="2">
        <v>25592</v>
      </c>
      <c r="U916" s="2">
        <v>1</v>
      </c>
      <c r="V916" s="2" t="s">
        <v>42</v>
      </c>
      <c r="W916" s="2" t="s">
        <v>35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</row>
    <row r="917" spans="1:35" x14ac:dyDescent="0.25">
      <c r="A917" s="2">
        <v>21</v>
      </c>
      <c r="B917" s="2" t="s">
        <v>35</v>
      </c>
      <c r="C917" s="2" t="s">
        <v>44</v>
      </c>
      <c r="D917" s="2">
        <v>251</v>
      </c>
      <c r="E917" s="2" t="s">
        <v>45</v>
      </c>
      <c r="F917" s="2">
        <v>10</v>
      </c>
      <c r="G917" s="2">
        <v>2</v>
      </c>
      <c r="H917" s="2" t="s">
        <v>38</v>
      </c>
      <c r="I917" s="2">
        <v>1</v>
      </c>
      <c r="J917" s="2">
        <v>1279</v>
      </c>
      <c r="K917" s="2">
        <v>1</v>
      </c>
      <c r="L917" s="2" t="s">
        <v>39</v>
      </c>
      <c r="M917" s="2">
        <v>45</v>
      </c>
      <c r="N917" s="2">
        <v>2</v>
      </c>
      <c r="O917" s="2">
        <v>1</v>
      </c>
      <c r="P917" s="2" t="s">
        <v>50</v>
      </c>
      <c r="Q917" s="2">
        <v>3</v>
      </c>
      <c r="R917" s="2" t="s">
        <v>41</v>
      </c>
      <c r="S917" s="2">
        <v>2625</v>
      </c>
      <c r="T917" s="2">
        <v>25308</v>
      </c>
      <c r="U917" s="2">
        <v>1</v>
      </c>
      <c r="V917" s="2" t="s">
        <v>42</v>
      </c>
      <c r="W917" s="2" t="s">
        <v>43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</row>
    <row r="918" spans="1:35" x14ac:dyDescent="0.25">
      <c r="A918" s="2">
        <v>46</v>
      </c>
      <c r="B918" s="2" t="s">
        <v>43</v>
      </c>
      <c r="C918" s="2" t="s">
        <v>36</v>
      </c>
      <c r="D918" s="2">
        <v>168</v>
      </c>
      <c r="E918" s="2" t="s">
        <v>37</v>
      </c>
      <c r="F918" s="2">
        <v>4</v>
      </c>
      <c r="G918" s="2">
        <v>2</v>
      </c>
      <c r="H918" s="2" t="s">
        <v>59</v>
      </c>
      <c r="I918" s="2">
        <v>1</v>
      </c>
      <c r="J918" s="2">
        <v>1280</v>
      </c>
      <c r="K918" s="2">
        <v>4</v>
      </c>
      <c r="L918" s="2" t="s">
        <v>39</v>
      </c>
      <c r="M918" s="2">
        <v>33</v>
      </c>
      <c r="N918" s="2">
        <v>2</v>
      </c>
      <c r="O918" s="2">
        <v>5</v>
      </c>
      <c r="P918" s="2" t="s">
        <v>56</v>
      </c>
      <c r="Q918" s="2">
        <v>2</v>
      </c>
      <c r="R918" s="2" t="s">
        <v>48</v>
      </c>
      <c r="S918" s="2">
        <v>18789</v>
      </c>
      <c r="T918" s="2">
        <v>9946</v>
      </c>
      <c r="U918" s="2">
        <v>2</v>
      </c>
      <c r="V918" s="2" t="s">
        <v>42</v>
      </c>
      <c r="W918" s="2" t="s">
        <v>43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</row>
    <row r="919" spans="1:35" x14ac:dyDescent="0.25">
      <c r="A919" s="2">
        <v>34</v>
      </c>
      <c r="B919" s="2" t="s">
        <v>43</v>
      </c>
      <c r="C919" s="2" t="s">
        <v>36</v>
      </c>
      <c r="D919" s="2">
        <v>131</v>
      </c>
      <c r="E919" s="2" t="s">
        <v>37</v>
      </c>
      <c r="F919" s="2">
        <v>2</v>
      </c>
      <c r="G919" s="2">
        <v>3</v>
      </c>
      <c r="H919" s="2" t="s">
        <v>59</v>
      </c>
      <c r="I919" s="2">
        <v>1</v>
      </c>
      <c r="J919" s="2">
        <v>1281</v>
      </c>
      <c r="K919" s="2">
        <v>3</v>
      </c>
      <c r="L919" s="2" t="s">
        <v>39</v>
      </c>
      <c r="M919" s="2">
        <v>86</v>
      </c>
      <c r="N919" s="2">
        <v>3</v>
      </c>
      <c r="O919" s="2">
        <v>2</v>
      </c>
      <c r="P919" s="2" t="s">
        <v>40</v>
      </c>
      <c r="Q919" s="2">
        <v>1</v>
      </c>
      <c r="R919" s="2" t="s">
        <v>41</v>
      </c>
      <c r="S919" s="2">
        <v>4538</v>
      </c>
      <c r="T919" s="2">
        <v>6039</v>
      </c>
      <c r="U919" s="2">
        <v>0</v>
      </c>
      <c r="V919" s="2" t="s">
        <v>42</v>
      </c>
      <c r="W919" s="2" t="s">
        <v>35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</row>
    <row r="920" spans="1:35" x14ac:dyDescent="0.25">
      <c r="A920" s="2">
        <v>51</v>
      </c>
      <c r="B920" s="2" t="s">
        <v>43</v>
      </c>
      <c r="C920" s="2" t="s">
        <v>44</v>
      </c>
      <c r="D920" s="2">
        <v>237</v>
      </c>
      <c r="E920" s="2" t="s">
        <v>37</v>
      </c>
      <c r="F920" s="2">
        <v>9</v>
      </c>
      <c r="G920" s="2">
        <v>3</v>
      </c>
      <c r="H920" s="2" t="s">
        <v>38</v>
      </c>
      <c r="I920" s="2">
        <v>1</v>
      </c>
      <c r="J920" s="2">
        <v>1282</v>
      </c>
      <c r="K920" s="2">
        <v>4</v>
      </c>
      <c r="L920" s="2" t="s">
        <v>46</v>
      </c>
      <c r="M920" s="2">
        <v>83</v>
      </c>
      <c r="N920" s="2">
        <v>3</v>
      </c>
      <c r="O920" s="2">
        <v>5</v>
      </c>
      <c r="P920" s="2" t="s">
        <v>56</v>
      </c>
      <c r="Q920" s="2">
        <v>2</v>
      </c>
      <c r="R920" s="2" t="s">
        <v>52</v>
      </c>
      <c r="S920" s="2">
        <v>19847</v>
      </c>
      <c r="T920" s="2">
        <v>19196</v>
      </c>
      <c r="U920" s="2">
        <v>4</v>
      </c>
      <c r="V920" s="2" t="s">
        <v>42</v>
      </c>
      <c r="W920" s="2" t="s">
        <v>35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</row>
    <row r="921" spans="1:35" x14ac:dyDescent="0.25">
      <c r="A921" s="2">
        <v>59</v>
      </c>
      <c r="B921" s="2" t="s">
        <v>43</v>
      </c>
      <c r="C921" s="2" t="s">
        <v>36</v>
      </c>
      <c r="D921" s="2">
        <v>1429</v>
      </c>
      <c r="E921" s="2" t="s">
        <v>45</v>
      </c>
      <c r="F921" s="2">
        <v>18</v>
      </c>
      <c r="G921" s="2">
        <v>4</v>
      </c>
      <c r="H921" s="2" t="s">
        <v>51</v>
      </c>
      <c r="I921" s="2">
        <v>1</v>
      </c>
      <c r="J921" s="2">
        <v>1283</v>
      </c>
      <c r="K921" s="2">
        <v>4</v>
      </c>
      <c r="L921" s="2" t="s">
        <v>46</v>
      </c>
      <c r="M921" s="2">
        <v>67</v>
      </c>
      <c r="N921" s="2">
        <v>3</v>
      </c>
      <c r="O921" s="2">
        <v>3</v>
      </c>
      <c r="P921" s="2" t="s">
        <v>53</v>
      </c>
      <c r="Q921" s="2">
        <v>4</v>
      </c>
      <c r="R921" s="2" t="s">
        <v>41</v>
      </c>
      <c r="S921" s="2">
        <v>10512</v>
      </c>
      <c r="T921" s="2">
        <v>20002</v>
      </c>
      <c r="U921" s="2">
        <v>6</v>
      </c>
      <c r="V921" s="2" t="s">
        <v>42</v>
      </c>
      <c r="W921" s="2" t="s">
        <v>43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</row>
    <row r="922" spans="1:35" x14ac:dyDescent="0.25">
      <c r="A922" s="2">
        <v>34</v>
      </c>
      <c r="B922" s="2" t="s">
        <v>43</v>
      </c>
      <c r="C922" s="2" t="s">
        <v>44</v>
      </c>
      <c r="D922" s="2">
        <v>135</v>
      </c>
      <c r="E922" s="2" t="s">
        <v>45</v>
      </c>
      <c r="F922" s="2">
        <v>19</v>
      </c>
      <c r="G922" s="2">
        <v>3</v>
      </c>
      <c r="H922" s="2" t="s">
        <v>51</v>
      </c>
      <c r="I922" s="2">
        <v>1</v>
      </c>
      <c r="J922" s="2">
        <v>1285</v>
      </c>
      <c r="K922" s="2">
        <v>3</v>
      </c>
      <c r="L922" s="2" t="s">
        <v>39</v>
      </c>
      <c r="M922" s="2">
        <v>46</v>
      </c>
      <c r="N922" s="2">
        <v>3</v>
      </c>
      <c r="O922" s="2">
        <v>2</v>
      </c>
      <c r="P922" s="2" t="s">
        <v>50</v>
      </c>
      <c r="Q922" s="2">
        <v>2</v>
      </c>
      <c r="R922" s="2" t="s">
        <v>52</v>
      </c>
      <c r="S922" s="2">
        <v>4444</v>
      </c>
      <c r="T922" s="2">
        <v>22534</v>
      </c>
      <c r="U922" s="2">
        <v>4</v>
      </c>
      <c r="V922" s="2" t="s">
        <v>42</v>
      </c>
      <c r="W922" s="2" t="s">
        <v>43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</row>
    <row r="923" spans="1:35" x14ac:dyDescent="0.25">
      <c r="A923" s="2">
        <v>28</v>
      </c>
      <c r="B923" s="2" t="s">
        <v>43</v>
      </c>
      <c r="C923" s="2" t="s">
        <v>44</v>
      </c>
      <c r="D923" s="2">
        <v>791</v>
      </c>
      <c r="E923" s="2" t="s">
        <v>45</v>
      </c>
      <c r="F923" s="2">
        <v>1</v>
      </c>
      <c r="G923" s="2">
        <v>4</v>
      </c>
      <c r="H923" s="2" t="s">
        <v>51</v>
      </c>
      <c r="I923" s="2">
        <v>1</v>
      </c>
      <c r="J923" s="2">
        <v>1286</v>
      </c>
      <c r="K923" s="2">
        <v>4</v>
      </c>
      <c r="L923" s="2" t="s">
        <v>46</v>
      </c>
      <c r="M923" s="2">
        <v>44</v>
      </c>
      <c r="N923" s="2">
        <v>3</v>
      </c>
      <c r="O923" s="2">
        <v>1</v>
      </c>
      <c r="P923" s="2" t="s">
        <v>50</v>
      </c>
      <c r="Q923" s="2">
        <v>3</v>
      </c>
      <c r="R923" s="2" t="s">
        <v>41</v>
      </c>
      <c r="S923" s="2">
        <v>2154</v>
      </c>
      <c r="T923" s="2">
        <v>6842</v>
      </c>
      <c r="U923" s="2">
        <v>0</v>
      </c>
      <c r="V923" s="2" t="s">
        <v>42</v>
      </c>
      <c r="W923" s="2" t="s">
        <v>35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</row>
    <row r="924" spans="1:35" x14ac:dyDescent="0.25">
      <c r="A924" s="2">
        <v>44</v>
      </c>
      <c r="B924" s="2" t="s">
        <v>43</v>
      </c>
      <c r="C924" s="2" t="s">
        <v>36</v>
      </c>
      <c r="D924" s="2">
        <v>1199</v>
      </c>
      <c r="E924" s="2" t="s">
        <v>45</v>
      </c>
      <c r="F924" s="2">
        <v>4</v>
      </c>
      <c r="G924" s="2">
        <v>2</v>
      </c>
      <c r="H924" s="2" t="s">
        <v>38</v>
      </c>
      <c r="I924" s="2">
        <v>1</v>
      </c>
      <c r="J924" s="2">
        <v>1288</v>
      </c>
      <c r="K924" s="2">
        <v>3</v>
      </c>
      <c r="L924" s="2" t="s">
        <v>46</v>
      </c>
      <c r="M924" s="2">
        <v>92</v>
      </c>
      <c r="N924" s="2">
        <v>4</v>
      </c>
      <c r="O924" s="2">
        <v>5</v>
      </c>
      <c r="P924" s="2" t="s">
        <v>56</v>
      </c>
      <c r="Q924" s="2">
        <v>1</v>
      </c>
      <c r="R924" s="2" t="s">
        <v>52</v>
      </c>
      <c r="S924" s="2">
        <v>19190</v>
      </c>
      <c r="T924" s="2">
        <v>17477</v>
      </c>
      <c r="U924" s="2">
        <v>1</v>
      </c>
      <c r="V924" s="2" t="s">
        <v>42</v>
      </c>
      <c r="W924" s="2" t="s">
        <v>43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</row>
    <row r="925" spans="1:35" x14ac:dyDescent="0.25">
      <c r="A925" s="2">
        <v>34</v>
      </c>
      <c r="B925" s="2" t="s">
        <v>43</v>
      </c>
      <c r="C925" s="2" t="s">
        <v>44</v>
      </c>
      <c r="D925" s="2">
        <v>648</v>
      </c>
      <c r="E925" s="2" t="s">
        <v>61</v>
      </c>
      <c r="F925" s="2">
        <v>11</v>
      </c>
      <c r="G925" s="2">
        <v>3</v>
      </c>
      <c r="H925" s="2" t="s">
        <v>38</v>
      </c>
      <c r="I925" s="2">
        <v>1</v>
      </c>
      <c r="J925" s="2">
        <v>1289</v>
      </c>
      <c r="K925" s="2">
        <v>3</v>
      </c>
      <c r="L925" s="2" t="s">
        <v>46</v>
      </c>
      <c r="M925" s="2">
        <v>56</v>
      </c>
      <c r="N925" s="2">
        <v>2</v>
      </c>
      <c r="O925" s="2">
        <v>2</v>
      </c>
      <c r="P925" s="2" t="s">
        <v>61</v>
      </c>
      <c r="Q925" s="2">
        <v>2</v>
      </c>
      <c r="R925" s="2" t="s">
        <v>48</v>
      </c>
      <c r="S925" s="2">
        <v>4490</v>
      </c>
      <c r="T925" s="2">
        <v>21833</v>
      </c>
      <c r="U925" s="2">
        <v>4</v>
      </c>
      <c r="V925" s="2" t="s">
        <v>42</v>
      </c>
      <c r="W925" s="2" t="s">
        <v>43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</row>
    <row r="926" spans="1:35" x14ac:dyDescent="0.25">
      <c r="A926" s="2">
        <v>35</v>
      </c>
      <c r="B926" s="2" t="s">
        <v>43</v>
      </c>
      <c r="C926" s="2" t="s">
        <v>36</v>
      </c>
      <c r="D926" s="2">
        <v>735</v>
      </c>
      <c r="E926" s="2" t="s">
        <v>45</v>
      </c>
      <c r="F926" s="2">
        <v>6</v>
      </c>
      <c r="G926" s="2">
        <v>1</v>
      </c>
      <c r="H926" s="2" t="s">
        <v>38</v>
      </c>
      <c r="I926" s="2">
        <v>1</v>
      </c>
      <c r="J926" s="2">
        <v>1291</v>
      </c>
      <c r="K926" s="2">
        <v>3</v>
      </c>
      <c r="L926" s="2" t="s">
        <v>46</v>
      </c>
      <c r="M926" s="2">
        <v>66</v>
      </c>
      <c r="N926" s="2">
        <v>3</v>
      </c>
      <c r="O926" s="2">
        <v>1</v>
      </c>
      <c r="P926" s="2" t="s">
        <v>47</v>
      </c>
      <c r="Q926" s="2">
        <v>3</v>
      </c>
      <c r="R926" s="2" t="s">
        <v>48</v>
      </c>
      <c r="S926" s="2">
        <v>3506</v>
      </c>
      <c r="T926" s="2">
        <v>6020</v>
      </c>
      <c r="U926" s="2">
        <v>0</v>
      </c>
      <c r="V926" s="2" t="s">
        <v>42</v>
      </c>
      <c r="W926" s="2" t="s">
        <v>35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</row>
    <row r="927" spans="1:35" x14ac:dyDescent="0.25">
      <c r="A927" s="2">
        <v>42</v>
      </c>
      <c r="B927" s="2" t="s">
        <v>43</v>
      </c>
      <c r="C927" s="2" t="s">
        <v>36</v>
      </c>
      <c r="D927" s="2">
        <v>603</v>
      </c>
      <c r="E927" s="2" t="s">
        <v>45</v>
      </c>
      <c r="F927" s="2">
        <v>7</v>
      </c>
      <c r="G927" s="2">
        <v>4</v>
      </c>
      <c r="H927" s="2" t="s">
        <v>51</v>
      </c>
      <c r="I927" s="2">
        <v>1</v>
      </c>
      <c r="J927" s="2">
        <v>1292</v>
      </c>
      <c r="K927" s="2">
        <v>2</v>
      </c>
      <c r="L927" s="2" t="s">
        <v>39</v>
      </c>
      <c r="M927" s="2">
        <v>78</v>
      </c>
      <c r="N927" s="2">
        <v>4</v>
      </c>
      <c r="O927" s="2">
        <v>2</v>
      </c>
      <c r="P927" s="2" t="s">
        <v>47</v>
      </c>
      <c r="Q927" s="2">
        <v>2</v>
      </c>
      <c r="R927" s="2" t="s">
        <v>48</v>
      </c>
      <c r="S927" s="2">
        <v>2372</v>
      </c>
      <c r="T927" s="2">
        <v>5628</v>
      </c>
      <c r="U927" s="2">
        <v>6</v>
      </c>
      <c r="V927" s="2" t="s">
        <v>42</v>
      </c>
      <c r="W927" s="2" t="s">
        <v>35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</row>
    <row r="928" spans="1:35" x14ac:dyDescent="0.25">
      <c r="A928" s="2">
        <v>43</v>
      </c>
      <c r="B928" s="2" t="s">
        <v>43</v>
      </c>
      <c r="C928" s="2" t="s">
        <v>36</v>
      </c>
      <c r="D928" s="2">
        <v>531</v>
      </c>
      <c r="E928" s="2" t="s">
        <v>37</v>
      </c>
      <c r="F928" s="2">
        <v>4</v>
      </c>
      <c r="G928" s="2">
        <v>4</v>
      </c>
      <c r="H928" s="2" t="s">
        <v>59</v>
      </c>
      <c r="I928" s="2">
        <v>1</v>
      </c>
      <c r="J928" s="2">
        <v>1293</v>
      </c>
      <c r="K928" s="2">
        <v>4</v>
      </c>
      <c r="L928" s="2" t="s">
        <v>39</v>
      </c>
      <c r="M928" s="2">
        <v>56</v>
      </c>
      <c r="N928" s="2">
        <v>2</v>
      </c>
      <c r="O928" s="2">
        <v>3</v>
      </c>
      <c r="P928" s="2" t="s">
        <v>40</v>
      </c>
      <c r="Q928" s="2">
        <v>4</v>
      </c>
      <c r="R928" s="2" t="s">
        <v>41</v>
      </c>
      <c r="S928" s="2">
        <v>10231</v>
      </c>
      <c r="T928" s="2">
        <v>20364</v>
      </c>
      <c r="U928" s="2">
        <v>3</v>
      </c>
      <c r="V928" s="2" t="s">
        <v>42</v>
      </c>
      <c r="W928" s="2" t="s">
        <v>43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</row>
    <row r="929" spans="1:35" x14ac:dyDescent="0.25">
      <c r="A929" s="2">
        <v>36</v>
      </c>
      <c r="B929" s="2" t="s">
        <v>43</v>
      </c>
      <c r="C929" s="2" t="s">
        <v>36</v>
      </c>
      <c r="D929" s="2">
        <v>429</v>
      </c>
      <c r="E929" s="2" t="s">
        <v>45</v>
      </c>
      <c r="F929" s="2">
        <v>2</v>
      </c>
      <c r="G929" s="2">
        <v>4</v>
      </c>
      <c r="H929" s="2" t="s">
        <v>38</v>
      </c>
      <c r="I929" s="2">
        <v>1</v>
      </c>
      <c r="J929" s="2">
        <v>1294</v>
      </c>
      <c r="K929" s="2">
        <v>3</v>
      </c>
      <c r="L929" s="2" t="s">
        <v>39</v>
      </c>
      <c r="M929" s="2">
        <v>53</v>
      </c>
      <c r="N929" s="2">
        <v>3</v>
      </c>
      <c r="O929" s="2">
        <v>2</v>
      </c>
      <c r="P929" s="2" t="s">
        <v>53</v>
      </c>
      <c r="Q929" s="2">
        <v>2</v>
      </c>
      <c r="R929" s="2" t="s">
        <v>41</v>
      </c>
      <c r="S929" s="2">
        <v>5410</v>
      </c>
      <c r="T929" s="2">
        <v>2323</v>
      </c>
      <c r="U929" s="2">
        <v>9</v>
      </c>
      <c r="V929" s="2" t="s">
        <v>42</v>
      </c>
      <c r="W929" s="2" t="s">
        <v>35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</row>
    <row r="930" spans="1:35" x14ac:dyDescent="0.25">
      <c r="A930" s="2">
        <v>44</v>
      </c>
      <c r="B930" s="2" t="s">
        <v>35</v>
      </c>
      <c r="C930" s="2" t="s">
        <v>36</v>
      </c>
      <c r="D930" s="2">
        <v>621</v>
      </c>
      <c r="E930" s="2" t="s">
        <v>45</v>
      </c>
      <c r="F930" s="2">
        <v>15</v>
      </c>
      <c r="G930" s="2">
        <v>3</v>
      </c>
      <c r="H930" s="2" t="s">
        <v>51</v>
      </c>
      <c r="I930" s="2">
        <v>1</v>
      </c>
      <c r="J930" s="2">
        <v>1295</v>
      </c>
      <c r="K930" s="2">
        <v>1</v>
      </c>
      <c r="L930" s="2" t="s">
        <v>39</v>
      </c>
      <c r="M930" s="2">
        <v>73</v>
      </c>
      <c r="N930" s="2">
        <v>3</v>
      </c>
      <c r="O930" s="2">
        <v>3</v>
      </c>
      <c r="P930" s="2" t="s">
        <v>54</v>
      </c>
      <c r="Q930" s="2">
        <v>4</v>
      </c>
      <c r="R930" s="2" t="s">
        <v>48</v>
      </c>
      <c r="S930" s="2">
        <v>7978</v>
      </c>
      <c r="T930" s="2">
        <v>14075</v>
      </c>
      <c r="U930" s="2">
        <v>1</v>
      </c>
      <c r="V930" s="2" t="s">
        <v>42</v>
      </c>
      <c r="W930" s="2" t="s">
        <v>43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</row>
    <row r="931" spans="1:35" x14ac:dyDescent="0.25">
      <c r="A931" s="2">
        <v>28</v>
      </c>
      <c r="B931" s="2" t="s">
        <v>43</v>
      </c>
      <c r="C931" s="2" t="s">
        <v>44</v>
      </c>
      <c r="D931" s="2">
        <v>193</v>
      </c>
      <c r="E931" s="2" t="s">
        <v>45</v>
      </c>
      <c r="F931" s="2">
        <v>2</v>
      </c>
      <c r="G931" s="2">
        <v>3</v>
      </c>
      <c r="H931" s="2" t="s">
        <v>38</v>
      </c>
      <c r="I931" s="2">
        <v>1</v>
      </c>
      <c r="J931" s="2">
        <v>1296</v>
      </c>
      <c r="K931" s="2">
        <v>4</v>
      </c>
      <c r="L931" s="2" t="s">
        <v>46</v>
      </c>
      <c r="M931" s="2">
        <v>52</v>
      </c>
      <c r="N931" s="2">
        <v>2</v>
      </c>
      <c r="O931" s="2">
        <v>1</v>
      </c>
      <c r="P931" s="2" t="s">
        <v>50</v>
      </c>
      <c r="Q931" s="2">
        <v>4</v>
      </c>
      <c r="R931" s="2" t="s">
        <v>48</v>
      </c>
      <c r="S931" s="2">
        <v>3867</v>
      </c>
      <c r="T931" s="2">
        <v>14222</v>
      </c>
      <c r="U931" s="2">
        <v>1</v>
      </c>
      <c r="V931" s="2" t="s">
        <v>42</v>
      </c>
      <c r="W931" s="2" t="s">
        <v>35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</row>
    <row r="932" spans="1:35" x14ac:dyDescent="0.25">
      <c r="A932" s="2">
        <v>51</v>
      </c>
      <c r="B932" s="2" t="s">
        <v>43</v>
      </c>
      <c r="C932" s="2" t="s">
        <v>44</v>
      </c>
      <c r="D932" s="2">
        <v>968</v>
      </c>
      <c r="E932" s="2" t="s">
        <v>45</v>
      </c>
      <c r="F932" s="2">
        <v>6</v>
      </c>
      <c r="G932" s="2">
        <v>2</v>
      </c>
      <c r="H932" s="2" t="s">
        <v>51</v>
      </c>
      <c r="I932" s="2">
        <v>1</v>
      </c>
      <c r="J932" s="2">
        <v>1297</v>
      </c>
      <c r="K932" s="2">
        <v>2</v>
      </c>
      <c r="L932" s="2" t="s">
        <v>39</v>
      </c>
      <c r="M932" s="2">
        <v>40</v>
      </c>
      <c r="N932" s="2">
        <v>2</v>
      </c>
      <c r="O932" s="2">
        <v>1</v>
      </c>
      <c r="P932" s="2" t="s">
        <v>50</v>
      </c>
      <c r="Q932" s="2">
        <v>3</v>
      </c>
      <c r="R932" s="2" t="s">
        <v>41</v>
      </c>
      <c r="S932" s="2">
        <v>2838</v>
      </c>
      <c r="T932" s="2">
        <v>4257</v>
      </c>
      <c r="U932" s="2">
        <v>0</v>
      </c>
      <c r="V932" s="2" t="s">
        <v>42</v>
      </c>
      <c r="W932" s="2" t="s">
        <v>43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</row>
    <row r="933" spans="1:35" x14ac:dyDescent="0.25">
      <c r="A933" s="2">
        <v>30</v>
      </c>
      <c r="B933" s="2" t="s">
        <v>43</v>
      </c>
      <c r="C933" s="2" t="s">
        <v>55</v>
      </c>
      <c r="D933" s="2">
        <v>879</v>
      </c>
      <c r="E933" s="2" t="s">
        <v>45</v>
      </c>
      <c r="F933" s="2">
        <v>9</v>
      </c>
      <c r="G933" s="2">
        <v>2</v>
      </c>
      <c r="H933" s="2" t="s">
        <v>51</v>
      </c>
      <c r="I933" s="2">
        <v>1</v>
      </c>
      <c r="J933" s="2">
        <v>1298</v>
      </c>
      <c r="K933" s="2">
        <v>3</v>
      </c>
      <c r="L933" s="2" t="s">
        <v>39</v>
      </c>
      <c r="M933" s="2">
        <v>72</v>
      </c>
      <c r="N933" s="2">
        <v>3</v>
      </c>
      <c r="O933" s="2">
        <v>2</v>
      </c>
      <c r="P933" s="2" t="s">
        <v>53</v>
      </c>
      <c r="Q933" s="2">
        <v>3</v>
      </c>
      <c r="R933" s="2" t="s">
        <v>41</v>
      </c>
      <c r="S933" s="2">
        <v>4695</v>
      </c>
      <c r="T933" s="2">
        <v>12858</v>
      </c>
      <c r="U933" s="2">
        <v>7</v>
      </c>
      <c r="V933" s="2" t="s">
        <v>42</v>
      </c>
      <c r="W933" s="2" t="s">
        <v>35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</row>
    <row r="934" spans="1:35" x14ac:dyDescent="0.25">
      <c r="A934" s="2">
        <v>29</v>
      </c>
      <c r="B934" s="2" t="s">
        <v>35</v>
      </c>
      <c r="C934" s="2" t="s">
        <v>36</v>
      </c>
      <c r="D934" s="2">
        <v>806</v>
      </c>
      <c r="E934" s="2" t="s">
        <v>45</v>
      </c>
      <c r="F934" s="2">
        <v>7</v>
      </c>
      <c r="G934" s="2">
        <v>3</v>
      </c>
      <c r="H934" s="2" t="s">
        <v>60</v>
      </c>
      <c r="I934" s="2">
        <v>1</v>
      </c>
      <c r="J934" s="2">
        <v>1299</v>
      </c>
      <c r="K934" s="2">
        <v>2</v>
      </c>
      <c r="L934" s="2" t="s">
        <v>39</v>
      </c>
      <c r="M934" s="2">
        <v>39</v>
      </c>
      <c r="N934" s="2">
        <v>3</v>
      </c>
      <c r="O934" s="2">
        <v>1</v>
      </c>
      <c r="P934" s="2" t="s">
        <v>50</v>
      </c>
      <c r="Q934" s="2">
        <v>3</v>
      </c>
      <c r="R934" s="2" t="s">
        <v>52</v>
      </c>
      <c r="S934" s="2">
        <v>3339</v>
      </c>
      <c r="T934" s="2">
        <v>17285</v>
      </c>
      <c r="U934" s="2">
        <v>3</v>
      </c>
      <c r="V934" s="2" t="s">
        <v>42</v>
      </c>
      <c r="W934" s="2" t="s">
        <v>35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</row>
    <row r="935" spans="1:35" x14ac:dyDescent="0.25">
      <c r="A935" s="2">
        <v>28</v>
      </c>
      <c r="B935" s="2" t="s">
        <v>43</v>
      </c>
      <c r="C935" s="2" t="s">
        <v>36</v>
      </c>
      <c r="D935" s="2">
        <v>640</v>
      </c>
      <c r="E935" s="2" t="s">
        <v>45</v>
      </c>
      <c r="F935" s="2">
        <v>1</v>
      </c>
      <c r="G935" s="2">
        <v>3</v>
      </c>
      <c r="H935" s="2" t="s">
        <v>60</v>
      </c>
      <c r="I935" s="2">
        <v>1</v>
      </c>
      <c r="J935" s="2">
        <v>1301</v>
      </c>
      <c r="K935" s="2">
        <v>4</v>
      </c>
      <c r="L935" s="2" t="s">
        <v>46</v>
      </c>
      <c r="M935" s="2">
        <v>84</v>
      </c>
      <c r="N935" s="2">
        <v>3</v>
      </c>
      <c r="O935" s="2">
        <v>1</v>
      </c>
      <c r="P935" s="2" t="s">
        <v>47</v>
      </c>
      <c r="Q935" s="2">
        <v>1</v>
      </c>
      <c r="R935" s="2" t="s">
        <v>41</v>
      </c>
      <c r="S935" s="2">
        <v>2080</v>
      </c>
      <c r="T935" s="2">
        <v>4732</v>
      </c>
      <c r="U935" s="2">
        <v>2</v>
      </c>
      <c r="V935" s="2" t="s">
        <v>42</v>
      </c>
      <c r="W935" s="2" t="s">
        <v>43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</row>
    <row r="936" spans="1:35" x14ac:dyDescent="0.25">
      <c r="A936" s="2">
        <v>25</v>
      </c>
      <c r="B936" s="2" t="s">
        <v>43</v>
      </c>
      <c r="C936" s="2" t="s">
        <v>36</v>
      </c>
      <c r="D936" s="2">
        <v>266</v>
      </c>
      <c r="E936" s="2" t="s">
        <v>45</v>
      </c>
      <c r="F936" s="2">
        <v>1</v>
      </c>
      <c r="G936" s="2">
        <v>3</v>
      </c>
      <c r="H936" s="2" t="s">
        <v>51</v>
      </c>
      <c r="I936" s="2">
        <v>1</v>
      </c>
      <c r="J936" s="2">
        <v>1303</v>
      </c>
      <c r="K936" s="2">
        <v>4</v>
      </c>
      <c r="L936" s="2" t="s">
        <v>39</v>
      </c>
      <c r="M936" s="2">
        <v>40</v>
      </c>
      <c r="N936" s="2">
        <v>3</v>
      </c>
      <c r="O936" s="2">
        <v>1</v>
      </c>
      <c r="P936" s="2" t="s">
        <v>47</v>
      </c>
      <c r="Q936" s="2">
        <v>2</v>
      </c>
      <c r="R936" s="2" t="s">
        <v>41</v>
      </c>
      <c r="S936" s="2">
        <v>2096</v>
      </c>
      <c r="T936" s="2">
        <v>18830</v>
      </c>
      <c r="U936" s="2">
        <v>1</v>
      </c>
      <c r="V936" s="2" t="s">
        <v>42</v>
      </c>
      <c r="W936" s="2" t="s">
        <v>43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</row>
    <row r="937" spans="1:35" x14ac:dyDescent="0.25">
      <c r="A937" s="2">
        <v>32</v>
      </c>
      <c r="B937" s="2" t="s">
        <v>43</v>
      </c>
      <c r="C937" s="2" t="s">
        <v>36</v>
      </c>
      <c r="D937" s="2">
        <v>604</v>
      </c>
      <c r="E937" s="2" t="s">
        <v>37</v>
      </c>
      <c r="F937" s="2">
        <v>8</v>
      </c>
      <c r="G937" s="2">
        <v>3</v>
      </c>
      <c r="H937" s="2" t="s">
        <v>51</v>
      </c>
      <c r="I937" s="2">
        <v>1</v>
      </c>
      <c r="J937" s="2">
        <v>1304</v>
      </c>
      <c r="K937" s="2">
        <v>3</v>
      </c>
      <c r="L937" s="2" t="s">
        <v>46</v>
      </c>
      <c r="M937" s="2">
        <v>56</v>
      </c>
      <c r="N937" s="2">
        <v>4</v>
      </c>
      <c r="O937" s="2">
        <v>2</v>
      </c>
      <c r="P937" s="2" t="s">
        <v>40</v>
      </c>
      <c r="Q937" s="2">
        <v>4</v>
      </c>
      <c r="R937" s="2" t="s">
        <v>48</v>
      </c>
      <c r="S937" s="2">
        <v>6209</v>
      </c>
      <c r="T937" s="2">
        <v>11693</v>
      </c>
      <c r="U937" s="2">
        <v>1</v>
      </c>
      <c r="V937" s="2" t="s">
        <v>42</v>
      </c>
      <c r="W937" s="2" t="s">
        <v>43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</row>
    <row r="938" spans="1:35" x14ac:dyDescent="0.25">
      <c r="A938" s="2">
        <v>45</v>
      </c>
      <c r="B938" s="2" t="s">
        <v>43</v>
      </c>
      <c r="C938" s="2" t="s">
        <v>44</v>
      </c>
      <c r="D938" s="2">
        <v>364</v>
      </c>
      <c r="E938" s="2" t="s">
        <v>45</v>
      </c>
      <c r="F938" s="2">
        <v>25</v>
      </c>
      <c r="G938" s="2">
        <v>3</v>
      </c>
      <c r="H938" s="2" t="s">
        <v>51</v>
      </c>
      <c r="I938" s="2">
        <v>1</v>
      </c>
      <c r="J938" s="2">
        <v>1306</v>
      </c>
      <c r="K938" s="2">
        <v>2</v>
      </c>
      <c r="L938" s="2" t="s">
        <v>39</v>
      </c>
      <c r="M938" s="2">
        <v>83</v>
      </c>
      <c r="N938" s="2">
        <v>3</v>
      </c>
      <c r="O938" s="2">
        <v>5</v>
      </c>
      <c r="P938" s="2" t="s">
        <v>56</v>
      </c>
      <c r="Q938" s="2">
        <v>2</v>
      </c>
      <c r="R938" s="2" t="s">
        <v>41</v>
      </c>
      <c r="S938" s="2">
        <v>18061</v>
      </c>
      <c r="T938" s="2">
        <v>13035</v>
      </c>
      <c r="U938" s="2">
        <v>3</v>
      </c>
      <c r="V938" s="2" t="s">
        <v>42</v>
      </c>
      <c r="W938" s="2" t="s">
        <v>43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</row>
    <row r="939" spans="1:35" x14ac:dyDescent="0.25">
      <c r="A939" s="2">
        <v>39</v>
      </c>
      <c r="B939" s="2" t="s">
        <v>43</v>
      </c>
      <c r="C939" s="2" t="s">
        <v>36</v>
      </c>
      <c r="D939" s="2">
        <v>412</v>
      </c>
      <c r="E939" s="2" t="s">
        <v>45</v>
      </c>
      <c r="F939" s="2">
        <v>13</v>
      </c>
      <c r="G939" s="2">
        <v>4</v>
      </c>
      <c r="H939" s="2" t="s">
        <v>51</v>
      </c>
      <c r="I939" s="2">
        <v>1</v>
      </c>
      <c r="J939" s="2">
        <v>1307</v>
      </c>
      <c r="K939" s="2">
        <v>3</v>
      </c>
      <c r="L939" s="2" t="s">
        <v>39</v>
      </c>
      <c r="M939" s="2">
        <v>94</v>
      </c>
      <c r="N939" s="2">
        <v>2</v>
      </c>
      <c r="O939" s="2">
        <v>4</v>
      </c>
      <c r="P939" s="2" t="s">
        <v>56</v>
      </c>
      <c r="Q939" s="2">
        <v>2</v>
      </c>
      <c r="R939" s="2" t="s">
        <v>52</v>
      </c>
      <c r="S939" s="2">
        <v>17123</v>
      </c>
      <c r="T939" s="2">
        <v>17334</v>
      </c>
      <c r="U939" s="2">
        <v>6</v>
      </c>
      <c r="V939" s="2" t="s">
        <v>42</v>
      </c>
      <c r="W939" s="2" t="s">
        <v>35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</row>
    <row r="940" spans="1:35" x14ac:dyDescent="0.25">
      <c r="A940" s="2">
        <v>58</v>
      </c>
      <c r="B940" s="2" t="s">
        <v>43</v>
      </c>
      <c r="C940" s="2" t="s">
        <v>36</v>
      </c>
      <c r="D940" s="2">
        <v>848</v>
      </c>
      <c r="E940" s="2" t="s">
        <v>45</v>
      </c>
      <c r="F940" s="2">
        <v>23</v>
      </c>
      <c r="G940" s="2">
        <v>4</v>
      </c>
      <c r="H940" s="2" t="s">
        <v>38</v>
      </c>
      <c r="I940" s="2">
        <v>1</v>
      </c>
      <c r="J940" s="2">
        <v>1308</v>
      </c>
      <c r="K940" s="2">
        <v>1</v>
      </c>
      <c r="L940" s="2" t="s">
        <v>46</v>
      </c>
      <c r="M940" s="2">
        <v>88</v>
      </c>
      <c r="N940" s="2">
        <v>3</v>
      </c>
      <c r="O940" s="2">
        <v>1</v>
      </c>
      <c r="P940" s="2" t="s">
        <v>47</v>
      </c>
      <c r="Q940" s="2">
        <v>3</v>
      </c>
      <c r="R940" s="2" t="s">
        <v>52</v>
      </c>
      <c r="S940" s="2">
        <v>2372</v>
      </c>
      <c r="T940" s="2">
        <v>26076</v>
      </c>
      <c r="U940" s="2">
        <v>1</v>
      </c>
      <c r="V940" s="2" t="s">
        <v>42</v>
      </c>
      <c r="W940" s="2" t="s">
        <v>43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</row>
    <row r="941" spans="1:35" x14ac:dyDescent="0.25">
      <c r="A941" s="2">
        <v>32</v>
      </c>
      <c r="B941" s="2" t="s">
        <v>35</v>
      </c>
      <c r="C941" s="2" t="s">
        <v>36</v>
      </c>
      <c r="D941" s="2">
        <v>1089</v>
      </c>
      <c r="E941" s="2" t="s">
        <v>45</v>
      </c>
      <c r="F941" s="2">
        <v>7</v>
      </c>
      <c r="G941" s="2">
        <v>2</v>
      </c>
      <c r="H941" s="2" t="s">
        <v>38</v>
      </c>
      <c r="I941" s="2">
        <v>1</v>
      </c>
      <c r="J941" s="2">
        <v>1309</v>
      </c>
      <c r="K941" s="2">
        <v>4</v>
      </c>
      <c r="L941" s="2" t="s">
        <v>46</v>
      </c>
      <c r="M941" s="2">
        <v>79</v>
      </c>
      <c r="N941" s="2">
        <v>3</v>
      </c>
      <c r="O941" s="2">
        <v>2</v>
      </c>
      <c r="P941" s="2" t="s">
        <v>50</v>
      </c>
      <c r="Q941" s="2">
        <v>3</v>
      </c>
      <c r="R941" s="2" t="s">
        <v>48</v>
      </c>
      <c r="S941" s="2">
        <v>4883</v>
      </c>
      <c r="T941" s="2">
        <v>22845</v>
      </c>
      <c r="U941" s="2">
        <v>1</v>
      </c>
      <c r="V941" s="2" t="s">
        <v>42</v>
      </c>
      <c r="W941" s="2" t="s">
        <v>43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</row>
    <row r="942" spans="1:35" x14ac:dyDescent="0.25">
      <c r="A942" s="2">
        <v>39</v>
      </c>
      <c r="B942" s="2" t="s">
        <v>35</v>
      </c>
      <c r="C942" s="2" t="s">
        <v>36</v>
      </c>
      <c r="D942" s="2">
        <v>360</v>
      </c>
      <c r="E942" s="2" t="s">
        <v>45</v>
      </c>
      <c r="F942" s="2">
        <v>23</v>
      </c>
      <c r="G942" s="2">
        <v>3</v>
      </c>
      <c r="H942" s="2" t="s">
        <v>51</v>
      </c>
      <c r="I942" s="2">
        <v>1</v>
      </c>
      <c r="J942" s="2">
        <v>1310</v>
      </c>
      <c r="K942" s="2">
        <v>3</v>
      </c>
      <c r="L942" s="2" t="s">
        <v>46</v>
      </c>
      <c r="M942" s="2">
        <v>93</v>
      </c>
      <c r="N942" s="2">
        <v>3</v>
      </c>
      <c r="O942" s="2">
        <v>1</v>
      </c>
      <c r="P942" s="2" t="s">
        <v>47</v>
      </c>
      <c r="Q942" s="2">
        <v>1</v>
      </c>
      <c r="R942" s="2" t="s">
        <v>41</v>
      </c>
      <c r="S942" s="2">
        <v>3904</v>
      </c>
      <c r="T942" s="2">
        <v>22154</v>
      </c>
      <c r="U942" s="2">
        <v>0</v>
      </c>
      <c r="V942" s="2" t="s">
        <v>42</v>
      </c>
      <c r="W942" s="2" t="s">
        <v>43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</row>
    <row r="943" spans="1:35" x14ac:dyDescent="0.25">
      <c r="A943" s="2">
        <v>30</v>
      </c>
      <c r="B943" s="2" t="s">
        <v>43</v>
      </c>
      <c r="C943" s="2" t="s">
        <v>36</v>
      </c>
      <c r="D943" s="2">
        <v>1138</v>
      </c>
      <c r="E943" s="2" t="s">
        <v>45</v>
      </c>
      <c r="F943" s="2">
        <v>6</v>
      </c>
      <c r="G943" s="2">
        <v>3</v>
      </c>
      <c r="H943" s="2" t="s">
        <v>60</v>
      </c>
      <c r="I943" s="2">
        <v>1</v>
      </c>
      <c r="J943" s="2">
        <v>1311</v>
      </c>
      <c r="K943" s="2">
        <v>1</v>
      </c>
      <c r="L943" s="2" t="s">
        <v>39</v>
      </c>
      <c r="M943" s="2">
        <v>48</v>
      </c>
      <c r="N943" s="2">
        <v>2</v>
      </c>
      <c r="O943" s="2">
        <v>2</v>
      </c>
      <c r="P943" s="2" t="s">
        <v>50</v>
      </c>
      <c r="Q943" s="2">
        <v>4</v>
      </c>
      <c r="R943" s="2" t="s">
        <v>48</v>
      </c>
      <c r="S943" s="2">
        <v>4627</v>
      </c>
      <c r="T943" s="2">
        <v>23631</v>
      </c>
      <c r="U943" s="2">
        <v>0</v>
      </c>
      <c r="V943" s="2" t="s">
        <v>42</v>
      </c>
      <c r="W943" s="2" t="s">
        <v>43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</row>
    <row r="944" spans="1:35" x14ac:dyDescent="0.25">
      <c r="A944" s="2">
        <v>36</v>
      </c>
      <c r="B944" s="2" t="s">
        <v>43</v>
      </c>
      <c r="C944" s="2" t="s">
        <v>36</v>
      </c>
      <c r="D944" s="2">
        <v>325</v>
      </c>
      <c r="E944" s="2" t="s">
        <v>45</v>
      </c>
      <c r="F944" s="2">
        <v>10</v>
      </c>
      <c r="G944" s="2">
        <v>4</v>
      </c>
      <c r="H944" s="2" t="s">
        <v>60</v>
      </c>
      <c r="I944" s="2">
        <v>1</v>
      </c>
      <c r="J944" s="2">
        <v>1312</v>
      </c>
      <c r="K944" s="2">
        <v>4</v>
      </c>
      <c r="L944" s="2" t="s">
        <v>39</v>
      </c>
      <c r="M944" s="2">
        <v>63</v>
      </c>
      <c r="N944" s="2">
        <v>3</v>
      </c>
      <c r="O944" s="2">
        <v>3</v>
      </c>
      <c r="P944" s="2" t="s">
        <v>54</v>
      </c>
      <c r="Q944" s="2">
        <v>3</v>
      </c>
      <c r="R944" s="2" t="s">
        <v>48</v>
      </c>
      <c r="S944" s="2">
        <v>7094</v>
      </c>
      <c r="T944" s="2">
        <v>5747</v>
      </c>
      <c r="U944" s="2">
        <v>3</v>
      </c>
      <c r="V944" s="2" t="s">
        <v>42</v>
      </c>
      <c r="W944" s="2" t="s">
        <v>43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</row>
    <row r="945" spans="1:35" x14ac:dyDescent="0.25">
      <c r="A945" s="2">
        <v>46</v>
      </c>
      <c r="B945" s="2" t="s">
        <v>43</v>
      </c>
      <c r="C945" s="2" t="s">
        <v>36</v>
      </c>
      <c r="D945" s="2">
        <v>991</v>
      </c>
      <c r="E945" s="2" t="s">
        <v>61</v>
      </c>
      <c r="F945" s="2">
        <v>1</v>
      </c>
      <c r="G945" s="2">
        <v>2</v>
      </c>
      <c r="H945" s="2" t="s">
        <v>38</v>
      </c>
      <c r="I945" s="2">
        <v>1</v>
      </c>
      <c r="J945" s="2">
        <v>1314</v>
      </c>
      <c r="K945" s="2">
        <v>4</v>
      </c>
      <c r="L945" s="2" t="s">
        <v>39</v>
      </c>
      <c r="M945" s="2">
        <v>44</v>
      </c>
      <c r="N945" s="2">
        <v>3</v>
      </c>
      <c r="O945" s="2">
        <v>1</v>
      </c>
      <c r="P945" s="2" t="s">
        <v>61</v>
      </c>
      <c r="Q945" s="2">
        <v>1</v>
      </c>
      <c r="R945" s="2" t="s">
        <v>41</v>
      </c>
      <c r="S945" s="2">
        <v>3423</v>
      </c>
      <c r="T945" s="2">
        <v>22957</v>
      </c>
      <c r="U945" s="2">
        <v>6</v>
      </c>
      <c r="V945" s="2" t="s">
        <v>42</v>
      </c>
      <c r="W945" s="2" t="s">
        <v>43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</row>
    <row r="946" spans="1:35" x14ac:dyDescent="0.25">
      <c r="A946" s="2">
        <v>28</v>
      </c>
      <c r="B946" s="2" t="s">
        <v>43</v>
      </c>
      <c r="C946" s="2" t="s">
        <v>55</v>
      </c>
      <c r="D946" s="2">
        <v>1476</v>
      </c>
      <c r="E946" s="2" t="s">
        <v>45</v>
      </c>
      <c r="F946" s="2">
        <v>1</v>
      </c>
      <c r="G946" s="2">
        <v>3</v>
      </c>
      <c r="H946" s="2" t="s">
        <v>38</v>
      </c>
      <c r="I946" s="2">
        <v>1</v>
      </c>
      <c r="J946" s="2">
        <v>1315</v>
      </c>
      <c r="K946" s="2">
        <v>3</v>
      </c>
      <c r="L946" s="2" t="s">
        <v>39</v>
      </c>
      <c r="M946" s="2">
        <v>55</v>
      </c>
      <c r="N946" s="2">
        <v>1</v>
      </c>
      <c r="O946" s="2">
        <v>2</v>
      </c>
      <c r="P946" s="2" t="s">
        <v>50</v>
      </c>
      <c r="Q946" s="2">
        <v>4</v>
      </c>
      <c r="R946" s="2" t="s">
        <v>48</v>
      </c>
      <c r="S946" s="2">
        <v>6674</v>
      </c>
      <c r="T946" s="2">
        <v>16392</v>
      </c>
      <c r="U946" s="2">
        <v>0</v>
      </c>
      <c r="V946" s="2" t="s">
        <v>42</v>
      </c>
      <c r="W946" s="2" t="s">
        <v>43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</row>
    <row r="947" spans="1:35" x14ac:dyDescent="0.25">
      <c r="A947" s="2">
        <v>50</v>
      </c>
      <c r="B947" s="2" t="s">
        <v>43</v>
      </c>
      <c r="C947" s="2" t="s">
        <v>36</v>
      </c>
      <c r="D947" s="2">
        <v>1322</v>
      </c>
      <c r="E947" s="2" t="s">
        <v>45</v>
      </c>
      <c r="F947" s="2">
        <v>28</v>
      </c>
      <c r="G947" s="2">
        <v>3</v>
      </c>
      <c r="H947" s="2" t="s">
        <v>38</v>
      </c>
      <c r="I947" s="2">
        <v>1</v>
      </c>
      <c r="J947" s="2">
        <v>1317</v>
      </c>
      <c r="K947" s="2">
        <v>4</v>
      </c>
      <c r="L947" s="2" t="s">
        <v>39</v>
      </c>
      <c r="M947" s="2">
        <v>43</v>
      </c>
      <c r="N947" s="2">
        <v>3</v>
      </c>
      <c r="O947" s="2">
        <v>4</v>
      </c>
      <c r="P947" s="2" t="s">
        <v>58</v>
      </c>
      <c r="Q947" s="2">
        <v>1</v>
      </c>
      <c r="R947" s="2" t="s">
        <v>48</v>
      </c>
      <c r="S947" s="2">
        <v>16880</v>
      </c>
      <c r="T947" s="2">
        <v>22422</v>
      </c>
      <c r="U947" s="2">
        <v>4</v>
      </c>
      <c r="V947" s="2" t="s">
        <v>42</v>
      </c>
      <c r="W947" s="2" t="s">
        <v>35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</row>
    <row r="948" spans="1:35" x14ac:dyDescent="0.25">
      <c r="A948" s="2">
        <v>40</v>
      </c>
      <c r="B948" s="2" t="s">
        <v>35</v>
      </c>
      <c r="C948" s="2" t="s">
        <v>36</v>
      </c>
      <c r="D948" s="2">
        <v>299</v>
      </c>
      <c r="E948" s="2" t="s">
        <v>37</v>
      </c>
      <c r="F948" s="2">
        <v>25</v>
      </c>
      <c r="G948" s="2">
        <v>4</v>
      </c>
      <c r="H948" s="2" t="s">
        <v>59</v>
      </c>
      <c r="I948" s="2">
        <v>1</v>
      </c>
      <c r="J948" s="2">
        <v>1318</v>
      </c>
      <c r="K948" s="2">
        <v>4</v>
      </c>
      <c r="L948" s="2" t="s">
        <v>46</v>
      </c>
      <c r="M948" s="2">
        <v>57</v>
      </c>
      <c r="N948" s="2">
        <v>2</v>
      </c>
      <c r="O948" s="2">
        <v>3</v>
      </c>
      <c r="P948" s="2" t="s">
        <v>40</v>
      </c>
      <c r="Q948" s="2">
        <v>2</v>
      </c>
      <c r="R948" s="2" t="s">
        <v>41</v>
      </c>
      <c r="S948" s="2">
        <v>9094</v>
      </c>
      <c r="T948" s="2">
        <v>17235</v>
      </c>
      <c r="U948" s="2">
        <v>2</v>
      </c>
      <c r="V948" s="2" t="s">
        <v>42</v>
      </c>
      <c r="W948" s="2" t="s">
        <v>35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</row>
    <row r="949" spans="1:35" x14ac:dyDescent="0.25">
      <c r="A949" s="2">
        <v>52</v>
      </c>
      <c r="B949" s="2" t="s">
        <v>35</v>
      </c>
      <c r="C949" s="2" t="s">
        <v>36</v>
      </c>
      <c r="D949" s="2">
        <v>1030</v>
      </c>
      <c r="E949" s="2" t="s">
        <v>37</v>
      </c>
      <c r="F949" s="2">
        <v>5</v>
      </c>
      <c r="G949" s="2">
        <v>3</v>
      </c>
      <c r="H949" s="2" t="s">
        <v>38</v>
      </c>
      <c r="I949" s="2">
        <v>1</v>
      </c>
      <c r="J949" s="2">
        <v>1319</v>
      </c>
      <c r="K949" s="2">
        <v>2</v>
      </c>
      <c r="L949" s="2" t="s">
        <v>46</v>
      </c>
      <c r="M949" s="2">
        <v>64</v>
      </c>
      <c r="N949" s="2">
        <v>3</v>
      </c>
      <c r="O949" s="2">
        <v>3</v>
      </c>
      <c r="P949" s="2" t="s">
        <v>40</v>
      </c>
      <c r="Q949" s="2">
        <v>2</v>
      </c>
      <c r="R949" s="2" t="s">
        <v>41</v>
      </c>
      <c r="S949" s="2">
        <v>8446</v>
      </c>
      <c r="T949" s="2">
        <v>21534</v>
      </c>
      <c r="U949" s="2">
        <v>9</v>
      </c>
      <c r="V949" s="2" t="s">
        <v>42</v>
      </c>
      <c r="W949" s="2" t="s">
        <v>35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</row>
    <row r="950" spans="1:35" x14ac:dyDescent="0.25">
      <c r="A950" s="2">
        <v>30</v>
      </c>
      <c r="B950" s="2" t="s">
        <v>43</v>
      </c>
      <c r="C950" s="2" t="s">
        <v>36</v>
      </c>
      <c r="D950" s="2">
        <v>634</v>
      </c>
      <c r="E950" s="2" t="s">
        <v>45</v>
      </c>
      <c r="F950" s="2">
        <v>17</v>
      </c>
      <c r="G950" s="2">
        <v>4</v>
      </c>
      <c r="H950" s="2" t="s">
        <v>51</v>
      </c>
      <c r="I950" s="2">
        <v>1</v>
      </c>
      <c r="J950" s="2">
        <v>1321</v>
      </c>
      <c r="K950" s="2">
        <v>2</v>
      </c>
      <c r="L950" s="2" t="s">
        <v>39</v>
      </c>
      <c r="M950" s="2">
        <v>95</v>
      </c>
      <c r="N950" s="2">
        <v>3</v>
      </c>
      <c r="O950" s="2">
        <v>3</v>
      </c>
      <c r="P950" s="2" t="s">
        <v>56</v>
      </c>
      <c r="Q950" s="2">
        <v>1</v>
      </c>
      <c r="R950" s="2" t="s">
        <v>48</v>
      </c>
      <c r="S950" s="2">
        <v>11916</v>
      </c>
      <c r="T950" s="2">
        <v>25927</v>
      </c>
      <c r="U950" s="2">
        <v>1</v>
      </c>
      <c r="V950" s="2" t="s">
        <v>42</v>
      </c>
      <c r="W950" s="2" t="s">
        <v>35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</row>
    <row r="951" spans="1:35" x14ac:dyDescent="0.25">
      <c r="A951" s="2">
        <v>39</v>
      </c>
      <c r="B951" s="2" t="s">
        <v>43</v>
      </c>
      <c r="C951" s="2" t="s">
        <v>36</v>
      </c>
      <c r="D951" s="2">
        <v>524</v>
      </c>
      <c r="E951" s="2" t="s">
        <v>45</v>
      </c>
      <c r="F951" s="2">
        <v>18</v>
      </c>
      <c r="G951" s="2">
        <v>2</v>
      </c>
      <c r="H951" s="2" t="s">
        <v>38</v>
      </c>
      <c r="I951" s="2">
        <v>1</v>
      </c>
      <c r="J951" s="2">
        <v>1322</v>
      </c>
      <c r="K951" s="2">
        <v>1</v>
      </c>
      <c r="L951" s="2" t="s">
        <v>46</v>
      </c>
      <c r="M951" s="2">
        <v>32</v>
      </c>
      <c r="N951" s="2">
        <v>3</v>
      </c>
      <c r="O951" s="2">
        <v>2</v>
      </c>
      <c r="P951" s="2" t="s">
        <v>53</v>
      </c>
      <c r="Q951" s="2">
        <v>3</v>
      </c>
      <c r="R951" s="2" t="s">
        <v>41</v>
      </c>
      <c r="S951" s="2">
        <v>4534</v>
      </c>
      <c r="T951" s="2">
        <v>13352</v>
      </c>
      <c r="U951" s="2">
        <v>0</v>
      </c>
      <c r="V951" s="2" t="s">
        <v>42</v>
      </c>
      <c r="W951" s="2" t="s">
        <v>43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</row>
    <row r="952" spans="1:35" x14ac:dyDescent="0.25">
      <c r="A952" s="2">
        <v>31</v>
      </c>
      <c r="B952" s="2" t="s">
        <v>43</v>
      </c>
      <c r="C952" s="2" t="s">
        <v>55</v>
      </c>
      <c r="D952" s="2">
        <v>587</v>
      </c>
      <c r="E952" s="2" t="s">
        <v>37</v>
      </c>
      <c r="F952" s="2">
        <v>2</v>
      </c>
      <c r="G952" s="2">
        <v>4</v>
      </c>
      <c r="H952" s="2" t="s">
        <v>38</v>
      </c>
      <c r="I952" s="2">
        <v>1</v>
      </c>
      <c r="J952" s="2">
        <v>1324</v>
      </c>
      <c r="K952" s="2">
        <v>4</v>
      </c>
      <c r="L952" s="2" t="s">
        <v>39</v>
      </c>
      <c r="M952" s="2">
        <v>57</v>
      </c>
      <c r="N952" s="2">
        <v>3</v>
      </c>
      <c r="O952" s="2">
        <v>3</v>
      </c>
      <c r="P952" s="2" t="s">
        <v>40</v>
      </c>
      <c r="Q952" s="2">
        <v>3</v>
      </c>
      <c r="R952" s="2" t="s">
        <v>52</v>
      </c>
      <c r="S952" s="2">
        <v>9852</v>
      </c>
      <c r="T952" s="2">
        <v>8935</v>
      </c>
      <c r="U952" s="2">
        <v>1</v>
      </c>
      <c r="V952" s="2" t="s">
        <v>42</v>
      </c>
      <c r="W952" s="2" t="s">
        <v>35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</row>
    <row r="953" spans="1:35" x14ac:dyDescent="0.25">
      <c r="A953" s="2">
        <v>41</v>
      </c>
      <c r="B953" s="2" t="s">
        <v>43</v>
      </c>
      <c r="C953" s="2" t="s">
        <v>55</v>
      </c>
      <c r="D953" s="2">
        <v>256</v>
      </c>
      <c r="E953" s="2" t="s">
        <v>37</v>
      </c>
      <c r="F953" s="2">
        <v>10</v>
      </c>
      <c r="G953" s="2">
        <v>2</v>
      </c>
      <c r="H953" s="2" t="s">
        <v>51</v>
      </c>
      <c r="I953" s="2">
        <v>1</v>
      </c>
      <c r="J953" s="2">
        <v>1329</v>
      </c>
      <c r="K953" s="2">
        <v>3</v>
      </c>
      <c r="L953" s="2" t="s">
        <v>46</v>
      </c>
      <c r="M953" s="2">
        <v>40</v>
      </c>
      <c r="N953" s="2">
        <v>1</v>
      </c>
      <c r="O953" s="2">
        <v>2</v>
      </c>
      <c r="P953" s="2" t="s">
        <v>40</v>
      </c>
      <c r="Q953" s="2">
        <v>2</v>
      </c>
      <c r="R953" s="2" t="s">
        <v>41</v>
      </c>
      <c r="S953" s="2">
        <v>6151</v>
      </c>
      <c r="T953" s="2">
        <v>22074</v>
      </c>
      <c r="U953" s="2">
        <v>1</v>
      </c>
      <c r="V953" s="2" t="s">
        <v>42</v>
      </c>
      <c r="W953" s="2" t="s">
        <v>43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</row>
    <row r="954" spans="1:35" x14ac:dyDescent="0.25">
      <c r="A954" s="2">
        <v>31</v>
      </c>
      <c r="B954" s="2" t="s">
        <v>35</v>
      </c>
      <c r="C954" s="2" t="s">
        <v>44</v>
      </c>
      <c r="D954" s="2">
        <v>1060</v>
      </c>
      <c r="E954" s="2" t="s">
        <v>37</v>
      </c>
      <c r="F954" s="2">
        <v>1</v>
      </c>
      <c r="G954" s="2">
        <v>3</v>
      </c>
      <c r="H954" s="2" t="s">
        <v>38</v>
      </c>
      <c r="I954" s="2">
        <v>1</v>
      </c>
      <c r="J954" s="2">
        <v>1331</v>
      </c>
      <c r="K954" s="2">
        <v>4</v>
      </c>
      <c r="L954" s="2" t="s">
        <v>39</v>
      </c>
      <c r="M954" s="2">
        <v>54</v>
      </c>
      <c r="N954" s="2">
        <v>3</v>
      </c>
      <c r="O954" s="2">
        <v>1</v>
      </c>
      <c r="P954" s="2" t="s">
        <v>57</v>
      </c>
      <c r="Q954" s="2">
        <v>2</v>
      </c>
      <c r="R954" s="2" t="s">
        <v>41</v>
      </c>
      <c r="S954" s="2">
        <v>2302</v>
      </c>
      <c r="T954" s="2">
        <v>8319</v>
      </c>
      <c r="U954" s="2">
        <v>1</v>
      </c>
      <c r="V954" s="2" t="s">
        <v>42</v>
      </c>
      <c r="W954" s="2" t="s">
        <v>35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</row>
    <row r="955" spans="1:35" x14ac:dyDescent="0.25">
      <c r="A955" s="2">
        <v>44</v>
      </c>
      <c r="B955" s="2" t="s">
        <v>35</v>
      </c>
      <c r="C955" s="2" t="s">
        <v>36</v>
      </c>
      <c r="D955" s="2">
        <v>935</v>
      </c>
      <c r="E955" s="2" t="s">
        <v>45</v>
      </c>
      <c r="F955" s="2">
        <v>3</v>
      </c>
      <c r="G955" s="2">
        <v>3</v>
      </c>
      <c r="H955" s="2" t="s">
        <v>38</v>
      </c>
      <c r="I955" s="2">
        <v>1</v>
      </c>
      <c r="J955" s="2">
        <v>1333</v>
      </c>
      <c r="K955" s="2">
        <v>1</v>
      </c>
      <c r="L955" s="2" t="s">
        <v>46</v>
      </c>
      <c r="M955" s="2">
        <v>89</v>
      </c>
      <c r="N955" s="2">
        <v>3</v>
      </c>
      <c r="O955" s="2">
        <v>1</v>
      </c>
      <c r="P955" s="2" t="s">
        <v>50</v>
      </c>
      <c r="Q955" s="2">
        <v>1</v>
      </c>
      <c r="R955" s="2" t="s">
        <v>48</v>
      </c>
      <c r="S955" s="2">
        <v>2362</v>
      </c>
      <c r="T955" s="2">
        <v>14669</v>
      </c>
      <c r="U955" s="2">
        <v>4</v>
      </c>
      <c r="V955" s="2" t="s">
        <v>42</v>
      </c>
      <c r="W955" s="2" t="s">
        <v>43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</row>
    <row r="956" spans="1:35" x14ac:dyDescent="0.25">
      <c r="A956" s="2">
        <v>42</v>
      </c>
      <c r="B956" s="2" t="s">
        <v>43</v>
      </c>
      <c r="C956" s="2" t="s">
        <v>55</v>
      </c>
      <c r="D956" s="2">
        <v>495</v>
      </c>
      <c r="E956" s="2" t="s">
        <v>45</v>
      </c>
      <c r="F956" s="2">
        <v>2</v>
      </c>
      <c r="G956" s="2">
        <v>1</v>
      </c>
      <c r="H956" s="2" t="s">
        <v>38</v>
      </c>
      <c r="I956" s="2">
        <v>1</v>
      </c>
      <c r="J956" s="2">
        <v>1334</v>
      </c>
      <c r="K956" s="2">
        <v>3</v>
      </c>
      <c r="L956" s="2" t="s">
        <v>46</v>
      </c>
      <c r="M956" s="2">
        <v>37</v>
      </c>
      <c r="N956" s="2">
        <v>3</v>
      </c>
      <c r="O956" s="2">
        <v>4</v>
      </c>
      <c r="P956" s="2" t="s">
        <v>56</v>
      </c>
      <c r="Q956" s="2">
        <v>3</v>
      </c>
      <c r="R956" s="2" t="s">
        <v>48</v>
      </c>
      <c r="S956" s="2">
        <v>17861</v>
      </c>
      <c r="T956" s="2">
        <v>26582</v>
      </c>
      <c r="U956" s="2">
        <v>0</v>
      </c>
      <c r="V956" s="2" t="s">
        <v>42</v>
      </c>
      <c r="W956" s="2" t="s">
        <v>35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</row>
    <row r="957" spans="1:35" x14ac:dyDescent="0.25">
      <c r="A957" s="2">
        <v>55</v>
      </c>
      <c r="B957" s="2" t="s">
        <v>43</v>
      </c>
      <c r="C957" s="2" t="s">
        <v>36</v>
      </c>
      <c r="D957" s="2">
        <v>282</v>
      </c>
      <c r="E957" s="2" t="s">
        <v>45</v>
      </c>
      <c r="F957" s="2">
        <v>2</v>
      </c>
      <c r="G957" s="2">
        <v>2</v>
      </c>
      <c r="H957" s="2" t="s">
        <v>51</v>
      </c>
      <c r="I957" s="2">
        <v>1</v>
      </c>
      <c r="J957" s="2">
        <v>1336</v>
      </c>
      <c r="K957" s="2">
        <v>4</v>
      </c>
      <c r="L957" s="2" t="s">
        <v>39</v>
      </c>
      <c r="M957" s="2">
        <v>58</v>
      </c>
      <c r="N957" s="2">
        <v>1</v>
      </c>
      <c r="O957" s="2">
        <v>5</v>
      </c>
      <c r="P957" s="2" t="s">
        <v>56</v>
      </c>
      <c r="Q957" s="2">
        <v>3</v>
      </c>
      <c r="R957" s="2" t="s">
        <v>48</v>
      </c>
      <c r="S957" s="2">
        <v>19187</v>
      </c>
      <c r="T957" s="2">
        <v>6992</v>
      </c>
      <c r="U957" s="2">
        <v>4</v>
      </c>
      <c r="V957" s="2" t="s">
        <v>42</v>
      </c>
      <c r="W957" s="2" t="s">
        <v>43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</row>
    <row r="958" spans="1:35" x14ac:dyDescent="0.25">
      <c r="A958" s="2">
        <v>56</v>
      </c>
      <c r="B958" s="2" t="s">
        <v>43</v>
      </c>
      <c r="C958" s="2" t="s">
        <v>36</v>
      </c>
      <c r="D958" s="2">
        <v>206</v>
      </c>
      <c r="E958" s="2" t="s">
        <v>61</v>
      </c>
      <c r="F958" s="2">
        <v>8</v>
      </c>
      <c r="G958" s="2">
        <v>4</v>
      </c>
      <c r="H958" s="2" t="s">
        <v>38</v>
      </c>
      <c r="I958" s="2">
        <v>1</v>
      </c>
      <c r="J958" s="2">
        <v>1338</v>
      </c>
      <c r="K958" s="2">
        <v>4</v>
      </c>
      <c r="L958" s="2" t="s">
        <v>46</v>
      </c>
      <c r="M958" s="2">
        <v>99</v>
      </c>
      <c r="N958" s="2">
        <v>3</v>
      </c>
      <c r="O958" s="2">
        <v>5</v>
      </c>
      <c r="P958" s="2" t="s">
        <v>56</v>
      </c>
      <c r="Q958" s="2">
        <v>2</v>
      </c>
      <c r="R958" s="2" t="s">
        <v>41</v>
      </c>
      <c r="S958" s="2">
        <v>19717</v>
      </c>
      <c r="T958" s="2">
        <v>4022</v>
      </c>
      <c r="U958" s="2">
        <v>6</v>
      </c>
      <c r="V958" s="2" t="s">
        <v>42</v>
      </c>
      <c r="W958" s="2" t="s">
        <v>43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</row>
    <row r="959" spans="1:35" x14ac:dyDescent="0.25">
      <c r="A959" s="2">
        <v>40</v>
      </c>
      <c r="B959" s="2" t="s">
        <v>43</v>
      </c>
      <c r="C959" s="2" t="s">
        <v>55</v>
      </c>
      <c r="D959" s="2">
        <v>458</v>
      </c>
      <c r="E959" s="2" t="s">
        <v>45</v>
      </c>
      <c r="F959" s="2">
        <v>16</v>
      </c>
      <c r="G959" s="2">
        <v>2</v>
      </c>
      <c r="H959" s="2" t="s">
        <v>38</v>
      </c>
      <c r="I959" s="2">
        <v>1</v>
      </c>
      <c r="J959" s="2">
        <v>1340</v>
      </c>
      <c r="K959" s="2">
        <v>3</v>
      </c>
      <c r="L959" s="2" t="s">
        <v>46</v>
      </c>
      <c r="M959" s="2">
        <v>74</v>
      </c>
      <c r="N959" s="2">
        <v>3</v>
      </c>
      <c r="O959" s="2">
        <v>1</v>
      </c>
      <c r="P959" s="2" t="s">
        <v>47</v>
      </c>
      <c r="Q959" s="2">
        <v>3</v>
      </c>
      <c r="R959" s="2" t="s">
        <v>52</v>
      </c>
      <c r="S959" s="2">
        <v>3544</v>
      </c>
      <c r="T959" s="2">
        <v>8532</v>
      </c>
      <c r="U959" s="2">
        <v>9</v>
      </c>
      <c r="V959" s="2" t="s">
        <v>42</v>
      </c>
      <c r="W959" s="2" t="s">
        <v>43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</row>
    <row r="960" spans="1:35" x14ac:dyDescent="0.25">
      <c r="A960" s="2">
        <v>34</v>
      </c>
      <c r="B960" s="2" t="s">
        <v>43</v>
      </c>
      <c r="C960" s="2" t="s">
        <v>36</v>
      </c>
      <c r="D960" s="2">
        <v>943</v>
      </c>
      <c r="E960" s="2" t="s">
        <v>45</v>
      </c>
      <c r="F960" s="2">
        <v>9</v>
      </c>
      <c r="G960" s="2">
        <v>3</v>
      </c>
      <c r="H960" s="2" t="s">
        <v>38</v>
      </c>
      <c r="I960" s="2">
        <v>1</v>
      </c>
      <c r="J960" s="2">
        <v>1344</v>
      </c>
      <c r="K960" s="2">
        <v>4</v>
      </c>
      <c r="L960" s="2" t="s">
        <v>46</v>
      </c>
      <c r="M960" s="2">
        <v>86</v>
      </c>
      <c r="N960" s="2">
        <v>3</v>
      </c>
      <c r="O960" s="2">
        <v>3</v>
      </c>
      <c r="P960" s="2" t="s">
        <v>54</v>
      </c>
      <c r="Q960" s="2">
        <v>4</v>
      </c>
      <c r="R960" s="2" t="s">
        <v>52</v>
      </c>
      <c r="S960" s="2">
        <v>8500</v>
      </c>
      <c r="T960" s="2">
        <v>5494</v>
      </c>
      <c r="U960" s="2">
        <v>0</v>
      </c>
      <c r="V960" s="2" t="s">
        <v>42</v>
      </c>
      <c r="W960" s="2" t="s">
        <v>43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</row>
    <row r="961" spans="1:35" x14ac:dyDescent="0.25">
      <c r="A961" s="2">
        <v>40</v>
      </c>
      <c r="B961" s="2" t="s">
        <v>43</v>
      </c>
      <c r="C961" s="2" t="s">
        <v>36</v>
      </c>
      <c r="D961" s="2">
        <v>523</v>
      </c>
      <c r="E961" s="2" t="s">
        <v>45</v>
      </c>
      <c r="F961" s="2">
        <v>2</v>
      </c>
      <c r="G961" s="2">
        <v>3</v>
      </c>
      <c r="H961" s="2" t="s">
        <v>38</v>
      </c>
      <c r="I961" s="2">
        <v>1</v>
      </c>
      <c r="J961" s="2">
        <v>1346</v>
      </c>
      <c r="K961" s="2">
        <v>3</v>
      </c>
      <c r="L961" s="2" t="s">
        <v>46</v>
      </c>
      <c r="M961" s="2">
        <v>98</v>
      </c>
      <c r="N961" s="2">
        <v>3</v>
      </c>
      <c r="O961" s="2">
        <v>2</v>
      </c>
      <c r="P961" s="2" t="s">
        <v>47</v>
      </c>
      <c r="Q961" s="2">
        <v>4</v>
      </c>
      <c r="R961" s="2" t="s">
        <v>41</v>
      </c>
      <c r="S961" s="2">
        <v>4661</v>
      </c>
      <c r="T961" s="2">
        <v>22455</v>
      </c>
      <c r="U961" s="2">
        <v>1</v>
      </c>
      <c r="V961" s="2" t="s">
        <v>42</v>
      </c>
      <c r="W961" s="2" t="s">
        <v>43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</row>
    <row r="962" spans="1:35" x14ac:dyDescent="0.25">
      <c r="A962" s="2">
        <v>41</v>
      </c>
      <c r="B962" s="2" t="s">
        <v>43</v>
      </c>
      <c r="C962" s="2" t="s">
        <v>44</v>
      </c>
      <c r="D962" s="2">
        <v>1018</v>
      </c>
      <c r="E962" s="2" t="s">
        <v>37</v>
      </c>
      <c r="F962" s="2">
        <v>1</v>
      </c>
      <c r="G962" s="2">
        <v>3</v>
      </c>
      <c r="H962" s="2" t="s">
        <v>59</v>
      </c>
      <c r="I962" s="2">
        <v>1</v>
      </c>
      <c r="J962" s="2">
        <v>1349</v>
      </c>
      <c r="K962" s="2">
        <v>3</v>
      </c>
      <c r="L962" s="2" t="s">
        <v>39</v>
      </c>
      <c r="M962" s="2">
        <v>66</v>
      </c>
      <c r="N962" s="2">
        <v>3</v>
      </c>
      <c r="O962" s="2">
        <v>2</v>
      </c>
      <c r="P962" s="2" t="s">
        <v>40</v>
      </c>
      <c r="Q962" s="2">
        <v>1</v>
      </c>
      <c r="R962" s="2" t="s">
        <v>52</v>
      </c>
      <c r="S962" s="2">
        <v>4103</v>
      </c>
      <c r="T962" s="2">
        <v>4297</v>
      </c>
      <c r="U962" s="2">
        <v>0</v>
      </c>
      <c r="V962" s="2" t="s">
        <v>42</v>
      </c>
      <c r="W962" s="2" t="s">
        <v>43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</row>
    <row r="963" spans="1:35" x14ac:dyDescent="0.25">
      <c r="A963" s="2">
        <v>35</v>
      </c>
      <c r="B963" s="2" t="s">
        <v>43</v>
      </c>
      <c r="C963" s="2" t="s">
        <v>44</v>
      </c>
      <c r="D963" s="2">
        <v>482</v>
      </c>
      <c r="E963" s="2" t="s">
        <v>45</v>
      </c>
      <c r="F963" s="2">
        <v>4</v>
      </c>
      <c r="G963" s="2">
        <v>4</v>
      </c>
      <c r="H963" s="2" t="s">
        <v>38</v>
      </c>
      <c r="I963" s="2">
        <v>1</v>
      </c>
      <c r="J963" s="2">
        <v>1350</v>
      </c>
      <c r="K963" s="2">
        <v>3</v>
      </c>
      <c r="L963" s="2" t="s">
        <v>46</v>
      </c>
      <c r="M963" s="2">
        <v>87</v>
      </c>
      <c r="N963" s="2">
        <v>3</v>
      </c>
      <c r="O963" s="2">
        <v>2</v>
      </c>
      <c r="P963" s="2" t="s">
        <v>47</v>
      </c>
      <c r="Q963" s="2">
        <v>3</v>
      </c>
      <c r="R963" s="2" t="s">
        <v>41</v>
      </c>
      <c r="S963" s="2">
        <v>4249</v>
      </c>
      <c r="T963" s="2">
        <v>2690</v>
      </c>
      <c r="U963" s="2">
        <v>1</v>
      </c>
      <c r="V963" s="2" t="s">
        <v>42</v>
      </c>
      <c r="W963" s="2" t="s">
        <v>35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</row>
    <row r="964" spans="1:35" x14ac:dyDescent="0.25">
      <c r="A964" s="2">
        <v>51</v>
      </c>
      <c r="B964" s="2" t="s">
        <v>43</v>
      </c>
      <c r="C964" s="2" t="s">
        <v>36</v>
      </c>
      <c r="D964" s="2">
        <v>770</v>
      </c>
      <c r="E964" s="2" t="s">
        <v>61</v>
      </c>
      <c r="F964" s="2">
        <v>5</v>
      </c>
      <c r="G964" s="2">
        <v>3</v>
      </c>
      <c r="H964" s="2" t="s">
        <v>38</v>
      </c>
      <c r="I964" s="2">
        <v>1</v>
      </c>
      <c r="J964" s="2">
        <v>1352</v>
      </c>
      <c r="K964" s="2">
        <v>3</v>
      </c>
      <c r="L964" s="2" t="s">
        <v>46</v>
      </c>
      <c r="M964" s="2">
        <v>84</v>
      </c>
      <c r="N964" s="2">
        <v>3</v>
      </c>
      <c r="O964" s="2">
        <v>4</v>
      </c>
      <c r="P964" s="2" t="s">
        <v>56</v>
      </c>
      <c r="Q964" s="2">
        <v>2</v>
      </c>
      <c r="R964" s="2" t="s">
        <v>52</v>
      </c>
      <c r="S964" s="2">
        <v>14026</v>
      </c>
      <c r="T964" s="2">
        <v>17588</v>
      </c>
      <c r="U964" s="2">
        <v>1</v>
      </c>
      <c r="V964" s="2" t="s">
        <v>42</v>
      </c>
      <c r="W964" s="2" t="s">
        <v>35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</row>
    <row r="965" spans="1:35" x14ac:dyDescent="0.25">
      <c r="A965" s="2">
        <v>38</v>
      </c>
      <c r="B965" s="2" t="s">
        <v>43</v>
      </c>
      <c r="C965" s="2" t="s">
        <v>36</v>
      </c>
      <c r="D965" s="2">
        <v>1009</v>
      </c>
      <c r="E965" s="2" t="s">
        <v>37</v>
      </c>
      <c r="F965" s="2">
        <v>2</v>
      </c>
      <c r="G965" s="2">
        <v>2</v>
      </c>
      <c r="H965" s="2" t="s">
        <v>38</v>
      </c>
      <c r="I965" s="2">
        <v>1</v>
      </c>
      <c r="J965" s="2">
        <v>1355</v>
      </c>
      <c r="K965" s="2">
        <v>2</v>
      </c>
      <c r="L965" s="2" t="s">
        <v>39</v>
      </c>
      <c r="M965" s="2">
        <v>31</v>
      </c>
      <c r="N965" s="2">
        <v>3</v>
      </c>
      <c r="O965" s="2">
        <v>2</v>
      </c>
      <c r="P965" s="2" t="s">
        <v>40</v>
      </c>
      <c r="Q965" s="2">
        <v>1</v>
      </c>
      <c r="R965" s="2" t="s">
        <v>52</v>
      </c>
      <c r="S965" s="2">
        <v>6893</v>
      </c>
      <c r="T965" s="2">
        <v>19461</v>
      </c>
      <c r="U965" s="2">
        <v>3</v>
      </c>
      <c r="V965" s="2" t="s">
        <v>42</v>
      </c>
      <c r="W965" s="2" t="s">
        <v>43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</row>
    <row r="966" spans="1:35" x14ac:dyDescent="0.25">
      <c r="A966" s="2">
        <v>34</v>
      </c>
      <c r="B966" s="2" t="s">
        <v>43</v>
      </c>
      <c r="C966" s="2" t="s">
        <v>36</v>
      </c>
      <c r="D966" s="2">
        <v>507</v>
      </c>
      <c r="E966" s="2" t="s">
        <v>37</v>
      </c>
      <c r="F966" s="2">
        <v>15</v>
      </c>
      <c r="G966" s="2">
        <v>2</v>
      </c>
      <c r="H966" s="2" t="s">
        <v>51</v>
      </c>
      <c r="I966" s="2">
        <v>1</v>
      </c>
      <c r="J966" s="2">
        <v>1356</v>
      </c>
      <c r="K966" s="2">
        <v>3</v>
      </c>
      <c r="L966" s="2" t="s">
        <v>39</v>
      </c>
      <c r="M966" s="2">
        <v>66</v>
      </c>
      <c r="N966" s="2">
        <v>3</v>
      </c>
      <c r="O966" s="2">
        <v>2</v>
      </c>
      <c r="P966" s="2" t="s">
        <v>40</v>
      </c>
      <c r="Q966" s="2">
        <v>1</v>
      </c>
      <c r="R966" s="2" t="s">
        <v>41</v>
      </c>
      <c r="S966" s="2">
        <v>6125</v>
      </c>
      <c r="T966" s="2">
        <v>23553</v>
      </c>
      <c r="U966" s="2">
        <v>1</v>
      </c>
      <c r="V966" s="2" t="s">
        <v>42</v>
      </c>
      <c r="W966" s="2" t="s">
        <v>43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</row>
    <row r="967" spans="1:35" x14ac:dyDescent="0.25">
      <c r="A967" s="2">
        <v>25</v>
      </c>
      <c r="B967" s="2" t="s">
        <v>43</v>
      </c>
      <c r="C967" s="2" t="s">
        <v>36</v>
      </c>
      <c r="D967" s="2">
        <v>882</v>
      </c>
      <c r="E967" s="2" t="s">
        <v>45</v>
      </c>
      <c r="F967" s="2">
        <v>19</v>
      </c>
      <c r="G967" s="2">
        <v>1</v>
      </c>
      <c r="H967" s="2" t="s">
        <v>51</v>
      </c>
      <c r="I967" s="2">
        <v>1</v>
      </c>
      <c r="J967" s="2">
        <v>1358</v>
      </c>
      <c r="K967" s="2">
        <v>4</v>
      </c>
      <c r="L967" s="2" t="s">
        <v>46</v>
      </c>
      <c r="M967" s="2">
        <v>67</v>
      </c>
      <c r="N967" s="2">
        <v>3</v>
      </c>
      <c r="O967" s="2">
        <v>1</v>
      </c>
      <c r="P967" s="2" t="s">
        <v>50</v>
      </c>
      <c r="Q967" s="2">
        <v>4</v>
      </c>
      <c r="R967" s="2" t="s">
        <v>48</v>
      </c>
      <c r="S967" s="2">
        <v>3669</v>
      </c>
      <c r="T967" s="2">
        <v>9075</v>
      </c>
      <c r="U967" s="2">
        <v>3</v>
      </c>
      <c r="V967" s="2" t="s">
        <v>42</v>
      </c>
      <c r="W967" s="2" t="s">
        <v>43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</row>
    <row r="968" spans="1:35" x14ac:dyDescent="0.25">
      <c r="A968" s="2">
        <v>58</v>
      </c>
      <c r="B968" s="2" t="s">
        <v>35</v>
      </c>
      <c r="C968" s="2" t="s">
        <v>36</v>
      </c>
      <c r="D968" s="2">
        <v>601</v>
      </c>
      <c r="E968" s="2" t="s">
        <v>45</v>
      </c>
      <c r="F968" s="2">
        <v>7</v>
      </c>
      <c r="G968" s="2">
        <v>4</v>
      </c>
      <c r="H968" s="2" t="s">
        <v>51</v>
      </c>
      <c r="I968" s="2">
        <v>1</v>
      </c>
      <c r="J968" s="2">
        <v>1360</v>
      </c>
      <c r="K968" s="2">
        <v>3</v>
      </c>
      <c r="L968" s="2" t="s">
        <v>39</v>
      </c>
      <c r="M968" s="2">
        <v>53</v>
      </c>
      <c r="N968" s="2">
        <v>2</v>
      </c>
      <c r="O968" s="2">
        <v>3</v>
      </c>
      <c r="P968" s="2" t="s">
        <v>53</v>
      </c>
      <c r="Q968" s="2">
        <v>1</v>
      </c>
      <c r="R968" s="2" t="s">
        <v>48</v>
      </c>
      <c r="S968" s="2">
        <v>10008</v>
      </c>
      <c r="T968" s="2">
        <v>12023</v>
      </c>
      <c r="U968" s="2">
        <v>7</v>
      </c>
      <c r="V968" s="2" t="s">
        <v>42</v>
      </c>
      <c r="W968" s="2" t="s">
        <v>35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</row>
    <row r="969" spans="1:35" x14ac:dyDescent="0.25">
      <c r="A969" s="2">
        <v>40</v>
      </c>
      <c r="B969" s="2" t="s">
        <v>43</v>
      </c>
      <c r="C969" s="2" t="s">
        <v>36</v>
      </c>
      <c r="D969" s="2">
        <v>329</v>
      </c>
      <c r="E969" s="2" t="s">
        <v>45</v>
      </c>
      <c r="F969" s="2">
        <v>1</v>
      </c>
      <c r="G969" s="2">
        <v>4</v>
      </c>
      <c r="H969" s="2" t="s">
        <v>38</v>
      </c>
      <c r="I969" s="2">
        <v>1</v>
      </c>
      <c r="J969" s="2">
        <v>1361</v>
      </c>
      <c r="K969" s="2">
        <v>2</v>
      </c>
      <c r="L969" s="2" t="s">
        <v>46</v>
      </c>
      <c r="M969" s="2">
        <v>88</v>
      </c>
      <c r="N969" s="2">
        <v>3</v>
      </c>
      <c r="O969" s="2">
        <v>1</v>
      </c>
      <c r="P969" s="2" t="s">
        <v>50</v>
      </c>
      <c r="Q969" s="2">
        <v>2</v>
      </c>
      <c r="R969" s="2" t="s">
        <v>48</v>
      </c>
      <c r="S969" s="2">
        <v>2387</v>
      </c>
      <c r="T969" s="2">
        <v>6762</v>
      </c>
      <c r="U969" s="2">
        <v>3</v>
      </c>
      <c r="V969" s="2" t="s">
        <v>42</v>
      </c>
      <c r="W969" s="2" t="s">
        <v>43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</row>
    <row r="970" spans="1:35" x14ac:dyDescent="0.25">
      <c r="A970" s="2">
        <v>36</v>
      </c>
      <c r="B970" s="2" t="s">
        <v>43</v>
      </c>
      <c r="C970" s="2" t="s">
        <v>44</v>
      </c>
      <c r="D970" s="2">
        <v>607</v>
      </c>
      <c r="E970" s="2" t="s">
        <v>37</v>
      </c>
      <c r="F970" s="2">
        <v>7</v>
      </c>
      <c r="G970" s="2">
        <v>3</v>
      </c>
      <c r="H970" s="2" t="s">
        <v>59</v>
      </c>
      <c r="I970" s="2">
        <v>1</v>
      </c>
      <c r="J970" s="2">
        <v>1362</v>
      </c>
      <c r="K970" s="2">
        <v>1</v>
      </c>
      <c r="L970" s="2" t="s">
        <v>39</v>
      </c>
      <c r="M970" s="2">
        <v>83</v>
      </c>
      <c r="N970" s="2">
        <v>4</v>
      </c>
      <c r="O970" s="2">
        <v>2</v>
      </c>
      <c r="P970" s="2" t="s">
        <v>40</v>
      </c>
      <c r="Q970" s="2">
        <v>1</v>
      </c>
      <c r="R970" s="2" t="s">
        <v>48</v>
      </c>
      <c r="S970" s="2">
        <v>4639</v>
      </c>
      <c r="T970" s="2">
        <v>2261</v>
      </c>
      <c r="U970" s="2">
        <v>2</v>
      </c>
      <c r="V970" s="2" t="s">
        <v>42</v>
      </c>
      <c r="W970" s="2" t="s">
        <v>43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</row>
    <row r="971" spans="1:35" x14ac:dyDescent="0.25">
      <c r="A971" s="2">
        <v>48</v>
      </c>
      <c r="B971" s="2" t="s">
        <v>43</v>
      </c>
      <c r="C971" s="2" t="s">
        <v>36</v>
      </c>
      <c r="D971" s="2">
        <v>855</v>
      </c>
      <c r="E971" s="2" t="s">
        <v>45</v>
      </c>
      <c r="F971" s="2">
        <v>4</v>
      </c>
      <c r="G971" s="2">
        <v>3</v>
      </c>
      <c r="H971" s="2" t="s">
        <v>38</v>
      </c>
      <c r="I971" s="2">
        <v>1</v>
      </c>
      <c r="J971" s="2">
        <v>1363</v>
      </c>
      <c r="K971" s="2">
        <v>4</v>
      </c>
      <c r="L971" s="2" t="s">
        <v>46</v>
      </c>
      <c r="M971" s="2">
        <v>54</v>
      </c>
      <c r="N971" s="2">
        <v>3</v>
      </c>
      <c r="O971" s="2">
        <v>3</v>
      </c>
      <c r="P971" s="2" t="s">
        <v>53</v>
      </c>
      <c r="Q971" s="2">
        <v>4</v>
      </c>
      <c r="R971" s="2" t="s">
        <v>41</v>
      </c>
      <c r="S971" s="2">
        <v>7898</v>
      </c>
      <c r="T971" s="2">
        <v>18706</v>
      </c>
      <c r="U971" s="2">
        <v>1</v>
      </c>
      <c r="V971" s="2" t="s">
        <v>42</v>
      </c>
      <c r="W971" s="2" t="s">
        <v>43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</row>
    <row r="972" spans="1:35" x14ac:dyDescent="0.25">
      <c r="A972" s="2">
        <v>27</v>
      </c>
      <c r="B972" s="2" t="s">
        <v>43</v>
      </c>
      <c r="C972" s="2" t="s">
        <v>36</v>
      </c>
      <c r="D972" s="2">
        <v>1291</v>
      </c>
      <c r="E972" s="2" t="s">
        <v>37</v>
      </c>
      <c r="F972" s="2">
        <v>11</v>
      </c>
      <c r="G972" s="2">
        <v>3</v>
      </c>
      <c r="H972" s="2" t="s">
        <v>51</v>
      </c>
      <c r="I972" s="2">
        <v>1</v>
      </c>
      <c r="J972" s="2">
        <v>1364</v>
      </c>
      <c r="K972" s="2">
        <v>3</v>
      </c>
      <c r="L972" s="2" t="s">
        <v>39</v>
      </c>
      <c r="M972" s="2">
        <v>98</v>
      </c>
      <c r="N972" s="2">
        <v>4</v>
      </c>
      <c r="O972" s="2">
        <v>1</v>
      </c>
      <c r="P972" s="2" t="s">
        <v>57</v>
      </c>
      <c r="Q972" s="2">
        <v>4</v>
      </c>
      <c r="R972" s="2" t="s">
        <v>48</v>
      </c>
      <c r="S972" s="2">
        <v>2534</v>
      </c>
      <c r="T972" s="2">
        <v>6527</v>
      </c>
      <c r="U972" s="2">
        <v>8</v>
      </c>
      <c r="V972" s="2" t="s">
        <v>42</v>
      </c>
      <c r="W972" s="2" t="s">
        <v>43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</row>
    <row r="973" spans="1:35" x14ac:dyDescent="0.25">
      <c r="A973" s="2">
        <v>51</v>
      </c>
      <c r="B973" s="2" t="s">
        <v>43</v>
      </c>
      <c r="C973" s="2" t="s">
        <v>36</v>
      </c>
      <c r="D973" s="2">
        <v>1405</v>
      </c>
      <c r="E973" s="2" t="s">
        <v>45</v>
      </c>
      <c r="F973" s="2">
        <v>11</v>
      </c>
      <c r="G973" s="2">
        <v>2</v>
      </c>
      <c r="H973" s="2" t="s">
        <v>60</v>
      </c>
      <c r="I973" s="2">
        <v>1</v>
      </c>
      <c r="J973" s="2">
        <v>1367</v>
      </c>
      <c r="K973" s="2">
        <v>4</v>
      </c>
      <c r="L973" s="2" t="s">
        <v>39</v>
      </c>
      <c r="M973" s="2">
        <v>82</v>
      </c>
      <c r="N973" s="2">
        <v>2</v>
      </c>
      <c r="O973" s="2">
        <v>4</v>
      </c>
      <c r="P973" s="2" t="s">
        <v>53</v>
      </c>
      <c r="Q973" s="2">
        <v>2</v>
      </c>
      <c r="R973" s="2" t="s">
        <v>41</v>
      </c>
      <c r="S973" s="2">
        <v>13142</v>
      </c>
      <c r="T973" s="2">
        <v>24439</v>
      </c>
      <c r="U973" s="2">
        <v>3</v>
      </c>
      <c r="V973" s="2" t="s">
        <v>42</v>
      </c>
      <c r="W973" s="2" t="s">
        <v>43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</row>
    <row r="974" spans="1:35" x14ac:dyDescent="0.25">
      <c r="A974" s="2">
        <v>18</v>
      </c>
      <c r="B974" s="2" t="s">
        <v>43</v>
      </c>
      <c r="C974" s="2" t="s">
        <v>55</v>
      </c>
      <c r="D974" s="2">
        <v>1124</v>
      </c>
      <c r="E974" s="2" t="s">
        <v>45</v>
      </c>
      <c r="F974" s="2">
        <v>1</v>
      </c>
      <c r="G974" s="2">
        <v>3</v>
      </c>
      <c r="H974" s="2" t="s">
        <v>38</v>
      </c>
      <c r="I974" s="2">
        <v>1</v>
      </c>
      <c r="J974" s="2">
        <v>1368</v>
      </c>
      <c r="K974" s="2">
        <v>4</v>
      </c>
      <c r="L974" s="2" t="s">
        <v>39</v>
      </c>
      <c r="M974" s="2">
        <v>97</v>
      </c>
      <c r="N974" s="2">
        <v>3</v>
      </c>
      <c r="O974" s="2">
        <v>1</v>
      </c>
      <c r="P974" s="2" t="s">
        <v>50</v>
      </c>
      <c r="Q974" s="2">
        <v>4</v>
      </c>
      <c r="R974" s="2" t="s">
        <v>41</v>
      </c>
      <c r="S974" s="2">
        <v>1611</v>
      </c>
      <c r="T974" s="2">
        <v>19305</v>
      </c>
      <c r="U974" s="2">
        <v>1</v>
      </c>
      <c r="V974" s="2" t="s">
        <v>42</v>
      </c>
      <c r="W974" s="2" t="s">
        <v>43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</row>
    <row r="975" spans="1:35" x14ac:dyDescent="0.25">
      <c r="A975" s="2">
        <v>35</v>
      </c>
      <c r="B975" s="2" t="s">
        <v>43</v>
      </c>
      <c r="C975" s="2" t="s">
        <v>36</v>
      </c>
      <c r="D975" s="2">
        <v>817</v>
      </c>
      <c r="E975" s="2" t="s">
        <v>45</v>
      </c>
      <c r="F975" s="2">
        <v>1</v>
      </c>
      <c r="G975" s="2">
        <v>3</v>
      </c>
      <c r="H975" s="2" t="s">
        <v>51</v>
      </c>
      <c r="I975" s="2">
        <v>1</v>
      </c>
      <c r="J975" s="2">
        <v>1369</v>
      </c>
      <c r="K975" s="2">
        <v>4</v>
      </c>
      <c r="L975" s="2" t="s">
        <v>39</v>
      </c>
      <c r="M975" s="2">
        <v>60</v>
      </c>
      <c r="N975" s="2">
        <v>2</v>
      </c>
      <c r="O975" s="2">
        <v>2</v>
      </c>
      <c r="P975" s="2" t="s">
        <v>50</v>
      </c>
      <c r="Q975" s="2">
        <v>4</v>
      </c>
      <c r="R975" s="2" t="s">
        <v>48</v>
      </c>
      <c r="S975" s="2">
        <v>5363</v>
      </c>
      <c r="T975" s="2">
        <v>10846</v>
      </c>
      <c r="U975" s="2">
        <v>0</v>
      </c>
      <c r="V975" s="2" t="s">
        <v>42</v>
      </c>
      <c r="W975" s="2" t="s">
        <v>43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</row>
    <row r="976" spans="1:35" x14ac:dyDescent="0.25">
      <c r="A976" s="2">
        <v>27</v>
      </c>
      <c r="B976" s="2" t="s">
        <v>43</v>
      </c>
      <c r="C976" s="2" t="s">
        <v>44</v>
      </c>
      <c r="D976" s="2">
        <v>793</v>
      </c>
      <c r="E976" s="2" t="s">
        <v>37</v>
      </c>
      <c r="F976" s="2">
        <v>2</v>
      </c>
      <c r="G976" s="2">
        <v>1</v>
      </c>
      <c r="H976" s="2" t="s">
        <v>38</v>
      </c>
      <c r="I976" s="2">
        <v>1</v>
      </c>
      <c r="J976" s="2">
        <v>1371</v>
      </c>
      <c r="K976" s="2">
        <v>4</v>
      </c>
      <c r="L976" s="2" t="s">
        <v>46</v>
      </c>
      <c r="M976" s="2">
        <v>43</v>
      </c>
      <c r="N976" s="2">
        <v>1</v>
      </c>
      <c r="O976" s="2">
        <v>2</v>
      </c>
      <c r="P976" s="2" t="s">
        <v>40</v>
      </c>
      <c r="Q976" s="2">
        <v>4</v>
      </c>
      <c r="R976" s="2" t="s">
        <v>41</v>
      </c>
      <c r="S976" s="2">
        <v>5071</v>
      </c>
      <c r="T976" s="2">
        <v>20392</v>
      </c>
      <c r="U976" s="2">
        <v>3</v>
      </c>
      <c r="V976" s="2" t="s">
        <v>42</v>
      </c>
      <c r="W976" s="2" t="s">
        <v>43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</row>
    <row r="977" spans="1:35" x14ac:dyDescent="0.25">
      <c r="A977" s="2">
        <v>55</v>
      </c>
      <c r="B977" s="2" t="s">
        <v>35</v>
      </c>
      <c r="C977" s="2" t="s">
        <v>36</v>
      </c>
      <c r="D977" s="2">
        <v>267</v>
      </c>
      <c r="E977" s="2" t="s">
        <v>37</v>
      </c>
      <c r="F977" s="2">
        <v>13</v>
      </c>
      <c r="G977" s="2">
        <v>4</v>
      </c>
      <c r="H977" s="2" t="s">
        <v>59</v>
      </c>
      <c r="I977" s="2">
        <v>1</v>
      </c>
      <c r="J977" s="2">
        <v>1372</v>
      </c>
      <c r="K977" s="2">
        <v>1</v>
      </c>
      <c r="L977" s="2" t="s">
        <v>46</v>
      </c>
      <c r="M977" s="2">
        <v>85</v>
      </c>
      <c r="N977" s="2">
        <v>4</v>
      </c>
      <c r="O977" s="2">
        <v>4</v>
      </c>
      <c r="P977" s="2" t="s">
        <v>40</v>
      </c>
      <c r="Q977" s="2">
        <v>3</v>
      </c>
      <c r="R977" s="2" t="s">
        <v>41</v>
      </c>
      <c r="S977" s="2">
        <v>13695</v>
      </c>
      <c r="T977" s="2">
        <v>9277</v>
      </c>
      <c r="U977" s="2">
        <v>6</v>
      </c>
      <c r="V977" s="2" t="s">
        <v>42</v>
      </c>
      <c r="W977" s="2" t="s">
        <v>35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</row>
    <row r="978" spans="1:35" x14ac:dyDescent="0.25">
      <c r="A978" s="2">
        <v>56</v>
      </c>
      <c r="B978" s="2" t="s">
        <v>43</v>
      </c>
      <c r="C978" s="2" t="s">
        <v>36</v>
      </c>
      <c r="D978" s="2">
        <v>1369</v>
      </c>
      <c r="E978" s="2" t="s">
        <v>45</v>
      </c>
      <c r="F978" s="2">
        <v>23</v>
      </c>
      <c r="G978" s="2">
        <v>3</v>
      </c>
      <c r="H978" s="2" t="s">
        <v>38</v>
      </c>
      <c r="I978" s="2">
        <v>1</v>
      </c>
      <c r="J978" s="2">
        <v>1373</v>
      </c>
      <c r="K978" s="2">
        <v>4</v>
      </c>
      <c r="L978" s="2" t="s">
        <v>46</v>
      </c>
      <c r="M978" s="2">
        <v>68</v>
      </c>
      <c r="N978" s="2">
        <v>3</v>
      </c>
      <c r="O978" s="2">
        <v>4</v>
      </c>
      <c r="P978" s="2" t="s">
        <v>53</v>
      </c>
      <c r="Q978" s="2">
        <v>2</v>
      </c>
      <c r="R978" s="2" t="s">
        <v>48</v>
      </c>
      <c r="S978" s="2">
        <v>13402</v>
      </c>
      <c r="T978" s="2">
        <v>18235</v>
      </c>
      <c r="U978" s="2">
        <v>4</v>
      </c>
      <c r="V978" s="2" t="s">
        <v>42</v>
      </c>
      <c r="W978" s="2" t="s">
        <v>35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</row>
    <row r="979" spans="1:35" x14ac:dyDescent="0.25">
      <c r="A979" s="2">
        <v>34</v>
      </c>
      <c r="B979" s="2" t="s">
        <v>43</v>
      </c>
      <c r="C979" s="2" t="s">
        <v>55</v>
      </c>
      <c r="D979" s="2">
        <v>999</v>
      </c>
      <c r="E979" s="2" t="s">
        <v>45</v>
      </c>
      <c r="F979" s="2">
        <v>26</v>
      </c>
      <c r="G979" s="2">
        <v>1</v>
      </c>
      <c r="H979" s="2" t="s">
        <v>60</v>
      </c>
      <c r="I979" s="2">
        <v>1</v>
      </c>
      <c r="J979" s="2">
        <v>1374</v>
      </c>
      <c r="K979" s="2">
        <v>1</v>
      </c>
      <c r="L979" s="2" t="s">
        <v>39</v>
      </c>
      <c r="M979" s="2">
        <v>92</v>
      </c>
      <c r="N979" s="2">
        <v>2</v>
      </c>
      <c r="O979" s="2">
        <v>1</v>
      </c>
      <c r="P979" s="2" t="s">
        <v>47</v>
      </c>
      <c r="Q979" s="2">
        <v>3</v>
      </c>
      <c r="R979" s="2" t="s">
        <v>52</v>
      </c>
      <c r="S979" s="2">
        <v>2029</v>
      </c>
      <c r="T979" s="2">
        <v>15891</v>
      </c>
      <c r="U979" s="2">
        <v>1</v>
      </c>
      <c r="V979" s="2" t="s">
        <v>42</v>
      </c>
      <c r="W979" s="2" t="s">
        <v>43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</row>
    <row r="980" spans="1:35" x14ac:dyDescent="0.25">
      <c r="A980" s="2">
        <v>40</v>
      </c>
      <c r="B980" s="2" t="s">
        <v>43</v>
      </c>
      <c r="C980" s="2" t="s">
        <v>36</v>
      </c>
      <c r="D980" s="2">
        <v>1202</v>
      </c>
      <c r="E980" s="2" t="s">
        <v>45</v>
      </c>
      <c r="F980" s="2">
        <v>2</v>
      </c>
      <c r="G980" s="2">
        <v>1</v>
      </c>
      <c r="H980" s="2" t="s">
        <v>51</v>
      </c>
      <c r="I980" s="2">
        <v>1</v>
      </c>
      <c r="J980" s="2">
        <v>1375</v>
      </c>
      <c r="K980" s="2">
        <v>2</v>
      </c>
      <c r="L980" s="2" t="s">
        <v>39</v>
      </c>
      <c r="M980" s="2">
        <v>89</v>
      </c>
      <c r="N980" s="2">
        <v>4</v>
      </c>
      <c r="O980" s="2">
        <v>2</v>
      </c>
      <c r="P980" s="2" t="s">
        <v>54</v>
      </c>
      <c r="Q980" s="2">
        <v>3</v>
      </c>
      <c r="R980" s="2" t="s">
        <v>52</v>
      </c>
      <c r="S980" s="2">
        <v>6377</v>
      </c>
      <c r="T980" s="2">
        <v>13888</v>
      </c>
      <c r="U980" s="2">
        <v>5</v>
      </c>
      <c r="V980" s="2" t="s">
        <v>42</v>
      </c>
      <c r="W980" s="2" t="s">
        <v>43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</row>
    <row r="981" spans="1:35" x14ac:dyDescent="0.25">
      <c r="A981" s="2">
        <v>34</v>
      </c>
      <c r="B981" s="2" t="s">
        <v>43</v>
      </c>
      <c r="C981" s="2" t="s">
        <v>36</v>
      </c>
      <c r="D981" s="2">
        <v>285</v>
      </c>
      <c r="E981" s="2" t="s">
        <v>45</v>
      </c>
      <c r="F981" s="2">
        <v>29</v>
      </c>
      <c r="G981" s="2">
        <v>3</v>
      </c>
      <c r="H981" s="2" t="s">
        <v>51</v>
      </c>
      <c r="I981" s="2">
        <v>1</v>
      </c>
      <c r="J981" s="2">
        <v>1377</v>
      </c>
      <c r="K981" s="2">
        <v>2</v>
      </c>
      <c r="L981" s="2" t="s">
        <v>46</v>
      </c>
      <c r="M981" s="2">
        <v>86</v>
      </c>
      <c r="N981" s="2">
        <v>3</v>
      </c>
      <c r="O981" s="2">
        <v>2</v>
      </c>
      <c r="P981" s="2" t="s">
        <v>50</v>
      </c>
      <c r="Q981" s="2">
        <v>3</v>
      </c>
      <c r="R981" s="2" t="s">
        <v>48</v>
      </c>
      <c r="S981" s="2">
        <v>5429</v>
      </c>
      <c r="T981" s="2">
        <v>17491</v>
      </c>
      <c r="U981" s="2">
        <v>4</v>
      </c>
      <c r="V981" s="2" t="s">
        <v>42</v>
      </c>
      <c r="W981" s="2" t="s">
        <v>43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</row>
    <row r="982" spans="1:35" x14ac:dyDescent="0.25">
      <c r="A982" s="2">
        <v>31</v>
      </c>
      <c r="B982" s="2" t="s">
        <v>35</v>
      </c>
      <c r="C982" s="2" t="s">
        <v>44</v>
      </c>
      <c r="D982" s="2">
        <v>703</v>
      </c>
      <c r="E982" s="2" t="s">
        <v>37</v>
      </c>
      <c r="F982" s="2">
        <v>2</v>
      </c>
      <c r="G982" s="2">
        <v>3</v>
      </c>
      <c r="H982" s="2" t="s">
        <v>38</v>
      </c>
      <c r="I982" s="2">
        <v>1</v>
      </c>
      <c r="J982" s="2">
        <v>1379</v>
      </c>
      <c r="K982" s="2">
        <v>3</v>
      </c>
      <c r="L982" s="2" t="s">
        <v>39</v>
      </c>
      <c r="M982" s="2">
        <v>90</v>
      </c>
      <c r="N982" s="2">
        <v>2</v>
      </c>
      <c r="O982" s="2">
        <v>1</v>
      </c>
      <c r="P982" s="2" t="s">
        <v>57</v>
      </c>
      <c r="Q982" s="2">
        <v>4</v>
      </c>
      <c r="R982" s="2" t="s">
        <v>41</v>
      </c>
      <c r="S982" s="2">
        <v>2785</v>
      </c>
      <c r="T982" s="2">
        <v>11882</v>
      </c>
      <c r="U982" s="2">
        <v>7</v>
      </c>
      <c r="V982" s="2" t="s">
        <v>42</v>
      </c>
      <c r="W982" s="2" t="s">
        <v>43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</row>
    <row r="983" spans="1:35" x14ac:dyDescent="0.25">
      <c r="A983" s="2">
        <v>35</v>
      </c>
      <c r="B983" s="2" t="s">
        <v>35</v>
      </c>
      <c r="C983" s="2" t="s">
        <v>44</v>
      </c>
      <c r="D983" s="2">
        <v>662</v>
      </c>
      <c r="E983" s="2" t="s">
        <v>37</v>
      </c>
      <c r="F983" s="2">
        <v>18</v>
      </c>
      <c r="G983" s="2">
        <v>4</v>
      </c>
      <c r="H983" s="2" t="s">
        <v>59</v>
      </c>
      <c r="I983" s="2">
        <v>1</v>
      </c>
      <c r="J983" s="2">
        <v>1380</v>
      </c>
      <c r="K983" s="2">
        <v>4</v>
      </c>
      <c r="L983" s="2" t="s">
        <v>39</v>
      </c>
      <c r="M983" s="2">
        <v>67</v>
      </c>
      <c r="N983" s="2">
        <v>3</v>
      </c>
      <c r="O983" s="2">
        <v>2</v>
      </c>
      <c r="P983" s="2" t="s">
        <v>40</v>
      </c>
      <c r="Q983" s="2">
        <v>3</v>
      </c>
      <c r="R983" s="2" t="s">
        <v>48</v>
      </c>
      <c r="S983" s="2">
        <v>4614</v>
      </c>
      <c r="T983" s="2">
        <v>23288</v>
      </c>
      <c r="U983" s="2">
        <v>0</v>
      </c>
      <c r="V983" s="2" t="s">
        <v>42</v>
      </c>
      <c r="W983" s="2" t="s">
        <v>35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</row>
    <row r="984" spans="1:35" x14ac:dyDescent="0.25">
      <c r="A984" s="2">
        <v>38</v>
      </c>
      <c r="B984" s="2" t="s">
        <v>43</v>
      </c>
      <c r="C984" s="2" t="s">
        <v>44</v>
      </c>
      <c r="D984" s="2">
        <v>693</v>
      </c>
      <c r="E984" s="2" t="s">
        <v>45</v>
      </c>
      <c r="F984" s="2">
        <v>7</v>
      </c>
      <c r="G984" s="2">
        <v>3</v>
      </c>
      <c r="H984" s="2" t="s">
        <v>38</v>
      </c>
      <c r="I984" s="2">
        <v>1</v>
      </c>
      <c r="J984" s="2">
        <v>1382</v>
      </c>
      <c r="K984" s="2">
        <v>4</v>
      </c>
      <c r="L984" s="2" t="s">
        <v>46</v>
      </c>
      <c r="M984" s="2">
        <v>57</v>
      </c>
      <c r="N984" s="2">
        <v>4</v>
      </c>
      <c r="O984" s="2">
        <v>1</v>
      </c>
      <c r="P984" s="2" t="s">
        <v>47</v>
      </c>
      <c r="Q984" s="2">
        <v>3</v>
      </c>
      <c r="R984" s="2" t="s">
        <v>52</v>
      </c>
      <c r="S984" s="2">
        <v>2610</v>
      </c>
      <c r="T984" s="2">
        <v>15748</v>
      </c>
      <c r="U984" s="2">
        <v>1</v>
      </c>
      <c r="V984" s="2" t="s">
        <v>42</v>
      </c>
      <c r="W984" s="2" t="s">
        <v>43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</row>
    <row r="985" spans="1:35" x14ac:dyDescent="0.25">
      <c r="A985" s="2">
        <v>34</v>
      </c>
      <c r="B985" s="2" t="s">
        <v>43</v>
      </c>
      <c r="C985" s="2" t="s">
        <v>36</v>
      </c>
      <c r="D985" s="2">
        <v>404</v>
      </c>
      <c r="E985" s="2" t="s">
        <v>45</v>
      </c>
      <c r="F985" s="2">
        <v>2</v>
      </c>
      <c r="G985" s="2">
        <v>4</v>
      </c>
      <c r="H985" s="2" t="s">
        <v>60</v>
      </c>
      <c r="I985" s="2">
        <v>1</v>
      </c>
      <c r="J985" s="2">
        <v>1383</v>
      </c>
      <c r="K985" s="2">
        <v>3</v>
      </c>
      <c r="L985" s="2" t="s">
        <v>39</v>
      </c>
      <c r="M985" s="2">
        <v>98</v>
      </c>
      <c r="N985" s="2">
        <v>3</v>
      </c>
      <c r="O985" s="2">
        <v>2</v>
      </c>
      <c r="P985" s="2" t="s">
        <v>54</v>
      </c>
      <c r="Q985" s="2">
        <v>4</v>
      </c>
      <c r="R985" s="2" t="s">
        <v>41</v>
      </c>
      <c r="S985" s="2">
        <v>6687</v>
      </c>
      <c r="T985" s="2">
        <v>6163</v>
      </c>
      <c r="U985" s="2">
        <v>1</v>
      </c>
      <c r="V985" s="2" t="s">
        <v>42</v>
      </c>
      <c r="W985" s="2" t="s">
        <v>43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</row>
    <row r="986" spans="1:35" x14ac:dyDescent="0.25">
      <c r="A986" s="2">
        <v>28</v>
      </c>
      <c r="B986" s="2" t="s">
        <v>43</v>
      </c>
      <c r="C986" s="2" t="s">
        <v>36</v>
      </c>
      <c r="D986" s="2">
        <v>736</v>
      </c>
      <c r="E986" s="2" t="s">
        <v>37</v>
      </c>
      <c r="F986" s="2">
        <v>26</v>
      </c>
      <c r="G986" s="2">
        <v>3</v>
      </c>
      <c r="H986" s="2" t="s">
        <v>38</v>
      </c>
      <c r="I986" s="2">
        <v>1</v>
      </c>
      <c r="J986" s="2">
        <v>1387</v>
      </c>
      <c r="K986" s="2">
        <v>3</v>
      </c>
      <c r="L986" s="2" t="s">
        <v>46</v>
      </c>
      <c r="M986" s="2">
        <v>48</v>
      </c>
      <c r="N986" s="2">
        <v>2</v>
      </c>
      <c r="O986" s="2">
        <v>2</v>
      </c>
      <c r="P986" s="2" t="s">
        <v>40</v>
      </c>
      <c r="Q986" s="2">
        <v>1</v>
      </c>
      <c r="R986" s="2" t="s">
        <v>48</v>
      </c>
      <c r="S986" s="2">
        <v>4724</v>
      </c>
      <c r="T986" s="2">
        <v>24232</v>
      </c>
      <c r="U986" s="2">
        <v>1</v>
      </c>
      <c r="V986" s="2" t="s">
        <v>42</v>
      </c>
      <c r="W986" s="2" t="s">
        <v>43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</row>
    <row r="987" spans="1:35" x14ac:dyDescent="0.25">
      <c r="A987" s="2">
        <v>31</v>
      </c>
      <c r="B987" s="2" t="s">
        <v>35</v>
      </c>
      <c r="C987" s="2" t="s">
        <v>36</v>
      </c>
      <c r="D987" s="2">
        <v>330</v>
      </c>
      <c r="E987" s="2" t="s">
        <v>45</v>
      </c>
      <c r="F987" s="2">
        <v>22</v>
      </c>
      <c r="G987" s="2">
        <v>4</v>
      </c>
      <c r="H987" s="2" t="s">
        <v>51</v>
      </c>
      <c r="I987" s="2">
        <v>1</v>
      </c>
      <c r="J987" s="2">
        <v>1389</v>
      </c>
      <c r="K987" s="2">
        <v>4</v>
      </c>
      <c r="L987" s="2" t="s">
        <v>46</v>
      </c>
      <c r="M987" s="2">
        <v>98</v>
      </c>
      <c r="N987" s="2">
        <v>3</v>
      </c>
      <c r="O987" s="2">
        <v>2</v>
      </c>
      <c r="P987" s="2" t="s">
        <v>53</v>
      </c>
      <c r="Q987" s="2">
        <v>3</v>
      </c>
      <c r="R987" s="2" t="s">
        <v>48</v>
      </c>
      <c r="S987" s="2">
        <v>6179</v>
      </c>
      <c r="T987" s="2">
        <v>21057</v>
      </c>
      <c r="U987" s="2">
        <v>1</v>
      </c>
      <c r="V987" s="2" t="s">
        <v>42</v>
      </c>
      <c r="W987" s="2" t="s">
        <v>35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</row>
    <row r="988" spans="1:35" x14ac:dyDescent="0.25">
      <c r="A988" s="2">
        <v>39</v>
      </c>
      <c r="B988" s="2" t="s">
        <v>43</v>
      </c>
      <c r="C988" s="2" t="s">
        <v>36</v>
      </c>
      <c r="D988" s="2">
        <v>1498</v>
      </c>
      <c r="E988" s="2" t="s">
        <v>37</v>
      </c>
      <c r="F988" s="2">
        <v>21</v>
      </c>
      <c r="G988" s="2">
        <v>4</v>
      </c>
      <c r="H988" s="2" t="s">
        <v>38</v>
      </c>
      <c r="I988" s="2">
        <v>1</v>
      </c>
      <c r="J988" s="2">
        <v>1390</v>
      </c>
      <c r="K988" s="2">
        <v>1</v>
      </c>
      <c r="L988" s="2" t="s">
        <v>46</v>
      </c>
      <c r="M988" s="2">
        <v>44</v>
      </c>
      <c r="N988" s="2">
        <v>2</v>
      </c>
      <c r="O988" s="2">
        <v>2</v>
      </c>
      <c r="P988" s="2" t="s">
        <v>40</v>
      </c>
      <c r="Q988" s="2">
        <v>4</v>
      </c>
      <c r="R988" s="2" t="s">
        <v>48</v>
      </c>
      <c r="S988" s="2">
        <v>6120</v>
      </c>
      <c r="T988" s="2">
        <v>3567</v>
      </c>
      <c r="U988" s="2">
        <v>3</v>
      </c>
      <c r="V988" s="2" t="s">
        <v>42</v>
      </c>
      <c r="W988" s="2" t="s">
        <v>35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</row>
    <row r="989" spans="1:35" x14ac:dyDescent="0.25">
      <c r="A989" s="2">
        <v>51</v>
      </c>
      <c r="B989" s="2" t="s">
        <v>43</v>
      </c>
      <c r="C989" s="2" t="s">
        <v>44</v>
      </c>
      <c r="D989" s="2">
        <v>541</v>
      </c>
      <c r="E989" s="2" t="s">
        <v>37</v>
      </c>
      <c r="F989" s="2">
        <v>2</v>
      </c>
      <c r="G989" s="2">
        <v>3</v>
      </c>
      <c r="H989" s="2" t="s">
        <v>59</v>
      </c>
      <c r="I989" s="2">
        <v>1</v>
      </c>
      <c r="J989" s="2">
        <v>1391</v>
      </c>
      <c r="K989" s="2">
        <v>2</v>
      </c>
      <c r="L989" s="2" t="s">
        <v>46</v>
      </c>
      <c r="M989" s="2">
        <v>52</v>
      </c>
      <c r="N989" s="2">
        <v>3</v>
      </c>
      <c r="O989" s="2">
        <v>3</v>
      </c>
      <c r="P989" s="2" t="s">
        <v>40</v>
      </c>
      <c r="Q989" s="2">
        <v>2</v>
      </c>
      <c r="R989" s="2" t="s">
        <v>48</v>
      </c>
      <c r="S989" s="2">
        <v>10596</v>
      </c>
      <c r="T989" s="2">
        <v>15395</v>
      </c>
      <c r="U989" s="2">
        <v>2</v>
      </c>
      <c r="V989" s="2" t="s">
        <v>42</v>
      </c>
      <c r="W989" s="2" t="s">
        <v>43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</row>
    <row r="990" spans="1:35" x14ac:dyDescent="0.25">
      <c r="A990" s="2">
        <v>41</v>
      </c>
      <c r="B990" s="2" t="s">
        <v>43</v>
      </c>
      <c r="C990" s="2" t="s">
        <v>44</v>
      </c>
      <c r="D990" s="2">
        <v>1200</v>
      </c>
      <c r="E990" s="2" t="s">
        <v>45</v>
      </c>
      <c r="F990" s="2">
        <v>22</v>
      </c>
      <c r="G990" s="2">
        <v>3</v>
      </c>
      <c r="H990" s="2" t="s">
        <v>38</v>
      </c>
      <c r="I990" s="2">
        <v>1</v>
      </c>
      <c r="J990" s="2">
        <v>1392</v>
      </c>
      <c r="K990" s="2">
        <v>4</v>
      </c>
      <c r="L990" s="2" t="s">
        <v>39</v>
      </c>
      <c r="M990" s="2">
        <v>75</v>
      </c>
      <c r="N990" s="2">
        <v>3</v>
      </c>
      <c r="O990" s="2">
        <v>2</v>
      </c>
      <c r="P990" s="2" t="s">
        <v>47</v>
      </c>
      <c r="Q990" s="2">
        <v>4</v>
      </c>
      <c r="R990" s="2" t="s">
        <v>52</v>
      </c>
      <c r="S990" s="2">
        <v>5467</v>
      </c>
      <c r="T990" s="2">
        <v>13953</v>
      </c>
      <c r="U990" s="2">
        <v>3</v>
      </c>
      <c r="V990" s="2" t="s">
        <v>42</v>
      </c>
      <c r="W990" s="2" t="s">
        <v>35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</row>
    <row r="991" spans="1:35" x14ac:dyDescent="0.25">
      <c r="A991" s="2">
        <v>37</v>
      </c>
      <c r="B991" s="2" t="s">
        <v>43</v>
      </c>
      <c r="C991" s="2" t="s">
        <v>36</v>
      </c>
      <c r="D991" s="2">
        <v>1439</v>
      </c>
      <c r="E991" s="2" t="s">
        <v>45</v>
      </c>
      <c r="F991" s="2">
        <v>4</v>
      </c>
      <c r="G991" s="2">
        <v>1</v>
      </c>
      <c r="H991" s="2" t="s">
        <v>38</v>
      </c>
      <c r="I991" s="2">
        <v>1</v>
      </c>
      <c r="J991" s="2">
        <v>1394</v>
      </c>
      <c r="K991" s="2">
        <v>3</v>
      </c>
      <c r="L991" s="2" t="s">
        <v>46</v>
      </c>
      <c r="M991" s="2">
        <v>54</v>
      </c>
      <c r="N991" s="2">
        <v>3</v>
      </c>
      <c r="O991" s="2">
        <v>1</v>
      </c>
      <c r="P991" s="2" t="s">
        <v>47</v>
      </c>
      <c r="Q991" s="2">
        <v>3</v>
      </c>
      <c r="R991" s="2" t="s">
        <v>48</v>
      </c>
      <c r="S991" s="2">
        <v>2996</v>
      </c>
      <c r="T991" s="2">
        <v>5182</v>
      </c>
      <c r="U991" s="2">
        <v>7</v>
      </c>
      <c r="V991" s="2" t="s">
        <v>42</v>
      </c>
      <c r="W991" s="2" t="s">
        <v>35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</row>
    <row r="992" spans="1:35" x14ac:dyDescent="0.25">
      <c r="A992" s="2">
        <v>33</v>
      </c>
      <c r="B992" s="2" t="s">
        <v>43</v>
      </c>
      <c r="C992" s="2" t="s">
        <v>44</v>
      </c>
      <c r="D992" s="2">
        <v>1111</v>
      </c>
      <c r="E992" s="2" t="s">
        <v>37</v>
      </c>
      <c r="F992" s="2">
        <v>5</v>
      </c>
      <c r="G992" s="2">
        <v>1</v>
      </c>
      <c r="H992" s="2" t="s">
        <v>38</v>
      </c>
      <c r="I992" s="2">
        <v>1</v>
      </c>
      <c r="J992" s="2">
        <v>1395</v>
      </c>
      <c r="K992" s="2">
        <v>2</v>
      </c>
      <c r="L992" s="2" t="s">
        <v>46</v>
      </c>
      <c r="M992" s="2">
        <v>61</v>
      </c>
      <c r="N992" s="2">
        <v>3</v>
      </c>
      <c r="O992" s="2">
        <v>2</v>
      </c>
      <c r="P992" s="2" t="s">
        <v>40</v>
      </c>
      <c r="Q992" s="2">
        <v>4</v>
      </c>
      <c r="R992" s="2" t="s">
        <v>48</v>
      </c>
      <c r="S992" s="2">
        <v>9998</v>
      </c>
      <c r="T992" s="2">
        <v>19293</v>
      </c>
      <c r="U992" s="2">
        <v>6</v>
      </c>
      <c r="V992" s="2" t="s">
        <v>42</v>
      </c>
      <c r="W992" s="2" t="s">
        <v>43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</row>
    <row r="993" spans="1:35" x14ac:dyDescent="0.25">
      <c r="A993" s="2">
        <v>32</v>
      </c>
      <c r="B993" s="2" t="s">
        <v>43</v>
      </c>
      <c r="C993" s="2" t="s">
        <v>36</v>
      </c>
      <c r="D993" s="2">
        <v>499</v>
      </c>
      <c r="E993" s="2" t="s">
        <v>37</v>
      </c>
      <c r="F993" s="2">
        <v>2</v>
      </c>
      <c r="G993" s="2">
        <v>1</v>
      </c>
      <c r="H993" s="2" t="s">
        <v>59</v>
      </c>
      <c r="I993" s="2">
        <v>1</v>
      </c>
      <c r="J993" s="2">
        <v>1396</v>
      </c>
      <c r="K993" s="2">
        <v>3</v>
      </c>
      <c r="L993" s="2" t="s">
        <v>46</v>
      </c>
      <c r="M993" s="2">
        <v>36</v>
      </c>
      <c r="N993" s="2">
        <v>3</v>
      </c>
      <c r="O993" s="2">
        <v>2</v>
      </c>
      <c r="P993" s="2" t="s">
        <v>40</v>
      </c>
      <c r="Q993" s="2">
        <v>2</v>
      </c>
      <c r="R993" s="2" t="s">
        <v>48</v>
      </c>
      <c r="S993" s="2">
        <v>4078</v>
      </c>
      <c r="T993" s="2">
        <v>20497</v>
      </c>
      <c r="U993" s="2">
        <v>0</v>
      </c>
      <c r="V993" s="2" t="s">
        <v>42</v>
      </c>
      <c r="W993" s="2" t="s">
        <v>35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</row>
    <row r="994" spans="1:35" x14ac:dyDescent="0.25">
      <c r="A994" s="2">
        <v>39</v>
      </c>
      <c r="B994" s="2" t="s">
        <v>43</v>
      </c>
      <c r="C994" s="2" t="s">
        <v>55</v>
      </c>
      <c r="D994" s="2">
        <v>1485</v>
      </c>
      <c r="E994" s="2" t="s">
        <v>45</v>
      </c>
      <c r="F994" s="2">
        <v>25</v>
      </c>
      <c r="G994" s="2">
        <v>2</v>
      </c>
      <c r="H994" s="2" t="s">
        <v>38</v>
      </c>
      <c r="I994" s="2">
        <v>1</v>
      </c>
      <c r="J994" s="2">
        <v>1397</v>
      </c>
      <c r="K994" s="2">
        <v>3</v>
      </c>
      <c r="L994" s="2" t="s">
        <v>46</v>
      </c>
      <c r="M994" s="2">
        <v>71</v>
      </c>
      <c r="N994" s="2">
        <v>3</v>
      </c>
      <c r="O994" s="2">
        <v>3</v>
      </c>
      <c r="P994" s="2" t="s">
        <v>54</v>
      </c>
      <c r="Q994" s="2">
        <v>3</v>
      </c>
      <c r="R994" s="2" t="s">
        <v>48</v>
      </c>
      <c r="S994" s="2">
        <v>10920</v>
      </c>
      <c r="T994" s="2">
        <v>3449</v>
      </c>
      <c r="U994" s="2">
        <v>3</v>
      </c>
      <c r="V994" s="2" t="s">
        <v>42</v>
      </c>
      <c r="W994" s="2" t="s">
        <v>43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</row>
    <row r="995" spans="1:35" x14ac:dyDescent="0.25">
      <c r="A995" s="2">
        <v>25</v>
      </c>
      <c r="B995" s="2" t="s">
        <v>43</v>
      </c>
      <c r="C995" s="2" t="s">
        <v>36</v>
      </c>
      <c r="D995" s="2">
        <v>1372</v>
      </c>
      <c r="E995" s="2" t="s">
        <v>37</v>
      </c>
      <c r="F995" s="2">
        <v>18</v>
      </c>
      <c r="G995" s="2">
        <v>1</v>
      </c>
      <c r="H995" s="2" t="s">
        <v>38</v>
      </c>
      <c r="I995" s="2">
        <v>1</v>
      </c>
      <c r="J995" s="2">
        <v>1399</v>
      </c>
      <c r="K995" s="2">
        <v>1</v>
      </c>
      <c r="L995" s="2" t="s">
        <v>46</v>
      </c>
      <c r="M995" s="2">
        <v>93</v>
      </c>
      <c r="N995" s="2">
        <v>4</v>
      </c>
      <c r="O995" s="2">
        <v>2</v>
      </c>
      <c r="P995" s="2" t="s">
        <v>40</v>
      </c>
      <c r="Q995" s="2">
        <v>3</v>
      </c>
      <c r="R995" s="2" t="s">
        <v>48</v>
      </c>
      <c r="S995" s="2">
        <v>6232</v>
      </c>
      <c r="T995" s="2">
        <v>12477</v>
      </c>
      <c r="U995" s="2">
        <v>2</v>
      </c>
      <c r="V995" s="2" t="s">
        <v>42</v>
      </c>
      <c r="W995" s="2" t="s">
        <v>43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</row>
    <row r="996" spans="1:35" x14ac:dyDescent="0.25">
      <c r="A996" s="2">
        <v>52</v>
      </c>
      <c r="B996" s="2" t="s">
        <v>43</v>
      </c>
      <c r="C996" s="2" t="s">
        <v>44</v>
      </c>
      <c r="D996" s="2">
        <v>322</v>
      </c>
      <c r="E996" s="2" t="s">
        <v>45</v>
      </c>
      <c r="F996" s="2">
        <v>28</v>
      </c>
      <c r="G996" s="2">
        <v>2</v>
      </c>
      <c r="H996" s="2" t="s">
        <v>51</v>
      </c>
      <c r="I996" s="2">
        <v>1</v>
      </c>
      <c r="J996" s="2">
        <v>1401</v>
      </c>
      <c r="K996" s="2">
        <v>4</v>
      </c>
      <c r="L996" s="2" t="s">
        <v>39</v>
      </c>
      <c r="M996" s="2">
        <v>59</v>
      </c>
      <c r="N996" s="2">
        <v>4</v>
      </c>
      <c r="O996" s="2">
        <v>4</v>
      </c>
      <c r="P996" s="2" t="s">
        <v>53</v>
      </c>
      <c r="Q996" s="2">
        <v>3</v>
      </c>
      <c r="R996" s="2" t="s">
        <v>48</v>
      </c>
      <c r="S996" s="2">
        <v>13247</v>
      </c>
      <c r="T996" s="2">
        <v>9731</v>
      </c>
      <c r="U996" s="2">
        <v>2</v>
      </c>
      <c r="V996" s="2" t="s">
        <v>42</v>
      </c>
      <c r="W996" s="2" t="s">
        <v>35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</row>
    <row r="997" spans="1:35" x14ac:dyDescent="0.25">
      <c r="A997" s="2">
        <v>43</v>
      </c>
      <c r="B997" s="2" t="s">
        <v>43</v>
      </c>
      <c r="C997" s="2" t="s">
        <v>36</v>
      </c>
      <c r="D997" s="2">
        <v>930</v>
      </c>
      <c r="E997" s="2" t="s">
        <v>45</v>
      </c>
      <c r="F997" s="2">
        <v>6</v>
      </c>
      <c r="G997" s="2">
        <v>3</v>
      </c>
      <c r="H997" s="2" t="s">
        <v>51</v>
      </c>
      <c r="I997" s="2">
        <v>1</v>
      </c>
      <c r="J997" s="2">
        <v>1402</v>
      </c>
      <c r="K997" s="2">
        <v>1</v>
      </c>
      <c r="L997" s="2" t="s">
        <v>39</v>
      </c>
      <c r="M997" s="2">
        <v>73</v>
      </c>
      <c r="N997" s="2">
        <v>2</v>
      </c>
      <c r="O997" s="2">
        <v>2</v>
      </c>
      <c r="P997" s="2" t="s">
        <v>47</v>
      </c>
      <c r="Q997" s="2">
        <v>3</v>
      </c>
      <c r="R997" s="2" t="s">
        <v>41</v>
      </c>
      <c r="S997" s="2">
        <v>4081</v>
      </c>
      <c r="T997" s="2">
        <v>20003</v>
      </c>
      <c r="U997" s="2">
        <v>1</v>
      </c>
      <c r="V997" s="2" t="s">
        <v>42</v>
      </c>
      <c r="W997" s="2" t="s">
        <v>35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</row>
    <row r="998" spans="1:35" x14ac:dyDescent="0.25">
      <c r="A998" s="2">
        <v>27</v>
      </c>
      <c r="B998" s="2" t="s">
        <v>43</v>
      </c>
      <c r="C998" s="2" t="s">
        <v>36</v>
      </c>
      <c r="D998" s="2">
        <v>205</v>
      </c>
      <c r="E998" s="2" t="s">
        <v>37</v>
      </c>
      <c r="F998" s="2">
        <v>10</v>
      </c>
      <c r="G998" s="2">
        <v>3</v>
      </c>
      <c r="H998" s="2" t="s">
        <v>59</v>
      </c>
      <c r="I998" s="2">
        <v>1</v>
      </c>
      <c r="J998" s="2">
        <v>1403</v>
      </c>
      <c r="K998" s="2">
        <v>4</v>
      </c>
      <c r="L998" s="2" t="s">
        <v>39</v>
      </c>
      <c r="M998" s="2">
        <v>98</v>
      </c>
      <c r="N998" s="2">
        <v>2</v>
      </c>
      <c r="O998" s="2">
        <v>2</v>
      </c>
      <c r="P998" s="2" t="s">
        <v>40</v>
      </c>
      <c r="Q998" s="2">
        <v>4</v>
      </c>
      <c r="R998" s="2" t="s">
        <v>48</v>
      </c>
      <c r="S998" s="2">
        <v>5769</v>
      </c>
      <c r="T998" s="2">
        <v>7100</v>
      </c>
      <c r="U998" s="2">
        <v>1</v>
      </c>
      <c r="V998" s="2" t="s">
        <v>42</v>
      </c>
      <c r="W998" s="2" t="s">
        <v>35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</row>
    <row r="999" spans="1:35" x14ac:dyDescent="0.25">
      <c r="A999" s="2">
        <v>27</v>
      </c>
      <c r="B999" s="2" t="s">
        <v>35</v>
      </c>
      <c r="C999" s="2" t="s">
        <v>36</v>
      </c>
      <c r="D999" s="2">
        <v>135</v>
      </c>
      <c r="E999" s="2" t="s">
        <v>45</v>
      </c>
      <c r="F999" s="2">
        <v>17</v>
      </c>
      <c r="G999" s="2">
        <v>4</v>
      </c>
      <c r="H999" s="2" t="s">
        <v>38</v>
      </c>
      <c r="I999" s="2">
        <v>1</v>
      </c>
      <c r="J999" s="2">
        <v>1405</v>
      </c>
      <c r="K999" s="2">
        <v>4</v>
      </c>
      <c r="L999" s="2" t="s">
        <v>39</v>
      </c>
      <c r="M999" s="2">
        <v>51</v>
      </c>
      <c r="N999" s="2">
        <v>3</v>
      </c>
      <c r="O999" s="2">
        <v>1</v>
      </c>
      <c r="P999" s="2" t="s">
        <v>47</v>
      </c>
      <c r="Q999" s="2">
        <v>3</v>
      </c>
      <c r="R999" s="2" t="s">
        <v>41</v>
      </c>
      <c r="S999" s="2">
        <v>2394</v>
      </c>
      <c r="T999" s="2">
        <v>25681</v>
      </c>
      <c r="U999" s="2">
        <v>1</v>
      </c>
      <c r="V999" s="2" t="s">
        <v>42</v>
      </c>
      <c r="W999" s="2" t="s">
        <v>35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</row>
    <row r="1000" spans="1:35" x14ac:dyDescent="0.25">
      <c r="A1000" s="2">
        <v>26</v>
      </c>
      <c r="B1000" s="2" t="s">
        <v>43</v>
      </c>
      <c r="C1000" s="2" t="s">
        <v>36</v>
      </c>
      <c r="D1000" s="2">
        <v>683</v>
      </c>
      <c r="E1000" s="2" t="s">
        <v>45</v>
      </c>
      <c r="F1000" s="2">
        <v>2</v>
      </c>
      <c r="G1000" s="2">
        <v>1</v>
      </c>
      <c r="H1000" s="2" t="s">
        <v>51</v>
      </c>
      <c r="I1000" s="2">
        <v>1</v>
      </c>
      <c r="J1000" s="2">
        <v>1407</v>
      </c>
      <c r="K1000" s="2">
        <v>1</v>
      </c>
      <c r="L1000" s="2" t="s">
        <v>46</v>
      </c>
      <c r="M1000" s="2">
        <v>36</v>
      </c>
      <c r="N1000" s="2">
        <v>2</v>
      </c>
      <c r="O1000" s="2">
        <v>1</v>
      </c>
      <c r="P1000" s="2" t="s">
        <v>47</v>
      </c>
      <c r="Q1000" s="2">
        <v>4</v>
      </c>
      <c r="R1000" s="2" t="s">
        <v>41</v>
      </c>
      <c r="S1000" s="2">
        <v>3904</v>
      </c>
      <c r="T1000" s="2">
        <v>4050</v>
      </c>
      <c r="U1000" s="2">
        <v>0</v>
      </c>
      <c r="V1000" s="2" t="s">
        <v>42</v>
      </c>
      <c r="W1000" s="2" t="s">
        <v>43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</row>
    <row r="1001" spans="1:35" x14ac:dyDescent="0.25">
      <c r="A1001" s="2">
        <v>42</v>
      </c>
      <c r="B1001" s="2" t="s">
        <v>43</v>
      </c>
      <c r="C1001" s="2" t="s">
        <v>36</v>
      </c>
      <c r="D1001" s="2">
        <v>1147</v>
      </c>
      <c r="E1001" s="2" t="s">
        <v>61</v>
      </c>
      <c r="F1001" s="2">
        <v>10</v>
      </c>
      <c r="G1001" s="2">
        <v>3</v>
      </c>
      <c r="H1001" s="2" t="s">
        <v>61</v>
      </c>
      <c r="I1001" s="2">
        <v>1</v>
      </c>
      <c r="J1001" s="2">
        <v>1408</v>
      </c>
      <c r="K1001" s="2">
        <v>3</v>
      </c>
      <c r="L1001" s="2" t="s">
        <v>39</v>
      </c>
      <c r="M1001" s="2">
        <v>31</v>
      </c>
      <c r="N1001" s="2">
        <v>3</v>
      </c>
      <c r="O1001" s="2">
        <v>4</v>
      </c>
      <c r="P1001" s="2" t="s">
        <v>56</v>
      </c>
      <c r="Q1001" s="2">
        <v>1</v>
      </c>
      <c r="R1001" s="2" t="s">
        <v>48</v>
      </c>
      <c r="S1001" s="2">
        <v>16799</v>
      </c>
      <c r="T1001" s="2">
        <v>16616</v>
      </c>
      <c r="U1001" s="2">
        <v>0</v>
      </c>
      <c r="V1001" s="2" t="s">
        <v>42</v>
      </c>
      <c r="W1001" s="2" t="s">
        <v>43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</row>
    <row r="1002" spans="1:35" x14ac:dyDescent="0.25">
      <c r="A1002" s="2">
        <v>52</v>
      </c>
      <c r="B1002" s="2" t="s">
        <v>43</v>
      </c>
      <c r="C1002" s="2" t="s">
        <v>36</v>
      </c>
      <c r="D1002" s="2">
        <v>258</v>
      </c>
      <c r="E1002" s="2" t="s">
        <v>45</v>
      </c>
      <c r="F1002" s="2">
        <v>8</v>
      </c>
      <c r="G1002" s="2">
        <v>4</v>
      </c>
      <c r="H1002" s="2" t="s">
        <v>49</v>
      </c>
      <c r="I1002" s="2">
        <v>1</v>
      </c>
      <c r="J1002" s="2">
        <v>1409</v>
      </c>
      <c r="K1002" s="2">
        <v>3</v>
      </c>
      <c r="L1002" s="2" t="s">
        <v>39</v>
      </c>
      <c r="M1002" s="2">
        <v>54</v>
      </c>
      <c r="N1002" s="2">
        <v>3</v>
      </c>
      <c r="O1002" s="2">
        <v>1</v>
      </c>
      <c r="P1002" s="2" t="s">
        <v>50</v>
      </c>
      <c r="Q1002" s="2">
        <v>1</v>
      </c>
      <c r="R1002" s="2" t="s">
        <v>48</v>
      </c>
      <c r="S1002" s="2">
        <v>2950</v>
      </c>
      <c r="T1002" s="2">
        <v>17363</v>
      </c>
      <c r="U1002" s="2">
        <v>9</v>
      </c>
      <c r="V1002" s="2" t="s">
        <v>42</v>
      </c>
      <c r="W1002" s="2" t="s">
        <v>43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</row>
    <row r="1003" spans="1:35" x14ac:dyDescent="0.25">
      <c r="A1003" s="2">
        <v>37</v>
      </c>
      <c r="B1003" s="2" t="s">
        <v>43</v>
      </c>
      <c r="C1003" s="2" t="s">
        <v>36</v>
      </c>
      <c r="D1003" s="2">
        <v>1462</v>
      </c>
      <c r="E1003" s="2" t="s">
        <v>45</v>
      </c>
      <c r="F1003" s="2">
        <v>11</v>
      </c>
      <c r="G1003" s="2">
        <v>3</v>
      </c>
      <c r="H1003" s="2" t="s">
        <v>51</v>
      </c>
      <c r="I1003" s="2">
        <v>1</v>
      </c>
      <c r="J1003" s="2">
        <v>1411</v>
      </c>
      <c r="K1003" s="2">
        <v>1</v>
      </c>
      <c r="L1003" s="2" t="s">
        <v>39</v>
      </c>
      <c r="M1003" s="2">
        <v>94</v>
      </c>
      <c r="N1003" s="2">
        <v>3</v>
      </c>
      <c r="O1003" s="2">
        <v>1</v>
      </c>
      <c r="P1003" s="2" t="s">
        <v>50</v>
      </c>
      <c r="Q1003" s="2">
        <v>3</v>
      </c>
      <c r="R1003" s="2" t="s">
        <v>41</v>
      </c>
      <c r="S1003" s="2">
        <v>3629</v>
      </c>
      <c r="T1003" s="2">
        <v>19106</v>
      </c>
      <c r="U1003" s="2">
        <v>4</v>
      </c>
      <c r="V1003" s="2" t="s">
        <v>42</v>
      </c>
      <c r="W1003" s="2" t="s">
        <v>43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</row>
    <row r="1004" spans="1:35" x14ac:dyDescent="0.25">
      <c r="A1004" s="2">
        <v>35</v>
      </c>
      <c r="B1004" s="2" t="s">
        <v>43</v>
      </c>
      <c r="C1004" s="2" t="s">
        <v>44</v>
      </c>
      <c r="D1004" s="2">
        <v>200</v>
      </c>
      <c r="E1004" s="2" t="s">
        <v>45</v>
      </c>
      <c r="F1004" s="2">
        <v>18</v>
      </c>
      <c r="G1004" s="2">
        <v>2</v>
      </c>
      <c r="H1004" s="2" t="s">
        <v>38</v>
      </c>
      <c r="I1004" s="2">
        <v>1</v>
      </c>
      <c r="J1004" s="2">
        <v>1412</v>
      </c>
      <c r="K1004" s="2">
        <v>3</v>
      </c>
      <c r="L1004" s="2" t="s">
        <v>46</v>
      </c>
      <c r="M1004" s="2">
        <v>60</v>
      </c>
      <c r="N1004" s="2">
        <v>3</v>
      </c>
      <c r="O1004" s="2">
        <v>3</v>
      </c>
      <c r="P1004" s="2" t="s">
        <v>53</v>
      </c>
      <c r="Q1004" s="2">
        <v>4</v>
      </c>
      <c r="R1004" s="2" t="s">
        <v>41</v>
      </c>
      <c r="S1004" s="2">
        <v>9362</v>
      </c>
      <c r="T1004" s="2">
        <v>19944</v>
      </c>
      <c r="U1004" s="2">
        <v>2</v>
      </c>
      <c r="V1004" s="2" t="s">
        <v>42</v>
      </c>
      <c r="W1004" s="2" t="s">
        <v>43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</row>
    <row r="1005" spans="1:35" x14ac:dyDescent="0.25">
      <c r="A1005" s="2">
        <v>25</v>
      </c>
      <c r="B1005" s="2" t="s">
        <v>43</v>
      </c>
      <c r="C1005" s="2" t="s">
        <v>36</v>
      </c>
      <c r="D1005" s="2">
        <v>949</v>
      </c>
      <c r="E1005" s="2" t="s">
        <v>45</v>
      </c>
      <c r="F1005" s="2">
        <v>1</v>
      </c>
      <c r="G1005" s="2">
        <v>3</v>
      </c>
      <c r="H1005" s="2" t="s">
        <v>60</v>
      </c>
      <c r="I1005" s="2">
        <v>1</v>
      </c>
      <c r="J1005" s="2">
        <v>1415</v>
      </c>
      <c r="K1005" s="2">
        <v>1</v>
      </c>
      <c r="L1005" s="2" t="s">
        <v>46</v>
      </c>
      <c r="M1005" s="2">
        <v>81</v>
      </c>
      <c r="N1005" s="2">
        <v>3</v>
      </c>
      <c r="O1005" s="2">
        <v>1</v>
      </c>
      <c r="P1005" s="2" t="s">
        <v>50</v>
      </c>
      <c r="Q1005" s="2">
        <v>4</v>
      </c>
      <c r="R1005" s="2" t="s">
        <v>48</v>
      </c>
      <c r="S1005" s="2">
        <v>3229</v>
      </c>
      <c r="T1005" s="2">
        <v>4910</v>
      </c>
      <c r="U1005" s="2">
        <v>4</v>
      </c>
      <c r="V1005" s="2" t="s">
        <v>42</v>
      </c>
      <c r="W1005" s="2" t="s">
        <v>43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</row>
    <row r="1006" spans="1:35" x14ac:dyDescent="0.25">
      <c r="A1006" s="2">
        <v>26</v>
      </c>
      <c r="B1006" s="2" t="s">
        <v>43</v>
      </c>
      <c r="C1006" s="2" t="s">
        <v>36</v>
      </c>
      <c r="D1006" s="2">
        <v>652</v>
      </c>
      <c r="E1006" s="2" t="s">
        <v>45</v>
      </c>
      <c r="F1006" s="2">
        <v>7</v>
      </c>
      <c r="G1006" s="2">
        <v>3</v>
      </c>
      <c r="H1006" s="2" t="s">
        <v>49</v>
      </c>
      <c r="I1006" s="2">
        <v>1</v>
      </c>
      <c r="J1006" s="2">
        <v>1417</v>
      </c>
      <c r="K1006" s="2">
        <v>3</v>
      </c>
      <c r="L1006" s="2" t="s">
        <v>46</v>
      </c>
      <c r="M1006" s="2">
        <v>100</v>
      </c>
      <c r="N1006" s="2">
        <v>4</v>
      </c>
      <c r="O1006" s="2">
        <v>1</v>
      </c>
      <c r="P1006" s="2" t="s">
        <v>50</v>
      </c>
      <c r="Q1006" s="2">
        <v>1</v>
      </c>
      <c r="R1006" s="2" t="s">
        <v>41</v>
      </c>
      <c r="S1006" s="2">
        <v>3578</v>
      </c>
      <c r="T1006" s="2">
        <v>23577</v>
      </c>
      <c r="U1006" s="2">
        <v>0</v>
      </c>
      <c r="V1006" s="2" t="s">
        <v>42</v>
      </c>
      <c r="W1006" s="2" t="s">
        <v>43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</row>
    <row r="1007" spans="1:35" x14ac:dyDescent="0.25">
      <c r="A1007" s="2">
        <v>29</v>
      </c>
      <c r="B1007" s="2" t="s">
        <v>43</v>
      </c>
      <c r="C1007" s="2" t="s">
        <v>36</v>
      </c>
      <c r="D1007" s="2">
        <v>332</v>
      </c>
      <c r="E1007" s="2" t="s">
        <v>61</v>
      </c>
      <c r="F1007" s="2">
        <v>17</v>
      </c>
      <c r="G1007" s="2">
        <v>3</v>
      </c>
      <c r="H1007" s="2" t="s">
        <v>49</v>
      </c>
      <c r="I1007" s="2">
        <v>1</v>
      </c>
      <c r="J1007" s="2">
        <v>1419</v>
      </c>
      <c r="K1007" s="2">
        <v>2</v>
      </c>
      <c r="L1007" s="2" t="s">
        <v>46</v>
      </c>
      <c r="M1007" s="2">
        <v>51</v>
      </c>
      <c r="N1007" s="2">
        <v>2</v>
      </c>
      <c r="O1007" s="2">
        <v>3</v>
      </c>
      <c r="P1007" s="2" t="s">
        <v>61</v>
      </c>
      <c r="Q1007" s="2">
        <v>1</v>
      </c>
      <c r="R1007" s="2" t="s">
        <v>41</v>
      </c>
      <c r="S1007" s="2">
        <v>7988</v>
      </c>
      <c r="T1007" s="2">
        <v>9769</v>
      </c>
      <c r="U1007" s="2">
        <v>1</v>
      </c>
      <c r="V1007" s="2" t="s">
        <v>42</v>
      </c>
      <c r="W1007" s="2" t="s">
        <v>43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</row>
    <row r="1008" spans="1:35" x14ac:dyDescent="0.25">
      <c r="A1008" s="2">
        <v>49</v>
      </c>
      <c r="B1008" s="2" t="s">
        <v>35</v>
      </c>
      <c r="C1008" s="2" t="s">
        <v>44</v>
      </c>
      <c r="D1008" s="2">
        <v>1475</v>
      </c>
      <c r="E1008" s="2" t="s">
        <v>45</v>
      </c>
      <c r="F1008" s="2">
        <v>28</v>
      </c>
      <c r="G1008" s="2">
        <v>2</v>
      </c>
      <c r="H1008" s="2" t="s">
        <v>38</v>
      </c>
      <c r="I1008" s="2">
        <v>1</v>
      </c>
      <c r="J1008" s="2">
        <v>1420</v>
      </c>
      <c r="K1008" s="2">
        <v>1</v>
      </c>
      <c r="L1008" s="2" t="s">
        <v>46</v>
      </c>
      <c r="M1008" s="2">
        <v>97</v>
      </c>
      <c r="N1008" s="2">
        <v>2</v>
      </c>
      <c r="O1008" s="2">
        <v>2</v>
      </c>
      <c r="P1008" s="2" t="s">
        <v>50</v>
      </c>
      <c r="Q1008" s="2">
        <v>1</v>
      </c>
      <c r="R1008" s="2" t="s">
        <v>41</v>
      </c>
      <c r="S1008" s="2">
        <v>4284</v>
      </c>
      <c r="T1008" s="2">
        <v>22710</v>
      </c>
      <c r="U1008" s="2">
        <v>3</v>
      </c>
      <c r="V1008" s="2" t="s">
        <v>42</v>
      </c>
      <c r="W1008" s="2" t="s">
        <v>43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</row>
    <row r="1009" spans="1:35" x14ac:dyDescent="0.25">
      <c r="A1009" s="2">
        <v>29</v>
      </c>
      <c r="B1009" s="2" t="s">
        <v>35</v>
      </c>
      <c r="C1009" s="2" t="s">
        <v>44</v>
      </c>
      <c r="D1009" s="2">
        <v>337</v>
      </c>
      <c r="E1009" s="2" t="s">
        <v>45</v>
      </c>
      <c r="F1009" s="2">
        <v>14</v>
      </c>
      <c r="G1009" s="2">
        <v>1</v>
      </c>
      <c r="H1009" s="2" t="s">
        <v>49</v>
      </c>
      <c r="I1009" s="2">
        <v>1</v>
      </c>
      <c r="J1009" s="2">
        <v>1421</v>
      </c>
      <c r="K1009" s="2">
        <v>3</v>
      </c>
      <c r="L1009" s="2" t="s">
        <v>39</v>
      </c>
      <c r="M1009" s="2">
        <v>84</v>
      </c>
      <c r="N1009" s="2">
        <v>3</v>
      </c>
      <c r="O1009" s="2">
        <v>3</v>
      </c>
      <c r="P1009" s="2" t="s">
        <v>54</v>
      </c>
      <c r="Q1009" s="2">
        <v>4</v>
      </c>
      <c r="R1009" s="2" t="s">
        <v>41</v>
      </c>
      <c r="S1009" s="2">
        <v>7553</v>
      </c>
      <c r="T1009" s="2">
        <v>22930</v>
      </c>
      <c r="U1009" s="2">
        <v>0</v>
      </c>
      <c r="V1009" s="2" t="s">
        <v>42</v>
      </c>
      <c r="W1009" s="2" t="s">
        <v>35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</row>
    <row r="1010" spans="1:35" x14ac:dyDescent="0.25">
      <c r="A1010" s="2">
        <v>54</v>
      </c>
      <c r="B1010" s="2" t="s">
        <v>43</v>
      </c>
      <c r="C1010" s="2" t="s">
        <v>36</v>
      </c>
      <c r="D1010" s="2">
        <v>971</v>
      </c>
      <c r="E1010" s="2" t="s">
        <v>45</v>
      </c>
      <c r="F1010" s="2">
        <v>1</v>
      </c>
      <c r="G1010" s="2">
        <v>3</v>
      </c>
      <c r="H1010" s="2" t="s">
        <v>51</v>
      </c>
      <c r="I1010" s="2">
        <v>1</v>
      </c>
      <c r="J1010" s="2">
        <v>1422</v>
      </c>
      <c r="K1010" s="2">
        <v>4</v>
      </c>
      <c r="L1010" s="2" t="s">
        <v>39</v>
      </c>
      <c r="M1010" s="2">
        <v>54</v>
      </c>
      <c r="N1010" s="2">
        <v>3</v>
      </c>
      <c r="O1010" s="2">
        <v>4</v>
      </c>
      <c r="P1010" s="2" t="s">
        <v>58</v>
      </c>
      <c r="Q1010" s="2">
        <v>4</v>
      </c>
      <c r="R1010" s="2" t="s">
        <v>41</v>
      </c>
      <c r="S1010" s="2">
        <v>17328</v>
      </c>
      <c r="T1010" s="2">
        <v>5652</v>
      </c>
      <c r="U1010" s="2">
        <v>6</v>
      </c>
      <c r="V1010" s="2" t="s">
        <v>42</v>
      </c>
      <c r="W1010" s="2" t="s">
        <v>43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</row>
    <row r="1011" spans="1:35" x14ac:dyDescent="0.25">
      <c r="A1011" s="2">
        <v>58</v>
      </c>
      <c r="B1011" s="2" t="s">
        <v>43</v>
      </c>
      <c r="C1011" s="2" t="s">
        <v>36</v>
      </c>
      <c r="D1011" s="2">
        <v>1055</v>
      </c>
      <c r="E1011" s="2" t="s">
        <v>45</v>
      </c>
      <c r="F1011" s="2">
        <v>1</v>
      </c>
      <c r="G1011" s="2">
        <v>3</v>
      </c>
      <c r="H1011" s="2" t="s">
        <v>51</v>
      </c>
      <c r="I1011" s="2">
        <v>1</v>
      </c>
      <c r="J1011" s="2">
        <v>1423</v>
      </c>
      <c r="K1011" s="2">
        <v>4</v>
      </c>
      <c r="L1011" s="2" t="s">
        <v>39</v>
      </c>
      <c r="M1011" s="2">
        <v>76</v>
      </c>
      <c r="N1011" s="2">
        <v>3</v>
      </c>
      <c r="O1011" s="2">
        <v>5</v>
      </c>
      <c r="P1011" s="2" t="s">
        <v>58</v>
      </c>
      <c r="Q1011" s="2">
        <v>1</v>
      </c>
      <c r="R1011" s="2" t="s">
        <v>48</v>
      </c>
      <c r="S1011" s="2">
        <v>19701</v>
      </c>
      <c r="T1011" s="2">
        <v>22456</v>
      </c>
      <c r="U1011" s="2">
        <v>3</v>
      </c>
      <c r="V1011" s="2" t="s">
        <v>42</v>
      </c>
      <c r="W1011" s="2" t="s">
        <v>35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</row>
    <row r="1012" spans="1:35" x14ac:dyDescent="0.25">
      <c r="A1012" s="2">
        <v>55</v>
      </c>
      <c r="B1012" s="2" t="s">
        <v>43</v>
      </c>
      <c r="C1012" s="2" t="s">
        <v>36</v>
      </c>
      <c r="D1012" s="2">
        <v>1136</v>
      </c>
      <c r="E1012" s="2" t="s">
        <v>45</v>
      </c>
      <c r="F1012" s="2">
        <v>1</v>
      </c>
      <c r="G1012" s="2">
        <v>4</v>
      </c>
      <c r="H1012" s="2" t="s">
        <v>51</v>
      </c>
      <c r="I1012" s="2">
        <v>1</v>
      </c>
      <c r="J1012" s="2">
        <v>1424</v>
      </c>
      <c r="K1012" s="2">
        <v>2</v>
      </c>
      <c r="L1012" s="2" t="s">
        <v>46</v>
      </c>
      <c r="M1012" s="2">
        <v>81</v>
      </c>
      <c r="N1012" s="2">
        <v>4</v>
      </c>
      <c r="O1012" s="2">
        <v>4</v>
      </c>
      <c r="P1012" s="2" t="s">
        <v>58</v>
      </c>
      <c r="Q1012" s="2">
        <v>4</v>
      </c>
      <c r="R1012" s="2" t="s">
        <v>52</v>
      </c>
      <c r="S1012" s="2">
        <v>14732</v>
      </c>
      <c r="T1012" s="2">
        <v>12414</v>
      </c>
      <c r="U1012" s="2">
        <v>2</v>
      </c>
      <c r="V1012" s="2" t="s">
        <v>42</v>
      </c>
      <c r="W1012" s="2" t="s">
        <v>43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</row>
    <row r="1013" spans="1:35" x14ac:dyDescent="0.25">
      <c r="A1013" s="2">
        <v>36</v>
      </c>
      <c r="B1013" s="2" t="s">
        <v>43</v>
      </c>
      <c r="C1013" s="2" t="s">
        <v>36</v>
      </c>
      <c r="D1013" s="2">
        <v>1174</v>
      </c>
      <c r="E1013" s="2" t="s">
        <v>37</v>
      </c>
      <c r="F1013" s="2">
        <v>3</v>
      </c>
      <c r="G1013" s="2">
        <v>4</v>
      </c>
      <c r="H1013" s="2" t="s">
        <v>59</v>
      </c>
      <c r="I1013" s="2">
        <v>1</v>
      </c>
      <c r="J1013" s="2">
        <v>1425</v>
      </c>
      <c r="K1013" s="2">
        <v>1</v>
      </c>
      <c r="L1013" s="2" t="s">
        <v>39</v>
      </c>
      <c r="M1013" s="2">
        <v>99</v>
      </c>
      <c r="N1013" s="2">
        <v>3</v>
      </c>
      <c r="O1013" s="2">
        <v>2</v>
      </c>
      <c r="P1013" s="2" t="s">
        <v>40</v>
      </c>
      <c r="Q1013" s="2">
        <v>2</v>
      </c>
      <c r="R1013" s="2" t="s">
        <v>41</v>
      </c>
      <c r="S1013" s="2">
        <v>9278</v>
      </c>
      <c r="T1013" s="2">
        <v>20763</v>
      </c>
      <c r="U1013" s="2">
        <v>3</v>
      </c>
      <c r="V1013" s="2" t="s">
        <v>42</v>
      </c>
      <c r="W1013" s="2" t="s">
        <v>35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</row>
    <row r="1014" spans="1:35" x14ac:dyDescent="0.25">
      <c r="A1014" s="2">
        <v>31</v>
      </c>
      <c r="B1014" s="2" t="s">
        <v>35</v>
      </c>
      <c r="C1014" s="2" t="s">
        <v>44</v>
      </c>
      <c r="D1014" s="2">
        <v>667</v>
      </c>
      <c r="E1014" s="2" t="s">
        <v>37</v>
      </c>
      <c r="F1014" s="2">
        <v>1</v>
      </c>
      <c r="G1014" s="2">
        <v>4</v>
      </c>
      <c r="H1014" s="2" t="s">
        <v>38</v>
      </c>
      <c r="I1014" s="2">
        <v>1</v>
      </c>
      <c r="J1014" s="2">
        <v>1427</v>
      </c>
      <c r="K1014" s="2">
        <v>2</v>
      </c>
      <c r="L1014" s="2" t="s">
        <v>39</v>
      </c>
      <c r="M1014" s="2">
        <v>50</v>
      </c>
      <c r="N1014" s="2">
        <v>1</v>
      </c>
      <c r="O1014" s="2">
        <v>1</v>
      </c>
      <c r="P1014" s="2" t="s">
        <v>57</v>
      </c>
      <c r="Q1014" s="2">
        <v>3</v>
      </c>
      <c r="R1014" s="2" t="s">
        <v>41</v>
      </c>
      <c r="S1014" s="2">
        <v>1359</v>
      </c>
      <c r="T1014" s="2">
        <v>16154</v>
      </c>
      <c r="U1014" s="2">
        <v>1</v>
      </c>
      <c r="V1014" s="2" t="s">
        <v>42</v>
      </c>
      <c r="W1014" s="2" t="s">
        <v>43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</row>
    <row r="1015" spans="1:35" x14ac:dyDescent="0.25">
      <c r="A1015" s="2">
        <v>30</v>
      </c>
      <c r="B1015" s="2" t="s">
        <v>43</v>
      </c>
      <c r="C1015" s="2" t="s">
        <v>36</v>
      </c>
      <c r="D1015" s="2">
        <v>855</v>
      </c>
      <c r="E1015" s="2" t="s">
        <v>37</v>
      </c>
      <c r="F1015" s="2">
        <v>7</v>
      </c>
      <c r="G1015" s="2">
        <v>4</v>
      </c>
      <c r="H1015" s="2" t="s">
        <v>59</v>
      </c>
      <c r="I1015" s="2">
        <v>1</v>
      </c>
      <c r="J1015" s="2">
        <v>1428</v>
      </c>
      <c r="K1015" s="2">
        <v>4</v>
      </c>
      <c r="L1015" s="2" t="s">
        <v>39</v>
      </c>
      <c r="M1015" s="2">
        <v>73</v>
      </c>
      <c r="N1015" s="2">
        <v>3</v>
      </c>
      <c r="O1015" s="2">
        <v>2</v>
      </c>
      <c r="P1015" s="2" t="s">
        <v>40</v>
      </c>
      <c r="Q1015" s="2">
        <v>1</v>
      </c>
      <c r="R1015" s="2" t="s">
        <v>52</v>
      </c>
      <c r="S1015" s="2">
        <v>4779</v>
      </c>
      <c r="T1015" s="2">
        <v>12761</v>
      </c>
      <c r="U1015" s="2">
        <v>7</v>
      </c>
      <c r="V1015" s="2" t="s">
        <v>42</v>
      </c>
      <c r="W1015" s="2" t="s">
        <v>43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</row>
    <row r="1016" spans="1:35" x14ac:dyDescent="0.25">
      <c r="A1016" s="2">
        <v>31</v>
      </c>
      <c r="B1016" s="2" t="s">
        <v>43</v>
      </c>
      <c r="C1016" s="2" t="s">
        <v>36</v>
      </c>
      <c r="D1016" s="2">
        <v>182</v>
      </c>
      <c r="E1016" s="2" t="s">
        <v>45</v>
      </c>
      <c r="F1016" s="2">
        <v>8</v>
      </c>
      <c r="G1016" s="2">
        <v>5</v>
      </c>
      <c r="H1016" s="2" t="s">
        <v>38</v>
      </c>
      <c r="I1016" s="2">
        <v>1</v>
      </c>
      <c r="J1016" s="2">
        <v>1430</v>
      </c>
      <c r="K1016" s="2">
        <v>1</v>
      </c>
      <c r="L1016" s="2" t="s">
        <v>39</v>
      </c>
      <c r="M1016" s="2">
        <v>93</v>
      </c>
      <c r="N1016" s="2">
        <v>3</v>
      </c>
      <c r="O1016" s="2">
        <v>4</v>
      </c>
      <c r="P1016" s="2" t="s">
        <v>58</v>
      </c>
      <c r="Q1016" s="2">
        <v>2</v>
      </c>
      <c r="R1016" s="2" t="s">
        <v>41</v>
      </c>
      <c r="S1016" s="2">
        <v>16422</v>
      </c>
      <c r="T1016" s="2">
        <v>8847</v>
      </c>
      <c r="U1016" s="2">
        <v>3</v>
      </c>
      <c r="V1016" s="2" t="s">
        <v>42</v>
      </c>
      <c r="W1016" s="2" t="s">
        <v>43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</row>
    <row r="1017" spans="1:35" x14ac:dyDescent="0.25">
      <c r="A1017" s="2">
        <v>34</v>
      </c>
      <c r="B1017" s="2" t="s">
        <v>43</v>
      </c>
      <c r="C1017" s="2" t="s">
        <v>44</v>
      </c>
      <c r="D1017" s="2">
        <v>560</v>
      </c>
      <c r="E1017" s="2" t="s">
        <v>45</v>
      </c>
      <c r="F1017" s="2">
        <v>1</v>
      </c>
      <c r="G1017" s="2">
        <v>4</v>
      </c>
      <c r="H1017" s="2" t="s">
        <v>49</v>
      </c>
      <c r="I1017" s="2">
        <v>1</v>
      </c>
      <c r="J1017" s="2">
        <v>1431</v>
      </c>
      <c r="K1017" s="2">
        <v>4</v>
      </c>
      <c r="L1017" s="2" t="s">
        <v>46</v>
      </c>
      <c r="M1017" s="2">
        <v>91</v>
      </c>
      <c r="N1017" s="2">
        <v>3</v>
      </c>
      <c r="O1017" s="2">
        <v>1</v>
      </c>
      <c r="P1017" s="2" t="s">
        <v>47</v>
      </c>
      <c r="Q1017" s="2">
        <v>1</v>
      </c>
      <c r="R1017" s="2" t="s">
        <v>52</v>
      </c>
      <c r="S1017" s="2">
        <v>2996</v>
      </c>
      <c r="T1017" s="2">
        <v>20284</v>
      </c>
      <c r="U1017" s="2">
        <v>5</v>
      </c>
      <c r="V1017" s="2" t="s">
        <v>42</v>
      </c>
      <c r="W1017" s="2" t="s">
        <v>43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</row>
    <row r="1018" spans="1:35" x14ac:dyDescent="0.25">
      <c r="A1018" s="2">
        <v>31</v>
      </c>
      <c r="B1018" s="2" t="s">
        <v>35</v>
      </c>
      <c r="C1018" s="2" t="s">
        <v>36</v>
      </c>
      <c r="D1018" s="2">
        <v>202</v>
      </c>
      <c r="E1018" s="2" t="s">
        <v>45</v>
      </c>
      <c r="F1018" s="2">
        <v>8</v>
      </c>
      <c r="G1018" s="2">
        <v>3</v>
      </c>
      <c r="H1018" s="2" t="s">
        <v>38</v>
      </c>
      <c r="I1018" s="2">
        <v>1</v>
      </c>
      <c r="J1018" s="2">
        <v>1433</v>
      </c>
      <c r="K1018" s="2">
        <v>1</v>
      </c>
      <c r="L1018" s="2" t="s">
        <v>39</v>
      </c>
      <c r="M1018" s="2">
        <v>34</v>
      </c>
      <c r="N1018" s="2">
        <v>2</v>
      </c>
      <c r="O1018" s="2">
        <v>1</v>
      </c>
      <c r="P1018" s="2" t="s">
        <v>47</v>
      </c>
      <c r="Q1018" s="2">
        <v>2</v>
      </c>
      <c r="R1018" s="2" t="s">
        <v>41</v>
      </c>
      <c r="S1018" s="2">
        <v>1261</v>
      </c>
      <c r="T1018" s="2">
        <v>22262</v>
      </c>
      <c r="U1018" s="2">
        <v>1</v>
      </c>
      <c r="V1018" s="2" t="s">
        <v>42</v>
      </c>
      <c r="W1018" s="2" t="s">
        <v>43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</row>
    <row r="1019" spans="1:35" x14ac:dyDescent="0.25">
      <c r="A1019" s="2">
        <v>27</v>
      </c>
      <c r="B1019" s="2" t="s">
        <v>43</v>
      </c>
      <c r="C1019" s="2" t="s">
        <v>36</v>
      </c>
      <c r="D1019" s="2">
        <v>1377</v>
      </c>
      <c r="E1019" s="2" t="s">
        <v>45</v>
      </c>
      <c r="F1019" s="2">
        <v>11</v>
      </c>
      <c r="G1019" s="2">
        <v>1</v>
      </c>
      <c r="H1019" s="2" t="s">
        <v>38</v>
      </c>
      <c r="I1019" s="2">
        <v>1</v>
      </c>
      <c r="J1019" s="2">
        <v>1434</v>
      </c>
      <c r="K1019" s="2">
        <v>2</v>
      </c>
      <c r="L1019" s="2" t="s">
        <v>46</v>
      </c>
      <c r="M1019" s="2">
        <v>91</v>
      </c>
      <c r="N1019" s="2">
        <v>3</v>
      </c>
      <c r="O1019" s="2">
        <v>1</v>
      </c>
      <c r="P1019" s="2" t="s">
        <v>50</v>
      </c>
      <c r="Q1019" s="2">
        <v>1</v>
      </c>
      <c r="R1019" s="2" t="s">
        <v>48</v>
      </c>
      <c r="S1019" s="2">
        <v>2099</v>
      </c>
      <c r="T1019" s="2">
        <v>7679</v>
      </c>
      <c r="U1019" s="2">
        <v>0</v>
      </c>
      <c r="V1019" s="2" t="s">
        <v>42</v>
      </c>
      <c r="W1019" s="2" t="s">
        <v>43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</row>
    <row r="1020" spans="1:35" x14ac:dyDescent="0.25">
      <c r="A1020" s="2">
        <v>36</v>
      </c>
      <c r="B1020" s="2" t="s">
        <v>43</v>
      </c>
      <c r="C1020" s="2" t="s">
        <v>36</v>
      </c>
      <c r="D1020" s="2">
        <v>172</v>
      </c>
      <c r="E1020" s="2" t="s">
        <v>45</v>
      </c>
      <c r="F1020" s="2">
        <v>4</v>
      </c>
      <c r="G1020" s="2">
        <v>4</v>
      </c>
      <c r="H1020" s="2" t="s">
        <v>38</v>
      </c>
      <c r="I1020" s="2">
        <v>1</v>
      </c>
      <c r="J1020" s="2">
        <v>1435</v>
      </c>
      <c r="K1020" s="2">
        <v>1</v>
      </c>
      <c r="L1020" s="2" t="s">
        <v>46</v>
      </c>
      <c r="M1020" s="2">
        <v>37</v>
      </c>
      <c r="N1020" s="2">
        <v>2</v>
      </c>
      <c r="O1020" s="2">
        <v>2</v>
      </c>
      <c r="P1020" s="2" t="s">
        <v>50</v>
      </c>
      <c r="Q1020" s="2">
        <v>4</v>
      </c>
      <c r="R1020" s="2" t="s">
        <v>41</v>
      </c>
      <c r="S1020" s="2">
        <v>5810</v>
      </c>
      <c r="T1020" s="2">
        <v>22604</v>
      </c>
      <c r="U1020" s="2">
        <v>1</v>
      </c>
      <c r="V1020" s="2" t="s">
        <v>42</v>
      </c>
      <c r="W1020" s="2" t="s">
        <v>43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</row>
    <row r="1021" spans="1:35" x14ac:dyDescent="0.25">
      <c r="A1021" s="2">
        <v>36</v>
      </c>
      <c r="B1021" s="2" t="s">
        <v>43</v>
      </c>
      <c r="C1021" s="2" t="s">
        <v>36</v>
      </c>
      <c r="D1021" s="2">
        <v>329</v>
      </c>
      <c r="E1021" s="2" t="s">
        <v>37</v>
      </c>
      <c r="F1021" s="2">
        <v>16</v>
      </c>
      <c r="G1021" s="2">
        <v>4</v>
      </c>
      <c r="H1021" s="2" t="s">
        <v>59</v>
      </c>
      <c r="I1021" s="2">
        <v>1</v>
      </c>
      <c r="J1021" s="2">
        <v>1436</v>
      </c>
      <c r="K1021" s="2">
        <v>3</v>
      </c>
      <c r="L1021" s="2" t="s">
        <v>39</v>
      </c>
      <c r="M1021" s="2">
        <v>98</v>
      </c>
      <c r="N1021" s="2">
        <v>2</v>
      </c>
      <c r="O1021" s="2">
        <v>2</v>
      </c>
      <c r="P1021" s="2" t="s">
        <v>40</v>
      </c>
      <c r="Q1021" s="2">
        <v>1</v>
      </c>
      <c r="R1021" s="2" t="s">
        <v>48</v>
      </c>
      <c r="S1021" s="2">
        <v>5647</v>
      </c>
      <c r="T1021" s="2">
        <v>13494</v>
      </c>
      <c r="U1021" s="2">
        <v>4</v>
      </c>
      <c r="V1021" s="2" t="s">
        <v>42</v>
      </c>
      <c r="W1021" s="2" t="s">
        <v>43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</row>
    <row r="1022" spans="1:35" x14ac:dyDescent="0.25">
      <c r="A1022" s="2">
        <v>47</v>
      </c>
      <c r="B1022" s="2" t="s">
        <v>43</v>
      </c>
      <c r="C1022" s="2" t="s">
        <v>36</v>
      </c>
      <c r="D1022" s="2">
        <v>465</v>
      </c>
      <c r="E1022" s="2" t="s">
        <v>45</v>
      </c>
      <c r="F1022" s="2">
        <v>1</v>
      </c>
      <c r="G1022" s="2">
        <v>3</v>
      </c>
      <c r="H1022" s="2" t="s">
        <v>60</v>
      </c>
      <c r="I1022" s="2">
        <v>1</v>
      </c>
      <c r="J1022" s="2">
        <v>1438</v>
      </c>
      <c r="K1022" s="2">
        <v>1</v>
      </c>
      <c r="L1022" s="2" t="s">
        <v>46</v>
      </c>
      <c r="M1022" s="2">
        <v>74</v>
      </c>
      <c r="N1022" s="2">
        <v>3</v>
      </c>
      <c r="O1022" s="2">
        <v>1</v>
      </c>
      <c r="P1022" s="2" t="s">
        <v>47</v>
      </c>
      <c r="Q1022" s="2">
        <v>4</v>
      </c>
      <c r="R1022" s="2" t="s">
        <v>48</v>
      </c>
      <c r="S1022" s="2">
        <v>3420</v>
      </c>
      <c r="T1022" s="2">
        <v>10205</v>
      </c>
      <c r="U1022" s="2">
        <v>7</v>
      </c>
      <c r="V1022" s="2" t="s">
        <v>42</v>
      </c>
      <c r="W1022" s="2" t="s">
        <v>43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</row>
    <row r="1023" spans="1:35" x14ac:dyDescent="0.25">
      <c r="A1023" s="2">
        <v>25</v>
      </c>
      <c r="B1023" s="2" t="s">
        <v>35</v>
      </c>
      <c r="C1023" s="2" t="s">
        <v>36</v>
      </c>
      <c r="D1023" s="2">
        <v>383</v>
      </c>
      <c r="E1023" s="2" t="s">
        <v>37</v>
      </c>
      <c r="F1023" s="2">
        <v>9</v>
      </c>
      <c r="G1023" s="2">
        <v>2</v>
      </c>
      <c r="H1023" s="2" t="s">
        <v>38</v>
      </c>
      <c r="I1023" s="2">
        <v>1</v>
      </c>
      <c r="J1023" s="2">
        <v>1439</v>
      </c>
      <c r="K1023" s="2">
        <v>1</v>
      </c>
      <c r="L1023" s="2" t="s">
        <v>46</v>
      </c>
      <c r="M1023" s="2">
        <v>68</v>
      </c>
      <c r="N1023" s="2">
        <v>2</v>
      </c>
      <c r="O1023" s="2">
        <v>1</v>
      </c>
      <c r="P1023" s="2" t="s">
        <v>57</v>
      </c>
      <c r="Q1023" s="2">
        <v>1</v>
      </c>
      <c r="R1023" s="2" t="s">
        <v>48</v>
      </c>
      <c r="S1023" s="2">
        <v>4400</v>
      </c>
      <c r="T1023" s="2">
        <v>15182</v>
      </c>
      <c r="U1023" s="2">
        <v>3</v>
      </c>
      <c r="V1023" s="2" t="s">
        <v>42</v>
      </c>
      <c r="W1023" s="2" t="s">
        <v>43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</row>
    <row r="1024" spans="1:35" x14ac:dyDescent="0.25">
      <c r="A1024" s="2">
        <v>37</v>
      </c>
      <c r="B1024" s="2" t="s">
        <v>43</v>
      </c>
      <c r="C1024" s="2" t="s">
        <v>55</v>
      </c>
      <c r="D1024" s="2">
        <v>1413</v>
      </c>
      <c r="E1024" s="2" t="s">
        <v>45</v>
      </c>
      <c r="F1024" s="2">
        <v>5</v>
      </c>
      <c r="G1024" s="2">
        <v>2</v>
      </c>
      <c r="H1024" s="2" t="s">
        <v>60</v>
      </c>
      <c r="I1024" s="2">
        <v>1</v>
      </c>
      <c r="J1024" s="2">
        <v>1440</v>
      </c>
      <c r="K1024" s="2">
        <v>3</v>
      </c>
      <c r="L1024" s="2" t="s">
        <v>46</v>
      </c>
      <c r="M1024" s="2">
        <v>84</v>
      </c>
      <c r="N1024" s="2">
        <v>4</v>
      </c>
      <c r="O1024" s="2">
        <v>1</v>
      </c>
      <c r="P1024" s="2" t="s">
        <v>50</v>
      </c>
      <c r="Q1024" s="2">
        <v>3</v>
      </c>
      <c r="R1024" s="2" t="s">
        <v>41</v>
      </c>
      <c r="S1024" s="2">
        <v>3500</v>
      </c>
      <c r="T1024" s="2">
        <v>25470</v>
      </c>
      <c r="U1024" s="2">
        <v>0</v>
      </c>
      <c r="V1024" s="2" t="s">
        <v>42</v>
      </c>
      <c r="W1024" s="2" t="s">
        <v>43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</row>
    <row r="1025" spans="1:35" x14ac:dyDescent="0.25">
      <c r="A1025" s="2">
        <v>56</v>
      </c>
      <c r="B1025" s="2" t="s">
        <v>43</v>
      </c>
      <c r="C1025" s="2" t="s">
        <v>36</v>
      </c>
      <c r="D1025" s="2">
        <v>1255</v>
      </c>
      <c r="E1025" s="2" t="s">
        <v>45</v>
      </c>
      <c r="F1025" s="2">
        <v>1</v>
      </c>
      <c r="G1025" s="2">
        <v>2</v>
      </c>
      <c r="H1025" s="2" t="s">
        <v>38</v>
      </c>
      <c r="I1025" s="2">
        <v>1</v>
      </c>
      <c r="J1025" s="2">
        <v>1441</v>
      </c>
      <c r="K1025" s="2">
        <v>1</v>
      </c>
      <c r="L1025" s="2" t="s">
        <v>39</v>
      </c>
      <c r="M1025" s="2">
        <v>90</v>
      </c>
      <c r="N1025" s="2">
        <v>3</v>
      </c>
      <c r="O1025" s="2">
        <v>1</v>
      </c>
      <c r="P1025" s="2" t="s">
        <v>47</v>
      </c>
      <c r="Q1025" s="2">
        <v>1</v>
      </c>
      <c r="R1025" s="2" t="s">
        <v>48</v>
      </c>
      <c r="S1025" s="2">
        <v>2066</v>
      </c>
      <c r="T1025" s="2">
        <v>10494</v>
      </c>
      <c r="U1025" s="2">
        <v>2</v>
      </c>
      <c r="V1025" s="2" t="s">
        <v>42</v>
      </c>
      <c r="W1025" s="2" t="s">
        <v>43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</row>
    <row r="1026" spans="1:35" x14ac:dyDescent="0.25">
      <c r="A1026" s="2">
        <v>47</v>
      </c>
      <c r="B1026" s="2" t="s">
        <v>43</v>
      </c>
      <c r="C1026" s="2" t="s">
        <v>36</v>
      </c>
      <c r="D1026" s="2">
        <v>359</v>
      </c>
      <c r="E1026" s="2" t="s">
        <v>45</v>
      </c>
      <c r="F1026" s="2">
        <v>2</v>
      </c>
      <c r="G1026" s="2">
        <v>4</v>
      </c>
      <c r="H1026" s="2" t="s">
        <v>51</v>
      </c>
      <c r="I1026" s="2">
        <v>1</v>
      </c>
      <c r="J1026" s="2">
        <v>1443</v>
      </c>
      <c r="K1026" s="2">
        <v>1</v>
      </c>
      <c r="L1026" s="2" t="s">
        <v>39</v>
      </c>
      <c r="M1026" s="2">
        <v>82</v>
      </c>
      <c r="N1026" s="2">
        <v>3</v>
      </c>
      <c r="O1026" s="2">
        <v>4</v>
      </c>
      <c r="P1026" s="2" t="s">
        <v>58</v>
      </c>
      <c r="Q1026" s="2">
        <v>3</v>
      </c>
      <c r="R1026" s="2" t="s">
        <v>48</v>
      </c>
      <c r="S1026" s="2">
        <v>17169</v>
      </c>
      <c r="T1026" s="2">
        <v>26703</v>
      </c>
      <c r="U1026" s="2">
        <v>3</v>
      </c>
      <c r="V1026" s="2" t="s">
        <v>42</v>
      </c>
      <c r="W1026" s="2" t="s">
        <v>43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</row>
    <row r="1027" spans="1:35" x14ac:dyDescent="0.25">
      <c r="A1027" s="2">
        <v>24</v>
      </c>
      <c r="B1027" s="2" t="s">
        <v>43</v>
      </c>
      <c r="C1027" s="2" t="s">
        <v>36</v>
      </c>
      <c r="D1027" s="2">
        <v>1476</v>
      </c>
      <c r="E1027" s="2" t="s">
        <v>37</v>
      </c>
      <c r="F1027" s="2">
        <v>4</v>
      </c>
      <c r="G1027" s="2">
        <v>1</v>
      </c>
      <c r="H1027" s="2" t="s">
        <v>51</v>
      </c>
      <c r="I1027" s="2">
        <v>1</v>
      </c>
      <c r="J1027" s="2">
        <v>1445</v>
      </c>
      <c r="K1027" s="2">
        <v>4</v>
      </c>
      <c r="L1027" s="2" t="s">
        <v>39</v>
      </c>
      <c r="M1027" s="2">
        <v>42</v>
      </c>
      <c r="N1027" s="2">
        <v>3</v>
      </c>
      <c r="O1027" s="2">
        <v>2</v>
      </c>
      <c r="P1027" s="2" t="s">
        <v>40</v>
      </c>
      <c r="Q1027" s="2">
        <v>3</v>
      </c>
      <c r="R1027" s="2" t="s">
        <v>48</v>
      </c>
      <c r="S1027" s="2">
        <v>4162</v>
      </c>
      <c r="T1027" s="2">
        <v>15211</v>
      </c>
      <c r="U1027" s="2">
        <v>1</v>
      </c>
      <c r="V1027" s="2" t="s">
        <v>42</v>
      </c>
      <c r="W1027" s="2" t="s">
        <v>35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</row>
    <row r="1028" spans="1:35" x14ac:dyDescent="0.25">
      <c r="A1028" s="2">
        <v>32</v>
      </c>
      <c r="B1028" s="2" t="s">
        <v>43</v>
      </c>
      <c r="C1028" s="2" t="s">
        <v>36</v>
      </c>
      <c r="D1028" s="2">
        <v>601</v>
      </c>
      <c r="E1028" s="2" t="s">
        <v>37</v>
      </c>
      <c r="F1028" s="2">
        <v>7</v>
      </c>
      <c r="G1028" s="2">
        <v>5</v>
      </c>
      <c r="H1028" s="2" t="s">
        <v>59</v>
      </c>
      <c r="I1028" s="2">
        <v>1</v>
      </c>
      <c r="J1028" s="2">
        <v>1446</v>
      </c>
      <c r="K1028" s="2">
        <v>4</v>
      </c>
      <c r="L1028" s="2" t="s">
        <v>46</v>
      </c>
      <c r="M1028" s="2">
        <v>97</v>
      </c>
      <c r="N1028" s="2">
        <v>3</v>
      </c>
      <c r="O1028" s="2">
        <v>2</v>
      </c>
      <c r="P1028" s="2" t="s">
        <v>40</v>
      </c>
      <c r="Q1028" s="2">
        <v>4</v>
      </c>
      <c r="R1028" s="2" t="s">
        <v>48</v>
      </c>
      <c r="S1028" s="2">
        <v>9204</v>
      </c>
      <c r="T1028" s="2">
        <v>23343</v>
      </c>
      <c r="U1028" s="2">
        <v>4</v>
      </c>
      <c r="V1028" s="2" t="s">
        <v>42</v>
      </c>
      <c r="W1028" s="2" t="s">
        <v>43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</row>
    <row r="1029" spans="1:35" x14ac:dyDescent="0.25">
      <c r="A1029" s="2">
        <v>34</v>
      </c>
      <c r="B1029" s="2" t="s">
        <v>43</v>
      </c>
      <c r="C1029" s="2" t="s">
        <v>36</v>
      </c>
      <c r="D1029" s="2">
        <v>401</v>
      </c>
      <c r="E1029" s="2" t="s">
        <v>45</v>
      </c>
      <c r="F1029" s="2">
        <v>1</v>
      </c>
      <c r="G1029" s="2">
        <v>3</v>
      </c>
      <c r="H1029" s="2" t="s">
        <v>38</v>
      </c>
      <c r="I1029" s="2">
        <v>1</v>
      </c>
      <c r="J1029" s="2">
        <v>1447</v>
      </c>
      <c r="K1029" s="2">
        <v>4</v>
      </c>
      <c r="L1029" s="2" t="s">
        <v>39</v>
      </c>
      <c r="M1029" s="2">
        <v>86</v>
      </c>
      <c r="N1029" s="2">
        <v>2</v>
      </c>
      <c r="O1029" s="2">
        <v>1</v>
      </c>
      <c r="P1029" s="2" t="s">
        <v>50</v>
      </c>
      <c r="Q1029" s="2">
        <v>2</v>
      </c>
      <c r="R1029" s="2" t="s">
        <v>48</v>
      </c>
      <c r="S1029" s="2">
        <v>3294</v>
      </c>
      <c r="T1029" s="2">
        <v>3708</v>
      </c>
      <c r="U1029" s="2">
        <v>5</v>
      </c>
      <c r="V1029" s="2" t="s">
        <v>42</v>
      </c>
      <c r="W1029" s="2" t="s">
        <v>43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</row>
    <row r="1030" spans="1:35" x14ac:dyDescent="0.25">
      <c r="A1030" s="2">
        <v>41</v>
      </c>
      <c r="B1030" s="2" t="s">
        <v>43</v>
      </c>
      <c r="C1030" s="2" t="s">
        <v>36</v>
      </c>
      <c r="D1030" s="2">
        <v>1283</v>
      </c>
      <c r="E1030" s="2" t="s">
        <v>45</v>
      </c>
      <c r="F1030" s="2">
        <v>5</v>
      </c>
      <c r="G1030" s="2">
        <v>5</v>
      </c>
      <c r="H1030" s="2" t="s">
        <v>51</v>
      </c>
      <c r="I1030" s="2">
        <v>1</v>
      </c>
      <c r="J1030" s="2">
        <v>1448</v>
      </c>
      <c r="K1030" s="2">
        <v>2</v>
      </c>
      <c r="L1030" s="2" t="s">
        <v>46</v>
      </c>
      <c r="M1030" s="2">
        <v>90</v>
      </c>
      <c r="N1030" s="2">
        <v>4</v>
      </c>
      <c r="O1030" s="2">
        <v>1</v>
      </c>
      <c r="P1030" s="2" t="s">
        <v>47</v>
      </c>
      <c r="Q1030" s="2">
        <v>3</v>
      </c>
      <c r="R1030" s="2" t="s">
        <v>48</v>
      </c>
      <c r="S1030" s="2">
        <v>2127</v>
      </c>
      <c r="T1030" s="2">
        <v>5561</v>
      </c>
      <c r="U1030" s="2">
        <v>2</v>
      </c>
      <c r="V1030" s="2" t="s">
        <v>42</v>
      </c>
      <c r="W1030" s="2" t="s">
        <v>35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</row>
    <row r="1031" spans="1:35" x14ac:dyDescent="0.25">
      <c r="A1031" s="2">
        <v>40</v>
      </c>
      <c r="B1031" s="2" t="s">
        <v>43</v>
      </c>
      <c r="C1031" s="2" t="s">
        <v>55</v>
      </c>
      <c r="D1031" s="2">
        <v>663</v>
      </c>
      <c r="E1031" s="2" t="s">
        <v>45</v>
      </c>
      <c r="F1031" s="2">
        <v>9</v>
      </c>
      <c r="G1031" s="2">
        <v>4</v>
      </c>
      <c r="H1031" s="2" t="s">
        <v>49</v>
      </c>
      <c r="I1031" s="2">
        <v>1</v>
      </c>
      <c r="J1031" s="2">
        <v>1449</v>
      </c>
      <c r="K1031" s="2">
        <v>3</v>
      </c>
      <c r="L1031" s="2" t="s">
        <v>46</v>
      </c>
      <c r="M1031" s="2">
        <v>81</v>
      </c>
      <c r="N1031" s="2">
        <v>3</v>
      </c>
      <c r="O1031" s="2">
        <v>2</v>
      </c>
      <c r="P1031" s="2" t="s">
        <v>50</v>
      </c>
      <c r="Q1031" s="2">
        <v>3</v>
      </c>
      <c r="R1031" s="2" t="s">
        <v>52</v>
      </c>
      <c r="S1031" s="2">
        <v>3975</v>
      </c>
      <c r="T1031" s="2">
        <v>23099</v>
      </c>
      <c r="U1031" s="2">
        <v>3</v>
      </c>
      <c r="V1031" s="2" t="s">
        <v>42</v>
      </c>
      <c r="W1031" s="2" t="s">
        <v>43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</row>
    <row r="1032" spans="1:35" x14ac:dyDescent="0.25">
      <c r="A1032" s="2">
        <v>31</v>
      </c>
      <c r="B1032" s="2" t="s">
        <v>43</v>
      </c>
      <c r="C1032" s="2" t="s">
        <v>36</v>
      </c>
      <c r="D1032" s="2">
        <v>326</v>
      </c>
      <c r="E1032" s="2" t="s">
        <v>37</v>
      </c>
      <c r="F1032" s="2">
        <v>8</v>
      </c>
      <c r="G1032" s="2">
        <v>2</v>
      </c>
      <c r="H1032" s="2" t="s">
        <v>38</v>
      </c>
      <c r="I1032" s="2">
        <v>1</v>
      </c>
      <c r="J1032" s="2">
        <v>1453</v>
      </c>
      <c r="K1032" s="2">
        <v>1</v>
      </c>
      <c r="L1032" s="2" t="s">
        <v>46</v>
      </c>
      <c r="M1032" s="2">
        <v>31</v>
      </c>
      <c r="N1032" s="2">
        <v>3</v>
      </c>
      <c r="O1032" s="2">
        <v>3</v>
      </c>
      <c r="P1032" s="2" t="s">
        <v>40</v>
      </c>
      <c r="Q1032" s="2">
        <v>4</v>
      </c>
      <c r="R1032" s="2" t="s">
        <v>52</v>
      </c>
      <c r="S1032" s="2">
        <v>10793</v>
      </c>
      <c r="T1032" s="2">
        <v>8386</v>
      </c>
      <c r="U1032" s="2">
        <v>1</v>
      </c>
      <c r="V1032" s="2" t="s">
        <v>42</v>
      </c>
      <c r="W1032" s="2" t="s">
        <v>43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</row>
    <row r="1033" spans="1:35" x14ac:dyDescent="0.25">
      <c r="A1033" s="2">
        <v>46</v>
      </c>
      <c r="B1033" s="2" t="s">
        <v>35</v>
      </c>
      <c r="C1033" s="2" t="s">
        <v>36</v>
      </c>
      <c r="D1033" s="2">
        <v>377</v>
      </c>
      <c r="E1033" s="2" t="s">
        <v>37</v>
      </c>
      <c r="F1033" s="2">
        <v>9</v>
      </c>
      <c r="G1033" s="2">
        <v>3</v>
      </c>
      <c r="H1033" s="2" t="s">
        <v>59</v>
      </c>
      <c r="I1033" s="2">
        <v>1</v>
      </c>
      <c r="J1033" s="2">
        <v>1457</v>
      </c>
      <c r="K1033" s="2">
        <v>1</v>
      </c>
      <c r="L1033" s="2" t="s">
        <v>46</v>
      </c>
      <c r="M1033" s="2">
        <v>52</v>
      </c>
      <c r="N1033" s="2">
        <v>3</v>
      </c>
      <c r="O1033" s="2">
        <v>3</v>
      </c>
      <c r="P1033" s="2" t="s">
        <v>40</v>
      </c>
      <c r="Q1033" s="2">
        <v>4</v>
      </c>
      <c r="R1033" s="2" t="s">
        <v>52</v>
      </c>
      <c r="S1033" s="2">
        <v>10096</v>
      </c>
      <c r="T1033" s="2">
        <v>15986</v>
      </c>
      <c r="U1033" s="2">
        <v>4</v>
      </c>
      <c r="V1033" s="2" t="s">
        <v>42</v>
      </c>
      <c r="W1033" s="2" t="s">
        <v>43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</row>
    <row r="1034" spans="1:35" x14ac:dyDescent="0.25">
      <c r="A1034" s="2">
        <v>39</v>
      </c>
      <c r="B1034" s="2" t="s">
        <v>35</v>
      </c>
      <c r="C1034" s="2" t="s">
        <v>55</v>
      </c>
      <c r="D1034" s="2">
        <v>592</v>
      </c>
      <c r="E1034" s="2" t="s">
        <v>45</v>
      </c>
      <c r="F1034" s="2">
        <v>2</v>
      </c>
      <c r="G1034" s="2">
        <v>3</v>
      </c>
      <c r="H1034" s="2" t="s">
        <v>38</v>
      </c>
      <c r="I1034" s="2">
        <v>1</v>
      </c>
      <c r="J1034" s="2">
        <v>1458</v>
      </c>
      <c r="K1034" s="2">
        <v>1</v>
      </c>
      <c r="L1034" s="2" t="s">
        <v>39</v>
      </c>
      <c r="M1034" s="2">
        <v>54</v>
      </c>
      <c r="N1034" s="2">
        <v>2</v>
      </c>
      <c r="O1034" s="2">
        <v>1</v>
      </c>
      <c r="P1034" s="2" t="s">
        <v>50</v>
      </c>
      <c r="Q1034" s="2">
        <v>1</v>
      </c>
      <c r="R1034" s="2" t="s">
        <v>41</v>
      </c>
      <c r="S1034" s="2">
        <v>3646</v>
      </c>
      <c r="T1034" s="2">
        <v>17181</v>
      </c>
      <c r="U1034" s="2">
        <v>2</v>
      </c>
      <c r="V1034" s="2" t="s">
        <v>42</v>
      </c>
      <c r="W1034" s="2" t="s">
        <v>35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</row>
    <row r="1035" spans="1:35" x14ac:dyDescent="0.25">
      <c r="A1035" s="2">
        <v>31</v>
      </c>
      <c r="B1035" s="2" t="s">
        <v>35</v>
      </c>
      <c r="C1035" s="2" t="s">
        <v>44</v>
      </c>
      <c r="D1035" s="2">
        <v>1445</v>
      </c>
      <c r="E1035" s="2" t="s">
        <v>45</v>
      </c>
      <c r="F1035" s="2">
        <v>1</v>
      </c>
      <c r="G1035" s="2">
        <v>5</v>
      </c>
      <c r="H1035" s="2" t="s">
        <v>38</v>
      </c>
      <c r="I1035" s="2">
        <v>1</v>
      </c>
      <c r="J1035" s="2">
        <v>1459</v>
      </c>
      <c r="K1035" s="2">
        <v>3</v>
      </c>
      <c r="L1035" s="2" t="s">
        <v>39</v>
      </c>
      <c r="M1035" s="2">
        <v>100</v>
      </c>
      <c r="N1035" s="2">
        <v>4</v>
      </c>
      <c r="O1035" s="2">
        <v>3</v>
      </c>
      <c r="P1035" s="2" t="s">
        <v>53</v>
      </c>
      <c r="Q1035" s="2">
        <v>2</v>
      </c>
      <c r="R1035" s="2" t="s">
        <v>41</v>
      </c>
      <c r="S1035" s="2">
        <v>7446</v>
      </c>
      <c r="T1035" s="2">
        <v>8931</v>
      </c>
      <c r="U1035" s="2">
        <v>1</v>
      </c>
      <c r="V1035" s="2" t="s">
        <v>42</v>
      </c>
      <c r="W1035" s="2" t="s">
        <v>43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</row>
    <row r="1036" spans="1:35" x14ac:dyDescent="0.25">
      <c r="A1036" s="2">
        <v>45</v>
      </c>
      <c r="B1036" s="2" t="s">
        <v>43</v>
      </c>
      <c r="C1036" s="2" t="s">
        <v>36</v>
      </c>
      <c r="D1036" s="2">
        <v>1038</v>
      </c>
      <c r="E1036" s="2" t="s">
        <v>45</v>
      </c>
      <c r="F1036" s="2">
        <v>20</v>
      </c>
      <c r="G1036" s="2">
        <v>3</v>
      </c>
      <c r="H1036" s="2" t="s">
        <v>51</v>
      </c>
      <c r="I1036" s="2">
        <v>1</v>
      </c>
      <c r="J1036" s="2">
        <v>1460</v>
      </c>
      <c r="K1036" s="2">
        <v>2</v>
      </c>
      <c r="L1036" s="2" t="s">
        <v>46</v>
      </c>
      <c r="M1036" s="2">
        <v>95</v>
      </c>
      <c r="N1036" s="2">
        <v>1</v>
      </c>
      <c r="O1036" s="2">
        <v>3</v>
      </c>
      <c r="P1036" s="2" t="s">
        <v>54</v>
      </c>
      <c r="Q1036" s="2">
        <v>1</v>
      </c>
      <c r="R1036" s="2" t="s">
        <v>52</v>
      </c>
      <c r="S1036" s="2">
        <v>10851</v>
      </c>
      <c r="T1036" s="2">
        <v>19863</v>
      </c>
      <c r="U1036" s="2">
        <v>2</v>
      </c>
      <c r="V1036" s="2" t="s">
        <v>42</v>
      </c>
      <c r="W1036" s="2" t="s">
        <v>35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</row>
    <row r="1037" spans="1:35" x14ac:dyDescent="0.25">
      <c r="A1037" s="2">
        <v>31</v>
      </c>
      <c r="B1037" s="2" t="s">
        <v>43</v>
      </c>
      <c r="C1037" s="2" t="s">
        <v>36</v>
      </c>
      <c r="D1037" s="2">
        <v>1398</v>
      </c>
      <c r="E1037" s="2" t="s">
        <v>61</v>
      </c>
      <c r="F1037" s="2">
        <v>8</v>
      </c>
      <c r="G1037" s="2">
        <v>2</v>
      </c>
      <c r="H1037" s="2" t="s">
        <v>51</v>
      </c>
      <c r="I1037" s="2">
        <v>1</v>
      </c>
      <c r="J1037" s="2">
        <v>1461</v>
      </c>
      <c r="K1037" s="2">
        <v>4</v>
      </c>
      <c r="L1037" s="2" t="s">
        <v>39</v>
      </c>
      <c r="M1037" s="2">
        <v>96</v>
      </c>
      <c r="N1037" s="2">
        <v>4</v>
      </c>
      <c r="O1037" s="2">
        <v>1</v>
      </c>
      <c r="P1037" s="2" t="s">
        <v>61</v>
      </c>
      <c r="Q1037" s="2">
        <v>2</v>
      </c>
      <c r="R1037" s="2" t="s">
        <v>41</v>
      </c>
      <c r="S1037" s="2">
        <v>2109</v>
      </c>
      <c r="T1037" s="2">
        <v>24609</v>
      </c>
      <c r="U1037" s="2">
        <v>9</v>
      </c>
      <c r="V1037" s="2" t="s">
        <v>42</v>
      </c>
      <c r="W1037" s="2" t="s">
        <v>43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</row>
    <row r="1038" spans="1:35" x14ac:dyDescent="0.25">
      <c r="A1038" s="2">
        <v>31</v>
      </c>
      <c r="B1038" s="2" t="s">
        <v>35</v>
      </c>
      <c r="C1038" s="2" t="s">
        <v>44</v>
      </c>
      <c r="D1038" s="2">
        <v>523</v>
      </c>
      <c r="E1038" s="2" t="s">
        <v>45</v>
      </c>
      <c r="F1038" s="2">
        <v>2</v>
      </c>
      <c r="G1038" s="2">
        <v>3</v>
      </c>
      <c r="H1038" s="2" t="s">
        <v>38</v>
      </c>
      <c r="I1038" s="2">
        <v>1</v>
      </c>
      <c r="J1038" s="2">
        <v>1464</v>
      </c>
      <c r="K1038" s="2">
        <v>2</v>
      </c>
      <c r="L1038" s="2" t="s">
        <v>46</v>
      </c>
      <c r="M1038" s="2">
        <v>94</v>
      </c>
      <c r="N1038" s="2">
        <v>3</v>
      </c>
      <c r="O1038" s="2">
        <v>1</v>
      </c>
      <c r="P1038" s="2" t="s">
        <v>50</v>
      </c>
      <c r="Q1038" s="2">
        <v>4</v>
      </c>
      <c r="R1038" s="2" t="s">
        <v>48</v>
      </c>
      <c r="S1038" s="2">
        <v>3722</v>
      </c>
      <c r="T1038" s="2">
        <v>21081</v>
      </c>
      <c r="U1038" s="2">
        <v>6</v>
      </c>
      <c r="V1038" s="2" t="s">
        <v>42</v>
      </c>
      <c r="W1038" s="2" t="s">
        <v>35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</row>
    <row r="1039" spans="1:35" x14ac:dyDescent="0.25">
      <c r="A1039" s="2">
        <v>45</v>
      </c>
      <c r="B1039" s="2" t="s">
        <v>43</v>
      </c>
      <c r="C1039" s="2" t="s">
        <v>36</v>
      </c>
      <c r="D1039" s="2">
        <v>1448</v>
      </c>
      <c r="E1039" s="2" t="s">
        <v>45</v>
      </c>
      <c r="F1039" s="2">
        <v>29</v>
      </c>
      <c r="G1039" s="2">
        <v>3</v>
      </c>
      <c r="H1039" s="2" t="s">
        <v>60</v>
      </c>
      <c r="I1039" s="2">
        <v>1</v>
      </c>
      <c r="J1039" s="2">
        <v>1465</v>
      </c>
      <c r="K1039" s="2">
        <v>2</v>
      </c>
      <c r="L1039" s="2" t="s">
        <v>46</v>
      </c>
      <c r="M1039" s="2">
        <v>55</v>
      </c>
      <c r="N1039" s="2">
        <v>3</v>
      </c>
      <c r="O1039" s="2">
        <v>3</v>
      </c>
      <c r="P1039" s="2" t="s">
        <v>53</v>
      </c>
      <c r="Q1039" s="2">
        <v>4</v>
      </c>
      <c r="R1039" s="2" t="s">
        <v>48</v>
      </c>
      <c r="S1039" s="2">
        <v>9380</v>
      </c>
      <c r="T1039" s="2">
        <v>14720</v>
      </c>
      <c r="U1039" s="2">
        <v>4</v>
      </c>
      <c r="V1039" s="2" t="s">
        <v>42</v>
      </c>
      <c r="W1039" s="2" t="s">
        <v>35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</row>
    <row r="1040" spans="1:35" x14ac:dyDescent="0.25">
      <c r="A1040" s="2">
        <v>48</v>
      </c>
      <c r="B1040" s="2" t="s">
        <v>43</v>
      </c>
      <c r="C1040" s="2" t="s">
        <v>36</v>
      </c>
      <c r="D1040" s="2">
        <v>1221</v>
      </c>
      <c r="E1040" s="2" t="s">
        <v>37</v>
      </c>
      <c r="F1040" s="2">
        <v>7</v>
      </c>
      <c r="G1040" s="2">
        <v>3</v>
      </c>
      <c r="H1040" s="2" t="s">
        <v>59</v>
      </c>
      <c r="I1040" s="2">
        <v>1</v>
      </c>
      <c r="J1040" s="2">
        <v>1466</v>
      </c>
      <c r="K1040" s="2">
        <v>3</v>
      </c>
      <c r="L1040" s="2" t="s">
        <v>46</v>
      </c>
      <c r="M1040" s="2">
        <v>96</v>
      </c>
      <c r="N1040" s="2">
        <v>3</v>
      </c>
      <c r="O1040" s="2">
        <v>2</v>
      </c>
      <c r="P1040" s="2" t="s">
        <v>40</v>
      </c>
      <c r="Q1040" s="2">
        <v>1</v>
      </c>
      <c r="R1040" s="2" t="s">
        <v>52</v>
      </c>
      <c r="S1040" s="2">
        <v>5486</v>
      </c>
      <c r="T1040" s="2">
        <v>24795</v>
      </c>
      <c r="U1040" s="2">
        <v>4</v>
      </c>
      <c r="V1040" s="2" t="s">
        <v>42</v>
      </c>
      <c r="W1040" s="2" t="s">
        <v>43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</row>
    <row r="1041" spans="1:35" x14ac:dyDescent="0.25">
      <c r="A1041" s="2">
        <v>34</v>
      </c>
      <c r="B1041" s="2" t="s">
        <v>35</v>
      </c>
      <c r="C1041" s="2" t="s">
        <v>36</v>
      </c>
      <c r="D1041" s="2">
        <v>1107</v>
      </c>
      <c r="E1041" s="2" t="s">
        <v>61</v>
      </c>
      <c r="F1041" s="2">
        <v>9</v>
      </c>
      <c r="G1041" s="2">
        <v>4</v>
      </c>
      <c r="H1041" s="2" t="s">
        <v>60</v>
      </c>
      <c r="I1041" s="2">
        <v>1</v>
      </c>
      <c r="J1041" s="2">
        <v>1467</v>
      </c>
      <c r="K1041" s="2">
        <v>1</v>
      </c>
      <c r="L1041" s="2" t="s">
        <v>39</v>
      </c>
      <c r="M1041" s="2">
        <v>52</v>
      </c>
      <c r="N1041" s="2">
        <v>3</v>
      </c>
      <c r="O1041" s="2">
        <v>1</v>
      </c>
      <c r="P1041" s="2" t="s">
        <v>61</v>
      </c>
      <c r="Q1041" s="2">
        <v>3</v>
      </c>
      <c r="R1041" s="2" t="s">
        <v>48</v>
      </c>
      <c r="S1041" s="2">
        <v>2742</v>
      </c>
      <c r="T1041" s="2">
        <v>3072</v>
      </c>
      <c r="U1041" s="2">
        <v>1</v>
      </c>
      <c r="V1041" s="2" t="s">
        <v>42</v>
      </c>
      <c r="W1041" s="2" t="s">
        <v>43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</row>
    <row r="1042" spans="1:35" x14ac:dyDescent="0.25">
      <c r="A1042" s="2">
        <v>40</v>
      </c>
      <c r="B1042" s="2" t="s">
        <v>43</v>
      </c>
      <c r="C1042" s="2" t="s">
        <v>55</v>
      </c>
      <c r="D1042" s="2">
        <v>218</v>
      </c>
      <c r="E1042" s="2" t="s">
        <v>45</v>
      </c>
      <c r="F1042" s="2">
        <v>8</v>
      </c>
      <c r="G1042" s="2">
        <v>1</v>
      </c>
      <c r="H1042" s="2" t="s">
        <v>51</v>
      </c>
      <c r="I1042" s="2">
        <v>1</v>
      </c>
      <c r="J1042" s="2">
        <v>1468</v>
      </c>
      <c r="K1042" s="2">
        <v>4</v>
      </c>
      <c r="L1042" s="2" t="s">
        <v>46</v>
      </c>
      <c r="M1042" s="2">
        <v>55</v>
      </c>
      <c r="N1042" s="2">
        <v>2</v>
      </c>
      <c r="O1042" s="2">
        <v>3</v>
      </c>
      <c r="P1042" s="2" t="s">
        <v>58</v>
      </c>
      <c r="Q1042" s="2">
        <v>2</v>
      </c>
      <c r="R1042" s="2" t="s">
        <v>52</v>
      </c>
      <c r="S1042" s="2">
        <v>13757</v>
      </c>
      <c r="T1042" s="2">
        <v>25178</v>
      </c>
      <c r="U1042" s="2">
        <v>2</v>
      </c>
      <c r="V1042" s="2" t="s">
        <v>42</v>
      </c>
      <c r="W1042" s="2" t="s">
        <v>43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</row>
    <row r="1043" spans="1:35" x14ac:dyDescent="0.25">
      <c r="A1043" s="2">
        <v>28</v>
      </c>
      <c r="B1043" s="2" t="s">
        <v>43</v>
      </c>
      <c r="C1043" s="2" t="s">
        <v>36</v>
      </c>
      <c r="D1043" s="2">
        <v>866</v>
      </c>
      <c r="E1043" s="2" t="s">
        <v>37</v>
      </c>
      <c r="F1043" s="2">
        <v>5</v>
      </c>
      <c r="G1043" s="2">
        <v>3</v>
      </c>
      <c r="H1043" s="2" t="s">
        <v>51</v>
      </c>
      <c r="I1043" s="2">
        <v>1</v>
      </c>
      <c r="J1043" s="2">
        <v>1469</v>
      </c>
      <c r="K1043" s="2">
        <v>4</v>
      </c>
      <c r="L1043" s="2" t="s">
        <v>46</v>
      </c>
      <c r="M1043" s="2">
        <v>84</v>
      </c>
      <c r="N1043" s="2">
        <v>3</v>
      </c>
      <c r="O1043" s="2">
        <v>2</v>
      </c>
      <c r="P1043" s="2" t="s">
        <v>40</v>
      </c>
      <c r="Q1043" s="2">
        <v>1</v>
      </c>
      <c r="R1043" s="2" t="s">
        <v>41</v>
      </c>
      <c r="S1043" s="2">
        <v>8463</v>
      </c>
      <c r="T1043" s="2">
        <v>23490</v>
      </c>
      <c r="U1043" s="2">
        <v>0</v>
      </c>
      <c r="V1043" s="2" t="s">
        <v>42</v>
      </c>
      <c r="W1043" s="2" t="s">
        <v>43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</row>
    <row r="1044" spans="1:35" x14ac:dyDescent="0.25">
      <c r="A1044" s="2">
        <v>44</v>
      </c>
      <c r="B1044" s="2" t="s">
        <v>43</v>
      </c>
      <c r="C1044" s="2" t="s">
        <v>55</v>
      </c>
      <c r="D1044" s="2">
        <v>981</v>
      </c>
      <c r="E1044" s="2" t="s">
        <v>45</v>
      </c>
      <c r="F1044" s="2">
        <v>5</v>
      </c>
      <c r="G1044" s="2">
        <v>3</v>
      </c>
      <c r="H1044" s="2" t="s">
        <v>38</v>
      </c>
      <c r="I1044" s="2">
        <v>1</v>
      </c>
      <c r="J1044" s="2">
        <v>1471</v>
      </c>
      <c r="K1044" s="2">
        <v>3</v>
      </c>
      <c r="L1044" s="2" t="s">
        <v>46</v>
      </c>
      <c r="M1044" s="2">
        <v>90</v>
      </c>
      <c r="N1044" s="2">
        <v>2</v>
      </c>
      <c r="O1044" s="2">
        <v>1</v>
      </c>
      <c r="P1044" s="2" t="s">
        <v>50</v>
      </c>
      <c r="Q1044" s="2">
        <v>3</v>
      </c>
      <c r="R1044" s="2" t="s">
        <v>41</v>
      </c>
      <c r="S1044" s="2">
        <v>3162</v>
      </c>
      <c r="T1044" s="2">
        <v>7973</v>
      </c>
      <c r="U1044" s="2">
        <v>3</v>
      </c>
      <c r="V1044" s="2" t="s">
        <v>42</v>
      </c>
      <c r="W1044" s="2" t="s">
        <v>43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</row>
    <row r="1045" spans="1:35" x14ac:dyDescent="0.25">
      <c r="A1045" s="2">
        <v>53</v>
      </c>
      <c r="B1045" s="2" t="s">
        <v>43</v>
      </c>
      <c r="C1045" s="2" t="s">
        <v>36</v>
      </c>
      <c r="D1045" s="2">
        <v>447</v>
      </c>
      <c r="E1045" s="2" t="s">
        <v>45</v>
      </c>
      <c r="F1045" s="2">
        <v>2</v>
      </c>
      <c r="G1045" s="2">
        <v>3</v>
      </c>
      <c r="H1045" s="2" t="s">
        <v>51</v>
      </c>
      <c r="I1045" s="2">
        <v>1</v>
      </c>
      <c r="J1045" s="2">
        <v>1472</v>
      </c>
      <c r="K1045" s="2">
        <v>4</v>
      </c>
      <c r="L1045" s="2" t="s">
        <v>46</v>
      </c>
      <c r="M1045" s="2">
        <v>39</v>
      </c>
      <c r="N1045" s="2">
        <v>4</v>
      </c>
      <c r="O1045" s="2">
        <v>4</v>
      </c>
      <c r="P1045" s="2" t="s">
        <v>58</v>
      </c>
      <c r="Q1045" s="2">
        <v>2</v>
      </c>
      <c r="R1045" s="2" t="s">
        <v>41</v>
      </c>
      <c r="S1045" s="2">
        <v>16598</v>
      </c>
      <c r="T1045" s="2">
        <v>19764</v>
      </c>
      <c r="U1045" s="2">
        <v>4</v>
      </c>
      <c r="V1045" s="2" t="s">
        <v>42</v>
      </c>
      <c r="W1045" s="2" t="s">
        <v>43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</row>
    <row r="1046" spans="1:35" x14ac:dyDescent="0.25">
      <c r="A1046" s="2">
        <v>49</v>
      </c>
      <c r="B1046" s="2" t="s">
        <v>43</v>
      </c>
      <c r="C1046" s="2" t="s">
        <v>36</v>
      </c>
      <c r="D1046" s="2">
        <v>1495</v>
      </c>
      <c r="E1046" s="2" t="s">
        <v>45</v>
      </c>
      <c r="F1046" s="2">
        <v>5</v>
      </c>
      <c r="G1046" s="2">
        <v>4</v>
      </c>
      <c r="H1046" s="2" t="s">
        <v>60</v>
      </c>
      <c r="I1046" s="2">
        <v>1</v>
      </c>
      <c r="J1046" s="2">
        <v>1473</v>
      </c>
      <c r="K1046" s="2">
        <v>1</v>
      </c>
      <c r="L1046" s="2" t="s">
        <v>46</v>
      </c>
      <c r="M1046" s="2">
        <v>96</v>
      </c>
      <c r="N1046" s="2">
        <v>3</v>
      </c>
      <c r="O1046" s="2">
        <v>2</v>
      </c>
      <c r="P1046" s="2" t="s">
        <v>54</v>
      </c>
      <c r="Q1046" s="2">
        <v>3</v>
      </c>
      <c r="R1046" s="2" t="s">
        <v>48</v>
      </c>
      <c r="S1046" s="2">
        <v>6651</v>
      </c>
      <c r="T1046" s="2">
        <v>21534</v>
      </c>
      <c r="U1046" s="2">
        <v>2</v>
      </c>
      <c r="V1046" s="2" t="s">
        <v>42</v>
      </c>
      <c r="W1046" s="2" t="s">
        <v>43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</row>
    <row r="1047" spans="1:35" x14ac:dyDescent="0.25">
      <c r="A1047" s="2">
        <v>40</v>
      </c>
      <c r="B1047" s="2" t="s">
        <v>43</v>
      </c>
      <c r="C1047" s="2" t="s">
        <v>36</v>
      </c>
      <c r="D1047" s="2">
        <v>896</v>
      </c>
      <c r="E1047" s="2" t="s">
        <v>45</v>
      </c>
      <c r="F1047" s="2">
        <v>2</v>
      </c>
      <c r="G1047" s="2">
        <v>3</v>
      </c>
      <c r="H1047" s="2" t="s">
        <v>51</v>
      </c>
      <c r="I1047" s="2">
        <v>1</v>
      </c>
      <c r="J1047" s="2">
        <v>1474</v>
      </c>
      <c r="K1047" s="2">
        <v>3</v>
      </c>
      <c r="L1047" s="2" t="s">
        <v>46</v>
      </c>
      <c r="M1047" s="2">
        <v>68</v>
      </c>
      <c r="N1047" s="2">
        <v>3</v>
      </c>
      <c r="O1047" s="2">
        <v>1</v>
      </c>
      <c r="P1047" s="2" t="s">
        <v>47</v>
      </c>
      <c r="Q1047" s="2">
        <v>3</v>
      </c>
      <c r="R1047" s="2" t="s">
        <v>52</v>
      </c>
      <c r="S1047" s="2">
        <v>2345</v>
      </c>
      <c r="T1047" s="2">
        <v>8045</v>
      </c>
      <c r="U1047" s="2">
        <v>2</v>
      </c>
      <c r="V1047" s="2" t="s">
        <v>42</v>
      </c>
      <c r="W1047" s="2" t="s">
        <v>43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</row>
    <row r="1048" spans="1:35" x14ac:dyDescent="0.25">
      <c r="A1048" s="2">
        <v>44</v>
      </c>
      <c r="B1048" s="2" t="s">
        <v>43</v>
      </c>
      <c r="C1048" s="2" t="s">
        <v>36</v>
      </c>
      <c r="D1048" s="2">
        <v>1467</v>
      </c>
      <c r="E1048" s="2" t="s">
        <v>45</v>
      </c>
      <c r="F1048" s="2">
        <v>20</v>
      </c>
      <c r="G1048" s="2">
        <v>3</v>
      </c>
      <c r="H1048" s="2" t="s">
        <v>38</v>
      </c>
      <c r="I1048" s="2">
        <v>1</v>
      </c>
      <c r="J1048" s="2">
        <v>1475</v>
      </c>
      <c r="K1048" s="2">
        <v>4</v>
      </c>
      <c r="L1048" s="2" t="s">
        <v>46</v>
      </c>
      <c r="M1048" s="2">
        <v>49</v>
      </c>
      <c r="N1048" s="2">
        <v>3</v>
      </c>
      <c r="O1048" s="2">
        <v>1</v>
      </c>
      <c r="P1048" s="2" t="s">
        <v>47</v>
      </c>
      <c r="Q1048" s="2">
        <v>2</v>
      </c>
      <c r="R1048" s="2" t="s">
        <v>41</v>
      </c>
      <c r="S1048" s="2">
        <v>3420</v>
      </c>
      <c r="T1048" s="2">
        <v>21158</v>
      </c>
      <c r="U1048" s="2">
        <v>1</v>
      </c>
      <c r="V1048" s="2" t="s">
        <v>42</v>
      </c>
      <c r="W1048" s="2" t="s">
        <v>43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</row>
    <row r="1049" spans="1:35" x14ac:dyDescent="0.25">
      <c r="A1049" s="2">
        <v>33</v>
      </c>
      <c r="B1049" s="2" t="s">
        <v>43</v>
      </c>
      <c r="C1049" s="2" t="s">
        <v>44</v>
      </c>
      <c r="D1049" s="2">
        <v>430</v>
      </c>
      <c r="E1049" s="2" t="s">
        <v>37</v>
      </c>
      <c r="F1049" s="2">
        <v>7</v>
      </c>
      <c r="G1049" s="2">
        <v>3</v>
      </c>
      <c r="H1049" s="2" t="s">
        <v>51</v>
      </c>
      <c r="I1049" s="2">
        <v>1</v>
      </c>
      <c r="J1049" s="2">
        <v>1477</v>
      </c>
      <c r="K1049" s="2">
        <v>4</v>
      </c>
      <c r="L1049" s="2" t="s">
        <v>46</v>
      </c>
      <c r="M1049" s="2">
        <v>54</v>
      </c>
      <c r="N1049" s="2">
        <v>3</v>
      </c>
      <c r="O1049" s="2">
        <v>2</v>
      </c>
      <c r="P1049" s="2" t="s">
        <v>40</v>
      </c>
      <c r="Q1049" s="2">
        <v>1</v>
      </c>
      <c r="R1049" s="2" t="s">
        <v>48</v>
      </c>
      <c r="S1049" s="2">
        <v>4373</v>
      </c>
      <c r="T1049" s="2">
        <v>17456</v>
      </c>
      <c r="U1049" s="2">
        <v>0</v>
      </c>
      <c r="V1049" s="2" t="s">
        <v>42</v>
      </c>
      <c r="W1049" s="2" t="s">
        <v>43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</row>
    <row r="1050" spans="1:35" x14ac:dyDescent="0.25">
      <c r="A1050" s="2">
        <v>34</v>
      </c>
      <c r="B1050" s="2" t="s">
        <v>43</v>
      </c>
      <c r="C1050" s="2" t="s">
        <v>36</v>
      </c>
      <c r="D1050" s="2">
        <v>1326</v>
      </c>
      <c r="E1050" s="2" t="s">
        <v>37</v>
      </c>
      <c r="F1050" s="2">
        <v>3</v>
      </c>
      <c r="G1050" s="2">
        <v>3</v>
      </c>
      <c r="H1050" s="2" t="s">
        <v>49</v>
      </c>
      <c r="I1050" s="2">
        <v>1</v>
      </c>
      <c r="J1050" s="2">
        <v>1478</v>
      </c>
      <c r="K1050" s="2">
        <v>4</v>
      </c>
      <c r="L1050" s="2" t="s">
        <v>46</v>
      </c>
      <c r="M1050" s="2">
        <v>81</v>
      </c>
      <c r="N1050" s="2">
        <v>1</v>
      </c>
      <c r="O1050" s="2">
        <v>2</v>
      </c>
      <c r="P1050" s="2" t="s">
        <v>40</v>
      </c>
      <c r="Q1050" s="2">
        <v>1</v>
      </c>
      <c r="R1050" s="2" t="s">
        <v>41</v>
      </c>
      <c r="S1050" s="2">
        <v>4759</v>
      </c>
      <c r="T1050" s="2">
        <v>15891</v>
      </c>
      <c r="U1050" s="2">
        <v>3</v>
      </c>
      <c r="V1050" s="2" t="s">
        <v>42</v>
      </c>
      <c r="W1050" s="2" t="s">
        <v>43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</row>
    <row r="1051" spans="1:35" x14ac:dyDescent="0.25">
      <c r="A1051" s="2">
        <v>30</v>
      </c>
      <c r="B1051" s="2" t="s">
        <v>43</v>
      </c>
      <c r="C1051" s="2" t="s">
        <v>36</v>
      </c>
      <c r="D1051" s="2">
        <v>1358</v>
      </c>
      <c r="E1051" s="2" t="s">
        <v>37</v>
      </c>
      <c r="F1051" s="2">
        <v>16</v>
      </c>
      <c r="G1051" s="2">
        <v>1</v>
      </c>
      <c r="H1051" s="2" t="s">
        <v>38</v>
      </c>
      <c r="I1051" s="2">
        <v>1</v>
      </c>
      <c r="J1051" s="2">
        <v>1479</v>
      </c>
      <c r="K1051" s="2">
        <v>4</v>
      </c>
      <c r="L1051" s="2" t="s">
        <v>46</v>
      </c>
      <c r="M1051" s="2">
        <v>96</v>
      </c>
      <c r="N1051" s="2">
        <v>3</v>
      </c>
      <c r="O1051" s="2">
        <v>2</v>
      </c>
      <c r="P1051" s="2" t="s">
        <v>40</v>
      </c>
      <c r="Q1051" s="2">
        <v>3</v>
      </c>
      <c r="R1051" s="2" t="s">
        <v>48</v>
      </c>
      <c r="S1051" s="2">
        <v>5301</v>
      </c>
      <c r="T1051" s="2">
        <v>2939</v>
      </c>
      <c r="U1051" s="2">
        <v>8</v>
      </c>
      <c r="V1051" s="2" t="s">
        <v>42</v>
      </c>
      <c r="W1051" s="2" t="s">
        <v>43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</row>
    <row r="1052" spans="1:35" x14ac:dyDescent="0.25">
      <c r="A1052" s="2">
        <v>42</v>
      </c>
      <c r="B1052" s="2" t="s">
        <v>43</v>
      </c>
      <c r="C1052" s="2" t="s">
        <v>44</v>
      </c>
      <c r="D1052" s="2">
        <v>748</v>
      </c>
      <c r="E1052" s="2" t="s">
        <v>45</v>
      </c>
      <c r="F1052" s="2">
        <v>9</v>
      </c>
      <c r="G1052" s="2">
        <v>2</v>
      </c>
      <c r="H1052" s="2" t="s">
        <v>51</v>
      </c>
      <c r="I1052" s="2">
        <v>1</v>
      </c>
      <c r="J1052" s="2">
        <v>1480</v>
      </c>
      <c r="K1052" s="2">
        <v>1</v>
      </c>
      <c r="L1052" s="2" t="s">
        <v>39</v>
      </c>
      <c r="M1052" s="2">
        <v>74</v>
      </c>
      <c r="N1052" s="2">
        <v>3</v>
      </c>
      <c r="O1052" s="2">
        <v>1</v>
      </c>
      <c r="P1052" s="2" t="s">
        <v>50</v>
      </c>
      <c r="Q1052" s="2">
        <v>4</v>
      </c>
      <c r="R1052" s="2" t="s">
        <v>41</v>
      </c>
      <c r="S1052" s="2">
        <v>3673</v>
      </c>
      <c r="T1052" s="2">
        <v>16458</v>
      </c>
      <c r="U1052" s="2">
        <v>1</v>
      </c>
      <c r="V1052" s="2" t="s">
        <v>42</v>
      </c>
      <c r="W1052" s="2" t="s">
        <v>43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</row>
    <row r="1053" spans="1:35" x14ac:dyDescent="0.25">
      <c r="A1053" s="2">
        <v>44</v>
      </c>
      <c r="B1053" s="2" t="s">
        <v>43</v>
      </c>
      <c r="C1053" s="2" t="s">
        <v>44</v>
      </c>
      <c r="D1053" s="2">
        <v>383</v>
      </c>
      <c r="E1053" s="2" t="s">
        <v>37</v>
      </c>
      <c r="F1053" s="2">
        <v>1</v>
      </c>
      <c r="G1053" s="2">
        <v>5</v>
      </c>
      <c r="H1053" s="2" t="s">
        <v>59</v>
      </c>
      <c r="I1053" s="2">
        <v>1</v>
      </c>
      <c r="J1053" s="2">
        <v>1481</v>
      </c>
      <c r="K1053" s="2">
        <v>1</v>
      </c>
      <c r="L1053" s="2" t="s">
        <v>39</v>
      </c>
      <c r="M1053" s="2">
        <v>79</v>
      </c>
      <c r="N1053" s="2">
        <v>3</v>
      </c>
      <c r="O1053" s="2">
        <v>2</v>
      </c>
      <c r="P1053" s="2" t="s">
        <v>40</v>
      </c>
      <c r="Q1053" s="2">
        <v>3</v>
      </c>
      <c r="R1053" s="2" t="s">
        <v>48</v>
      </c>
      <c r="S1053" s="2">
        <v>4768</v>
      </c>
      <c r="T1053" s="2">
        <v>9282</v>
      </c>
      <c r="U1053" s="2">
        <v>7</v>
      </c>
      <c r="V1053" s="2" t="s">
        <v>42</v>
      </c>
      <c r="W1053" s="2" t="s">
        <v>43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</row>
    <row r="1054" spans="1:35" x14ac:dyDescent="0.25">
      <c r="A1054" s="2">
        <v>30</v>
      </c>
      <c r="B1054" s="2" t="s">
        <v>43</v>
      </c>
      <c r="C1054" s="2" t="s">
        <v>55</v>
      </c>
      <c r="D1054" s="2">
        <v>990</v>
      </c>
      <c r="E1054" s="2" t="s">
        <v>45</v>
      </c>
      <c r="F1054" s="2">
        <v>7</v>
      </c>
      <c r="G1054" s="2">
        <v>3</v>
      </c>
      <c r="H1054" s="2" t="s">
        <v>60</v>
      </c>
      <c r="I1054" s="2">
        <v>1</v>
      </c>
      <c r="J1054" s="2">
        <v>1482</v>
      </c>
      <c r="K1054" s="2">
        <v>3</v>
      </c>
      <c r="L1054" s="2" t="s">
        <v>46</v>
      </c>
      <c r="M1054" s="2">
        <v>64</v>
      </c>
      <c r="N1054" s="2">
        <v>3</v>
      </c>
      <c r="O1054" s="2">
        <v>1</v>
      </c>
      <c r="P1054" s="2" t="s">
        <v>47</v>
      </c>
      <c r="Q1054" s="2">
        <v>3</v>
      </c>
      <c r="R1054" s="2" t="s">
        <v>52</v>
      </c>
      <c r="S1054" s="2">
        <v>1274</v>
      </c>
      <c r="T1054" s="2">
        <v>7152</v>
      </c>
      <c r="U1054" s="2">
        <v>1</v>
      </c>
      <c r="V1054" s="2" t="s">
        <v>42</v>
      </c>
      <c r="W1054" s="2" t="s">
        <v>43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</row>
    <row r="1055" spans="1:35" x14ac:dyDescent="0.25">
      <c r="A1055" s="2">
        <v>57</v>
      </c>
      <c r="B1055" s="2" t="s">
        <v>43</v>
      </c>
      <c r="C1055" s="2" t="s">
        <v>36</v>
      </c>
      <c r="D1055" s="2">
        <v>405</v>
      </c>
      <c r="E1055" s="2" t="s">
        <v>45</v>
      </c>
      <c r="F1055" s="2">
        <v>1</v>
      </c>
      <c r="G1055" s="2">
        <v>2</v>
      </c>
      <c r="H1055" s="2" t="s">
        <v>38</v>
      </c>
      <c r="I1055" s="2">
        <v>1</v>
      </c>
      <c r="J1055" s="2">
        <v>1483</v>
      </c>
      <c r="K1055" s="2">
        <v>2</v>
      </c>
      <c r="L1055" s="2" t="s">
        <v>46</v>
      </c>
      <c r="M1055" s="2">
        <v>93</v>
      </c>
      <c r="N1055" s="2">
        <v>4</v>
      </c>
      <c r="O1055" s="2">
        <v>2</v>
      </c>
      <c r="P1055" s="2" t="s">
        <v>47</v>
      </c>
      <c r="Q1055" s="2">
        <v>3</v>
      </c>
      <c r="R1055" s="2" t="s">
        <v>48</v>
      </c>
      <c r="S1055" s="2">
        <v>4900</v>
      </c>
      <c r="T1055" s="2">
        <v>2721</v>
      </c>
      <c r="U1055" s="2">
        <v>0</v>
      </c>
      <c r="V1055" s="2" t="s">
        <v>42</v>
      </c>
      <c r="W1055" s="2" t="s">
        <v>43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</row>
    <row r="1056" spans="1:35" x14ac:dyDescent="0.25">
      <c r="A1056" s="2">
        <v>49</v>
      </c>
      <c r="B1056" s="2" t="s">
        <v>43</v>
      </c>
      <c r="C1056" s="2" t="s">
        <v>36</v>
      </c>
      <c r="D1056" s="2">
        <v>1490</v>
      </c>
      <c r="E1056" s="2" t="s">
        <v>45</v>
      </c>
      <c r="F1056" s="2">
        <v>7</v>
      </c>
      <c r="G1056" s="2">
        <v>4</v>
      </c>
      <c r="H1056" s="2" t="s">
        <v>38</v>
      </c>
      <c r="I1056" s="2">
        <v>1</v>
      </c>
      <c r="J1056" s="2">
        <v>1484</v>
      </c>
      <c r="K1056" s="2">
        <v>3</v>
      </c>
      <c r="L1056" s="2" t="s">
        <v>46</v>
      </c>
      <c r="M1056" s="2">
        <v>35</v>
      </c>
      <c r="N1056" s="2">
        <v>3</v>
      </c>
      <c r="O1056" s="2">
        <v>3</v>
      </c>
      <c r="P1056" s="2" t="s">
        <v>54</v>
      </c>
      <c r="Q1056" s="2">
        <v>2</v>
      </c>
      <c r="R1056" s="2" t="s">
        <v>52</v>
      </c>
      <c r="S1056" s="2">
        <v>10466</v>
      </c>
      <c r="T1056" s="2">
        <v>20948</v>
      </c>
      <c r="U1056" s="2">
        <v>3</v>
      </c>
      <c r="V1056" s="2" t="s">
        <v>42</v>
      </c>
      <c r="W1056" s="2" t="s">
        <v>43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</row>
    <row r="1057" spans="1:35" x14ac:dyDescent="0.25">
      <c r="A1057" s="2">
        <v>34</v>
      </c>
      <c r="B1057" s="2" t="s">
        <v>43</v>
      </c>
      <c r="C1057" s="2" t="s">
        <v>44</v>
      </c>
      <c r="D1057" s="2">
        <v>829</v>
      </c>
      <c r="E1057" s="2" t="s">
        <v>45</v>
      </c>
      <c r="F1057" s="2">
        <v>15</v>
      </c>
      <c r="G1057" s="2">
        <v>3</v>
      </c>
      <c r="H1057" s="2" t="s">
        <v>51</v>
      </c>
      <c r="I1057" s="2">
        <v>1</v>
      </c>
      <c r="J1057" s="2">
        <v>1485</v>
      </c>
      <c r="K1057" s="2">
        <v>2</v>
      </c>
      <c r="L1057" s="2" t="s">
        <v>46</v>
      </c>
      <c r="M1057" s="2">
        <v>71</v>
      </c>
      <c r="N1057" s="2">
        <v>3</v>
      </c>
      <c r="O1057" s="2">
        <v>4</v>
      </c>
      <c r="P1057" s="2" t="s">
        <v>58</v>
      </c>
      <c r="Q1057" s="2">
        <v>1</v>
      </c>
      <c r="R1057" s="2" t="s">
        <v>52</v>
      </c>
      <c r="S1057" s="2">
        <v>17007</v>
      </c>
      <c r="T1057" s="2">
        <v>11929</v>
      </c>
      <c r="U1057" s="2">
        <v>7</v>
      </c>
      <c r="V1057" s="2" t="s">
        <v>42</v>
      </c>
      <c r="W1057" s="2" t="s">
        <v>43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</row>
    <row r="1058" spans="1:35" x14ac:dyDescent="0.25">
      <c r="A1058" s="2">
        <v>28</v>
      </c>
      <c r="B1058" s="2" t="s">
        <v>35</v>
      </c>
      <c r="C1058" s="2" t="s">
        <v>44</v>
      </c>
      <c r="D1058" s="2">
        <v>1496</v>
      </c>
      <c r="E1058" s="2" t="s">
        <v>37</v>
      </c>
      <c r="F1058" s="2">
        <v>1</v>
      </c>
      <c r="G1058" s="2">
        <v>3</v>
      </c>
      <c r="H1058" s="2" t="s">
        <v>60</v>
      </c>
      <c r="I1058" s="2">
        <v>1</v>
      </c>
      <c r="J1058" s="2">
        <v>1486</v>
      </c>
      <c r="K1058" s="2">
        <v>1</v>
      </c>
      <c r="L1058" s="2" t="s">
        <v>46</v>
      </c>
      <c r="M1058" s="2">
        <v>92</v>
      </c>
      <c r="N1058" s="2">
        <v>3</v>
      </c>
      <c r="O1058" s="2">
        <v>1</v>
      </c>
      <c r="P1058" s="2" t="s">
        <v>57</v>
      </c>
      <c r="Q1058" s="2">
        <v>3</v>
      </c>
      <c r="R1058" s="2" t="s">
        <v>48</v>
      </c>
      <c r="S1058" s="2">
        <v>2909</v>
      </c>
      <c r="T1058" s="2">
        <v>15747</v>
      </c>
      <c r="U1058" s="2">
        <v>3</v>
      </c>
      <c r="V1058" s="2" t="s">
        <v>42</v>
      </c>
      <c r="W1058" s="2" t="s">
        <v>43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</row>
    <row r="1059" spans="1:35" x14ac:dyDescent="0.25">
      <c r="A1059" s="2">
        <v>29</v>
      </c>
      <c r="B1059" s="2" t="s">
        <v>35</v>
      </c>
      <c r="C1059" s="2" t="s">
        <v>44</v>
      </c>
      <c r="D1059" s="2">
        <v>115</v>
      </c>
      <c r="E1059" s="2" t="s">
        <v>37</v>
      </c>
      <c r="F1059" s="2">
        <v>13</v>
      </c>
      <c r="G1059" s="2">
        <v>3</v>
      </c>
      <c r="H1059" s="2" t="s">
        <v>60</v>
      </c>
      <c r="I1059" s="2">
        <v>1</v>
      </c>
      <c r="J1059" s="2">
        <v>1487</v>
      </c>
      <c r="K1059" s="2">
        <v>1</v>
      </c>
      <c r="L1059" s="2" t="s">
        <v>39</v>
      </c>
      <c r="M1059" s="2">
        <v>51</v>
      </c>
      <c r="N1059" s="2">
        <v>3</v>
      </c>
      <c r="O1059" s="2">
        <v>2</v>
      </c>
      <c r="P1059" s="2" t="s">
        <v>40</v>
      </c>
      <c r="Q1059" s="2">
        <v>2</v>
      </c>
      <c r="R1059" s="2" t="s">
        <v>41</v>
      </c>
      <c r="S1059" s="2">
        <v>5765</v>
      </c>
      <c r="T1059" s="2">
        <v>17485</v>
      </c>
      <c r="U1059" s="2">
        <v>5</v>
      </c>
      <c r="V1059" s="2" t="s">
        <v>42</v>
      </c>
      <c r="W1059" s="2" t="s">
        <v>43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</row>
    <row r="1060" spans="1:35" x14ac:dyDescent="0.25">
      <c r="A1060" s="2">
        <v>34</v>
      </c>
      <c r="B1060" s="2" t="s">
        <v>35</v>
      </c>
      <c r="C1060" s="2" t="s">
        <v>36</v>
      </c>
      <c r="D1060" s="2">
        <v>790</v>
      </c>
      <c r="E1060" s="2" t="s">
        <v>37</v>
      </c>
      <c r="F1060" s="2">
        <v>24</v>
      </c>
      <c r="G1060" s="2">
        <v>4</v>
      </c>
      <c r="H1060" s="2" t="s">
        <v>51</v>
      </c>
      <c r="I1060" s="2">
        <v>1</v>
      </c>
      <c r="J1060" s="2">
        <v>1489</v>
      </c>
      <c r="K1060" s="2">
        <v>1</v>
      </c>
      <c r="L1060" s="2" t="s">
        <v>39</v>
      </c>
      <c r="M1060" s="2">
        <v>40</v>
      </c>
      <c r="N1060" s="2">
        <v>2</v>
      </c>
      <c r="O1060" s="2">
        <v>2</v>
      </c>
      <c r="P1060" s="2" t="s">
        <v>40</v>
      </c>
      <c r="Q1060" s="2">
        <v>2</v>
      </c>
      <c r="R1060" s="2" t="s">
        <v>41</v>
      </c>
      <c r="S1060" s="2">
        <v>4599</v>
      </c>
      <c r="T1060" s="2">
        <v>7815</v>
      </c>
      <c r="U1060" s="2">
        <v>0</v>
      </c>
      <c r="V1060" s="2" t="s">
        <v>42</v>
      </c>
      <c r="W1060" s="2" t="s">
        <v>35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</row>
    <row r="1061" spans="1:35" x14ac:dyDescent="0.25">
      <c r="A1061" s="2">
        <v>35</v>
      </c>
      <c r="B1061" s="2" t="s">
        <v>43</v>
      </c>
      <c r="C1061" s="2" t="s">
        <v>36</v>
      </c>
      <c r="D1061" s="2">
        <v>660</v>
      </c>
      <c r="E1061" s="2" t="s">
        <v>37</v>
      </c>
      <c r="F1061" s="2">
        <v>7</v>
      </c>
      <c r="G1061" s="2">
        <v>1</v>
      </c>
      <c r="H1061" s="2" t="s">
        <v>38</v>
      </c>
      <c r="I1061" s="2">
        <v>1</v>
      </c>
      <c r="J1061" s="2">
        <v>1492</v>
      </c>
      <c r="K1061" s="2">
        <v>4</v>
      </c>
      <c r="L1061" s="2" t="s">
        <v>46</v>
      </c>
      <c r="M1061" s="2">
        <v>76</v>
      </c>
      <c r="N1061" s="2">
        <v>3</v>
      </c>
      <c r="O1061" s="2">
        <v>1</v>
      </c>
      <c r="P1061" s="2" t="s">
        <v>57</v>
      </c>
      <c r="Q1061" s="2">
        <v>3</v>
      </c>
      <c r="R1061" s="2" t="s">
        <v>48</v>
      </c>
      <c r="S1061" s="2">
        <v>2404</v>
      </c>
      <c r="T1061" s="2">
        <v>16192</v>
      </c>
      <c r="U1061" s="2">
        <v>1</v>
      </c>
      <c r="V1061" s="2" t="s">
        <v>42</v>
      </c>
      <c r="W1061" s="2" t="s">
        <v>43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</row>
    <row r="1062" spans="1:35" x14ac:dyDescent="0.25">
      <c r="A1062" s="2">
        <v>24</v>
      </c>
      <c r="B1062" s="2" t="s">
        <v>35</v>
      </c>
      <c r="C1062" s="2" t="s">
        <v>44</v>
      </c>
      <c r="D1062" s="2">
        <v>381</v>
      </c>
      <c r="E1062" s="2" t="s">
        <v>45</v>
      </c>
      <c r="F1062" s="2">
        <v>9</v>
      </c>
      <c r="G1062" s="2">
        <v>3</v>
      </c>
      <c r="H1062" s="2" t="s">
        <v>51</v>
      </c>
      <c r="I1062" s="2">
        <v>1</v>
      </c>
      <c r="J1062" s="2">
        <v>1494</v>
      </c>
      <c r="K1062" s="2">
        <v>2</v>
      </c>
      <c r="L1062" s="2" t="s">
        <v>46</v>
      </c>
      <c r="M1062" s="2">
        <v>89</v>
      </c>
      <c r="N1062" s="2">
        <v>3</v>
      </c>
      <c r="O1062" s="2">
        <v>1</v>
      </c>
      <c r="P1062" s="2" t="s">
        <v>50</v>
      </c>
      <c r="Q1062" s="2">
        <v>1</v>
      </c>
      <c r="R1062" s="2" t="s">
        <v>41</v>
      </c>
      <c r="S1062" s="2">
        <v>3172</v>
      </c>
      <c r="T1062" s="2">
        <v>16998</v>
      </c>
      <c r="U1062" s="2">
        <v>2</v>
      </c>
      <c r="V1062" s="2" t="s">
        <v>42</v>
      </c>
      <c r="W1062" s="2" t="s">
        <v>35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</row>
    <row r="1063" spans="1:35" x14ac:dyDescent="0.25">
      <c r="A1063" s="2">
        <v>24</v>
      </c>
      <c r="B1063" s="2" t="s">
        <v>43</v>
      </c>
      <c r="C1063" s="2" t="s">
        <v>55</v>
      </c>
      <c r="D1063" s="2">
        <v>830</v>
      </c>
      <c r="E1063" s="2" t="s">
        <v>37</v>
      </c>
      <c r="F1063" s="2">
        <v>13</v>
      </c>
      <c r="G1063" s="2">
        <v>2</v>
      </c>
      <c r="H1063" s="2" t="s">
        <v>38</v>
      </c>
      <c r="I1063" s="2">
        <v>1</v>
      </c>
      <c r="J1063" s="2">
        <v>1495</v>
      </c>
      <c r="K1063" s="2">
        <v>4</v>
      </c>
      <c r="L1063" s="2" t="s">
        <v>39</v>
      </c>
      <c r="M1063" s="2">
        <v>78</v>
      </c>
      <c r="N1063" s="2">
        <v>3</v>
      </c>
      <c r="O1063" s="2">
        <v>1</v>
      </c>
      <c r="P1063" s="2" t="s">
        <v>57</v>
      </c>
      <c r="Q1063" s="2">
        <v>2</v>
      </c>
      <c r="R1063" s="2" t="s">
        <v>48</v>
      </c>
      <c r="S1063" s="2">
        <v>2033</v>
      </c>
      <c r="T1063" s="2">
        <v>7103</v>
      </c>
      <c r="U1063" s="2">
        <v>1</v>
      </c>
      <c r="V1063" s="2" t="s">
        <v>42</v>
      </c>
      <c r="W1063" s="2" t="s">
        <v>43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</row>
    <row r="1064" spans="1:35" x14ac:dyDescent="0.25">
      <c r="A1064" s="2">
        <v>44</v>
      </c>
      <c r="B1064" s="2" t="s">
        <v>43</v>
      </c>
      <c r="C1064" s="2" t="s">
        <v>44</v>
      </c>
      <c r="D1064" s="2">
        <v>1193</v>
      </c>
      <c r="E1064" s="2" t="s">
        <v>45</v>
      </c>
      <c r="F1064" s="2">
        <v>2</v>
      </c>
      <c r="G1064" s="2">
        <v>1</v>
      </c>
      <c r="H1064" s="2" t="s">
        <v>51</v>
      </c>
      <c r="I1064" s="2">
        <v>1</v>
      </c>
      <c r="J1064" s="2">
        <v>1496</v>
      </c>
      <c r="K1064" s="2">
        <v>2</v>
      </c>
      <c r="L1064" s="2" t="s">
        <v>46</v>
      </c>
      <c r="M1064" s="2">
        <v>86</v>
      </c>
      <c r="N1064" s="2">
        <v>3</v>
      </c>
      <c r="O1064" s="2">
        <v>3</v>
      </c>
      <c r="P1064" s="2" t="s">
        <v>53</v>
      </c>
      <c r="Q1064" s="2">
        <v>3</v>
      </c>
      <c r="R1064" s="2" t="s">
        <v>41</v>
      </c>
      <c r="S1064" s="2">
        <v>10209</v>
      </c>
      <c r="T1064" s="2">
        <v>19719</v>
      </c>
      <c r="U1064" s="2">
        <v>5</v>
      </c>
      <c r="V1064" s="2" t="s">
        <v>42</v>
      </c>
      <c r="W1064" s="2" t="s">
        <v>35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</row>
    <row r="1065" spans="1:35" x14ac:dyDescent="0.25">
      <c r="A1065" s="2">
        <v>29</v>
      </c>
      <c r="B1065" s="2" t="s">
        <v>43</v>
      </c>
      <c r="C1065" s="2" t="s">
        <v>36</v>
      </c>
      <c r="D1065" s="2">
        <v>1246</v>
      </c>
      <c r="E1065" s="2" t="s">
        <v>37</v>
      </c>
      <c r="F1065" s="2">
        <v>19</v>
      </c>
      <c r="G1065" s="2">
        <v>3</v>
      </c>
      <c r="H1065" s="2" t="s">
        <v>38</v>
      </c>
      <c r="I1065" s="2">
        <v>1</v>
      </c>
      <c r="J1065" s="2">
        <v>1497</v>
      </c>
      <c r="K1065" s="2">
        <v>3</v>
      </c>
      <c r="L1065" s="2" t="s">
        <v>46</v>
      </c>
      <c r="M1065" s="2">
        <v>77</v>
      </c>
      <c r="N1065" s="2">
        <v>2</v>
      </c>
      <c r="O1065" s="2">
        <v>2</v>
      </c>
      <c r="P1065" s="2" t="s">
        <v>40</v>
      </c>
      <c r="Q1065" s="2">
        <v>3</v>
      </c>
      <c r="R1065" s="2" t="s">
        <v>52</v>
      </c>
      <c r="S1065" s="2">
        <v>8620</v>
      </c>
      <c r="T1065" s="2">
        <v>23757</v>
      </c>
      <c r="U1065" s="2">
        <v>1</v>
      </c>
      <c r="V1065" s="2" t="s">
        <v>42</v>
      </c>
      <c r="W1065" s="2" t="s">
        <v>43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</row>
    <row r="1066" spans="1:35" x14ac:dyDescent="0.25">
      <c r="A1066" s="2">
        <v>30</v>
      </c>
      <c r="B1066" s="2" t="s">
        <v>43</v>
      </c>
      <c r="C1066" s="2" t="s">
        <v>36</v>
      </c>
      <c r="D1066" s="2">
        <v>330</v>
      </c>
      <c r="E1066" s="2" t="s">
        <v>61</v>
      </c>
      <c r="F1066" s="2">
        <v>1</v>
      </c>
      <c r="G1066" s="2">
        <v>3</v>
      </c>
      <c r="H1066" s="2" t="s">
        <v>38</v>
      </c>
      <c r="I1066" s="2">
        <v>1</v>
      </c>
      <c r="J1066" s="2">
        <v>1499</v>
      </c>
      <c r="K1066" s="2">
        <v>3</v>
      </c>
      <c r="L1066" s="2" t="s">
        <v>46</v>
      </c>
      <c r="M1066" s="2">
        <v>46</v>
      </c>
      <c r="N1066" s="2">
        <v>3</v>
      </c>
      <c r="O1066" s="2">
        <v>1</v>
      </c>
      <c r="P1066" s="2" t="s">
        <v>61</v>
      </c>
      <c r="Q1066" s="2">
        <v>3</v>
      </c>
      <c r="R1066" s="2" t="s">
        <v>52</v>
      </c>
      <c r="S1066" s="2">
        <v>2064</v>
      </c>
      <c r="T1066" s="2">
        <v>15428</v>
      </c>
      <c r="U1066" s="2">
        <v>0</v>
      </c>
      <c r="V1066" s="2" t="s">
        <v>42</v>
      </c>
      <c r="W1066" s="2" t="s">
        <v>43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</row>
    <row r="1067" spans="1:35" x14ac:dyDescent="0.25">
      <c r="A1067" s="2">
        <v>55</v>
      </c>
      <c r="B1067" s="2" t="s">
        <v>43</v>
      </c>
      <c r="C1067" s="2" t="s">
        <v>36</v>
      </c>
      <c r="D1067" s="2">
        <v>1229</v>
      </c>
      <c r="E1067" s="2" t="s">
        <v>45</v>
      </c>
      <c r="F1067" s="2">
        <v>4</v>
      </c>
      <c r="G1067" s="2">
        <v>4</v>
      </c>
      <c r="H1067" s="2" t="s">
        <v>38</v>
      </c>
      <c r="I1067" s="2">
        <v>1</v>
      </c>
      <c r="J1067" s="2">
        <v>1501</v>
      </c>
      <c r="K1067" s="2">
        <v>4</v>
      </c>
      <c r="L1067" s="2" t="s">
        <v>46</v>
      </c>
      <c r="M1067" s="2">
        <v>30</v>
      </c>
      <c r="N1067" s="2">
        <v>3</v>
      </c>
      <c r="O1067" s="2">
        <v>2</v>
      </c>
      <c r="P1067" s="2" t="s">
        <v>54</v>
      </c>
      <c r="Q1067" s="2">
        <v>3</v>
      </c>
      <c r="R1067" s="2" t="s">
        <v>48</v>
      </c>
      <c r="S1067" s="2">
        <v>4035</v>
      </c>
      <c r="T1067" s="2">
        <v>16143</v>
      </c>
      <c r="U1067" s="2">
        <v>0</v>
      </c>
      <c r="V1067" s="2" t="s">
        <v>42</v>
      </c>
      <c r="W1067" s="2" t="s">
        <v>35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</row>
    <row r="1068" spans="1:35" x14ac:dyDescent="0.25">
      <c r="A1068" s="2">
        <v>33</v>
      </c>
      <c r="B1068" s="2" t="s">
        <v>43</v>
      </c>
      <c r="C1068" s="2" t="s">
        <v>36</v>
      </c>
      <c r="D1068" s="2">
        <v>1099</v>
      </c>
      <c r="E1068" s="2" t="s">
        <v>45</v>
      </c>
      <c r="F1068" s="2">
        <v>4</v>
      </c>
      <c r="G1068" s="2">
        <v>4</v>
      </c>
      <c r="H1068" s="2" t="s">
        <v>51</v>
      </c>
      <c r="I1068" s="2">
        <v>1</v>
      </c>
      <c r="J1068" s="2">
        <v>1502</v>
      </c>
      <c r="K1068" s="2">
        <v>1</v>
      </c>
      <c r="L1068" s="2" t="s">
        <v>39</v>
      </c>
      <c r="M1068" s="2">
        <v>82</v>
      </c>
      <c r="N1068" s="2">
        <v>2</v>
      </c>
      <c r="O1068" s="2">
        <v>1</v>
      </c>
      <c r="P1068" s="2" t="s">
        <v>50</v>
      </c>
      <c r="Q1068" s="2">
        <v>2</v>
      </c>
      <c r="R1068" s="2" t="s">
        <v>48</v>
      </c>
      <c r="S1068" s="2">
        <v>3838</v>
      </c>
      <c r="T1068" s="2">
        <v>8192</v>
      </c>
      <c r="U1068" s="2">
        <v>8</v>
      </c>
      <c r="V1068" s="2" t="s">
        <v>42</v>
      </c>
      <c r="W1068" s="2" t="s">
        <v>43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</row>
    <row r="1069" spans="1:35" x14ac:dyDescent="0.25">
      <c r="A1069" s="2">
        <v>47</v>
      </c>
      <c r="B1069" s="2" t="s">
        <v>43</v>
      </c>
      <c r="C1069" s="2" t="s">
        <v>36</v>
      </c>
      <c r="D1069" s="2">
        <v>571</v>
      </c>
      <c r="E1069" s="2" t="s">
        <v>37</v>
      </c>
      <c r="F1069" s="2">
        <v>14</v>
      </c>
      <c r="G1069" s="2">
        <v>3</v>
      </c>
      <c r="H1069" s="2" t="s">
        <v>51</v>
      </c>
      <c r="I1069" s="2">
        <v>1</v>
      </c>
      <c r="J1069" s="2">
        <v>1503</v>
      </c>
      <c r="K1069" s="2">
        <v>3</v>
      </c>
      <c r="L1069" s="2" t="s">
        <v>39</v>
      </c>
      <c r="M1069" s="2">
        <v>78</v>
      </c>
      <c r="N1069" s="2">
        <v>3</v>
      </c>
      <c r="O1069" s="2">
        <v>2</v>
      </c>
      <c r="P1069" s="2" t="s">
        <v>40</v>
      </c>
      <c r="Q1069" s="2">
        <v>3</v>
      </c>
      <c r="R1069" s="2" t="s">
        <v>48</v>
      </c>
      <c r="S1069" s="2">
        <v>4591</v>
      </c>
      <c r="T1069" s="2">
        <v>24200</v>
      </c>
      <c r="U1069" s="2">
        <v>3</v>
      </c>
      <c r="V1069" s="2" t="s">
        <v>42</v>
      </c>
      <c r="W1069" s="2" t="s">
        <v>35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</row>
    <row r="1070" spans="1:35" x14ac:dyDescent="0.25">
      <c r="A1070" s="2">
        <v>28</v>
      </c>
      <c r="B1070" s="2" t="s">
        <v>35</v>
      </c>
      <c r="C1070" s="2" t="s">
        <v>44</v>
      </c>
      <c r="D1070" s="2">
        <v>289</v>
      </c>
      <c r="E1070" s="2" t="s">
        <v>45</v>
      </c>
      <c r="F1070" s="2">
        <v>2</v>
      </c>
      <c r="G1070" s="2">
        <v>2</v>
      </c>
      <c r="H1070" s="2" t="s">
        <v>51</v>
      </c>
      <c r="I1070" s="2">
        <v>1</v>
      </c>
      <c r="J1070" s="2">
        <v>1504</v>
      </c>
      <c r="K1070" s="2">
        <v>3</v>
      </c>
      <c r="L1070" s="2" t="s">
        <v>46</v>
      </c>
      <c r="M1070" s="2">
        <v>38</v>
      </c>
      <c r="N1070" s="2">
        <v>2</v>
      </c>
      <c r="O1070" s="2">
        <v>1</v>
      </c>
      <c r="P1070" s="2" t="s">
        <v>50</v>
      </c>
      <c r="Q1070" s="2">
        <v>1</v>
      </c>
      <c r="R1070" s="2" t="s">
        <v>41</v>
      </c>
      <c r="S1070" s="2">
        <v>2561</v>
      </c>
      <c r="T1070" s="2">
        <v>5355</v>
      </c>
      <c r="U1070" s="2">
        <v>7</v>
      </c>
      <c r="V1070" s="2" t="s">
        <v>42</v>
      </c>
      <c r="W1070" s="2" t="s">
        <v>43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</row>
    <row r="1071" spans="1:35" x14ac:dyDescent="0.25">
      <c r="A1071" s="2">
        <v>28</v>
      </c>
      <c r="B1071" s="2" t="s">
        <v>43</v>
      </c>
      <c r="C1071" s="2" t="s">
        <v>36</v>
      </c>
      <c r="D1071" s="2">
        <v>1423</v>
      </c>
      <c r="E1071" s="2" t="s">
        <v>45</v>
      </c>
      <c r="F1071" s="2">
        <v>1</v>
      </c>
      <c r="G1071" s="2">
        <v>3</v>
      </c>
      <c r="H1071" s="2" t="s">
        <v>38</v>
      </c>
      <c r="I1071" s="2">
        <v>1</v>
      </c>
      <c r="J1071" s="2">
        <v>1506</v>
      </c>
      <c r="K1071" s="2">
        <v>1</v>
      </c>
      <c r="L1071" s="2" t="s">
        <v>46</v>
      </c>
      <c r="M1071" s="2">
        <v>72</v>
      </c>
      <c r="N1071" s="2">
        <v>2</v>
      </c>
      <c r="O1071" s="2">
        <v>1</v>
      </c>
      <c r="P1071" s="2" t="s">
        <v>47</v>
      </c>
      <c r="Q1071" s="2">
        <v>3</v>
      </c>
      <c r="R1071" s="2" t="s">
        <v>52</v>
      </c>
      <c r="S1071" s="2">
        <v>1563</v>
      </c>
      <c r="T1071" s="2">
        <v>12530</v>
      </c>
      <c r="U1071" s="2">
        <v>1</v>
      </c>
      <c r="V1071" s="2" t="s">
        <v>42</v>
      </c>
      <c r="W1071" s="2" t="s">
        <v>43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</row>
    <row r="1072" spans="1:35" x14ac:dyDescent="0.25">
      <c r="A1072" s="2">
        <v>28</v>
      </c>
      <c r="B1072" s="2" t="s">
        <v>43</v>
      </c>
      <c r="C1072" s="2" t="s">
        <v>44</v>
      </c>
      <c r="D1072" s="2">
        <v>467</v>
      </c>
      <c r="E1072" s="2" t="s">
        <v>37</v>
      </c>
      <c r="F1072" s="2">
        <v>7</v>
      </c>
      <c r="G1072" s="2">
        <v>3</v>
      </c>
      <c r="H1072" s="2" t="s">
        <v>38</v>
      </c>
      <c r="I1072" s="2">
        <v>1</v>
      </c>
      <c r="J1072" s="2">
        <v>1507</v>
      </c>
      <c r="K1072" s="2">
        <v>3</v>
      </c>
      <c r="L1072" s="2" t="s">
        <v>46</v>
      </c>
      <c r="M1072" s="2">
        <v>55</v>
      </c>
      <c r="N1072" s="2">
        <v>3</v>
      </c>
      <c r="O1072" s="2">
        <v>2</v>
      </c>
      <c r="P1072" s="2" t="s">
        <v>40</v>
      </c>
      <c r="Q1072" s="2">
        <v>1</v>
      </c>
      <c r="R1072" s="2" t="s">
        <v>41</v>
      </c>
      <c r="S1072" s="2">
        <v>4898</v>
      </c>
      <c r="T1072" s="2">
        <v>11827</v>
      </c>
      <c r="U1072" s="2">
        <v>0</v>
      </c>
      <c r="V1072" s="2" t="s">
        <v>42</v>
      </c>
      <c r="W1072" s="2" t="s">
        <v>43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</row>
    <row r="1073" spans="1:35" x14ac:dyDescent="0.25">
      <c r="A1073" s="2">
        <v>49</v>
      </c>
      <c r="B1073" s="2" t="s">
        <v>43</v>
      </c>
      <c r="C1073" s="2" t="s">
        <v>36</v>
      </c>
      <c r="D1073" s="2">
        <v>271</v>
      </c>
      <c r="E1073" s="2" t="s">
        <v>45</v>
      </c>
      <c r="F1073" s="2">
        <v>3</v>
      </c>
      <c r="G1073" s="2">
        <v>2</v>
      </c>
      <c r="H1073" s="2" t="s">
        <v>51</v>
      </c>
      <c r="I1073" s="2">
        <v>1</v>
      </c>
      <c r="J1073" s="2">
        <v>1509</v>
      </c>
      <c r="K1073" s="2">
        <v>3</v>
      </c>
      <c r="L1073" s="2" t="s">
        <v>39</v>
      </c>
      <c r="M1073" s="2">
        <v>43</v>
      </c>
      <c r="N1073" s="2">
        <v>2</v>
      </c>
      <c r="O1073" s="2">
        <v>2</v>
      </c>
      <c r="P1073" s="2" t="s">
        <v>50</v>
      </c>
      <c r="Q1073" s="2">
        <v>1</v>
      </c>
      <c r="R1073" s="2" t="s">
        <v>48</v>
      </c>
      <c r="S1073" s="2">
        <v>4789</v>
      </c>
      <c r="T1073" s="2">
        <v>23070</v>
      </c>
      <c r="U1073" s="2">
        <v>4</v>
      </c>
      <c r="V1073" s="2" t="s">
        <v>42</v>
      </c>
      <c r="W1073" s="2" t="s">
        <v>43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</row>
    <row r="1074" spans="1:35" x14ac:dyDescent="0.25">
      <c r="A1074" s="2">
        <v>29</v>
      </c>
      <c r="B1074" s="2" t="s">
        <v>43</v>
      </c>
      <c r="C1074" s="2" t="s">
        <v>44</v>
      </c>
      <c r="D1074" s="2">
        <v>410</v>
      </c>
      <c r="E1074" s="2" t="s">
        <v>45</v>
      </c>
      <c r="F1074" s="2">
        <v>2</v>
      </c>
      <c r="G1074" s="2">
        <v>1</v>
      </c>
      <c r="H1074" s="2" t="s">
        <v>38</v>
      </c>
      <c r="I1074" s="2">
        <v>1</v>
      </c>
      <c r="J1074" s="2">
        <v>1513</v>
      </c>
      <c r="K1074" s="2">
        <v>4</v>
      </c>
      <c r="L1074" s="2" t="s">
        <v>39</v>
      </c>
      <c r="M1074" s="2">
        <v>97</v>
      </c>
      <c r="N1074" s="2">
        <v>3</v>
      </c>
      <c r="O1074" s="2">
        <v>1</v>
      </c>
      <c r="P1074" s="2" t="s">
        <v>50</v>
      </c>
      <c r="Q1074" s="2">
        <v>2</v>
      </c>
      <c r="R1074" s="2" t="s">
        <v>48</v>
      </c>
      <c r="S1074" s="2">
        <v>3180</v>
      </c>
      <c r="T1074" s="2">
        <v>4668</v>
      </c>
      <c r="U1074" s="2">
        <v>0</v>
      </c>
      <c r="V1074" s="2" t="s">
        <v>42</v>
      </c>
      <c r="W1074" s="2" t="s">
        <v>43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</row>
    <row r="1075" spans="1:35" x14ac:dyDescent="0.25">
      <c r="A1075" s="2">
        <v>28</v>
      </c>
      <c r="B1075" s="2" t="s">
        <v>43</v>
      </c>
      <c r="C1075" s="2" t="s">
        <v>36</v>
      </c>
      <c r="D1075" s="2">
        <v>1083</v>
      </c>
      <c r="E1075" s="2" t="s">
        <v>45</v>
      </c>
      <c r="F1075" s="2">
        <v>29</v>
      </c>
      <c r="G1075" s="2">
        <v>1</v>
      </c>
      <c r="H1075" s="2" t="s">
        <v>38</v>
      </c>
      <c r="I1075" s="2">
        <v>1</v>
      </c>
      <c r="J1075" s="2">
        <v>1514</v>
      </c>
      <c r="K1075" s="2">
        <v>3</v>
      </c>
      <c r="L1075" s="2" t="s">
        <v>46</v>
      </c>
      <c r="M1075" s="2">
        <v>96</v>
      </c>
      <c r="N1075" s="2">
        <v>1</v>
      </c>
      <c r="O1075" s="2">
        <v>2</v>
      </c>
      <c r="P1075" s="2" t="s">
        <v>53</v>
      </c>
      <c r="Q1075" s="2">
        <v>2</v>
      </c>
      <c r="R1075" s="2" t="s">
        <v>48</v>
      </c>
      <c r="S1075" s="2">
        <v>6549</v>
      </c>
      <c r="T1075" s="2">
        <v>3173</v>
      </c>
      <c r="U1075" s="2">
        <v>1</v>
      </c>
      <c r="V1075" s="2" t="s">
        <v>42</v>
      </c>
      <c r="W1075" s="2" t="s">
        <v>43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</row>
    <row r="1076" spans="1:35" x14ac:dyDescent="0.25">
      <c r="A1076" s="2">
        <v>33</v>
      </c>
      <c r="B1076" s="2" t="s">
        <v>43</v>
      </c>
      <c r="C1076" s="2" t="s">
        <v>36</v>
      </c>
      <c r="D1076" s="2">
        <v>516</v>
      </c>
      <c r="E1076" s="2" t="s">
        <v>45</v>
      </c>
      <c r="F1076" s="2">
        <v>8</v>
      </c>
      <c r="G1076" s="2">
        <v>5</v>
      </c>
      <c r="H1076" s="2" t="s">
        <v>38</v>
      </c>
      <c r="I1076" s="2">
        <v>1</v>
      </c>
      <c r="J1076" s="2">
        <v>1515</v>
      </c>
      <c r="K1076" s="2">
        <v>4</v>
      </c>
      <c r="L1076" s="2" t="s">
        <v>46</v>
      </c>
      <c r="M1076" s="2">
        <v>69</v>
      </c>
      <c r="N1076" s="2">
        <v>3</v>
      </c>
      <c r="O1076" s="2">
        <v>2</v>
      </c>
      <c r="P1076" s="2" t="s">
        <v>54</v>
      </c>
      <c r="Q1076" s="2">
        <v>3</v>
      </c>
      <c r="R1076" s="2" t="s">
        <v>41</v>
      </c>
      <c r="S1076" s="2">
        <v>6388</v>
      </c>
      <c r="T1076" s="2">
        <v>22049</v>
      </c>
      <c r="U1076" s="2">
        <v>2</v>
      </c>
      <c r="V1076" s="2" t="s">
        <v>42</v>
      </c>
      <c r="W1076" s="2" t="s">
        <v>35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</row>
    <row r="1077" spans="1:35" x14ac:dyDescent="0.25">
      <c r="A1077" s="2">
        <v>32</v>
      </c>
      <c r="B1077" s="2" t="s">
        <v>43</v>
      </c>
      <c r="C1077" s="2" t="s">
        <v>36</v>
      </c>
      <c r="D1077" s="2">
        <v>495</v>
      </c>
      <c r="E1077" s="2" t="s">
        <v>45</v>
      </c>
      <c r="F1077" s="2">
        <v>10</v>
      </c>
      <c r="G1077" s="2">
        <v>3</v>
      </c>
      <c r="H1077" s="2" t="s">
        <v>51</v>
      </c>
      <c r="I1077" s="2">
        <v>1</v>
      </c>
      <c r="J1077" s="2">
        <v>1516</v>
      </c>
      <c r="K1077" s="2">
        <v>3</v>
      </c>
      <c r="L1077" s="2" t="s">
        <v>46</v>
      </c>
      <c r="M1077" s="2">
        <v>64</v>
      </c>
      <c r="N1077" s="2">
        <v>3</v>
      </c>
      <c r="O1077" s="2">
        <v>3</v>
      </c>
      <c r="P1077" s="2" t="s">
        <v>56</v>
      </c>
      <c r="Q1077" s="2">
        <v>4</v>
      </c>
      <c r="R1077" s="2" t="s">
        <v>41</v>
      </c>
      <c r="S1077" s="2">
        <v>11244</v>
      </c>
      <c r="T1077" s="2">
        <v>21072</v>
      </c>
      <c r="U1077" s="2">
        <v>2</v>
      </c>
      <c r="V1077" s="2" t="s">
        <v>42</v>
      </c>
      <c r="W1077" s="2" t="s">
        <v>43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</row>
    <row r="1078" spans="1:35" x14ac:dyDescent="0.25">
      <c r="A1078" s="2">
        <v>54</v>
      </c>
      <c r="B1078" s="2" t="s">
        <v>43</v>
      </c>
      <c r="C1078" s="2" t="s">
        <v>44</v>
      </c>
      <c r="D1078" s="2">
        <v>1050</v>
      </c>
      <c r="E1078" s="2" t="s">
        <v>45</v>
      </c>
      <c r="F1078" s="2">
        <v>11</v>
      </c>
      <c r="G1078" s="2">
        <v>4</v>
      </c>
      <c r="H1078" s="2" t="s">
        <v>51</v>
      </c>
      <c r="I1078" s="2">
        <v>1</v>
      </c>
      <c r="J1078" s="2">
        <v>1520</v>
      </c>
      <c r="K1078" s="2">
        <v>2</v>
      </c>
      <c r="L1078" s="2" t="s">
        <v>39</v>
      </c>
      <c r="M1078" s="2">
        <v>87</v>
      </c>
      <c r="N1078" s="2">
        <v>3</v>
      </c>
      <c r="O1078" s="2">
        <v>4</v>
      </c>
      <c r="P1078" s="2" t="s">
        <v>56</v>
      </c>
      <c r="Q1078" s="2">
        <v>4</v>
      </c>
      <c r="R1078" s="2" t="s">
        <v>52</v>
      </c>
      <c r="S1078" s="2">
        <v>16032</v>
      </c>
      <c r="T1078" s="2">
        <v>24456</v>
      </c>
      <c r="U1078" s="2">
        <v>3</v>
      </c>
      <c r="V1078" s="2" t="s">
        <v>42</v>
      </c>
      <c r="W1078" s="2" t="s">
        <v>43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</row>
    <row r="1079" spans="1:35" x14ac:dyDescent="0.25">
      <c r="A1079" s="2">
        <v>29</v>
      </c>
      <c r="B1079" s="2" t="s">
        <v>35</v>
      </c>
      <c r="C1079" s="2" t="s">
        <v>36</v>
      </c>
      <c r="D1079" s="2">
        <v>224</v>
      </c>
      <c r="E1079" s="2" t="s">
        <v>45</v>
      </c>
      <c r="F1079" s="2">
        <v>1</v>
      </c>
      <c r="G1079" s="2">
        <v>4</v>
      </c>
      <c r="H1079" s="2" t="s">
        <v>60</v>
      </c>
      <c r="I1079" s="2">
        <v>1</v>
      </c>
      <c r="J1079" s="2">
        <v>1522</v>
      </c>
      <c r="K1079" s="2">
        <v>1</v>
      </c>
      <c r="L1079" s="2" t="s">
        <v>46</v>
      </c>
      <c r="M1079" s="2">
        <v>100</v>
      </c>
      <c r="N1079" s="2">
        <v>2</v>
      </c>
      <c r="O1079" s="2">
        <v>1</v>
      </c>
      <c r="P1079" s="2" t="s">
        <v>47</v>
      </c>
      <c r="Q1079" s="2">
        <v>1</v>
      </c>
      <c r="R1079" s="2" t="s">
        <v>41</v>
      </c>
      <c r="S1079" s="2">
        <v>2362</v>
      </c>
      <c r="T1079" s="2">
        <v>7568</v>
      </c>
      <c r="U1079" s="2">
        <v>6</v>
      </c>
      <c r="V1079" s="2" t="s">
        <v>42</v>
      </c>
      <c r="W1079" s="2" t="s">
        <v>43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</row>
    <row r="1080" spans="1:35" x14ac:dyDescent="0.25">
      <c r="A1080" s="2">
        <v>44</v>
      </c>
      <c r="B1080" s="2" t="s">
        <v>43</v>
      </c>
      <c r="C1080" s="2" t="s">
        <v>36</v>
      </c>
      <c r="D1080" s="2">
        <v>136</v>
      </c>
      <c r="E1080" s="2" t="s">
        <v>45</v>
      </c>
      <c r="F1080" s="2">
        <v>28</v>
      </c>
      <c r="G1080" s="2">
        <v>3</v>
      </c>
      <c r="H1080" s="2" t="s">
        <v>38</v>
      </c>
      <c r="I1080" s="2">
        <v>1</v>
      </c>
      <c r="J1080" s="2">
        <v>1523</v>
      </c>
      <c r="K1080" s="2">
        <v>4</v>
      </c>
      <c r="L1080" s="2" t="s">
        <v>46</v>
      </c>
      <c r="M1080" s="2">
        <v>32</v>
      </c>
      <c r="N1080" s="2">
        <v>3</v>
      </c>
      <c r="O1080" s="2">
        <v>4</v>
      </c>
      <c r="P1080" s="2" t="s">
        <v>58</v>
      </c>
      <c r="Q1080" s="2">
        <v>1</v>
      </c>
      <c r="R1080" s="2" t="s">
        <v>48</v>
      </c>
      <c r="S1080" s="2">
        <v>16328</v>
      </c>
      <c r="T1080" s="2">
        <v>22074</v>
      </c>
      <c r="U1080" s="2">
        <v>3</v>
      </c>
      <c r="V1080" s="2" t="s">
        <v>42</v>
      </c>
      <c r="W1080" s="2" t="s">
        <v>43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</row>
    <row r="1081" spans="1:35" x14ac:dyDescent="0.25">
      <c r="A1081" s="2">
        <v>39</v>
      </c>
      <c r="B1081" s="2" t="s">
        <v>43</v>
      </c>
      <c r="C1081" s="2" t="s">
        <v>36</v>
      </c>
      <c r="D1081" s="2">
        <v>1089</v>
      </c>
      <c r="E1081" s="2" t="s">
        <v>45</v>
      </c>
      <c r="F1081" s="2">
        <v>6</v>
      </c>
      <c r="G1081" s="2">
        <v>3</v>
      </c>
      <c r="H1081" s="2" t="s">
        <v>38</v>
      </c>
      <c r="I1081" s="2">
        <v>1</v>
      </c>
      <c r="J1081" s="2">
        <v>1525</v>
      </c>
      <c r="K1081" s="2">
        <v>2</v>
      </c>
      <c r="L1081" s="2" t="s">
        <v>39</v>
      </c>
      <c r="M1081" s="2">
        <v>32</v>
      </c>
      <c r="N1081" s="2">
        <v>3</v>
      </c>
      <c r="O1081" s="2">
        <v>3</v>
      </c>
      <c r="P1081" s="2" t="s">
        <v>53</v>
      </c>
      <c r="Q1081" s="2">
        <v>2</v>
      </c>
      <c r="R1081" s="2" t="s">
        <v>41</v>
      </c>
      <c r="S1081" s="2">
        <v>8376</v>
      </c>
      <c r="T1081" s="2">
        <v>9150</v>
      </c>
      <c r="U1081" s="2">
        <v>4</v>
      </c>
      <c r="V1081" s="2" t="s">
        <v>42</v>
      </c>
      <c r="W1081" s="2" t="s">
        <v>43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</row>
    <row r="1082" spans="1:35" x14ac:dyDescent="0.25">
      <c r="A1082" s="2">
        <v>46</v>
      </c>
      <c r="B1082" s="2" t="s">
        <v>43</v>
      </c>
      <c r="C1082" s="2" t="s">
        <v>36</v>
      </c>
      <c r="D1082" s="2">
        <v>228</v>
      </c>
      <c r="E1082" s="2" t="s">
        <v>37</v>
      </c>
      <c r="F1082" s="2">
        <v>3</v>
      </c>
      <c r="G1082" s="2">
        <v>3</v>
      </c>
      <c r="H1082" s="2" t="s">
        <v>38</v>
      </c>
      <c r="I1082" s="2">
        <v>1</v>
      </c>
      <c r="J1082" s="2">
        <v>1527</v>
      </c>
      <c r="K1082" s="2">
        <v>3</v>
      </c>
      <c r="L1082" s="2" t="s">
        <v>39</v>
      </c>
      <c r="M1082" s="2">
        <v>51</v>
      </c>
      <c r="N1082" s="2">
        <v>3</v>
      </c>
      <c r="O1082" s="2">
        <v>4</v>
      </c>
      <c r="P1082" s="2" t="s">
        <v>56</v>
      </c>
      <c r="Q1082" s="2">
        <v>2</v>
      </c>
      <c r="R1082" s="2" t="s">
        <v>48</v>
      </c>
      <c r="S1082" s="2">
        <v>16606</v>
      </c>
      <c r="T1082" s="2">
        <v>11380</v>
      </c>
      <c r="U1082" s="2">
        <v>8</v>
      </c>
      <c r="V1082" s="2" t="s">
        <v>42</v>
      </c>
      <c r="W1082" s="2" t="s">
        <v>43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</row>
    <row r="1083" spans="1:35" x14ac:dyDescent="0.25">
      <c r="A1083" s="2">
        <v>35</v>
      </c>
      <c r="B1083" s="2" t="s">
        <v>43</v>
      </c>
      <c r="C1083" s="2" t="s">
        <v>36</v>
      </c>
      <c r="D1083" s="2">
        <v>1029</v>
      </c>
      <c r="E1083" s="2" t="s">
        <v>45</v>
      </c>
      <c r="F1083" s="2">
        <v>16</v>
      </c>
      <c r="G1083" s="2">
        <v>3</v>
      </c>
      <c r="H1083" s="2" t="s">
        <v>38</v>
      </c>
      <c r="I1083" s="2">
        <v>1</v>
      </c>
      <c r="J1083" s="2">
        <v>1529</v>
      </c>
      <c r="K1083" s="2">
        <v>4</v>
      </c>
      <c r="L1083" s="2" t="s">
        <v>39</v>
      </c>
      <c r="M1083" s="2">
        <v>91</v>
      </c>
      <c r="N1083" s="2">
        <v>2</v>
      </c>
      <c r="O1083" s="2">
        <v>3</v>
      </c>
      <c r="P1083" s="2" t="s">
        <v>54</v>
      </c>
      <c r="Q1083" s="2">
        <v>2</v>
      </c>
      <c r="R1083" s="2" t="s">
        <v>41</v>
      </c>
      <c r="S1083" s="2">
        <v>8606</v>
      </c>
      <c r="T1083" s="2">
        <v>21195</v>
      </c>
      <c r="U1083" s="2">
        <v>1</v>
      </c>
      <c r="V1083" s="2" t="s">
        <v>42</v>
      </c>
      <c r="W1083" s="2" t="s">
        <v>43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</row>
    <row r="1084" spans="1:35" x14ac:dyDescent="0.25">
      <c r="A1084" s="2">
        <v>23</v>
      </c>
      <c r="B1084" s="2" t="s">
        <v>43</v>
      </c>
      <c r="C1084" s="2" t="s">
        <v>36</v>
      </c>
      <c r="D1084" s="2">
        <v>507</v>
      </c>
      <c r="E1084" s="2" t="s">
        <v>45</v>
      </c>
      <c r="F1084" s="2">
        <v>20</v>
      </c>
      <c r="G1084" s="2">
        <v>1</v>
      </c>
      <c r="H1084" s="2" t="s">
        <v>38</v>
      </c>
      <c r="I1084" s="2">
        <v>1</v>
      </c>
      <c r="J1084" s="2">
        <v>1533</v>
      </c>
      <c r="K1084" s="2">
        <v>1</v>
      </c>
      <c r="L1084" s="2" t="s">
        <v>46</v>
      </c>
      <c r="M1084" s="2">
        <v>97</v>
      </c>
      <c r="N1084" s="2">
        <v>3</v>
      </c>
      <c r="O1084" s="2">
        <v>2</v>
      </c>
      <c r="P1084" s="2" t="s">
        <v>50</v>
      </c>
      <c r="Q1084" s="2">
        <v>3</v>
      </c>
      <c r="R1084" s="2" t="s">
        <v>41</v>
      </c>
      <c r="S1084" s="2">
        <v>2272</v>
      </c>
      <c r="T1084" s="2">
        <v>24812</v>
      </c>
      <c r="U1084" s="2">
        <v>0</v>
      </c>
      <c r="V1084" s="2" t="s">
        <v>42</v>
      </c>
      <c r="W1084" s="2" t="s">
        <v>43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</row>
    <row r="1085" spans="1:35" x14ac:dyDescent="0.25">
      <c r="A1085" s="2">
        <v>40</v>
      </c>
      <c r="B1085" s="2" t="s">
        <v>35</v>
      </c>
      <c r="C1085" s="2" t="s">
        <v>36</v>
      </c>
      <c r="D1085" s="2">
        <v>676</v>
      </c>
      <c r="E1085" s="2" t="s">
        <v>45</v>
      </c>
      <c r="F1085" s="2">
        <v>9</v>
      </c>
      <c r="G1085" s="2">
        <v>4</v>
      </c>
      <c r="H1085" s="2" t="s">
        <v>38</v>
      </c>
      <c r="I1085" s="2">
        <v>1</v>
      </c>
      <c r="J1085" s="2">
        <v>1534</v>
      </c>
      <c r="K1085" s="2">
        <v>4</v>
      </c>
      <c r="L1085" s="2" t="s">
        <v>46</v>
      </c>
      <c r="M1085" s="2">
        <v>86</v>
      </c>
      <c r="N1085" s="2">
        <v>3</v>
      </c>
      <c r="O1085" s="2">
        <v>1</v>
      </c>
      <c r="P1085" s="2" t="s">
        <v>50</v>
      </c>
      <c r="Q1085" s="2">
        <v>1</v>
      </c>
      <c r="R1085" s="2" t="s">
        <v>41</v>
      </c>
      <c r="S1085" s="2">
        <v>2018</v>
      </c>
      <c r="T1085" s="2">
        <v>21831</v>
      </c>
      <c r="U1085" s="2">
        <v>3</v>
      </c>
      <c r="V1085" s="2" t="s">
        <v>42</v>
      </c>
      <c r="W1085" s="2" t="s">
        <v>43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</row>
    <row r="1086" spans="1:35" x14ac:dyDescent="0.25">
      <c r="A1086" s="2">
        <v>34</v>
      </c>
      <c r="B1086" s="2" t="s">
        <v>43</v>
      </c>
      <c r="C1086" s="2" t="s">
        <v>36</v>
      </c>
      <c r="D1086" s="2">
        <v>971</v>
      </c>
      <c r="E1086" s="2" t="s">
        <v>37</v>
      </c>
      <c r="F1086" s="2">
        <v>1</v>
      </c>
      <c r="G1086" s="2">
        <v>3</v>
      </c>
      <c r="H1086" s="2" t="s">
        <v>60</v>
      </c>
      <c r="I1086" s="2">
        <v>1</v>
      </c>
      <c r="J1086" s="2">
        <v>1535</v>
      </c>
      <c r="K1086" s="2">
        <v>4</v>
      </c>
      <c r="L1086" s="2" t="s">
        <v>46</v>
      </c>
      <c r="M1086" s="2">
        <v>64</v>
      </c>
      <c r="N1086" s="2">
        <v>2</v>
      </c>
      <c r="O1086" s="2">
        <v>3</v>
      </c>
      <c r="P1086" s="2" t="s">
        <v>40</v>
      </c>
      <c r="Q1086" s="2">
        <v>3</v>
      </c>
      <c r="R1086" s="2" t="s">
        <v>48</v>
      </c>
      <c r="S1086" s="2">
        <v>7083</v>
      </c>
      <c r="T1086" s="2">
        <v>12288</v>
      </c>
      <c r="U1086" s="2">
        <v>1</v>
      </c>
      <c r="V1086" s="2" t="s">
        <v>42</v>
      </c>
      <c r="W1086" s="2" t="s">
        <v>35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</row>
    <row r="1087" spans="1:35" x14ac:dyDescent="0.25">
      <c r="A1087" s="2">
        <v>31</v>
      </c>
      <c r="B1087" s="2" t="s">
        <v>35</v>
      </c>
      <c r="C1087" s="2" t="s">
        <v>44</v>
      </c>
      <c r="D1087" s="2">
        <v>561</v>
      </c>
      <c r="E1087" s="2" t="s">
        <v>45</v>
      </c>
      <c r="F1087" s="2">
        <v>3</v>
      </c>
      <c r="G1087" s="2">
        <v>3</v>
      </c>
      <c r="H1087" s="2" t="s">
        <v>38</v>
      </c>
      <c r="I1087" s="2">
        <v>1</v>
      </c>
      <c r="J1087" s="2">
        <v>1537</v>
      </c>
      <c r="K1087" s="2">
        <v>4</v>
      </c>
      <c r="L1087" s="2" t="s">
        <v>39</v>
      </c>
      <c r="M1087" s="2">
        <v>33</v>
      </c>
      <c r="N1087" s="2">
        <v>3</v>
      </c>
      <c r="O1087" s="2">
        <v>1</v>
      </c>
      <c r="P1087" s="2" t="s">
        <v>47</v>
      </c>
      <c r="Q1087" s="2">
        <v>3</v>
      </c>
      <c r="R1087" s="2" t="s">
        <v>41</v>
      </c>
      <c r="S1087" s="2">
        <v>4084</v>
      </c>
      <c r="T1087" s="2">
        <v>4156</v>
      </c>
      <c r="U1087" s="2">
        <v>1</v>
      </c>
      <c r="V1087" s="2" t="s">
        <v>42</v>
      </c>
      <c r="W1087" s="2" t="s">
        <v>43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</row>
    <row r="1088" spans="1:35" x14ac:dyDescent="0.25">
      <c r="A1088" s="2">
        <v>50</v>
      </c>
      <c r="B1088" s="2" t="s">
        <v>43</v>
      </c>
      <c r="C1088" s="2" t="s">
        <v>44</v>
      </c>
      <c r="D1088" s="2">
        <v>333</v>
      </c>
      <c r="E1088" s="2" t="s">
        <v>45</v>
      </c>
      <c r="F1088" s="2">
        <v>22</v>
      </c>
      <c r="G1088" s="2">
        <v>5</v>
      </c>
      <c r="H1088" s="2" t="s">
        <v>51</v>
      </c>
      <c r="I1088" s="2">
        <v>1</v>
      </c>
      <c r="J1088" s="2">
        <v>1539</v>
      </c>
      <c r="K1088" s="2">
        <v>3</v>
      </c>
      <c r="L1088" s="2" t="s">
        <v>46</v>
      </c>
      <c r="M1088" s="2">
        <v>88</v>
      </c>
      <c r="N1088" s="2">
        <v>1</v>
      </c>
      <c r="O1088" s="2">
        <v>4</v>
      </c>
      <c r="P1088" s="2" t="s">
        <v>58</v>
      </c>
      <c r="Q1088" s="2">
        <v>4</v>
      </c>
      <c r="R1088" s="2" t="s">
        <v>41</v>
      </c>
      <c r="S1088" s="2">
        <v>14411</v>
      </c>
      <c r="T1088" s="2">
        <v>24450</v>
      </c>
      <c r="U1088" s="2">
        <v>1</v>
      </c>
      <c r="V1088" s="2" t="s">
        <v>42</v>
      </c>
      <c r="W1088" s="2" t="s">
        <v>35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</row>
    <row r="1089" spans="1:35" x14ac:dyDescent="0.25">
      <c r="A1089" s="2">
        <v>34</v>
      </c>
      <c r="B1089" s="2" t="s">
        <v>43</v>
      </c>
      <c r="C1089" s="2" t="s">
        <v>36</v>
      </c>
      <c r="D1089" s="2">
        <v>1440</v>
      </c>
      <c r="E1089" s="2" t="s">
        <v>37</v>
      </c>
      <c r="F1089" s="2">
        <v>7</v>
      </c>
      <c r="G1089" s="2">
        <v>2</v>
      </c>
      <c r="H1089" s="2" t="s">
        <v>60</v>
      </c>
      <c r="I1089" s="2">
        <v>1</v>
      </c>
      <c r="J1089" s="2">
        <v>1541</v>
      </c>
      <c r="K1089" s="2">
        <v>2</v>
      </c>
      <c r="L1089" s="2" t="s">
        <v>46</v>
      </c>
      <c r="M1089" s="2">
        <v>55</v>
      </c>
      <c r="N1089" s="2">
        <v>3</v>
      </c>
      <c r="O1089" s="2">
        <v>1</v>
      </c>
      <c r="P1089" s="2" t="s">
        <v>57</v>
      </c>
      <c r="Q1089" s="2">
        <v>3</v>
      </c>
      <c r="R1089" s="2" t="s">
        <v>48</v>
      </c>
      <c r="S1089" s="2">
        <v>2308</v>
      </c>
      <c r="T1089" s="2">
        <v>4944</v>
      </c>
      <c r="U1089" s="2">
        <v>0</v>
      </c>
      <c r="V1089" s="2" t="s">
        <v>42</v>
      </c>
      <c r="W1089" s="2" t="s">
        <v>35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</row>
    <row r="1090" spans="1:35" x14ac:dyDescent="0.25">
      <c r="A1090" s="2">
        <v>42</v>
      </c>
      <c r="B1090" s="2" t="s">
        <v>43</v>
      </c>
      <c r="C1090" s="2" t="s">
        <v>36</v>
      </c>
      <c r="D1090" s="2">
        <v>1210</v>
      </c>
      <c r="E1090" s="2" t="s">
        <v>45</v>
      </c>
      <c r="F1090" s="2">
        <v>2</v>
      </c>
      <c r="G1090" s="2">
        <v>3</v>
      </c>
      <c r="H1090" s="2" t="s">
        <v>51</v>
      </c>
      <c r="I1090" s="2">
        <v>1</v>
      </c>
      <c r="J1090" s="2">
        <v>1542</v>
      </c>
      <c r="K1090" s="2">
        <v>3</v>
      </c>
      <c r="L1090" s="2" t="s">
        <v>46</v>
      </c>
      <c r="M1090" s="2">
        <v>68</v>
      </c>
      <c r="N1090" s="2">
        <v>2</v>
      </c>
      <c r="O1090" s="2">
        <v>1</v>
      </c>
      <c r="P1090" s="2" t="s">
        <v>50</v>
      </c>
      <c r="Q1090" s="2">
        <v>2</v>
      </c>
      <c r="R1090" s="2" t="s">
        <v>48</v>
      </c>
      <c r="S1090" s="2">
        <v>4841</v>
      </c>
      <c r="T1090" s="2">
        <v>24052</v>
      </c>
      <c r="U1090" s="2">
        <v>4</v>
      </c>
      <c r="V1090" s="2" t="s">
        <v>42</v>
      </c>
      <c r="W1090" s="2" t="s">
        <v>43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</row>
    <row r="1091" spans="1:35" x14ac:dyDescent="0.25">
      <c r="A1091" s="2">
        <v>37</v>
      </c>
      <c r="B1091" s="2" t="s">
        <v>43</v>
      </c>
      <c r="C1091" s="2" t="s">
        <v>36</v>
      </c>
      <c r="D1091" s="2">
        <v>674</v>
      </c>
      <c r="E1091" s="2" t="s">
        <v>45</v>
      </c>
      <c r="F1091" s="2">
        <v>13</v>
      </c>
      <c r="G1091" s="2">
        <v>3</v>
      </c>
      <c r="H1091" s="2" t="s">
        <v>51</v>
      </c>
      <c r="I1091" s="2">
        <v>1</v>
      </c>
      <c r="J1091" s="2">
        <v>1543</v>
      </c>
      <c r="K1091" s="2">
        <v>1</v>
      </c>
      <c r="L1091" s="2" t="s">
        <v>46</v>
      </c>
      <c r="M1091" s="2">
        <v>47</v>
      </c>
      <c r="N1091" s="2">
        <v>3</v>
      </c>
      <c r="O1091" s="2">
        <v>2</v>
      </c>
      <c r="P1091" s="2" t="s">
        <v>47</v>
      </c>
      <c r="Q1091" s="2">
        <v>4</v>
      </c>
      <c r="R1091" s="2" t="s">
        <v>48</v>
      </c>
      <c r="S1091" s="2">
        <v>4285</v>
      </c>
      <c r="T1091" s="2">
        <v>3031</v>
      </c>
      <c r="U1091" s="2">
        <v>1</v>
      </c>
      <c r="V1091" s="2" t="s">
        <v>42</v>
      </c>
      <c r="W1091" s="2" t="s">
        <v>43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</row>
    <row r="1092" spans="1:35" x14ac:dyDescent="0.25">
      <c r="A1092" s="2">
        <v>29</v>
      </c>
      <c r="B1092" s="2" t="s">
        <v>43</v>
      </c>
      <c r="C1092" s="2" t="s">
        <v>36</v>
      </c>
      <c r="D1092" s="2">
        <v>441</v>
      </c>
      <c r="E1092" s="2" t="s">
        <v>45</v>
      </c>
      <c r="F1092" s="2">
        <v>8</v>
      </c>
      <c r="G1092" s="2">
        <v>1</v>
      </c>
      <c r="H1092" s="2" t="s">
        <v>49</v>
      </c>
      <c r="I1092" s="2">
        <v>1</v>
      </c>
      <c r="J1092" s="2">
        <v>1544</v>
      </c>
      <c r="K1092" s="2">
        <v>3</v>
      </c>
      <c r="L1092" s="2" t="s">
        <v>39</v>
      </c>
      <c r="M1092" s="2">
        <v>39</v>
      </c>
      <c r="N1092" s="2">
        <v>1</v>
      </c>
      <c r="O1092" s="2">
        <v>2</v>
      </c>
      <c r="P1092" s="2" t="s">
        <v>54</v>
      </c>
      <c r="Q1092" s="2">
        <v>1</v>
      </c>
      <c r="R1092" s="2" t="s">
        <v>48</v>
      </c>
      <c r="S1092" s="2">
        <v>9715</v>
      </c>
      <c r="T1092" s="2">
        <v>7288</v>
      </c>
      <c r="U1092" s="2">
        <v>3</v>
      </c>
      <c r="V1092" s="2" t="s">
        <v>42</v>
      </c>
      <c r="W1092" s="2" t="s">
        <v>43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</row>
    <row r="1093" spans="1:35" x14ac:dyDescent="0.25">
      <c r="A1093" s="2">
        <v>33</v>
      </c>
      <c r="B1093" s="2" t="s">
        <v>43</v>
      </c>
      <c r="C1093" s="2" t="s">
        <v>36</v>
      </c>
      <c r="D1093" s="2">
        <v>575</v>
      </c>
      <c r="E1093" s="2" t="s">
        <v>45</v>
      </c>
      <c r="F1093" s="2">
        <v>25</v>
      </c>
      <c r="G1093" s="2">
        <v>3</v>
      </c>
      <c r="H1093" s="2" t="s">
        <v>38</v>
      </c>
      <c r="I1093" s="2">
        <v>1</v>
      </c>
      <c r="J1093" s="2">
        <v>1545</v>
      </c>
      <c r="K1093" s="2">
        <v>4</v>
      </c>
      <c r="L1093" s="2" t="s">
        <v>46</v>
      </c>
      <c r="M1093" s="2">
        <v>44</v>
      </c>
      <c r="N1093" s="2">
        <v>2</v>
      </c>
      <c r="O1093" s="2">
        <v>2</v>
      </c>
      <c r="P1093" s="2" t="s">
        <v>53</v>
      </c>
      <c r="Q1093" s="2">
        <v>2</v>
      </c>
      <c r="R1093" s="2" t="s">
        <v>41</v>
      </c>
      <c r="S1093" s="2">
        <v>4320</v>
      </c>
      <c r="T1093" s="2">
        <v>24152</v>
      </c>
      <c r="U1093" s="2">
        <v>1</v>
      </c>
      <c r="V1093" s="2" t="s">
        <v>42</v>
      </c>
      <c r="W1093" s="2" t="s">
        <v>43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</row>
    <row r="1094" spans="1:35" x14ac:dyDescent="0.25">
      <c r="A1094" s="2">
        <v>45</v>
      </c>
      <c r="B1094" s="2" t="s">
        <v>43</v>
      </c>
      <c r="C1094" s="2" t="s">
        <v>36</v>
      </c>
      <c r="D1094" s="2">
        <v>950</v>
      </c>
      <c r="E1094" s="2" t="s">
        <v>45</v>
      </c>
      <c r="F1094" s="2">
        <v>28</v>
      </c>
      <c r="G1094" s="2">
        <v>3</v>
      </c>
      <c r="H1094" s="2" t="s">
        <v>60</v>
      </c>
      <c r="I1094" s="2">
        <v>1</v>
      </c>
      <c r="J1094" s="2">
        <v>1546</v>
      </c>
      <c r="K1094" s="2">
        <v>4</v>
      </c>
      <c r="L1094" s="2" t="s">
        <v>46</v>
      </c>
      <c r="M1094" s="2">
        <v>97</v>
      </c>
      <c r="N1094" s="2">
        <v>3</v>
      </c>
      <c r="O1094" s="2">
        <v>1</v>
      </c>
      <c r="P1094" s="2" t="s">
        <v>47</v>
      </c>
      <c r="Q1094" s="2">
        <v>4</v>
      </c>
      <c r="R1094" s="2" t="s">
        <v>48</v>
      </c>
      <c r="S1094" s="2">
        <v>2132</v>
      </c>
      <c r="T1094" s="2">
        <v>4585</v>
      </c>
      <c r="U1094" s="2">
        <v>4</v>
      </c>
      <c r="V1094" s="2" t="s">
        <v>42</v>
      </c>
      <c r="W1094" s="2" t="s">
        <v>43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</row>
    <row r="1095" spans="1:35" x14ac:dyDescent="0.25">
      <c r="A1095" s="2">
        <v>42</v>
      </c>
      <c r="B1095" s="2" t="s">
        <v>43</v>
      </c>
      <c r="C1095" s="2" t="s">
        <v>44</v>
      </c>
      <c r="D1095" s="2">
        <v>288</v>
      </c>
      <c r="E1095" s="2" t="s">
        <v>45</v>
      </c>
      <c r="F1095" s="2">
        <v>2</v>
      </c>
      <c r="G1095" s="2">
        <v>3</v>
      </c>
      <c r="H1095" s="2" t="s">
        <v>38</v>
      </c>
      <c r="I1095" s="2">
        <v>1</v>
      </c>
      <c r="J1095" s="2">
        <v>1547</v>
      </c>
      <c r="K1095" s="2">
        <v>4</v>
      </c>
      <c r="L1095" s="2" t="s">
        <v>46</v>
      </c>
      <c r="M1095" s="2">
        <v>40</v>
      </c>
      <c r="N1095" s="2">
        <v>3</v>
      </c>
      <c r="O1095" s="2">
        <v>3</v>
      </c>
      <c r="P1095" s="2" t="s">
        <v>54</v>
      </c>
      <c r="Q1095" s="2">
        <v>4</v>
      </c>
      <c r="R1095" s="2" t="s">
        <v>48</v>
      </c>
      <c r="S1095" s="2">
        <v>10124</v>
      </c>
      <c r="T1095" s="2">
        <v>18611</v>
      </c>
      <c r="U1095" s="2">
        <v>2</v>
      </c>
      <c r="V1095" s="2" t="s">
        <v>42</v>
      </c>
      <c r="W1095" s="2" t="s">
        <v>35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</row>
    <row r="1096" spans="1:35" x14ac:dyDescent="0.25">
      <c r="A1096" s="2">
        <v>40</v>
      </c>
      <c r="B1096" s="2" t="s">
        <v>43</v>
      </c>
      <c r="C1096" s="2" t="s">
        <v>36</v>
      </c>
      <c r="D1096" s="2">
        <v>1342</v>
      </c>
      <c r="E1096" s="2" t="s">
        <v>37</v>
      </c>
      <c r="F1096" s="2">
        <v>9</v>
      </c>
      <c r="G1096" s="2">
        <v>2</v>
      </c>
      <c r="H1096" s="2" t="s">
        <v>51</v>
      </c>
      <c r="I1096" s="2">
        <v>1</v>
      </c>
      <c r="J1096" s="2">
        <v>1548</v>
      </c>
      <c r="K1096" s="2">
        <v>1</v>
      </c>
      <c r="L1096" s="2" t="s">
        <v>46</v>
      </c>
      <c r="M1096" s="2">
        <v>47</v>
      </c>
      <c r="N1096" s="2">
        <v>3</v>
      </c>
      <c r="O1096" s="2">
        <v>2</v>
      </c>
      <c r="P1096" s="2" t="s">
        <v>40</v>
      </c>
      <c r="Q1096" s="2">
        <v>1</v>
      </c>
      <c r="R1096" s="2" t="s">
        <v>48</v>
      </c>
      <c r="S1096" s="2">
        <v>5473</v>
      </c>
      <c r="T1096" s="2">
        <v>19345</v>
      </c>
      <c r="U1096" s="2">
        <v>0</v>
      </c>
      <c r="V1096" s="2" t="s">
        <v>42</v>
      </c>
      <c r="W1096" s="2" t="s">
        <v>43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</row>
    <row r="1097" spans="1:35" x14ac:dyDescent="0.25">
      <c r="A1097" s="2">
        <v>33</v>
      </c>
      <c r="B1097" s="2" t="s">
        <v>43</v>
      </c>
      <c r="C1097" s="2" t="s">
        <v>36</v>
      </c>
      <c r="D1097" s="2">
        <v>589</v>
      </c>
      <c r="E1097" s="2" t="s">
        <v>45</v>
      </c>
      <c r="F1097" s="2">
        <v>28</v>
      </c>
      <c r="G1097" s="2">
        <v>4</v>
      </c>
      <c r="H1097" s="2" t="s">
        <v>38</v>
      </c>
      <c r="I1097" s="2">
        <v>1</v>
      </c>
      <c r="J1097" s="2">
        <v>1549</v>
      </c>
      <c r="K1097" s="2">
        <v>2</v>
      </c>
      <c r="L1097" s="2" t="s">
        <v>46</v>
      </c>
      <c r="M1097" s="2">
        <v>79</v>
      </c>
      <c r="N1097" s="2">
        <v>3</v>
      </c>
      <c r="O1097" s="2">
        <v>2</v>
      </c>
      <c r="P1097" s="2" t="s">
        <v>50</v>
      </c>
      <c r="Q1097" s="2">
        <v>3</v>
      </c>
      <c r="R1097" s="2" t="s">
        <v>48</v>
      </c>
      <c r="S1097" s="2">
        <v>5207</v>
      </c>
      <c r="T1097" s="2">
        <v>22949</v>
      </c>
      <c r="U1097" s="2">
        <v>1</v>
      </c>
      <c r="V1097" s="2" t="s">
        <v>42</v>
      </c>
      <c r="W1097" s="2" t="s">
        <v>35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</row>
    <row r="1098" spans="1:35" x14ac:dyDescent="0.25">
      <c r="A1098" s="2">
        <v>40</v>
      </c>
      <c r="B1098" s="2" t="s">
        <v>43</v>
      </c>
      <c r="C1098" s="2" t="s">
        <v>36</v>
      </c>
      <c r="D1098" s="2">
        <v>898</v>
      </c>
      <c r="E1098" s="2" t="s">
        <v>61</v>
      </c>
      <c r="F1098" s="2">
        <v>6</v>
      </c>
      <c r="G1098" s="2">
        <v>2</v>
      </c>
      <c r="H1098" s="2" t="s">
        <v>51</v>
      </c>
      <c r="I1098" s="2">
        <v>1</v>
      </c>
      <c r="J1098" s="2">
        <v>1550</v>
      </c>
      <c r="K1098" s="2">
        <v>3</v>
      </c>
      <c r="L1098" s="2" t="s">
        <v>46</v>
      </c>
      <c r="M1098" s="2">
        <v>38</v>
      </c>
      <c r="N1098" s="2">
        <v>3</v>
      </c>
      <c r="O1098" s="2">
        <v>4</v>
      </c>
      <c r="P1098" s="2" t="s">
        <v>56</v>
      </c>
      <c r="Q1098" s="2">
        <v>4</v>
      </c>
      <c r="R1098" s="2" t="s">
        <v>41</v>
      </c>
      <c r="S1098" s="2">
        <v>16437</v>
      </c>
      <c r="T1098" s="2">
        <v>17381</v>
      </c>
      <c r="U1098" s="2">
        <v>1</v>
      </c>
      <c r="V1098" s="2" t="s">
        <v>42</v>
      </c>
      <c r="W1098" s="2" t="s">
        <v>35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</row>
    <row r="1099" spans="1:35" x14ac:dyDescent="0.25">
      <c r="A1099" s="2">
        <v>24</v>
      </c>
      <c r="B1099" s="2" t="s">
        <v>43</v>
      </c>
      <c r="C1099" s="2" t="s">
        <v>36</v>
      </c>
      <c r="D1099" s="2">
        <v>350</v>
      </c>
      <c r="E1099" s="2" t="s">
        <v>45</v>
      </c>
      <c r="F1099" s="2">
        <v>21</v>
      </c>
      <c r="G1099" s="2">
        <v>2</v>
      </c>
      <c r="H1099" s="2" t="s">
        <v>60</v>
      </c>
      <c r="I1099" s="2">
        <v>1</v>
      </c>
      <c r="J1099" s="2">
        <v>1551</v>
      </c>
      <c r="K1099" s="2">
        <v>3</v>
      </c>
      <c r="L1099" s="2" t="s">
        <v>46</v>
      </c>
      <c r="M1099" s="2">
        <v>57</v>
      </c>
      <c r="N1099" s="2">
        <v>2</v>
      </c>
      <c r="O1099" s="2">
        <v>1</v>
      </c>
      <c r="P1099" s="2" t="s">
        <v>50</v>
      </c>
      <c r="Q1099" s="2">
        <v>1</v>
      </c>
      <c r="R1099" s="2" t="s">
        <v>52</v>
      </c>
      <c r="S1099" s="2">
        <v>2296</v>
      </c>
      <c r="T1099" s="2">
        <v>10036</v>
      </c>
      <c r="U1099" s="2">
        <v>0</v>
      </c>
      <c r="V1099" s="2" t="s">
        <v>42</v>
      </c>
      <c r="W1099" s="2" t="s">
        <v>43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</row>
    <row r="1100" spans="1:35" x14ac:dyDescent="0.25">
      <c r="A1100" s="2">
        <v>40</v>
      </c>
      <c r="B1100" s="2" t="s">
        <v>43</v>
      </c>
      <c r="C1100" s="2" t="s">
        <v>55</v>
      </c>
      <c r="D1100" s="2">
        <v>1142</v>
      </c>
      <c r="E1100" s="2" t="s">
        <v>45</v>
      </c>
      <c r="F1100" s="2">
        <v>8</v>
      </c>
      <c r="G1100" s="2">
        <v>2</v>
      </c>
      <c r="H1100" s="2" t="s">
        <v>38</v>
      </c>
      <c r="I1100" s="2">
        <v>1</v>
      </c>
      <c r="J1100" s="2">
        <v>1552</v>
      </c>
      <c r="K1100" s="2">
        <v>4</v>
      </c>
      <c r="L1100" s="2" t="s">
        <v>46</v>
      </c>
      <c r="M1100" s="2">
        <v>72</v>
      </c>
      <c r="N1100" s="2">
        <v>3</v>
      </c>
      <c r="O1100" s="2">
        <v>2</v>
      </c>
      <c r="P1100" s="2" t="s">
        <v>54</v>
      </c>
      <c r="Q1100" s="2">
        <v>4</v>
      </c>
      <c r="R1100" s="2" t="s">
        <v>52</v>
      </c>
      <c r="S1100" s="2">
        <v>4069</v>
      </c>
      <c r="T1100" s="2">
        <v>8841</v>
      </c>
      <c r="U1100" s="2">
        <v>3</v>
      </c>
      <c r="V1100" s="2" t="s">
        <v>42</v>
      </c>
      <c r="W1100" s="2" t="s">
        <v>35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</row>
    <row r="1101" spans="1:35" x14ac:dyDescent="0.25">
      <c r="A1101" s="2">
        <v>45</v>
      </c>
      <c r="B1101" s="2" t="s">
        <v>43</v>
      </c>
      <c r="C1101" s="2" t="s">
        <v>36</v>
      </c>
      <c r="D1101" s="2">
        <v>538</v>
      </c>
      <c r="E1101" s="2" t="s">
        <v>45</v>
      </c>
      <c r="F1101" s="2">
        <v>1</v>
      </c>
      <c r="G1101" s="2">
        <v>4</v>
      </c>
      <c r="H1101" s="2" t="s">
        <v>60</v>
      </c>
      <c r="I1101" s="2">
        <v>1</v>
      </c>
      <c r="J1101" s="2">
        <v>1553</v>
      </c>
      <c r="K1101" s="2">
        <v>1</v>
      </c>
      <c r="L1101" s="2" t="s">
        <v>46</v>
      </c>
      <c r="M1101" s="2">
        <v>66</v>
      </c>
      <c r="N1101" s="2">
        <v>3</v>
      </c>
      <c r="O1101" s="2">
        <v>3</v>
      </c>
      <c r="P1101" s="2" t="s">
        <v>54</v>
      </c>
      <c r="Q1101" s="2">
        <v>2</v>
      </c>
      <c r="R1101" s="2" t="s">
        <v>52</v>
      </c>
      <c r="S1101" s="2">
        <v>7441</v>
      </c>
      <c r="T1101" s="2">
        <v>20933</v>
      </c>
      <c r="U1101" s="2">
        <v>1</v>
      </c>
      <c r="V1101" s="2" t="s">
        <v>42</v>
      </c>
      <c r="W1101" s="2" t="s">
        <v>43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</row>
    <row r="1102" spans="1:35" x14ac:dyDescent="0.25">
      <c r="A1102" s="2">
        <v>35</v>
      </c>
      <c r="B1102" s="2" t="s">
        <v>43</v>
      </c>
      <c r="C1102" s="2" t="s">
        <v>36</v>
      </c>
      <c r="D1102" s="2">
        <v>1402</v>
      </c>
      <c r="E1102" s="2" t="s">
        <v>37</v>
      </c>
      <c r="F1102" s="2">
        <v>28</v>
      </c>
      <c r="G1102" s="2">
        <v>4</v>
      </c>
      <c r="H1102" s="2" t="s">
        <v>38</v>
      </c>
      <c r="I1102" s="2">
        <v>1</v>
      </c>
      <c r="J1102" s="2">
        <v>1554</v>
      </c>
      <c r="K1102" s="2">
        <v>2</v>
      </c>
      <c r="L1102" s="2" t="s">
        <v>39</v>
      </c>
      <c r="M1102" s="2">
        <v>98</v>
      </c>
      <c r="N1102" s="2">
        <v>2</v>
      </c>
      <c r="O1102" s="2">
        <v>1</v>
      </c>
      <c r="P1102" s="2" t="s">
        <v>57</v>
      </c>
      <c r="Q1102" s="2">
        <v>3</v>
      </c>
      <c r="R1102" s="2" t="s">
        <v>48</v>
      </c>
      <c r="S1102" s="2">
        <v>2430</v>
      </c>
      <c r="T1102" s="2">
        <v>26204</v>
      </c>
      <c r="U1102" s="2">
        <v>0</v>
      </c>
      <c r="V1102" s="2" t="s">
        <v>42</v>
      </c>
      <c r="W1102" s="2" t="s">
        <v>43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</row>
    <row r="1103" spans="1:35" x14ac:dyDescent="0.25">
      <c r="A1103" s="2">
        <v>32</v>
      </c>
      <c r="B1103" s="2" t="s">
        <v>43</v>
      </c>
      <c r="C1103" s="2" t="s">
        <v>36</v>
      </c>
      <c r="D1103" s="2">
        <v>824</v>
      </c>
      <c r="E1103" s="2" t="s">
        <v>45</v>
      </c>
      <c r="F1103" s="2">
        <v>5</v>
      </c>
      <c r="G1103" s="2">
        <v>2</v>
      </c>
      <c r="H1103" s="2" t="s">
        <v>38</v>
      </c>
      <c r="I1103" s="2">
        <v>1</v>
      </c>
      <c r="J1103" s="2">
        <v>1555</v>
      </c>
      <c r="K1103" s="2">
        <v>4</v>
      </c>
      <c r="L1103" s="2" t="s">
        <v>39</v>
      </c>
      <c r="M1103" s="2">
        <v>67</v>
      </c>
      <c r="N1103" s="2">
        <v>2</v>
      </c>
      <c r="O1103" s="2">
        <v>2</v>
      </c>
      <c r="P1103" s="2" t="s">
        <v>47</v>
      </c>
      <c r="Q1103" s="2">
        <v>2</v>
      </c>
      <c r="R1103" s="2" t="s">
        <v>48</v>
      </c>
      <c r="S1103" s="2">
        <v>5878</v>
      </c>
      <c r="T1103" s="2">
        <v>15624</v>
      </c>
      <c r="U1103" s="2">
        <v>3</v>
      </c>
      <c r="V1103" s="2" t="s">
        <v>42</v>
      </c>
      <c r="W1103" s="2" t="s">
        <v>43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</row>
    <row r="1104" spans="1:35" x14ac:dyDescent="0.25">
      <c r="A1104" s="2">
        <v>36</v>
      </c>
      <c r="B1104" s="2" t="s">
        <v>43</v>
      </c>
      <c r="C1104" s="2" t="s">
        <v>36</v>
      </c>
      <c r="D1104" s="2">
        <v>1157</v>
      </c>
      <c r="E1104" s="2" t="s">
        <v>37</v>
      </c>
      <c r="F1104" s="2">
        <v>2</v>
      </c>
      <c r="G1104" s="2">
        <v>4</v>
      </c>
      <c r="H1104" s="2" t="s">
        <v>38</v>
      </c>
      <c r="I1104" s="2">
        <v>1</v>
      </c>
      <c r="J1104" s="2">
        <v>1556</v>
      </c>
      <c r="K1104" s="2">
        <v>3</v>
      </c>
      <c r="L1104" s="2" t="s">
        <v>46</v>
      </c>
      <c r="M1104" s="2">
        <v>70</v>
      </c>
      <c r="N1104" s="2">
        <v>3</v>
      </c>
      <c r="O1104" s="2">
        <v>1</v>
      </c>
      <c r="P1104" s="2" t="s">
        <v>57</v>
      </c>
      <c r="Q1104" s="2">
        <v>4</v>
      </c>
      <c r="R1104" s="2" t="s">
        <v>41</v>
      </c>
      <c r="S1104" s="2">
        <v>2644</v>
      </c>
      <c r="T1104" s="2">
        <v>17001</v>
      </c>
      <c r="U1104" s="2">
        <v>3</v>
      </c>
      <c r="V1104" s="2" t="s">
        <v>42</v>
      </c>
      <c r="W1104" s="2" t="s">
        <v>35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</row>
    <row r="1105" spans="1:35" x14ac:dyDescent="0.25">
      <c r="A1105" s="2">
        <v>48</v>
      </c>
      <c r="B1105" s="2" t="s">
        <v>43</v>
      </c>
      <c r="C1105" s="2" t="s">
        <v>36</v>
      </c>
      <c r="D1105" s="2">
        <v>492</v>
      </c>
      <c r="E1105" s="2" t="s">
        <v>37</v>
      </c>
      <c r="F1105" s="2">
        <v>16</v>
      </c>
      <c r="G1105" s="2">
        <v>4</v>
      </c>
      <c r="H1105" s="2" t="s">
        <v>38</v>
      </c>
      <c r="I1105" s="2">
        <v>1</v>
      </c>
      <c r="J1105" s="2">
        <v>1557</v>
      </c>
      <c r="K1105" s="2">
        <v>3</v>
      </c>
      <c r="L1105" s="2" t="s">
        <v>39</v>
      </c>
      <c r="M1105" s="2">
        <v>96</v>
      </c>
      <c r="N1105" s="2">
        <v>3</v>
      </c>
      <c r="O1105" s="2">
        <v>2</v>
      </c>
      <c r="P1105" s="2" t="s">
        <v>40</v>
      </c>
      <c r="Q1105" s="2">
        <v>3</v>
      </c>
      <c r="R1105" s="2" t="s">
        <v>52</v>
      </c>
      <c r="S1105" s="2">
        <v>6439</v>
      </c>
      <c r="T1105" s="2">
        <v>13693</v>
      </c>
      <c r="U1105" s="2">
        <v>8</v>
      </c>
      <c r="V1105" s="2" t="s">
        <v>42</v>
      </c>
      <c r="W1105" s="2" t="s">
        <v>43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</row>
    <row r="1106" spans="1:35" x14ac:dyDescent="0.25">
      <c r="A1106" s="2">
        <v>29</v>
      </c>
      <c r="B1106" s="2" t="s">
        <v>43</v>
      </c>
      <c r="C1106" s="2" t="s">
        <v>36</v>
      </c>
      <c r="D1106" s="2">
        <v>598</v>
      </c>
      <c r="E1106" s="2" t="s">
        <v>45</v>
      </c>
      <c r="F1106" s="2">
        <v>9</v>
      </c>
      <c r="G1106" s="2">
        <v>3</v>
      </c>
      <c r="H1106" s="2" t="s">
        <v>38</v>
      </c>
      <c r="I1106" s="2">
        <v>1</v>
      </c>
      <c r="J1106" s="2">
        <v>1558</v>
      </c>
      <c r="K1106" s="2">
        <v>3</v>
      </c>
      <c r="L1106" s="2" t="s">
        <v>46</v>
      </c>
      <c r="M1106" s="2">
        <v>91</v>
      </c>
      <c r="N1106" s="2">
        <v>4</v>
      </c>
      <c r="O1106" s="2">
        <v>1</v>
      </c>
      <c r="P1106" s="2" t="s">
        <v>47</v>
      </c>
      <c r="Q1106" s="2">
        <v>3</v>
      </c>
      <c r="R1106" s="2" t="s">
        <v>48</v>
      </c>
      <c r="S1106" s="2">
        <v>2451</v>
      </c>
      <c r="T1106" s="2">
        <v>22376</v>
      </c>
      <c r="U1106" s="2">
        <v>6</v>
      </c>
      <c r="V1106" s="2" t="s">
        <v>42</v>
      </c>
      <c r="W1106" s="2" t="s">
        <v>43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</row>
    <row r="1107" spans="1:35" x14ac:dyDescent="0.25">
      <c r="A1107" s="2">
        <v>33</v>
      </c>
      <c r="B1107" s="2" t="s">
        <v>43</v>
      </c>
      <c r="C1107" s="2" t="s">
        <v>36</v>
      </c>
      <c r="D1107" s="2">
        <v>1242</v>
      </c>
      <c r="E1107" s="2" t="s">
        <v>37</v>
      </c>
      <c r="F1107" s="2">
        <v>8</v>
      </c>
      <c r="G1107" s="2">
        <v>4</v>
      </c>
      <c r="H1107" s="2" t="s">
        <v>38</v>
      </c>
      <c r="I1107" s="2">
        <v>1</v>
      </c>
      <c r="J1107" s="2">
        <v>1560</v>
      </c>
      <c r="K1107" s="2">
        <v>1</v>
      </c>
      <c r="L1107" s="2" t="s">
        <v>46</v>
      </c>
      <c r="M1107" s="2">
        <v>46</v>
      </c>
      <c r="N1107" s="2">
        <v>3</v>
      </c>
      <c r="O1107" s="2">
        <v>2</v>
      </c>
      <c r="P1107" s="2" t="s">
        <v>40</v>
      </c>
      <c r="Q1107" s="2">
        <v>1</v>
      </c>
      <c r="R1107" s="2" t="s">
        <v>48</v>
      </c>
      <c r="S1107" s="2">
        <v>6392</v>
      </c>
      <c r="T1107" s="2">
        <v>10589</v>
      </c>
      <c r="U1107" s="2">
        <v>2</v>
      </c>
      <c r="V1107" s="2" t="s">
        <v>42</v>
      </c>
      <c r="W1107" s="2" t="s">
        <v>43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</row>
    <row r="1108" spans="1:35" x14ac:dyDescent="0.25">
      <c r="A1108" s="2">
        <v>30</v>
      </c>
      <c r="B1108" s="2" t="s">
        <v>35</v>
      </c>
      <c r="C1108" s="2" t="s">
        <v>36</v>
      </c>
      <c r="D1108" s="2">
        <v>740</v>
      </c>
      <c r="E1108" s="2" t="s">
        <v>37</v>
      </c>
      <c r="F1108" s="2">
        <v>1</v>
      </c>
      <c r="G1108" s="2">
        <v>3</v>
      </c>
      <c r="H1108" s="2" t="s">
        <v>38</v>
      </c>
      <c r="I1108" s="2">
        <v>1</v>
      </c>
      <c r="J1108" s="2">
        <v>1562</v>
      </c>
      <c r="K1108" s="2">
        <v>2</v>
      </c>
      <c r="L1108" s="2" t="s">
        <v>46</v>
      </c>
      <c r="M1108" s="2">
        <v>64</v>
      </c>
      <c r="N1108" s="2">
        <v>2</v>
      </c>
      <c r="O1108" s="2">
        <v>2</v>
      </c>
      <c r="P1108" s="2" t="s">
        <v>40</v>
      </c>
      <c r="Q1108" s="2">
        <v>1</v>
      </c>
      <c r="R1108" s="2" t="s">
        <v>48</v>
      </c>
      <c r="S1108" s="2">
        <v>9714</v>
      </c>
      <c r="T1108" s="2">
        <v>5323</v>
      </c>
      <c r="U1108" s="2">
        <v>1</v>
      </c>
      <c r="V1108" s="2" t="s">
        <v>42</v>
      </c>
      <c r="W1108" s="2" t="s">
        <v>43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</row>
    <row r="1109" spans="1:35" x14ac:dyDescent="0.25">
      <c r="A1109" s="2">
        <v>38</v>
      </c>
      <c r="B1109" s="2" t="s">
        <v>43</v>
      </c>
      <c r="C1109" s="2" t="s">
        <v>44</v>
      </c>
      <c r="D1109" s="2">
        <v>888</v>
      </c>
      <c r="E1109" s="2" t="s">
        <v>61</v>
      </c>
      <c r="F1109" s="2">
        <v>10</v>
      </c>
      <c r="G1109" s="2">
        <v>4</v>
      </c>
      <c r="H1109" s="2" t="s">
        <v>61</v>
      </c>
      <c r="I1109" s="2">
        <v>1</v>
      </c>
      <c r="J1109" s="2">
        <v>1563</v>
      </c>
      <c r="K1109" s="2">
        <v>3</v>
      </c>
      <c r="L1109" s="2" t="s">
        <v>46</v>
      </c>
      <c r="M1109" s="2">
        <v>71</v>
      </c>
      <c r="N1109" s="2">
        <v>3</v>
      </c>
      <c r="O1109" s="2">
        <v>2</v>
      </c>
      <c r="P1109" s="2" t="s">
        <v>61</v>
      </c>
      <c r="Q1109" s="2">
        <v>3</v>
      </c>
      <c r="R1109" s="2" t="s">
        <v>48</v>
      </c>
      <c r="S1109" s="2">
        <v>6077</v>
      </c>
      <c r="T1109" s="2">
        <v>14814</v>
      </c>
      <c r="U1109" s="2">
        <v>3</v>
      </c>
      <c r="V1109" s="2" t="s">
        <v>42</v>
      </c>
      <c r="W1109" s="2" t="s">
        <v>43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</row>
    <row r="1110" spans="1:35" x14ac:dyDescent="0.25">
      <c r="A1110" s="2">
        <v>35</v>
      </c>
      <c r="B1110" s="2" t="s">
        <v>43</v>
      </c>
      <c r="C1110" s="2" t="s">
        <v>36</v>
      </c>
      <c r="D1110" s="2">
        <v>992</v>
      </c>
      <c r="E1110" s="2" t="s">
        <v>45</v>
      </c>
      <c r="F1110" s="2">
        <v>1</v>
      </c>
      <c r="G1110" s="2">
        <v>3</v>
      </c>
      <c r="H1110" s="2" t="s">
        <v>51</v>
      </c>
      <c r="I1110" s="2">
        <v>1</v>
      </c>
      <c r="J1110" s="2">
        <v>1564</v>
      </c>
      <c r="K1110" s="2">
        <v>4</v>
      </c>
      <c r="L1110" s="2" t="s">
        <v>46</v>
      </c>
      <c r="M1110" s="2">
        <v>68</v>
      </c>
      <c r="N1110" s="2">
        <v>2</v>
      </c>
      <c r="O1110" s="2">
        <v>1</v>
      </c>
      <c r="P1110" s="2" t="s">
        <v>50</v>
      </c>
      <c r="Q1110" s="2">
        <v>1</v>
      </c>
      <c r="R1110" s="2" t="s">
        <v>41</v>
      </c>
      <c r="S1110" s="2">
        <v>2450</v>
      </c>
      <c r="T1110" s="2">
        <v>21731</v>
      </c>
      <c r="U1110" s="2">
        <v>1</v>
      </c>
      <c r="V1110" s="2" t="s">
        <v>42</v>
      </c>
      <c r="W1110" s="2" t="s">
        <v>43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</row>
    <row r="1111" spans="1:35" x14ac:dyDescent="0.25">
      <c r="A1111" s="2">
        <v>30</v>
      </c>
      <c r="B1111" s="2" t="s">
        <v>43</v>
      </c>
      <c r="C1111" s="2" t="s">
        <v>36</v>
      </c>
      <c r="D1111" s="2">
        <v>1288</v>
      </c>
      <c r="E1111" s="2" t="s">
        <v>37</v>
      </c>
      <c r="F1111" s="2">
        <v>29</v>
      </c>
      <c r="G1111" s="2">
        <v>4</v>
      </c>
      <c r="H1111" s="2" t="s">
        <v>60</v>
      </c>
      <c r="I1111" s="2">
        <v>1</v>
      </c>
      <c r="J1111" s="2">
        <v>1568</v>
      </c>
      <c r="K1111" s="2">
        <v>3</v>
      </c>
      <c r="L1111" s="2" t="s">
        <v>46</v>
      </c>
      <c r="M1111" s="2">
        <v>33</v>
      </c>
      <c r="N1111" s="2">
        <v>3</v>
      </c>
      <c r="O1111" s="2">
        <v>3</v>
      </c>
      <c r="P1111" s="2" t="s">
        <v>40</v>
      </c>
      <c r="Q1111" s="2">
        <v>2</v>
      </c>
      <c r="R1111" s="2" t="s">
        <v>48</v>
      </c>
      <c r="S1111" s="2">
        <v>9250</v>
      </c>
      <c r="T1111" s="2">
        <v>17799</v>
      </c>
      <c r="U1111" s="2">
        <v>3</v>
      </c>
      <c r="V1111" s="2" t="s">
        <v>42</v>
      </c>
      <c r="W1111" s="2" t="s">
        <v>43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</row>
    <row r="1112" spans="1:35" x14ac:dyDescent="0.25">
      <c r="A1112" s="2">
        <v>35</v>
      </c>
      <c r="B1112" s="2" t="s">
        <v>35</v>
      </c>
      <c r="C1112" s="2" t="s">
        <v>36</v>
      </c>
      <c r="D1112" s="2">
        <v>104</v>
      </c>
      <c r="E1112" s="2" t="s">
        <v>45</v>
      </c>
      <c r="F1112" s="2">
        <v>2</v>
      </c>
      <c r="G1112" s="2">
        <v>3</v>
      </c>
      <c r="H1112" s="2" t="s">
        <v>38</v>
      </c>
      <c r="I1112" s="2">
        <v>1</v>
      </c>
      <c r="J1112" s="2">
        <v>1569</v>
      </c>
      <c r="K1112" s="2">
        <v>1</v>
      </c>
      <c r="L1112" s="2" t="s">
        <v>39</v>
      </c>
      <c r="M1112" s="2">
        <v>69</v>
      </c>
      <c r="N1112" s="2">
        <v>3</v>
      </c>
      <c r="O1112" s="2">
        <v>1</v>
      </c>
      <c r="P1112" s="2" t="s">
        <v>50</v>
      </c>
      <c r="Q1112" s="2">
        <v>1</v>
      </c>
      <c r="R1112" s="2" t="s">
        <v>52</v>
      </c>
      <c r="S1112" s="2">
        <v>2074</v>
      </c>
      <c r="T1112" s="2">
        <v>26619</v>
      </c>
      <c r="U1112" s="2">
        <v>1</v>
      </c>
      <c r="V1112" s="2" t="s">
        <v>42</v>
      </c>
      <c r="W1112" s="2" t="s">
        <v>35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</row>
    <row r="1113" spans="1:35" x14ac:dyDescent="0.25">
      <c r="A1113" s="2">
        <v>53</v>
      </c>
      <c r="B1113" s="2" t="s">
        <v>35</v>
      </c>
      <c r="C1113" s="2" t="s">
        <v>36</v>
      </c>
      <c r="D1113" s="2">
        <v>607</v>
      </c>
      <c r="E1113" s="2" t="s">
        <v>45</v>
      </c>
      <c r="F1113" s="2">
        <v>2</v>
      </c>
      <c r="G1113" s="2">
        <v>5</v>
      </c>
      <c r="H1113" s="2" t="s">
        <v>60</v>
      </c>
      <c r="I1113" s="2">
        <v>1</v>
      </c>
      <c r="J1113" s="2">
        <v>1572</v>
      </c>
      <c r="K1113" s="2">
        <v>3</v>
      </c>
      <c r="L1113" s="2" t="s">
        <v>39</v>
      </c>
      <c r="M1113" s="2">
        <v>78</v>
      </c>
      <c r="N1113" s="2">
        <v>2</v>
      </c>
      <c r="O1113" s="2">
        <v>3</v>
      </c>
      <c r="P1113" s="2" t="s">
        <v>53</v>
      </c>
      <c r="Q1113" s="2">
        <v>4</v>
      </c>
      <c r="R1113" s="2" t="s">
        <v>48</v>
      </c>
      <c r="S1113" s="2">
        <v>10169</v>
      </c>
      <c r="T1113" s="2">
        <v>14618</v>
      </c>
      <c r="U1113" s="2">
        <v>0</v>
      </c>
      <c r="V1113" s="2" t="s">
        <v>42</v>
      </c>
      <c r="W1113" s="2" t="s">
        <v>43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</row>
    <row r="1114" spans="1:35" x14ac:dyDescent="0.25">
      <c r="A1114" s="2">
        <v>38</v>
      </c>
      <c r="B1114" s="2" t="s">
        <v>35</v>
      </c>
      <c r="C1114" s="2" t="s">
        <v>36</v>
      </c>
      <c r="D1114" s="2">
        <v>903</v>
      </c>
      <c r="E1114" s="2" t="s">
        <v>45</v>
      </c>
      <c r="F1114" s="2">
        <v>2</v>
      </c>
      <c r="G1114" s="2">
        <v>3</v>
      </c>
      <c r="H1114" s="2" t="s">
        <v>51</v>
      </c>
      <c r="I1114" s="2">
        <v>1</v>
      </c>
      <c r="J1114" s="2">
        <v>1573</v>
      </c>
      <c r="K1114" s="2">
        <v>3</v>
      </c>
      <c r="L1114" s="2" t="s">
        <v>46</v>
      </c>
      <c r="M1114" s="2">
        <v>81</v>
      </c>
      <c r="N1114" s="2">
        <v>3</v>
      </c>
      <c r="O1114" s="2">
        <v>2</v>
      </c>
      <c r="P1114" s="2" t="s">
        <v>53</v>
      </c>
      <c r="Q1114" s="2">
        <v>2</v>
      </c>
      <c r="R1114" s="2" t="s">
        <v>48</v>
      </c>
      <c r="S1114" s="2">
        <v>4855</v>
      </c>
      <c r="T1114" s="2">
        <v>7653</v>
      </c>
      <c r="U1114" s="2">
        <v>4</v>
      </c>
      <c r="V1114" s="2" t="s">
        <v>42</v>
      </c>
      <c r="W1114" s="2" t="s">
        <v>43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</row>
    <row r="1115" spans="1:35" x14ac:dyDescent="0.25">
      <c r="A1115" s="2">
        <v>32</v>
      </c>
      <c r="B1115" s="2" t="s">
        <v>43</v>
      </c>
      <c r="C1115" s="2" t="s">
        <v>55</v>
      </c>
      <c r="D1115" s="2">
        <v>1200</v>
      </c>
      <c r="E1115" s="2" t="s">
        <v>45</v>
      </c>
      <c r="F1115" s="2">
        <v>1</v>
      </c>
      <c r="G1115" s="2">
        <v>4</v>
      </c>
      <c r="H1115" s="2" t="s">
        <v>60</v>
      </c>
      <c r="I1115" s="2">
        <v>1</v>
      </c>
      <c r="J1115" s="2">
        <v>1574</v>
      </c>
      <c r="K1115" s="2">
        <v>4</v>
      </c>
      <c r="L1115" s="2" t="s">
        <v>46</v>
      </c>
      <c r="M1115" s="2">
        <v>62</v>
      </c>
      <c r="N1115" s="2">
        <v>3</v>
      </c>
      <c r="O1115" s="2">
        <v>2</v>
      </c>
      <c r="P1115" s="2" t="s">
        <v>47</v>
      </c>
      <c r="Q1115" s="2">
        <v>1</v>
      </c>
      <c r="R1115" s="2" t="s">
        <v>48</v>
      </c>
      <c r="S1115" s="2">
        <v>4087</v>
      </c>
      <c r="T1115" s="2">
        <v>25174</v>
      </c>
      <c r="U1115" s="2">
        <v>4</v>
      </c>
      <c r="V1115" s="2" t="s">
        <v>42</v>
      </c>
      <c r="W1115" s="2" t="s">
        <v>43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</row>
    <row r="1116" spans="1:35" x14ac:dyDescent="0.25">
      <c r="A1116" s="2">
        <v>48</v>
      </c>
      <c r="B1116" s="2" t="s">
        <v>43</v>
      </c>
      <c r="C1116" s="2" t="s">
        <v>36</v>
      </c>
      <c r="D1116" s="2">
        <v>1108</v>
      </c>
      <c r="E1116" s="2" t="s">
        <v>45</v>
      </c>
      <c r="F1116" s="2">
        <v>15</v>
      </c>
      <c r="G1116" s="2">
        <v>4</v>
      </c>
      <c r="H1116" s="2" t="s">
        <v>49</v>
      </c>
      <c r="I1116" s="2">
        <v>1</v>
      </c>
      <c r="J1116" s="2">
        <v>1576</v>
      </c>
      <c r="K1116" s="2">
        <v>3</v>
      </c>
      <c r="L1116" s="2" t="s">
        <v>39</v>
      </c>
      <c r="M1116" s="2">
        <v>65</v>
      </c>
      <c r="N1116" s="2">
        <v>3</v>
      </c>
      <c r="O1116" s="2">
        <v>1</v>
      </c>
      <c r="P1116" s="2" t="s">
        <v>47</v>
      </c>
      <c r="Q1116" s="2">
        <v>1</v>
      </c>
      <c r="R1116" s="2" t="s">
        <v>48</v>
      </c>
      <c r="S1116" s="2">
        <v>2367</v>
      </c>
      <c r="T1116" s="2">
        <v>16530</v>
      </c>
      <c r="U1116" s="2">
        <v>8</v>
      </c>
      <c r="V1116" s="2" t="s">
        <v>42</v>
      </c>
      <c r="W1116" s="2" t="s">
        <v>43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</row>
    <row r="1117" spans="1:35" x14ac:dyDescent="0.25">
      <c r="A1117" s="2">
        <v>34</v>
      </c>
      <c r="B1117" s="2" t="s">
        <v>43</v>
      </c>
      <c r="C1117" s="2" t="s">
        <v>36</v>
      </c>
      <c r="D1117" s="2">
        <v>479</v>
      </c>
      <c r="E1117" s="2" t="s">
        <v>45</v>
      </c>
      <c r="F1117" s="2">
        <v>7</v>
      </c>
      <c r="G1117" s="2">
        <v>4</v>
      </c>
      <c r="H1117" s="2" t="s">
        <v>51</v>
      </c>
      <c r="I1117" s="2">
        <v>1</v>
      </c>
      <c r="J1117" s="2">
        <v>1577</v>
      </c>
      <c r="K1117" s="2">
        <v>1</v>
      </c>
      <c r="L1117" s="2" t="s">
        <v>46</v>
      </c>
      <c r="M1117" s="2">
        <v>35</v>
      </c>
      <c r="N1117" s="2">
        <v>3</v>
      </c>
      <c r="O1117" s="2">
        <v>1</v>
      </c>
      <c r="P1117" s="2" t="s">
        <v>47</v>
      </c>
      <c r="Q1117" s="2">
        <v>4</v>
      </c>
      <c r="R1117" s="2" t="s">
        <v>41</v>
      </c>
      <c r="S1117" s="2">
        <v>2972</v>
      </c>
      <c r="T1117" s="2">
        <v>22061</v>
      </c>
      <c r="U1117" s="2">
        <v>1</v>
      </c>
      <c r="V1117" s="2" t="s">
        <v>42</v>
      </c>
      <c r="W1117" s="2" t="s">
        <v>43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</row>
    <row r="1118" spans="1:35" x14ac:dyDescent="0.25">
      <c r="A1118" s="2">
        <v>55</v>
      </c>
      <c r="B1118" s="2" t="s">
        <v>43</v>
      </c>
      <c r="C1118" s="2" t="s">
        <v>36</v>
      </c>
      <c r="D1118" s="2">
        <v>685</v>
      </c>
      <c r="E1118" s="2" t="s">
        <v>37</v>
      </c>
      <c r="F1118" s="2">
        <v>26</v>
      </c>
      <c r="G1118" s="2">
        <v>5</v>
      </c>
      <c r="H1118" s="2" t="s">
        <v>59</v>
      </c>
      <c r="I1118" s="2">
        <v>1</v>
      </c>
      <c r="J1118" s="2">
        <v>1578</v>
      </c>
      <c r="K1118" s="2">
        <v>3</v>
      </c>
      <c r="L1118" s="2" t="s">
        <v>46</v>
      </c>
      <c r="M1118" s="2">
        <v>60</v>
      </c>
      <c r="N1118" s="2">
        <v>2</v>
      </c>
      <c r="O1118" s="2">
        <v>5</v>
      </c>
      <c r="P1118" s="2" t="s">
        <v>56</v>
      </c>
      <c r="Q1118" s="2">
        <v>4</v>
      </c>
      <c r="R1118" s="2" t="s">
        <v>48</v>
      </c>
      <c r="S1118" s="2">
        <v>19586</v>
      </c>
      <c r="T1118" s="2">
        <v>23037</v>
      </c>
      <c r="U1118" s="2">
        <v>1</v>
      </c>
      <c r="V1118" s="2" t="s">
        <v>42</v>
      </c>
      <c r="W1118" s="2" t="s">
        <v>43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</row>
    <row r="1119" spans="1:35" x14ac:dyDescent="0.25">
      <c r="A1119" s="2">
        <v>34</v>
      </c>
      <c r="B1119" s="2" t="s">
        <v>43</v>
      </c>
      <c r="C1119" s="2" t="s">
        <v>36</v>
      </c>
      <c r="D1119" s="2">
        <v>1351</v>
      </c>
      <c r="E1119" s="2" t="s">
        <v>45</v>
      </c>
      <c r="F1119" s="2">
        <v>1</v>
      </c>
      <c r="G1119" s="2">
        <v>4</v>
      </c>
      <c r="H1119" s="2" t="s">
        <v>38</v>
      </c>
      <c r="I1119" s="2">
        <v>1</v>
      </c>
      <c r="J1119" s="2">
        <v>1580</v>
      </c>
      <c r="K1119" s="2">
        <v>2</v>
      </c>
      <c r="L1119" s="2" t="s">
        <v>46</v>
      </c>
      <c r="M1119" s="2">
        <v>45</v>
      </c>
      <c r="N1119" s="2">
        <v>3</v>
      </c>
      <c r="O1119" s="2">
        <v>2</v>
      </c>
      <c r="P1119" s="2" t="s">
        <v>47</v>
      </c>
      <c r="Q1119" s="2">
        <v>4</v>
      </c>
      <c r="R1119" s="2" t="s">
        <v>48</v>
      </c>
      <c r="S1119" s="2">
        <v>5484</v>
      </c>
      <c r="T1119" s="2">
        <v>13008</v>
      </c>
      <c r="U1119" s="2">
        <v>9</v>
      </c>
      <c r="V1119" s="2" t="s">
        <v>42</v>
      </c>
      <c r="W1119" s="2" t="s">
        <v>43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</row>
    <row r="1120" spans="1:35" x14ac:dyDescent="0.25">
      <c r="A1120" s="2">
        <v>26</v>
      </c>
      <c r="B1120" s="2" t="s">
        <v>43</v>
      </c>
      <c r="C1120" s="2" t="s">
        <v>36</v>
      </c>
      <c r="D1120" s="2">
        <v>474</v>
      </c>
      <c r="E1120" s="2" t="s">
        <v>45</v>
      </c>
      <c r="F1120" s="2">
        <v>3</v>
      </c>
      <c r="G1120" s="2">
        <v>3</v>
      </c>
      <c r="H1120" s="2" t="s">
        <v>38</v>
      </c>
      <c r="I1120" s="2">
        <v>1</v>
      </c>
      <c r="J1120" s="2">
        <v>1581</v>
      </c>
      <c r="K1120" s="2">
        <v>1</v>
      </c>
      <c r="L1120" s="2" t="s">
        <v>39</v>
      </c>
      <c r="M1120" s="2">
        <v>89</v>
      </c>
      <c r="N1120" s="2">
        <v>3</v>
      </c>
      <c r="O1120" s="2">
        <v>1</v>
      </c>
      <c r="P1120" s="2" t="s">
        <v>47</v>
      </c>
      <c r="Q1120" s="2">
        <v>4</v>
      </c>
      <c r="R1120" s="2" t="s">
        <v>48</v>
      </c>
      <c r="S1120" s="2">
        <v>2061</v>
      </c>
      <c r="T1120" s="2">
        <v>11133</v>
      </c>
      <c r="U1120" s="2">
        <v>1</v>
      </c>
      <c r="V1120" s="2" t="s">
        <v>42</v>
      </c>
      <c r="W1120" s="2" t="s">
        <v>43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</row>
    <row r="1121" spans="1:35" x14ac:dyDescent="0.25">
      <c r="A1121" s="2">
        <v>38</v>
      </c>
      <c r="B1121" s="2" t="s">
        <v>43</v>
      </c>
      <c r="C1121" s="2" t="s">
        <v>36</v>
      </c>
      <c r="D1121" s="2">
        <v>1245</v>
      </c>
      <c r="E1121" s="2" t="s">
        <v>37</v>
      </c>
      <c r="F1121" s="2">
        <v>14</v>
      </c>
      <c r="G1121" s="2">
        <v>3</v>
      </c>
      <c r="H1121" s="2" t="s">
        <v>38</v>
      </c>
      <c r="I1121" s="2">
        <v>1</v>
      </c>
      <c r="J1121" s="2">
        <v>1582</v>
      </c>
      <c r="K1121" s="2">
        <v>3</v>
      </c>
      <c r="L1121" s="2" t="s">
        <v>46</v>
      </c>
      <c r="M1121" s="2">
        <v>80</v>
      </c>
      <c r="N1121" s="2">
        <v>3</v>
      </c>
      <c r="O1121" s="2">
        <v>2</v>
      </c>
      <c r="P1121" s="2" t="s">
        <v>40</v>
      </c>
      <c r="Q1121" s="2">
        <v>2</v>
      </c>
      <c r="R1121" s="2" t="s">
        <v>48</v>
      </c>
      <c r="S1121" s="2">
        <v>9924</v>
      </c>
      <c r="T1121" s="2">
        <v>12355</v>
      </c>
      <c r="U1121" s="2">
        <v>0</v>
      </c>
      <c r="V1121" s="2" t="s">
        <v>42</v>
      </c>
      <c r="W1121" s="2" t="s">
        <v>43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</row>
    <row r="1122" spans="1:35" x14ac:dyDescent="0.25">
      <c r="A1122" s="2">
        <v>38</v>
      </c>
      <c r="B1122" s="2" t="s">
        <v>43</v>
      </c>
      <c r="C1122" s="2" t="s">
        <v>36</v>
      </c>
      <c r="D1122" s="2">
        <v>437</v>
      </c>
      <c r="E1122" s="2" t="s">
        <v>37</v>
      </c>
      <c r="F1122" s="2">
        <v>16</v>
      </c>
      <c r="G1122" s="2">
        <v>3</v>
      </c>
      <c r="H1122" s="2" t="s">
        <v>38</v>
      </c>
      <c r="I1122" s="2">
        <v>1</v>
      </c>
      <c r="J1122" s="2">
        <v>1583</v>
      </c>
      <c r="K1122" s="2">
        <v>2</v>
      </c>
      <c r="L1122" s="2" t="s">
        <v>39</v>
      </c>
      <c r="M1122" s="2">
        <v>90</v>
      </c>
      <c r="N1122" s="2">
        <v>3</v>
      </c>
      <c r="O1122" s="2">
        <v>2</v>
      </c>
      <c r="P1122" s="2" t="s">
        <v>40</v>
      </c>
      <c r="Q1122" s="2">
        <v>2</v>
      </c>
      <c r="R1122" s="2" t="s">
        <v>41</v>
      </c>
      <c r="S1122" s="2">
        <v>4198</v>
      </c>
      <c r="T1122" s="2">
        <v>16379</v>
      </c>
      <c r="U1122" s="2">
        <v>2</v>
      </c>
      <c r="V1122" s="2" t="s">
        <v>42</v>
      </c>
      <c r="W1122" s="2" t="s">
        <v>43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</row>
    <row r="1123" spans="1:35" x14ac:dyDescent="0.25">
      <c r="A1123" s="2">
        <v>36</v>
      </c>
      <c r="B1123" s="2" t="s">
        <v>43</v>
      </c>
      <c r="C1123" s="2" t="s">
        <v>36</v>
      </c>
      <c r="D1123" s="2">
        <v>884</v>
      </c>
      <c r="E1123" s="2" t="s">
        <v>37</v>
      </c>
      <c r="F1123" s="2">
        <v>1</v>
      </c>
      <c r="G1123" s="2">
        <v>4</v>
      </c>
      <c r="H1123" s="2" t="s">
        <v>38</v>
      </c>
      <c r="I1123" s="2">
        <v>1</v>
      </c>
      <c r="J1123" s="2">
        <v>1585</v>
      </c>
      <c r="K1123" s="2">
        <v>2</v>
      </c>
      <c r="L1123" s="2" t="s">
        <v>39</v>
      </c>
      <c r="M1123" s="2">
        <v>73</v>
      </c>
      <c r="N1123" s="2">
        <v>3</v>
      </c>
      <c r="O1123" s="2">
        <v>2</v>
      </c>
      <c r="P1123" s="2" t="s">
        <v>40</v>
      </c>
      <c r="Q1123" s="2">
        <v>3</v>
      </c>
      <c r="R1123" s="2" t="s">
        <v>41</v>
      </c>
      <c r="S1123" s="2">
        <v>6815</v>
      </c>
      <c r="T1123" s="2">
        <v>21447</v>
      </c>
      <c r="U1123" s="2">
        <v>6</v>
      </c>
      <c r="V1123" s="2" t="s">
        <v>42</v>
      </c>
      <c r="W1123" s="2" t="s">
        <v>43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</row>
    <row r="1124" spans="1:35" x14ac:dyDescent="0.25">
      <c r="A1124" s="2">
        <v>29</v>
      </c>
      <c r="B1124" s="2" t="s">
        <v>43</v>
      </c>
      <c r="C1124" s="2" t="s">
        <v>36</v>
      </c>
      <c r="D1124" s="2">
        <v>1370</v>
      </c>
      <c r="E1124" s="2" t="s">
        <v>45</v>
      </c>
      <c r="F1124" s="2">
        <v>3</v>
      </c>
      <c r="G1124" s="2">
        <v>1</v>
      </c>
      <c r="H1124" s="2" t="s">
        <v>51</v>
      </c>
      <c r="I1124" s="2">
        <v>1</v>
      </c>
      <c r="J1124" s="2">
        <v>1586</v>
      </c>
      <c r="K1124" s="2">
        <v>2</v>
      </c>
      <c r="L1124" s="2" t="s">
        <v>46</v>
      </c>
      <c r="M1124" s="2">
        <v>87</v>
      </c>
      <c r="N1124" s="2">
        <v>3</v>
      </c>
      <c r="O1124" s="2">
        <v>1</v>
      </c>
      <c r="P1124" s="2" t="s">
        <v>50</v>
      </c>
      <c r="Q1124" s="2">
        <v>1</v>
      </c>
      <c r="R1124" s="2" t="s">
        <v>41</v>
      </c>
      <c r="S1124" s="2">
        <v>4723</v>
      </c>
      <c r="T1124" s="2">
        <v>16213</v>
      </c>
      <c r="U1124" s="2">
        <v>1</v>
      </c>
      <c r="V1124" s="2" t="s">
        <v>42</v>
      </c>
      <c r="W1124" s="2" t="s">
        <v>35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</row>
    <row r="1125" spans="1:35" x14ac:dyDescent="0.25">
      <c r="A1125" s="2">
        <v>35</v>
      </c>
      <c r="B1125" s="2" t="s">
        <v>43</v>
      </c>
      <c r="C1125" s="2" t="s">
        <v>36</v>
      </c>
      <c r="D1125" s="2">
        <v>670</v>
      </c>
      <c r="E1125" s="2" t="s">
        <v>45</v>
      </c>
      <c r="F1125" s="2">
        <v>10</v>
      </c>
      <c r="G1125" s="2">
        <v>4</v>
      </c>
      <c r="H1125" s="2" t="s">
        <v>51</v>
      </c>
      <c r="I1125" s="2">
        <v>1</v>
      </c>
      <c r="J1125" s="2">
        <v>1587</v>
      </c>
      <c r="K1125" s="2">
        <v>1</v>
      </c>
      <c r="L1125" s="2" t="s">
        <v>39</v>
      </c>
      <c r="M1125" s="2">
        <v>51</v>
      </c>
      <c r="N1125" s="2">
        <v>3</v>
      </c>
      <c r="O1125" s="2">
        <v>2</v>
      </c>
      <c r="P1125" s="2" t="s">
        <v>54</v>
      </c>
      <c r="Q1125" s="2">
        <v>3</v>
      </c>
      <c r="R1125" s="2" t="s">
        <v>41</v>
      </c>
      <c r="S1125" s="2">
        <v>6142</v>
      </c>
      <c r="T1125" s="2">
        <v>4223</v>
      </c>
      <c r="U1125" s="2">
        <v>3</v>
      </c>
      <c r="V1125" s="2" t="s">
        <v>42</v>
      </c>
      <c r="W1125" s="2" t="s">
        <v>35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</row>
    <row r="1126" spans="1:35" x14ac:dyDescent="0.25">
      <c r="A1126" s="2">
        <v>39</v>
      </c>
      <c r="B1126" s="2" t="s">
        <v>43</v>
      </c>
      <c r="C1126" s="2" t="s">
        <v>36</v>
      </c>
      <c r="D1126" s="2">
        <v>1462</v>
      </c>
      <c r="E1126" s="2" t="s">
        <v>37</v>
      </c>
      <c r="F1126" s="2">
        <v>6</v>
      </c>
      <c r="G1126" s="2">
        <v>3</v>
      </c>
      <c r="H1126" s="2" t="s">
        <v>51</v>
      </c>
      <c r="I1126" s="2">
        <v>1</v>
      </c>
      <c r="J1126" s="2">
        <v>1588</v>
      </c>
      <c r="K1126" s="2">
        <v>4</v>
      </c>
      <c r="L1126" s="2" t="s">
        <v>46</v>
      </c>
      <c r="M1126" s="2">
        <v>38</v>
      </c>
      <c r="N1126" s="2">
        <v>4</v>
      </c>
      <c r="O1126" s="2">
        <v>3</v>
      </c>
      <c r="P1126" s="2" t="s">
        <v>40</v>
      </c>
      <c r="Q1126" s="2">
        <v>3</v>
      </c>
      <c r="R1126" s="2" t="s">
        <v>48</v>
      </c>
      <c r="S1126" s="2">
        <v>8237</v>
      </c>
      <c r="T1126" s="2">
        <v>4658</v>
      </c>
      <c r="U1126" s="2">
        <v>2</v>
      </c>
      <c r="V1126" s="2" t="s">
        <v>42</v>
      </c>
      <c r="W1126" s="2" t="s">
        <v>43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</row>
    <row r="1127" spans="1:35" x14ac:dyDescent="0.25">
      <c r="A1127" s="2">
        <v>29</v>
      </c>
      <c r="B1127" s="2" t="s">
        <v>43</v>
      </c>
      <c r="C1127" s="2" t="s">
        <v>44</v>
      </c>
      <c r="D1127" s="2">
        <v>995</v>
      </c>
      <c r="E1127" s="2" t="s">
        <v>45</v>
      </c>
      <c r="F1127" s="2">
        <v>2</v>
      </c>
      <c r="G1127" s="2">
        <v>1</v>
      </c>
      <c r="H1127" s="2" t="s">
        <v>38</v>
      </c>
      <c r="I1127" s="2">
        <v>1</v>
      </c>
      <c r="J1127" s="2">
        <v>1590</v>
      </c>
      <c r="K1127" s="2">
        <v>1</v>
      </c>
      <c r="L1127" s="2" t="s">
        <v>46</v>
      </c>
      <c r="M1127" s="2">
        <v>87</v>
      </c>
      <c r="N1127" s="2">
        <v>3</v>
      </c>
      <c r="O1127" s="2">
        <v>2</v>
      </c>
      <c r="P1127" s="2" t="s">
        <v>54</v>
      </c>
      <c r="Q1127" s="2">
        <v>4</v>
      </c>
      <c r="R1127" s="2" t="s">
        <v>52</v>
      </c>
      <c r="S1127" s="2">
        <v>8853</v>
      </c>
      <c r="T1127" s="2">
        <v>24483</v>
      </c>
      <c r="U1127" s="2">
        <v>1</v>
      </c>
      <c r="V1127" s="2" t="s">
        <v>42</v>
      </c>
      <c r="W1127" s="2" t="s">
        <v>43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</row>
    <row r="1128" spans="1:35" x14ac:dyDescent="0.25">
      <c r="A1128" s="2">
        <v>50</v>
      </c>
      <c r="B1128" s="2" t="s">
        <v>43</v>
      </c>
      <c r="C1128" s="2" t="s">
        <v>36</v>
      </c>
      <c r="D1128" s="2">
        <v>264</v>
      </c>
      <c r="E1128" s="2" t="s">
        <v>37</v>
      </c>
      <c r="F1128" s="2">
        <v>9</v>
      </c>
      <c r="G1128" s="2">
        <v>3</v>
      </c>
      <c r="H1128" s="2" t="s">
        <v>59</v>
      </c>
      <c r="I1128" s="2">
        <v>1</v>
      </c>
      <c r="J1128" s="2">
        <v>1591</v>
      </c>
      <c r="K1128" s="2">
        <v>3</v>
      </c>
      <c r="L1128" s="2" t="s">
        <v>46</v>
      </c>
      <c r="M1128" s="2">
        <v>59</v>
      </c>
      <c r="N1128" s="2">
        <v>3</v>
      </c>
      <c r="O1128" s="2">
        <v>5</v>
      </c>
      <c r="P1128" s="2" t="s">
        <v>56</v>
      </c>
      <c r="Q1128" s="2">
        <v>3</v>
      </c>
      <c r="R1128" s="2" t="s">
        <v>48</v>
      </c>
      <c r="S1128" s="2">
        <v>19331</v>
      </c>
      <c r="T1128" s="2">
        <v>19519</v>
      </c>
      <c r="U1128" s="2">
        <v>4</v>
      </c>
      <c r="V1128" s="2" t="s">
        <v>42</v>
      </c>
      <c r="W1128" s="2" t="s">
        <v>35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</row>
    <row r="1129" spans="1:35" x14ac:dyDescent="0.25">
      <c r="A1129" s="2">
        <v>23</v>
      </c>
      <c r="B1129" s="2" t="s">
        <v>43</v>
      </c>
      <c r="C1129" s="2" t="s">
        <v>36</v>
      </c>
      <c r="D1129" s="2">
        <v>977</v>
      </c>
      <c r="E1129" s="2" t="s">
        <v>45</v>
      </c>
      <c r="F1129" s="2">
        <v>10</v>
      </c>
      <c r="G1129" s="2">
        <v>3</v>
      </c>
      <c r="H1129" s="2" t="s">
        <v>60</v>
      </c>
      <c r="I1129" s="2">
        <v>1</v>
      </c>
      <c r="J1129" s="2">
        <v>1592</v>
      </c>
      <c r="K1129" s="2">
        <v>4</v>
      </c>
      <c r="L1129" s="2" t="s">
        <v>46</v>
      </c>
      <c r="M1129" s="2">
        <v>45</v>
      </c>
      <c r="N1129" s="2">
        <v>4</v>
      </c>
      <c r="O1129" s="2">
        <v>1</v>
      </c>
      <c r="P1129" s="2" t="s">
        <v>47</v>
      </c>
      <c r="Q1129" s="2">
        <v>3</v>
      </c>
      <c r="R1129" s="2" t="s">
        <v>48</v>
      </c>
      <c r="S1129" s="2">
        <v>2073</v>
      </c>
      <c r="T1129" s="2">
        <v>12826</v>
      </c>
      <c r="U1129" s="2">
        <v>2</v>
      </c>
      <c r="V1129" s="2" t="s">
        <v>42</v>
      </c>
      <c r="W1129" s="2" t="s">
        <v>43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</row>
    <row r="1130" spans="1:35" x14ac:dyDescent="0.25">
      <c r="A1130" s="2">
        <v>36</v>
      </c>
      <c r="B1130" s="2" t="s">
        <v>43</v>
      </c>
      <c r="C1130" s="2" t="s">
        <v>44</v>
      </c>
      <c r="D1130" s="2">
        <v>1302</v>
      </c>
      <c r="E1130" s="2" t="s">
        <v>45</v>
      </c>
      <c r="F1130" s="2">
        <v>6</v>
      </c>
      <c r="G1130" s="2">
        <v>4</v>
      </c>
      <c r="H1130" s="2" t="s">
        <v>38</v>
      </c>
      <c r="I1130" s="2">
        <v>1</v>
      </c>
      <c r="J1130" s="2">
        <v>1594</v>
      </c>
      <c r="K1130" s="2">
        <v>1</v>
      </c>
      <c r="L1130" s="2" t="s">
        <v>46</v>
      </c>
      <c r="M1130" s="2">
        <v>80</v>
      </c>
      <c r="N1130" s="2">
        <v>4</v>
      </c>
      <c r="O1130" s="2">
        <v>2</v>
      </c>
      <c r="P1130" s="2" t="s">
        <v>50</v>
      </c>
      <c r="Q1130" s="2">
        <v>1</v>
      </c>
      <c r="R1130" s="2" t="s">
        <v>48</v>
      </c>
      <c r="S1130" s="2">
        <v>5562</v>
      </c>
      <c r="T1130" s="2">
        <v>19711</v>
      </c>
      <c r="U1130" s="2">
        <v>3</v>
      </c>
      <c r="V1130" s="2" t="s">
        <v>42</v>
      </c>
      <c r="W1130" s="2" t="s">
        <v>35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</row>
    <row r="1131" spans="1:35" x14ac:dyDescent="0.25">
      <c r="A1131" s="2">
        <v>42</v>
      </c>
      <c r="B1131" s="2" t="s">
        <v>43</v>
      </c>
      <c r="C1131" s="2" t="s">
        <v>36</v>
      </c>
      <c r="D1131" s="2">
        <v>1059</v>
      </c>
      <c r="E1131" s="2" t="s">
        <v>45</v>
      </c>
      <c r="F1131" s="2">
        <v>9</v>
      </c>
      <c r="G1131" s="2">
        <v>2</v>
      </c>
      <c r="H1131" s="2" t="s">
        <v>49</v>
      </c>
      <c r="I1131" s="2">
        <v>1</v>
      </c>
      <c r="J1131" s="2">
        <v>1595</v>
      </c>
      <c r="K1131" s="2">
        <v>4</v>
      </c>
      <c r="L1131" s="2" t="s">
        <v>46</v>
      </c>
      <c r="M1131" s="2">
        <v>93</v>
      </c>
      <c r="N1131" s="2">
        <v>2</v>
      </c>
      <c r="O1131" s="2">
        <v>5</v>
      </c>
      <c r="P1131" s="2" t="s">
        <v>56</v>
      </c>
      <c r="Q1131" s="2">
        <v>4</v>
      </c>
      <c r="R1131" s="2" t="s">
        <v>41</v>
      </c>
      <c r="S1131" s="2">
        <v>19613</v>
      </c>
      <c r="T1131" s="2">
        <v>26362</v>
      </c>
      <c r="U1131" s="2">
        <v>8</v>
      </c>
      <c r="V1131" s="2" t="s">
        <v>42</v>
      </c>
      <c r="W1131" s="2" t="s">
        <v>43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</row>
    <row r="1132" spans="1:35" x14ac:dyDescent="0.25">
      <c r="A1132" s="2">
        <v>35</v>
      </c>
      <c r="B1132" s="2" t="s">
        <v>43</v>
      </c>
      <c r="C1132" s="2" t="s">
        <v>36</v>
      </c>
      <c r="D1132" s="2">
        <v>750</v>
      </c>
      <c r="E1132" s="2" t="s">
        <v>45</v>
      </c>
      <c r="F1132" s="2">
        <v>28</v>
      </c>
      <c r="G1132" s="2">
        <v>3</v>
      </c>
      <c r="H1132" s="2" t="s">
        <v>38</v>
      </c>
      <c r="I1132" s="2">
        <v>1</v>
      </c>
      <c r="J1132" s="2">
        <v>1596</v>
      </c>
      <c r="K1132" s="2">
        <v>2</v>
      </c>
      <c r="L1132" s="2" t="s">
        <v>46</v>
      </c>
      <c r="M1132" s="2">
        <v>46</v>
      </c>
      <c r="N1132" s="2">
        <v>4</v>
      </c>
      <c r="O1132" s="2">
        <v>2</v>
      </c>
      <c r="P1132" s="2" t="s">
        <v>50</v>
      </c>
      <c r="Q1132" s="2">
        <v>3</v>
      </c>
      <c r="R1132" s="2" t="s">
        <v>48</v>
      </c>
      <c r="S1132" s="2">
        <v>3407</v>
      </c>
      <c r="T1132" s="2">
        <v>25348</v>
      </c>
      <c r="U1132" s="2">
        <v>1</v>
      </c>
      <c r="V1132" s="2" t="s">
        <v>42</v>
      </c>
      <c r="W1132" s="2" t="s">
        <v>43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</row>
    <row r="1133" spans="1:35" x14ac:dyDescent="0.25">
      <c r="A1133" s="2">
        <v>34</v>
      </c>
      <c r="B1133" s="2" t="s">
        <v>43</v>
      </c>
      <c r="C1133" s="2" t="s">
        <v>44</v>
      </c>
      <c r="D1133" s="2">
        <v>653</v>
      </c>
      <c r="E1133" s="2" t="s">
        <v>45</v>
      </c>
      <c r="F1133" s="2">
        <v>10</v>
      </c>
      <c r="G1133" s="2">
        <v>4</v>
      </c>
      <c r="H1133" s="2" t="s">
        <v>60</v>
      </c>
      <c r="I1133" s="2">
        <v>1</v>
      </c>
      <c r="J1133" s="2">
        <v>1597</v>
      </c>
      <c r="K1133" s="2">
        <v>4</v>
      </c>
      <c r="L1133" s="2" t="s">
        <v>46</v>
      </c>
      <c r="M1133" s="2">
        <v>92</v>
      </c>
      <c r="N1133" s="2">
        <v>2</v>
      </c>
      <c r="O1133" s="2">
        <v>2</v>
      </c>
      <c r="P1133" s="2" t="s">
        <v>54</v>
      </c>
      <c r="Q1133" s="2">
        <v>3</v>
      </c>
      <c r="R1133" s="2" t="s">
        <v>48</v>
      </c>
      <c r="S1133" s="2">
        <v>5063</v>
      </c>
      <c r="T1133" s="2">
        <v>15332</v>
      </c>
      <c r="U1133" s="2">
        <v>1</v>
      </c>
      <c r="V1133" s="2" t="s">
        <v>42</v>
      </c>
      <c r="W1133" s="2" t="s">
        <v>43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</row>
    <row r="1134" spans="1:35" x14ac:dyDescent="0.25">
      <c r="A1134" s="2">
        <v>40</v>
      </c>
      <c r="B1134" s="2" t="s">
        <v>43</v>
      </c>
      <c r="C1134" s="2" t="s">
        <v>36</v>
      </c>
      <c r="D1134" s="2">
        <v>118</v>
      </c>
      <c r="E1134" s="2" t="s">
        <v>37</v>
      </c>
      <c r="F1134" s="2">
        <v>14</v>
      </c>
      <c r="G1134" s="2">
        <v>2</v>
      </c>
      <c r="H1134" s="2" t="s">
        <v>38</v>
      </c>
      <c r="I1134" s="2">
        <v>1</v>
      </c>
      <c r="J1134" s="2">
        <v>1598</v>
      </c>
      <c r="K1134" s="2">
        <v>4</v>
      </c>
      <c r="L1134" s="2" t="s">
        <v>39</v>
      </c>
      <c r="M1134" s="2">
        <v>84</v>
      </c>
      <c r="N1134" s="2">
        <v>3</v>
      </c>
      <c r="O1134" s="2">
        <v>2</v>
      </c>
      <c r="P1134" s="2" t="s">
        <v>40</v>
      </c>
      <c r="Q1134" s="2">
        <v>1</v>
      </c>
      <c r="R1134" s="2" t="s">
        <v>48</v>
      </c>
      <c r="S1134" s="2">
        <v>4639</v>
      </c>
      <c r="T1134" s="2">
        <v>11262</v>
      </c>
      <c r="U1134" s="2">
        <v>1</v>
      </c>
      <c r="V1134" s="2" t="s">
        <v>42</v>
      </c>
      <c r="W1134" s="2" t="s">
        <v>43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</row>
    <row r="1135" spans="1:35" x14ac:dyDescent="0.25">
      <c r="A1135" s="2">
        <v>43</v>
      </c>
      <c r="B1135" s="2" t="s">
        <v>43</v>
      </c>
      <c r="C1135" s="2" t="s">
        <v>36</v>
      </c>
      <c r="D1135" s="2">
        <v>990</v>
      </c>
      <c r="E1135" s="2" t="s">
        <v>45</v>
      </c>
      <c r="F1135" s="2">
        <v>27</v>
      </c>
      <c r="G1135" s="2">
        <v>3</v>
      </c>
      <c r="H1135" s="2" t="s">
        <v>60</v>
      </c>
      <c r="I1135" s="2">
        <v>1</v>
      </c>
      <c r="J1135" s="2">
        <v>1599</v>
      </c>
      <c r="K1135" s="2">
        <v>4</v>
      </c>
      <c r="L1135" s="2" t="s">
        <v>46</v>
      </c>
      <c r="M1135" s="2">
        <v>87</v>
      </c>
      <c r="N1135" s="2">
        <v>4</v>
      </c>
      <c r="O1135" s="2">
        <v>1</v>
      </c>
      <c r="P1135" s="2" t="s">
        <v>50</v>
      </c>
      <c r="Q1135" s="2">
        <v>2</v>
      </c>
      <c r="R1135" s="2" t="s">
        <v>52</v>
      </c>
      <c r="S1135" s="2">
        <v>4876</v>
      </c>
      <c r="T1135" s="2">
        <v>5855</v>
      </c>
      <c r="U1135" s="2">
        <v>5</v>
      </c>
      <c r="V1135" s="2" t="s">
        <v>42</v>
      </c>
      <c r="W1135" s="2" t="s">
        <v>43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</row>
    <row r="1136" spans="1:35" x14ac:dyDescent="0.25">
      <c r="A1136" s="2">
        <v>35</v>
      </c>
      <c r="B1136" s="2" t="s">
        <v>43</v>
      </c>
      <c r="C1136" s="2" t="s">
        <v>36</v>
      </c>
      <c r="D1136" s="2">
        <v>1349</v>
      </c>
      <c r="E1136" s="2" t="s">
        <v>45</v>
      </c>
      <c r="F1136" s="2">
        <v>7</v>
      </c>
      <c r="G1136" s="2">
        <v>2</v>
      </c>
      <c r="H1136" s="2" t="s">
        <v>38</v>
      </c>
      <c r="I1136" s="2">
        <v>1</v>
      </c>
      <c r="J1136" s="2">
        <v>1601</v>
      </c>
      <c r="K1136" s="2">
        <v>3</v>
      </c>
      <c r="L1136" s="2" t="s">
        <v>46</v>
      </c>
      <c r="M1136" s="2">
        <v>63</v>
      </c>
      <c r="N1136" s="2">
        <v>2</v>
      </c>
      <c r="O1136" s="2">
        <v>1</v>
      </c>
      <c r="P1136" s="2" t="s">
        <v>50</v>
      </c>
      <c r="Q1136" s="2">
        <v>4</v>
      </c>
      <c r="R1136" s="2" t="s">
        <v>48</v>
      </c>
      <c r="S1136" s="2">
        <v>2690</v>
      </c>
      <c r="T1136" s="2">
        <v>7713</v>
      </c>
      <c r="U1136" s="2">
        <v>1</v>
      </c>
      <c r="V1136" s="2" t="s">
        <v>42</v>
      </c>
      <c r="W1136" s="2" t="s">
        <v>43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</row>
    <row r="1137" spans="1:35" x14ac:dyDescent="0.25">
      <c r="A1137" s="2">
        <v>46</v>
      </c>
      <c r="B1137" s="2" t="s">
        <v>43</v>
      </c>
      <c r="C1137" s="2" t="s">
        <v>36</v>
      </c>
      <c r="D1137" s="2">
        <v>563</v>
      </c>
      <c r="E1137" s="2" t="s">
        <v>37</v>
      </c>
      <c r="F1137" s="2">
        <v>1</v>
      </c>
      <c r="G1137" s="2">
        <v>4</v>
      </c>
      <c r="H1137" s="2" t="s">
        <v>38</v>
      </c>
      <c r="I1137" s="2">
        <v>1</v>
      </c>
      <c r="J1137" s="2">
        <v>1602</v>
      </c>
      <c r="K1137" s="2">
        <v>4</v>
      </c>
      <c r="L1137" s="2" t="s">
        <v>46</v>
      </c>
      <c r="M1137" s="2">
        <v>56</v>
      </c>
      <c r="N1137" s="2">
        <v>4</v>
      </c>
      <c r="O1137" s="2">
        <v>4</v>
      </c>
      <c r="P1137" s="2" t="s">
        <v>56</v>
      </c>
      <c r="Q1137" s="2">
        <v>1</v>
      </c>
      <c r="R1137" s="2" t="s">
        <v>41</v>
      </c>
      <c r="S1137" s="2">
        <v>17567</v>
      </c>
      <c r="T1137" s="2">
        <v>3156</v>
      </c>
      <c r="U1137" s="2">
        <v>1</v>
      </c>
      <c r="V1137" s="2" t="s">
        <v>42</v>
      </c>
      <c r="W1137" s="2" t="s">
        <v>43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</row>
    <row r="1138" spans="1:35" x14ac:dyDescent="0.25">
      <c r="A1138" s="2">
        <v>28</v>
      </c>
      <c r="B1138" s="2" t="s">
        <v>35</v>
      </c>
      <c r="C1138" s="2" t="s">
        <v>36</v>
      </c>
      <c r="D1138" s="2">
        <v>329</v>
      </c>
      <c r="E1138" s="2" t="s">
        <v>45</v>
      </c>
      <c r="F1138" s="2">
        <v>24</v>
      </c>
      <c r="G1138" s="2">
        <v>3</v>
      </c>
      <c r="H1138" s="2" t="s">
        <v>51</v>
      </c>
      <c r="I1138" s="2">
        <v>1</v>
      </c>
      <c r="J1138" s="2">
        <v>1604</v>
      </c>
      <c r="K1138" s="2">
        <v>3</v>
      </c>
      <c r="L1138" s="2" t="s">
        <v>46</v>
      </c>
      <c r="M1138" s="2">
        <v>51</v>
      </c>
      <c r="N1138" s="2">
        <v>3</v>
      </c>
      <c r="O1138" s="2">
        <v>1</v>
      </c>
      <c r="P1138" s="2" t="s">
        <v>50</v>
      </c>
      <c r="Q1138" s="2">
        <v>2</v>
      </c>
      <c r="R1138" s="2" t="s">
        <v>48</v>
      </c>
      <c r="S1138" s="2">
        <v>2408</v>
      </c>
      <c r="T1138" s="2">
        <v>7324</v>
      </c>
      <c r="U1138" s="2">
        <v>1</v>
      </c>
      <c r="V1138" s="2" t="s">
        <v>42</v>
      </c>
      <c r="W1138" s="2" t="s">
        <v>35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</row>
    <row r="1139" spans="1:35" x14ac:dyDescent="0.25">
      <c r="A1139" s="2">
        <v>22</v>
      </c>
      <c r="B1139" s="2" t="s">
        <v>43</v>
      </c>
      <c r="C1139" s="2" t="s">
        <v>55</v>
      </c>
      <c r="D1139" s="2">
        <v>457</v>
      </c>
      <c r="E1139" s="2" t="s">
        <v>45</v>
      </c>
      <c r="F1139" s="2">
        <v>26</v>
      </c>
      <c r="G1139" s="2">
        <v>2</v>
      </c>
      <c r="H1139" s="2" t="s">
        <v>49</v>
      </c>
      <c r="I1139" s="2">
        <v>1</v>
      </c>
      <c r="J1139" s="2">
        <v>1605</v>
      </c>
      <c r="K1139" s="2">
        <v>2</v>
      </c>
      <c r="L1139" s="2" t="s">
        <v>39</v>
      </c>
      <c r="M1139" s="2">
        <v>85</v>
      </c>
      <c r="N1139" s="2">
        <v>2</v>
      </c>
      <c r="O1139" s="2">
        <v>1</v>
      </c>
      <c r="P1139" s="2" t="s">
        <v>47</v>
      </c>
      <c r="Q1139" s="2">
        <v>3</v>
      </c>
      <c r="R1139" s="2" t="s">
        <v>48</v>
      </c>
      <c r="S1139" s="2">
        <v>2814</v>
      </c>
      <c r="T1139" s="2">
        <v>10293</v>
      </c>
      <c r="U1139" s="2">
        <v>1</v>
      </c>
      <c r="V1139" s="2" t="s">
        <v>42</v>
      </c>
      <c r="W1139" s="2" t="s">
        <v>35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</row>
    <row r="1140" spans="1:35" x14ac:dyDescent="0.25">
      <c r="A1140" s="2">
        <v>50</v>
      </c>
      <c r="B1140" s="2" t="s">
        <v>43</v>
      </c>
      <c r="C1140" s="2" t="s">
        <v>44</v>
      </c>
      <c r="D1140" s="2">
        <v>1234</v>
      </c>
      <c r="E1140" s="2" t="s">
        <v>45</v>
      </c>
      <c r="F1140" s="2">
        <v>20</v>
      </c>
      <c r="G1140" s="2">
        <v>5</v>
      </c>
      <c r="H1140" s="2" t="s">
        <v>51</v>
      </c>
      <c r="I1140" s="2">
        <v>1</v>
      </c>
      <c r="J1140" s="2">
        <v>1606</v>
      </c>
      <c r="K1140" s="2">
        <v>2</v>
      </c>
      <c r="L1140" s="2" t="s">
        <v>46</v>
      </c>
      <c r="M1140" s="2">
        <v>41</v>
      </c>
      <c r="N1140" s="2">
        <v>3</v>
      </c>
      <c r="O1140" s="2">
        <v>4</v>
      </c>
      <c r="P1140" s="2" t="s">
        <v>54</v>
      </c>
      <c r="Q1140" s="2">
        <v>3</v>
      </c>
      <c r="R1140" s="2" t="s">
        <v>48</v>
      </c>
      <c r="S1140" s="2">
        <v>11245</v>
      </c>
      <c r="T1140" s="2">
        <v>20689</v>
      </c>
      <c r="U1140" s="2">
        <v>2</v>
      </c>
      <c r="V1140" s="2" t="s">
        <v>42</v>
      </c>
      <c r="W1140" s="2" t="s">
        <v>35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</row>
    <row r="1141" spans="1:35" x14ac:dyDescent="0.25">
      <c r="A1141" s="2">
        <v>32</v>
      </c>
      <c r="B1141" s="2" t="s">
        <v>43</v>
      </c>
      <c r="C1141" s="2" t="s">
        <v>36</v>
      </c>
      <c r="D1141" s="2">
        <v>634</v>
      </c>
      <c r="E1141" s="2" t="s">
        <v>45</v>
      </c>
      <c r="F1141" s="2">
        <v>5</v>
      </c>
      <c r="G1141" s="2">
        <v>4</v>
      </c>
      <c r="H1141" s="2" t="s">
        <v>49</v>
      </c>
      <c r="I1141" s="2">
        <v>1</v>
      </c>
      <c r="J1141" s="2">
        <v>1607</v>
      </c>
      <c r="K1141" s="2">
        <v>2</v>
      </c>
      <c r="L1141" s="2" t="s">
        <v>39</v>
      </c>
      <c r="M1141" s="2">
        <v>35</v>
      </c>
      <c r="N1141" s="2">
        <v>4</v>
      </c>
      <c r="O1141" s="2">
        <v>1</v>
      </c>
      <c r="P1141" s="2" t="s">
        <v>47</v>
      </c>
      <c r="Q1141" s="2">
        <v>4</v>
      </c>
      <c r="R1141" s="2" t="s">
        <v>48</v>
      </c>
      <c r="S1141" s="2">
        <v>3312</v>
      </c>
      <c r="T1141" s="2">
        <v>18783</v>
      </c>
      <c r="U1141" s="2">
        <v>3</v>
      </c>
      <c r="V1141" s="2" t="s">
        <v>42</v>
      </c>
      <c r="W1141" s="2" t="s">
        <v>43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</row>
    <row r="1142" spans="1:35" x14ac:dyDescent="0.25">
      <c r="A1142" s="2">
        <v>44</v>
      </c>
      <c r="B1142" s="2" t="s">
        <v>43</v>
      </c>
      <c r="C1142" s="2" t="s">
        <v>36</v>
      </c>
      <c r="D1142" s="2">
        <v>1313</v>
      </c>
      <c r="E1142" s="2" t="s">
        <v>45</v>
      </c>
      <c r="F1142" s="2">
        <v>7</v>
      </c>
      <c r="G1142" s="2">
        <v>3</v>
      </c>
      <c r="H1142" s="2" t="s">
        <v>51</v>
      </c>
      <c r="I1142" s="2">
        <v>1</v>
      </c>
      <c r="J1142" s="2">
        <v>1608</v>
      </c>
      <c r="K1142" s="2">
        <v>2</v>
      </c>
      <c r="L1142" s="2" t="s">
        <v>39</v>
      </c>
      <c r="M1142" s="2">
        <v>31</v>
      </c>
      <c r="N1142" s="2">
        <v>3</v>
      </c>
      <c r="O1142" s="2">
        <v>5</v>
      </c>
      <c r="P1142" s="2" t="s">
        <v>58</v>
      </c>
      <c r="Q1142" s="2">
        <v>4</v>
      </c>
      <c r="R1142" s="2" t="s">
        <v>52</v>
      </c>
      <c r="S1142" s="2">
        <v>19049</v>
      </c>
      <c r="T1142" s="2">
        <v>3549</v>
      </c>
      <c r="U1142" s="2">
        <v>0</v>
      </c>
      <c r="V1142" s="2" t="s">
        <v>42</v>
      </c>
      <c r="W1142" s="2" t="s">
        <v>35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</row>
    <row r="1143" spans="1:35" x14ac:dyDescent="0.25">
      <c r="A1143" s="2">
        <v>30</v>
      </c>
      <c r="B1143" s="2" t="s">
        <v>43</v>
      </c>
      <c r="C1143" s="2" t="s">
        <v>36</v>
      </c>
      <c r="D1143" s="2">
        <v>241</v>
      </c>
      <c r="E1143" s="2" t="s">
        <v>45</v>
      </c>
      <c r="F1143" s="2">
        <v>7</v>
      </c>
      <c r="G1143" s="2">
        <v>3</v>
      </c>
      <c r="H1143" s="2" t="s">
        <v>51</v>
      </c>
      <c r="I1143" s="2">
        <v>1</v>
      </c>
      <c r="J1143" s="2">
        <v>1609</v>
      </c>
      <c r="K1143" s="2">
        <v>2</v>
      </c>
      <c r="L1143" s="2" t="s">
        <v>46</v>
      </c>
      <c r="M1143" s="2">
        <v>48</v>
      </c>
      <c r="N1143" s="2">
        <v>2</v>
      </c>
      <c r="O1143" s="2">
        <v>1</v>
      </c>
      <c r="P1143" s="2" t="s">
        <v>47</v>
      </c>
      <c r="Q1143" s="2">
        <v>2</v>
      </c>
      <c r="R1143" s="2" t="s">
        <v>48</v>
      </c>
      <c r="S1143" s="2">
        <v>2141</v>
      </c>
      <c r="T1143" s="2">
        <v>5348</v>
      </c>
      <c r="U1143" s="2">
        <v>1</v>
      </c>
      <c r="V1143" s="2" t="s">
        <v>42</v>
      </c>
      <c r="W1143" s="2" t="s">
        <v>43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</row>
    <row r="1144" spans="1:35" x14ac:dyDescent="0.25">
      <c r="A1144" s="2">
        <v>45</v>
      </c>
      <c r="B1144" s="2" t="s">
        <v>43</v>
      </c>
      <c r="C1144" s="2" t="s">
        <v>36</v>
      </c>
      <c r="D1144" s="2">
        <v>1015</v>
      </c>
      <c r="E1144" s="2" t="s">
        <v>45</v>
      </c>
      <c r="F1144" s="2">
        <v>5</v>
      </c>
      <c r="G1144" s="2">
        <v>5</v>
      </c>
      <c r="H1144" s="2" t="s">
        <v>51</v>
      </c>
      <c r="I1144" s="2">
        <v>1</v>
      </c>
      <c r="J1144" s="2">
        <v>1611</v>
      </c>
      <c r="K1144" s="2">
        <v>3</v>
      </c>
      <c r="L1144" s="2" t="s">
        <v>39</v>
      </c>
      <c r="M1144" s="2">
        <v>50</v>
      </c>
      <c r="N1144" s="2">
        <v>1</v>
      </c>
      <c r="O1144" s="2">
        <v>2</v>
      </c>
      <c r="P1144" s="2" t="s">
        <v>50</v>
      </c>
      <c r="Q1144" s="2">
        <v>1</v>
      </c>
      <c r="R1144" s="2" t="s">
        <v>41</v>
      </c>
      <c r="S1144" s="2">
        <v>5769</v>
      </c>
      <c r="T1144" s="2">
        <v>23447</v>
      </c>
      <c r="U1144" s="2">
        <v>1</v>
      </c>
      <c r="V1144" s="2" t="s">
        <v>42</v>
      </c>
      <c r="W1144" s="2" t="s">
        <v>35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</row>
    <row r="1145" spans="1:35" x14ac:dyDescent="0.25">
      <c r="A1145" s="2">
        <v>45</v>
      </c>
      <c r="B1145" s="2" t="s">
        <v>43</v>
      </c>
      <c r="C1145" s="2" t="s">
        <v>55</v>
      </c>
      <c r="D1145" s="2">
        <v>336</v>
      </c>
      <c r="E1145" s="2" t="s">
        <v>37</v>
      </c>
      <c r="F1145" s="2">
        <v>26</v>
      </c>
      <c r="G1145" s="2">
        <v>3</v>
      </c>
      <c r="H1145" s="2" t="s">
        <v>59</v>
      </c>
      <c r="I1145" s="2">
        <v>1</v>
      </c>
      <c r="J1145" s="2">
        <v>1612</v>
      </c>
      <c r="K1145" s="2">
        <v>1</v>
      </c>
      <c r="L1145" s="2" t="s">
        <v>46</v>
      </c>
      <c r="M1145" s="2">
        <v>52</v>
      </c>
      <c r="N1145" s="2">
        <v>2</v>
      </c>
      <c r="O1145" s="2">
        <v>2</v>
      </c>
      <c r="P1145" s="2" t="s">
        <v>40</v>
      </c>
      <c r="Q1145" s="2">
        <v>1</v>
      </c>
      <c r="R1145" s="2" t="s">
        <v>48</v>
      </c>
      <c r="S1145" s="2">
        <v>4385</v>
      </c>
      <c r="T1145" s="2">
        <v>24162</v>
      </c>
      <c r="U1145" s="2">
        <v>1</v>
      </c>
      <c r="V1145" s="2" t="s">
        <v>42</v>
      </c>
      <c r="W1145" s="2" t="s">
        <v>43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</row>
    <row r="1146" spans="1:35" x14ac:dyDescent="0.25">
      <c r="A1146" s="2">
        <v>31</v>
      </c>
      <c r="B1146" s="2" t="s">
        <v>43</v>
      </c>
      <c r="C1146" s="2" t="s">
        <v>44</v>
      </c>
      <c r="D1146" s="2">
        <v>715</v>
      </c>
      <c r="E1146" s="2" t="s">
        <v>37</v>
      </c>
      <c r="F1146" s="2">
        <v>2</v>
      </c>
      <c r="G1146" s="2">
        <v>4</v>
      </c>
      <c r="H1146" s="2" t="s">
        <v>49</v>
      </c>
      <c r="I1146" s="2">
        <v>1</v>
      </c>
      <c r="J1146" s="2">
        <v>1613</v>
      </c>
      <c r="K1146" s="2">
        <v>4</v>
      </c>
      <c r="L1146" s="2" t="s">
        <v>46</v>
      </c>
      <c r="M1146" s="2">
        <v>54</v>
      </c>
      <c r="N1146" s="2">
        <v>3</v>
      </c>
      <c r="O1146" s="2">
        <v>2</v>
      </c>
      <c r="P1146" s="2" t="s">
        <v>40</v>
      </c>
      <c r="Q1146" s="2">
        <v>1</v>
      </c>
      <c r="R1146" s="2" t="s">
        <v>41</v>
      </c>
      <c r="S1146" s="2">
        <v>5332</v>
      </c>
      <c r="T1146" s="2">
        <v>21602</v>
      </c>
      <c r="U1146" s="2">
        <v>7</v>
      </c>
      <c r="V1146" s="2" t="s">
        <v>42</v>
      </c>
      <c r="W1146" s="2" t="s">
        <v>43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</row>
    <row r="1147" spans="1:35" x14ac:dyDescent="0.25">
      <c r="A1147" s="2">
        <v>36</v>
      </c>
      <c r="B1147" s="2" t="s">
        <v>43</v>
      </c>
      <c r="C1147" s="2" t="s">
        <v>36</v>
      </c>
      <c r="D1147" s="2">
        <v>559</v>
      </c>
      <c r="E1147" s="2" t="s">
        <v>45</v>
      </c>
      <c r="F1147" s="2">
        <v>12</v>
      </c>
      <c r="G1147" s="2">
        <v>4</v>
      </c>
      <c r="H1147" s="2" t="s">
        <v>38</v>
      </c>
      <c r="I1147" s="2">
        <v>1</v>
      </c>
      <c r="J1147" s="2">
        <v>1614</v>
      </c>
      <c r="K1147" s="2">
        <v>3</v>
      </c>
      <c r="L1147" s="2" t="s">
        <v>39</v>
      </c>
      <c r="M1147" s="2">
        <v>76</v>
      </c>
      <c r="N1147" s="2">
        <v>3</v>
      </c>
      <c r="O1147" s="2">
        <v>2</v>
      </c>
      <c r="P1147" s="2" t="s">
        <v>53</v>
      </c>
      <c r="Q1147" s="2">
        <v>3</v>
      </c>
      <c r="R1147" s="2" t="s">
        <v>48</v>
      </c>
      <c r="S1147" s="2">
        <v>4663</v>
      </c>
      <c r="T1147" s="2">
        <v>12421</v>
      </c>
      <c r="U1147" s="2">
        <v>9</v>
      </c>
      <c r="V1147" s="2" t="s">
        <v>42</v>
      </c>
      <c r="W1147" s="2" t="s">
        <v>35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</row>
    <row r="1148" spans="1:35" x14ac:dyDescent="0.25">
      <c r="A1148" s="2">
        <v>34</v>
      </c>
      <c r="B1148" s="2" t="s">
        <v>43</v>
      </c>
      <c r="C1148" s="2" t="s">
        <v>44</v>
      </c>
      <c r="D1148" s="2">
        <v>426</v>
      </c>
      <c r="E1148" s="2" t="s">
        <v>45</v>
      </c>
      <c r="F1148" s="2">
        <v>10</v>
      </c>
      <c r="G1148" s="2">
        <v>4</v>
      </c>
      <c r="H1148" s="2" t="s">
        <v>38</v>
      </c>
      <c r="I1148" s="2">
        <v>1</v>
      </c>
      <c r="J1148" s="2">
        <v>1615</v>
      </c>
      <c r="K1148" s="2">
        <v>3</v>
      </c>
      <c r="L1148" s="2" t="s">
        <v>46</v>
      </c>
      <c r="M1148" s="2">
        <v>42</v>
      </c>
      <c r="N1148" s="2">
        <v>4</v>
      </c>
      <c r="O1148" s="2">
        <v>2</v>
      </c>
      <c r="P1148" s="2" t="s">
        <v>53</v>
      </c>
      <c r="Q1148" s="2">
        <v>4</v>
      </c>
      <c r="R1148" s="2" t="s">
        <v>52</v>
      </c>
      <c r="S1148" s="2">
        <v>4724</v>
      </c>
      <c r="T1148" s="2">
        <v>17000</v>
      </c>
      <c r="U1148" s="2">
        <v>1</v>
      </c>
      <c r="V1148" s="2" t="s">
        <v>42</v>
      </c>
      <c r="W1148" s="2" t="s">
        <v>43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</row>
    <row r="1149" spans="1:35" x14ac:dyDescent="0.25">
      <c r="A1149" s="2">
        <v>49</v>
      </c>
      <c r="B1149" s="2" t="s">
        <v>43</v>
      </c>
      <c r="C1149" s="2" t="s">
        <v>36</v>
      </c>
      <c r="D1149" s="2">
        <v>722</v>
      </c>
      <c r="E1149" s="2" t="s">
        <v>45</v>
      </c>
      <c r="F1149" s="2">
        <v>25</v>
      </c>
      <c r="G1149" s="2">
        <v>4</v>
      </c>
      <c r="H1149" s="2" t="s">
        <v>38</v>
      </c>
      <c r="I1149" s="2">
        <v>1</v>
      </c>
      <c r="J1149" s="2">
        <v>1617</v>
      </c>
      <c r="K1149" s="2">
        <v>3</v>
      </c>
      <c r="L1149" s="2" t="s">
        <v>39</v>
      </c>
      <c r="M1149" s="2">
        <v>84</v>
      </c>
      <c r="N1149" s="2">
        <v>3</v>
      </c>
      <c r="O1149" s="2">
        <v>1</v>
      </c>
      <c r="P1149" s="2" t="s">
        <v>50</v>
      </c>
      <c r="Q1149" s="2">
        <v>1</v>
      </c>
      <c r="R1149" s="2" t="s">
        <v>48</v>
      </c>
      <c r="S1149" s="2">
        <v>3211</v>
      </c>
      <c r="T1149" s="2">
        <v>22102</v>
      </c>
      <c r="U1149" s="2">
        <v>1</v>
      </c>
      <c r="V1149" s="2" t="s">
        <v>42</v>
      </c>
      <c r="W1149" s="2" t="s">
        <v>43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</row>
    <row r="1150" spans="1:35" x14ac:dyDescent="0.25">
      <c r="A1150" s="2">
        <v>39</v>
      </c>
      <c r="B1150" s="2" t="s">
        <v>43</v>
      </c>
      <c r="C1150" s="2" t="s">
        <v>36</v>
      </c>
      <c r="D1150" s="2">
        <v>1387</v>
      </c>
      <c r="E1150" s="2" t="s">
        <v>45</v>
      </c>
      <c r="F1150" s="2">
        <v>10</v>
      </c>
      <c r="G1150" s="2">
        <v>5</v>
      </c>
      <c r="H1150" s="2" t="s">
        <v>51</v>
      </c>
      <c r="I1150" s="2">
        <v>1</v>
      </c>
      <c r="J1150" s="2">
        <v>1618</v>
      </c>
      <c r="K1150" s="2">
        <v>2</v>
      </c>
      <c r="L1150" s="2" t="s">
        <v>46</v>
      </c>
      <c r="M1150" s="2">
        <v>76</v>
      </c>
      <c r="N1150" s="2">
        <v>3</v>
      </c>
      <c r="O1150" s="2">
        <v>2</v>
      </c>
      <c r="P1150" s="2" t="s">
        <v>53</v>
      </c>
      <c r="Q1150" s="2">
        <v>1</v>
      </c>
      <c r="R1150" s="2" t="s">
        <v>48</v>
      </c>
      <c r="S1150" s="2">
        <v>5377</v>
      </c>
      <c r="T1150" s="2">
        <v>3835</v>
      </c>
      <c r="U1150" s="2">
        <v>2</v>
      </c>
      <c r="V1150" s="2" t="s">
        <v>42</v>
      </c>
      <c r="W1150" s="2" t="s">
        <v>43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</row>
    <row r="1151" spans="1:35" x14ac:dyDescent="0.25">
      <c r="A1151" s="2">
        <v>27</v>
      </c>
      <c r="B1151" s="2" t="s">
        <v>43</v>
      </c>
      <c r="C1151" s="2" t="s">
        <v>36</v>
      </c>
      <c r="D1151" s="2">
        <v>1302</v>
      </c>
      <c r="E1151" s="2" t="s">
        <v>45</v>
      </c>
      <c r="F1151" s="2">
        <v>19</v>
      </c>
      <c r="G1151" s="2">
        <v>3</v>
      </c>
      <c r="H1151" s="2" t="s">
        <v>49</v>
      </c>
      <c r="I1151" s="2">
        <v>1</v>
      </c>
      <c r="J1151" s="2">
        <v>1619</v>
      </c>
      <c r="K1151" s="2">
        <v>4</v>
      </c>
      <c r="L1151" s="2" t="s">
        <v>46</v>
      </c>
      <c r="M1151" s="2">
        <v>67</v>
      </c>
      <c r="N1151" s="2">
        <v>2</v>
      </c>
      <c r="O1151" s="2">
        <v>1</v>
      </c>
      <c r="P1151" s="2" t="s">
        <v>50</v>
      </c>
      <c r="Q1151" s="2">
        <v>1</v>
      </c>
      <c r="R1151" s="2" t="s">
        <v>52</v>
      </c>
      <c r="S1151" s="2">
        <v>4066</v>
      </c>
      <c r="T1151" s="2">
        <v>16290</v>
      </c>
      <c r="U1151" s="2">
        <v>1</v>
      </c>
      <c r="V1151" s="2" t="s">
        <v>42</v>
      </c>
      <c r="W1151" s="2" t="s">
        <v>43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</row>
    <row r="1152" spans="1:35" x14ac:dyDescent="0.25">
      <c r="A1152" s="2">
        <v>35</v>
      </c>
      <c r="B1152" s="2" t="s">
        <v>43</v>
      </c>
      <c r="C1152" s="2" t="s">
        <v>36</v>
      </c>
      <c r="D1152" s="2">
        <v>819</v>
      </c>
      <c r="E1152" s="2" t="s">
        <v>45</v>
      </c>
      <c r="F1152" s="2">
        <v>18</v>
      </c>
      <c r="G1152" s="2">
        <v>5</v>
      </c>
      <c r="H1152" s="2" t="s">
        <v>38</v>
      </c>
      <c r="I1152" s="2">
        <v>1</v>
      </c>
      <c r="J1152" s="2">
        <v>1621</v>
      </c>
      <c r="K1152" s="2">
        <v>2</v>
      </c>
      <c r="L1152" s="2" t="s">
        <v>46</v>
      </c>
      <c r="M1152" s="2">
        <v>48</v>
      </c>
      <c r="N1152" s="2">
        <v>4</v>
      </c>
      <c r="O1152" s="2">
        <v>2</v>
      </c>
      <c r="P1152" s="2" t="s">
        <v>47</v>
      </c>
      <c r="Q1152" s="2">
        <v>1</v>
      </c>
      <c r="R1152" s="2" t="s">
        <v>48</v>
      </c>
      <c r="S1152" s="2">
        <v>5208</v>
      </c>
      <c r="T1152" s="2">
        <v>26312</v>
      </c>
      <c r="U1152" s="2">
        <v>1</v>
      </c>
      <c r="V1152" s="2" t="s">
        <v>42</v>
      </c>
      <c r="W1152" s="2" t="s">
        <v>43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</row>
    <row r="1153" spans="1:35" x14ac:dyDescent="0.25">
      <c r="A1153" s="2">
        <v>28</v>
      </c>
      <c r="B1153" s="2" t="s">
        <v>43</v>
      </c>
      <c r="C1153" s="2" t="s">
        <v>36</v>
      </c>
      <c r="D1153" s="2">
        <v>580</v>
      </c>
      <c r="E1153" s="2" t="s">
        <v>45</v>
      </c>
      <c r="F1153" s="2">
        <v>27</v>
      </c>
      <c r="G1153" s="2">
        <v>3</v>
      </c>
      <c r="H1153" s="2" t="s">
        <v>51</v>
      </c>
      <c r="I1153" s="2">
        <v>1</v>
      </c>
      <c r="J1153" s="2">
        <v>1622</v>
      </c>
      <c r="K1153" s="2">
        <v>2</v>
      </c>
      <c r="L1153" s="2" t="s">
        <v>39</v>
      </c>
      <c r="M1153" s="2">
        <v>39</v>
      </c>
      <c r="N1153" s="2">
        <v>1</v>
      </c>
      <c r="O1153" s="2">
        <v>2</v>
      </c>
      <c r="P1153" s="2" t="s">
        <v>53</v>
      </c>
      <c r="Q1153" s="2">
        <v>1</v>
      </c>
      <c r="R1153" s="2" t="s">
        <v>52</v>
      </c>
      <c r="S1153" s="2">
        <v>4877</v>
      </c>
      <c r="T1153" s="2">
        <v>20460</v>
      </c>
      <c r="U1153" s="2">
        <v>0</v>
      </c>
      <c r="V1153" s="2" t="s">
        <v>42</v>
      </c>
      <c r="W1153" s="2" t="s">
        <v>43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</row>
    <row r="1154" spans="1:35" x14ac:dyDescent="0.25">
      <c r="A1154" s="2">
        <v>21</v>
      </c>
      <c r="B1154" s="2" t="s">
        <v>43</v>
      </c>
      <c r="C1154" s="2" t="s">
        <v>36</v>
      </c>
      <c r="D1154" s="2">
        <v>546</v>
      </c>
      <c r="E1154" s="2" t="s">
        <v>45</v>
      </c>
      <c r="F1154" s="2">
        <v>5</v>
      </c>
      <c r="G1154" s="2">
        <v>1</v>
      </c>
      <c r="H1154" s="2" t="s">
        <v>51</v>
      </c>
      <c r="I1154" s="2">
        <v>1</v>
      </c>
      <c r="J1154" s="2">
        <v>1623</v>
      </c>
      <c r="K1154" s="2">
        <v>3</v>
      </c>
      <c r="L1154" s="2" t="s">
        <v>46</v>
      </c>
      <c r="M1154" s="2">
        <v>97</v>
      </c>
      <c r="N1154" s="2">
        <v>3</v>
      </c>
      <c r="O1154" s="2">
        <v>1</v>
      </c>
      <c r="P1154" s="2" t="s">
        <v>47</v>
      </c>
      <c r="Q1154" s="2">
        <v>4</v>
      </c>
      <c r="R1154" s="2" t="s">
        <v>41</v>
      </c>
      <c r="S1154" s="2">
        <v>3117</v>
      </c>
      <c r="T1154" s="2">
        <v>26009</v>
      </c>
      <c r="U1154" s="2">
        <v>1</v>
      </c>
      <c r="V1154" s="2" t="s">
        <v>42</v>
      </c>
      <c r="W1154" s="2" t="s">
        <v>43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</row>
    <row r="1155" spans="1:35" x14ac:dyDescent="0.25">
      <c r="A1155" s="2">
        <v>18</v>
      </c>
      <c r="B1155" s="2" t="s">
        <v>35</v>
      </c>
      <c r="C1155" s="2" t="s">
        <v>44</v>
      </c>
      <c r="D1155" s="2">
        <v>544</v>
      </c>
      <c r="E1155" s="2" t="s">
        <v>37</v>
      </c>
      <c r="F1155" s="2">
        <v>3</v>
      </c>
      <c r="G1155" s="2">
        <v>2</v>
      </c>
      <c r="H1155" s="2" t="s">
        <v>51</v>
      </c>
      <c r="I1155" s="2">
        <v>1</v>
      </c>
      <c r="J1155" s="2">
        <v>1624</v>
      </c>
      <c r="K1155" s="2">
        <v>2</v>
      </c>
      <c r="L1155" s="2" t="s">
        <v>39</v>
      </c>
      <c r="M1155" s="2">
        <v>70</v>
      </c>
      <c r="N1155" s="2">
        <v>3</v>
      </c>
      <c r="O1155" s="2">
        <v>1</v>
      </c>
      <c r="P1155" s="2" t="s">
        <v>57</v>
      </c>
      <c r="Q1155" s="2">
        <v>4</v>
      </c>
      <c r="R1155" s="2" t="s">
        <v>41</v>
      </c>
      <c r="S1155" s="2">
        <v>1569</v>
      </c>
      <c r="T1155" s="2">
        <v>18420</v>
      </c>
      <c r="U1155" s="2">
        <v>1</v>
      </c>
      <c r="V1155" s="2" t="s">
        <v>42</v>
      </c>
      <c r="W1155" s="2" t="s">
        <v>35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</row>
    <row r="1156" spans="1:35" x14ac:dyDescent="0.25">
      <c r="A1156" s="2">
        <v>47</v>
      </c>
      <c r="B1156" s="2" t="s">
        <v>43</v>
      </c>
      <c r="C1156" s="2" t="s">
        <v>36</v>
      </c>
      <c r="D1156" s="2">
        <v>1176</v>
      </c>
      <c r="E1156" s="2" t="s">
        <v>61</v>
      </c>
      <c r="F1156" s="2">
        <v>26</v>
      </c>
      <c r="G1156" s="2">
        <v>4</v>
      </c>
      <c r="H1156" s="2" t="s">
        <v>38</v>
      </c>
      <c r="I1156" s="2">
        <v>1</v>
      </c>
      <c r="J1156" s="2">
        <v>1625</v>
      </c>
      <c r="K1156" s="2">
        <v>4</v>
      </c>
      <c r="L1156" s="2" t="s">
        <v>39</v>
      </c>
      <c r="M1156" s="2">
        <v>98</v>
      </c>
      <c r="N1156" s="2">
        <v>3</v>
      </c>
      <c r="O1156" s="2">
        <v>5</v>
      </c>
      <c r="P1156" s="2" t="s">
        <v>56</v>
      </c>
      <c r="Q1156" s="2">
        <v>3</v>
      </c>
      <c r="R1156" s="2" t="s">
        <v>48</v>
      </c>
      <c r="S1156" s="2">
        <v>19658</v>
      </c>
      <c r="T1156" s="2">
        <v>5220</v>
      </c>
      <c r="U1156" s="2">
        <v>3</v>
      </c>
      <c r="V1156" s="2" t="s">
        <v>42</v>
      </c>
      <c r="W1156" s="2" t="s">
        <v>43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</row>
    <row r="1157" spans="1:35" x14ac:dyDescent="0.25">
      <c r="A1157" s="2">
        <v>39</v>
      </c>
      <c r="B1157" s="2" t="s">
        <v>43</v>
      </c>
      <c r="C1157" s="2" t="s">
        <v>36</v>
      </c>
      <c r="D1157" s="2">
        <v>170</v>
      </c>
      <c r="E1157" s="2" t="s">
        <v>45</v>
      </c>
      <c r="F1157" s="2">
        <v>3</v>
      </c>
      <c r="G1157" s="2">
        <v>2</v>
      </c>
      <c r="H1157" s="2" t="s">
        <v>51</v>
      </c>
      <c r="I1157" s="2">
        <v>1</v>
      </c>
      <c r="J1157" s="2">
        <v>1627</v>
      </c>
      <c r="K1157" s="2">
        <v>3</v>
      </c>
      <c r="L1157" s="2" t="s">
        <v>46</v>
      </c>
      <c r="M1157" s="2">
        <v>76</v>
      </c>
      <c r="N1157" s="2">
        <v>2</v>
      </c>
      <c r="O1157" s="2">
        <v>2</v>
      </c>
      <c r="P1157" s="2" t="s">
        <v>50</v>
      </c>
      <c r="Q1157" s="2">
        <v>3</v>
      </c>
      <c r="R1157" s="2" t="s">
        <v>52</v>
      </c>
      <c r="S1157" s="2">
        <v>3069</v>
      </c>
      <c r="T1157" s="2">
        <v>10302</v>
      </c>
      <c r="U1157" s="2">
        <v>0</v>
      </c>
      <c r="V1157" s="2" t="s">
        <v>42</v>
      </c>
      <c r="W1157" s="2" t="s">
        <v>43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</row>
    <row r="1158" spans="1:35" x14ac:dyDescent="0.25">
      <c r="A1158" s="2">
        <v>40</v>
      </c>
      <c r="B1158" s="2" t="s">
        <v>43</v>
      </c>
      <c r="C1158" s="2" t="s">
        <v>36</v>
      </c>
      <c r="D1158" s="2">
        <v>884</v>
      </c>
      <c r="E1158" s="2" t="s">
        <v>45</v>
      </c>
      <c r="F1158" s="2">
        <v>15</v>
      </c>
      <c r="G1158" s="2">
        <v>3</v>
      </c>
      <c r="H1158" s="2" t="s">
        <v>38</v>
      </c>
      <c r="I1158" s="2">
        <v>1</v>
      </c>
      <c r="J1158" s="2">
        <v>1628</v>
      </c>
      <c r="K1158" s="2">
        <v>1</v>
      </c>
      <c r="L1158" s="2" t="s">
        <v>39</v>
      </c>
      <c r="M1158" s="2">
        <v>80</v>
      </c>
      <c r="N1158" s="2">
        <v>2</v>
      </c>
      <c r="O1158" s="2">
        <v>3</v>
      </c>
      <c r="P1158" s="2" t="s">
        <v>53</v>
      </c>
      <c r="Q1158" s="2">
        <v>3</v>
      </c>
      <c r="R1158" s="2" t="s">
        <v>48</v>
      </c>
      <c r="S1158" s="2">
        <v>10435</v>
      </c>
      <c r="T1158" s="2">
        <v>25800</v>
      </c>
      <c r="U1158" s="2">
        <v>1</v>
      </c>
      <c r="V1158" s="2" t="s">
        <v>42</v>
      </c>
      <c r="W1158" s="2" t="s">
        <v>43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</row>
    <row r="1159" spans="1:35" x14ac:dyDescent="0.25">
      <c r="A1159" s="2">
        <v>35</v>
      </c>
      <c r="B1159" s="2" t="s">
        <v>43</v>
      </c>
      <c r="C1159" s="2" t="s">
        <v>55</v>
      </c>
      <c r="D1159" s="2">
        <v>208</v>
      </c>
      <c r="E1159" s="2" t="s">
        <v>45</v>
      </c>
      <c r="F1159" s="2">
        <v>8</v>
      </c>
      <c r="G1159" s="2">
        <v>4</v>
      </c>
      <c r="H1159" s="2" t="s">
        <v>38</v>
      </c>
      <c r="I1159" s="2">
        <v>1</v>
      </c>
      <c r="J1159" s="2">
        <v>1630</v>
      </c>
      <c r="K1159" s="2">
        <v>3</v>
      </c>
      <c r="L1159" s="2" t="s">
        <v>39</v>
      </c>
      <c r="M1159" s="2">
        <v>52</v>
      </c>
      <c r="N1159" s="2">
        <v>3</v>
      </c>
      <c r="O1159" s="2">
        <v>2</v>
      </c>
      <c r="P1159" s="2" t="s">
        <v>54</v>
      </c>
      <c r="Q1159" s="2">
        <v>3</v>
      </c>
      <c r="R1159" s="2" t="s">
        <v>48</v>
      </c>
      <c r="S1159" s="2">
        <v>4148</v>
      </c>
      <c r="T1159" s="2">
        <v>12250</v>
      </c>
      <c r="U1159" s="2">
        <v>1</v>
      </c>
      <c r="V1159" s="2" t="s">
        <v>42</v>
      </c>
      <c r="W1159" s="2" t="s">
        <v>43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</row>
    <row r="1160" spans="1:35" x14ac:dyDescent="0.25">
      <c r="A1160" s="2">
        <v>37</v>
      </c>
      <c r="B1160" s="2" t="s">
        <v>43</v>
      </c>
      <c r="C1160" s="2" t="s">
        <v>36</v>
      </c>
      <c r="D1160" s="2">
        <v>671</v>
      </c>
      <c r="E1160" s="2" t="s">
        <v>45</v>
      </c>
      <c r="F1160" s="2">
        <v>19</v>
      </c>
      <c r="G1160" s="2">
        <v>3</v>
      </c>
      <c r="H1160" s="2" t="s">
        <v>38</v>
      </c>
      <c r="I1160" s="2">
        <v>1</v>
      </c>
      <c r="J1160" s="2">
        <v>1631</v>
      </c>
      <c r="K1160" s="2">
        <v>3</v>
      </c>
      <c r="L1160" s="2" t="s">
        <v>46</v>
      </c>
      <c r="M1160" s="2">
        <v>85</v>
      </c>
      <c r="N1160" s="2">
        <v>3</v>
      </c>
      <c r="O1160" s="2">
        <v>2</v>
      </c>
      <c r="P1160" s="2" t="s">
        <v>53</v>
      </c>
      <c r="Q1160" s="2">
        <v>3</v>
      </c>
      <c r="R1160" s="2" t="s">
        <v>48</v>
      </c>
      <c r="S1160" s="2">
        <v>5768</v>
      </c>
      <c r="T1160" s="2">
        <v>26493</v>
      </c>
      <c r="U1160" s="2">
        <v>3</v>
      </c>
      <c r="V1160" s="2" t="s">
        <v>42</v>
      </c>
      <c r="W1160" s="2" t="s">
        <v>43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</row>
    <row r="1161" spans="1:35" x14ac:dyDescent="0.25">
      <c r="A1161" s="2">
        <v>39</v>
      </c>
      <c r="B1161" s="2" t="s">
        <v>43</v>
      </c>
      <c r="C1161" s="2" t="s">
        <v>44</v>
      </c>
      <c r="D1161" s="2">
        <v>711</v>
      </c>
      <c r="E1161" s="2" t="s">
        <v>45</v>
      </c>
      <c r="F1161" s="2">
        <v>4</v>
      </c>
      <c r="G1161" s="2">
        <v>3</v>
      </c>
      <c r="H1161" s="2" t="s">
        <v>51</v>
      </c>
      <c r="I1161" s="2">
        <v>1</v>
      </c>
      <c r="J1161" s="2">
        <v>1633</v>
      </c>
      <c r="K1161" s="2">
        <v>1</v>
      </c>
      <c r="L1161" s="2" t="s">
        <v>39</v>
      </c>
      <c r="M1161" s="2">
        <v>81</v>
      </c>
      <c r="N1161" s="2">
        <v>3</v>
      </c>
      <c r="O1161" s="2">
        <v>2</v>
      </c>
      <c r="P1161" s="2" t="s">
        <v>53</v>
      </c>
      <c r="Q1161" s="2">
        <v>3</v>
      </c>
      <c r="R1161" s="2" t="s">
        <v>41</v>
      </c>
      <c r="S1161" s="2">
        <v>5042</v>
      </c>
      <c r="T1161" s="2">
        <v>3140</v>
      </c>
      <c r="U1161" s="2">
        <v>0</v>
      </c>
      <c r="V1161" s="2" t="s">
        <v>42</v>
      </c>
      <c r="W1161" s="2" t="s">
        <v>43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</row>
    <row r="1162" spans="1:35" x14ac:dyDescent="0.25">
      <c r="A1162" s="2">
        <v>45</v>
      </c>
      <c r="B1162" s="2" t="s">
        <v>43</v>
      </c>
      <c r="C1162" s="2" t="s">
        <v>36</v>
      </c>
      <c r="D1162" s="2">
        <v>1329</v>
      </c>
      <c r="E1162" s="2" t="s">
        <v>45</v>
      </c>
      <c r="F1162" s="2">
        <v>2</v>
      </c>
      <c r="G1162" s="2">
        <v>2</v>
      </c>
      <c r="H1162" s="2" t="s">
        <v>49</v>
      </c>
      <c r="I1162" s="2">
        <v>1</v>
      </c>
      <c r="J1162" s="2">
        <v>1635</v>
      </c>
      <c r="K1162" s="2">
        <v>4</v>
      </c>
      <c r="L1162" s="2" t="s">
        <v>39</v>
      </c>
      <c r="M1162" s="2">
        <v>59</v>
      </c>
      <c r="N1162" s="2">
        <v>2</v>
      </c>
      <c r="O1162" s="2">
        <v>2</v>
      </c>
      <c r="P1162" s="2" t="s">
        <v>53</v>
      </c>
      <c r="Q1162" s="2">
        <v>4</v>
      </c>
      <c r="R1162" s="2" t="s">
        <v>52</v>
      </c>
      <c r="S1162" s="2">
        <v>5770</v>
      </c>
      <c r="T1162" s="2">
        <v>5388</v>
      </c>
      <c r="U1162" s="2">
        <v>1</v>
      </c>
      <c r="V1162" s="2" t="s">
        <v>42</v>
      </c>
      <c r="W1162" s="2" t="s">
        <v>43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</row>
    <row r="1163" spans="1:35" x14ac:dyDescent="0.25">
      <c r="A1163" s="2">
        <v>38</v>
      </c>
      <c r="B1163" s="2" t="s">
        <v>43</v>
      </c>
      <c r="C1163" s="2" t="s">
        <v>36</v>
      </c>
      <c r="D1163" s="2">
        <v>397</v>
      </c>
      <c r="E1163" s="2" t="s">
        <v>45</v>
      </c>
      <c r="F1163" s="2">
        <v>2</v>
      </c>
      <c r="G1163" s="2">
        <v>2</v>
      </c>
      <c r="H1163" s="2" t="s">
        <v>51</v>
      </c>
      <c r="I1163" s="2">
        <v>1</v>
      </c>
      <c r="J1163" s="2">
        <v>1638</v>
      </c>
      <c r="K1163" s="2">
        <v>4</v>
      </c>
      <c r="L1163" s="2" t="s">
        <v>39</v>
      </c>
      <c r="M1163" s="2">
        <v>54</v>
      </c>
      <c r="N1163" s="2">
        <v>2</v>
      </c>
      <c r="O1163" s="2">
        <v>3</v>
      </c>
      <c r="P1163" s="2" t="s">
        <v>53</v>
      </c>
      <c r="Q1163" s="2">
        <v>3</v>
      </c>
      <c r="R1163" s="2" t="s">
        <v>48</v>
      </c>
      <c r="S1163" s="2">
        <v>7756</v>
      </c>
      <c r="T1163" s="2">
        <v>14199</v>
      </c>
      <c r="U1163" s="2">
        <v>3</v>
      </c>
      <c r="V1163" s="2" t="s">
        <v>42</v>
      </c>
      <c r="W1163" s="2" t="s">
        <v>35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</row>
    <row r="1164" spans="1:35" x14ac:dyDescent="0.25">
      <c r="A1164" s="2">
        <v>35</v>
      </c>
      <c r="B1164" s="2" t="s">
        <v>35</v>
      </c>
      <c r="C1164" s="2" t="s">
        <v>36</v>
      </c>
      <c r="D1164" s="2">
        <v>737</v>
      </c>
      <c r="E1164" s="2" t="s">
        <v>37</v>
      </c>
      <c r="F1164" s="2">
        <v>10</v>
      </c>
      <c r="G1164" s="2">
        <v>3</v>
      </c>
      <c r="H1164" s="2" t="s">
        <v>51</v>
      </c>
      <c r="I1164" s="2">
        <v>1</v>
      </c>
      <c r="J1164" s="2">
        <v>1639</v>
      </c>
      <c r="K1164" s="2">
        <v>4</v>
      </c>
      <c r="L1164" s="2" t="s">
        <v>46</v>
      </c>
      <c r="M1164" s="2">
        <v>55</v>
      </c>
      <c r="N1164" s="2">
        <v>2</v>
      </c>
      <c r="O1164" s="2">
        <v>3</v>
      </c>
      <c r="P1164" s="2" t="s">
        <v>40</v>
      </c>
      <c r="Q1164" s="2">
        <v>1</v>
      </c>
      <c r="R1164" s="2" t="s">
        <v>48</v>
      </c>
      <c r="S1164" s="2">
        <v>10306</v>
      </c>
      <c r="T1164" s="2">
        <v>21530</v>
      </c>
      <c r="U1164" s="2">
        <v>9</v>
      </c>
      <c r="V1164" s="2" t="s">
        <v>42</v>
      </c>
      <c r="W1164" s="2" t="s">
        <v>43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</row>
    <row r="1165" spans="1:35" x14ac:dyDescent="0.25">
      <c r="A1165" s="2">
        <v>37</v>
      </c>
      <c r="B1165" s="2" t="s">
        <v>43</v>
      </c>
      <c r="C1165" s="2" t="s">
        <v>36</v>
      </c>
      <c r="D1165" s="2">
        <v>1470</v>
      </c>
      <c r="E1165" s="2" t="s">
        <v>45</v>
      </c>
      <c r="F1165" s="2">
        <v>10</v>
      </c>
      <c r="G1165" s="2">
        <v>3</v>
      </c>
      <c r="H1165" s="2" t="s">
        <v>51</v>
      </c>
      <c r="I1165" s="2">
        <v>1</v>
      </c>
      <c r="J1165" s="2">
        <v>1640</v>
      </c>
      <c r="K1165" s="2">
        <v>2</v>
      </c>
      <c r="L1165" s="2" t="s">
        <v>39</v>
      </c>
      <c r="M1165" s="2">
        <v>71</v>
      </c>
      <c r="N1165" s="2">
        <v>3</v>
      </c>
      <c r="O1165" s="2">
        <v>1</v>
      </c>
      <c r="P1165" s="2" t="s">
        <v>47</v>
      </c>
      <c r="Q1165" s="2">
        <v>2</v>
      </c>
      <c r="R1165" s="2" t="s">
        <v>48</v>
      </c>
      <c r="S1165" s="2">
        <v>3936</v>
      </c>
      <c r="T1165" s="2">
        <v>9953</v>
      </c>
      <c r="U1165" s="2">
        <v>1</v>
      </c>
      <c r="V1165" s="2" t="s">
        <v>42</v>
      </c>
      <c r="W1165" s="2" t="s">
        <v>43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</row>
    <row r="1166" spans="1:35" x14ac:dyDescent="0.25">
      <c r="A1166" s="2">
        <v>40</v>
      </c>
      <c r="B1166" s="2" t="s">
        <v>43</v>
      </c>
      <c r="C1166" s="2" t="s">
        <v>36</v>
      </c>
      <c r="D1166" s="2">
        <v>448</v>
      </c>
      <c r="E1166" s="2" t="s">
        <v>45</v>
      </c>
      <c r="F1166" s="2">
        <v>16</v>
      </c>
      <c r="G1166" s="2">
        <v>3</v>
      </c>
      <c r="H1166" s="2" t="s">
        <v>38</v>
      </c>
      <c r="I1166" s="2">
        <v>1</v>
      </c>
      <c r="J1166" s="2">
        <v>1641</v>
      </c>
      <c r="K1166" s="2">
        <v>3</v>
      </c>
      <c r="L1166" s="2" t="s">
        <v>39</v>
      </c>
      <c r="M1166" s="2">
        <v>84</v>
      </c>
      <c r="N1166" s="2">
        <v>3</v>
      </c>
      <c r="O1166" s="2">
        <v>3</v>
      </c>
      <c r="P1166" s="2" t="s">
        <v>53</v>
      </c>
      <c r="Q1166" s="2">
        <v>4</v>
      </c>
      <c r="R1166" s="2" t="s">
        <v>41</v>
      </c>
      <c r="S1166" s="2">
        <v>7945</v>
      </c>
      <c r="T1166" s="2">
        <v>19948</v>
      </c>
      <c r="U1166" s="2">
        <v>6</v>
      </c>
      <c r="V1166" s="2" t="s">
        <v>42</v>
      </c>
      <c r="W1166" s="2" t="s">
        <v>35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</row>
    <row r="1167" spans="1:35" x14ac:dyDescent="0.25">
      <c r="A1167" s="2">
        <v>44</v>
      </c>
      <c r="B1167" s="2" t="s">
        <v>43</v>
      </c>
      <c r="C1167" s="2" t="s">
        <v>44</v>
      </c>
      <c r="D1167" s="2">
        <v>602</v>
      </c>
      <c r="E1167" s="2" t="s">
        <v>61</v>
      </c>
      <c r="F1167" s="2">
        <v>1</v>
      </c>
      <c r="G1167" s="2">
        <v>5</v>
      </c>
      <c r="H1167" s="2" t="s">
        <v>61</v>
      </c>
      <c r="I1167" s="2">
        <v>1</v>
      </c>
      <c r="J1167" s="2">
        <v>1642</v>
      </c>
      <c r="K1167" s="2">
        <v>1</v>
      </c>
      <c r="L1167" s="2" t="s">
        <v>46</v>
      </c>
      <c r="M1167" s="2">
        <v>37</v>
      </c>
      <c r="N1167" s="2">
        <v>3</v>
      </c>
      <c r="O1167" s="2">
        <v>2</v>
      </c>
      <c r="P1167" s="2" t="s">
        <v>61</v>
      </c>
      <c r="Q1167" s="2">
        <v>4</v>
      </c>
      <c r="R1167" s="2" t="s">
        <v>48</v>
      </c>
      <c r="S1167" s="2">
        <v>5743</v>
      </c>
      <c r="T1167" s="2">
        <v>10503</v>
      </c>
      <c r="U1167" s="2">
        <v>4</v>
      </c>
      <c r="V1167" s="2" t="s">
        <v>42</v>
      </c>
      <c r="W1167" s="2" t="s">
        <v>35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</row>
    <row r="1168" spans="1:35" x14ac:dyDescent="0.25">
      <c r="A1168" s="2">
        <v>48</v>
      </c>
      <c r="B1168" s="2" t="s">
        <v>43</v>
      </c>
      <c r="C1168" s="2" t="s">
        <v>44</v>
      </c>
      <c r="D1168" s="2">
        <v>365</v>
      </c>
      <c r="E1168" s="2" t="s">
        <v>45</v>
      </c>
      <c r="F1168" s="2">
        <v>4</v>
      </c>
      <c r="G1168" s="2">
        <v>5</v>
      </c>
      <c r="H1168" s="2" t="s">
        <v>51</v>
      </c>
      <c r="I1168" s="2">
        <v>1</v>
      </c>
      <c r="J1168" s="2">
        <v>1644</v>
      </c>
      <c r="K1168" s="2">
        <v>3</v>
      </c>
      <c r="L1168" s="2" t="s">
        <v>46</v>
      </c>
      <c r="M1168" s="2">
        <v>89</v>
      </c>
      <c r="N1168" s="2">
        <v>2</v>
      </c>
      <c r="O1168" s="2">
        <v>4</v>
      </c>
      <c r="P1168" s="2" t="s">
        <v>56</v>
      </c>
      <c r="Q1168" s="2">
        <v>4</v>
      </c>
      <c r="R1168" s="2" t="s">
        <v>48</v>
      </c>
      <c r="S1168" s="2">
        <v>15202</v>
      </c>
      <c r="T1168" s="2">
        <v>5602</v>
      </c>
      <c r="U1168" s="2">
        <v>2</v>
      </c>
      <c r="V1168" s="2" t="s">
        <v>42</v>
      </c>
      <c r="W1168" s="2" t="s">
        <v>43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</row>
    <row r="1169" spans="1:35" x14ac:dyDescent="0.25">
      <c r="A1169" s="2">
        <v>35</v>
      </c>
      <c r="B1169" s="2" t="s">
        <v>35</v>
      </c>
      <c r="C1169" s="2" t="s">
        <v>36</v>
      </c>
      <c r="D1169" s="2">
        <v>763</v>
      </c>
      <c r="E1169" s="2" t="s">
        <v>37</v>
      </c>
      <c r="F1169" s="2">
        <v>15</v>
      </c>
      <c r="G1169" s="2">
        <v>2</v>
      </c>
      <c r="H1169" s="2" t="s">
        <v>51</v>
      </c>
      <c r="I1169" s="2">
        <v>1</v>
      </c>
      <c r="J1169" s="2">
        <v>1645</v>
      </c>
      <c r="K1169" s="2">
        <v>1</v>
      </c>
      <c r="L1169" s="2" t="s">
        <v>46</v>
      </c>
      <c r="M1169" s="2">
        <v>59</v>
      </c>
      <c r="N1169" s="2">
        <v>1</v>
      </c>
      <c r="O1169" s="2">
        <v>2</v>
      </c>
      <c r="P1169" s="2" t="s">
        <v>40</v>
      </c>
      <c r="Q1169" s="2">
        <v>4</v>
      </c>
      <c r="R1169" s="2" t="s">
        <v>52</v>
      </c>
      <c r="S1169" s="2">
        <v>5440</v>
      </c>
      <c r="T1169" s="2">
        <v>22098</v>
      </c>
      <c r="U1169" s="2">
        <v>6</v>
      </c>
      <c r="V1169" s="2" t="s">
        <v>42</v>
      </c>
      <c r="W1169" s="2" t="s">
        <v>35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</row>
    <row r="1170" spans="1:35" x14ac:dyDescent="0.25">
      <c r="A1170" s="2">
        <v>24</v>
      </c>
      <c r="B1170" s="2" t="s">
        <v>43</v>
      </c>
      <c r="C1170" s="2" t="s">
        <v>44</v>
      </c>
      <c r="D1170" s="2">
        <v>567</v>
      </c>
      <c r="E1170" s="2" t="s">
        <v>45</v>
      </c>
      <c r="F1170" s="2">
        <v>2</v>
      </c>
      <c r="G1170" s="2">
        <v>1</v>
      </c>
      <c r="H1170" s="2" t="s">
        <v>60</v>
      </c>
      <c r="I1170" s="2">
        <v>1</v>
      </c>
      <c r="J1170" s="2">
        <v>1646</v>
      </c>
      <c r="K1170" s="2">
        <v>1</v>
      </c>
      <c r="L1170" s="2" t="s">
        <v>39</v>
      </c>
      <c r="M1170" s="2">
        <v>32</v>
      </c>
      <c r="N1170" s="2">
        <v>3</v>
      </c>
      <c r="O1170" s="2">
        <v>1</v>
      </c>
      <c r="P1170" s="2" t="s">
        <v>47</v>
      </c>
      <c r="Q1170" s="2">
        <v>4</v>
      </c>
      <c r="R1170" s="2" t="s">
        <v>41</v>
      </c>
      <c r="S1170" s="2">
        <v>3760</v>
      </c>
      <c r="T1170" s="2">
        <v>17218</v>
      </c>
      <c r="U1170" s="2">
        <v>1</v>
      </c>
      <c r="V1170" s="2" t="s">
        <v>42</v>
      </c>
      <c r="W1170" s="2" t="s">
        <v>35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</row>
    <row r="1171" spans="1:35" x14ac:dyDescent="0.25">
      <c r="A1171" s="2">
        <v>27</v>
      </c>
      <c r="B1171" s="2" t="s">
        <v>43</v>
      </c>
      <c r="C1171" s="2" t="s">
        <v>36</v>
      </c>
      <c r="D1171" s="2">
        <v>486</v>
      </c>
      <c r="E1171" s="2" t="s">
        <v>45</v>
      </c>
      <c r="F1171" s="2">
        <v>8</v>
      </c>
      <c r="G1171" s="2">
        <v>3</v>
      </c>
      <c r="H1171" s="2" t="s">
        <v>51</v>
      </c>
      <c r="I1171" s="2">
        <v>1</v>
      </c>
      <c r="J1171" s="2">
        <v>1647</v>
      </c>
      <c r="K1171" s="2">
        <v>2</v>
      </c>
      <c r="L1171" s="2" t="s">
        <v>39</v>
      </c>
      <c r="M1171" s="2">
        <v>86</v>
      </c>
      <c r="N1171" s="2">
        <v>4</v>
      </c>
      <c r="O1171" s="2">
        <v>1</v>
      </c>
      <c r="P1171" s="2" t="s">
        <v>47</v>
      </c>
      <c r="Q1171" s="2">
        <v>3</v>
      </c>
      <c r="R1171" s="2" t="s">
        <v>48</v>
      </c>
      <c r="S1171" s="2">
        <v>3517</v>
      </c>
      <c r="T1171" s="2">
        <v>22490</v>
      </c>
      <c r="U1171" s="2">
        <v>7</v>
      </c>
      <c r="V1171" s="2" t="s">
        <v>42</v>
      </c>
      <c r="W1171" s="2" t="s">
        <v>43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</row>
    <row r="1172" spans="1:35" x14ac:dyDescent="0.25">
      <c r="A1172" s="2">
        <v>27</v>
      </c>
      <c r="B1172" s="2" t="s">
        <v>43</v>
      </c>
      <c r="C1172" s="2" t="s">
        <v>44</v>
      </c>
      <c r="D1172" s="2">
        <v>591</v>
      </c>
      <c r="E1172" s="2" t="s">
        <v>45</v>
      </c>
      <c r="F1172" s="2">
        <v>2</v>
      </c>
      <c r="G1172" s="2">
        <v>3</v>
      </c>
      <c r="H1172" s="2" t="s">
        <v>51</v>
      </c>
      <c r="I1172" s="2">
        <v>1</v>
      </c>
      <c r="J1172" s="2">
        <v>1648</v>
      </c>
      <c r="K1172" s="2">
        <v>4</v>
      </c>
      <c r="L1172" s="2" t="s">
        <v>46</v>
      </c>
      <c r="M1172" s="2">
        <v>87</v>
      </c>
      <c r="N1172" s="2">
        <v>3</v>
      </c>
      <c r="O1172" s="2">
        <v>1</v>
      </c>
      <c r="P1172" s="2" t="s">
        <v>47</v>
      </c>
      <c r="Q1172" s="2">
        <v>4</v>
      </c>
      <c r="R1172" s="2" t="s">
        <v>41</v>
      </c>
      <c r="S1172" s="2">
        <v>2580</v>
      </c>
      <c r="T1172" s="2">
        <v>6297</v>
      </c>
      <c r="U1172" s="2">
        <v>2</v>
      </c>
      <c r="V1172" s="2" t="s">
        <v>42</v>
      </c>
      <c r="W1172" s="2" t="s">
        <v>43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</row>
    <row r="1173" spans="1:35" x14ac:dyDescent="0.25">
      <c r="A1173" s="2">
        <v>40</v>
      </c>
      <c r="B1173" s="2" t="s">
        <v>35</v>
      </c>
      <c r="C1173" s="2" t="s">
        <v>36</v>
      </c>
      <c r="D1173" s="2">
        <v>1329</v>
      </c>
      <c r="E1173" s="2" t="s">
        <v>45</v>
      </c>
      <c r="F1173" s="2">
        <v>7</v>
      </c>
      <c r="G1173" s="2">
        <v>3</v>
      </c>
      <c r="H1173" s="2" t="s">
        <v>38</v>
      </c>
      <c r="I1173" s="2">
        <v>1</v>
      </c>
      <c r="J1173" s="2">
        <v>1649</v>
      </c>
      <c r="K1173" s="2">
        <v>1</v>
      </c>
      <c r="L1173" s="2" t="s">
        <v>46</v>
      </c>
      <c r="M1173" s="2">
        <v>73</v>
      </c>
      <c r="N1173" s="2">
        <v>3</v>
      </c>
      <c r="O1173" s="2">
        <v>1</v>
      </c>
      <c r="P1173" s="2" t="s">
        <v>50</v>
      </c>
      <c r="Q1173" s="2">
        <v>1</v>
      </c>
      <c r="R1173" s="2" t="s">
        <v>41</v>
      </c>
      <c r="S1173" s="2">
        <v>2166</v>
      </c>
      <c r="T1173" s="2">
        <v>3339</v>
      </c>
      <c r="U1173" s="2">
        <v>3</v>
      </c>
      <c r="V1173" s="2" t="s">
        <v>42</v>
      </c>
      <c r="W1173" s="2" t="s">
        <v>35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</row>
    <row r="1174" spans="1:35" x14ac:dyDescent="0.25">
      <c r="A1174" s="2">
        <v>29</v>
      </c>
      <c r="B1174" s="2" t="s">
        <v>43</v>
      </c>
      <c r="C1174" s="2" t="s">
        <v>36</v>
      </c>
      <c r="D1174" s="2">
        <v>469</v>
      </c>
      <c r="E1174" s="2" t="s">
        <v>37</v>
      </c>
      <c r="F1174" s="2">
        <v>10</v>
      </c>
      <c r="G1174" s="2">
        <v>3</v>
      </c>
      <c r="H1174" s="2" t="s">
        <v>51</v>
      </c>
      <c r="I1174" s="2">
        <v>1</v>
      </c>
      <c r="J1174" s="2">
        <v>1650</v>
      </c>
      <c r="K1174" s="2">
        <v>3</v>
      </c>
      <c r="L1174" s="2" t="s">
        <v>46</v>
      </c>
      <c r="M1174" s="2">
        <v>42</v>
      </c>
      <c r="N1174" s="2">
        <v>2</v>
      </c>
      <c r="O1174" s="2">
        <v>2</v>
      </c>
      <c r="P1174" s="2" t="s">
        <v>40</v>
      </c>
      <c r="Q1174" s="2">
        <v>3</v>
      </c>
      <c r="R1174" s="2" t="s">
        <v>41</v>
      </c>
      <c r="S1174" s="2">
        <v>5869</v>
      </c>
      <c r="T1174" s="2">
        <v>23413</v>
      </c>
      <c r="U1174" s="2">
        <v>9</v>
      </c>
      <c r="V1174" s="2" t="s">
        <v>42</v>
      </c>
      <c r="W1174" s="2" t="s">
        <v>43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</row>
    <row r="1175" spans="1:35" x14ac:dyDescent="0.25">
      <c r="A1175" s="2">
        <v>36</v>
      </c>
      <c r="B1175" s="2" t="s">
        <v>43</v>
      </c>
      <c r="C1175" s="2" t="s">
        <v>36</v>
      </c>
      <c r="D1175" s="2">
        <v>711</v>
      </c>
      <c r="E1175" s="2" t="s">
        <v>45</v>
      </c>
      <c r="F1175" s="2">
        <v>5</v>
      </c>
      <c r="G1175" s="2">
        <v>4</v>
      </c>
      <c r="H1175" s="2" t="s">
        <v>38</v>
      </c>
      <c r="I1175" s="2">
        <v>1</v>
      </c>
      <c r="J1175" s="2">
        <v>1651</v>
      </c>
      <c r="K1175" s="2">
        <v>2</v>
      </c>
      <c r="L1175" s="2" t="s">
        <v>39</v>
      </c>
      <c r="M1175" s="2">
        <v>42</v>
      </c>
      <c r="N1175" s="2">
        <v>3</v>
      </c>
      <c r="O1175" s="2">
        <v>3</v>
      </c>
      <c r="P1175" s="2" t="s">
        <v>54</v>
      </c>
      <c r="Q1175" s="2">
        <v>1</v>
      </c>
      <c r="R1175" s="2" t="s">
        <v>48</v>
      </c>
      <c r="S1175" s="2">
        <v>8008</v>
      </c>
      <c r="T1175" s="2">
        <v>22792</v>
      </c>
      <c r="U1175" s="2">
        <v>4</v>
      </c>
      <c r="V1175" s="2" t="s">
        <v>42</v>
      </c>
      <c r="W1175" s="2" t="s">
        <v>43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</row>
    <row r="1176" spans="1:35" x14ac:dyDescent="0.25">
      <c r="A1176" s="2">
        <v>25</v>
      </c>
      <c r="B1176" s="2" t="s">
        <v>43</v>
      </c>
      <c r="C1176" s="2" t="s">
        <v>44</v>
      </c>
      <c r="D1176" s="2">
        <v>772</v>
      </c>
      <c r="E1176" s="2" t="s">
        <v>45</v>
      </c>
      <c r="F1176" s="2">
        <v>2</v>
      </c>
      <c r="G1176" s="2">
        <v>1</v>
      </c>
      <c r="H1176" s="2" t="s">
        <v>38</v>
      </c>
      <c r="I1176" s="2">
        <v>1</v>
      </c>
      <c r="J1176" s="2">
        <v>1653</v>
      </c>
      <c r="K1176" s="2">
        <v>4</v>
      </c>
      <c r="L1176" s="2" t="s">
        <v>46</v>
      </c>
      <c r="M1176" s="2">
        <v>77</v>
      </c>
      <c r="N1176" s="2">
        <v>4</v>
      </c>
      <c r="O1176" s="2">
        <v>2</v>
      </c>
      <c r="P1176" s="2" t="s">
        <v>53</v>
      </c>
      <c r="Q1176" s="2">
        <v>3</v>
      </c>
      <c r="R1176" s="2" t="s">
        <v>52</v>
      </c>
      <c r="S1176" s="2">
        <v>5206</v>
      </c>
      <c r="T1176" s="2">
        <v>4973</v>
      </c>
      <c r="U1176" s="2">
        <v>1</v>
      </c>
      <c r="V1176" s="2" t="s">
        <v>42</v>
      </c>
      <c r="W1176" s="2" t="s">
        <v>43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</row>
    <row r="1177" spans="1:35" x14ac:dyDescent="0.25">
      <c r="A1177" s="2">
        <v>39</v>
      </c>
      <c r="B1177" s="2" t="s">
        <v>43</v>
      </c>
      <c r="C1177" s="2" t="s">
        <v>36</v>
      </c>
      <c r="D1177" s="2">
        <v>492</v>
      </c>
      <c r="E1177" s="2" t="s">
        <v>45</v>
      </c>
      <c r="F1177" s="2">
        <v>12</v>
      </c>
      <c r="G1177" s="2">
        <v>3</v>
      </c>
      <c r="H1177" s="2" t="s">
        <v>51</v>
      </c>
      <c r="I1177" s="2">
        <v>1</v>
      </c>
      <c r="J1177" s="2">
        <v>1654</v>
      </c>
      <c r="K1177" s="2">
        <v>4</v>
      </c>
      <c r="L1177" s="2" t="s">
        <v>46</v>
      </c>
      <c r="M1177" s="2">
        <v>66</v>
      </c>
      <c r="N1177" s="2">
        <v>3</v>
      </c>
      <c r="O1177" s="2">
        <v>2</v>
      </c>
      <c r="P1177" s="2" t="s">
        <v>53</v>
      </c>
      <c r="Q1177" s="2">
        <v>2</v>
      </c>
      <c r="R1177" s="2" t="s">
        <v>48</v>
      </c>
      <c r="S1177" s="2">
        <v>5295</v>
      </c>
      <c r="T1177" s="2">
        <v>7693</v>
      </c>
      <c r="U1177" s="2">
        <v>4</v>
      </c>
      <c r="V1177" s="2" t="s">
        <v>42</v>
      </c>
      <c r="W1177" s="2" t="s">
        <v>43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</row>
    <row r="1178" spans="1:35" x14ac:dyDescent="0.25">
      <c r="A1178" s="2">
        <v>49</v>
      </c>
      <c r="B1178" s="2" t="s">
        <v>43</v>
      </c>
      <c r="C1178" s="2" t="s">
        <v>36</v>
      </c>
      <c r="D1178" s="2">
        <v>301</v>
      </c>
      <c r="E1178" s="2" t="s">
        <v>45</v>
      </c>
      <c r="F1178" s="2">
        <v>22</v>
      </c>
      <c r="G1178" s="2">
        <v>4</v>
      </c>
      <c r="H1178" s="2" t="s">
        <v>49</v>
      </c>
      <c r="I1178" s="2">
        <v>1</v>
      </c>
      <c r="J1178" s="2">
        <v>1655</v>
      </c>
      <c r="K1178" s="2">
        <v>1</v>
      </c>
      <c r="L1178" s="2" t="s">
        <v>39</v>
      </c>
      <c r="M1178" s="2">
        <v>72</v>
      </c>
      <c r="N1178" s="2">
        <v>3</v>
      </c>
      <c r="O1178" s="2">
        <v>4</v>
      </c>
      <c r="P1178" s="2" t="s">
        <v>58</v>
      </c>
      <c r="Q1178" s="2">
        <v>2</v>
      </c>
      <c r="R1178" s="2" t="s">
        <v>48</v>
      </c>
      <c r="S1178" s="2">
        <v>16413</v>
      </c>
      <c r="T1178" s="2">
        <v>3498</v>
      </c>
      <c r="U1178" s="2">
        <v>3</v>
      </c>
      <c r="V1178" s="2" t="s">
        <v>42</v>
      </c>
      <c r="W1178" s="2" t="s">
        <v>43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</row>
    <row r="1179" spans="1:35" x14ac:dyDescent="0.25">
      <c r="A1179" s="2">
        <v>50</v>
      </c>
      <c r="B1179" s="2" t="s">
        <v>43</v>
      </c>
      <c r="C1179" s="2" t="s">
        <v>36</v>
      </c>
      <c r="D1179" s="2">
        <v>813</v>
      </c>
      <c r="E1179" s="2" t="s">
        <v>45</v>
      </c>
      <c r="F1179" s="2">
        <v>17</v>
      </c>
      <c r="G1179" s="2">
        <v>5</v>
      </c>
      <c r="H1179" s="2" t="s">
        <v>38</v>
      </c>
      <c r="I1179" s="2">
        <v>1</v>
      </c>
      <c r="J1179" s="2">
        <v>1656</v>
      </c>
      <c r="K1179" s="2">
        <v>4</v>
      </c>
      <c r="L1179" s="2" t="s">
        <v>39</v>
      </c>
      <c r="M1179" s="2">
        <v>50</v>
      </c>
      <c r="N1179" s="2">
        <v>2</v>
      </c>
      <c r="O1179" s="2">
        <v>3</v>
      </c>
      <c r="P1179" s="2" t="s">
        <v>58</v>
      </c>
      <c r="Q1179" s="2">
        <v>1</v>
      </c>
      <c r="R1179" s="2" t="s">
        <v>52</v>
      </c>
      <c r="S1179" s="2">
        <v>13269</v>
      </c>
      <c r="T1179" s="2">
        <v>21981</v>
      </c>
      <c r="U1179" s="2">
        <v>5</v>
      </c>
      <c r="V1179" s="2" t="s">
        <v>42</v>
      </c>
      <c r="W1179" s="2" t="s">
        <v>43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</row>
    <row r="1180" spans="1:35" x14ac:dyDescent="0.25">
      <c r="A1180" s="2">
        <v>20</v>
      </c>
      <c r="B1180" s="2" t="s">
        <v>43</v>
      </c>
      <c r="C1180" s="2" t="s">
        <v>36</v>
      </c>
      <c r="D1180" s="2">
        <v>1141</v>
      </c>
      <c r="E1180" s="2" t="s">
        <v>37</v>
      </c>
      <c r="F1180" s="2">
        <v>2</v>
      </c>
      <c r="G1180" s="2">
        <v>3</v>
      </c>
      <c r="H1180" s="2" t="s">
        <v>51</v>
      </c>
      <c r="I1180" s="2">
        <v>1</v>
      </c>
      <c r="J1180" s="2">
        <v>1657</v>
      </c>
      <c r="K1180" s="2">
        <v>3</v>
      </c>
      <c r="L1180" s="2" t="s">
        <v>39</v>
      </c>
      <c r="M1180" s="2">
        <v>31</v>
      </c>
      <c r="N1180" s="2">
        <v>3</v>
      </c>
      <c r="O1180" s="2">
        <v>1</v>
      </c>
      <c r="P1180" s="2" t="s">
        <v>57</v>
      </c>
      <c r="Q1180" s="2">
        <v>3</v>
      </c>
      <c r="R1180" s="2" t="s">
        <v>41</v>
      </c>
      <c r="S1180" s="2">
        <v>2783</v>
      </c>
      <c r="T1180" s="2">
        <v>13251</v>
      </c>
      <c r="U1180" s="2">
        <v>1</v>
      </c>
      <c r="V1180" s="2" t="s">
        <v>42</v>
      </c>
      <c r="W1180" s="2" t="s">
        <v>43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</row>
    <row r="1181" spans="1:35" x14ac:dyDescent="0.25">
      <c r="A1181" s="2">
        <v>34</v>
      </c>
      <c r="B1181" s="2" t="s">
        <v>43</v>
      </c>
      <c r="C1181" s="2" t="s">
        <v>36</v>
      </c>
      <c r="D1181" s="2">
        <v>1130</v>
      </c>
      <c r="E1181" s="2" t="s">
        <v>45</v>
      </c>
      <c r="F1181" s="2">
        <v>3</v>
      </c>
      <c r="G1181" s="2">
        <v>3</v>
      </c>
      <c r="H1181" s="2" t="s">
        <v>38</v>
      </c>
      <c r="I1181" s="2">
        <v>1</v>
      </c>
      <c r="J1181" s="2">
        <v>1658</v>
      </c>
      <c r="K1181" s="2">
        <v>4</v>
      </c>
      <c r="L1181" s="2" t="s">
        <v>39</v>
      </c>
      <c r="M1181" s="2">
        <v>66</v>
      </c>
      <c r="N1181" s="2">
        <v>3</v>
      </c>
      <c r="O1181" s="2">
        <v>2</v>
      </c>
      <c r="P1181" s="2" t="s">
        <v>47</v>
      </c>
      <c r="Q1181" s="2">
        <v>2</v>
      </c>
      <c r="R1181" s="2" t="s">
        <v>52</v>
      </c>
      <c r="S1181" s="2">
        <v>5433</v>
      </c>
      <c r="T1181" s="2">
        <v>19332</v>
      </c>
      <c r="U1181" s="2">
        <v>1</v>
      </c>
      <c r="V1181" s="2" t="s">
        <v>42</v>
      </c>
      <c r="W1181" s="2" t="s">
        <v>43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</row>
    <row r="1182" spans="1:35" x14ac:dyDescent="0.25">
      <c r="A1182" s="2">
        <v>36</v>
      </c>
      <c r="B1182" s="2" t="s">
        <v>43</v>
      </c>
      <c r="C1182" s="2" t="s">
        <v>36</v>
      </c>
      <c r="D1182" s="2">
        <v>311</v>
      </c>
      <c r="E1182" s="2" t="s">
        <v>45</v>
      </c>
      <c r="F1182" s="2">
        <v>7</v>
      </c>
      <c r="G1182" s="2">
        <v>3</v>
      </c>
      <c r="H1182" s="2" t="s">
        <v>38</v>
      </c>
      <c r="I1182" s="2">
        <v>1</v>
      </c>
      <c r="J1182" s="2">
        <v>1659</v>
      </c>
      <c r="K1182" s="2">
        <v>1</v>
      </c>
      <c r="L1182" s="2" t="s">
        <v>46</v>
      </c>
      <c r="M1182" s="2">
        <v>77</v>
      </c>
      <c r="N1182" s="2">
        <v>3</v>
      </c>
      <c r="O1182" s="2">
        <v>1</v>
      </c>
      <c r="P1182" s="2" t="s">
        <v>50</v>
      </c>
      <c r="Q1182" s="2">
        <v>2</v>
      </c>
      <c r="R1182" s="2" t="s">
        <v>41</v>
      </c>
      <c r="S1182" s="2">
        <v>2013</v>
      </c>
      <c r="T1182" s="2">
        <v>10950</v>
      </c>
      <c r="U1182" s="2">
        <v>2</v>
      </c>
      <c r="V1182" s="2" t="s">
        <v>42</v>
      </c>
      <c r="W1182" s="2" t="s">
        <v>43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</row>
    <row r="1183" spans="1:35" x14ac:dyDescent="0.25">
      <c r="A1183" s="2">
        <v>49</v>
      </c>
      <c r="B1183" s="2" t="s">
        <v>43</v>
      </c>
      <c r="C1183" s="2" t="s">
        <v>36</v>
      </c>
      <c r="D1183" s="2">
        <v>465</v>
      </c>
      <c r="E1183" s="2" t="s">
        <v>45</v>
      </c>
      <c r="F1183" s="2">
        <v>6</v>
      </c>
      <c r="G1183" s="2">
        <v>1</v>
      </c>
      <c r="H1183" s="2" t="s">
        <v>38</v>
      </c>
      <c r="I1183" s="2">
        <v>1</v>
      </c>
      <c r="J1183" s="2">
        <v>1661</v>
      </c>
      <c r="K1183" s="2">
        <v>3</v>
      </c>
      <c r="L1183" s="2" t="s">
        <v>39</v>
      </c>
      <c r="M1183" s="2">
        <v>41</v>
      </c>
      <c r="N1183" s="2">
        <v>2</v>
      </c>
      <c r="O1183" s="2">
        <v>4</v>
      </c>
      <c r="P1183" s="2" t="s">
        <v>54</v>
      </c>
      <c r="Q1183" s="2">
        <v>3</v>
      </c>
      <c r="R1183" s="2" t="s">
        <v>48</v>
      </c>
      <c r="S1183" s="2">
        <v>13966</v>
      </c>
      <c r="T1183" s="2">
        <v>11652</v>
      </c>
      <c r="U1183" s="2">
        <v>2</v>
      </c>
      <c r="V1183" s="2" t="s">
        <v>42</v>
      </c>
      <c r="W1183" s="2" t="s">
        <v>35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</row>
    <row r="1184" spans="1:35" x14ac:dyDescent="0.25">
      <c r="A1184" s="2">
        <v>36</v>
      </c>
      <c r="B1184" s="2" t="s">
        <v>43</v>
      </c>
      <c r="C1184" s="2" t="s">
        <v>55</v>
      </c>
      <c r="D1184" s="2">
        <v>894</v>
      </c>
      <c r="E1184" s="2" t="s">
        <v>45</v>
      </c>
      <c r="F1184" s="2">
        <v>1</v>
      </c>
      <c r="G1184" s="2">
        <v>4</v>
      </c>
      <c r="H1184" s="2" t="s">
        <v>51</v>
      </c>
      <c r="I1184" s="2">
        <v>1</v>
      </c>
      <c r="J1184" s="2">
        <v>1662</v>
      </c>
      <c r="K1184" s="2">
        <v>4</v>
      </c>
      <c r="L1184" s="2" t="s">
        <v>39</v>
      </c>
      <c r="M1184" s="2">
        <v>33</v>
      </c>
      <c r="N1184" s="2">
        <v>2</v>
      </c>
      <c r="O1184" s="2">
        <v>2</v>
      </c>
      <c r="P1184" s="2" t="s">
        <v>53</v>
      </c>
      <c r="Q1184" s="2">
        <v>3</v>
      </c>
      <c r="R1184" s="2" t="s">
        <v>48</v>
      </c>
      <c r="S1184" s="2">
        <v>4374</v>
      </c>
      <c r="T1184" s="2">
        <v>15411</v>
      </c>
      <c r="U1184" s="2">
        <v>0</v>
      </c>
      <c r="V1184" s="2" t="s">
        <v>42</v>
      </c>
      <c r="W1184" s="2" t="s">
        <v>43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</row>
    <row r="1185" spans="1:35" x14ac:dyDescent="0.25">
      <c r="A1185" s="2">
        <v>36</v>
      </c>
      <c r="B1185" s="2" t="s">
        <v>43</v>
      </c>
      <c r="C1185" s="2" t="s">
        <v>36</v>
      </c>
      <c r="D1185" s="2">
        <v>1040</v>
      </c>
      <c r="E1185" s="2" t="s">
        <v>45</v>
      </c>
      <c r="F1185" s="2">
        <v>3</v>
      </c>
      <c r="G1185" s="2">
        <v>2</v>
      </c>
      <c r="H1185" s="2" t="s">
        <v>38</v>
      </c>
      <c r="I1185" s="2">
        <v>1</v>
      </c>
      <c r="J1185" s="2">
        <v>1664</v>
      </c>
      <c r="K1185" s="2">
        <v>4</v>
      </c>
      <c r="L1185" s="2" t="s">
        <v>46</v>
      </c>
      <c r="M1185" s="2">
        <v>79</v>
      </c>
      <c r="N1185" s="2">
        <v>4</v>
      </c>
      <c r="O1185" s="2">
        <v>2</v>
      </c>
      <c r="P1185" s="2" t="s">
        <v>54</v>
      </c>
      <c r="Q1185" s="2">
        <v>1</v>
      </c>
      <c r="R1185" s="2" t="s">
        <v>52</v>
      </c>
      <c r="S1185" s="2">
        <v>6842</v>
      </c>
      <c r="T1185" s="2">
        <v>26308</v>
      </c>
      <c r="U1185" s="2">
        <v>6</v>
      </c>
      <c r="V1185" s="2" t="s">
        <v>42</v>
      </c>
      <c r="W1185" s="2" t="s">
        <v>43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</row>
    <row r="1186" spans="1:35" x14ac:dyDescent="0.25">
      <c r="A1186" s="2">
        <v>54</v>
      </c>
      <c r="B1186" s="2" t="s">
        <v>43</v>
      </c>
      <c r="C1186" s="2" t="s">
        <v>36</v>
      </c>
      <c r="D1186" s="2">
        <v>584</v>
      </c>
      <c r="E1186" s="2" t="s">
        <v>45</v>
      </c>
      <c r="F1186" s="2">
        <v>22</v>
      </c>
      <c r="G1186" s="2">
        <v>5</v>
      </c>
      <c r="H1186" s="2" t="s">
        <v>51</v>
      </c>
      <c r="I1186" s="2">
        <v>1</v>
      </c>
      <c r="J1186" s="2">
        <v>1665</v>
      </c>
      <c r="K1186" s="2">
        <v>2</v>
      </c>
      <c r="L1186" s="2" t="s">
        <v>39</v>
      </c>
      <c r="M1186" s="2">
        <v>91</v>
      </c>
      <c r="N1186" s="2">
        <v>3</v>
      </c>
      <c r="O1186" s="2">
        <v>4</v>
      </c>
      <c r="P1186" s="2" t="s">
        <v>56</v>
      </c>
      <c r="Q1186" s="2">
        <v>3</v>
      </c>
      <c r="R1186" s="2" t="s">
        <v>48</v>
      </c>
      <c r="S1186" s="2">
        <v>17426</v>
      </c>
      <c r="T1186" s="2">
        <v>18685</v>
      </c>
      <c r="U1186" s="2">
        <v>3</v>
      </c>
      <c r="V1186" s="2" t="s">
        <v>42</v>
      </c>
      <c r="W1186" s="2" t="s">
        <v>43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</row>
    <row r="1187" spans="1:35" x14ac:dyDescent="0.25">
      <c r="A1187" s="2">
        <v>43</v>
      </c>
      <c r="B1187" s="2" t="s">
        <v>43</v>
      </c>
      <c r="C1187" s="2" t="s">
        <v>36</v>
      </c>
      <c r="D1187" s="2">
        <v>1291</v>
      </c>
      <c r="E1187" s="2" t="s">
        <v>45</v>
      </c>
      <c r="F1187" s="2">
        <v>15</v>
      </c>
      <c r="G1187" s="2">
        <v>2</v>
      </c>
      <c r="H1187" s="2" t="s">
        <v>38</v>
      </c>
      <c r="I1187" s="2">
        <v>1</v>
      </c>
      <c r="J1187" s="2">
        <v>1666</v>
      </c>
      <c r="K1187" s="2">
        <v>3</v>
      </c>
      <c r="L1187" s="2" t="s">
        <v>46</v>
      </c>
      <c r="M1187" s="2">
        <v>65</v>
      </c>
      <c r="N1187" s="2">
        <v>2</v>
      </c>
      <c r="O1187" s="2">
        <v>4</v>
      </c>
      <c r="P1187" s="2" t="s">
        <v>58</v>
      </c>
      <c r="Q1187" s="2">
        <v>3</v>
      </c>
      <c r="R1187" s="2" t="s">
        <v>48</v>
      </c>
      <c r="S1187" s="2">
        <v>17603</v>
      </c>
      <c r="T1187" s="2">
        <v>3525</v>
      </c>
      <c r="U1187" s="2">
        <v>1</v>
      </c>
      <c r="V1187" s="2" t="s">
        <v>42</v>
      </c>
      <c r="W1187" s="2" t="s">
        <v>43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</row>
    <row r="1188" spans="1:35" x14ac:dyDescent="0.25">
      <c r="A1188" s="2">
        <v>35</v>
      </c>
      <c r="B1188" s="2" t="s">
        <v>35</v>
      </c>
      <c r="C1188" s="2" t="s">
        <v>44</v>
      </c>
      <c r="D1188" s="2">
        <v>880</v>
      </c>
      <c r="E1188" s="2" t="s">
        <v>37</v>
      </c>
      <c r="F1188" s="2">
        <v>12</v>
      </c>
      <c r="G1188" s="2">
        <v>4</v>
      </c>
      <c r="H1188" s="2" t="s">
        <v>49</v>
      </c>
      <c r="I1188" s="2">
        <v>1</v>
      </c>
      <c r="J1188" s="2">
        <v>1667</v>
      </c>
      <c r="K1188" s="2">
        <v>4</v>
      </c>
      <c r="L1188" s="2" t="s">
        <v>46</v>
      </c>
      <c r="M1188" s="2">
        <v>36</v>
      </c>
      <c r="N1188" s="2">
        <v>3</v>
      </c>
      <c r="O1188" s="2">
        <v>2</v>
      </c>
      <c r="P1188" s="2" t="s">
        <v>40</v>
      </c>
      <c r="Q1188" s="2">
        <v>4</v>
      </c>
      <c r="R1188" s="2" t="s">
        <v>41</v>
      </c>
      <c r="S1188" s="2">
        <v>4581</v>
      </c>
      <c r="T1188" s="2">
        <v>10414</v>
      </c>
      <c r="U1188" s="2">
        <v>3</v>
      </c>
      <c r="V1188" s="2" t="s">
        <v>42</v>
      </c>
      <c r="W1188" s="2" t="s">
        <v>35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</row>
    <row r="1189" spans="1:35" x14ac:dyDescent="0.25">
      <c r="A1189" s="2">
        <v>38</v>
      </c>
      <c r="B1189" s="2" t="s">
        <v>43</v>
      </c>
      <c r="C1189" s="2" t="s">
        <v>44</v>
      </c>
      <c r="D1189" s="2">
        <v>1189</v>
      </c>
      <c r="E1189" s="2" t="s">
        <v>45</v>
      </c>
      <c r="F1189" s="2">
        <v>1</v>
      </c>
      <c r="G1189" s="2">
        <v>3</v>
      </c>
      <c r="H1189" s="2" t="s">
        <v>38</v>
      </c>
      <c r="I1189" s="2">
        <v>1</v>
      </c>
      <c r="J1189" s="2">
        <v>1668</v>
      </c>
      <c r="K1189" s="2">
        <v>4</v>
      </c>
      <c r="L1189" s="2" t="s">
        <v>46</v>
      </c>
      <c r="M1189" s="2">
        <v>90</v>
      </c>
      <c r="N1189" s="2">
        <v>3</v>
      </c>
      <c r="O1189" s="2">
        <v>2</v>
      </c>
      <c r="P1189" s="2" t="s">
        <v>47</v>
      </c>
      <c r="Q1189" s="2">
        <v>4</v>
      </c>
      <c r="R1189" s="2" t="s">
        <v>48</v>
      </c>
      <c r="S1189" s="2">
        <v>4735</v>
      </c>
      <c r="T1189" s="2">
        <v>9867</v>
      </c>
      <c r="U1189" s="2">
        <v>7</v>
      </c>
      <c r="V1189" s="2" t="s">
        <v>42</v>
      </c>
      <c r="W1189" s="2" t="s">
        <v>43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</row>
    <row r="1190" spans="1:35" x14ac:dyDescent="0.25">
      <c r="A1190" s="2">
        <v>29</v>
      </c>
      <c r="B1190" s="2" t="s">
        <v>43</v>
      </c>
      <c r="C1190" s="2" t="s">
        <v>36</v>
      </c>
      <c r="D1190" s="2">
        <v>991</v>
      </c>
      <c r="E1190" s="2" t="s">
        <v>37</v>
      </c>
      <c r="F1190" s="2">
        <v>5</v>
      </c>
      <c r="G1190" s="2">
        <v>3</v>
      </c>
      <c r="H1190" s="2" t="s">
        <v>51</v>
      </c>
      <c r="I1190" s="2">
        <v>1</v>
      </c>
      <c r="J1190" s="2">
        <v>1669</v>
      </c>
      <c r="K1190" s="2">
        <v>1</v>
      </c>
      <c r="L1190" s="2" t="s">
        <v>46</v>
      </c>
      <c r="M1190" s="2">
        <v>43</v>
      </c>
      <c r="N1190" s="2">
        <v>2</v>
      </c>
      <c r="O1190" s="2">
        <v>2</v>
      </c>
      <c r="P1190" s="2" t="s">
        <v>40</v>
      </c>
      <c r="Q1190" s="2">
        <v>2</v>
      </c>
      <c r="R1190" s="2" t="s">
        <v>52</v>
      </c>
      <c r="S1190" s="2">
        <v>4187</v>
      </c>
      <c r="T1190" s="2">
        <v>3356</v>
      </c>
      <c r="U1190" s="2">
        <v>1</v>
      </c>
      <c r="V1190" s="2" t="s">
        <v>42</v>
      </c>
      <c r="W1190" s="2" t="s">
        <v>35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</row>
    <row r="1191" spans="1:35" x14ac:dyDescent="0.25">
      <c r="A1191" s="2">
        <v>33</v>
      </c>
      <c r="B1191" s="2" t="s">
        <v>43</v>
      </c>
      <c r="C1191" s="2" t="s">
        <v>36</v>
      </c>
      <c r="D1191" s="2">
        <v>392</v>
      </c>
      <c r="E1191" s="2" t="s">
        <v>37</v>
      </c>
      <c r="F1191" s="2">
        <v>2</v>
      </c>
      <c r="G1191" s="2">
        <v>4</v>
      </c>
      <c r="H1191" s="2" t="s">
        <v>51</v>
      </c>
      <c r="I1191" s="2">
        <v>1</v>
      </c>
      <c r="J1191" s="2">
        <v>1670</v>
      </c>
      <c r="K1191" s="2">
        <v>4</v>
      </c>
      <c r="L1191" s="2" t="s">
        <v>46</v>
      </c>
      <c r="M1191" s="2">
        <v>93</v>
      </c>
      <c r="N1191" s="2">
        <v>3</v>
      </c>
      <c r="O1191" s="2">
        <v>2</v>
      </c>
      <c r="P1191" s="2" t="s">
        <v>40</v>
      </c>
      <c r="Q1191" s="2">
        <v>4</v>
      </c>
      <c r="R1191" s="2" t="s">
        <v>52</v>
      </c>
      <c r="S1191" s="2">
        <v>5505</v>
      </c>
      <c r="T1191" s="2">
        <v>3921</v>
      </c>
      <c r="U1191" s="2">
        <v>1</v>
      </c>
      <c r="V1191" s="2" t="s">
        <v>42</v>
      </c>
      <c r="W1191" s="2" t="s">
        <v>43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</row>
    <row r="1192" spans="1:35" x14ac:dyDescent="0.25">
      <c r="A1192" s="2">
        <v>32</v>
      </c>
      <c r="B1192" s="2" t="s">
        <v>43</v>
      </c>
      <c r="C1192" s="2" t="s">
        <v>36</v>
      </c>
      <c r="D1192" s="2">
        <v>977</v>
      </c>
      <c r="E1192" s="2" t="s">
        <v>45</v>
      </c>
      <c r="F1192" s="2">
        <v>2</v>
      </c>
      <c r="G1192" s="2">
        <v>3</v>
      </c>
      <c r="H1192" s="2" t="s">
        <v>51</v>
      </c>
      <c r="I1192" s="2">
        <v>1</v>
      </c>
      <c r="J1192" s="2">
        <v>1671</v>
      </c>
      <c r="K1192" s="2">
        <v>4</v>
      </c>
      <c r="L1192" s="2" t="s">
        <v>46</v>
      </c>
      <c r="M1192" s="2">
        <v>45</v>
      </c>
      <c r="N1192" s="2">
        <v>3</v>
      </c>
      <c r="O1192" s="2">
        <v>2</v>
      </c>
      <c r="P1192" s="2" t="s">
        <v>47</v>
      </c>
      <c r="Q1192" s="2">
        <v>2</v>
      </c>
      <c r="R1192" s="2" t="s">
        <v>52</v>
      </c>
      <c r="S1192" s="2">
        <v>5470</v>
      </c>
      <c r="T1192" s="2">
        <v>25518</v>
      </c>
      <c r="U1192" s="2">
        <v>0</v>
      </c>
      <c r="V1192" s="2" t="s">
        <v>42</v>
      </c>
      <c r="W1192" s="2" t="s">
        <v>43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</row>
    <row r="1193" spans="1:35" x14ac:dyDescent="0.25">
      <c r="A1193" s="2">
        <v>31</v>
      </c>
      <c r="B1193" s="2" t="s">
        <v>43</v>
      </c>
      <c r="C1193" s="2" t="s">
        <v>36</v>
      </c>
      <c r="D1193" s="2">
        <v>1112</v>
      </c>
      <c r="E1193" s="2" t="s">
        <v>37</v>
      </c>
      <c r="F1193" s="2">
        <v>5</v>
      </c>
      <c r="G1193" s="2">
        <v>4</v>
      </c>
      <c r="H1193" s="2" t="s">
        <v>38</v>
      </c>
      <c r="I1193" s="2">
        <v>1</v>
      </c>
      <c r="J1193" s="2">
        <v>1673</v>
      </c>
      <c r="K1193" s="2">
        <v>1</v>
      </c>
      <c r="L1193" s="2" t="s">
        <v>39</v>
      </c>
      <c r="M1193" s="2">
        <v>67</v>
      </c>
      <c r="N1193" s="2">
        <v>3</v>
      </c>
      <c r="O1193" s="2">
        <v>2</v>
      </c>
      <c r="P1193" s="2" t="s">
        <v>40</v>
      </c>
      <c r="Q1193" s="2">
        <v>4</v>
      </c>
      <c r="R1193" s="2" t="s">
        <v>48</v>
      </c>
      <c r="S1193" s="2">
        <v>5476</v>
      </c>
      <c r="T1193" s="2">
        <v>22589</v>
      </c>
      <c r="U1193" s="2">
        <v>1</v>
      </c>
      <c r="V1193" s="2" t="s">
        <v>42</v>
      </c>
      <c r="W1193" s="2" t="s">
        <v>43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</row>
    <row r="1194" spans="1:35" x14ac:dyDescent="0.25">
      <c r="A1194" s="2">
        <v>49</v>
      </c>
      <c r="B1194" s="2" t="s">
        <v>43</v>
      </c>
      <c r="C1194" s="2" t="s">
        <v>36</v>
      </c>
      <c r="D1194" s="2">
        <v>464</v>
      </c>
      <c r="E1194" s="2" t="s">
        <v>45</v>
      </c>
      <c r="F1194" s="2">
        <v>16</v>
      </c>
      <c r="G1194" s="2">
        <v>3</v>
      </c>
      <c r="H1194" s="2" t="s">
        <v>51</v>
      </c>
      <c r="I1194" s="2">
        <v>1</v>
      </c>
      <c r="J1194" s="2">
        <v>1674</v>
      </c>
      <c r="K1194" s="2">
        <v>4</v>
      </c>
      <c r="L1194" s="2" t="s">
        <v>39</v>
      </c>
      <c r="M1194" s="2">
        <v>74</v>
      </c>
      <c r="N1194" s="2">
        <v>3</v>
      </c>
      <c r="O1194" s="2">
        <v>1</v>
      </c>
      <c r="P1194" s="2" t="s">
        <v>50</v>
      </c>
      <c r="Q1194" s="2">
        <v>1</v>
      </c>
      <c r="R1194" s="2" t="s">
        <v>52</v>
      </c>
      <c r="S1194" s="2">
        <v>2587</v>
      </c>
      <c r="T1194" s="2">
        <v>24941</v>
      </c>
      <c r="U1194" s="2">
        <v>4</v>
      </c>
      <c r="V1194" s="2" t="s">
        <v>42</v>
      </c>
      <c r="W1194" s="2" t="s">
        <v>35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</row>
    <row r="1195" spans="1:35" x14ac:dyDescent="0.25">
      <c r="A1195" s="2">
        <v>38</v>
      </c>
      <c r="B1195" s="2" t="s">
        <v>43</v>
      </c>
      <c r="C1195" s="2" t="s">
        <v>44</v>
      </c>
      <c r="D1195" s="2">
        <v>148</v>
      </c>
      <c r="E1195" s="2" t="s">
        <v>45</v>
      </c>
      <c r="F1195" s="2">
        <v>2</v>
      </c>
      <c r="G1195" s="2">
        <v>3</v>
      </c>
      <c r="H1195" s="2" t="s">
        <v>51</v>
      </c>
      <c r="I1195" s="2">
        <v>1</v>
      </c>
      <c r="J1195" s="2">
        <v>1675</v>
      </c>
      <c r="K1195" s="2">
        <v>4</v>
      </c>
      <c r="L1195" s="2" t="s">
        <v>39</v>
      </c>
      <c r="M1195" s="2">
        <v>42</v>
      </c>
      <c r="N1195" s="2">
        <v>2</v>
      </c>
      <c r="O1195" s="2">
        <v>1</v>
      </c>
      <c r="P1195" s="2" t="s">
        <v>50</v>
      </c>
      <c r="Q1195" s="2">
        <v>2</v>
      </c>
      <c r="R1195" s="2" t="s">
        <v>41</v>
      </c>
      <c r="S1195" s="2">
        <v>2440</v>
      </c>
      <c r="T1195" s="2">
        <v>23826</v>
      </c>
      <c r="U1195" s="2">
        <v>1</v>
      </c>
      <c r="V1195" s="2" t="s">
        <v>42</v>
      </c>
      <c r="W1195" s="2" t="s">
        <v>43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</row>
    <row r="1196" spans="1:35" x14ac:dyDescent="0.25">
      <c r="A1196" s="2">
        <v>47</v>
      </c>
      <c r="B1196" s="2" t="s">
        <v>43</v>
      </c>
      <c r="C1196" s="2" t="s">
        <v>36</v>
      </c>
      <c r="D1196" s="2">
        <v>1225</v>
      </c>
      <c r="E1196" s="2" t="s">
        <v>37</v>
      </c>
      <c r="F1196" s="2">
        <v>2</v>
      </c>
      <c r="G1196" s="2">
        <v>4</v>
      </c>
      <c r="H1196" s="2" t="s">
        <v>38</v>
      </c>
      <c r="I1196" s="2">
        <v>1</v>
      </c>
      <c r="J1196" s="2">
        <v>1676</v>
      </c>
      <c r="K1196" s="2">
        <v>2</v>
      </c>
      <c r="L1196" s="2" t="s">
        <v>39</v>
      </c>
      <c r="M1196" s="2">
        <v>47</v>
      </c>
      <c r="N1196" s="2">
        <v>4</v>
      </c>
      <c r="O1196" s="2">
        <v>4</v>
      </c>
      <c r="P1196" s="2" t="s">
        <v>56</v>
      </c>
      <c r="Q1196" s="2">
        <v>2</v>
      </c>
      <c r="R1196" s="2" t="s">
        <v>52</v>
      </c>
      <c r="S1196" s="2">
        <v>15972</v>
      </c>
      <c r="T1196" s="2">
        <v>21086</v>
      </c>
      <c r="U1196" s="2">
        <v>6</v>
      </c>
      <c r="V1196" s="2" t="s">
        <v>42</v>
      </c>
      <c r="W1196" s="2" t="s">
        <v>43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</row>
    <row r="1197" spans="1:35" x14ac:dyDescent="0.25">
      <c r="A1197" s="2">
        <v>49</v>
      </c>
      <c r="B1197" s="2" t="s">
        <v>43</v>
      </c>
      <c r="C1197" s="2" t="s">
        <v>36</v>
      </c>
      <c r="D1197" s="2">
        <v>809</v>
      </c>
      <c r="E1197" s="2" t="s">
        <v>45</v>
      </c>
      <c r="F1197" s="2">
        <v>1</v>
      </c>
      <c r="G1197" s="2">
        <v>3</v>
      </c>
      <c r="H1197" s="2" t="s">
        <v>38</v>
      </c>
      <c r="I1197" s="2">
        <v>1</v>
      </c>
      <c r="J1197" s="2">
        <v>1677</v>
      </c>
      <c r="K1197" s="2">
        <v>3</v>
      </c>
      <c r="L1197" s="2" t="s">
        <v>46</v>
      </c>
      <c r="M1197" s="2">
        <v>36</v>
      </c>
      <c r="N1197" s="2">
        <v>3</v>
      </c>
      <c r="O1197" s="2">
        <v>4</v>
      </c>
      <c r="P1197" s="2" t="s">
        <v>56</v>
      </c>
      <c r="Q1197" s="2">
        <v>3</v>
      </c>
      <c r="R1197" s="2" t="s">
        <v>41</v>
      </c>
      <c r="S1197" s="2">
        <v>15379</v>
      </c>
      <c r="T1197" s="2">
        <v>22384</v>
      </c>
      <c r="U1197" s="2">
        <v>4</v>
      </c>
      <c r="V1197" s="2" t="s">
        <v>42</v>
      </c>
      <c r="W1197" s="2" t="s">
        <v>43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</row>
    <row r="1198" spans="1:35" x14ac:dyDescent="0.25">
      <c r="A1198" s="2">
        <v>41</v>
      </c>
      <c r="B1198" s="2" t="s">
        <v>43</v>
      </c>
      <c r="C1198" s="2" t="s">
        <v>36</v>
      </c>
      <c r="D1198" s="2">
        <v>1206</v>
      </c>
      <c r="E1198" s="2" t="s">
        <v>37</v>
      </c>
      <c r="F1198" s="2">
        <v>23</v>
      </c>
      <c r="G1198" s="2">
        <v>2</v>
      </c>
      <c r="H1198" s="2" t="s">
        <v>38</v>
      </c>
      <c r="I1198" s="2">
        <v>1</v>
      </c>
      <c r="J1198" s="2">
        <v>1678</v>
      </c>
      <c r="K1198" s="2">
        <v>4</v>
      </c>
      <c r="L1198" s="2" t="s">
        <v>46</v>
      </c>
      <c r="M1198" s="2">
        <v>80</v>
      </c>
      <c r="N1198" s="2">
        <v>3</v>
      </c>
      <c r="O1198" s="2">
        <v>3</v>
      </c>
      <c r="P1198" s="2" t="s">
        <v>40</v>
      </c>
      <c r="Q1198" s="2">
        <v>3</v>
      </c>
      <c r="R1198" s="2" t="s">
        <v>41</v>
      </c>
      <c r="S1198" s="2">
        <v>7082</v>
      </c>
      <c r="T1198" s="2">
        <v>11591</v>
      </c>
      <c r="U1198" s="2">
        <v>3</v>
      </c>
      <c r="V1198" s="2" t="s">
        <v>42</v>
      </c>
      <c r="W1198" s="2" t="s">
        <v>35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</row>
    <row r="1199" spans="1:35" x14ac:dyDescent="0.25">
      <c r="A1199" s="2">
        <v>20</v>
      </c>
      <c r="B1199" s="2" t="s">
        <v>43</v>
      </c>
      <c r="C1199" s="2" t="s">
        <v>36</v>
      </c>
      <c r="D1199" s="2">
        <v>727</v>
      </c>
      <c r="E1199" s="2" t="s">
        <v>37</v>
      </c>
      <c r="F1199" s="2">
        <v>9</v>
      </c>
      <c r="G1199" s="2">
        <v>1</v>
      </c>
      <c r="H1199" s="2" t="s">
        <v>38</v>
      </c>
      <c r="I1199" s="2">
        <v>1</v>
      </c>
      <c r="J1199" s="2">
        <v>1680</v>
      </c>
      <c r="K1199" s="2">
        <v>4</v>
      </c>
      <c r="L1199" s="2" t="s">
        <v>46</v>
      </c>
      <c r="M1199" s="2">
        <v>54</v>
      </c>
      <c r="N1199" s="2">
        <v>3</v>
      </c>
      <c r="O1199" s="2">
        <v>1</v>
      </c>
      <c r="P1199" s="2" t="s">
        <v>57</v>
      </c>
      <c r="Q1199" s="2">
        <v>1</v>
      </c>
      <c r="R1199" s="2" t="s">
        <v>41</v>
      </c>
      <c r="S1199" s="2">
        <v>2728</v>
      </c>
      <c r="T1199" s="2">
        <v>21082</v>
      </c>
      <c r="U1199" s="2">
        <v>1</v>
      </c>
      <c r="V1199" s="2" t="s">
        <v>42</v>
      </c>
      <c r="W1199" s="2" t="s">
        <v>43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</row>
    <row r="1200" spans="1:35" x14ac:dyDescent="0.25">
      <c r="A1200" s="2">
        <v>33</v>
      </c>
      <c r="B1200" s="2" t="s">
        <v>43</v>
      </c>
      <c r="C1200" s="2" t="s">
        <v>55</v>
      </c>
      <c r="D1200" s="2">
        <v>530</v>
      </c>
      <c r="E1200" s="2" t="s">
        <v>37</v>
      </c>
      <c r="F1200" s="2">
        <v>16</v>
      </c>
      <c r="G1200" s="2">
        <v>3</v>
      </c>
      <c r="H1200" s="2" t="s">
        <v>38</v>
      </c>
      <c r="I1200" s="2">
        <v>1</v>
      </c>
      <c r="J1200" s="2">
        <v>1681</v>
      </c>
      <c r="K1200" s="2">
        <v>3</v>
      </c>
      <c r="L1200" s="2" t="s">
        <v>39</v>
      </c>
      <c r="M1200" s="2">
        <v>36</v>
      </c>
      <c r="N1200" s="2">
        <v>3</v>
      </c>
      <c r="O1200" s="2">
        <v>2</v>
      </c>
      <c r="P1200" s="2" t="s">
        <v>40</v>
      </c>
      <c r="Q1200" s="2">
        <v>4</v>
      </c>
      <c r="R1200" s="2" t="s">
        <v>52</v>
      </c>
      <c r="S1200" s="2">
        <v>5368</v>
      </c>
      <c r="T1200" s="2">
        <v>16130</v>
      </c>
      <c r="U1200" s="2">
        <v>1</v>
      </c>
      <c r="V1200" s="2" t="s">
        <v>42</v>
      </c>
      <c r="W1200" s="2" t="s">
        <v>35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</row>
    <row r="1201" spans="1:35" x14ac:dyDescent="0.25">
      <c r="A1201" s="2">
        <v>36</v>
      </c>
      <c r="B1201" s="2" t="s">
        <v>43</v>
      </c>
      <c r="C1201" s="2" t="s">
        <v>36</v>
      </c>
      <c r="D1201" s="2">
        <v>1351</v>
      </c>
      <c r="E1201" s="2" t="s">
        <v>45</v>
      </c>
      <c r="F1201" s="2">
        <v>26</v>
      </c>
      <c r="G1201" s="2">
        <v>4</v>
      </c>
      <c r="H1201" s="2" t="s">
        <v>38</v>
      </c>
      <c r="I1201" s="2">
        <v>1</v>
      </c>
      <c r="J1201" s="2">
        <v>1682</v>
      </c>
      <c r="K1201" s="2">
        <v>1</v>
      </c>
      <c r="L1201" s="2" t="s">
        <v>46</v>
      </c>
      <c r="M1201" s="2">
        <v>80</v>
      </c>
      <c r="N1201" s="2">
        <v>3</v>
      </c>
      <c r="O1201" s="2">
        <v>2</v>
      </c>
      <c r="P1201" s="2" t="s">
        <v>54</v>
      </c>
      <c r="Q1201" s="2">
        <v>3</v>
      </c>
      <c r="R1201" s="2" t="s">
        <v>48</v>
      </c>
      <c r="S1201" s="2">
        <v>5347</v>
      </c>
      <c r="T1201" s="2">
        <v>7419</v>
      </c>
      <c r="U1201" s="2">
        <v>6</v>
      </c>
      <c r="V1201" s="2" t="s">
        <v>42</v>
      </c>
      <c r="W1201" s="2" t="s">
        <v>43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</row>
    <row r="1202" spans="1:35" x14ac:dyDescent="0.25">
      <c r="A1202" s="2">
        <v>44</v>
      </c>
      <c r="B1202" s="2" t="s">
        <v>43</v>
      </c>
      <c r="C1202" s="2" t="s">
        <v>36</v>
      </c>
      <c r="D1202" s="2">
        <v>528</v>
      </c>
      <c r="E1202" s="2" t="s">
        <v>61</v>
      </c>
      <c r="F1202" s="2">
        <v>1</v>
      </c>
      <c r="G1202" s="2">
        <v>3</v>
      </c>
      <c r="H1202" s="2" t="s">
        <v>38</v>
      </c>
      <c r="I1202" s="2">
        <v>1</v>
      </c>
      <c r="J1202" s="2">
        <v>1683</v>
      </c>
      <c r="K1202" s="2">
        <v>3</v>
      </c>
      <c r="L1202" s="2" t="s">
        <v>39</v>
      </c>
      <c r="M1202" s="2">
        <v>44</v>
      </c>
      <c r="N1202" s="2">
        <v>3</v>
      </c>
      <c r="O1202" s="2">
        <v>1</v>
      </c>
      <c r="P1202" s="2" t="s">
        <v>61</v>
      </c>
      <c r="Q1202" s="2">
        <v>4</v>
      </c>
      <c r="R1202" s="2" t="s">
        <v>52</v>
      </c>
      <c r="S1202" s="2">
        <v>3195</v>
      </c>
      <c r="T1202" s="2">
        <v>4167</v>
      </c>
      <c r="U1202" s="2">
        <v>4</v>
      </c>
      <c r="V1202" s="2" t="s">
        <v>42</v>
      </c>
      <c r="W1202" s="2" t="s">
        <v>35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</row>
    <row r="1203" spans="1:35" x14ac:dyDescent="0.25">
      <c r="A1203" s="2">
        <v>23</v>
      </c>
      <c r="B1203" s="2" t="s">
        <v>35</v>
      </c>
      <c r="C1203" s="2" t="s">
        <v>36</v>
      </c>
      <c r="D1203" s="2">
        <v>1320</v>
      </c>
      <c r="E1203" s="2" t="s">
        <v>45</v>
      </c>
      <c r="F1203" s="2">
        <v>8</v>
      </c>
      <c r="G1203" s="2">
        <v>1</v>
      </c>
      <c r="H1203" s="2" t="s">
        <v>51</v>
      </c>
      <c r="I1203" s="2">
        <v>1</v>
      </c>
      <c r="J1203" s="2">
        <v>1684</v>
      </c>
      <c r="K1203" s="2">
        <v>4</v>
      </c>
      <c r="L1203" s="2" t="s">
        <v>46</v>
      </c>
      <c r="M1203" s="2">
        <v>93</v>
      </c>
      <c r="N1203" s="2">
        <v>2</v>
      </c>
      <c r="O1203" s="2">
        <v>1</v>
      </c>
      <c r="P1203" s="2" t="s">
        <v>50</v>
      </c>
      <c r="Q1203" s="2">
        <v>3</v>
      </c>
      <c r="R1203" s="2" t="s">
        <v>41</v>
      </c>
      <c r="S1203" s="2">
        <v>3989</v>
      </c>
      <c r="T1203" s="2">
        <v>20586</v>
      </c>
      <c r="U1203" s="2">
        <v>1</v>
      </c>
      <c r="V1203" s="2" t="s">
        <v>42</v>
      </c>
      <c r="W1203" s="2" t="s">
        <v>35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</row>
    <row r="1204" spans="1:35" x14ac:dyDescent="0.25">
      <c r="A1204" s="2">
        <v>38</v>
      </c>
      <c r="B1204" s="2" t="s">
        <v>43</v>
      </c>
      <c r="C1204" s="2" t="s">
        <v>36</v>
      </c>
      <c r="D1204" s="2">
        <v>1495</v>
      </c>
      <c r="E1204" s="2" t="s">
        <v>45</v>
      </c>
      <c r="F1204" s="2">
        <v>4</v>
      </c>
      <c r="G1204" s="2">
        <v>2</v>
      </c>
      <c r="H1204" s="2" t="s">
        <v>51</v>
      </c>
      <c r="I1204" s="2">
        <v>1</v>
      </c>
      <c r="J1204" s="2">
        <v>1687</v>
      </c>
      <c r="K1204" s="2">
        <v>4</v>
      </c>
      <c r="L1204" s="2" t="s">
        <v>39</v>
      </c>
      <c r="M1204" s="2">
        <v>87</v>
      </c>
      <c r="N1204" s="2">
        <v>3</v>
      </c>
      <c r="O1204" s="2">
        <v>1</v>
      </c>
      <c r="P1204" s="2" t="s">
        <v>50</v>
      </c>
      <c r="Q1204" s="2">
        <v>3</v>
      </c>
      <c r="R1204" s="2" t="s">
        <v>48</v>
      </c>
      <c r="S1204" s="2">
        <v>3306</v>
      </c>
      <c r="T1204" s="2">
        <v>26176</v>
      </c>
      <c r="U1204" s="2">
        <v>7</v>
      </c>
      <c r="V1204" s="2" t="s">
        <v>42</v>
      </c>
      <c r="W1204" s="2" t="s">
        <v>43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</row>
    <row r="1205" spans="1:35" x14ac:dyDescent="0.25">
      <c r="A1205" s="2">
        <v>53</v>
      </c>
      <c r="B1205" s="2" t="s">
        <v>43</v>
      </c>
      <c r="C1205" s="2" t="s">
        <v>36</v>
      </c>
      <c r="D1205" s="2">
        <v>1395</v>
      </c>
      <c r="E1205" s="2" t="s">
        <v>45</v>
      </c>
      <c r="F1205" s="2">
        <v>24</v>
      </c>
      <c r="G1205" s="2">
        <v>4</v>
      </c>
      <c r="H1205" s="2" t="s">
        <v>51</v>
      </c>
      <c r="I1205" s="2">
        <v>1</v>
      </c>
      <c r="J1205" s="2">
        <v>1689</v>
      </c>
      <c r="K1205" s="2">
        <v>2</v>
      </c>
      <c r="L1205" s="2" t="s">
        <v>46</v>
      </c>
      <c r="M1205" s="2">
        <v>48</v>
      </c>
      <c r="N1205" s="2">
        <v>4</v>
      </c>
      <c r="O1205" s="2">
        <v>3</v>
      </c>
      <c r="P1205" s="2" t="s">
        <v>54</v>
      </c>
      <c r="Q1205" s="2">
        <v>4</v>
      </c>
      <c r="R1205" s="2" t="s">
        <v>48</v>
      </c>
      <c r="S1205" s="2">
        <v>7005</v>
      </c>
      <c r="T1205" s="2">
        <v>3458</v>
      </c>
      <c r="U1205" s="2">
        <v>3</v>
      </c>
      <c r="V1205" s="2" t="s">
        <v>42</v>
      </c>
      <c r="W1205" s="2" t="s">
        <v>43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</row>
    <row r="1206" spans="1:35" x14ac:dyDescent="0.25">
      <c r="A1206" s="2">
        <v>48</v>
      </c>
      <c r="B1206" s="2" t="s">
        <v>35</v>
      </c>
      <c r="C1206" s="2" t="s">
        <v>44</v>
      </c>
      <c r="D1206" s="2">
        <v>708</v>
      </c>
      <c r="E1206" s="2" t="s">
        <v>37</v>
      </c>
      <c r="F1206" s="2">
        <v>7</v>
      </c>
      <c r="G1206" s="2">
        <v>2</v>
      </c>
      <c r="H1206" s="2" t="s">
        <v>51</v>
      </c>
      <c r="I1206" s="2">
        <v>1</v>
      </c>
      <c r="J1206" s="2">
        <v>1691</v>
      </c>
      <c r="K1206" s="2">
        <v>4</v>
      </c>
      <c r="L1206" s="2" t="s">
        <v>39</v>
      </c>
      <c r="M1206" s="2">
        <v>95</v>
      </c>
      <c r="N1206" s="2">
        <v>3</v>
      </c>
      <c r="O1206" s="2">
        <v>1</v>
      </c>
      <c r="P1206" s="2" t="s">
        <v>57</v>
      </c>
      <c r="Q1206" s="2">
        <v>3</v>
      </c>
      <c r="R1206" s="2" t="s">
        <v>48</v>
      </c>
      <c r="S1206" s="2">
        <v>2655</v>
      </c>
      <c r="T1206" s="2">
        <v>11740</v>
      </c>
      <c r="U1206" s="2">
        <v>2</v>
      </c>
      <c r="V1206" s="2" t="s">
        <v>42</v>
      </c>
      <c r="W1206" s="2" t="s">
        <v>35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</row>
    <row r="1207" spans="1:35" x14ac:dyDescent="0.25">
      <c r="A1207" s="2">
        <v>32</v>
      </c>
      <c r="B1207" s="2" t="s">
        <v>35</v>
      </c>
      <c r="C1207" s="2" t="s">
        <v>36</v>
      </c>
      <c r="D1207" s="2">
        <v>1259</v>
      </c>
      <c r="E1207" s="2" t="s">
        <v>45</v>
      </c>
      <c r="F1207" s="2">
        <v>2</v>
      </c>
      <c r="G1207" s="2">
        <v>4</v>
      </c>
      <c r="H1207" s="2" t="s">
        <v>38</v>
      </c>
      <c r="I1207" s="2">
        <v>1</v>
      </c>
      <c r="J1207" s="2">
        <v>1692</v>
      </c>
      <c r="K1207" s="2">
        <v>4</v>
      </c>
      <c r="L1207" s="2" t="s">
        <v>46</v>
      </c>
      <c r="M1207" s="2">
        <v>95</v>
      </c>
      <c r="N1207" s="2">
        <v>3</v>
      </c>
      <c r="O1207" s="2">
        <v>1</v>
      </c>
      <c r="P1207" s="2" t="s">
        <v>50</v>
      </c>
      <c r="Q1207" s="2">
        <v>2</v>
      </c>
      <c r="R1207" s="2" t="s">
        <v>41</v>
      </c>
      <c r="S1207" s="2">
        <v>1393</v>
      </c>
      <c r="T1207" s="2">
        <v>24852</v>
      </c>
      <c r="U1207" s="2">
        <v>1</v>
      </c>
      <c r="V1207" s="2" t="s">
        <v>42</v>
      </c>
      <c r="W1207" s="2" t="s">
        <v>43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</row>
    <row r="1208" spans="1:35" x14ac:dyDescent="0.25">
      <c r="A1208" s="2">
        <v>26</v>
      </c>
      <c r="B1208" s="2" t="s">
        <v>43</v>
      </c>
      <c r="C1208" s="2" t="s">
        <v>55</v>
      </c>
      <c r="D1208" s="2">
        <v>786</v>
      </c>
      <c r="E1208" s="2" t="s">
        <v>45</v>
      </c>
      <c r="F1208" s="2">
        <v>7</v>
      </c>
      <c r="G1208" s="2">
        <v>3</v>
      </c>
      <c r="H1208" s="2" t="s">
        <v>51</v>
      </c>
      <c r="I1208" s="2">
        <v>1</v>
      </c>
      <c r="J1208" s="2">
        <v>1693</v>
      </c>
      <c r="K1208" s="2">
        <v>4</v>
      </c>
      <c r="L1208" s="2" t="s">
        <v>46</v>
      </c>
      <c r="M1208" s="2">
        <v>76</v>
      </c>
      <c r="N1208" s="2">
        <v>3</v>
      </c>
      <c r="O1208" s="2">
        <v>1</v>
      </c>
      <c r="P1208" s="2" t="s">
        <v>50</v>
      </c>
      <c r="Q1208" s="2">
        <v>4</v>
      </c>
      <c r="R1208" s="2" t="s">
        <v>41</v>
      </c>
      <c r="S1208" s="2">
        <v>2570</v>
      </c>
      <c r="T1208" s="2">
        <v>11925</v>
      </c>
      <c r="U1208" s="2">
        <v>1</v>
      </c>
      <c r="V1208" s="2" t="s">
        <v>42</v>
      </c>
      <c r="W1208" s="2" t="s">
        <v>43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</row>
    <row r="1209" spans="1:35" x14ac:dyDescent="0.25">
      <c r="A1209" s="2">
        <v>55</v>
      </c>
      <c r="B1209" s="2" t="s">
        <v>43</v>
      </c>
      <c r="C1209" s="2" t="s">
        <v>36</v>
      </c>
      <c r="D1209" s="2">
        <v>1441</v>
      </c>
      <c r="E1209" s="2" t="s">
        <v>45</v>
      </c>
      <c r="F1209" s="2">
        <v>22</v>
      </c>
      <c r="G1209" s="2">
        <v>3</v>
      </c>
      <c r="H1209" s="2" t="s">
        <v>60</v>
      </c>
      <c r="I1209" s="2">
        <v>1</v>
      </c>
      <c r="J1209" s="2">
        <v>1694</v>
      </c>
      <c r="K1209" s="2">
        <v>1</v>
      </c>
      <c r="L1209" s="2" t="s">
        <v>46</v>
      </c>
      <c r="M1209" s="2">
        <v>94</v>
      </c>
      <c r="N1209" s="2">
        <v>2</v>
      </c>
      <c r="O1209" s="2">
        <v>1</v>
      </c>
      <c r="P1209" s="2" t="s">
        <v>47</v>
      </c>
      <c r="Q1209" s="2">
        <v>2</v>
      </c>
      <c r="R1209" s="2" t="s">
        <v>52</v>
      </c>
      <c r="S1209" s="2">
        <v>3537</v>
      </c>
      <c r="T1209" s="2">
        <v>23737</v>
      </c>
      <c r="U1209" s="2">
        <v>5</v>
      </c>
      <c r="V1209" s="2" t="s">
        <v>42</v>
      </c>
      <c r="W1209" s="2" t="s">
        <v>43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</row>
    <row r="1210" spans="1:35" x14ac:dyDescent="0.25">
      <c r="A1210" s="2">
        <v>34</v>
      </c>
      <c r="B1210" s="2" t="s">
        <v>43</v>
      </c>
      <c r="C1210" s="2" t="s">
        <v>36</v>
      </c>
      <c r="D1210" s="2">
        <v>1157</v>
      </c>
      <c r="E1210" s="2" t="s">
        <v>45</v>
      </c>
      <c r="F1210" s="2">
        <v>5</v>
      </c>
      <c r="G1210" s="2">
        <v>2</v>
      </c>
      <c r="H1210" s="2" t="s">
        <v>51</v>
      </c>
      <c r="I1210" s="2">
        <v>1</v>
      </c>
      <c r="J1210" s="2">
        <v>1696</v>
      </c>
      <c r="K1210" s="2">
        <v>2</v>
      </c>
      <c r="L1210" s="2" t="s">
        <v>46</v>
      </c>
      <c r="M1210" s="2">
        <v>57</v>
      </c>
      <c r="N1210" s="2">
        <v>2</v>
      </c>
      <c r="O1210" s="2">
        <v>2</v>
      </c>
      <c r="P1210" s="2" t="s">
        <v>50</v>
      </c>
      <c r="Q1210" s="2">
        <v>4</v>
      </c>
      <c r="R1210" s="2" t="s">
        <v>48</v>
      </c>
      <c r="S1210" s="2">
        <v>3986</v>
      </c>
      <c r="T1210" s="2">
        <v>11912</v>
      </c>
      <c r="U1210" s="2">
        <v>1</v>
      </c>
      <c r="V1210" s="2" t="s">
        <v>42</v>
      </c>
      <c r="W1210" s="2" t="s">
        <v>43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</row>
    <row r="1211" spans="1:35" x14ac:dyDescent="0.25">
      <c r="A1211" s="2">
        <v>60</v>
      </c>
      <c r="B1211" s="2" t="s">
        <v>43</v>
      </c>
      <c r="C1211" s="2" t="s">
        <v>36</v>
      </c>
      <c r="D1211" s="2">
        <v>370</v>
      </c>
      <c r="E1211" s="2" t="s">
        <v>45</v>
      </c>
      <c r="F1211" s="2">
        <v>1</v>
      </c>
      <c r="G1211" s="2">
        <v>4</v>
      </c>
      <c r="H1211" s="2" t="s">
        <v>51</v>
      </c>
      <c r="I1211" s="2">
        <v>1</v>
      </c>
      <c r="J1211" s="2">
        <v>1697</v>
      </c>
      <c r="K1211" s="2">
        <v>3</v>
      </c>
      <c r="L1211" s="2" t="s">
        <v>46</v>
      </c>
      <c r="M1211" s="2">
        <v>92</v>
      </c>
      <c r="N1211" s="2">
        <v>1</v>
      </c>
      <c r="O1211" s="2">
        <v>3</v>
      </c>
      <c r="P1211" s="2" t="s">
        <v>54</v>
      </c>
      <c r="Q1211" s="2">
        <v>4</v>
      </c>
      <c r="R1211" s="2" t="s">
        <v>52</v>
      </c>
      <c r="S1211" s="2">
        <v>10883</v>
      </c>
      <c r="T1211" s="2">
        <v>20467</v>
      </c>
      <c r="U1211" s="2">
        <v>3</v>
      </c>
      <c r="V1211" s="2" t="s">
        <v>42</v>
      </c>
      <c r="W1211" s="2" t="s">
        <v>43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</row>
    <row r="1212" spans="1:35" x14ac:dyDescent="0.25">
      <c r="A1212" s="2">
        <v>33</v>
      </c>
      <c r="B1212" s="2" t="s">
        <v>43</v>
      </c>
      <c r="C1212" s="2" t="s">
        <v>36</v>
      </c>
      <c r="D1212" s="2">
        <v>267</v>
      </c>
      <c r="E1212" s="2" t="s">
        <v>45</v>
      </c>
      <c r="F1212" s="2">
        <v>21</v>
      </c>
      <c r="G1212" s="2">
        <v>3</v>
      </c>
      <c r="H1212" s="2" t="s">
        <v>51</v>
      </c>
      <c r="I1212" s="2">
        <v>1</v>
      </c>
      <c r="J1212" s="2">
        <v>1698</v>
      </c>
      <c r="K1212" s="2">
        <v>2</v>
      </c>
      <c r="L1212" s="2" t="s">
        <v>46</v>
      </c>
      <c r="M1212" s="2">
        <v>79</v>
      </c>
      <c r="N1212" s="2">
        <v>4</v>
      </c>
      <c r="O1212" s="2">
        <v>1</v>
      </c>
      <c r="P1212" s="2" t="s">
        <v>50</v>
      </c>
      <c r="Q1212" s="2">
        <v>2</v>
      </c>
      <c r="R1212" s="2" t="s">
        <v>48</v>
      </c>
      <c r="S1212" s="2">
        <v>2028</v>
      </c>
      <c r="T1212" s="2">
        <v>13637</v>
      </c>
      <c r="U1212" s="2">
        <v>1</v>
      </c>
      <c r="V1212" s="2" t="s">
        <v>42</v>
      </c>
      <c r="W1212" s="2" t="s">
        <v>43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</row>
    <row r="1213" spans="1:35" x14ac:dyDescent="0.25">
      <c r="A1213" s="2">
        <v>37</v>
      </c>
      <c r="B1213" s="2" t="s">
        <v>43</v>
      </c>
      <c r="C1213" s="2" t="s">
        <v>44</v>
      </c>
      <c r="D1213" s="2">
        <v>1278</v>
      </c>
      <c r="E1213" s="2" t="s">
        <v>37</v>
      </c>
      <c r="F1213" s="2">
        <v>1</v>
      </c>
      <c r="G1213" s="2">
        <v>4</v>
      </c>
      <c r="H1213" s="2" t="s">
        <v>51</v>
      </c>
      <c r="I1213" s="2">
        <v>1</v>
      </c>
      <c r="J1213" s="2">
        <v>1700</v>
      </c>
      <c r="K1213" s="2">
        <v>3</v>
      </c>
      <c r="L1213" s="2" t="s">
        <v>46</v>
      </c>
      <c r="M1213" s="2">
        <v>31</v>
      </c>
      <c r="N1213" s="2">
        <v>1</v>
      </c>
      <c r="O1213" s="2">
        <v>2</v>
      </c>
      <c r="P1213" s="2" t="s">
        <v>40</v>
      </c>
      <c r="Q1213" s="2">
        <v>4</v>
      </c>
      <c r="R1213" s="2" t="s">
        <v>52</v>
      </c>
      <c r="S1213" s="2">
        <v>9525</v>
      </c>
      <c r="T1213" s="2">
        <v>7677</v>
      </c>
      <c r="U1213" s="2">
        <v>1</v>
      </c>
      <c r="V1213" s="2" t="s">
        <v>42</v>
      </c>
      <c r="W1213" s="2" t="s">
        <v>43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</row>
    <row r="1214" spans="1:35" x14ac:dyDescent="0.25">
      <c r="A1214" s="2">
        <v>34</v>
      </c>
      <c r="B1214" s="2" t="s">
        <v>43</v>
      </c>
      <c r="C1214" s="2" t="s">
        <v>36</v>
      </c>
      <c r="D1214" s="2">
        <v>678</v>
      </c>
      <c r="E1214" s="2" t="s">
        <v>45</v>
      </c>
      <c r="F1214" s="2">
        <v>19</v>
      </c>
      <c r="G1214" s="2">
        <v>3</v>
      </c>
      <c r="H1214" s="2" t="s">
        <v>38</v>
      </c>
      <c r="I1214" s="2">
        <v>1</v>
      </c>
      <c r="J1214" s="2">
        <v>1701</v>
      </c>
      <c r="K1214" s="2">
        <v>2</v>
      </c>
      <c r="L1214" s="2" t="s">
        <v>39</v>
      </c>
      <c r="M1214" s="2">
        <v>35</v>
      </c>
      <c r="N1214" s="2">
        <v>2</v>
      </c>
      <c r="O1214" s="2">
        <v>1</v>
      </c>
      <c r="P1214" s="2" t="s">
        <v>47</v>
      </c>
      <c r="Q1214" s="2">
        <v>4</v>
      </c>
      <c r="R1214" s="2" t="s">
        <v>48</v>
      </c>
      <c r="S1214" s="2">
        <v>2929</v>
      </c>
      <c r="T1214" s="2">
        <v>20338</v>
      </c>
      <c r="U1214" s="2">
        <v>1</v>
      </c>
      <c r="V1214" s="2" t="s">
        <v>42</v>
      </c>
      <c r="W1214" s="2" t="s">
        <v>43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</row>
    <row r="1215" spans="1:35" x14ac:dyDescent="0.25">
      <c r="A1215" s="2">
        <v>23</v>
      </c>
      <c r="B1215" s="2" t="s">
        <v>35</v>
      </c>
      <c r="C1215" s="2" t="s">
        <v>36</v>
      </c>
      <c r="D1215" s="2">
        <v>427</v>
      </c>
      <c r="E1215" s="2" t="s">
        <v>37</v>
      </c>
      <c r="F1215" s="2">
        <v>7</v>
      </c>
      <c r="G1215" s="2">
        <v>3</v>
      </c>
      <c r="H1215" s="2" t="s">
        <v>38</v>
      </c>
      <c r="I1215" s="2">
        <v>1</v>
      </c>
      <c r="J1215" s="2">
        <v>1702</v>
      </c>
      <c r="K1215" s="2">
        <v>3</v>
      </c>
      <c r="L1215" s="2" t="s">
        <v>46</v>
      </c>
      <c r="M1215" s="2">
        <v>99</v>
      </c>
      <c r="N1215" s="2">
        <v>3</v>
      </c>
      <c r="O1215" s="2">
        <v>1</v>
      </c>
      <c r="P1215" s="2" t="s">
        <v>57</v>
      </c>
      <c r="Q1215" s="2">
        <v>4</v>
      </c>
      <c r="R1215" s="2" t="s">
        <v>52</v>
      </c>
      <c r="S1215" s="2">
        <v>2275</v>
      </c>
      <c r="T1215" s="2">
        <v>25103</v>
      </c>
      <c r="U1215" s="2">
        <v>1</v>
      </c>
      <c r="V1215" s="2" t="s">
        <v>42</v>
      </c>
      <c r="W1215" s="2" t="s">
        <v>35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</row>
    <row r="1216" spans="1:35" x14ac:dyDescent="0.25">
      <c r="A1216" s="2">
        <v>44</v>
      </c>
      <c r="B1216" s="2" t="s">
        <v>43</v>
      </c>
      <c r="C1216" s="2" t="s">
        <v>36</v>
      </c>
      <c r="D1216" s="2">
        <v>921</v>
      </c>
      <c r="E1216" s="2" t="s">
        <v>45</v>
      </c>
      <c r="F1216" s="2">
        <v>2</v>
      </c>
      <c r="G1216" s="2">
        <v>3</v>
      </c>
      <c r="H1216" s="2" t="s">
        <v>38</v>
      </c>
      <c r="I1216" s="2">
        <v>1</v>
      </c>
      <c r="J1216" s="2">
        <v>1703</v>
      </c>
      <c r="K1216" s="2">
        <v>3</v>
      </c>
      <c r="L1216" s="2" t="s">
        <v>39</v>
      </c>
      <c r="M1216" s="2">
        <v>96</v>
      </c>
      <c r="N1216" s="2">
        <v>4</v>
      </c>
      <c r="O1216" s="2">
        <v>3</v>
      </c>
      <c r="P1216" s="2" t="s">
        <v>54</v>
      </c>
      <c r="Q1216" s="2">
        <v>4</v>
      </c>
      <c r="R1216" s="2" t="s">
        <v>48</v>
      </c>
      <c r="S1216" s="2">
        <v>7879</v>
      </c>
      <c r="T1216" s="2">
        <v>14810</v>
      </c>
      <c r="U1216" s="2">
        <v>1</v>
      </c>
      <c r="V1216" s="2" t="s">
        <v>42</v>
      </c>
      <c r="W1216" s="2" t="s">
        <v>35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</row>
    <row r="1217" spans="1:35" x14ac:dyDescent="0.25">
      <c r="A1217" s="2">
        <v>35</v>
      </c>
      <c r="B1217" s="2" t="s">
        <v>43</v>
      </c>
      <c r="C1217" s="2" t="s">
        <v>44</v>
      </c>
      <c r="D1217" s="2">
        <v>146</v>
      </c>
      <c r="E1217" s="2" t="s">
        <v>45</v>
      </c>
      <c r="F1217" s="2">
        <v>2</v>
      </c>
      <c r="G1217" s="2">
        <v>4</v>
      </c>
      <c r="H1217" s="2" t="s">
        <v>51</v>
      </c>
      <c r="I1217" s="2">
        <v>1</v>
      </c>
      <c r="J1217" s="2">
        <v>1704</v>
      </c>
      <c r="K1217" s="2">
        <v>1</v>
      </c>
      <c r="L1217" s="2" t="s">
        <v>46</v>
      </c>
      <c r="M1217" s="2">
        <v>79</v>
      </c>
      <c r="N1217" s="2">
        <v>2</v>
      </c>
      <c r="O1217" s="2">
        <v>1</v>
      </c>
      <c r="P1217" s="2" t="s">
        <v>47</v>
      </c>
      <c r="Q1217" s="2">
        <v>4</v>
      </c>
      <c r="R1217" s="2" t="s">
        <v>41</v>
      </c>
      <c r="S1217" s="2">
        <v>4930</v>
      </c>
      <c r="T1217" s="2">
        <v>13970</v>
      </c>
      <c r="U1217" s="2">
        <v>0</v>
      </c>
      <c r="V1217" s="2" t="s">
        <v>42</v>
      </c>
      <c r="W1217" s="2" t="s">
        <v>35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</row>
    <row r="1218" spans="1:35" x14ac:dyDescent="0.25">
      <c r="A1218" s="2">
        <v>43</v>
      </c>
      <c r="B1218" s="2" t="s">
        <v>43</v>
      </c>
      <c r="C1218" s="2" t="s">
        <v>36</v>
      </c>
      <c r="D1218" s="2">
        <v>1179</v>
      </c>
      <c r="E1218" s="2" t="s">
        <v>37</v>
      </c>
      <c r="F1218" s="2">
        <v>2</v>
      </c>
      <c r="G1218" s="2">
        <v>3</v>
      </c>
      <c r="H1218" s="2" t="s">
        <v>51</v>
      </c>
      <c r="I1218" s="2">
        <v>1</v>
      </c>
      <c r="J1218" s="2">
        <v>1706</v>
      </c>
      <c r="K1218" s="2">
        <v>4</v>
      </c>
      <c r="L1218" s="2" t="s">
        <v>46</v>
      </c>
      <c r="M1218" s="2">
        <v>73</v>
      </c>
      <c r="N1218" s="2">
        <v>3</v>
      </c>
      <c r="O1218" s="2">
        <v>2</v>
      </c>
      <c r="P1218" s="2" t="s">
        <v>40</v>
      </c>
      <c r="Q1218" s="2">
        <v>4</v>
      </c>
      <c r="R1218" s="2" t="s">
        <v>48</v>
      </c>
      <c r="S1218" s="2">
        <v>7847</v>
      </c>
      <c r="T1218" s="2">
        <v>6069</v>
      </c>
      <c r="U1218" s="2">
        <v>1</v>
      </c>
      <c r="V1218" s="2" t="s">
        <v>42</v>
      </c>
      <c r="W1218" s="2" t="s">
        <v>35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</row>
    <row r="1219" spans="1:35" x14ac:dyDescent="0.25">
      <c r="A1219" s="2">
        <v>24</v>
      </c>
      <c r="B1219" s="2" t="s">
        <v>43</v>
      </c>
      <c r="C1219" s="2" t="s">
        <v>36</v>
      </c>
      <c r="D1219" s="2">
        <v>581</v>
      </c>
      <c r="E1219" s="2" t="s">
        <v>45</v>
      </c>
      <c r="F1219" s="2">
        <v>9</v>
      </c>
      <c r="G1219" s="2">
        <v>3</v>
      </c>
      <c r="H1219" s="2" t="s">
        <v>51</v>
      </c>
      <c r="I1219" s="2">
        <v>1</v>
      </c>
      <c r="J1219" s="2">
        <v>1707</v>
      </c>
      <c r="K1219" s="2">
        <v>3</v>
      </c>
      <c r="L1219" s="2" t="s">
        <v>46</v>
      </c>
      <c r="M1219" s="2">
        <v>62</v>
      </c>
      <c r="N1219" s="2">
        <v>4</v>
      </c>
      <c r="O1219" s="2">
        <v>1</v>
      </c>
      <c r="P1219" s="2" t="s">
        <v>47</v>
      </c>
      <c r="Q1219" s="2">
        <v>3</v>
      </c>
      <c r="R1219" s="2" t="s">
        <v>48</v>
      </c>
      <c r="S1219" s="2">
        <v>4401</v>
      </c>
      <c r="T1219" s="2">
        <v>17616</v>
      </c>
      <c r="U1219" s="2">
        <v>1</v>
      </c>
      <c r="V1219" s="2" t="s">
        <v>42</v>
      </c>
      <c r="W1219" s="2" t="s">
        <v>43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</row>
    <row r="1220" spans="1:35" x14ac:dyDescent="0.25">
      <c r="A1220" s="2">
        <v>41</v>
      </c>
      <c r="B1220" s="2" t="s">
        <v>43</v>
      </c>
      <c r="C1220" s="2" t="s">
        <v>36</v>
      </c>
      <c r="D1220" s="2">
        <v>918</v>
      </c>
      <c r="E1220" s="2" t="s">
        <v>37</v>
      </c>
      <c r="F1220" s="2">
        <v>6</v>
      </c>
      <c r="G1220" s="2">
        <v>3</v>
      </c>
      <c r="H1220" s="2" t="s">
        <v>59</v>
      </c>
      <c r="I1220" s="2">
        <v>1</v>
      </c>
      <c r="J1220" s="2">
        <v>1708</v>
      </c>
      <c r="K1220" s="2">
        <v>4</v>
      </c>
      <c r="L1220" s="2" t="s">
        <v>46</v>
      </c>
      <c r="M1220" s="2">
        <v>35</v>
      </c>
      <c r="N1220" s="2">
        <v>3</v>
      </c>
      <c r="O1220" s="2">
        <v>3</v>
      </c>
      <c r="P1220" s="2" t="s">
        <v>40</v>
      </c>
      <c r="Q1220" s="2">
        <v>3</v>
      </c>
      <c r="R1220" s="2" t="s">
        <v>41</v>
      </c>
      <c r="S1220" s="2">
        <v>9241</v>
      </c>
      <c r="T1220" s="2">
        <v>15869</v>
      </c>
      <c r="U1220" s="2">
        <v>1</v>
      </c>
      <c r="V1220" s="2" t="s">
        <v>42</v>
      </c>
      <c r="W1220" s="2" t="s">
        <v>43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</row>
    <row r="1221" spans="1:35" x14ac:dyDescent="0.25">
      <c r="A1221" s="2">
        <v>29</v>
      </c>
      <c r="B1221" s="2" t="s">
        <v>43</v>
      </c>
      <c r="C1221" s="2" t="s">
        <v>36</v>
      </c>
      <c r="D1221" s="2">
        <v>1082</v>
      </c>
      <c r="E1221" s="2" t="s">
        <v>45</v>
      </c>
      <c r="F1221" s="2">
        <v>9</v>
      </c>
      <c r="G1221" s="2">
        <v>4</v>
      </c>
      <c r="H1221" s="2" t="s">
        <v>51</v>
      </c>
      <c r="I1221" s="2">
        <v>1</v>
      </c>
      <c r="J1221" s="2">
        <v>1709</v>
      </c>
      <c r="K1221" s="2">
        <v>4</v>
      </c>
      <c r="L1221" s="2" t="s">
        <v>39</v>
      </c>
      <c r="M1221" s="2">
        <v>43</v>
      </c>
      <c r="N1221" s="2">
        <v>3</v>
      </c>
      <c r="O1221" s="2">
        <v>1</v>
      </c>
      <c r="P1221" s="2" t="s">
        <v>50</v>
      </c>
      <c r="Q1221" s="2">
        <v>3</v>
      </c>
      <c r="R1221" s="2" t="s">
        <v>48</v>
      </c>
      <c r="S1221" s="2">
        <v>2974</v>
      </c>
      <c r="T1221" s="2">
        <v>25412</v>
      </c>
      <c r="U1221" s="2">
        <v>9</v>
      </c>
      <c r="V1221" s="2" t="s">
        <v>42</v>
      </c>
      <c r="W1221" s="2" t="s">
        <v>43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</row>
    <row r="1222" spans="1:35" x14ac:dyDescent="0.25">
      <c r="A1222" s="2">
        <v>36</v>
      </c>
      <c r="B1222" s="2" t="s">
        <v>43</v>
      </c>
      <c r="C1222" s="2" t="s">
        <v>36</v>
      </c>
      <c r="D1222" s="2">
        <v>530</v>
      </c>
      <c r="E1222" s="2" t="s">
        <v>37</v>
      </c>
      <c r="F1222" s="2">
        <v>2</v>
      </c>
      <c r="G1222" s="2">
        <v>4</v>
      </c>
      <c r="H1222" s="2" t="s">
        <v>38</v>
      </c>
      <c r="I1222" s="2">
        <v>1</v>
      </c>
      <c r="J1222" s="2">
        <v>1710</v>
      </c>
      <c r="K1222" s="2">
        <v>3</v>
      </c>
      <c r="L1222" s="2" t="s">
        <v>39</v>
      </c>
      <c r="M1222" s="2">
        <v>51</v>
      </c>
      <c r="N1222" s="2">
        <v>3</v>
      </c>
      <c r="O1222" s="2">
        <v>2</v>
      </c>
      <c r="P1222" s="2" t="s">
        <v>57</v>
      </c>
      <c r="Q1222" s="2">
        <v>4</v>
      </c>
      <c r="R1222" s="2" t="s">
        <v>41</v>
      </c>
      <c r="S1222" s="2">
        <v>4502</v>
      </c>
      <c r="T1222" s="2">
        <v>7439</v>
      </c>
      <c r="U1222" s="2">
        <v>3</v>
      </c>
      <c r="V1222" s="2" t="s">
        <v>42</v>
      </c>
      <c r="W1222" s="2" t="s">
        <v>43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</row>
    <row r="1223" spans="1:35" x14ac:dyDescent="0.25">
      <c r="A1223" s="2">
        <v>45</v>
      </c>
      <c r="B1223" s="2" t="s">
        <v>43</v>
      </c>
      <c r="C1223" s="2" t="s">
        <v>55</v>
      </c>
      <c r="D1223" s="2">
        <v>1238</v>
      </c>
      <c r="E1223" s="2" t="s">
        <v>45</v>
      </c>
      <c r="F1223" s="2">
        <v>1</v>
      </c>
      <c r="G1223" s="2">
        <v>1</v>
      </c>
      <c r="H1223" s="2" t="s">
        <v>38</v>
      </c>
      <c r="I1223" s="2">
        <v>1</v>
      </c>
      <c r="J1223" s="2">
        <v>1712</v>
      </c>
      <c r="K1223" s="2">
        <v>3</v>
      </c>
      <c r="L1223" s="2" t="s">
        <v>46</v>
      </c>
      <c r="M1223" s="2">
        <v>74</v>
      </c>
      <c r="N1223" s="2">
        <v>2</v>
      </c>
      <c r="O1223" s="2">
        <v>3</v>
      </c>
      <c r="P1223" s="2" t="s">
        <v>54</v>
      </c>
      <c r="Q1223" s="2">
        <v>3</v>
      </c>
      <c r="R1223" s="2" t="s">
        <v>48</v>
      </c>
      <c r="S1223" s="2">
        <v>10748</v>
      </c>
      <c r="T1223" s="2">
        <v>3395</v>
      </c>
      <c r="U1223" s="2">
        <v>3</v>
      </c>
      <c r="V1223" s="2" t="s">
        <v>42</v>
      </c>
      <c r="W1223" s="2" t="s">
        <v>43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</row>
    <row r="1224" spans="1:35" x14ac:dyDescent="0.25">
      <c r="A1224" s="2">
        <v>24</v>
      </c>
      <c r="B1224" s="2" t="s">
        <v>35</v>
      </c>
      <c r="C1224" s="2" t="s">
        <v>36</v>
      </c>
      <c r="D1224" s="2">
        <v>240</v>
      </c>
      <c r="E1224" s="2" t="s">
        <v>61</v>
      </c>
      <c r="F1224" s="2">
        <v>22</v>
      </c>
      <c r="G1224" s="2">
        <v>1</v>
      </c>
      <c r="H1224" s="2" t="s">
        <v>61</v>
      </c>
      <c r="I1224" s="2">
        <v>1</v>
      </c>
      <c r="J1224" s="2">
        <v>1714</v>
      </c>
      <c r="K1224" s="2">
        <v>4</v>
      </c>
      <c r="L1224" s="2" t="s">
        <v>46</v>
      </c>
      <c r="M1224" s="2">
        <v>58</v>
      </c>
      <c r="N1224" s="2">
        <v>1</v>
      </c>
      <c r="O1224" s="2">
        <v>1</v>
      </c>
      <c r="P1224" s="2" t="s">
        <v>61</v>
      </c>
      <c r="Q1224" s="2">
        <v>3</v>
      </c>
      <c r="R1224" s="2" t="s">
        <v>48</v>
      </c>
      <c r="S1224" s="2">
        <v>1555</v>
      </c>
      <c r="T1224" s="2">
        <v>11585</v>
      </c>
      <c r="U1224" s="2">
        <v>1</v>
      </c>
      <c r="V1224" s="2" t="s">
        <v>42</v>
      </c>
      <c r="W1224" s="2" t="s">
        <v>43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</row>
    <row r="1225" spans="1:35" x14ac:dyDescent="0.25">
      <c r="A1225" s="2">
        <v>47</v>
      </c>
      <c r="B1225" s="2" t="s">
        <v>35</v>
      </c>
      <c r="C1225" s="2" t="s">
        <v>44</v>
      </c>
      <c r="D1225" s="2">
        <v>1093</v>
      </c>
      <c r="E1225" s="2" t="s">
        <v>37</v>
      </c>
      <c r="F1225" s="2">
        <v>9</v>
      </c>
      <c r="G1225" s="2">
        <v>3</v>
      </c>
      <c r="H1225" s="2" t="s">
        <v>38</v>
      </c>
      <c r="I1225" s="2">
        <v>1</v>
      </c>
      <c r="J1225" s="2">
        <v>1716</v>
      </c>
      <c r="K1225" s="2">
        <v>3</v>
      </c>
      <c r="L1225" s="2" t="s">
        <v>46</v>
      </c>
      <c r="M1225" s="2">
        <v>82</v>
      </c>
      <c r="N1225" s="2">
        <v>1</v>
      </c>
      <c r="O1225" s="2">
        <v>4</v>
      </c>
      <c r="P1225" s="2" t="s">
        <v>40</v>
      </c>
      <c r="Q1225" s="2">
        <v>3</v>
      </c>
      <c r="R1225" s="2" t="s">
        <v>48</v>
      </c>
      <c r="S1225" s="2">
        <v>12936</v>
      </c>
      <c r="T1225" s="2">
        <v>24164</v>
      </c>
      <c r="U1225" s="2">
        <v>7</v>
      </c>
      <c r="V1225" s="2" t="s">
        <v>42</v>
      </c>
      <c r="W1225" s="2" t="s">
        <v>43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</row>
    <row r="1226" spans="1:35" x14ac:dyDescent="0.25">
      <c r="A1226" s="2">
        <v>26</v>
      </c>
      <c r="B1226" s="2" t="s">
        <v>43</v>
      </c>
      <c r="C1226" s="2" t="s">
        <v>36</v>
      </c>
      <c r="D1226" s="2">
        <v>390</v>
      </c>
      <c r="E1226" s="2" t="s">
        <v>45</v>
      </c>
      <c r="F1226" s="2">
        <v>17</v>
      </c>
      <c r="G1226" s="2">
        <v>4</v>
      </c>
      <c r="H1226" s="2" t="s">
        <v>51</v>
      </c>
      <c r="I1226" s="2">
        <v>1</v>
      </c>
      <c r="J1226" s="2">
        <v>1718</v>
      </c>
      <c r="K1226" s="2">
        <v>4</v>
      </c>
      <c r="L1226" s="2" t="s">
        <v>46</v>
      </c>
      <c r="M1226" s="2">
        <v>62</v>
      </c>
      <c r="N1226" s="2">
        <v>1</v>
      </c>
      <c r="O1226" s="2">
        <v>1</v>
      </c>
      <c r="P1226" s="2" t="s">
        <v>50</v>
      </c>
      <c r="Q1226" s="2">
        <v>3</v>
      </c>
      <c r="R1226" s="2" t="s">
        <v>48</v>
      </c>
      <c r="S1226" s="2">
        <v>2305</v>
      </c>
      <c r="T1226" s="2">
        <v>6217</v>
      </c>
      <c r="U1226" s="2">
        <v>1</v>
      </c>
      <c r="V1226" s="2" t="s">
        <v>42</v>
      </c>
      <c r="W1226" s="2" t="s">
        <v>43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</row>
    <row r="1227" spans="1:35" x14ac:dyDescent="0.25">
      <c r="A1227" s="2">
        <v>45</v>
      </c>
      <c r="B1227" s="2" t="s">
        <v>43</v>
      </c>
      <c r="C1227" s="2" t="s">
        <v>36</v>
      </c>
      <c r="D1227" s="2">
        <v>1005</v>
      </c>
      <c r="E1227" s="2" t="s">
        <v>45</v>
      </c>
      <c r="F1227" s="2">
        <v>28</v>
      </c>
      <c r="G1227" s="2">
        <v>2</v>
      </c>
      <c r="H1227" s="2" t="s">
        <v>60</v>
      </c>
      <c r="I1227" s="2">
        <v>1</v>
      </c>
      <c r="J1227" s="2">
        <v>1719</v>
      </c>
      <c r="K1227" s="2">
        <v>4</v>
      </c>
      <c r="L1227" s="2" t="s">
        <v>39</v>
      </c>
      <c r="M1227" s="2">
        <v>48</v>
      </c>
      <c r="N1227" s="2">
        <v>2</v>
      </c>
      <c r="O1227" s="2">
        <v>4</v>
      </c>
      <c r="P1227" s="2" t="s">
        <v>58</v>
      </c>
      <c r="Q1227" s="2">
        <v>2</v>
      </c>
      <c r="R1227" s="2" t="s">
        <v>41</v>
      </c>
      <c r="S1227" s="2">
        <v>16704</v>
      </c>
      <c r="T1227" s="2">
        <v>17119</v>
      </c>
      <c r="U1227" s="2">
        <v>1</v>
      </c>
      <c r="V1227" s="2" t="s">
        <v>42</v>
      </c>
      <c r="W1227" s="2" t="s">
        <v>43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</row>
    <row r="1228" spans="1:35" x14ac:dyDescent="0.25">
      <c r="A1228" s="2">
        <v>32</v>
      </c>
      <c r="B1228" s="2" t="s">
        <v>43</v>
      </c>
      <c r="C1228" s="2" t="s">
        <v>44</v>
      </c>
      <c r="D1228" s="2">
        <v>585</v>
      </c>
      <c r="E1228" s="2" t="s">
        <v>45</v>
      </c>
      <c r="F1228" s="2">
        <v>10</v>
      </c>
      <c r="G1228" s="2">
        <v>3</v>
      </c>
      <c r="H1228" s="2" t="s">
        <v>38</v>
      </c>
      <c r="I1228" s="2">
        <v>1</v>
      </c>
      <c r="J1228" s="2">
        <v>1720</v>
      </c>
      <c r="K1228" s="2">
        <v>1</v>
      </c>
      <c r="L1228" s="2" t="s">
        <v>46</v>
      </c>
      <c r="M1228" s="2">
        <v>56</v>
      </c>
      <c r="N1228" s="2">
        <v>3</v>
      </c>
      <c r="O1228" s="2">
        <v>1</v>
      </c>
      <c r="P1228" s="2" t="s">
        <v>47</v>
      </c>
      <c r="Q1228" s="2">
        <v>3</v>
      </c>
      <c r="R1228" s="2" t="s">
        <v>48</v>
      </c>
      <c r="S1228" s="2">
        <v>3433</v>
      </c>
      <c r="T1228" s="2">
        <v>17360</v>
      </c>
      <c r="U1228" s="2">
        <v>6</v>
      </c>
      <c r="V1228" s="2" t="s">
        <v>42</v>
      </c>
      <c r="W1228" s="2" t="s">
        <v>43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</row>
    <row r="1229" spans="1:35" x14ac:dyDescent="0.25">
      <c r="A1229" s="2">
        <v>31</v>
      </c>
      <c r="B1229" s="2" t="s">
        <v>43</v>
      </c>
      <c r="C1229" s="2" t="s">
        <v>36</v>
      </c>
      <c r="D1229" s="2">
        <v>741</v>
      </c>
      <c r="E1229" s="2" t="s">
        <v>45</v>
      </c>
      <c r="F1229" s="2">
        <v>2</v>
      </c>
      <c r="G1229" s="2">
        <v>4</v>
      </c>
      <c r="H1229" s="2" t="s">
        <v>38</v>
      </c>
      <c r="I1229" s="2">
        <v>1</v>
      </c>
      <c r="J1229" s="2">
        <v>1721</v>
      </c>
      <c r="K1229" s="2">
        <v>2</v>
      </c>
      <c r="L1229" s="2" t="s">
        <v>46</v>
      </c>
      <c r="M1229" s="2">
        <v>69</v>
      </c>
      <c r="N1229" s="2">
        <v>3</v>
      </c>
      <c r="O1229" s="2">
        <v>1</v>
      </c>
      <c r="P1229" s="2" t="s">
        <v>50</v>
      </c>
      <c r="Q1229" s="2">
        <v>3</v>
      </c>
      <c r="R1229" s="2" t="s">
        <v>48</v>
      </c>
      <c r="S1229" s="2">
        <v>3477</v>
      </c>
      <c r="T1229" s="2">
        <v>18103</v>
      </c>
      <c r="U1229" s="2">
        <v>1</v>
      </c>
      <c r="V1229" s="2" t="s">
        <v>42</v>
      </c>
      <c r="W1229" s="2" t="s">
        <v>43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</row>
    <row r="1230" spans="1:35" x14ac:dyDescent="0.25">
      <c r="A1230" s="2">
        <v>41</v>
      </c>
      <c r="B1230" s="2" t="s">
        <v>43</v>
      </c>
      <c r="C1230" s="2" t="s">
        <v>55</v>
      </c>
      <c r="D1230" s="2">
        <v>552</v>
      </c>
      <c r="E1230" s="2" t="s">
        <v>61</v>
      </c>
      <c r="F1230" s="2">
        <v>4</v>
      </c>
      <c r="G1230" s="2">
        <v>3</v>
      </c>
      <c r="H1230" s="2" t="s">
        <v>61</v>
      </c>
      <c r="I1230" s="2">
        <v>1</v>
      </c>
      <c r="J1230" s="2">
        <v>1722</v>
      </c>
      <c r="K1230" s="2">
        <v>3</v>
      </c>
      <c r="L1230" s="2" t="s">
        <v>46</v>
      </c>
      <c r="M1230" s="2">
        <v>60</v>
      </c>
      <c r="N1230" s="2">
        <v>1</v>
      </c>
      <c r="O1230" s="2">
        <v>2</v>
      </c>
      <c r="P1230" s="2" t="s">
        <v>61</v>
      </c>
      <c r="Q1230" s="2">
        <v>2</v>
      </c>
      <c r="R1230" s="2" t="s">
        <v>48</v>
      </c>
      <c r="S1230" s="2">
        <v>6430</v>
      </c>
      <c r="T1230" s="2">
        <v>20794</v>
      </c>
      <c r="U1230" s="2">
        <v>6</v>
      </c>
      <c r="V1230" s="2" t="s">
        <v>42</v>
      </c>
      <c r="W1230" s="2" t="s">
        <v>43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</row>
    <row r="1231" spans="1:35" x14ac:dyDescent="0.25">
      <c r="A1231" s="2">
        <v>40</v>
      </c>
      <c r="B1231" s="2" t="s">
        <v>43</v>
      </c>
      <c r="C1231" s="2" t="s">
        <v>36</v>
      </c>
      <c r="D1231" s="2">
        <v>369</v>
      </c>
      <c r="E1231" s="2" t="s">
        <v>45</v>
      </c>
      <c r="F1231" s="2">
        <v>8</v>
      </c>
      <c r="G1231" s="2">
        <v>2</v>
      </c>
      <c r="H1231" s="2" t="s">
        <v>38</v>
      </c>
      <c r="I1231" s="2">
        <v>1</v>
      </c>
      <c r="J1231" s="2">
        <v>1724</v>
      </c>
      <c r="K1231" s="2">
        <v>2</v>
      </c>
      <c r="L1231" s="2" t="s">
        <v>39</v>
      </c>
      <c r="M1231" s="2">
        <v>92</v>
      </c>
      <c r="N1231" s="2">
        <v>3</v>
      </c>
      <c r="O1231" s="2">
        <v>2</v>
      </c>
      <c r="P1231" s="2" t="s">
        <v>53</v>
      </c>
      <c r="Q1231" s="2">
        <v>1</v>
      </c>
      <c r="R1231" s="2" t="s">
        <v>48</v>
      </c>
      <c r="S1231" s="2">
        <v>6516</v>
      </c>
      <c r="T1231" s="2">
        <v>5041</v>
      </c>
      <c r="U1231" s="2">
        <v>2</v>
      </c>
      <c r="V1231" s="2" t="s">
        <v>42</v>
      </c>
      <c r="W1231" s="2" t="s">
        <v>35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</row>
    <row r="1232" spans="1:35" x14ac:dyDescent="0.25">
      <c r="A1232" s="2">
        <v>24</v>
      </c>
      <c r="B1232" s="2" t="s">
        <v>43</v>
      </c>
      <c r="C1232" s="2" t="s">
        <v>36</v>
      </c>
      <c r="D1232" s="2">
        <v>506</v>
      </c>
      <c r="E1232" s="2" t="s">
        <v>45</v>
      </c>
      <c r="F1232" s="2">
        <v>29</v>
      </c>
      <c r="G1232" s="2">
        <v>1</v>
      </c>
      <c r="H1232" s="2" t="s">
        <v>51</v>
      </c>
      <c r="I1232" s="2">
        <v>1</v>
      </c>
      <c r="J1232" s="2">
        <v>1725</v>
      </c>
      <c r="K1232" s="2">
        <v>2</v>
      </c>
      <c r="L1232" s="2" t="s">
        <v>46</v>
      </c>
      <c r="M1232" s="2">
        <v>91</v>
      </c>
      <c r="N1232" s="2">
        <v>3</v>
      </c>
      <c r="O1232" s="2">
        <v>1</v>
      </c>
      <c r="P1232" s="2" t="s">
        <v>50</v>
      </c>
      <c r="Q1232" s="2">
        <v>1</v>
      </c>
      <c r="R1232" s="2" t="s">
        <v>52</v>
      </c>
      <c r="S1232" s="2">
        <v>3907</v>
      </c>
      <c r="T1232" s="2">
        <v>3622</v>
      </c>
      <c r="U1232" s="2">
        <v>1</v>
      </c>
      <c r="V1232" s="2" t="s">
        <v>42</v>
      </c>
      <c r="W1232" s="2" t="s">
        <v>43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</row>
    <row r="1233" spans="1:35" x14ac:dyDescent="0.25">
      <c r="A1233" s="2">
        <v>46</v>
      </c>
      <c r="B1233" s="2" t="s">
        <v>43</v>
      </c>
      <c r="C1233" s="2" t="s">
        <v>36</v>
      </c>
      <c r="D1233" s="2">
        <v>717</v>
      </c>
      <c r="E1233" s="2" t="s">
        <v>45</v>
      </c>
      <c r="F1233" s="2">
        <v>13</v>
      </c>
      <c r="G1233" s="2">
        <v>4</v>
      </c>
      <c r="H1233" s="2" t="s">
        <v>38</v>
      </c>
      <c r="I1233" s="2">
        <v>1</v>
      </c>
      <c r="J1233" s="2">
        <v>1727</v>
      </c>
      <c r="K1233" s="2">
        <v>3</v>
      </c>
      <c r="L1233" s="2" t="s">
        <v>46</v>
      </c>
      <c r="M1233" s="2">
        <v>34</v>
      </c>
      <c r="N1233" s="2">
        <v>3</v>
      </c>
      <c r="O1233" s="2">
        <v>2</v>
      </c>
      <c r="P1233" s="2" t="s">
        <v>54</v>
      </c>
      <c r="Q1233" s="2">
        <v>2</v>
      </c>
      <c r="R1233" s="2" t="s">
        <v>41</v>
      </c>
      <c r="S1233" s="2">
        <v>5562</v>
      </c>
      <c r="T1233" s="2">
        <v>9697</v>
      </c>
      <c r="U1233" s="2">
        <v>6</v>
      </c>
      <c r="V1233" s="2" t="s">
        <v>42</v>
      </c>
      <c r="W1233" s="2" t="s">
        <v>43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</row>
    <row r="1234" spans="1:35" x14ac:dyDescent="0.25">
      <c r="A1234" s="2">
        <v>35</v>
      </c>
      <c r="B1234" s="2" t="s">
        <v>43</v>
      </c>
      <c r="C1234" s="2" t="s">
        <v>36</v>
      </c>
      <c r="D1234" s="2">
        <v>1370</v>
      </c>
      <c r="E1234" s="2" t="s">
        <v>45</v>
      </c>
      <c r="F1234" s="2">
        <v>27</v>
      </c>
      <c r="G1234" s="2">
        <v>4</v>
      </c>
      <c r="H1234" s="2" t="s">
        <v>38</v>
      </c>
      <c r="I1234" s="2">
        <v>1</v>
      </c>
      <c r="J1234" s="2">
        <v>1728</v>
      </c>
      <c r="K1234" s="2">
        <v>4</v>
      </c>
      <c r="L1234" s="2" t="s">
        <v>46</v>
      </c>
      <c r="M1234" s="2">
        <v>49</v>
      </c>
      <c r="N1234" s="2">
        <v>3</v>
      </c>
      <c r="O1234" s="2">
        <v>2</v>
      </c>
      <c r="P1234" s="2" t="s">
        <v>53</v>
      </c>
      <c r="Q1234" s="2">
        <v>3</v>
      </c>
      <c r="R1234" s="2" t="s">
        <v>48</v>
      </c>
      <c r="S1234" s="2">
        <v>6883</v>
      </c>
      <c r="T1234" s="2">
        <v>5151</v>
      </c>
      <c r="U1234" s="2">
        <v>2</v>
      </c>
      <c r="V1234" s="2" t="s">
        <v>42</v>
      </c>
      <c r="W1234" s="2" t="s">
        <v>43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</row>
    <row r="1235" spans="1:35" x14ac:dyDescent="0.25">
      <c r="A1235" s="2">
        <v>30</v>
      </c>
      <c r="B1235" s="2" t="s">
        <v>43</v>
      </c>
      <c r="C1235" s="2" t="s">
        <v>36</v>
      </c>
      <c r="D1235" s="2">
        <v>793</v>
      </c>
      <c r="E1235" s="2" t="s">
        <v>45</v>
      </c>
      <c r="F1235" s="2">
        <v>16</v>
      </c>
      <c r="G1235" s="2">
        <v>1</v>
      </c>
      <c r="H1235" s="2" t="s">
        <v>38</v>
      </c>
      <c r="I1235" s="2">
        <v>1</v>
      </c>
      <c r="J1235" s="2">
        <v>1729</v>
      </c>
      <c r="K1235" s="2">
        <v>2</v>
      </c>
      <c r="L1235" s="2" t="s">
        <v>46</v>
      </c>
      <c r="M1235" s="2">
        <v>33</v>
      </c>
      <c r="N1235" s="2">
        <v>3</v>
      </c>
      <c r="O1235" s="2">
        <v>1</v>
      </c>
      <c r="P1235" s="2" t="s">
        <v>47</v>
      </c>
      <c r="Q1235" s="2">
        <v>4</v>
      </c>
      <c r="R1235" s="2" t="s">
        <v>48</v>
      </c>
      <c r="S1235" s="2">
        <v>2862</v>
      </c>
      <c r="T1235" s="2">
        <v>3811</v>
      </c>
      <c r="U1235" s="2">
        <v>1</v>
      </c>
      <c r="V1235" s="2" t="s">
        <v>42</v>
      </c>
      <c r="W1235" s="2" t="s">
        <v>43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</row>
    <row r="1236" spans="1:35" x14ac:dyDescent="0.25">
      <c r="A1236" s="2">
        <v>47</v>
      </c>
      <c r="B1236" s="2" t="s">
        <v>43</v>
      </c>
      <c r="C1236" s="2" t="s">
        <v>55</v>
      </c>
      <c r="D1236" s="2">
        <v>543</v>
      </c>
      <c r="E1236" s="2" t="s">
        <v>37</v>
      </c>
      <c r="F1236" s="2">
        <v>2</v>
      </c>
      <c r="G1236" s="2">
        <v>4</v>
      </c>
      <c r="H1236" s="2" t="s">
        <v>59</v>
      </c>
      <c r="I1236" s="2">
        <v>1</v>
      </c>
      <c r="J1236" s="2">
        <v>1731</v>
      </c>
      <c r="K1236" s="2">
        <v>3</v>
      </c>
      <c r="L1236" s="2" t="s">
        <v>46</v>
      </c>
      <c r="M1236" s="2">
        <v>87</v>
      </c>
      <c r="N1236" s="2">
        <v>3</v>
      </c>
      <c r="O1236" s="2">
        <v>2</v>
      </c>
      <c r="P1236" s="2" t="s">
        <v>40</v>
      </c>
      <c r="Q1236" s="2">
        <v>2</v>
      </c>
      <c r="R1236" s="2" t="s">
        <v>48</v>
      </c>
      <c r="S1236" s="2">
        <v>4978</v>
      </c>
      <c r="T1236" s="2">
        <v>3536</v>
      </c>
      <c r="U1236" s="2">
        <v>7</v>
      </c>
      <c r="V1236" s="2" t="s">
        <v>42</v>
      </c>
      <c r="W1236" s="2" t="s">
        <v>43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</row>
    <row r="1237" spans="1:35" x14ac:dyDescent="0.25">
      <c r="A1237" s="2">
        <v>46</v>
      </c>
      <c r="B1237" s="2" t="s">
        <v>43</v>
      </c>
      <c r="C1237" s="2" t="s">
        <v>36</v>
      </c>
      <c r="D1237" s="2">
        <v>1277</v>
      </c>
      <c r="E1237" s="2" t="s">
        <v>37</v>
      </c>
      <c r="F1237" s="2">
        <v>2</v>
      </c>
      <c r="G1237" s="2">
        <v>3</v>
      </c>
      <c r="H1237" s="2" t="s">
        <v>38</v>
      </c>
      <c r="I1237" s="2">
        <v>1</v>
      </c>
      <c r="J1237" s="2">
        <v>1732</v>
      </c>
      <c r="K1237" s="2">
        <v>3</v>
      </c>
      <c r="L1237" s="2" t="s">
        <v>46</v>
      </c>
      <c r="M1237" s="2">
        <v>74</v>
      </c>
      <c r="N1237" s="2">
        <v>3</v>
      </c>
      <c r="O1237" s="2">
        <v>3</v>
      </c>
      <c r="P1237" s="2" t="s">
        <v>40</v>
      </c>
      <c r="Q1237" s="2">
        <v>4</v>
      </c>
      <c r="R1237" s="2" t="s">
        <v>52</v>
      </c>
      <c r="S1237" s="2">
        <v>10368</v>
      </c>
      <c r="T1237" s="2">
        <v>5596</v>
      </c>
      <c r="U1237" s="2">
        <v>4</v>
      </c>
      <c r="V1237" s="2" t="s">
        <v>42</v>
      </c>
      <c r="W1237" s="2" t="s">
        <v>35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</row>
    <row r="1238" spans="1:35" x14ac:dyDescent="0.25">
      <c r="A1238" s="2">
        <v>36</v>
      </c>
      <c r="B1238" s="2" t="s">
        <v>35</v>
      </c>
      <c r="C1238" s="2" t="s">
        <v>36</v>
      </c>
      <c r="D1238" s="2">
        <v>1456</v>
      </c>
      <c r="E1238" s="2" t="s">
        <v>37</v>
      </c>
      <c r="F1238" s="2">
        <v>13</v>
      </c>
      <c r="G1238" s="2">
        <v>5</v>
      </c>
      <c r="H1238" s="2" t="s">
        <v>59</v>
      </c>
      <c r="I1238" s="2">
        <v>1</v>
      </c>
      <c r="J1238" s="2">
        <v>1733</v>
      </c>
      <c r="K1238" s="2">
        <v>2</v>
      </c>
      <c r="L1238" s="2" t="s">
        <v>46</v>
      </c>
      <c r="M1238" s="2">
        <v>96</v>
      </c>
      <c r="N1238" s="2">
        <v>2</v>
      </c>
      <c r="O1238" s="2">
        <v>2</v>
      </c>
      <c r="P1238" s="2" t="s">
        <v>40</v>
      </c>
      <c r="Q1238" s="2">
        <v>1</v>
      </c>
      <c r="R1238" s="2" t="s">
        <v>52</v>
      </c>
      <c r="S1238" s="2">
        <v>6134</v>
      </c>
      <c r="T1238" s="2">
        <v>8658</v>
      </c>
      <c r="U1238" s="2">
        <v>5</v>
      </c>
      <c r="V1238" s="2" t="s">
        <v>42</v>
      </c>
      <c r="W1238" s="2" t="s">
        <v>35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</row>
    <row r="1239" spans="1:35" x14ac:dyDescent="0.25">
      <c r="A1239" s="2">
        <v>32</v>
      </c>
      <c r="B1239" s="2" t="s">
        <v>35</v>
      </c>
      <c r="C1239" s="2" t="s">
        <v>36</v>
      </c>
      <c r="D1239" s="2">
        <v>964</v>
      </c>
      <c r="E1239" s="2" t="s">
        <v>37</v>
      </c>
      <c r="F1239" s="2">
        <v>1</v>
      </c>
      <c r="G1239" s="2">
        <v>2</v>
      </c>
      <c r="H1239" s="2" t="s">
        <v>38</v>
      </c>
      <c r="I1239" s="2">
        <v>1</v>
      </c>
      <c r="J1239" s="2">
        <v>1734</v>
      </c>
      <c r="K1239" s="2">
        <v>1</v>
      </c>
      <c r="L1239" s="2" t="s">
        <v>46</v>
      </c>
      <c r="M1239" s="2">
        <v>34</v>
      </c>
      <c r="N1239" s="2">
        <v>1</v>
      </c>
      <c r="O1239" s="2">
        <v>2</v>
      </c>
      <c r="P1239" s="2" t="s">
        <v>40</v>
      </c>
      <c r="Q1239" s="2">
        <v>2</v>
      </c>
      <c r="R1239" s="2" t="s">
        <v>41</v>
      </c>
      <c r="S1239" s="2">
        <v>6735</v>
      </c>
      <c r="T1239" s="2">
        <v>12147</v>
      </c>
      <c r="U1239" s="2">
        <v>6</v>
      </c>
      <c r="V1239" s="2" t="s">
        <v>42</v>
      </c>
      <c r="W1239" s="2" t="s">
        <v>43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</row>
    <row r="1240" spans="1:35" x14ac:dyDescent="0.25">
      <c r="A1240" s="2">
        <v>23</v>
      </c>
      <c r="B1240" s="2" t="s">
        <v>43</v>
      </c>
      <c r="C1240" s="2" t="s">
        <v>36</v>
      </c>
      <c r="D1240" s="2">
        <v>160</v>
      </c>
      <c r="E1240" s="2" t="s">
        <v>45</v>
      </c>
      <c r="F1240" s="2">
        <v>4</v>
      </c>
      <c r="G1240" s="2">
        <v>1</v>
      </c>
      <c r="H1240" s="2" t="s">
        <v>51</v>
      </c>
      <c r="I1240" s="2">
        <v>1</v>
      </c>
      <c r="J1240" s="2">
        <v>1735</v>
      </c>
      <c r="K1240" s="2">
        <v>3</v>
      </c>
      <c r="L1240" s="2" t="s">
        <v>39</v>
      </c>
      <c r="M1240" s="2">
        <v>51</v>
      </c>
      <c r="N1240" s="2">
        <v>3</v>
      </c>
      <c r="O1240" s="2">
        <v>1</v>
      </c>
      <c r="P1240" s="2" t="s">
        <v>50</v>
      </c>
      <c r="Q1240" s="2">
        <v>2</v>
      </c>
      <c r="R1240" s="2" t="s">
        <v>41</v>
      </c>
      <c r="S1240" s="2">
        <v>3295</v>
      </c>
      <c r="T1240" s="2">
        <v>12862</v>
      </c>
      <c r="U1240" s="2">
        <v>1</v>
      </c>
      <c r="V1240" s="2" t="s">
        <v>42</v>
      </c>
      <c r="W1240" s="2" t="s">
        <v>43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</row>
    <row r="1241" spans="1:35" x14ac:dyDescent="0.25">
      <c r="A1241" s="2">
        <v>31</v>
      </c>
      <c r="B1241" s="2" t="s">
        <v>43</v>
      </c>
      <c r="C1241" s="2" t="s">
        <v>44</v>
      </c>
      <c r="D1241" s="2">
        <v>163</v>
      </c>
      <c r="E1241" s="2" t="s">
        <v>45</v>
      </c>
      <c r="F1241" s="2">
        <v>24</v>
      </c>
      <c r="G1241" s="2">
        <v>1</v>
      </c>
      <c r="H1241" s="2" t="s">
        <v>60</v>
      </c>
      <c r="I1241" s="2">
        <v>1</v>
      </c>
      <c r="J1241" s="2">
        <v>1736</v>
      </c>
      <c r="K1241" s="2">
        <v>4</v>
      </c>
      <c r="L1241" s="2" t="s">
        <v>39</v>
      </c>
      <c r="M1241" s="2">
        <v>30</v>
      </c>
      <c r="N1241" s="2">
        <v>3</v>
      </c>
      <c r="O1241" s="2">
        <v>2</v>
      </c>
      <c r="P1241" s="2" t="s">
        <v>53</v>
      </c>
      <c r="Q1241" s="2">
        <v>4</v>
      </c>
      <c r="R1241" s="2" t="s">
        <v>41</v>
      </c>
      <c r="S1241" s="2">
        <v>5238</v>
      </c>
      <c r="T1241" s="2">
        <v>6670</v>
      </c>
      <c r="U1241" s="2">
        <v>2</v>
      </c>
      <c r="V1241" s="2" t="s">
        <v>42</v>
      </c>
      <c r="W1241" s="2" t="s">
        <v>43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</row>
    <row r="1242" spans="1:35" x14ac:dyDescent="0.25">
      <c r="A1242" s="2">
        <v>39</v>
      </c>
      <c r="B1242" s="2" t="s">
        <v>43</v>
      </c>
      <c r="C1242" s="2" t="s">
        <v>55</v>
      </c>
      <c r="D1242" s="2">
        <v>792</v>
      </c>
      <c r="E1242" s="2" t="s">
        <v>45</v>
      </c>
      <c r="F1242" s="2">
        <v>1</v>
      </c>
      <c r="G1242" s="2">
        <v>3</v>
      </c>
      <c r="H1242" s="2" t="s">
        <v>38</v>
      </c>
      <c r="I1242" s="2">
        <v>1</v>
      </c>
      <c r="J1242" s="2">
        <v>1737</v>
      </c>
      <c r="K1242" s="2">
        <v>4</v>
      </c>
      <c r="L1242" s="2" t="s">
        <v>46</v>
      </c>
      <c r="M1242" s="2">
        <v>77</v>
      </c>
      <c r="N1242" s="2">
        <v>3</v>
      </c>
      <c r="O1242" s="2">
        <v>2</v>
      </c>
      <c r="P1242" s="2" t="s">
        <v>50</v>
      </c>
      <c r="Q1242" s="2">
        <v>4</v>
      </c>
      <c r="R1242" s="2" t="s">
        <v>48</v>
      </c>
      <c r="S1242" s="2">
        <v>6472</v>
      </c>
      <c r="T1242" s="2">
        <v>8989</v>
      </c>
      <c r="U1242" s="2">
        <v>1</v>
      </c>
      <c r="V1242" s="2" t="s">
        <v>42</v>
      </c>
      <c r="W1242" s="2" t="s">
        <v>35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</row>
    <row r="1243" spans="1:35" x14ac:dyDescent="0.25">
      <c r="A1243" s="2">
        <v>32</v>
      </c>
      <c r="B1243" s="2" t="s">
        <v>43</v>
      </c>
      <c r="C1243" s="2" t="s">
        <v>36</v>
      </c>
      <c r="D1243" s="2">
        <v>371</v>
      </c>
      <c r="E1243" s="2" t="s">
        <v>37</v>
      </c>
      <c r="F1243" s="2">
        <v>19</v>
      </c>
      <c r="G1243" s="2">
        <v>3</v>
      </c>
      <c r="H1243" s="2" t="s">
        <v>38</v>
      </c>
      <c r="I1243" s="2">
        <v>1</v>
      </c>
      <c r="J1243" s="2">
        <v>1739</v>
      </c>
      <c r="K1243" s="2">
        <v>4</v>
      </c>
      <c r="L1243" s="2" t="s">
        <v>46</v>
      </c>
      <c r="M1243" s="2">
        <v>80</v>
      </c>
      <c r="N1243" s="2">
        <v>1</v>
      </c>
      <c r="O1243" s="2">
        <v>3</v>
      </c>
      <c r="P1243" s="2" t="s">
        <v>40</v>
      </c>
      <c r="Q1243" s="2">
        <v>3</v>
      </c>
      <c r="R1243" s="2" t="s">
        <v>48</v>
      </c>
      <c r="S1243" s="2">
        <v>9610</v>
      </c>
      <c r="T1243" s="2">
        <v>3840</v>
      </c>
      <c r="U1243" s="2">
        <v>3</v>
      </c>
      <c r="V1243" s="2" t="s">
        <v>42</v>
      </c>
      <c r="W1243" s="2" t="s">
        <v>43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</row>
    <row r="1244" spans="1:35" x14ac:dyDescent="0.25">
      <c r="A1244" s="2">
        <v>40</v>
      </c>
      <c r="B1244" s="2" t="s">
        <v>43</v>
      </c>
      <c r="C1244" s="2" t="s">
        <v>36</v>
      </c>
      <c r="D1244" s="2">
        <v>611</v>
      </c>
      <c r="E1244" s="2" t="s">
        <v>37</v>
      </c>
      <c r="F1244" s="2">
        <v>7</v>
      </c>
      <c r="G1244" s="2">
        <v>4</v>
      </c>
      <c r="H1244" s="2" t="s">
        <v>51</v>
      </c>
      <c r="I1244" s="2">
        <v>1</v>
      </c>
      <c r="J1244" s="2">
        <v>1740</v>
      </c>
      <c r="K1244" s="2">
        <v>2</v>
      </c>
      <c r="L1244" s="2" t="s">
        <v>46</v>
      </c>
      <c r="M1244" s="2">
        <v>88</v>
      </c>
      <c r="N1244" s="2">
        <v>3</v>
      </c>
      <c r="O1244" s="2">
        <v>5</v>
      </c>
      <c r="P1244" s="2" t="s">
        <v>56</v>
      </c>
      <c r="Q1244" s="2">
        <v>2</v>
      </c>
      <c r="R1244" s="2" t="s">
        <v>41</v>
      </c>
      <c r="S1244" s="2">
        <v>19833</v>
      </c>
      <c r="T1244" s="2">
        <v>4349</v>
      </c>
      <c r="U1244" s="2">
        <v>1</v>
      </c>
      <c r="V1244" s="2" t="s">
        <v>42</v>
      </c>
      <c r="W1244" s="2" t="s">
        <v>43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</row>
    <row r="1245" spans="1:35" x14ac:dyDescent="0.25">
      <c r="A1245" s="2">
        <v>45</v>
      </c>
      <c r="B1245" s="2" t="s">
        <v>43</v>
      </c>
      <c r="C1245" s="2" t="s">
        <v>36</v>
      </c>
      <c r="D1245" s="2">
        <v>176</v>
      </c>
      <c r="E1245" s="2" t="s">
        <v>61</v>
      </c>
      <c r="F1245" s="2">
        <v>4</v>
      </c>
      <c r="G1245" s="2">
        <v>3</v>
      </c>
      <c r="H1245" s="2" t="s">
        <v>38</v>
      </c>
      <c r="I1245" s="2">
        <v>1</v>
      </c>
      <c r="J1245" s="2">
        <v>1744</v>
      </c>
      <c r="K1245" s="2">
        <v>3</v>
      </c>
      <c r="L1245" s="2" t="s">
        <v>39</v>
      </c>
      <c r="M1245" s="2">
        <v>56</v>
      </c>
      <c r="N1245" s="2">
        <v>1</v>
      </c>
      <c r="O1245" s="2">
        <v>3</v>
      </c>
      <c r="P1245" s="2" t="s">
        <v>61</v>
      </c>
      <c r="Q1245" s="2">
        <v>3</v>
      </c>
      <c r="R1245" s="2" t="s">
        <v>48</v>
      </c>
      <c r="S1245" s="2">
        <v>9756</v>
      </c>
      <c r="T1245" s="2">
        <v>6595</v>
      </c>
      <c r="U1245" s="2">
        <v>4</v>
      </c>
      <c r="V1245" s="2" t="s">
        <v>42</v>
      </c>
      <c r="W1245" s="2" t="s">
        <v>43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</row>
    <row r="1246" spans="1:35" x14ac:dyDescent="0.25">
      <c r="A1246" s="2">
        <v>30</v>
      </c>
      <c r="B1246" s="2" t="s">
        <v>43</v>
      </c>
      <c r="C1246" s="2" t="s">
        <v>44</v>
      </c>
      <c r="D1246" s="2">
        <v>1312</v>
      </c>
      <c r="E1246" s="2" t="s">
        <v>45</v>
      </c>
      <c r="F1246" s="2">
        <v>2</v>
      </c>
      <c r="G1246" s="2">
        <v>4</v>
      </c>
      <c r="H1246" s="2" t="s">
        <v>60</v>
      </c>
      <c r="I1246" s="2">
        <v>1</v>
      </c>
      <c r="J1246" s="2">
        <v>1745</v>
      </c>
      <c r="K1246" s="2">
        <v>4</v>
      </c>
      <c r="L1246" s="2" t="s">
        <v>39</v>
      </c>
      <c r="M1246" s="2">
        <v>78</v>
      </c>
      <c r="N1246" s="2">
        <v>2</v>
      </c>
      <c r="O1246" s="2">
        <v>1</v>
      </c>
      <c r="P1246" s="2" t="s">
        <v>47</v>
      </c>
      <c r="Q1246" s="2">
        <v>1</v>
      </c>
      <c r="R1246" s="2" t="s">
        <v>41</v>
      </c>
      <c r="S1246" s="2">
        <v>4968</v>
      </c>
      <c r="T1246" s="2">
        <v>26427</v>
      </c>
      <c r="U1246" s="2">
        <v>0</v>
      </c>
      <c r="V1246" s="2" t="s">
        <v>42</v>
      </c>
      <c r="W1246" s="2" t="s">
        <v>43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</row>
    <row r="1247" spans="1:35" x14ac:dyDescent="0.25">
      <c r="A1247" s="2">
        <v>24</v>
      </c>
      <c r="B1247" s="2" t="s">
        <v>43</v>
      </c>
      <c r="C1247" s="2" t="s">
        <v>44</v>
      </c>
      <c r="D1247" s="2">
        <v>897</v>
      </c>
      <c r="E1247" s="2" t="s">
        <v>61</v>
      </c>
      <c r="F1247" s="2">
        <v>10</v>
      </c>
      <c r="G1247" s="2">
        <v>3</v>
      </c>
      <c r="H1247" s="2" t="s">
        <v>51</v>
      </c>
      <c r="I1247" s="2">
        <v>1</v>
      </c>
      <c r="J1247" s="2">
        <v>1746</v>
      </c>
      <c r="K1247" s="2">
        <v>1</v>
      </c>
      <c r="L1247" s="2" t="s">
        <v>46</v>
      </c>
      <c r="M1247" s="2">
        <v>59</v>
      </c>
      <c r="N1247" s="2">
        <v>3</v>
      </c>
      <c r="O1247" s="2">
        <v>1</v>
      </c>
      <c r="P1247" s="2" t="s">
        <v>61</v>
      </c>
      <c r="Q1247" s="2">
        <v>4</v>
      </c>
      <c r="R1247" s="2" t="s">
        <v>48</v>
      </c>
      <c r="S1247" s="2">
        <v>2145</v>
      </c>
      <c r="T1247" s="2">
        <v>2097</v>
      </c>
      <c r="U1247" s="2">
        <v>0</v>
      </c>
      <c r="V1247" s="2" t="s">
        <v>42</v>
      </c>
      <c r="W1247" s="2" t="s">
        <v>43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</row>
    <row r="1248" spans="1:35" x14ac:dyDescent="0.25">
      <c r="A1248" s="2">
        <v>30</v>
      </c>
      <c r="B1248" s="2" t="s">
        <v>35</v>
      </c>
      <c r="C1248" s="2" t="s">
        <v>44</v>
      </c>
      <c r="D1248" s="2">
        <v>600</v>
      </c>
      <c r="E1248" s="2" t="s">
        <v>61</v>
      </c>
      <c r="F1248" s="2">
        <v>8</v>
      </c>
      <c r="G1248" s="2">
        <v>3</v>
      </c>
      <c r="H1248" s="2" t="s">
        <v>61</v>
      </c>
      <c r="I1248" s="2">
        <v>1</v>
      </c>
      <c r="J1248" s="2">
        <v>1747</v>
      </c>
      <c r="K1248" s="2">
        <v>3</v>
      </c>
      <c r="L1248" s="2" t="s">
        <v>39</v>
      </c>
      <c r="M1248" s="2">
        <v>66</v>
      </c>
      <c r="N1248" s="2">
        <v>2</v>
      </c>
      <c r="O1248" s="2">
        <v>1</v>
      </c>
      <c r="P1248" s="2" t="s">
        <v>61</v>
      </c>
      <c r="Q1248" s="2">
        <v>4</v>
      </c>
      <c r="R1248" s="2" t="s">
        <v>52</v>
      </c>
      <c r="S1248" s="2">
        <v>2180</v>
      </c>
      <c r="T1248" s="2">
        <v>9732</v>
      </c>
      <c r="U1248" s="2">
        <v>6</v>
      </c>
      <c r="V1248" s="2" t="s">
        <v>42</v>
      </c>
      <c r="W1248" s="2" t="s">
        <v>43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</row>
    <row r="1249" spans="1:35" x14ac:dyDescent="0.25">
      <c r="A1249" s="2">
        <v>31</v>
      </c>
      <c r="B1249" s="2" t="s">
        <v>43</v>
      </c>
      <c r="C1249" s="2" t="s">
        <v>36</v>
      </c>
      <c r="D1249" s="2">
        <v>1003</v>
      </c>
      <c r="E1249" s="2" t="s">
        <v>37</v>
      </c>
      <c r="F1249" s="2">
        <v>5</v>
      </c>
      <c r="G1249" s="2">
        <v>3</v>
      </c>
      <c r="H1249" s="2" t="s">
        <v>60</v>
      </c>
      <c r="I1249" s="2">
        <v>1</v>
      </c>
      <c r="J1249" s="2">
        <v>1749</v>
      </c>
      <c r="K1249" s="2">
        <v>1</v>
      </c>
      <c r="L1249" s="2" t="s">
        <v>46</v>
      </c>
      <c r="M1249" s="2">
        <v>51</v>
      </c>
      <c r="N1249" s="2">
        <v>3</v>
      </c>
      <c r="O1249" s="2">
        <v>2</v>
      </c>
      <c r="P1249" s="2" t="s">
        <v>40</v>
      </c>
      <c r="Q1249" s="2">
        <v>3</v>
      </c>
      <c r="R1249" s="2" t="s">
        <v>48</v>
      </c>
      <c r="S1249" s="2">
        <v>8346</v>
      </c>
      <c r="T1249" s="2">
        <v>20943</v>
      </c>
      <c r="U1249" s="2">
        <v>1</v>
      </c>
      <c r="V1249" s="2" t="s">
        <v>42</v>
      </c>
      <c r="W1249" s="2" t="s">
        <v>43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</row>
    <row r="1250" spans="1:35" x14ac:dyDescent="0.25">
      <c r="A1250" s="2">
        <v>27</v>
      </c>
      <c r="B1250" s="2" t="s">
        <v>43</v>
      </c>
      <c r="C1250" s="2" t="s">
        <v>36</v>
      </c>
      <c r="D1250" s="2">
        <v>1054</v>
      </c>
      <c r="E1250" s="2" t="s">
        <v>45</v>
      </c>
      <c r="F1250" s="2">
        <v>8</v>
      </c>
      <c r="G1250" s="2">
        <v>3</v>
      </c>
      <c r="H1250" s="2" t="s">
        <v>51</v>
      </c>
      <c r="I1250" s="2">
        <v>1</v>
      </c>
      <c r="J1250" s="2">
        <v>1751</v>
      </c>
      <c r="K1250" s="2">
        <v>3</v>
      </c>
      <c r="L1250" s="2" t="s">
        <v>39</v>
      </c>
      <c r="M1250" s="2">
        <v>67</v>
      </c>
      <c r="N1250" s="2">
        <v>3</v>
      </c>
      <c r="O1250" s="2">
        <v>1</v>
      </c>
      <c r="P1250" s="2" t="s">
        <v>47</v>
      </c>
      <c r="Q1250" s="2">
        <v>4</v>
      </c>
      <c r="R1250" s="2" t="s">
        <v>41</v>
      </c>
      <c r="S1250" s="2">
        <v>3445</v>
      </c>
      <c r="T1250" s="2">
        <v>6152</v>
      </c>
      <c r="U1250" s="2">
        <v>1</v>
      </c>
      <c r="V1250" s="2" t="s">
        <v>42</v>
      </c>
      <c r="W1250" s="2" t="s">
        <v>43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</row>
    <row r="1251" spans="1:35" x14ac:dyDescent="0.25">
      <c r="A1251" s="2">
        <v>29</v>
      </c>
      <c r="B1251" s="2" t="s">
        <v>35</v>
      </c>
      <c r="C1251" s="2" t="s">
        <v>36</v>
      </c>
      <c r="D1251" s="2">
        <v>428</v>
      </c>
      <c r="E1251" s="2" t="s">
        <v>37</v>
      </c>
      <c r="F1251" s="2">
        <v>9</v>
      </c>
      <c r="G1251" s="2">
        <v>3</v>
      </c>
      <c r="H1251" s="2" t="s">
        <v>59</v>
      </c>
      <c r="I1251" s="2">
        <v>1</v>
      </c>
      <c r="J1251" s="2">
        <v>1752</v>
      </c>
      <c r="K1251" s="2">
        <v>2</v>
      </c>
      <c r="L1251" s="2" t="s">
        <v>39</v>
      </c>
      <c r="M1251" s="2">
        <v>52</v>
      </c>
      <c r="N1251" s="2">
        <v>1</v>
      </c>
      <c r="O1251" s="2">
        <v>1</v>
      </c>
      <c r="P1251" s="2" t="s">
        <v>57</v>
      </c>
      <c r="Q1251" s="2">
        <v>2</v>
      </c>
      <c r="R1251" s="2" t="s">
        <v>41</v>
      </c>
      <c r="S1251" s="2">
        <v>2760</v>
      </c>
      <c r="T1251" s="2">
        <v>14630</v>
      </c>
      <c r="U1251" s="2">
        <v>1</v>
      </c>
      <c r="V1251" s="2" t="s">
        <v>42</v>
      </c>
      <c r="W1251" s="2" t="s">
        <v>43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</row>
    <row r="1252" spans="1:35" x14ac:dyDescent="0.25">
      <c r="A1252" s="2">
        <v>29</v>
      </c>
      <c r="B1252" s="2" t="s">
        <v>43</v>
      </c>
      <c r="C1252" s="2" t="s">
        <v>44</v>
      </c>
      <c r="D1252" s="2">
        <v>461</v>
      </c>
      <c r="E1252" s="2" t="s">
        <v>45</v>
      </c>
      <c r="F1252" s="2">
        <v>1</v>
      </c>
      <c r="G1252" s="2">
        <v>3</v>
      </c>
      <c r="H1252" s="2" t="s">
        <v>38</v>
      </c>
      <c r="I1252" s="2">
        <v>1</v>
      </c>
      <c r="J1252" s="2">
        <v>1753</v>
      </c>
      <c r="K1252" s="2">
        <v>4</v>
      </c>
      <c r="L1252" s="2" t="s">
        <v>46</v>
      </c>
      <c r="M1252" s="2">
        <v>70</v>
      </c>
      <c r="N1252" s="2">
        <v>4</v>
      </c>
      <c r="O1252" s="2">
        <v>2</v>
      </c>
      <c r="P1252" s="2" t="s">
        <v>54</v>
      </c>
      <c r="Q1252" s="2">
        <v>3</v>
      </c>
      <c r="R1252" s="2" t="s">
        <v>41</v>
      </c>
      <c r="S1252" s="2">
        <v>6294</v>
      </c>
      <c r="T1252" s="2">
        <v>23060</v>
      </c>
      <c r="U1252" s="2">
        <v>8</v>
      </c>
      <c r="V1252" s="2" t="s">
        <v>42</v>
      </c>
      <c r="W1252" s="2" t="s">
        <v>35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</row>
    <row r="1253" spans="1:35" x14ac:dyDescent="0.25">
      <c r="A1253" s="2">
        <v>30</v>
      </c>
      <c r="B1253" s="2" t="s">
        <v>43</v>
      </c>
      <c r="C1253" s="2" t="s">
        <v>36</v>
      </c>
      <c r="D1253" s="2">
        <v>979</v>
      </c>
      <c r="E1253" s="2" t="s">
        <v>37</v>
      </c>
      <c r="F1253" s="2">
        <v>15</v>
      </c>
      <c r="G1253" s="2">
        <v>2</v>
      </c>
      <c r="H1253" s="2" t="s">
        <v>59</v>
      </c>
      <c r="I1253" s="2">
        <v>1</v>
      </c>
      <c r="J1253" s="2">
        <v>1754</v>
      </c>
      <c r="K1253" s="2">
        <v>3</v>
      </c>
      <c r="L1253" s="2" t="s">
        <v>46</v>
      </c>
      <c r="M1253" s="2">
        <v>94</v>
      </c>
      <c r="N1253" s="2">
        <v>2</v>
      </c>
      <c r="O1253" s="2">
        <v>3</v>
      </c>
      <c r="P1253" s="2" t="s">
        <v>40</v>
      </c>
      <c r="Q1253" s="2">
        <v>1</v>
      </c>
      <c r="R1253" s="2" t="s">
        <v>52</v>
      </c>
      <c r="S1253" s="2">
        <v>7140</v>
      </c>
      <c r="T1253" s="2">
        <v>3088</v>
      </c>
      <c r="U1253" s="2">
        <v>2</v>
      </c>
      <c r="V1253" s="2" t="s">
        <v>42</v>
      </c>
      <c r="W1253" s="2" t="s">
        <v>43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</row>
    <row r="1254" spans="1:35" x14ac:dyDescent="0.25">
      <c r="A1254" s="2">
        <v>34</v>
      </c>
      <c r="B1254" s="2" t="s">
        <v>43</v>
      </c>
      <c r="C1254" s="2" t="s">
        <v>36</v>
      </c>
      <c r="D1254" s="2">
        <v>181</v>
      </c>
      <c r="E1254" s="2" t="s">
        <v>45</v>
      </c>
      <c r="F1254" s="2">
        <v>2</v>
      </c>
      <c r="G1254" s="2">
        <v>4</v>
      </c>
      <c r="H1254" s="2" t="s">
        <v>51</v>
      </c>
      <c r="I1254" s="2">
        <v>1</v>
      </c>
      <c r="J1254" s="2">
        <v>1755</v>
      </c>
      <c r="K1254" s="2">
        <v>4</v>
      </c>
      <c r="L1254" s="2" t="s">
        <v>46</v>
      </c>
      <c r="M1254" s="2">
        <v>97</v>
      </c>
      <c r="N1254" s="2">
        <v>4</v>
      </c>
      <c r="O1254" s="2">
        <v>1</v>
      </c>
      <c r="P1254" s="2" t="s">
        <v>47</v>
      </c>
      <c r="Q1254" s="2">
        <v>4</v>
      </c>
      <c r="R1254" s="2" t="s">
        <v>48</v>
      </c>
      <c r="S1254" s="2">
        <v>2932</v>
      </c>
      <c r="T1254" s="2">
        <v>5586</v>
      </c>
      <c r="U1254" s="2">
        <v>0</v>
      </c>
      <c r="V1254" s="2" t="s">
        <v>42</v>
      </c>
      <c r="W1254" s="2" t="s">
        <v>35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</row>
    <row r="1255" spans="1:35" x14ac:dyDescent="0.25">
      <c r="A1255" s="2">
        <v>33</v>
      </c>
      <c r="B1255" s="2" t="s">
        <v>43</v>
      </c>
      <c r="C1255" s="2" t="s">
        <v>55</v>
      </c>
      <c r="D1255" s="2">
        <v>1283</v>
      </c>
      <c r="E1255" s="2" t="s">
        <v>37</v>
      </c>
      <c r="F1255" s="2">
        <v>2</v>
      </c>
      <c r="G1255" s="2">
        <v>3</v>
      </c>
      <c r="H1255" s="2" t="s">
        <v>59</v>
      </c>
      <c r="I1255" s="2">
        <v>1</v>
      </c>
      <c r="J1255" s="2">
        <v>1756</v>
      </c>
      <c r="K1255" s="2">
        <v>4</v>
      </c>
      <c r="L1255" s="2" t="s">
        <v>39</v>
      </c>
      <c r="M1255" s="2">
        <v>62</v>
      </c>
      <c r="N1255" s="2">
        <v>3</v>
      </c>
      <c r="O1255" s="2">
        <v>2</v>
      </c>
      <c r="P1255" s="2" t="s">
        <v>40</v>
      </c>
      <c r="Q1255" s="2">
        <v>2</v>
      </c>
      <c r="R1255" s="2" t="s">
        <v>41</v>
      </c>
      <c r="S1255" s="2">
        <v>5147</v>
      </c>
      <c r="T1255" s="2">
        <v>10697</v>
      </c>
      <c r="U1255" s="2">
        <v>8</v>
      </c>
      <c r="V1255" s="2" t="s">
        <v>42</v>
      </c>
      <c r="W1255" s="2" t="s">
        <v>43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</row>
    <row r="1256" spans="1:35" x14ac:dyDescent="0.25">
      <c r="A1256" s="2">
        <v>49</v>
      </c>
      <c r="B1256" s="2" t="s">
        <v>43</v>
      </c>
      <c r="C1256" s="2" t="s">
        <v>36</v>
      </c>
      <c r="D1256" s="2">
        <v>1313</v>
      </c>
      <c r="E1256" s="2" t="s">
        <v>37</v>
      </c>
      <c r="F1256" s="2">
        <v>11</v>
      </c>
      <c r="G1256" s="2">
        <v>4</v>
      </c>
      <c r="H1256" s="2" t="s">
        <v>59</v>
      </c>
      <c r="I1256" s="2">
        <v>1</v>
      </c>
      <c r="J1256" s="2">
        <v>1757</v>
      </c>
      <c r="K1256" s="2">
        <v>4</v>
      </c>
      <c r="L1256" s="2" t="s">
        <v>39</v>
      </c>
      <c r="M1256" s="2">
        <v>80</v>
      </c>
      <c r="N1256" s="2">
        <v>3</v>
      </c>
      <c r="O1256" s="2">
        <v>2</v>
      </c>
      <c r="P1256" s="2" t="s">
        <v>40</v>
      </c>
      <c r="Q1256" s="2">
        <v>4</v>
      </c>
      <c r="R1256" s="2" t="s">
        <v>41</v>
      </c>
      <c r="S1256" s="2">
        <v>4507</v>
      </c>
      <c r="T1256" s="2">
        <v>8191</v>
      </c>
      <c r="U1256" s="2">
        <v>3</v>
      </c>
      <c r="V1256" s="2" t="s">
        <v>42</v>
      </c>
      <c r="W1256" s="2" t="s">
        <v>43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</row>
    <row r="1257" spans="1:35" x14ac:dyDescent="0.25">
      <c r="A1257" s="2">
        <v>33</v>
      </c>
      <c r="B1257" s="2" t="s">
        <v>35</v>
      </c>
      <c r="C1257" s="2" t="s">
        <v>36</v>
      </c>
      <c r="D1257" s="2">
        <v>211</v>
      </c>
      <c r="E1257" s="2" t="s">
        <v>37</v>
      </c>
      <c r="F1257" s="2">
        <v>16</v>
      </c>
      <c r="G1257" s="2">
        <v>3</v>
      </c>
      <c r="H1257" s="2" t="s">
        <v>38</v>
      </c>
      <c r="I1257" s="2">
        <v>1</v>
      </c>
      <c r="J1257" s="2">
        <v>1758</v>
      </c>
      <c r="K1257" s="2">
        <v>1</v>
      </c>
      <c r="L1257" s="2" t="s">
        <v>39</v>
      </c>
      <c r="M1257" s="2">
        <v>74</v>
      </c>
      <c r="N1257" s="2">
        <v>3</v>
      </c>
      <c r="O1257" s="2">
        <v>3</v>
      </c>
      <c r="P1257" s="2" t="s">
        <v>40</v>
      </c>
      <c r="Q1257" s="2">
        <v>1</v>
      </c>
      <c r="R1257" s="2" t="s">
        <v>41</v>
      </c>
      <c r="S1257" s="2">
        <v>8564</v>
      </c>
      <c r="T1257" s="2">
        <v>10092</v>
      </c>
      <c r="U1257" s="2">
        <v>2</v>
      </c>
      <c r="V1257" s="2" t="s">
        <v>42</v>
      </c>
      <c r="W1257" s="2" t="s">
        <v>35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</row>
    <row r="1258" spans="1:35" x14ac:dyDescent="0.25">
      <c r="A1258" s="2">
        <v>38</v>
      </c>
      <c r="B1258" s="2" t="s">
        <v>43</v>
      </c>
      <c r="C1258" s="2" t="s">
        <v>44</v>
      </c>
      <c r="D1258" s="2">
        <v>594</v>
      </c>
      <c r="E1258" s="2" t="s">
        <v>45</v>
      </c>
      <c r="F1258" s="2">
        <v>2</v>
      </c>
      <c r="G1258" s="2">
        <v>2</v>
      </c>
      <c r="H1258" s="2" t="s">
        <v>51</v>
      </c>
      <c r="I1258" s="2">
        <v>1</v>
      </c>
      <c r="J1258" s="2">
        <v>1760</v>
      </c>
      <c r="K1258" s="2">
        <v>3</v>
      </c>
      <c r="L1258" s="2" t="s">
        <v>39</v>
      </c>
      <c r="M1258" s="2">
        <v>75</v>
      </c>
      <c r="N1258" s="2">
        <v>2</v>
      </c>
      <c r="O1258" s="2">
        <v>1</v>
      </c>
      <c r="P1258" s="2" t="s">
        <v>50</v>
      </c>
      <c r="Q1258" s="2">
        <v>2</v>
      </c>
      <c r="R1258" s="2" t="s">
        <v>48</v>
      </c>
      <c r="S1258" s="2">
        <v>2468</v>
      </c>
      <c r="T1258" s="2">
        <v>15963</v>
      </c>
      <c r="U1258" s="2">
        <v>4</v>
      </c>
      <c r="V1258" s="2" t="s">
        <v>42</v>
      </c>
      <c r="W1258" s="2" t="s">
        <v>43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</row>
    <row r="1259" spans="1:35" x14ac:dyDescent="0.25">
      <c r="A1259" s="2">
        <v>31</v>
      </c>
      <c r="B1259" s="2" t="s">
        <v>35</v>
      </c>
      <c r="C1259" s="2" t="s">
        <v>36</v>
      </c>
      <c r="D1259" s="2">
        <v>1079</v>
      </c>
      <c r="E1259" s="2" t="s">
        <v>37</v>
      </c>
      <c r="F1259" s="2">
        <v>16</v>
      </c>
      <c r="G1259" s="2">
        <v>4</v>
      </c>
      <c r="H1259" s="2" t="s">
        <v>59</v>
      </c>
      <c r="I1259" s="2">
        <v>1</v>
      </c>
      <c r="J1259" s="2">
        <v>1761</v>
      </c>
      <c r="K1259" s="2">
        <v>1</v>
      </c>
      <c r="L1259" s="2" t="s">
        <v>46</v>
      </c>
      <c r="M1259" s="2">
        <v>70</v>
      </c>
      <c r="N1259" s="2">
        <v>3</v>
      </c>
      <c r="O1259" s="2">
        <v>3</v>
      </c>
      <c r="P1259" s="2" t="s">
        <v>40</v>
      </c>
      <c r="Q1259" s="2">
        <v>3</v>
      </c>
      <c r="R1259" s="2" t="s">
        <v>48</v>
      </c>
      <c r="S1259" s="2">
        <v>8161</v>
      </c>
      <c r="T1259" s="2">
        <v>19002</v>
      </c>
      <c r="U1259" s="2">
        <v>2</v>
      </c>
      <c r="V1259" s="2" t="s">
        <v>42</v>
      </c>
      <c r="W1259" s="2" t="s">
        <v>43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</row>
    <row r="1260" spans="1:35" x14ac:dyDescent="0.25">
      <c r="A1260" s="2">
        <v>29</v>
      </c>
      <c r="B1260" s="2" t="s">
        <v>43</v>
      </c>
      <c r="C1260" s="2" t="s">
        <v>36</v>
      </c>
      <c r="D1260" s="2">
        <v>590</v>
      </c>
      <c r="E1260" s="2" t="s">
        <v>45</v>
      </c>
      <c r="F1260" s="2">
        <v>4</v>
      </c>
      <c r="G1260" s="2">
        <v>3</v>
      </c>
      <c r="H1260" s="2" t="s">
        <v>60</v>
      </c>
      <c r="I1260" s="2">
        <v>1</v>
      </c>
      <c r="J1260" s="2">
        <v>1762</v>
      </c>
      <c r="K1260" s="2">
        <v>4</v>
      </c>
      <c r="L1260" s="2" t="s">
        <v>39</v>
      </c>
      <c r="M1260" s="2">
        <v>91</v>
      </c>
      <c r="N1260" s="2">
        <v>2</v>
      </c>
      <c r="O1260" s="2">
        <v>1</v>
      </c>
      <c r="P1260" s="2" t="s">
        <v>47</v>
      </c>
      <c r="Q1260" s="2">
        <v>1</v>
      </c>
      <c r="R1260" s="2" t="s">
        <v>52</v>
      </c>
      <c r="S1260" s="2">
        <v>2109</v>
      </c>
      <c r="T1260" s="2">
        <v>10007</v>
      </c>
      <c r="U1260" s="2">
        <v>1</v>
      </c>
      <c r="V1260" s="2" t="s">
        <v>42</v>
      </c>
      <c r="W1260" s="2" t="s">
        <v>43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</row>
    <row r="1261" spans="1:35" x14ac:dyDescent="0.25">
      <c r="A1261" s="2">
        <v>30</v>
      </c>
      <c r="B1261" s="2" t="s">
        <v>43</v>
      </c>
      <c r="C1261" s="2" t="s">
        <v>36</v>
      </c>
      <c r="D1261" s="2">
        <v>305</v>
      </c>
      <c r="E1261" s="2" t="s">
        <v>45</v>
      </c>
      <c r="F1261" s="2">
        <v>16</v>
      </c>
      <c r="G1261" s="2">
        <v>3</v>
      </c>
      <c r="H1261" s="2" t="s">
        <v>38</v>
      </c>
      <c r="I1261" s="2">
        <v>1</v>
      </c>
      <c r="J1261" s="2">
        <v>1763</v>
      </c>
      <c r="K1261" s="2">
        <v>3</v>
      </c>
      <c r="L1261" s="2" t="s">
        <v>46</v>
      </c>
      <c r="M1261" s="2">
        <v>58</v>
      </c>
      <c r="N1261" s="2">
        <v>4</v>
      </c>
      <c r="O1261" s="2">
        <v>2</v>
      </c>
      <c r="P1261" s="2" t="s">
        <v>54</v>
      </c>
      <c r="Q1261" s="2">
        <v>3</v>
      </c>
      <c r="R1261" s="2" t="s">
        <v>48</v>
      </c>
      <c r="S1261" s="2">
        <v>5294</v>
      </c>
      <c r="T1261" s="2">
        <v>9128</v>
      </c>
      <c r="U1261" s="2">
        <v>3</v>
      </c>
      <c r="V1261" s="2" t="s">
        <v>42</v>
      </c>
      <c r="W1261" s="2" t="s">
        <v>43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</row>
    <row r="1262" spans="1:35" x14ac:dyDescent="0.25">
      <c r="A1262" s="2">
        <v>32</v>
      </c>
      <c r="B1262" s="2" t="s">
        <v>43</v>
      </c>
      <c r="C1262" s="2" t="s">
        <v>55</v>
      </c>
      <c r="D1262" s="2">
        <v>953</v>
      </c>
      <c r="E1262" s="2" t="s">
        <v>45</v>
      </c>
      <c r="F1262" s="2">
        <v>5</v>
      </c>
      <c r="G1262" s="2">
        <v>4</v>
      </c>
      <c r="H1262" s="2" t="s">
        <v>60</v>
      </c>
      <c r="I1262" s="2">
        <v>1</v>
      </c>
      <c r="J1262" s="2">
        <v>1764</v>
      </c>
      <c r="K1262" s="2">
        <v>2</v>
      </c>
      <c r="L1262" s="2" t="s">
        <v>46</v>
      </c>
      <c r="M1262" s="2">
        <v>65</v>
      </c>
      <c r="N1262" s="2">
        <v>3</v>
      </c>
      <c r="O1262" s="2">
        <v>1</v>
      </c>
      <c r="P1262" s="2" t="s">
        <v>47</v>
      </c>
      <c r="Q1262" s="2">
        <v>2</v>
      </c>
      <c r="R1262" s="2" t="s">
        <v>41</v>
      </c>
      <c r="S1262" s="2">
        <v>2718</v>
      </c>
      <c r="T1262" s="2">
        <v>17674</v>
      </c>
      <c r="U1262" s="2">
        <v>2</v>
      </c>
      <c r="V1262" s="2" t="s">
        <v>42</v>
      </c>
      <c r="W1262" s="2" t="s">
        <v>43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</row>
    <row r="1263" spans="1:35" x14ac:dyDescent="0.25">
      <c r="A1263" s="2">
        <v>38</v>
      </c>
      <c r="B1263" s="2" t="s">
        <v>43</v>
      </c>
      <c r="C1263" s="2" t="s">
        <v>36</v>
      </c>
      <c r="D1263" s="2">
        <v>833</v>
      </c>
      <c r="E1263" s="2" t="s">
        <v>45</v>
      </c>
      <c r="F1263" s="2">
        <v>18</v>
      </c>
      <c r="G1263" s="2">
        <v>3</v>
      </c>
      <c r="H1263" s="2" t="s">
        <v>51</v>
      </c>
      <c r="I1263" s="2">
        <v>1</v>
      </c>
      <c r="J1263" s="2">
        <v>1766</v>
      </c>
      <c r="K1263" s="2">
        <v>2</v>
      </c>
      <c r="L1263" s="2" t="s">
        <v>46</v>
      </c>
      <c r="M1263" s="2">
        <v>60</v>
      </c>
      <c r="N1263" s="2">
        <v>1</v>
      </c>
      <c r="O1263" s="2">
        <v>2</v>
      </c>
      <c r="P1263" s="2" t="s">
        <v>54</v>
      </c>
      <c r="Q1263" s="2">
        <v>4</v>
      </c>
      <c r="R1263" s="2" t="s">
        <v>48</v>
      </c>
      <c r="S1263" s="2">
        <v>5811</v>
      </c>
      <c r="T1263" s="2">
        <v>24539</v>
      </c>
      <c r="U1263" s="2">
        <v>3</v>
      </c>
      <c r="V1263" s="2" t="s">
        <v>42</v>
      </c>
      <c r="W1263" s="2" t="s">
        <v>35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</row>
    <row r="1264" spans="1:35" x14ac:dyDescent="0.25">
      <c r="A1264" s="2">
        <v>43</v>
      </c>
      <c r="B1264" s="2" t="s">
        <v>35</v>
      </c>
      <c r="C1264" s="2" t="s">
        <v>44</v>
      </c>
      <c r="D1264" s="2">
        <v>807</v>
      </c>
      <c r="E1264" s="2" t="s">
        <v>45</v>
      </c>
      <c r="F1264" s="2">
        <v>17</v>
      </c>
      <c r="G1264" s="2">
        <v>3</v>
      </c>
      <c r="H1264" s="2" t="s">
        <v>60</v>
      </c>
      <c r="I1264" s="2">
        <v>1</v>
      </c>
      <c r="J1264" s="2">
        <v>1767</v>
      </c>
      <c r="K1264" s="2">
        <v>3</v>
      </c>
      <c r="L1264" s="2" t="s">
        <v>46</v>
      </c>
      <c r="M1264" s="2">
        <v>38</v>
      </c>
      <c r="N1264" s="2">
        <v>2</v>
      </c>
      <c r="O1264" s="2">
        <v>1</v>
      </c>
      <c r="P1264" s="2" t="s">
        <v>47</v>
      </c>
      <c r="Q1264" s="2">
        <v>3</v>
      </c>
      <c r="R1264" s="2" t="s">
        <v>48</v>
      </c>
      <c r="S1264" s="2">
        <v>2437</v>
      </c>
      <c r="T1264" s="2">
        <v>15587</v>
      </c>
      <c r="U1264" s="2">
        <v>9</v>
      </c>
      <c r="V1264" s="2" t="s">
        <v>42</v>
      </c>
      <c r="W1264" s="2" t="s">
        <v>35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</row>
    <row r="1265" spans="1:35" x14ac:dyDescent="0.25">
      <c r="A1265" s="2">
        <v>42</v>
      </c>
      <c r="B1265" s="2" t="s">
        <v>43</v>
      </c>
      <c r="C1265" s="2" t="s">
        <v>36</v>
      </c>
      <c r="D1265" s="2">
        <v>855</v>
      </c>
      <c r="E1265" s="2" t="s">
        <v>45</v>
      </c>
      <c r="F1265" s="2">
        <v>12</v>
      </c>
      <c r="G1265" s="2">
        <v>3</v>
      </c>
      <c r="H1265" s="2" t="s">
        <v>51</v>
      </c>
      <c r="I1265" s="2">
        <v>1</v>
      </c>
      <c r="J1265" s="2">
        <v>1768</v>
      </c>
      <c r="K1265" s="2">
        <v>2</v>
      </c>
      <c r="L1265" s="2" t="s">
        <v>46</v>
      </c>
      <c r="M1265" s="2">
        <v>57</v>
      </c>
      <c r="N1265" s="2">
        <v>3</v>
      </c>
      <c r="O1265" s="2">
        <v>1</v>
      </c>
      <c r="P1265" s="2" t="s">
        <v>50</v>
      </c>
      <c r="Q1265" s="2">
        <v>2</v>
      </c>
      <c r="R1265" s="2" t="s">
        <v>52</v>
      </c>
      <c r="S1265" s="2">
        <v>2766</v>
      </c>
      <c r="T1265" s="2">
        <v>8952</v>
      </c>
      <c r="U1265" s="2">
        <v>8</v>
      </c>
      <c r="V1265" s="2" t="s">
        <v>42</v>
      </c>
      <c r="W1265" s="2" t="s">
        <v>43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</row>
    <row r="1266" spans="1:35" x14ac:dyDescent="0.25">
      <c r="A1266" s="2">
        <v>55</v>
      </c>
      <c r="B1266" s="2" t="s">
        <v>43</v>
      </c>
      <c r="C1266" s="2" t="s">
        <v>36</v>
      </c>
      <c r="D1266" s="2">
        <v>478</v>
      </c>
      <c r="E1266" s="2" t="s">
        <v>45</v>
      </c>
      <c r="F1266" s="2">
        <v>2</v>
      </c>
      <c r="G1266" s="2">
        <v>3</v>
      </c>
      <c r="H1266" s="2" t="s">
        <v>51</v>
      </c>
      <c r="I1266" s="2">
        <v>1</v>
      </c>
      <c r="J1266" s="2">
        <v>1770</v>
      </c>
      <c r="K1266" s="2">
        <v>3</v>
      </c>
      <c r="L1266" s="2" t="s">
        <v>46</v>
      </c>
      <c r="M1266" s="2">
        <v>60</v>
      </c>
      <c r="N1266" s="2">
        <v>2</v>
      </c>
      <c r="O1266" s="2">
        <v>5</v>
      </c>
      <c r="P1266" s="2" t="s">
        <v>58</v>
      </c>
      <c r="Q1266" s="2">
        <v>1</v>
      </c>
      <c r="R1266" s="2" t="s">
        <v>48</v>
      </c>
      <c r="S1266" s="2">
        <v>19038</v>
      </c>
      <c r="T1266" s="2">
        <v>19805</v>
      </c>
      <c r="U1266" s="2">
        <v>8</v>
      </c>
      <c r="V1266" s="2" t="s">
        <v>42</v>
      </c>
      <c r="W1266" s="2" t="s">
        <v>43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</row>
    <row r="1267" spans="1:35" x14ac:dyDescent="0.25">
      <c r="A1267" s="2">
        <v>33</v>
      </c>
      <c r="B1267" s="2" t="s">
        <v>43</v>
      </c>
      <c r="C1267" s="2" t="s">
        <v>55</v>
      </c>
      <c r="D1267" s="2">
        <v>775</v>
      </c>
      <c r="E1267" s="2" t="s">
        <v>45</v>
      </c>
      <c r="F1267" s="2">
        <v>4</v>
      </c>
      <c r="G1267" s="2">
        <v>3</v>
      </c>
      <c r="H1267" s="2" t="s">
        <v>60</v>
      </c>
      <c r="I1267" s="2">
        <v>1</v>
      </c>
      <c r="J1267" s="2">
        <v>1771</v>
      </c>
      <c r="K1267" s="2">
        <v>4</v>
      </c>
      <c r="L1267" s="2" t="s">
        <v>46</v>
      </c>
      <c r="M1267" s="2">
        <v>90</v>
      </c>
      <c r="N1267" s="2">
        <v>3</v>
      </c>
      <c r="O1267" s="2">
        <v>2</v>
      </c>
      <c r="P1267" s="2" t="s">
        <v>47</v>
      </c>
      <c r="Q1267" s="2">
        <v>2</v>
      </c>
      <c r="R1267" s="2" t="s">
        <v>52</v>
      </c>
      <c r="S1267" s="2">
        <v>3055</v>
      </c>
      <c r="T1267" s="2">
        <v>6194</v>
      </c>
      <c r="U1267" s="2">
        <v>5</v>
      </c>
      <c r="V1267" s="2" t="s">
        <v>42</v>
      </c>
      <c r="W1267" s="2" t="s">
        <v>43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</row>
    <row r="1268" spans="1:35" x14ac:dyDescent="0.25">
      <c r="A1268" s="2">
        <v>41</v>
      </c>
      <c r="B1268" s="2" t="s">
        <v>43</v>
      </c>
      <c r="C1268" s="2" t="s">
        <v>36</v>
      </c>
      <c r="D1268" s="2">
        <v>548</v>
      </c>
      <c r="E1268" s="2" t="s">
        <v>45</v>
      </c>
      <c r="F1268" s="2">
        <v>9</v>
      </c>
      <c r="G1268" s="2">
        <v>4</v>
      </c>
      <c r="H1268" s="2" t="s">
        <v>38</v>
      </c>
      <c r="I1268" s="2">
        <v>1</v>
      </c>
      <c r="J1268" s="2">
        <v>1772</v>
      </c>
      <c r="K1268" s="2">
        <v>3</v>
      </c>
      <c r="L1268" s="2" t="s">
        <v>46</v>
      </c>
      <c r="M1268" s="2">
        <v>94</v>
      </c>
      <c r="N1268" s="2">
        <v>3</v>
      </c>
      <c r="O1268" s="2">
        <v>1</v>
      </c>
      <c r="P1268" s="2" t="s">
        <v>50</v>
      </c>
      <c r="Q1268" s="2">
        <v>1</v>
      </c>
      <c r="R1268" s="2" t="s">
        <v>52</v>
      </c>
      <c r="S1268" s="2">
        <v>2289</v>
      </c>
      <c r="T1268" s="2">
        <v>20520</v>
      </c>
      <c r="U1268" s="2">
        <v>1</v>
      </c>
      <c r="V1268" s="2" t="s">
        <v>42</v>
      </c>
      <c r="W1268" s="2" t="s">
        <v>43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</row>
    <row r="1269" spans="1:35" x14ac:dyDescent="0.25">
      <c r="A1269" s="2">
        <v>34</v>
      </c>
      <c r="B1269" s="2" t="s">
        <v>43</v>
      </c>
      <c r="C1269" s="2" t="s">
        <v>55</v>
      </c>
      <c r="D1269" s="2">
        <v>1375</v>
      </c>
      <c r="E1269" s="2" t="s">
        <v>37</v>
      </c>
      <c r="F1269" s="2">
        <v>10</v>
      </c>
      <c r="G1269" s="2">
        <v>3</v>
      </c>
      <c r="H1269" s="2" t="s">
        <v>38</v>
      </c>
      <c r="I1269" s="2">
        <v>1</v>
      </c>
      <c r="J1269" s="2">
        <v>1774</v>
      </c>
      <c r="K1269" s="2">
        <v>4</v>
      </c>
      <c r="L1269" s="2" t="s">
        <v>46</v>
      </c>
      <c r="M1269" s="2">
        <v>87</v>
      </c>
      <c r="N1269" s="2">
        <v>3</v>
      </c>
      <c r="O1269" s="2">
        <v>2</v>
      </c>
      <c r="P1269" s="2" t="s">
        <v>40</v>
      </c>
      <c r="Q1269" s="2">
        <v>3</v>
      </c>
      <c r="R1269" s="2" t="s">
        <v>52</v>
      </c>
      <c r="S1269" s="2">
        <v>4001</v>
      </c>
      <c r="T1269" s="2">
        <v>12313</v>
      </c>
      <c r="U1269" s="2">
        <v>1</v>
      </c>
      <c r="V1269" s="2" t="s">
        <v>42</v>
      </c>
      <c r="W1269" s="2" t="s">
        <v>35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</row>
    <row r="1270" spans="1:35" x14ac:dyDescent="0.25">
      <c r="A1270" s="2">
        <v>53</v>
      </c>
      <c r="B1270" s="2" t="s">
        <v>43</v>
      </c>
      <c r="C1270" s="2" t="s">
        <v>55</v>
      </c>
      <c r="D1270" s="2">
        <v>661</v>
      </c>
      <c r="E1270" s="2" t="s">
        <v>45</v>
      </c>
      <c r="F1270" s="2">
        <v>1</v>
      </c>
      <c r="G1270" s="2">
        <v>4</v>
      </c>
      <c r="H1270" s="2" t="s">
        <v>51</v>
      </c>
      <c r="I1270" s="2">
        <v>1</v>
      </c>
      <c r="J1270" s="2">
        <v>1775</v>
      </c>
      <c r="K1270" s="2">
        <v>1</v>
      </c>
      <c r="L1270" s="2" t="s">
        <v>39</v>
      </c>
      <c r="M1270" s="2">
        <v>60</v>
      </c>
      <c r="N1270" s="2">
        <v>2</v>
      </c>
      <c r="O1270" s="2">
        <v>4</v>
      </c>
      <c r="P1270" s="2" t="s">
        <v>53</v>
      </c>
      <c r="Q1270" s="2">
        <v>3</v>
      </c>
      <c r="R1270" s="2" t="s">
        <v>48</v>
      </c>
      <c r="S1270" s="2">
        <v>12965</v>
      </c>
      <c r="T1270" s="2">
        <v>22308</v>
      </c>
      <c r="U1270" s="2">
        <v>4</v>
      </c>
      <c r="V1270" s="2" t="s">
        <v>42</v>
      </c>
      <c r="W1270" s="2" t="s">
        <v>35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</row>
    <row r="1271" spans="1:35" x14ac:dyDescent="0.25">
      <c r="A1271" s="2">
        <v>43</v>
      </c>
      <c r="B1271" s="2" t="s">
        <v>43</v>
      </c>
      <c r="C1271" s="2" t="s">
        <v>36</v>
      </c>
      <c r="D1271" s="2">
        <v>244</v>
      </c>
      <c r="E1271" s="2" t="s">
        <v>61</v>
      </c>
      <c r="F1271" s="2">
        <v>2</v>
      </c>
      <c r="G1271" s="2">
        <v>3</v>
      </c>
      <c r="H1271" s="2" t="s">
        <v>38</v>
      </c>
      <c r="I1271" s="2">
        <v>1</v>
      </c>
      <c r="J1271" s="2">
        <v>1778</v>
      </c>
      <c r="K1271" s="2">
        <v>2</v>
      </c>
      <c r="L1271" s="2" t="s">
        <v>46</v>
      </c>
      <c r="M1271" s="2">
        <v>97</v>
      </c>
      <c r="N1271" s="2">
        <v>3</v>
      </c>
      <c r="O1271" s="2">
        <v>1</v>
      </c>
      <c r="P1271" s="2" t="s">
        <v>61</v>
      </c>
      <c r="Q1271" s="2">
        <v>4</v>
      </c>
      <c r="R1271" s="2" t="s">
        <v>41</v>
      </c>
      <c r="S1271" s="2">
        <v>3539</v>
      </c>
      <c r="T1271" s="2">
        <v>5033</v>
      </c>
      <c r="U1271" s="2">
        <v>0</v>
      </c>
      <c r="V1271" s="2" t="s">
        <v>42</v>
      </c>
      <c r="W1271" s="2" t="s">
        <v>43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</row>
    <row r="1272" spans="1:35" x14ac:dyDescent="0.25">
      <c r="A1272" s="2">
        <v>34</v>
      </c>
      <c r="B1272" s="2" t="s">
        <v>43</v>
      </c>
      <c r="C1272" s="2" t="s">
        <v>36</v>
      </c>
      <c r="D1272" s="2">
        <v>511</v>
      </c>
      <c r="E1272" s="2" t="s">
        <v>37</v>
      </c>
      <c r="F1272" s="2">
        <v>3</v>
      </c>
      <c r="G1272" s="2">
        <v>2</v>
      </c>
      <c r="H1272" s="2" t="s">
        <v>38</v>
      </c>
      <c r="I1272" s="2">
        <v>1</v>
      </c>
      <c r="J1272" s="2">
        <v>1779</v>
      </c>
      <c r="K1272" s="2">
        <v>4</v>
      </c>
      <c r="L1272" s="2" t="s">
        <v>39</v>
      </c>
      <c r="M1272" s="2">
        <v>32</v>
      </c>
      <c r="N1272" s="2">
        <v>1</v>
      </c>
      <c r="O1272" s="2">
        <v>2</v>
      </c>
      <c r="P1272" s="2" t="s">
        <v>40</v>
      </c>
      <c r="Q1272" s="2">
        <v>4</v>
      </c>
      <c r="R1272" s="2" t="s">
        <v>41</v>
      </c>
      <c r="S1272" s="2">
        <v>6029</v>
      </c>
      <c r="T1272" s="2">
        <v>25353</v>
      </c>
      <c r="U1272" s="2">
        <v>5</v>
      </c>
      <c r="V1272" s="2" t="s">
        <v>42</v>
      </c>
      <c r="W1272" s="2" t="s">
        <v>43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</row>
    <row r="1273" spans="1:35" x14ac:dyDescent="0.25">
      <c r="A1273" s="2">
        <v>21</v>
      </c>
      <c r="B1273" s="2" t="s">
        <v>35</v>
      </c>
      <c r="C1273" s="2" t="s">
        <v>36</v>
      </c>
      <c r="D1273" s="2">
        <v>337</v>
      </c>
      <c r="E1273" s="2" t="s">
        <v>37</v>
      </c>
      <c r="F1273" s="2">
        <v>7</v>
      </c>
      <c r="G1273" s="2">
        <v>1</v>
      </c>
      <c r="H1273" s="2" t="s">
        <v>59</v>
      </c>
      <c r="I1273" s="2">
        <v>1</v>
      </c>
      <c r="J1273" s="2">
        <v>1780</v>
      </c>
      <c r="K1273" s="2">
        <v>2</v>
      </c>
      <c r="L1273" s="2" t="s">
        <v>46</v>
      </c>
      <c r="M1273" s="2">
        <v>31</v>
      </c>
      <c r="N1273" s="2">
        <v>3</v>
      </c>
      <c r="O1273" s="2">
        <v>1</v>
      </c>
      <c r="P1273" s="2" t="s">
        <v>57</v>
      </c>
      <c r="Q1273" s="2">
        <v>2</v>
      </c>
      <c r="R1273" s="2" t="s">
        <v>41</v>
      </c>
      <c r="S1273" s="2">
        <v>2679</v>
      </c>
      <c r="T1273" s="2">
        <v>4567</v>
      </c>
      <c r="U1273" s="2">
        <v>1</v>
      </c>
      <c r="V1273" s="2" t="s">
        <v>42</v>
      </c>
      <c r="W1273" s="2" t="s">
        <v>43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</row>
    <row r="1274" spans="1:35" x14ac:dyDescent="0.25">
      <c r="A1274" s="2">
        <v>38</v>
      </c>
      <c r="B1274" s="2" t="s">
        <v>43</v>
      </c>
      <c r="C1274" s="2" t="s">
        <v>36</v>
      </c>
      <c r="D1274" s="2">
        <v>1153</v>
      </c>
      <c r="E1274" s="2" t="s">
        <v>45</v>
      </c>
      <c r="F1274" s="2">
        <v>6</v>
      </c>
      <c r="G1274" s="2">
        <v>2</v>
      </c>
      <c r="H1274" s="2" t="s">
        <v>49</v>
      </c>
      <c r="I1274" s="2">
        <v>1</v>
      </c>
      <c r="J1274" s="2">
        <v>1782</v>
      </c>
      <c r="K1274" s="2">
        <v>4</v>
      </c>
      <c r="L1274" s="2" t="s">
        <v>39</v>
      </c>
      <c r="M1274" s="2">
        <v>40</v>
      </c>
      <c r="N1274" s="2">
        <v>2</v>
      </c>
      <c r="O1274" s="2">
        <v>1</v>
      </c>
      <c r="P1274" s="2" t="s">
        <v>50</v>
      </c>
      <c r="Q1274" s="2">
        <v>3</v>
      </c>
      <c r="R1274" s="2" t="s">
        <v>48</v>
      </c>
      <c r="S1274" s="2">
        <v>3702</v>
      </c>
      <c r="T1274" s="2">
        <v>16376</v>
      </c>
      <c r="U1274" s="2">
        <v>1</v>
      </c>
      <c r="V1274" s="2" t="s">
        <v>42</v>
      </c>
      <c r="W1274" s="2" t="s">
        <v>43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</row>
    <row r="1275" spans="1:35" x14ac:dyDescent="0.25">
      <c r="A1275" s="2">
        <v>22</v>
      </c>
      <c r="B1275" s="2" t="s">
        <v>35</v>
      </c>
      <c r="C1275" s="2" t="s">
        <v>36</v>
      </c>
      <c r="D1275" s="2">
        <v>1294</v>
      </c>
      <c r="E1275" s="2" t="s">
        <v>45</v>
      </c>
      <c r="F1275" s="2">
        <v>8</v>
      </c>
      <c r="G1275" s="2">
        <v>1</v>
      </c>
      <c r="H1275" s="2" t="s">
        <v>51</v>
      </c>
      <c r="I1275" s="2">
        <v>1</v>
      </c>
      <c r="J1275" s="2">
        <v>1783</v>
      </c>
      <c r="K1275" s="2">
        <v>3</v>
      </c>
      <c r="L1275" s="2" t="s">
        <v>39</v>
      </c>
      <c r="M1275" s="2">
        <v>79</v>
      </c>
      <c r="N1275" s="2">
        <v>3</v>
      </c>
      <c r="O1275" s="2">
        <v>1</v>
      </c>
      <c r="P1275" s="2" t="s">
        <v>50</v>
      </c>
      <c r="Q1275" s="2">
        <v>1</v>
      </c>
      <c r="R1275" s="2" t="s">
        <v>48</v>
      </c>
      <c r="S1275" s="2">
        <v>2398</v>
      </c>
      <c r="T1275" s="2">
        <v>15999</v>
      </c>
      <c r="U1275" s="2">
        <v>1</v>
      </c>
      <c r="V1275" s="2" t="s">
        <v>42</v>
      </c>
      <c r="W1275" s="2" t="s">
        <v>35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</row>
    <row r="1276" spans="1:35" x14ac:dyDescent="0.25">
      <c r="A1276" s="2">
        <v>31</v>
      </c>
      <c r="B1276" s="2" t="s">
        <v>43</v>
      </c>
      <c r="C1276" s="2" t="s">
        <v>36</v>
      </c>
      <c r="D1276" s="2">
        <v>196</v>
      </c>
      <c r="E1276" s="2" t="s">
        <v>37</v>
      </c>
      <c r="F1276" s="2">
        <v>29</v>
      </c>
      <c r="G1276" s="2">
        <v>4</v>
      </c>
      <c r="H1276" s="2" t="s">
        <v>59</v>
      </c>
      <c r="I1276" s="2">
        <v>1</v>
      </c>
      <c r="J1276" s="2">
        <v>1784</v>
      </c>
      <c r="K1276" s="2">
        <v>1</v>
      </c>
      <c r="L1276" s="2" t="s">
        <v>39</v>
      </c>
      <c r="M1276" s="2">
        <v>91</v>
      </c>
      <c r="N1276" s="2">
        <v>2</v>
      </c>
      <c r="O1276" s="2">
        <v>2</v>
      </c>
      <c r="P1276" s="2" t="s">
        <v>40</v>
      </c>
      <c r="Q1276" s="2">
        <v>4</v>
      </c>
      <c r="R1276" s="2" t="s">
        <v>48</v>
      </c>
      <c r="S1276" s="2">
        <v>5468</v>
      </c>
      <c r="T1276" s="2">
        <v>13402</v>
      </c>
      <c r="U1276" s="2">
        <v>1</v>
      </c>
      <c r="V1276" s="2" t="s">
        <v>42</v>
      </c>
      <c r="W1276" s="2" t="s">
        <v>43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</row>
    <row r="1277" spans="1:35" x14ac:dyDescent="0.25">
      <c r="A1277" s="2">
        <v>51</v>
      </c>
      <c r="B1277" s="2" t="s">
        <v>43</v>
      </c>
      <c r="C1277" s="2" t="s">
        <v>36</v>
      </c>
      <c r="D1277" s="2">
        <v>942</v>
      </c>
      <c r="E1277" s="2" t="s">
        <v>45</v>
      </c>
      <c r="F1277" s="2">
        <v>3</v>
      </c>
      <c r="G1277" s="2">
        <v>3</v>
      </c>
      <c r="H1277" s="2" t="s">
        <v>60</v>
      </c>
      <c r="I1277" s="2">
        <v>1</v>
      </c>
      <c r="J1277" s="2">
        <v>1786</v>
      </c>
      <c r="K1277" s="2">
        <v>1</v>
      </c>
      <c r="L1277" s="2" t="s">
        <v>39</v>
      </c>
      <c r="M1277" s="2">
        <v>53</v>
      </c>
      <c r="N1277" s="2">
        <v>3</v>
      </c>
      <c r="O1277" s="2">
        <v>3</v>
      </c>
      <c r="P1277" s="2" t="s">
        <v>56</v>
      </c>
      <c r="Q1277" s="2">
        <v>3</v>
      </c>
      <c r="R1277" s="2" t="s">
        <v>48</v>
      </c>
      <c r="S1277" s="2">
        <v>13116</v>
      </c>
      <c r="T1277" s="2">
        <v>22984</v>
      </c>
      <c r="U1277" s="2">
        <v>2</v>
      </c>
      <c r="V1277" s="2" t="s">
        <v>42</v>
      </c>
      <c r="W1277" s="2" t="s">
        <v>43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</row>
    <row r="1278" spans="1:35" x14ac:dyDescent="0.25">
      <c r="A1278" s="2">
        <v>37</v>
      </c>
      <c r="B1278" s="2" t="s">
        <v>43</v>
      </c>
      <c r="C1278" s="2" t="s">
        <v>36</v>
      </c>
      <c r="D1278" s="2">
        <v>589</v>
      </c>
      <c r="E1278" s="2" t="s">
        <v>37</v>
      </c>
      <c r="F1278" s="2">
        <v>9</v>
      </c>
      <c r="G1278" s="2">
        <v>2</v>
      </c>
      <c r="H1278" s="2" t="s">
        <v>59</v>
      </c>
      <c r="I1278" s="2">
        <v>1</v>
      </c>
      <c r="J1278" s="2">
        <v>1787</v>
      </c>
      <c r="K1278" s="2">
        <v>2</v>
      </c>
      <c r="L1278" s="2" t="s">
        <v>46</v>
      </c>
      <c r="M1278" s="2">
        <v>46</v>
      </c>
      <c r="N1278" s="2">
        <v>2</v>
      </c>
      <c r="O1278" s="2">
        <v>2</v>
      </c>
      <c r="P1278" s="2" t="s">
        <v>40</v>
      </c>
      <c r="Q1278" s="2">
        <v>2</v>
      </c>
      <c r="R1278" s="2" t="s">
        <v>48</v>
      </c>
      <c r="S1278" s="2">
        <v>4189</v>
      </c>
      <c r="T1278" s="2">
        <v>8800</v>
      </c>
      <c r="U1278" s="2">
        <v>1</v>
      </c>
      <c r="V1278" s="2" t="s">
        <v>42</v>
      </c>
      <c r="W1278" s="2" t="s">
        <v>43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</row>
    <row r="1279" spans="1:35" x14ac:dyDescent="0.25">
      <c r="A1279" s="2">
        <v>46</v>
      </c>
      <c r="B1279" s="2" t="s">
        <v>43</v>
      </c>
      <c r="C1279" s="2" t="s">
        <v>36</v>
      </c>
      <c r="D1279" s="2">
        <v>734</v>
      </c>
      <c r="E1279" s="2" t="s">
        <v>45</v>
      </c>
      <c r="F1279" s="2">
        <v>2</v>
      </c>
      <c r="G1279" s="2">
        <v>4</v>
      </c>
      <c r="H1279" s="2" t="s">
        <v>51</v>
      </c>
      <c r="I1279" s="2">
        <v>1</v>
      </c>
      <c r="J1279" s="2">
        <v>1789</v>
      </c>
      <c r="K1279" s="2">
        <v>3</v>
      </c>
      <c r="L1279" s="2" t="s">
        <v>46</v>
      </c>
      <c r="M1279" s="2">
        <v>46</v>
      </c>
      <c r="N1279" s="2">
        <v>3</v>
      </c>
      <c r="O1279" s="2">
        <v>5</v>
      </c>
      <c r="P1279" s="2" t="s">
        <v>58</v>
      </c>
      <c r="Q1279" s="2">
        <v>4</v>
      </c>
      <c r="R1279" s="2" t="s">
        <v>52</v>
      </c>
      <c r="S1279" s="2">
        <v>19328</v>
      </c>
      <c r="T1279" s="2">
        <v>14218</v>
      </c>
      <c r="U1279" s="2">
        <v>7</v>
      </c>
      <c r="V1279" s="2" t="s">
        <v>42</v>
      </c>
      <c r="W1279" s="2" t="s">
        <v>35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</row>
    <row r="1280" spans="1:35" x14ac:dyDescent="0.25">
      <c r="A1280" s="2">
        <v>36</v>
      </c>
      <c r="B1280" s="2" t="s">
        <v>43</v>
      </c>
      <c r="C1280" s="2" t="s">
        <v>36</v>
      </c>
      <c r="D1280" s="2">
        <v>1383</v>
      </c>
      <c r="E1280" s="2" t="s">
        <v>45</v>
      </c>
      <c r="F1280" s="2">
        <v>10</v>
      </c>
      <c r="G1280" s="2">
        <v>3</v>
      </c>
      <c r="H1280" s="2" t="s">
        <v>38</v>
      </c>
      <c r="I1280" s="2">
        <v>1</v>
      </c>
      <c r="J1280" s="2">
        <v>1790</v>
      </c>
      <c r="K1280" s="2">
        <v>4</v>
      </c>
      <c r="L1280" s="2" t="s">
        <v>46</v>
      </c>
      <c r="M1280" s="2">
        <v>90</v>
      </c>
      <c r="N1280" s="2">
        <v>3</v>
      </c>
      <c r="O1280" s="2">
        <v>3</v>
      </c>
      <c r="P1280" s="2" t="s">
        <v>54</v>
      </c>
      <c r="Q1280" s="2">
        <v>1</v>
      </c>
      <c r="R1280" s="2" t="s">
        <v>48</v>
      </c>
      <c r="S1280" s="2">
        <v>8321</v>
      </c>
      <c r="T1280" s="2">
        <v>25949</v>
      </c>
      <c r="U1280" s="2">
        <v>7</v>
      </c>
      <c r="V1280" s="2" t="s">
        <v>42</v>
      </c>
      <c r="W1280" s="2" t="s">
        <v>35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</row>
    <row r="1281" spans="1:35" x14ac:dyDescent="0.25">
      <c r="A1281" s="2">
        <v>44</v>
      </c>
      <c r="B1281" s="2" t="s">
        <v>35</v>
      </c>
      <c r="C1281" s="2" t="s">
        <v>44</v>
      </c>
      <c r="D1281" s="2">
        <v>429</v>
      </c>
      <c r="E1281" s="2" t="s">
        <v>45</v>
      </c>
      <c r="F1281" s="2">
        <v>1</v>
      </c>
      <c r="G1281" s="2">
        <v>2</v>
      </c>
      <c r="H1281" s="2" t="s">
        <v>51</v>
      </c>
      <c r="I1281" s="2">
        <v>1</v>
      </c>
      <c r="J1281" s="2">
        <v>1792</v>
      </c>
      <c r="K1281" s="2">
        <v>3</v>
      </c>
      <c r="L1281" s="2" t="s">
        <v>46</v>
      </c>
      <c r="M1281" s="2">
        <v>99</v>
      </c>
      <c r="N1281" s="2">
        <v>3</v>
      </c>
      <c r="O1281" s="2">
        <v>1</v>
      </c>
      <c r="P1281" s="2" t="s">
        <v>47</v>
      </c>
      <c r="Q1281" s="2">
        <v>2</v>
      </c>
      <c r="R1281" s="2" t="s">
        <v>52</v>
      </c>
      <c r="S1281" s="2">
        <v>2342</v>
      </c>
      <c r="T1281" s="2">
        <v>11092</v>
      </c>
      <c r="U1281" s="2">
        <v>1</v>
      </c>
      <c r="V1281" s="2" t="s">
        <v>42</v>
      </c>
      <c r="W1281" s="2" t="s">
        <v>35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</row>
    <row r="1282" spans="1:35" x14ac:dyDescent="0.25">
      <c r="A1282" s="2">
        <v>37</v>
      </c>
      <c r="B1282" s="2" t="s">
        <v>43</v>
      </c>
      <c r="C1282" s="2" t="s">
        <v>36</v>
      </c>
      <c r="D1282" s="2">
        <v>1239</v>
      </c>
      <c r="E1282" s="2" t="s">
        <v>61</v>
      </c>
      <c r="F1282" s="2">
        <v>8</v>
      </c>
      <c r="G1282" s="2">
        <v>2</v>
      </c>
      <c r="H1282" s="2" t="s">
        <v>49</v>
      </c>
      <c r="I1282" s="2">
        <v>1</v>
      </c>
      <c r="J1282" s="2">
        <v>1794</v>
      </c>
      <c r="K1282" s="2">
        <v>3</v>
      </c>
      <c r="L1282" s="2" t="s">
        <v>46</v>
      </c>
      <c r="M1282" s="2">
        <v>89</v>
      </c>
      <c r="N1282" s="2">
        <v>3</v>
      </c>
      <c r="O1282" s="2">
        <v>2</v>
      </c>
      <c r="P1282" s="2" t="s">
        <v>61</v>
      </c>
      <c r="Q1282" s="2">
        <v>2</v>
      </c>
      <c r="R1282" s="2" t="s">
        <v>52</v>
      </c>
      <c r="S1282" s="2">
        <v>4071</v>
      </c>
      <c r="T1282" s="2">
        <v>12832</v>
      </c>
      <c r="U1282" s="2">
        <v>2</v>
      </c>
      <c r="V1282" s="2" t="s">
        <v>42</v>
      </c>
      <c r="W1282" s="2" t="s">
        <v>43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</row>
    <row r="1283" spans="1:35" x14ac:dyDescent="0.25">
      <c r="A1283" s="2">
        <v>35</v>
      </c>
      <c r="B1283" s="2" t="s">
        <v>35</v>
      </c>
      <c r="C1283" s="2" t="s">
        <v>36</v>
      </c>
      <c r="D1283" s="2">
        <v>303</v>
      </c>
      <c r="E1283" s="2" t="s">
        <v>37</v>
      </c>
      <c r="F1283" s="2">
        <v>27</v>
      </c>
      <c r="G1283" s="2">
        <v>3</v>
      </c>
      <c r="H1283" s="2" t="s">
        <v>38</v>
      </c>
      <c r="I1283" s="2">
        <v>1</v>
      </c>
      <c r="J1283" s="2">
        <v>1797</v>
      </c>
      <c r="K1283" s="2">
        <v>3</v>
      </c>
      <c r="L1283" s="2" t="s">
        <v>46</v>
      </c>
      <c r="M1283" s="2">
        <v>84</v>
      </c>
      <c r="N1283" s="2">
        <v>3</v>
      </c>
      <c r="O1283" s="2">
        <v>2</v>
      </c>
      <c r="P1283" s="2" t="s">
        <v>40</v>
      </c>
      <c r="Q1283" s="2">
        <v>4</v>
      </c>
      <c r="R1283" s="2" t="s">
        <v>41</v>
      </c>
      <c r="S1283" s="2">
        <v>5813</v>
      </c>
      <c r="T1283" s="2">
        <v>13492</v>
      </c>
      <c r="U1283" s="2">
        <v>1</v>
      </c>
      <c r="V1283" s="2" t="s">
        <v>42</v>
      </c>
      <c r="W1283" s="2" t="s">
        <v>35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</row>
    <row r="1284" spans="1:35" x14ac:dyDescent="0.25">
      <c r="A1284" s="2">
        <v>33</v>
      </c>
      <c r="B1284" s="2" t="s">
        <v>43</v>
      </c>
      <c r="C1284" s="2" t="s">
        <v>36</v>
      </c>
      <c r="D1284" s="2">
        <v>867</v>
      </c>
      <c r="E1284" s="2" t="s">
        <v>45</v>
      </c>
      <c r="F1284" s="2">
        <v>8</v>
      </c>
      <c r="G1284" s="2">
        <v>4</v>
      </c>
      <c r="H1284" s="2" t="s">
        <v>38</v>
      </c>
      <c r="I1284" s="2">
        <v>1</v>
      </c>
      <c r="J1284" s="2">
        <v>1798</v>
      </c>
      <c r="K1284" s="2">
        <v>4</v>
      </c>
      <c r="L1284" s="2" t="s">
        <v>46</v>
      </c>
      <c r="M1284" s="2">
        <v>90</v>
      </c>
      <c r="N1284" s="2">
        <v>4</v>
      </c>
      <c r="O1284" s="2">
        <v>1</v>
      </c>
      <c r="P1284" s="2" t="s">
        <v>47</v>
      </c>
      <c r="Q1284" s="2">
        <v>1</v>
      </c>
      <c r="R1284" s="2" t="s">
        <v>48</v>
      </c>
      <c r="S1284" s="2">
        <v>3143</v>
      </c>
      <c r="T1284" s="2">
        <v>6076</v>
      </c>
      <c r="U1284" s="2">
        <v>6</v>
      </c>
      <c r="V1284" s="2" t="s">
        <v>42</v>
      </c>
      <c r="W1284" s="2" t="s">
        <v>43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</row>
    <row r="1285" spans="1:35" x14ac:dyDescent="0.25">
      <c r="A1285" s="2">
        <v>28</v>
      </c>
      <c r="B1285" s="2" t="s">
        <v>43</v>
      </c>
      <c r="C1285" s="2" t="s">
        <v>36</v>
      </c>
      <c r="D1285" s="2">
        <v>1181</v>
      </c>
      <c r="E1285" s="2" t="s">
        <v>45</v>
      </c>
      <c r="F1285" s="2">
        <v>1</v>
      </c>
      <c r="G1285" s="2">
        <v>3</v>
      </c>
      <c r="H1285" s="2" t="s">
        <v>38</v>
      </c>
      <c r="I1285" s="2">
        <v>1</v>
      </c>
      <c r="J1285" s="2">
        <v>1799</v>
      </c>
      <c r="K1285" s="2">
        <v>3</v>
      </c>
      <c r="L1285" s="2" t="s">
        <v>46</v>
      </c>
      <c r="M1285" s="2">
        <v>82</v>
      </c>
      <c r="N1285" s="2">
        <v>3</v>
      </c>
      <c r="O1285" s="2">
        <v>1</v>
      </c>
      <c r="P1285" s="2" t="s">
        <v>47</v>
      </c>
      <c r="Q1285" s="2">
        <v>4</v>
      </c>
      <c r="R1285" s="2" t="s">
        <v>48</v>
      </c>
      <c r="S1285" s="2">
        <v>2044</v>
      </c>
      <c r="T1285" s="2">
        <v>5531</v>
      </c>
      <c r="U1285" s="2">
        <v>1</v>
      </c>
      <c r="V1285" s="2" t="s">
        <v>42</v>
      </c>
      <c r="W1285" s="2" t="s">
        <v>43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</row>
    <row r="1286" spans="1:35" x14ac:dyDescent="0.25">
      <c r="A1286" s="2">
        <v>39</v>
      </c>
      <c r="B1286" s="2" t="s">
        <v>43</v>
      </c>
      <c r="C1286" s="2" t="s">
        <v>36</v>
      </c>
      <c r="D1286" s="2">
        <v>1253</v>
      </c>
      <c r="E1286" s="2" t="s">
        <v>45</v>
      </c>
      <c r="F1286" s="2">
        <v>10</v>
      </c>
      <c r="G1286" s="2">
        <v>1</v>
      </c>
      <c r="H1286" s="2" t="s">
        <v>51</v>
      </c>
      <c r="I1286" s="2">
        <v>1</v>
      </c>
      <c r="J1286" s="2">
        <v>1800</v>
      </c>
      <c r="K1286" s="2">
        <v>3</v>
      </c>
      <c r="L1286" s="2" t="s">
        <v>46</v>
      </c>
      <c r="M1286" s="2">
        <v>65</v>
      </c>
      <c r="N1286" s="2">
        <v>3</v>
      </c>
      <c r="O1286" s="2">
        <v>3</v>
      </c>
      <c r="P1286" s="2" t="s">
        <v>58</v>
      </c>
      <c r="Q1286" s="2">
        <v>3</v>
      </c>
      <c r="R1286" s="2" t="s">
        <v>41</v>
      </c>
      <c r="S1286" s="2">
        <v>13464</v>
      </c>
      <c r="T1286" s="2">
        <v>7914</v>
      </c>
      <c r="U1286" s="2">
        <v>7</v>
      </c>
      <c r="V1286" s="2" t="s">
        <v>42</v>
      </c>
      <c r="W1286" s="2" t="s">
        <v>43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</row>
    <row r="1287" spans="1:35" x14ac:dyDescent="0.25">
      <c r="A1287" s="2">
        <v>46</v>
      </c>
      <c r="B1287" s="2" t="s">
        <v>43</v>
      </c>
      <c r="C1287" s="2" t="s">
        <v>55</v>
      </c>
      <c r="D1287" s="2">
        <v>849</v>
      </c>
      <c r="E1287" s="2" t="s">
        <v>37</v>
      </c>
      <c r="F1287" s="2">
        <v>26</v>
      </c>
      <c r="G1287" s="2">
        <v>2</v>
      </c>
      <c r="H1287" s="2" t="s">
        <v>38</v>
      </c>
      <c r="I1287" s="2">
        <v>1</v>
      </c>
      <c r="J1287" s="2">
        <v>1801</v>
      </c>
      <c r="K1287" s="2">
        <v>2</v>
      </c>
      <c r="L1287" s="2" t="s">
        <v>46</v>
      </c>
      <c r="M1287" s="2">
        <v>98</v>
      </c>
      <c r="N1287" s="2">
        <v>2</v>
      </c>
      <c r="O1287" s="2">
        <v>2</v>
      </c>
      <c r="P1287" s="2" t="s">
        <v>40</v>
      </c>
      <c r="Q1287" s="2">
        <v>2</v>
      </c>
      <c r="R1287" s="2" t="s">
        <v>41</v>
      </c>
      <c r="S1287" s="2">
        <v>7991</v>
      </c>
      <c r="T1287" s="2">
        <v>25166</v>
      </c>
      <c r="U1287" s="2">
        <v>8</v>
      </c>
      <c r="V1287" s="2" t="s">
        <v>42</v>
      </c>
      <c r="W1287" s="2" t="s">
        <v>43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</row>
    <row r="1288" spans="1:35" x14ac:dyDescent="0.25">
      <c r="A1288" s="2">
        <v>40</v>
      </c>
      <c r="B1288" s="2" t="s">
        <v>43</v>
      </c>
      <c r="C1288" s="2" t="s">
        <v>36</v>
      </c>
      <c r="D1288" s="2">
        <v>616</v>
      </c>
      <c r="E1288" s="2" t="s">
        <v>45</v>
      </c>
      <c r="F1288" s="2">
        <v>2</v>
      </c>
      <c r="G1288" s="2">
        <v>2</v>
      </c>
      <c r="H1288" s="2" t="s">
        <v>38</v>
      </c>
      <c r="I1288" s="2">
        <v>1</v>
      </c>
      <c r="J1288" s="2">
        <v>1802</v>
      </c>
      <c r="K1288" s="2">
        <v>3</v>
      </c>
      <c r="L1288" s="2" t="s">
        <v>39</v>
      </c>
      <c r="M1288" s="2">
        <v>99</v>
      </c>
      <c r="N1288" s="2">
        <v>3</v>
      </c>
      <c r="O1288" s="2">
        <v>1</v>
      </c>
      <c r="P1288" s="2" t="s">
        <v>50</v>
      </c>
      <c r="Q1288" s="2">
        <v>1</v>
      </c>
      <c r="R1288" s="2" t="s">
        <v>48</v>
      </c>
      <c r="S1288" s="2">
        <v>3377</v>
      </c>
      <c r="T1288" s="2">
        <v>25605</v>
      </c>
      <c r="U1288" s="2">
        <v>4</v>
      </c>
      <c r="V1288" s="2" t="s">
        <v>42</v>
      </c>
      <c r="W1288" s="2" t="s">
        <v>43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</row>
    <row r="1289" spans="1:35" x14ac:dyDescent="0.25">
      <c r="A1289" s="2">
        <v>42</v>
      </c>
      <c r="B1289" s="2" t="s">
        <v>43</v>
      </c>
      <c r="C1289" s="2" t="s">
        <v>36</v>
      </c>
      <c r="D1289" s="2">
        <v>1128</v>
      </c>
      <c r="E1289" s="2" t="s">
        <v>45</v>
      </c>
      <c r="F1289" s="2">
        <v>13</v>
      </c>
      <c r="G1289" s="2">
        <v>3</v>
      </c>
      <c r="H1289" s="2" t="s">
        <v>51</v>
      </c>
      <c r="I1289" s="2">
        <v>1</v>
      </c>
      <c r="J1289" s="2">
        <v>1803</v>
      </c>
      <c r="K1289" s="2">
        <v>2</v>
      </c>
      <c r="L1289" s="2" t="s">
        <v>46</v>
      </c>
      <c r="M1289" s="2">
        <v>95</v>
      </c>
      <c r="N1289" s="2">
        <v>4</v>
      </c>
      <c r="O1289" s="2">
        <v>2</v>
      </c>
      <c r="P1289" s="2" t="s">
        <v>54</v>
      </c>
      <c r="Q1289" s="2">
        <v>1</v>
      </c>
      <c r="R1289" s="2" t="s">
        <v>48</v>
      </c>
      <c r="S1289" s="2">
        <v>5538</v>
      </c>
      <c r="T1289" s="2">
        <v>5696</v>
      </c>
      <c r="U1289" s="2">
        <v>5</v>
      </c>
      <c r="V1289" s="2" t="s">
        <v>42</v>
      </c>
      <c r="W1289" s="2" t="s">
        <v>43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</row>
    <row r="1290" spans="1:35" x14ac:dyDescent="0.25">
      <c r="A1290" s="2">
        <v>35</v>
      </c>
      <c r="B1290" s="2" t="s">
        <v>43</v>
      </c>
      <c r="C1290" s="2" t="s">
        <v>55</v>
      </c>
      <c r="D1290" s="2">
        <v>1180</v>
      </c>
      <c r="E1290" s="2" t="s">
        <v>45</v>
      </c>
      <c r="F1290" s="2">
        <v>2</v>
      </c>
      <c r="G1290" s="2">
        <v>2</v>
      </c>
      <c r="H1290" s="2" t="s">
        <v>51</v>
      </c>
      <c r="I1290" s="2">
        <v>1</v>
      </c>
      <c r="J1290" s="2">
        <v>1804</v>
      </c>
      <c r="K1290" s="2">
        <v>2</v>
      </c>
      <c r="L1290" s="2" t="s">
        <v>46</v>
      </c>
      <c r="M1290" s="2">
        <v>90</v>
      </c>
      <c r="N1290" s="2">
        <v>3</v>
      </c>
      <c r="O1290" s="2">
        <v>2</v>
      </c>
      <c r="P1290" s="2" t="s">
        <v>53</v>
      </c>
      <c r="Q1290" s="2">
        <v>4</v>
      </c>
      <c r="R1290" s="2" t="s">
        <v>52</v>
      </c>
      <c r="S1290" s="2">
        <v>5762</v>
      </c>
      <c r="T1290" s="2">
        <v>24442</v>
      </c>
      <c r="U1290" s="2">
        <v>2</v>
      </c>
      <c r="V1290" s="2" t="s">
        <v>42</v>
      </c>
      <c r="W1290" s="2" t="s">
        <v>43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</row>
    <row r="1291" spans="1:35" x14ac:dyDescent="0.25">
      <c r="A1291" s="2">
        <v>38</v>
      </c>
      <c r="B1291" s="2" t="s">
        <v>43</v>
      </c>
      <c r="C1291" s="2" t="s">
        <v>55</v>
      </c>
      <c r="D1291" s="2">
        <v>1336</v>
      </c>
      <c r="E1291" s="2" t="s">
        <v>61</v>
      </c>
      <c r="F1291" s="2">
        <v>2</v>
      </c>
      <c r="G1291" s="2">
        <v>3</v>
      </c>
      <c r="H1291" s="2" t="s">
        <v>61</v>
      </c>
      <c r="I1291" s="2">
        <v>1</v>
      </c>
      <c r="J1291" s="2">
        <v>1805</v>
      </c>
      <c r="K1291" s="2">
        <v>1</v>
      </c>
      <c r="L1291" s="2" t="s">
        <v>46</v>
      </c>
      <c r="M1291" s="2">
        <v>100</v>
      </c>
      <c r="N1291" s="2">
        <v>3</v>
      </c>
      <c r="O1291" s="2">
        <v>1</v>
      </c>
      <c r="P1291" s="2" t="s">
        <v>61</v>
      </c>
      <c r="Q1291" s="2">
        <v>2</v>
      </c>
      <c r="R1291" s="2" t="s">
        <v>52</v>
      </c>
      <c r="S1291" s="2">
        <v>2592</v>
      </c>
      <c r="T1291" s="2">
        <v>7129</v>
      </c>
      <c r="U1291" s="2">
        <v>5</v>
      </c>
      <c r="V1291" s="2" t="s">
        <v>42</v>
      </c>
      <c r="W1291" s="2" t="s">
        <v>43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</row>
    <row r="1292" spans="1:35" x14ac:dyDescent="0.25">
      <c r="A1292" s="2">
        <v>34</v>
      </c>
      <c r="B1292" s="2" t="s">
        <v>35</v>
      </c>
      <c r="C1292" s="2" t="s">
        <v>44</v>
      </c>
      <c r="D1292" s="2">
        <v>234</v>
      </c>
      <c r="E1292" s="2" t="s">
        <v>45</v>
      </c>
      <c r="F1292" s="2">
        <v>9</v>
      </c>
      <c r="G1292" s="2">
        <v>4</v>
      </c>
      <c r="H1292" s="2" t="s">
        <v>38</v>
      </c>
      <c r="I1292" s="2">
        <v>1</v>
      </c>
      <c r="J1292" s="2">
        <v>1807</v>
      </c>
      <c r="K1292" s="2">
        <v>4</v>
      </c>
      <c r="L1292" s="2" t="s">
        <v>46</v>
      </c>
      <c r="M1292" s="2">
        <v>93</v>
      </c>
      <c r="N1292" s="2">
        <v>3</v>
      </c>
      <c r="O1292" s="2">
        <v>2</v>
      </c>
      <c r="P1292" s="2" t="s">
        <v>50</v>
      </c>
      <c r="Q1292" s="2">
        <v>1</v>
      </c>
      <c r="R1292" s="2" t="s">
        <v>48</v>
      </c>
      <c r="S1292" s="2">
        <v>5346</v>
      </c>
      <c r="T1292" s="2">
        <v>6208</v>
      </c>
      <c r="U1292" s="2">
        <v>4</v>
      </c>
      <c r="V1292" s="2" t="s">
        <v>42</v>
      </c>
      <c r="W1292" s="2" t="s">
        <v>43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</row>
    <row r="1293" spans="1:35" x14ac:dyDescent="0.25">
      <c r="A1293" s="2">
        <v>37</v>
      </c>
      <c r="B1293" s="2" t="s">
        <v>35</v>
      </c>
      <c r="C1293" s="2" t="s">
        <v>36</v>
      </c>
      <c r="D1293" s="2">
        <v>370</v>
      </c>
      <c r="E1293" s="2" t="s">
        <v>45</v>
      </c>
      <c r="F1293" s="2">
        <v>10</v>
      </c>
      <c r="G1293" s="2">
        <v>4</v>
      </c>
      <c r="H1293" s="2" t="s">
        <v>51</v>
      </c>
      <c r="I1293" s="2">
        <v>1</v>
      </c>
      <c r="J1293" s="2">
        <v>1809</v>
      </c>
      <c r="K1293" s="2">
        <v>4</v>
      </c>
      <c r="L1293" s="2" t="s">
        <v>46</v>
      </c>
      <c r="M1293" s="2">
        <v>58</v>
      </c>
      <c r="N1293" s="2">
        <v>3</v>
      </c>
      <c r="O1293" s="2">
        <v>2</v>
      </c>
      <c r="P1293" s="2" t="s">
        <v>53</v>
      </c>
      <c r="Q1293" s="2">
        <v>1</v>
      </c>
      <c r="R1293" s="2" t="s">
        <v>41</v>
      </c>
      <c r="S1293" s="2">
        <v>4213</v>
      </c>
      <c r="T1293" s="2">
        <v>4992</v>
      </c>
      <c r="U1293" s="2">
        <v>1</v>
      </c>
      <c r="V1293" s="2" t="s">
        <v>42</v>
      </c>
      <c r="W1293" s="2" t="s">
        <v>43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</row>
    <row r="1294" spans="1:35" x14ac:dyDescent="0.25">
      <c r="A1294" s="2">
        <v>39</v>
      </c>
      <c r="B1294" s="2" t="s">
        <v>43</v>
      </c>
      <c r="C1294" s="2" t="s">
        <v>44</v>
      </c>
      <c r="D1294" s="2">
        <v>766</v>
      </c>
      <c r="E1294" s="2" t="s">
        <v>37</v>
      </c>
      <c r="F1294" s="2">
        <v>20</v>
      </c>
      <c r="G1294" s="2">
        <v>3</v>
      </c>
      <c r="H1294" s="2" t="s">
        <v>38</v>
      </c>
      <c r="I1294" s="2">
        <v>1</v>
      </c>
      <c r="J1294" s="2">
        <v>1812</v>
      </c>
      <c r="K1294" s="2">
        <v>3</v>
      </c>
      <c r="L1294" s="2" t="s">
        <v>46</v>
      </c>
      <c r="M1294" s="2">
        <v>83</v>
      </c>
      <c r="N1294" s="2">
        <v>3</v>
      </c>
      <c r="O1294" s="2">
        <v>2</v>
      </c>
      <c r="P1294" s="2" t="s">
        <v>40</v>
      </c>
      <c r="Q1294" s="2">
        <v>4</v>
      </c>
      <c r="R1294" s="2" t="s">
        <v>52</v>
      </c>
      <c r="S1294" s="2">
        <v>4127</v>
      </c>
      <c r="T1294" s="2">
        <v>19188</v>
      </c>
      <c r="U1294" s="2">
        <v>2</v>
      </c>
      <c r="V1294" s="2" t="s">
        <v>42</v>
      </c>
      <c r="W1294" s="2" t="s">
        <v>43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</row>
    <row r="1295" spans="1:35" x14ac:dyDescent="0.25">
      <c r="A1295" s="2">
        <v>43</v>
      </c>
      <c r="B1295" s="2" t="s">
        <v>43</v>
      </c>
      <c r="C1295" s="2" t="s">
        <v>55</v>
      </c>
      <c r="D1295" s="2">
        <v>343</v>
      </c>
      <c r="E1295" s="2" t="s">
        <v>45</v>
      </c>
      <c r="F1295" s="2">
        <v>9</v>
      </c>
      <c r="G1295" s="2">
        <v>3</v>
      </c>
      <c r="H1295" s="2" t="s">
        <v>38</v>
      </c>
      <c r="I1295" s="2">
        <v>1</v>
      </c>
      <c r="J1295" s="2">
        <v>1813</v>
      </c>
      <c r="K1295" s="2">
        <v>1</v>
      </c>
      <c r="L1295" s="2" t="s">
        <v>46</v>
      </c>
      <c r="M1295" s="2">
        <v>52</v>
      </c>
      <c r="N1295" s="2">
        <v>3</v>
      </c>
      <c r="O1295" s="2">
        <v>1</v>
      </c>
      <c r="P1295" s="2" t="s">
        <v>47</v>
      </c>
      <c r="Q1295" s="2">
        <v>3</v>
      </c>
      <c r="R1295" s="2" t="s">
        <v>41</v>
      </c>
      <c r="S1295" s="2">
        <v>2438</v>
      </c>
      <c r="T1295" s="2">
        <v>24978</v>
      </c>
      <c r="U1295" s="2">
        <v>4</v>
      </c>
      <c r="V1295" s="2" t="s">
        <v>42</v>
      </c>
      <c r="W1295" s="2" t="s">
        <v>43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</row>
    <row r="1296" spans="1:35" x14ac:dyDescent="0.25">
      <c r="A1296" s="2">
        <v>41</v>
      </c>
      <c r="B1296" s="2" t="s">
        <v>43</v>
      </c>
      <c r="C1296" s="2" t="s">
        <v>36</v>
      </c>
      <c r="D1296" s="2">
        <v>447</v>
      </c>
      <c r="E1296" s="2" t="s">
        <v>45</v>
      </c>
      <c r="F1296" s="2">
        <v>5</v>
      </c>
      <c r="G1296" s="2">
        <v>3</v>
      </c>
      <c r="H1296" s="2" t="s">
        <v>38</v>
      </c>
      <c r="I1296" s="2">
        <v>1</v>
      </c>
      <c r="J1296" s="2">
        <v>1814</v>
      </c>
      <c r="K1296" s="2">
        <v>2</v>
      </c>
      <c r="L1296" s="2" t="s">
        <v>46</v>
      </c>
      <c r="M1296" s="2">
        <v>85</v>
      </c>
      <c r="N1296" s="2">
        <v>4</v>
      </c>
      <c r="O1296" s="2">
        <v>2</v>
      </c>
      <c r="P1296" s="2" t="s">
        <v>54</v>
      </c>
      <c r="Q1296" s="2">
        <v>2</v>
      </c>
      <c r="R1296" s="2" t="s">
        <v>41</v>
      </c>
      <c r="S1296" s="2">
        <v>6870</v>
      </c>
      <c r="T1296" s="2">
        <v>15530</v>
      </c>
      <c r="U1296" s="2">
        <v>3</v>
      </c>
      <c r="V1296" s="2" t="s">
        <v>42</v>
      </c>
      <c r="W1296" s="2" t="s">
        <v>43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</row>
    <row r="1297" spans="1:35" x14ac:dyDescent="0.25">
      <c r="A1297" s="2">
        <v>41</v>
      </c>
      <c r="B1297" s="2" t="s">
        <v>43</v>
      </c>
      <c r="C1297" s="2" t="s">
        <v>36</v>
      </c>
      <c r="D1297" s="2">
        <v>796</v>
      </c>
      <c r="E1297" s="2" t="s">
        <v>37</v>
      </c>
      <c r="F1297" s="2">
        <v>4</v>
      </c>
      <c r="G1297" s="2">
        <v>1</v>
      </c>
      <c r="H1297" s="2" t="s">
        <v>59</v>
      </c>
      <c r="I1297" s="2">
        <v>1</v>
      </c>
      <c r="J1297" s="2">
        <v>1815</v>
      </c>
      <c r="K1297" s="2">
        <v>3</v>
      </c>
      <c r="L1297" s="2" t="s">
        <v>39</v>
      </c>
      <c r="M1297" s="2">
        <v>81</v>
      </c>
      <c r="N1297" s="2">
        <v>3</v>
      </c>
      <c r="O1297" s="2">
        <v>3</v>
      </c>
      <c r="P1297" s="2" t="s">
        <v>40</v>
      </c>
      <c r="Q1297" s="2">
        <v>3</v>
      </c>
      <c r="R1297" s="2" t="s">
        <v>52</v>
      </c>
      <c r="S1297" s="2">
        <v>10447</v>
      </c>
      <c r="T1297" s="2">
        <v>26458</v>
      </c>
      <c r="U1297" s="2">
        <v>0</v>
      </c>
      <c r="V1297" s="2" t="s">
        <v>42</v>
      </c>
      <c r="W1297" s="2" t="s">
        <v>35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</row>
    <row r="1298" spans="1:35" x14ac:dyDescent="0.25">
      <c r="A1298" s="2">
        <v>30</v>
      </c>
      <c r="B1298" s="2" t="s">
        <v>43</v>
      </c>
      <c r="C1298" s="2" t="s">
        <v>36</v>
      </c>
      <c r="D1298" s="2">
        <v>1092</v>
      </c>
      <c r="E1298" s="2" t="s">
        <v>45</v>
      </c>
      <c r="F1298" s="2">
        <v>10</v>
      </c>
      <c r="G1298" s="2">
        <v>3</v>
      </c>
      <c r="H1298" s="2" t="s">
        <v>51</v>
      </c>
      <c r="I1298" s="2">
        <v>1</v>
      </c>
      <c r="J1298" s="2">
        <v>1816</v>
      </c>
      <c r="K1298" s="2">
        <v>1</v>
      </c>
      <c r="L1298" s="2" t="s">
        <v>39</v>
      </c>
      <c r="M1298" s="2">
        <v>64</v>
      </c>
      <c r="N1298" s="2">
        <v>3</v>
      </c>
      <c r="O1298" s="2">
        <v>3</v>
      </c>
      <c r="P1298" s="2" t="s">
        <v>53</v>
      </c>
      <c r="Q1298" s="2">
        <v>3</v>
      </c>
      <c r="R1298" s="2" t="s">
        <v>41</v>
      </c>
      <c r="S1298" s="2">
        <v>9667</v>
      </c>
      <c r="T1298" s="2">
        <v>2739</v>
      </c>
      <c r="U1298" s="2">
        <v>9</v>
      </c>
      <c r="V1298" s="2" t="s">
        <v>42</v>
      </c>
      <c r="W1298" s="2" t="s">
        <v>43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</row>
    <row r="1299" spans="1:35" x14ac:dyDescent="0.25">
      <c r="A1299" s="2">
        <v>26</v>
      </c>
      <c r="B1299" s="2" t="s">
        <v>35</v>
      </c>
      <c r="C1299" s="2" t="s">
        <v>36</v>
      </c>
      <c r="D1299" s="2">
        <v>920</v>
      </c>
      <c r="E1299" s="2" t="s">
        <v>61</v>
      </c>
      <c r="F1299" s="2">
        <v>20</v>
      </c>
      <c r="G1299" s="2">
        <v>2</v>
      </c>
      <c r="H1299" s="2" t="s">
        <v>51</v>
      </c>
      <c r="I1299" s="2">
        <v>1</v>
      </c>
      <c r="J1299" s="2">
        <v>1818</v>
      </c>
      <c r="K1299" s="2">
        <v>4</v>
      </c>
      <c r="L1299" s="2" t="s">
        <v>39</v>
      </c>
      <c r="M1299" s="2">
        <v>69</v>
      </c>
      <c r="N1299" s="2">
        <v>3</v>
      </c>
      <c r="O1299" s="2">
        <v>1</v>
      </c>
      <c r="P1299" s="2" t="s">
        <v>61</v>
      </c>
      <c r="Q1299" s="2">
        <v>2</v>
      </c>
      <c r="R1299" s="2" t="s">
        <v>48</v>
      </c>
      <c r="S1299" s="2">
        <v>2148</v>
      </c>
      <c r="T1299" s="2">
        <v>6889</v>
      </c>
      <c r="U1299" s="2">
        <v>0</v>
      </c>
      <c r="V1299" s="2" t="s">
        <v>42</v>
      </c>
      <c r="W1299" s="2" t="s">
        <v>35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</row>
    <row r="1300" spans="1:35" x14ac:dyDescent="0.25">
      <c r="A1300" s="2">
        <v>46</v>
      </c>
      <c r="B1300" s="2" t="s">
        <v>35</v>
      </c>
      <c r="C1300" s="2" t="s">
        <v>36</v>
      </c>
      <c r="D1300" s="2">
        <v>261</v>
      </c>
      <c r="E1300" s="2" t="s">
        <v>45</v>
      </c>
      <c r="F1300" s="2">
        <v>21</v>
      </c>
      <c r="G1300" s="2">
        <v>2</v>
      </c>
      <c r="H1300" s="2" t="s">
        <v>51</v>
      </c>
      <c r="I1300" s="2">
        <v>1</v>
      </c>
      <c r="J1300" s="2">
        <v>1821</v>
      </c>
      <c r="K1300" s="2">
        <v>4</v>
      </c>
      <c r="L1300" s="2" t="s">
        <v>39</v>
      </c>
      <c r="M1300" s="2">
        <v>66</v>
      </c>
      <c r="N1300" s="2">
        <v>3</v>
      </c>
      <c r="O1300" s="2">
        <v>2</v>
      </c>
      <c r="P1300" s="2" t="s">
        <v>54</v>
      </c>
      <c r="Q1300" s="2">
        <v>2</v>
      </c>
      <c r="R1300" s="2" t="s">
        <v>48</v>
      </c>
      <c r="S1300" s="2">
        <v>8926</v>
      </c>
      <c r="T1300" s="2">
        <v>10842</v>
      </c>
      <c r="U1300" s="2">
        <v>4</v>
      </c>
      <c r="V1300" s="2" t="s">
        <v>42</v>
      </c>
      <c r="W1300" s="2" t="s">
        <v>43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</row>
    <row r="1301" spans="1:35" x14ac:dyDescent="0.25">
      <c r="A1301" s="2">
        <v>40</v>
      </c>
      <c r="B1301" s="2" t="s">
        <v>43</v>
      </c>
      <c r="C1301" s="2" t="s">
        <v>36</v>
      </c>
      <c r="D1301" s="2">
        <v>1194</v>
      </c>
      <c r="E1301" s="2" t="s">
        <v>45</v>
      </c>
      <c r="F1301" s="2">
        <v>1</v>
      </c>
      <c r="G1301" s="2">
        <v>3</v>
      </c>
      <c r="H1301" s="2" t="s">
        <v>38</v>
      </c>
      <c r="I1301" s="2">
        <v>1</v>
      </c>
      <c r="J1301" s="2">
        <v>1822</v>
      </c>
      <c r="K1301" s="2">
        <v>3</v>
      </c>
      <c r="L1301" s="2" t="s">
        <v>39</v>
      </c>
      <c r="M1301" s="2">
        <v>52</v>
      </c>
      <c r="N1301" s="2">
        <v>3</v>
      </c>
      <c r="O1301" s="2">
        <v>2</v>
      </c>
      <c r="P1301" s="2" t="s">
        <v>54</v>
      </c>
      <c r="Q1301" s="2">
        <v>4</v>
      </c>
      <c r="R1301" s="2" t="s">
        <v>52</v>
      </c>
      <c r="S1301" s="2">
        <v>6513</v>
      </c>
      <c r="T1301" s="2">
        <v>9060</v>
      </c>
      <c r="U1301" s="2">
        <v>4</v>
      </c>
      <c r="V1301" s="2" t="s">
        <v>42</v>
      </c>
      <c r="W1301" s="2" t="s">
        <v>43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</row>
    <row r="1302" spans="1:35" x14ac:dyDescent="0.25">
      <c r="A1302" s="2">
        <v>34</v>
      </c>
      <c r="B1302" s="2" t="s">
        <v>43</v>
      </c>
      <c r="C1302" s="2" t="s">
        <v>36</v>
      </c>
      <c r="D1302" s="2">
        <v>810</v>
      </c>
      <c r="E1302" s="2" t="s">
        <v>37</v>
      </c>
      <c r="F1302" s="2">
        <v>8</v>
      </c>
      <c r="G1302" s="2">
        <v>2</v>
      </c>
      <c r="H1302" s="2" t="s">
        <v>60</v>
      </c>
      <c r="I1302" s="2">
        <v>1</v>
      </c>
      <c r="J1302" s="2">
        <v>1823</v>
      </c>
      <c r="K1302" s="2">
        <v>2</v>
      </c>
      <c r="L1302" s="2" t="s">
        <v>46</v>
      </c>
      <c r="M1302" s="2">
        <v>92</v>
      </c>
      <c r="N1302" s="2">
        <v>4</v>
      </c>
      <c r="O1302" s="2">
        <v>2</v>
      </c>
      <c r="P1302" s="2" t="s">
        <v>40</v>
      </c>
      <c r="Q1302" s="2">
        <v>3</v>
      </c>
      <c r="R1302" s="2" t="s">
        <v>48</v>
      </c>
      <c r="S1302" s="2">
        <v>6799</v>
      </c>
      <c r="T1302" s="2">
        <v>22128</v>
      </c>
      <c r="U1302" s="2">
        <v>1</v>
      </c>
      <c r="V1302" s="2" t="s">
        <v>42</v>
      </c>
      <c r="W1302" s="2" t="s">
        <v>43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</row>
    <row r="1303" spans="1:35" x14ac:dyDescent="0.25">
      <c r="A1303" s="2">
        <v>58</v>
      </c>
      <c r="B1303" s="2" t="s">
        <v>43</v>
      </c>
      <c r="C1303" s="2" t="s">
        <v>55</v>
      </c>
      <c r="D1303" s="2">
        <v>350</v>
      </c>
      <c r="E1303" s="2" t="s">
        <v>37</v>
      </c>
      <c r="F1303" s="2">
        <v>2</v>
      </c>
      <c r="G1303" s="2">
        <v>3</v>
      </c>
      <c r="H1303" s="2" t="s">
        <v>51</v>
      </c>
      <c r="I1303" s="2">
        <v>1</v>
      </c>
      <c r="J1303" s="2">
        <v>1824</v>
      </c>
      <c r="K1303" s="2">
        <v>2</v>
      </c>
      <c r="L1303" s="2" t="s">
        <v>46</v>
      </c>
      <c r="M1303" s="2">
        <v>52</v>
      </c>
      <c r="N1303" s="2">
        <v>3</v>
      </c>
      <c r="O1303" s="2">
        <v>4</v>
      </c>
      <c r="P1303" s="2" t="s">
        <v>56</v>
      </c>
      <c r="Q1303" s="2">
        <v>2</v>
      </c>
      <c r="R1303" s="2" t="s">
        <v>52</v>
      </c>
      <c r="S1303" s="2">
        <v>16291</v>
      </c>
      <c r="T1303" s="2">
        <v>22577</v>
      </c>
      <c r="U1303" s="2">
        <v>4</v>
      </c>
      <c r="V1303" s="2" t="s">
        <v>42</v>
      </c>
      <c r="W1303" s="2" t="s">
        <v>43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</row>
    <row r="1304" spans="1:35" x14ac:dyDescent="0.25">
      <c r="A1304" s="2">
        <v>35</v>
      </c>
      <c r="B1304" s="2" t="s">
        <v>43</v>
      </c>
      <c r="C1304" s="2" t="s">
        <v>36</v>
      </c>
      <c r="D1304" s="2">
        <v>185</v>
      </c>
      <c r="E1304" s="2" t="s">
        <v>45</v>
      </c>
      <c r="F1304" s="2">
        <v>23</v>
      </c>
      <c r="G1304" s="2">
        <v>4</v>
      </c>
      <c r="H1304" s="2" t="s">
        <v>51</v>
      </c>
      <c r="I1304" s="2">
        <v>1</v>
      </c>
      <c r="J1304" s="2">
        <v>1826</v>
      </c>
      <c r="K1304" s="2">
        <v>2</v>
      </c>
      <c r="L1304" s="2" t="s">
        <v>46</v>
      </c>
      <c r="M1304" s="2">
        <v>91</v>
      </c>
      <c r="N1304" s="2">
        <v>1</v>
      </c>
      <c r="O1304" s="2">
        <v>1</v>
      </c>
      <c r="P1304" s="2" t="s">
        <v>50</v>
      </c>
      <c r="Q1304" s="2">
        <v>3</v>
      </c>
      <c r="R1304" s="2" t="s">
        <v>48</v>
      </c>
      <c r="S1304" s="2">
        <v>2705</v>
      </c>
      <c r="T1304" s="2">
        <v>9696</v>
      </c>
      <c r="U1304" s="2">
        <v>0</v>
      </c>
      <c r="V1304" s="2" t="s">
        <v>42</v>
      </c>
      <c r="W1304" s="2" t="s">
        <v>43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</row>
    <row r="1305" spans="1:35" x14ac:dyDescent="0.25">
      <c r="A1305" s="2">
        <v>47</v>
      </c>
      <c r="B1305" s="2" t="s">
        <v>43</v>
      </c>
      <c r="C1305" s="2" t="s">
        <v>36</v>
      </c>
      <c r="D1305" s="2">
        <v>1001</v>
      </c>
      <c r="E1305" s="2" t="s">
        <v>45</v>
      </c>
      <c r="F1305" s="2">
        <v>4</v>
      </c>
      <c r="G1305" s="2">
        <v>3</v>
      </c>
      <c r="H1305" s="2" t="s">
        <v>38</v>
      </c>
      <c r="I1305" s="2">
        <v>1</v>
      </c>
      <c r="J1305" s="2">
        <v>1827</v>
      </c>
      <c r="K1305" s="2">
        <v>3</v>
      </c>
      <c r="L1305" s="2" t="s">
        <v>39</v>
      </c>
      <c r="M1305" s="2">
        <v>92</v>
      </c>
      <c r="N1305" s="2">
        <v>2</v>
      </c>
      <c r="O1305" s="2">
        <v>3</v>
      </c>
      <c r="P1305" s="2" t="s">
        <v>53</v>
      </c>
      <c r="Q1305" s="2">
        <v>2</v>
      </c>
      <c r="R1305" s="2" t="s">
        <v>52</v>
      </c>
      <c r="S1305" s="2">
        <v>10333</v>
      </c>
      <c r="T1305" s="2">
        <v>19271</v>
      </c>
      <c r="U1305" s="2">
        <v>8</v>
      </c>
      <c r="V1305" s="2" t="s">
        <v>42</v>
      </c>
      <c r="W1305" s="2" t="s">
        <v>35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</row>
    <row r="1306" spans="1:35" x14ac:dyDescent="0.25">
      <c r="A1306" s="2">
        <v>40</v>
      </c>
      <c r="B1306" s="2" t="s">
        <v>43</v>
      </c>
      <c r="C1306" s="2" t="s">
        <v>36</v>
      </c>
      <c r="D1306" s="2">
        <v>750</v>
      </c>
      <c r="E1306" s="2" t="s">
        <v>45</v>
      </c>
      <c r="F1306" s="2">
        <v>12</v>
      </c>
      <c r="G1306" s="2">
        <v>3</v>
      </c>
      <c r="H1306" s="2" t="s">
        <v>38</v>
      </c>
      <c r="I1306" s="2">
        <v>1</v>
      </c>
      <c r="J1306" s="2">
        <v>1829</v>
      </c>
      <c r="K1306" s="2">
        <v>2</v>
      </c>
      <c r="L1306" s="2" t="s">
        <v>39</v>
      </c>
      <c r="M1306" s="2">
        <v>47</v>
      </c>
      <c r="N1306" s="2">
        <v>3</v>
      </c>
      <c r="O1306" s="2">
        <v>2</v>
      </c>
      <c r="P1306" s="2" t="s">
        <v>54</v>
      </c>
      <c r="Q1306" s="2">
        <v>1</v>
      </c>
      <c r="R1306" s="2" t="s">
        <v>52</v>
      </c>
      <c r="S1306" s="2">
        <v>4448</v>
      </c>
      <c r="T1306" s="2">
        <v>10748</v>
      </c>
      <c r="U1306" s="2">
        <v>2</v>
      </c>
      <c r="V1306" s="2" t="s">
        <v>42</v>
      </c>
      <c r="W1306" s="2" t="s">
        <v>43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</row>
    <row r="1307" spans="1:35" x14ac:dyDescent="0.25">
      <c r="A1307" s="2">
        <v>54</v>
      </c>
      <c r="B1307" s="2" t="s">
        <v>43</v>
      </c>
      <c r="C1307" s="2" t="s">
        <v>36</v>
      </c>
      <c r="D1307" s="2">
        <v>431</v>
      </c>
      <c r="E1307" s="2" t="s">
        <v>45</v>
      </c>
      <c r="F1307" s="2">
        <v>7</v>
      </c>
      <c r="G1307" s="2">
        <v>4</v>
      </c>
      <c r="H1307" s="2" t="s">
        <v>51</v>
      </c>
      <c r="I1307" s="2">
        <v>1</v>
      </c>
      <c r="J1307" s="2">
        <v>1830</v>
      </c>
      <c r="K1307" s="2">
        <v>4</v>
      </c>
      <c r="L1307" s="2" t="s">
        <v>39</v>
      </c>
      <c r="M1307" s="2">
        <v>68</v>
      </c>
      <c r="N1307" s="2">
        <v>3</v>
      </c>
      <c r="O1307" s="2">
        <v>2</v>
      </c>
      <c r="P1307" s="2" t="s">
        <v>47</v>
      </c>
      <c r="Q1307" s="2">
        <v>4</v>
      </c>
      <c r="R1307" s="2" t="s">
        <v>48</v>
      </c>
      <c r="S1307" s="2">
        <v>6854</v>
      </c>
      <c r="T1307" s="2">
        <v>15696</v>
      </c>
      <c r="U1307" s="2">
        <v>4</v>
      </c>
      <c r="V1307" s="2" t="s">
        <v>42</v>
      </c>
      <c r="W1307" s="2" t="s">
        <v>43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</row>
    <row r="1308" spans="1:35" x14ac:dyDescent="0.25">
      <c r="A1308" s="2">
        <v>31</v>
      </c>
      <c r="B1308" s="2" t="s">
        <v>43</v>
      </c>
      <c r="C1308" s="2" t="s">
        <v>44</v>
      </c>
      <c r="D1308" s="2">
        <v>1125</v>
      </c>
      <c r="E1308" s="2" t="s">
        <v>37</v>
      </c>
      <c r="F1308" s="2">
        <v>7</v>
      </c>
      <c r="G1308" s="2">
        <v>4</v>
      </c>
      <c r="H1308" s="2" t="s">
        <v>59</v>
      </c>
      <c r="I1308" s="2">
        <v>1</v>
      </c>
      <c r="J1308" s="2">
        <v>1833</v>
      </c>
      <c r="K1308" s="2">
        <v>1</v>
      </c>
      <c r="L1308" s="2" t="s">
        <v>39</v>
      </c>
      <c r="M1308" s="2">
        <v>68</v>
      </c>
      <c r="N1308" s="2">
        <v>3</v>
      </c>
      <c r="O1308" s="2">
        <v>3</v>
      </c>
      <c r="P1308" s="2" t="s">
        <v>40</v>
      </c>
      <c r="Q1308" s="2">
        <v>1</v>
      </c>
      <c r="R1308" s="2" t="s">
        <v>48</v>
      </c>
      <c r="S1308" s="2">
        <v>9637</v>
      </c>
      <c r="T1308" s="2">
        <v>8277</v>
      </c>
      <c r="U1308" s="2">
        <v>2</v>
      </c>
      <c r="V1308" s="2" t="s">
        <v>42</v>
      </c>
      <c r="W1308" s="2" t="s">
        <v>43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</row>
    <row r="1309" spans="1:35" x14ac:dyDescent="0.25">
      <c r="A1309" s="2">
        <v>28</v>
      </c>
      <c r="B1309" s="2" t="s">
        <v>43</v>
      </c>
      <c r="C1309" s="2" t="s">
        <v>36</v>
      </c>
      <c r="D1309" s="2">
        <v>1217</v>
      </c>
      <c r="E1309" s="2" t="s">
        <v>45</v>
      </c>
      <c r="F1309" s="2">
        <v>1</v>
      </c>
      <c r="G1309" s="2">
        <v>3</v>
      </c>
      <c r="H1309" s="2" t="s">
        <v>51</v>
      </c>
      <c r="I1309" s="2">
        <v>1</v>
      </c>
      <c r="J1309" s="2">
        <v>1834</v>
      </c>
      <c r="K1309" s="2">
        <v>3</v>
      </c>
      <c r="L1309" s="2" t="s">
        <v>39</v>
      </c>
      <c r="M1309" s="2">
        <v>67</v>
      </c>
      <c r="N1309" s="2">
        <v>3</v>
      </c>
      <c r="O1309" s="2">
        <v>1</v>
      </c>
      <c r="P1309" s="2" t="s">
        <v>47</v>
      </c>
      <c r="Q1309" s="2">
        <v>1</v>
      </c>
      <c r="R1309" s="2" t="s">
        <v>48</v>
      </c>
      <c r="S1309" s="2">
        <v>3591</v>
      </c>
      <c r="T1309" s="2">
        <v>12719</v>
      </c>
      <c r="U1309" s="2">
        <v>1</v>
      </c>
      <c r="V1309" s="2" t="s">
        <v>42</v>
      </c>
      <c r="W1309" s="2" t="s">
        <v>43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</row>
    <row r="1310" spans="1:35" x14ac:dyDescent="0.25">
      <c r="A1310" s="2">
        <v>38</v>
      </c>
      <c r="B1310" s="2" t="s">
        <v>43</v>
      </c>
      <c r="C1310" s="2" t="s">
        <v>36</v>
      </c>
      <c r="D1310" s="2">
        <v>723</v>
      </c>
      <c r="E1310" s="2" t="s">
        <v>37</v>
      </c>
      <c r="F1310" s="2">
        <v>2</v>
      </c>
      <c r="G1310" s="2">
        <v>4</v>
      </c>
      <c r="H1310" s="2" t="s">
        <v>59</v>
      </c>
      <c r="I1310" s="2">
        <v>1</v>
      </c>
      <c r="J1310" s="2">
        <v>1835</v>
      </c>
      <c r="K1310" s="2">
        <v>2</v>
      </c>
      <c r="L1310" s="2" t="s">
        <v>39</v>
      </c>
      <c r="M1310" s="2">
        <v>77</v>
      </c>
      <c r="N1310" s="2">
        <v>1</v>
      </c>
      <c r="O1310" s="2">
        <v>2</v>
      </c>
      <c r="P1310" s="2" t="s">
        <v>57</v>
      </c>
      <c r="Q1310" s="2">
        <v>4</v>
      </c>
      <c r="R1310" s="2" t="s">
        <v>48</v>
      </c>
      <c r="S1310" s="2">
        <v>5405</v>
      </c>
      <c r="T1310" s="2">
        <v>4244</v>
      </c>
      <c r="U1310" s="2">
        <v>2</v>
      </c>
      <c r="V1310" s="2" t="s">
        <v>42</v>
      </c>
      <c r="W1310" s="2" t="s">
        <v>35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</row>
    <row r="1311" spans="1:35" x14ac:dyDescent="0.25">
      <c r="A1311" s="2">
        <v>26</v>
      </c>
      <c r="B1311" s="2" t="s">
        <v>43</v>
      </c>
      <c r="C1311" s="2" t="s">
        <v>36</v>
      </c>
      <c r="D1311" s="2">
        <v>572</v>
      </c>
      <c r="E1311" s="2" t="s">
        <v>37</v>
      </c>
      <c r="F1311" s="2">
        <v>10</v>
      </c>
      <c r="G1311" s="2">
        <v>3</v>
      </c>
      <c r="H1311" s="2" t="s">
        <v>51</v>
      </c>
      <c r="I1311" s="2">
        <v>1</v>
      </c>
      <c r="J1311" s="2">
        <v>1836</v>
      </c>
      <c r="K1311" s="2">
        <v>3</v>
      </c>
      <c r="L1311" s="2" t="s">
        <v>46</v>
      </c>
      <c r="M1311" s="2">
        <v>46</v>
      </c>
      <c r="N1311" s="2">
        <v>3</v>
      </c>
      <c r="O1311" s="2">
        <v>2</v>
      </c>
      <c r="P1311" s="2" t="s">
        <v>40</v>
      </c>
      <c r="Q1311" s="2">
        <v>4</v>
      </c>
      <c r="R1311" s="2" t="s">
        <v>41</v>
      </c>
      <c r="S1311" s="2">
        <v>4684</v>
      </c>
      <c r="T1311" s="2">
        <v>9125</v>
      </c>
      <c r="U1311" s="2">
        <v>1</v>
      </c>
      <c r="V1311" s="2" t="s">
        <v>42</v>
      </c>
      <c r="W1311" s="2" t="s">
        <v>43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</row>
    <row r="1312" spans="1:35" x14ac:dyDescent="0.25">
      <c r="A1312" s="2">
        <v>58</v>
      </c>
      <c r="B1312" s="2" t="s">
        <v>43</v>
      </c>
      <c r="C1312" s="2" t="s">
        <v>44</v>
      </c>
      <c r="D1312" s="2">
        <v>1216</v>
      </c>
      <c r="E1312" s="2" t="s">
        <v>45</v>
      </c>
      <c r="F1312" s="2">
        <v>15</v>
      </c>
      <c r="G1312" s="2">
        <v>4</v>
      </c>
      <c r="H1312" s="2" t="s">
        <v>38</v>
      </c>
      <c r="I1312" s="2">
        <v>1</v>
      </c>
      <c r="J1312" s="2">
        <v>1837</v>
      </c>
      <c r="K1312" s="2">
        <v>1</v>
      </c>
      <c r="L1312" s="2" t="s">
        <v>46</v>
      </c>
      <c r="M1312" s="2">
        <v>87</v>
      </c>
      <c r="N1312" s="2">
        <v>3</v>
      </c>
      <c r="O1312" s="2">
        <v>4</v>
      </c>
      <c r="P1312" s="2" t="s">
        <v>58</v>
      </c>
      <c r="Q1312" s="2">
        <v>3</v>
      </c>
      <c r="R1312" s="2" t="s">
        <v>48</v>
      </c>
      <c r="S1312" s="2">
        <v>15787</v>
      </c>
      <c r="T1312" s="2">
        <v>21624</v>
      </c>
      <c r="U1312" s="2">
        <v>2</v>
      </c>
      <c r="V1312" s="2" t="s">
        <v>42</v>
      </c>
      <c r="W1312" s="2" t="s">
        <v>35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</row>
    <row r="1313" spans="1:35" x14ac:dyDescent="0.25">
      <c r="A1313" s="2">
        <v>18</v>
      </c>
      <c r="B1313" s="2" t="s">
        <v>43</v>
      </c>
      <c r="C1313" s="2" t="s">
        <v>55</v>
      </c>
      <c r="D1313" s="2">
        <v>1431</v>
      </c>
      <c r="E1313" s="2" t="s">
        <v>45</v>
      </c>
      <c r="F1313" s="2">
        <v>14</v>
      </c>
      <c r="G1313" s="2">
        <v>3</v>
      </c>
      <c r="H1313" s="2" t="s">
        <v>51</v>
      </c>
      <c r="I1313" s="2">
        <v>1</v>
      </c>
      <c r="J1313" s="2">
        <v>1839</v>
      </c>
      <c r="K1313" s="2">
        <v>2</v>
      </c>
      <c r="L1313" s="2" t="s">
        <v>39</v>
      </c>
      <c r="M1313" s="2">
        <v>33</v>
      </c>
      <c r="N1313" s="2">
        <v>3</v>
      </c>
      <c r="O1313" s="2">
        <v>1</v>
      </c>
      <c r="P1313" s="2" t="s">
        <v>47</v>
      </c>
      <c r="Q1313" s="2">
        <v>3</v>
      </c>
      <c r="R1313" s="2" t="s">
        <v>41</v>
      </c>
      <c r="S1313" s="2">
        <v>1514</v>
      </c>
      <c r="T1313" s="2">
        <v>8018</v>
      </c>
      <c r="U1313" s="2">
        <v>1</v>
      </c>
      <c r="V1313" s="2" t="s">
        <v>42</v>
      </c>
      <c r="W1313" s="2" t="s">
        <v>43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</row>
    <row r="1314" spans="1:35" x14ac:dyDescent="0.25">
      <c r="A1314" s="2">
        <v>31</v>
      </c>
      <c r="B1314" s="2" t="s">
        <v>35</v>
      </c>
      <c r="C1314" s="2" t="s">
        <v>36</v>
      </c>
      <c r="D1314" s="2">
        <v>359</v>
      </c>
      <c r="E1314" s="2" t="s">
        <v>61</v>
      </c>
      <c r="F1314" s="2">
        <v>18</v>
      </c>
      <c r="G1314" s="2">
        <v>5</v>
      </c>
      <c r="H1314" s="2" t="s">
        <v>61</v>
      </c>
      <c r="I1314" s="2">
        <v>1</v>
      </c>
      <c r="J1314" s="2">
        <v>1842</v>
      </c>
      <c r="K1314" s="2">
        <v>4</v>
      </c>
      <c r="L1314" s="2" t="s">
        <v>46</v>
      </c>
      <c r="M1314" s="2">
        <v>89</v>
      </c>
      <c r="N1314" s="2">
        <v>4</v>
      </c>
      <c r="O1314" s="2">
        <v>1</v>
      </c>
      <c r="P1314" s="2" t="s">
        <v>61</v>
      </c>
      <c r="Q1314" s="2">
        <v>1</v>
      </c>
      <c r="R1314" s="2" t="s">
        <v>48</v>
      </c>
      <c r="S1314" s="2">
        <v>2956</v>
      </c>
      <c r="T1314" s="2">
        <v>21495</v>
      </c>
      <c r="U1314" s="2">
        <v>0</v>
      </c>
      <c r="V1314" s="2" t="s">
        <v>42</v>
      </c>
      <c r="W1314" s="2" t="s">
        <v>43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</row>
    <row r="1315" spans="1:35" x14ac:dyDescent="0.25">
      <c r="A1315" s="2">
        <v>29</v>
      </c>
      <c r="B1315" s="2" t="s">
        <v>35</v>
      </c>
      <c r="C1315" s="2" t="s">
        <v>36</v>
      </c>
      <c r="D1315" s="2">
        <v>350</v>
      </c>
      <c r="E1315" s="2" t="s">
        <v>61</v>
      </c>
      <c r="F1315" s="2">
        <v>13</v>
      </c>
      <c r="G1315" s="2">
        <v>3</v>
      </c>
      <c r="H1315" s="2" t="s">
        <v>61</v>
      </c>
      <c r="I1315" s="2">
        <v>1</v>
      </c>
      <c r="J1315" s="2">
        <v>1844</v>
      </c>
      <c r="K1315" s="2">
        <v>1</v>
      </c>
      <c r="L1315" s="2" t="s">
        <v>46</v>
      </c>
      <c r="M1315" s="2">
        <v>56</v>
      </c>
      <c r="N1315" s="2">
        <v>2</v>
      </c>
      <c r="O1315" s="2">
        <v>1</v>
      </c>
      <c r="P1315" s="2" t="s">
        <v>61</v>
      </c>
      <c r="Q1315" s="2">
        <v>1</v>
      </c>
      <c r="R1315" s="2" t="s">
        <v>52</v>
      </c>
      <c r="S1315" s="2">
        <v>2335</v>
      </c>
      <c r="T1315" s="2">
        <v>3157</v>
      </c>
      <c r="U1315" s="2">
        <v>4</v>
      </c>
      <c r="V1315" s="2" t="s">
        <v>42</v>
      </c>
      <c r="W1315" s="2" t="s">
        <v>35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</row>
    <row r="1316" spans="1:35" x14ac:dyDescent="0.25">
      <c r="A1316" s="2">
        <v>45</v>
      </c>
      <c r="B1316" s="2" t="s">
        <v>43</v>
      </c>
      <c r="C1316" s="2" t="s">
        <v>55</v>
      </c>
      <c r="D1316" s="2">
        <v>589</v>
      </c>
      <c r="E1316" s="2" t="s">
        <v>37</v>
      </c>
      <c r="F1316" s="2">
        <v>2</v>
      </c>
      <c r="G1316" s="2">
        <v>4</v>
      </c>
      <c r="H1316" s="2" t="s">
        <v>38</v>
      </c>
      <c r="I1316" s="2">
        <v>1</v>
      </c>
      <c r="J1316" s="2">
        <v>1845</v>
      </c>
      <c r="K1316" s="2">
        <v>3</v>
      </c>
      <c r="L1316" s="2" t="s">
        <v>39</v>
      </c>
      <c r="M1316" s="2">
        <v>67</v>
      </c>
      <c r="N1316" s="2">
        <v>3</v>
      </c>
      <c r="O1316" s="2">
        <v>2</v>
      </c>
      <c r="P1316" s="2" t="s">
        <v>40</v>
      </c>
      <c r="Q1316" s="2">
        <v>3</v>
      </c>
      <c r="R1316" s="2" t="s">
        <v>48</v>
      </c>
      <c r="S1316" s="2">
        <v>5154</v>
      </c>
      <c r="T1316" s="2">
        <v>19665</v>
      </c>
      <c r="U1316" s="2">
        <v>4</v>
      </c>
      <c r="V1316" s="2" t="s">
        <v>42</v>
      </c>
      <c r="W1316" s="2" t="s">
        <v>43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</row>
    <row r="1317" spans="1:35" x14ac:dyDescent="0.25">
      <c r="A1317" s="2">
        <v>36</v>
      </c>
      <c r="B1317" s="2" t="s">
        <v>43</v>
      </c>
      <c r="C1317" s="2" t="s">
        <v>36</v>
      </c>
      <c r="D1317" s="2">
        <v>430</v>
      </c>
      <c r="E1317" s="2" t="s">
        <v>45</v>
      </c>
      <c r="F1317" s="2">
        <v>2</v>
      </c>
      <c r="G1317" s="2">
        <v>4</v>
      </c>
      <c r="H1317" s="2" t="s">
        <v>49</v>
      </c>
      <c r="I1317" s="2">
        <v>1</v>
      </c>
      <c r="J1317" s="2">
        <v>1847</v>
      </c>
      <c r="K1317" s="2">
        <v>4</v>
      </c>
      <c r="L1317" s="2" t="s">
        <v>39</v>
      </c>
      <c r="M1317" s="2">
        <v>73</v>
      </c>
      <c r="N1317" s="2">
        <v>3</v>
      </c>
      <c r="O1317" s="2">
        <v>2</v>
      </c>
      <c r="P1317" s="2" t="s">
        <v>47</v>
      </c>
      <c r="Q1317" s="2">
        <v>2</v>
      </c>
      <c r="R1317" s="2" t="s">
        <v>48</v>
      </c>
      <c r="S1317" s="2">
        <v>6962</v>
      </c>
      <c r="T1317" s="2">
        <v>19573</v>
      </c>
      <c r="U1317" s="2">
        <v>4</v>
      </c>
      <c r="V1317" s="2" t="s">
        <v>42</v>
      </c>
      <c r="W1317" s="2" t="s">
        <v>35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</row>
    <row r="1318" spans="1:35" x14ac:dyDescent="0.25">
      <c r="A1318" s="2">
        <v>43</v>
      </c>
      <c r="B1318" s="2" t="s">
        <v>43</v>
      </c>
      <c r="C1318" s="2" t="s">
        <v>44</v>
      </c>
      <c r="D1318" s="2">
        <v>1422</v>
      </c>
      <c r="E1318" s="2" t="s">
        <v>37</v>
      </c>
      <c r="F1318" s="2">
        <v>2</v>
      </c>
      <c r="G1318" s="2">
        <v>4</v>
      </c>
      <c r="H1318" s="2" t="s">
        <v>38</v>
      </c>
      <c r="I1318" s="2">
        <v>1</v>
      </c>
      <c r="J1318" s="2">
        <v>1849</v>
      </c>
      <c r="K1318" s="2">
        <v>1</v>
      </c>
      <c r="L1318" s="2" t="s">
        <v>46</v>
      </c>
      <c r="M1318" s="2">
        <v>92</v>
      </c>
      <c r="N1318" s="2">
        <v>3</v>
      </c>
      <c r="O1318" s="2">
        <v>2</v>
      </c>
      <c r="P1318" s="2" t="s">
        <v>40</v>
      </c>
      <c r="Q1318" s="2">
        <v>4</v>
      </c>
      <c r="R1318" s="2" t="s">
        <v>48</v>
      </c>
      <c r="S1318" s="2">
        <v>5675</v>
      </c>
      <c r="T1318" s="2">
        <v>19246</v>
      </c>
      <c r="U1318" s="2">
        <v>1</v>
      </c>
      <c r="V1318" s="2" t="s">
        <v>42</v>
      </c>
      <c r="W1318" s="2" t="s">
        <v>43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</row>
    <row r="1319" spans="1:35" x14ac:dyDescent="0.25">
      <c r="A1319" s="2">
        <v>27</v>
      </c>
      <c r="B1319" s="2" t="s">
        <v>43</v>
      </c>
      <c r="C1319" s="2" t="s">
        <v>44</v>
      </c>
      <c r="D1319" s="2">
        <v>1297</v>
      </c>
      <c r="E1319" s="2" t="s">
        <v>45</v>
      </c>
      <c r="F1319" s="2">
        <v>5</v>
      </c>
      <c r="G1319" s="2">
        <v>2</v>
      </c>
      <c r="H1319" s="2" t="s">
        <v>38</v>
      </c>
      <c r="I1319" s="2">
        <v>1</v>
      </c>
      <c r="J1319" s="2">
        <v>1850</v>
      </c>
      <c r="K1319" s="2">
        <v>4</v>
      </c>
      <c r="L1319" s="2" t="s">
        <v>39</v>
      </c>
      <c r="M1319" s="2">
        <v>53</v>
      </c>
      <c r="N1319" s="2">
        <v>3</v>
      </c>
      <c r="O1319" s="2">
        <v>1</v>
      </c>
      <c r="P1319" s="2" t="s">
        <v>50</v>
      </c>
      <c r="Q1319" s="2">
        <v>4</v>
      </c>
      <c r="R1319" s="2" t="s">
        <v>41</v>
      </c>
      <c r="S1319" s="2">
        <v>2379</v>
      </c>
      <c r="T1319" s="2">
        <v>19826</v>
      </c>
      <c r="U1319" s="2">
        <v>0</v>
      </c>
      <c r="V1319" s="2" t="s">
        <v>42</v>
      </c>
      <c r="W1319" s="2" t="s">
        <v>35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</row>
    <row r="1320" spans="1:35" x14ac:dyDescent="0.25">
      <c r="A1320" s="2">
        <v>29</v>
      </c>
      <c r="B1320" s="2" t="s">
        <v>43</v>
      </c>
      <c r="C1320" s="2" t="s">
        <v>44</v>
      </c>
      <c r="D1320" s="2">
        <v>574</v>
      </c>
      <c r="E1320" s="2" t="s">
        <v>45</v>
      </c>
      <c r="F1320" s="2">
        <v>20</v>
      </c>
      <c r="G1320" s="2">
        <v>1</v>
      </c>
      <c r="H1320" s="2" t="s">
        <v>51</v>
      </c>
      <c r="I1320" s="2">
        <v>1</v>
      </c>
      <c r="J1320" s="2">
        <v>1852</v>
      </c>
      <c r="K1320" s="2">
        <v>4</v>
      </c>
      <c r="L1320" s="2" t="s">
        <v>46</v>
      </c>
      <c r="M1320" s="2">
        <v>40</v>
      </c>
      <c r="N1320" s="2">
        <v>3</v>
      </c>
      <c r="O1320" s="2">
        <v>1</v>
      </c>
      <c r="P1320" s="2" t="s">
        <v>50</v>
      </c>
      <c r="Q1320" s="2">
        <v>4</v>
      </c>
      <c r="R1320" s="2" t="s">
        <v>48</v>
      </c>
      <c r="S1320" s="2">
        <v>3812</v>
      </c>
      <c r="T1320" s="2">
        <v>7003</v>
      </c>
      <c r="U1320" s="2">
        <v>1</v>
      </c>
      <c r="V1320" s="2" t="s">
        <v>42</v>
      </c>
      <c r="W1320" s="2" t="s">
        <v>43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</row>
    <row r="1321" spans="1:35" x14ac:dyDescent="0.25">
      <c r="A1321" s="2">
        <v>32</v>
      </c>
      <c r="B1321" s="2" t="s">
        <v>43</v>
      </c>
      <c r="C1321" s="2" t="s">
        <v>44</v>
      </c>
      <c r="D1321" s="2">
        <v>1318</v>
      </c>
      <c r="E1321" s="2" t="s">
        <v>37</v>
      </c>
      <c r="F1321" s="2">
        <v>10</v>
      </c>
      <c r="G1321" s="2">
        <v>4</v>
      </c>
      <c r="H1321" s="2" t="s">
        <v>59</v>
      </c>
      <c r="I1321" s="2">
        <v>1</v>
      </c>
      <c r="J1321" s="2">
        <v>1853</v>
      </c>
      <c r="K1321" s="2">
        <v>4</v>
      </c>
      <c r="L1321" s="2" t="s">
        <v>46</v>
      </c>
      <c r="M1321" s="2">
        <v>79</v>
      </c>
      <c r="N1321" s="2">
        <v>3</v>
      </c>
      <c r="O1321" s="2">
        <v>2</v>
      </c>
      <c r="P1321" s="2" t="s">
        <v>40</v>
      </c>
      <c r="Q1321" s="2">
        <v>4</v>
      </c>
      <c r="R1321" s="2" t="s">
        <v>41</v>
      </c>
      <c r="S1321" s="2">
        <v>4648</v>
      </c>
      <c r="T1321" s="2">
        <v>26075</v>
      </c>
      <c r="U1321" s="2">
        <v>8</v>
      </c>
      <c r="V1321" s="2" t="s">
        <v>42</v>
      </c>
      <c r="W1321" s="2" t="s">
        <v>43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</row>
    <row r="1322" spans="1:35" x14ac:dyDescent="0.25">
      <c r="A1322" s="2">
        <v>42</v>
      </c>
      <c r="B1322" s="2" t="s">
        <v>43</v>
      </c>
      <c r="C1322" s="2" t="s">
        <v>55</v>
      </c>
      <c r="D1322" s="2">
        <v>355</v>
      </c>
      <c r="E1322" s="2" t="s">
        <v>45</v>
      </c>
      <c r="F1322" s="2">
        <v>10</v>
      </c>
      <c r="G1322" s="2">
        <v>4</v>
      </c>
      <c r="H1322" s="2" t="s">
        <v>60</v>
      </c>
      <c r="I1322" s="2">
        <v>1</v>
      </c>
      <c r="J1322" s="2">
        <v>1854</v>
      </c>
      <c r="K1322" s="2">
        <v>3</v>
      </c>
      <c r="L1322" s="2" t="s">
        <v>46</v>
      </c>
      <c r="M1322" s="2">
        <v>38</v>
      </c>
      <c r="N1322" s="2">
        <v>3</v>
      </c>
      <c r="O1322" s="2">
        <v>1</v>
      </c>
      <c r="P1322" s="2" t="s">
        <v>47</v>
      </c>
      <c r="Q1322" s="2">
        <v>3</v>
      </c>
      <c r="R1322" s="2" t="s">
        <v>48</v>
      </c>
      <c r="S1322" s="2">
        <v>2936</v>
      </c>
      <c r="T1322" s="2">
        <v>6161</v>
      </c>
      <c r="U1322" s="2">
        <v>3</v>
      </c>
      <c r="V1322" s="2" t="s">
        <v>42</v>
      </c>
      <c r="W1322" s="2" t="s">
        <v>43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</row>
    <row r="1323" spans="1:35" x14ac:dyDescent="0.25">
      <c r="A1323" s="2">
        <v>47</v>
      </c>
      <c r="B1323" s="2" t="s">
        <v>43</v>
      </c>
      <c r="C1323" s="2" t="s">
        <v>36</v>
      </c>
      <c r="D1323" s="2">
        <v>207</v>
      </c>
      <c r="E1323" s="2" t="s">
        <v>45</v>
      </c>
      <c r="F1323" s="2">
        <v>9</v>
      </c>
      <c r="G1323" s="2">
        <v>4</v>
      </c>
      <c r="H1323" s="2" t="s">
        <v>38</v>
      </c>
      <c r="I1323" s="2">
        <v>1</v>
      </c>
      <c r="J1323" s="2">
        <v>1856</v>
      </c>
      <c r="K1323" s="2">
        <v>2</v>
      </c>
      <c r="L1323" s="2" t="s">
        <v>39</v>
      </c>
      <c r="M1323" s="2">
        <v>64</v>
      </c>
      <c r="N1323" s="2">
        <v>3</v>
      </c>
      <c r="O1323" s="2">
        <v>1</v>
      </c>
      <c r="P1323" s="2" t="s">
        <v>50</v>
      </c>
      <c r="Q1323" s="2">
        <v>3</v>
      </c>
      <c r="R1323" s="2" t="s">
        <v>41</v>
      </c>
      <c r="S1323" s="2">
        <v>2105</v>
      </c>
      <c r="T1323" s="2">
        <v>5411</v>
      </c>
      <c r="U1323" s="2">
        <v>4</v>
      </c>
      <c r="V1323" s="2" t="s">
        <v>42</v>
      </c>
      <c r="W1323" s="2" t="s">
        <v>43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</row>
    <row r="1324" spans="1:35" x14ac:dyDescent="0.25">
      <c r="A1324" s="2">
        <v>46</v>
      </c>
      <c r="B1324" s="2" t="s">
        <v>43</v>
      </c>
      <c r="C1324" s="2" t="s">
        <v>36</v>
      </c>
      <c r="D1324" s="2">
        <v>706</v>
      </c>
      <c r="E1324" s="2" t="s">
        <v>45</v>
      </c>
      <c r="F1324" s="2">
        <v>2</v>
      </c>
      <c r="G1324" s="2">
        <v>2</v>
      </c>
      <c r="H1324" s="2" t="s">
        <v>38</v>
      </c>
      <c r="I1324" s="2">
        <v>1</v>
      </c>
      <c r="J1324" s="2">
        <v>1857</v>
      </c>
      <c r="K1324" s="2">
        <v>4</v>
      </c>
      <c r="L1324" s="2" t="s">
        <v>46</v>
      </c>
      <c r="M1324" s="2">
        <v>82</v>
      </c>
      <c r="N1324" s="2">
        <v>3</v>
      </c>
      <c r="O1324" s="2">
        <v>3</v>
      </c>
      <c r="P1324" s="2" t="s">
        <v>53</v>
      </c>
      <c r="Q1324" s="2">
        <v>4</v>
      </c>
      <c r="R1324" s="2" t="s">
        <v>52</v>
      </c>
      <c r="S1324" s="2">
        <v>8578</v>
      </c>
      <c r="T1324" s="2">
        <v>19989</v>
      </c>
      <c r="U1324" s="2">
        <v>3</v>
      </c>
      <c r="V1324" s="2" t="s">
        <v>42</v>
      </c>
      <c r="W1324" s="2" t="s">
        <v>43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</row>
    <row r="1325" spans="1:35" x14ac:dyDescent="0.25">
      <c r="A1325" s="2">
        <v>28</v>
      </c>
      <c r="B1325" s="2" t="s">
        <v>43</v>
      </c>
      <c r="C1325" s="2" t="s">
        <v>55</v>
      </c>
      <c r="D1325" s="2">
        <v>280</v>
      </c>
      <c r="E1325" s="2" t="s">
        <v>61</v>
      </c>
      <c r="F1325" s="2">
        <v>1</v>
      </c>
      <c r="G1325" s="2">
        <v>2</v>
      </c>
      <c r="H1325" s="2" t="s">
        <v>38</v>
      </c>
      <c r="I1325" s="2">
        <v>1</v>
      </c>
      <c r="J1325" s="2">
        <v>1858</v>
      </c>
      <c r="K1325" s="2">
        <v>3</v>
      </c>
      <c r="L1325" s="2" t="s">
        <v>46</v>
      </c>
      <c r="M1325" s="2">
        <v>43</v>
      </c>
      <c r="N1325" s="2">
        <v>3</v>
      </c>
      <c r="O1325" s="2">
        <v>1</v>
      </c>
      <c r="P1325" s="2" t="s">
        <v>61</v>
      </c>
      <c r="Q1325" s="2">
        <v>4</v>
      </c>
      <c r="R1325" s="2" t="s">
        <v>52</v>
      </c>
      <c r="S1325" s="2">
        <v>2706</v>
      </c>
      <c r="T1325" s="2">
        <v>10494</v>
      </c>
      <c r="U1325" s="2">
        <v>1</v>
      </c>
      <c r="V1325" s="2" t="s">
        <v>42</v>
      </c>
      <c r="W1325" s="2" t="s">
        <v>43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</row>
    <row r="1326" spans="1:35" x14ac:dyDescent="0.25">
      <c r="A1326" s="2">
        <v>29</v>
      </c>
      <c r="B1326" s="2" t="s">
        <v>43</v>
      </c>
      <c r="C1326" s="2" t="s">
        <v>36</v>
      </c>
      <c r="D1326" s="2">
        <v>726</v>
      </c>
      <c r="E1326" s="2" t="s">
        <v>45</v>
      </c>
      <c r="F1326" s="2">
        <v>29</v>
      </c>
      <c r="G1326" s="2">
        <v>1</v>
      </c>
      <c r="H1326" s="2" t="s">
        <v>38</v>
      </c>
      <c r="I1326" s="2">
        <v>1</v>
      </c>
      <c r="J1326" s="2">
        <v>1859</v>
      </c>
      <c r="K1326" s="2">
        <v>4</v>
      </c>
      <c r="L1326" s="2" t="s">
        <v>46</v>
      </c>
      <c r="M1326" s="2">
        <v>93</v>
      </c>
      <c r="N1326" s="2">
        <v>1</v>
      </c>
      <c r="O1326" s="2">
        <v>2</v>
      </c>
      <c r="P1326" s="2" t="s">
        <v>54</v>
      </c>
      <c r="Q1326" s="2">
        <v>3</v>
      </c>
      <c r="R1326" s="2" t="s">
        <v>52</v>
      </c>
      <c r="S1326" s="2">
        <v>6384</v>
      </c>
      <c r="T1326" s="2">
        <v>21143</v>
      </c>
      <c r="U1326" s="2">
        <v>8</v>
      </c>
      <c r="V1326" s="2" t="s">
        <v>42</v>
      </c>
      <c r="W1326" s="2" t="s">
        <v>43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</row>
    <row r="1327" spans="1:35" x14ac:dyDescent="0.25">
      <c r="A1327" s="2">
        <v>42</v>
      </c>
      <c r="B1327" s="2" t="s">
        <v>43</v>
      </c>
      <c r="C1327" s="2" t="s">
        <v>36</v>
      </c>
      <c r="D1327" s="2">
        <v>1142</v>
      </c>
      <c r="E1327" s="2" t="s">
        <v>45</v>
      </c>
      <c r="F1327" s="2">
        <v>8</v>
      </c>
      <c r="G1327" s="2">
        <v>3</v>
      </c>
      <c r="H1327" s="2" t="s">
        <v>38</v>
      </c>
      <c r="I1327" s="2">
        <v>1</v>
      </c>
      <c r="J1327" s="2">
        <v>1860</v>
      </c>
      <c r="K1327" s="2">
        <v>4</v>
      </c>
      <c r="L1327" s="2" t="s">
        <v>46</v>
      </c>
      <c r="M1327" s="2">
        <v>81</v>
      </c>
      <c r="N1327" s="2">
        <v>3</v>
      </c>
      <c r="O1327" s="2">
        <v>1</v>
      </c>
      <c r="P1327" s="2" t="s">
        <v>50</v>
      </c>
      <c r="Q1327" s="2">
        <v>3</v>
      </c>
      <c r="R1327" s="2" t="s">
        <v>41</v>
      </c>
      <c r="S1327" s="2">
        <v>3968</v>
      </c>
      <c r="T1327" s="2">
        <v>13624</v>
      </c>
      <c r="U1327" s="2">
        <v>4</v>
      </c>
      <c r="V1327" s="2" t="s">
        <v>42</v>
      </c>
      <c r="W1327" s="2" t="s">
        <v>43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</row>
    <row r="1328" spans="1:35" x14ac:dyDescent="0.25">
      <c r="A1328" s="2">
        <v>32</v>
      </c>
      <c r="B1328" s="2" t="s">
        <v>35</v>
      </c>
      <c r="C1328" s="2" t="s">
        <v>36</v>
      </c>
      <c r="D1328" s="2">
        <v>414</v>
      </c>
      <c r="E1328" s="2" t="s">
        <v>37</v>
      </c>
      <c r="F1328" s="2">
        <v>2</v>
      </c>
      <c r="G1328" s="2">
        <v>4</v>
      </c>
      <c r="H1328" s="2" t="s">
        <v>59</v>
      </c>
      <c r="I1328" s="2">
        <v>1</v>
      </c>
      <c r="J1328" s="2">
        <v>1862</v>
      </c>
      <c r="K1328" s="2">
        <v>3</v>
      </c>
      <c r="L1328" s="2" t="s">
        <v>46</v>
      </c>
      <c r="M1328" s="2">
        <v>82</v>
      </c>
      <c r="N1328" s="2">
        <v>2</v>
      </c>
      <c r="O1328" s="2">
        <v>2</v>
      </c>
      <c r="P1328" s="2" t="s">
        <v>40</v>
      </c>
      <c r="Q1328" s="2">
        <v>2</v>
      </c>
      <c r="R1328" s="2" t="s">
        <v>41</v>
      </c>
      <c r="S1328" s="2">
        <v>9907</v>
      </c>
      <c r="T1328" s="2">
        <v>26186</v>
      </c>
      <c r="U1328" s="2">
        <v>7</v>
      </c>
      <c r="V1328" s="2" t="s">
        <v>42</v>
      </c>
      <c r="W1328" s="2" t="s">
        <v>35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</row>
    <row r="1329" spans="1:35" x14ac:dyDescent="0.25">
      <c r="A1329" s="2">
        <v>46</v>
      </c>
      <c r="B1329" s="2" t="s">
        <v>43</v>
      </c>
      <c r="C1329" s="2" t="s">
        <v>36</v>
      </c>
      <c r="D1329" s="2">
        <v>1319</v>
      </c>
      <c r="E1329" s="2" t="s">
        <v>37</v>
      </c>
      <c r="F1329" s="2">
        <v>3</v>
      </c>
      <c r="G1329" s="2">
        <v>3</v>
      </c>
      <c r="H1329" s="2" t="s">
        <v>60</v>
      </c>
      <c r="I1329" s="2">
        <v>1</v>
      </c>
      <c r="J1329" s="2">
        <v>1863</v>
      </c>
      <c r="K1329" s="2">
        <v>1</v>
      </c>
      <c r="L1329" s="2" t="s">
        <v>39</v>
      </c>
      <c r="M1329" s="2">
        <v>45</v>
      </c>
      <c r="N1329" s="2">
        <v>4</v>
      </c>
      <c r="O1329" s="2">
        <v>4</v>
      </c>
      <c r="P1329" s="2" t="s">
        <v>40</v>
      </c>
      <c r="Q1329" s="2">
        <v>1</v>
      </c>
      <c r="R1329" s="2" t="s">
        <v>52</v>
      </c>
      <c r="S1329" s="2">
        <v>13225</v>
      </c>
      <c r="T1329" s="2">
        <v>7739</v>
      </c>
      <c r="U1329" s="2">
        <v>2</v>
      </c>
      <c r="V1329" s="2" t="s">
        <v>42</v>
      </c>
      <c r="W1329" s="2" t="s">
        <v>43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</row>
    <row r="1330" spans="1:35" x14ac:dyDescent="0.25">
      <c r="A1330" s="2">
        <v>27</v>
      </c>
      <c r="B1330" s="2" t="s">
        <v>43</v>
      </c>
      <c r="C1330" s="2" t="s">
        <v>36</v>
      </c>
      <c r="D1330" s="2">
        <v>728</v>
      </c>
      <c r="E1330" s="2" t="s">
        <v>37</v>
      </c>
      <c r="F1330" s="2">
        <v>23</v>
      </c>
      <c r="G1330" s="2">
        <v>1</v>
      </c>
      <c r="H1330" s="2" t="s">
        <v>51</v>
      </c>
      <c r="I1330" s="2">
        <v>1</v>
      </c>
      <c r="J1330" s="2">
        <v>1864</v>
      </c>
      <c r="K1330" s="2">
        <v>2</v>
      </c>
      <c r="L1330" s="2" t="s">
        <v>39</v>
      </c>
      <c r="M1330" s="2">
        <v>36</v>
      </c>
      <c r="N1330" s="2">
        <v>2</v>
      </c>
      <c r="O1330" s="2">
        <v>2</v>
      </c>
      <c r="P1330" s="2" t="s">
        <v>57</v>
      </c>
      <c r="Q1330" s="2">
        <v>3</v>
      </c>
      <c r="R1330" s="2" t="s">
        <v>48</v>
      </c>
      <c r="S1330" s="2">
        <v>3540</v>
      </c>
      <c r="T1330" s="2">
        <v>7018</v>
      </c>
      <c r="U1330" s="2">
        <v>1</v>
      </c>
      <c r="V1330" s="2" t="s">
        <v>42</v>
      </c>
      <c r="W1330" s="2" t="s">
        <v>43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</row>
    <row r="1331" spans="1:35" x14ac:dyDescent="0.25">
      <c r="A1331" s="2">
        <v>29</v>
      </c>
      <c r="B1331" s="2" t="s">
        <v>43</v>
      </c>
      <c r="C1331" s="2" t="s">
        <v>36</v>
      </c>
      <c r="D1331" s="2">
        <v>352</v>
      </c>
      <c r="E1331" s="2" t="s">
        <v>61</v>
      </c>
      <c r="F1331" s="2">
        <v>6</v>
      </c>
      <c r="G1331" s="2">
        <v>1</v>
      </c>
      <c r="H1331" s="2" t="s">
        <v>51</v>
      </c>
      <c r="I1331" s="2">
        <v>1</v>
      </c>
      <c r="J1331" s="2">
        <v>1865</v>
      </c>
      <c r="K1331" s="2">
        <v>4</v>
      </c>
      <c r="L1331" s="2" t="s">
        <v>46</v>
      </c>
      <c r="M1331" s="2">
        <v>87</v>
      </c>
      <c r="N1331" s="2">
        <v>2</v>
      </c>
      <c r="O1331" s="2">
        <v>1</v>
      </c>
      <c r="P1331" s="2" t="s">
        <v>61</v>
      </c>
      <c r="Q1331" s="2">
        <v>2</v>
      </c>
      <c r="R1331" s="2" t="s">
        <v>48</v>
      </c>
      <c r="S1331" s="2">
        <v>2804</v>
      </c>
      <c r="T1331" s="2">
        <v>15434</v>
      </c>
      <c r="U1331" s="2">
        <v>1</v>
      </c>
      <c r="V1331" s="2" t="s">
        <v>42</v>
      </c>
      <c r="W1331" s="2" t="s">
        <v>43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</row>
    <row r="1332" spans="1:35" x14ac:dyDescent="0.25">
      <c r="A1332" s="2">
        <v>43</v>
      </c>
      <c r="B1332" s="2" t="s">
        <v>43</v>
      </c>
      <c r="C1332" s="2" t="s">
        <v>36</v>
      </c>
      <c r="D1332" s="2">
        <v>823</v>
      </c>
      <c r="E1332" s="2" t="s">
        <v>45</v>
      </c>
      <c r="F1332" s="2">
        <v>6</v>
      </c>
      <c r="G1332" s="2">
        <v>3</v>
      </c>
      <c r="H1332" s="2" t="s">
        <v>51</v>
      </c>
      <c r="I1332" s="2">
        <v>1</v>
      </c>
      <c r="J1332" s="2">
        <v>1866</v>
      </c>
      <c r="K1332" s="2">
        <v>1</v>
      </c>
      <c r="L1332" s="2" t="s">
        <v>39</v>
      </c>
      <c r="M1332" s="2">
        <v>81</v>
      </c>
      <c r="N1332" s="2">
        <v>2</v>
      </c>
      <c r="O1332" s="2">
        <v>5</v>
      </c>
      <c r="P1332" s="2" t="s">
        <v>56</v>
      </c>
      <c r="Q1332" s="2">
        <v>3</v>
      </c>
      <c r="R1332" s="2" t="s">
        <v>48</v>
      </c>
      <c r="S1332" s="2">
        <v>19392</v>
      </c>
      <c r="T1332" s="2">
        <v>22539</v>
      </c>
      <c r="U1332" s="2">
        <v>7</v>
      </c>
      <c r="V1332" s="2" t="s">
        <v>42</v>
      </c>
      <c r="W1332" s="2" t="s">
        <v>43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</row>
    <row r="1333" spans="1:35" x14ac:dyDescent="0.25">
      <c r="A1333" s="2">
        <v>48</v>
      </c>
      <c r="B1333" s="2" t="s">
        <v>43</v>
      </c>
      <c r="C1333" s="2" t="s">
        <v>36</v>
      </c>
      <c r="D1333" s="2">
        <v>1224</v>
      </c>
      <c r="E1333" s="2" t="s">
        <v>45</v>
      </c>
      <c r="F1333" s="2">
        <v>10</v>
      </c>
      <c r="G1333" s="2">
        <v>3</v>
      </c>
      <c r="H1333" s="2" t="s">
        <v>38</v>
      </c>
      <c r="I1333" s="2">
        <v>1</v>
      </c>
      <c r="J1333" s="2">
        <v>1867</v>
      </c>
      <c r="K1333" s="2">
        <v>4</v>
      </c>
      <c r="L1333" s="2" t="s">
        <v>46</v>
      </c>
      <c r="M1333" s="2">
        <v>91</v>
      </c>
      <c r="N1333" s="2">
        <v>2</v>
      </c>
      <c r="O1333" s="2">
        <v>5</v>
      </c>
      <c r="P1333" s="2" t="s">
        <v>58</v>
      </c>
      <c r="Q1333" s="2">
        <v>2</v>
      </c>
      <c r="R1333" s="2" t="s">
        <v>48</v>
      </c>
      <c r="S1333" s="2">
        <v>19665</v>
      </c>
      <c r="T1333" s="2">
        <v>13583</v>
      </c>
      <c r="U1333" s="2">
        <v>4</v>
      </c>
      <c r="V1333" s="2" t="s">
        <v>42</v>
      </c>
      <c r="W1333" s="2" t="s">
        <v>43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</row>
    <row r="1334" spans="1:35" x14ac:dyDescent="0.25">
      <c r="A1334" s="2">
        <v>29</v>
      </c>
      <c r="B1334" s="2" t="s">
        <v>35</v>
      </c>
      <c r="C1334" s="2" t="s">
        <v>44</v>
      </c>
      <c r="D1334" s="2">
        <v>459</v>
      </c>
      <c r="E1334" s="2" t="s">
        <v>45</v>
      </c>
      <c r="F1334" s="2">
        <v>24</v>
      </c>
      <c r="G1334" s="2">
        <v>2</v>
      </c>
      <c r="H1334" s="2" t="s">
        <v>38</v>
      </c>
      <c r="I1334" s="2">
        <v>1</v>
      </c>
      <c r="J1334" s="2">
        <v>1868</v>
      </c>
      <c r="K1334" s="2">
        <v>4</v>
      </c>
      <c r="L1334" s="2" t="s">
        <v>46</v>
      </c>
      <c r="M1334" s="2">
        <v>73</v>
      </c>
      <c r="N1334" s="2">
        <v>2</v>
      </c>
      <c r="O1334" s="2">
        <v>1</v>
      </c>
      <c r="P1334" s="2" t="s">
        <v>47</v>
      </c>
      <c r="Q1334" s="2">
        <v>4</v>
      </c>
      <c r="R1334" s="2" t="s">
        <v>41</v>
      </c>
      <c r="S1334" s="2">
        <v>2439</v>
      </c>
      <c r="T1334" s="2">
        <v>14753</v>
      </c>
      <c r="U1334" s="2">
        <v>1</v>
      </c>
      <c r="V1334" s="2" t="s">
        <v>42</v>
      </c>
      <c r="W1334" s="2" t="s">
        <v>35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</row>
    <row r="1335" spans="1:35" x14ac:dyDescent="0.25">
      <c r="A1335" s="2">
        <v>46</v>
      </c>
      <c r="B1335" s="2" t="s">
        <v>35</v>
      </c>
      <c r="C1335" s="2" t="s">
        <v>36</v>
      </c>
      <c r="D1335" s="2">
        <v>1254</v>
      </c>
      <c r="E1335" s="2" t="s">
        <v>37</v>
      </c>
      <c r="F1335" s="2">
        <v>10</v>
      </c>
      <c r="G1335" s="2">
        <v>3</v>
      </c>
      <c r="H1335" s="2" t="s">
        <v>38</v>
      </c>
      <c r="I1335" s="2">
        <v>1</v>
      </c>
      <c r="J1335" s="2">
        <v>1869</v>
      </c>
      <c r="K1335" s="2">
        <v>3</v>
      </c>
      <c r="L1335" s="2" t="s">
        <v>39</v>
      </c>
      <c r="M1335" s="2">
        <v>64</v>
      </c>
      <c r="N1335" s="2">
        <v>3</v>
      </c>
      <c r="O1335" s="2">
        <v>3</v>
      </c>
      <c r="P1335" s="2" t="s">
        <v>40</v>
      </c>
      <c r="Q1335" s="2">
        <v>2</v>
      </c>
      <c r="R1335" s="2" t="s">
        <v>48</v>
      </c>
      <c r="S1335" s="2">
        <v>7314</v>
      </c>
      <c r="T1335" s="2">
        <v>14011</v>
      </c>
      <c r="U1335" s="2">
        <v>5</v>
      </c>
      <c r="V1335" s="2" t="s">
        <v>42</v>
      </c>
      <c r="W1335" s="2" t="s">
        <v>43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</row>
    <row r="1336" spans="1:35" x14ac:dyDescent="0.25">
      <c r="A1336" s="2">
        <v>27</v>
      </c>
      <c r="B1336" s="2" t="s">
        <v>43</v>
      </c>
      <c r="C1336" s="2" t="s">
        <v>44</v>
      </c>
      <c r="D1336" s="2">
        <v>1131</v>
      </c>
      <c r="E1336" s="2" t="s">
        <v>45</v>
      </c>
      <c r="F1336" s="2">
        <v>15</v>
      </c>
      <c r="G1336" s="2">
        <v>3</v>
      </c>
      <c r="H1336" s="2" t="s">
        <v>38</v>
      </c>
      <c r="I1336" s="2">
        <v>1</v>
      </c>
      <c r="J1336" s="2">
        <v>1870</v>
      </c>
      <c r="K1336" s="2">
        <v>4</v>
      </c>
      <c r="L1336" s="2" t="s">
        <v>39</v>
      </c>
      <c r="M1336" s="2">
        <v>77</v>
      </c>
      <c r="N1336" s="2">
        <v>2</v>
      </c>
      <c r="O1336" s="2">
        <v>1</v>
      </c>
      <c r="P1336" s="2" t="s">
        <v>47</v>
      </c>
      <c r="Q1336" s="2">
        <v>1</v>
      </c>
      <c r="R1336" s="2" t="s">
        <v>48</v>
      </c>
      <c r="S1336" s="2">
        <v>4774</v>
      </c>
      <c r="T1336" s="2">
        <v>23844</v>
      </c>
      <c r="U1336" s="2">
        <v>0</v>
      </c>
      <c r="V1336" s="2" t="s">
        <v>42</v>
      </c>
      <c r="W1336" s="2" t="s">
        <v>43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</row>
    <row r="1337" spans="1:35" x14ac:dyDescent="0.25">
      <c r="A1337" s="2">
        <v>39</v>
      </c>
      <c r="B1337" s="2" t="s">
        <v>43</v>
      </c>
      <c r="C1337" s="2" t="s">
        <v>36</v>
      </c>
      <c r="D1337" s="2">
        <v>835</v>
      </c>
      <c r="E1337" s="2" t="s">
        <v>45</v>
      </c>
      <c r="F1337" s="2">
        <v>19</v>
      </c>
      <c r="G1337" s="2">
        <v>4</v>
      </c>
      <c r="H1337" s="2" t="s">
        <v>49</v>
      </c>
      <c r="I1337" s="2">
        <v>1</v>
      </c>
      <c r="J1337" s="2">
        <v>1871</v>
      </c>
      <c r="K1337" s="2">
        <v>4</v>
      </c>
      <c r="L1337" s="2" t="s">
        <v>46</v>
      </c>
      <c r="M1337" s="2">
        <v>41</v>
      </c>
      <c r="N1337" s="2">
        <v>3</v>
      </c>
      <c r="O1337" s="2">
        <v>2</v>
      </c>
      <c r="P1337" s="2" t="s">
        <v>47</v>
      </c>
      <c r="Q1337" s="2">
        <v>4</v>
      </c>
      <c r="R1337" s="2" t="s">
        <v>52</v>
      </c>
      <c r="S1337" s="2">
        <v>3902</v>
      </c>
      <c r="T1337" s="2">
        <v>5141</v>
      </c>
      <c r="U1337" s="2">
        <v>8</v>
      </c>
      <c r="V1337" s="2" t="s">
        <v>42</v>
      </c>
      <c r="W1337" s="2" t="s">
        <v>43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</row>
    <row r="1338" spans="1:35" x14ac:dyDescent="0.25">
      <c r="A1338" s="2">
        <v>55</v>
      </c>
      <c r="B1338" s="2" t="s">
        <v>43</v>
      </c>
      <c r="C1338" s="2" t="s">
        <v>36</v>
      </c>
      <c r="D1338" s="2">
        <v>836</v>
      </c>
      <c r="E1338" s="2" t="s">
        <v>45</v>
      </c>
      <c r="F1338" s="2">
        <v>2</v>
      </c>
      <c r="G1338" s="2">
        <v>4</v>
      </c>
      <c r="H1338" s="2" t="s">
        <v>60</v>
      </c>
      <c r="I1338" s="2">
        <v>1</v>
      </c>
      <c r="J1338" s="2">
        <v>1873</v>
      </c>
      <c r="K1338" s="2">
        <v>2</v>
      </c>
      <c r="L1338" s="2" t="s">
        <v>46</v>
      </c>
      <c r="M1338" s="2">
        <v>98</v>
      </c>
      <c r="N1338" s="2">
        <v>2</v>
      </c>
      <c r="O1338" s="2">
        <v>1</v>
      </c>
      <c r="P1338" s="2" t="s">
        <v>47</v>
      </c>
      <c r="Q1338" s="2">
        <v>4</v>
      </c>
      <c r="R1338" s="2" t="s">
        <v>48</v>
      </c>
      <c r="S1338" s="2">
        <v>2662</v>
      </c>
      <c r="T1338" s="2">
        <v>7975</v>
      </c>
      <c r="U1338" s="2">
        <v>8</v>
      </c>
      <c r="V1338" s="2" t="s">
        <v>42</v>
      </c>
      <c r="W1338" s="2" t="s">
        <v>43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</row>
    <row r="1339" spans="1:35" x14ac:dyDescent="0.25">
      <c r="A1339" s="2">
        <v>28</v>
      </c>
      <c r="B1339" s="2" t="s">
        <v>43</v>
      </c>
      <c r="C1339" s="2" t="s">
        <v>36</v>
      </c>
      <c r="D1339" s="2">
        <v>1172</v>
      </c>
      <c r="E1339" s="2" t="s">
        <v>37</v>
      </c>
      <c r="F1339" s="2">
        <v>3</v>
      </c>
      <c r="G1339" s="2">
        <v>3</v>
      </c>
      <c r="H1339" s="2" t="s">
        <v>51</v>
      </c>
      <c r="I1339" s="2">
        <v>1</v>
      </c>
      <c r="J1339" s="2">
        <v>1875</v>
      </c>
      <c r="K1339" s="2">
        <v>2</v>
      </c>
      <c r="L1339" s="2" t="s">
        <v>39</v>
      </c>
      <c r="M1339" s="2">
        <v>78</v>
      </c>
      <c r="N1339" s="2">
        <v>3</v>
      </c>
      <c r="O1339" s="2">
        <v>1</v>
      </c>
      <c r="P1339" s="2" t="s">
        <v>57</v>
      </c>
      <c r="Q1339" s="2">
        <v>2</v>
      </c>
      <c r="R1339" s="2" t="s">
        <v>48</v>
      </c>
      <c r="S1339" s="2">
        <v>2856</v>
      </c>
      <c r="T1339" s="2">
        <v>3692</v>
      </c>
      <c r="U1339" s="2">
        <v>1</v>
      </c>
      <c r="V1339" s="2" t="s">
        <v>42</v>
      </c>
      <c r="W1339" s="2" t="s">
        <v>43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</row>
    <row r="1340" spans="1:35" x14ac:dyDescent="0.25">
      <c r="A1340" s="2">
        <v>30</v>
      </c>
      <c r="B1340" s="2" t="s">
        <v>35</v>
      </c>
      <c r="C1340" s="2" t="s">
        <v>36</v>
      </c>
      <c r="D1340" s="2">
        <v>945</v>
      </c>
      <c r="E1340" s="2" t="s">
        <v>37</v>
      </c>
      <c r="F1340" s="2">
        <v>9</v>
      </c>
      <c r="G1340" s="2">
        <v>3</v>
      </c>
      <c r="H1340" s="2" t="s">
        <v>51</v>
      </c>
      <c r="I1340" s="2">
        <v>1</v>
      </c>
      <c r="J1340" s="2">
        <v>1876</v>
      </c>
      <c r="K1340" s="2">
        <v>2</v>
      </c>
      <c r="L1340" s="2" t="s">
        <v>46</v>
      </c>
      <c r="M1340" s="2">
        <v>89</v>
      </c>
      <c r="N1340" s="2">
        <v>3</v>
      </c>
      <c r="O1340" s="2">
        <v>1</v>
      </c>
      <c r="P1340" s="2" t="s">
        <v>57</v>
      </c>
      <c r="Q1340" s="2">
        <v>4</v>
      </c>
      <c r="R1340" s="2" t="s">
        <v>41</v>
      </c>
      <c r="S1340" s="2">
        <v>1081</v>
      </c>
      <c r="T1340" s="2">
        <v>16019</v>
      </c>
      <c r="U1340" s="2">
        <v>1</v>
      </c>
      <c r="V1340" s="2" t="s">
        <v>42</v>
      </c>
      <c r="W1340" s="2" t="s">
        <v>43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</row>
    <row r="1341" spans="1:35" x14ac:dyDescent="0.25">
      <c r="A1341" s="2">
        <v>22</v>
      </c>
      <c r="B1341" s="2" t="s">
        <v>35</v>
      </c>
      <c r="C1341" s="2" t="s">
        <v>36</v>
      </c>
      <c r="D1341" s="2">
        <v>391</v>
      </c>
      <c r="E1341" s="2" t="s">
        <v>45</v>
      </c>
      <c r="F1341" s="2">
        <v>7</v>
      </c>
      <c r="G1341" s="2">
        <v>1</v>
      </c>
      <c r="H1341" s="2" t="s">
        <v>38</v>
      </c>
      <c r="I1341" s="2">
        <v>1</v>
      </c>
      <c r="J1341" s="2">
        <v>1878</v>
      </c>
      <c r="K1341" s="2">
        <v>4</v>
      </c>
      <c r="L1341" s="2" t="s">
        <v>46</v>
      </c>
      <c r="M1341" s="2">
        <v>75</v>
      </c>
      <c r="N1341" s="2">
        <v>3</v>
      </c>
      <c r="O1341" s="2">
        <v>1</v>
      </c>
      <c r="P1341" s="2" t="s">
        <v>47</v>
      </c>
      <c r="Q1341" s="2">
        <v>2</v>
      </c>
      <c r="R1341" s="2" t="s">
        <v>41</v>
      </c>
      <c r="S1341" s="2">
        <v>2472</v>
      </c>
      <c r="T1341" s="2">
        <v>26092</v>
      </c>
      <c r="U1341" s="2">
        <v>1</v>
      </c>
      <c r="V1341" s="2" t="s">
        <v>42</v>
      </c>
      <c r="W1341" s="2" t="s">
        <v>35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</row>
    <row r="1342" spans="1:35" x14ac:dyDescent="0.25">
      <c r="A1342" s="2">
        <v>36</v>
      </c>
      <c r="B1342" s="2" t="s">
        <v>43</v>
      </c>
      <c r="C1342" s="2" t="s">
        <v>36</v>
      </c>
      <c r="D1342" s="2">
        <v>1266</v>
      </c>
      <c r="E1342" s="2" t="s">
        <v>37</v>
      </c>
      <c r="F1342" s="2">
        <v>10</v>
      </c>
      <c r="G1342" s="2">
        <v>4</v>
      </c>
      <c r="H1342" s="2" t="s">
        <v>60</v>
      </c>
      <c r="I1342" s="2">
        <v>1</v>
      </c>
      <c r="J1342" s="2">
        <v>1880</v>
      </c>
      <c r="K1342" s="2">
        <v>2</v>
      </c>
      <c r="L1342" s="2" t="s">
        <v>39</v>
      </c>
      <c r="M1342" s="2">
        <v>63</v>
      </c>
      <c r="N1342" s="2">
        <v>2</v>
      </c>
      <c r="O1342" s="2">
        <v>2</v>
      </c>
      <c r="P1342" s="2" t="s">
        <v>40</v>
      </c>
      <c r="Q1342" s="2">
        <v>3</v>
      </c>
      <c r="R1342" s="2" t="s">
        <v>48</v>
      </c>
      <c r="S1342" s="2">
        <v>5673</v>
      </c>
      <c r="T1342" s="2">
        <v>6060</v>
      </c>
      <c r="U1342" s="2">
        <v>1</v>
      </c>
      <c r="V1342" s="2" t="s">
        <v>42</v>
      </c>
      <c r="W1342" s="2" t="s">
        <v>35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</row>
    <row r="1343" spans="1:35" x14ac:dyDescent="0.25">
      <c r="A1343" s="2">
        <v>31</v>
      </c>
      <c r="B1343" s="2" t="s">
        <v>43</v>
      </c>
      <c r="C1343" s="2" t="s">
        <v>36</v>
      </c>
      <c r="D1343" s="2">
        <v>311</v>
      </c>
      <c r="E1343" s="2" t="s">
        <v>45</v>
      </c>
      <c r="F1343" s="2">
        <v>20</v>
      </c>
      <c r="G1343" s="2">
        <v>3</v>
      </c>
      <c r="H1343" s="2" t="s">
        <v>38</v>
      </c>
      <c r="I1343" s="2">
        <v>1</v>
      </c>
      <c r="J1343" s="2">
        <v>1881</v>
      </c>
      <c r="K1343" s="2">
        <v>2</v>
      </c>
      <c r="L1343" s="2" t="s">
        <v>46</v>
      </c>
      <c r="M1343" s="2">
        <v>89</v>
      </c>
      <c r="N1343" s="2">
        <v>3</v>
      </c>
      <c r="O1343" s="2">
        <v>2</v>
      </c>
      <c r="P1343" s="2" t="s">
        <v>50</v>
      </c>
      <c r="Q1343" s="2">
        <v>3</v>
      </c>
      <c r="R1343" s="2" t="s">
        <v>52</v>
      </c>
      <c r="S1343" s="2">
        <v>4197</v>
      </c>
      <c r="T1343" s="2">
        <v>18624</v>
      </c>
      <c r="U1343" s="2">
        <v>1</v>
      </c>
      <c r="V1343" s="2" t="s">
        <v>42</v>
      </c>
      <c r="W1343" s="2" t="s">
        <v>43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</row>
    <row r="1344" spans="1:35" x14ac:dyDescent="0.25">
      <c r="A1344" s="2">
        <v>34</v>
      </c>
      <c r="B1344" s="2" t="s">
        <v>43</v>
      </c>
      <c r="C1344" s="2" t="s">
        <v>36</v>
      </c>
      <c r="D1344" s="2">
        <v>1480</v>
      </c>
      <c r="E1344" s="2" t="s">
        <v>37</v>
      </c>
      <c r="F1344" s="2">
        <v>4</v>
      </c>
      <c r="G1344" s="2">
        <v>3</v>
      </c>
      <c r="H1344" s="2" t="s">
        <v>38</v>
      </c>
      <c r="I1344" s="2">
        <v>1</v>
      </c>
      <c r="J1344" s="2">
        <v>1882</v>
      </c>
      <c r="K1344" s="2">
        <v>3</v>
      </c>
      <c r="L1344" s="2" t="s">
        <v>46</v>
      </c>
      <c r="M1344" s="2">
        <v>64</v>
      </c>
      <c r="N1344" s="2">
        <v>3</v>
      </c>
      <c r="O1344" s="2">
        <v>3</v>
      </c>
      <c r="P1344" s="2" t="s">
        <v>40</v>
      </c>
      <c r="Q1344" s="2">
        <v>4</v>
      </c>
      <c r="R1344" s="2" t="s">
        <v>48</v>
      </c>
      <c r="S1344" s="2">
        <v>9713</v>
      </c>
      <c r="T1344" s="2">
        <v>24444</v>
      </c>
      <c r="U1344" s="2">
        <v>2</v>
      </c>
      <c r="V1344" s="2" t="s">
        <v>42</v>
      </c>
      <c r="W1344" s="2" t="s">
        <v>35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</row>
    <row r="1345" spans="1:35" x14ac:dyDescent="0.25">
      <c r="A1345" s="2">
        <v>29</v>
      </c>
      <c r="B1345" s="2" t="s">
        <v>43</v>
      </c>
      <c r="C1345" s="2" t="s">
        <v>36</v>
      </c>
      <c r="D1345" s="2">
        <v>592</v>
      </c>
      <c r="E1345" s="2" t="s">
        <v>45</v>
      </c>
      <c r="F1345" s="2">
        <v>7</v>
      </c>
      <c r="G1345" s="2">
        <v>3</v>
      </c>
      <c r="H1345" s="2" t="s">
        <v>38</v>
      </c>
      <c r="I1345" s="2">
        <v>1</v>
      </c>
      <c r="J1345" s="2">
        <v>1883</v>
      </c>
      <c r="K1345" s="2">
        <v>4</v>
      </c>
      <c r="L1345" s="2" t="s">
        <v>46</v>
      </c>
      <c r="M1345" s="2">
        <v>59</v>
      </c>
      <c r="N1345" s="2">
        <v>3</v>
      </c>
      <c r="O1345" s="2">
        <v>1</v>
      </c>
      <c r="P1345" s="2" t="s">
        <v>50</v>
      </c>
      <c r="Q1345" s="2">
        <v>1</v>
      </c>
      <c r="R1345" s="2" t="s">
        <v>41</v>
      </c>
      <c r="S1345" s="2">
        <v>2062</v>
      </c>
      <c r="T1345" s="2">
        <v>19384</v>
      </c>
      <c r="U1345" s="2">
        <v>3</v>
      </c>
      <c r="V1345" s="2" t="s">
        <v>42</v>
      </c>
      <c r="W1345" s="2" t="s">
        <v>43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</row>
    <row r="1346" spans="1:35" x14ac:dyDescent="0.25">
      <c r="A1346" s="2">
        <v>37</v>
      </c>
      <c r="B1346" s="2" t="s">
        <v>43</v>
      </c>
      <c r="C1346" s="2" t="s">
        <v>36</v>
      </c>
      <c r="D1346" s="2">
        <v>783</v>
      </c>
      <c r="E1346" s="2" t="s">
        <v>45</v>
      </c>
      <c r="F1346" s="2">
        <v>7</v>
      </c>
      <c r="G1346" s="2">
        <v>4</v>
      </c>
      <c r="H1346" s="2" t="s">
        <v>51</v>
      </c>
      <c r="I1346" s="2">
        <v>1</v>
      </c>
      <c r="J1346" s="2">
        <v>1885</v>
      </c>
      <c r="K1346" s="2">
        <v>4</v>
      </c>
      <c r="L1346" s="2" t="s">
        <v>46</v>
      </c>
      <c r="M1346" s="2">
        <v>78</v>
      </c>
      <c r="N1346" s="2">
        <v>3</v>
      </c>
      <c r="O1346" s="2">
        <v>2</v>
      </c>
      <c r="P1346" s="2" t="s">
        <v>47</v>
      </c>
      <c r="Q1346" s="2">
        <v>1</v>
      </c>
      <c r="R1346" s="2" t="s">
        <v>48</v>
      </c>
      <c r="S1346" s="2">
        <v>4284</v>
      </c>
      <c r="T1346" s="2">
        <v>13588</v>
      </c>
      <c r="U1346" s="2">
        <v>5</v>
      </c>
      <c r="V1346" s="2" t="s">
        <v>42</v>
      </c>
      <c r="W1346" s="2" t="s">
        <v>35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</row>
    <row r="1347" spans="1:35" x14ac:dyDescent="0.25">
      <c r="A1347" s="2">
        <v>35</v>
      </c>
      <c r="B1347" s="2" t="s">
        <v>43</v>
      </c>
      <c r="C1347" s="2" t="s">
        <v>36</v>
      </c>
      <c r="D1347" s="2">
        <v>219</v>
      </c>
      <c r="E1347" s="2" t="s">
        <v>45</v>
      </c>
      <c r="F1347" s="2">
        <v>16</v>
      </c>
      <c r="G1347" s="2">
        <v>2</v>
      </c>
      <c r="H1347" s="2" t="s">
        <v>49</v>
      </c>
      <c r="I1347" s="2">
        <v>1</v>
      </c>
      <c r="J1347" s="2">
        <v>1886</v>
      </c>
      <c r="K1347" s="2">
        <v>4</v>
      </c>
      <c r="L1347" s="2" t="s">
        <v>39</v>
      </c>
      <c r="M1347" s="2">
        <v>44</v>
      </c>
      <c r="N1347" s="2">
        <v>2</v>
      </c>
      <c r="O1347" s="2">
        <v>2</v>
      </c>
      <c r="P1347" s="2" t="s">
        <v>53</v>
      </c>
      <c r="Q1347" s="2">
        <v>2</v>
      </c>
      <c r="R1347" s="2" t="s">
        <v>48</v>
      </c>
      <c r="S1347" s="2">
        <v>4788</v>
      </c>
      <c r="T1347" s="2">
        <v>25388</v>
      </c>
      <c r="U1347" s="2">
        <v>0</v>
      </c>
      <c r="V1347" s="2" t="s">
        <v>42</v>
      </c>
      <c r="W1347" s="2" t="s">
        <v>35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</row>
    <row r="1348" spans="1:35" x14ac:dyDescent="0.25">
      <c r="A1348" s="2">
        <v>45</v>
      </c>
      <c r="B1348" s="2" t="s">
        <v>43</v>
      </c>
      <c r="C1348" s="2" t="s">
        <v>36</v>
      </c>
      <c r="D1348" s="2">
        <v>556</v>
      </c>
      <c r="E1348" s="2" t="s">
        <v>45</v>
      </c>
      <c r="F1348" s="2">
        <v>25</v>
      </c>
      <c r="G1348" s="2">
        <v>2</v>
      </c>
      <c r="H1348" s="2" t="s">
        <v>38</v>
      </c>
      <c r="I1348" s="2">
        <v>1</v>
      </c>
      <c r="J1348" s="2">
        <v>1888</v>
      </c>
      <c r="K1348" s="2">
        <v>2</v>
      </c>
      <c r="L1348" s="2" t="s">
        <v>39</v>
      </c>
      <c r="M1348" s="2">
        <v>93</v>
      </c>
      <c r="N1348" s="2">
        <v>2</v>
      </c>
      <c r="O1348" s="2">
        <v>2</v>
      </c>
      <c r="P1348" s="2" t="s">
        <v>53</v>
      </c>
      <c r="Q1348" s="2">
        <v>4</v>
      </c>
      <c r="R1348" s="2" t="s">
        <v>48</v>
      </c>
      <c r="S1348" s="2">
        <v>5906</v>
      </c>
      <c r="T1348" s="2">
        <v>23888</v>
      </c>
      <c r="U1348" s="2">
        <v>0</v>
      </c>
      <c r="V1348" s="2" t="s">
        <v>42</v>
      </c>
      <c r="W1348" s="2" t="s">
        <v>43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</row>
    <row r="1349" spans="1:35" x14ac:dyDescent="0.25">
      <c r="A1349" s="2">
        <v>36</v>
      </c>
      <c r="B1349" s="2" t="s">
        <v>43</v>
      </c>
      <c r="C1349" s="2" t="s">
        <v>44</v>
      </c>
      <c r="D1349" s="2">
        <v>1213</v>
      </c>
      <c r="E1349" s="2" t="s">
        <v>61</v>
      </c>
      <c r="F1349" s="2">
        <v>2</v>
      </c>
      <c r="G1349" s="2">
        <v>1</v>
      </c>
      <c r="H1349" s="2" t="s">
        <v>61</v>
      </c>
      <c r="I1349" s="2">
        <v>1</v>
      </c>
      <c r="J1349" s="2">
        <v>1890</v>
      </c>
      <c r="K1349" s="2">
        <v>2</v>
      </c>
      <c r="L1349" s="2" t="s">
        <v>46</v>
      </c>
      <c r="M1349" s="2">
        <v>94</v>
      </c>
      <c r="N1349" s="2">
        <v>2</v>
      </c>
      <c r="O1349" s="2">
        <v>2</v>
      </c>
      <c r="P1349" s="2" t="s">
        <v>61</v>
      </c>
      <c r="Q1349" s="2">
        <v>4</v>
      </c>
      <c r="R1349" s="2" t="s">
        <v>41</v>
      </c>
      <c r="S1349" s="2">
        <v>3886</v>
      </c>
      <c r="T1349" s="2">
        <v>4223</v>
      </c>
      <c r="U1349" s="2">
        <v>1</v>
      </c>
      <c r="V1349" s="2" t="s">
        <v>42</v>
      </c>
      <c r="W1349" s="2" t="s">
        <v>43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</row>
    <row r="1350" spans="1:35" x14ac:dyDescent="0.25">
      <c r="A1350" s="2">
        <v>40</v>
      </c>
      <c r="B1350" s="2" t="s">
        <v>43</v>
      </c>
      <c r="C1350" s="2" t="s">
        <v>36</v>
      </c>
      <c r="D1350" s="2">
        <v>1137</v>
      </c>
      <c r="E1350" s="2" t="s">
        <v>45</v>
      </c>
      <c r="F1350" s="2">
        <v>1</v>
      </c>
      <c r="G1350" s="2">
        <v>4</v>
      </c>
      <c r="H1350" s="2" t="s">
        <v>38</v>
      </c>
      <c r="I1350" s="2">
        <v>1</v>
      </c>
      <c r="J1350" s="2">
        <v>1892</v>
      </c>
      <c r="K1350" s="2">
        <v>1</v>
      </c>
      <c r="L1350" s="2" t="s">
        <v>46</v>
      </c>
      <c r="M1350" s="2">
        <v>98</v>
      </c>
      <c r="N1350" s="2">
        <v>3</v>
      </c>
      <c r="O1350" s="2">
        <v>4</v>
      </c>
      <c r="P1350" s="2" t="s">
        <v>56</v>
      </c>
      <c r="Q1350" s="2">
        <v>1</v>
      </c>
      <c r="R1350" s="2" t="s">
        <v>52</v>
      </c>
      <c r="S1350" s="2">
        <v>16823</v>
      </c>
      <c r="T1350" s="2">
        <v>18991</v>
      </c>
      <c r="U1350" s="2">
        <v>2</v>
      </c>
      <c r="V1350" s="2" t="s">
        <v>42</v>
      </c>
      <c r="W1350" s="2" t="s">
        <v>43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</row>
    <row r="1351" spans="1:35" x14ac:dyDescent="0.25">
      <c r="A1351" s="2">
        <v>26</v>
      </c>
      <c r="B1351" s="2" t="s">
        <v>43</v>
      </c>
      <c r="C1351" s="2" t="s">
        <v>36</v>
      </c>
      <c r="D1351" s="2">
        <v>482</v>
      </c>
      <c r="E1351" s="2" t="s">
        <v>45</v>
      </c>
      <c r="F1351" s="2">
        <v>1</v>
      </c>
      <c r="G1351" s="2">
        <v>2</v>
      </c>
      <c r="H1351" s="2" t="s">
        <v>38</v>
      </c>
      <c r="I1351" s="2">
        <v>1</v>
      </c>
      <c r="J1351" s="2">
        <v>1893</v>
      </c>
      <c r="K1351" s="2">
        <v>2</v>
      </c>
      <c r="L1351" s="2" t="s">
        <v>39</v>
      </c>
      <c r="M1351" s="2">
        <v>90</v>
      </c>
      <c r="N1351" s="2">
        <v>2</v>
      </c>
      <c r="O1351" s="2">
        <v>1</v>
      </c>
      <c r="P1351" s="2" t="s">
        <v>47</v>
      </c>
      <c r="Q1351" s="2">
        <v>3</v>
      </c>
      <c r="R1351" s="2" t="s">
        <v>48</v>
      </c>
      <c r="S1351" s="2">
        <v>2933</v>
      </c>
      <c r="T1351" s="2">
        <v>14908</v>
      </c>
      <c r="U1351" s="2">
        <v>1</v>
      </c>
      <c r="V1351" s="2" t="s">
        <v>42</v>
      </c>
      <c r="W1351" s="2" t="s">
        <v>35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</row>
    <row r="1352" spans="1:35" x14ac:dyDescent="0.25">
      <c r="A1352" s="2">
        <v>27</v>
      </c>
      <c r="B1352" s="2" t="s">
        <v>43</v>
      </c>
      <c r="C1352" s="2" t="s">
        <v>36</v>
      </c>
      <c r="D1352" s="2">
        <v>511</v>
      </c>
      <c r="E1352" s="2" t="s">
        <v>37</v>
      </c>
      <c r="F1352" s="2">
        <v>2</v>
      </c>
      <c r="G1352" s="2">
        <v>2</v>
      </c>
      <c r="H1352" s="2" t="s">
        <v>51</v>
      </c>
      <c r="I1352" s="2">
        <v>1</v>
      </c>
      <c r="J1352" s="2">
        <v>1898</v>
      </c>
      <c r="K1352" s="2">
        <v>1</v>
      </c>
      <c r="L1352" s="2" t="s">
        <v>39</v>
      </c>
      <c r="M1352" s="2">
        <v>89</v>
      </c>
      <c r="N1352" s="2">
        <v>4</v>
      </c>
      <c r="O1352" s="2">
        <v>2</v>
      </c>
      <c r="P1352" s="2" t="s">
        <v>40</v>
      </c>
      <c r="Q1352" s="2">
        <v>3</v>
      </c>
      <c r="R1352" s="2" t="s">
        <v>41</v>
      </c>
      <c r="S1352" s="2">
        <v>6500</v>
      </c>
      <c r="T1352" s="2">
        <v>26997</v>
      </c>
      <c r="U1352" s="2">
        <v>0</v>
      </c>
      <c r="V1352" s="2" t="s">
        <v>42</v>
      </c>
      <c r="W1352" s="2" t="s">
        <v>43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</row>
    <row r="1353" spans="1:35" x14ac:dyDescent="0.25">
      <c r="A1353" s="2">
        <v>48</v>
      </c>
      <c r="B1353" s="2" t="s">
        <v>43</v>
      </c>
      <c r="C1353" s="2" t="s">
        <v>44</v>
      </c>
      <c r="D1353" s="2">
        <v>117</v>
      </c>
      <c r="E1353" s="2" t="s">
        <v>45</v>
      </c>
      <c r="F1353" s="2">
        <v>22</v>
      </c>
      <c r="G1353" s="2">
        <v>3</v>
      </c>
      <c r="H1353" s="2" t="s">
        <v>51</v>
      </c>
      <c r="I1353" s="2">
        <v>1</v>
      </c>
      <c r="J1353" s="2">
        <v>1900</v>
      </c>
      <c r="K1353" s="2">
        <v>4</v>
      </c>
      <c r="L1353" s="2" t="s">
        <v>39</v>
      </c>
      <c r="M1353" s="2">
        <v>58</v>
      </c>
      <c r="N1353" s="2">
        <v>3</v>
      </c>
      <c r="O1353" s="2">
        <v>4</v>
      </c>
      <c r="P1353" s="2" t="s">
        <v>56</v>
      </c>
      <c r="Q1353" s="2">
        <v>4</v>
      </c>
      <c r="R1353" s="2" t="s">
        <v>52</v>
      </c>
      <c r="S1353" s="2">
        <v>17174</v>
      </c>
      <c r="T1353" s="2">
        <v>2437</v>
      </c>
      <c r="U1353" s="2">
        <v>3</v>
      </c>
      <c r="V1353" s="2" t="s">
        <v>42</v>
      </c>
      <c r="W1353" s="2" t="s">
        <v>43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</row>
    <row r="1354" spans="1:35" x14ac:dyDescent="0.25">
      <c r="A1354" s="2">
        <v>44</v>
      </c>
      <c r="B1354" s="2" t="s">
        <v>43</v>
      </c>
      <c r="C1354" s="2" t="s">
        <v>36</v>
      </c>
      <c r="D1354" s="2">
        <v>170</v>
      </c>
      <c r="E1354" s="2" t="s">
        <v>45</v>
      </c>
      <c r="F1354" s="2">
        <v>1</v>
      </c>
      <c r="G1354" s="2">
        <v>4</v>
      </c>
      <c r="H1354" s="2" t="s">
        <v>38</v>
      </c>
      <c r="I1354" s="2">
        <v>1</v>
      </c>
      <c r="J1354" s="2">
        <v>1903</v>
      </c>
      <c r="K1354" s="2">
        <v>2</v>
      </c>
      <c r="L1354" s="2" t="s">
        <v>46</v>
      </c>
      <c r="M1354" s="2">
        <v>78</v>
      </c>
      <c r="N1354" s="2">
        <v>4</v>
      </c>
      <c r="O1354" s="2">
        <v>2</v>
      </c>
      <c r="P1354" s="2" t="s">
        <v>54</v>
      </c>
      <c r="Q1354" s="2">
        <v>1</v>
      </c>
      <c r="R1354" s="2" t="s">
        <v>48</v>
      </c>
      <c r="S1354" s="2">
        <v>5033</v>
      </c>
      <c r="T1354" s="2">
        <v>9364</v>
      </c>
      <c r="U1354" s="2">
        <v>2</v>
      </c>
      <c r="V1354" s="2" t="s">
        <v>42</v>
      </c>
      <c r="W1354" s="2" t="s">
        <v>43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</row>
    <row r="1355" spans="1:35" x14ac:dyDescent="0.25">
      <c r="A1355" s="2">
        <v>34</v>
      </c>
      <c r="B1355" s="2" t="s">
        <v>35</v>
      </c>
      <c r="C1355" s="2" t="s">
        <v>55</v>
      </c>
      <c r="D1355" s="2">
        <v>967</v>
      </c>
      <c r="E1355" s="2" t="s">
        <v>45</v>
      </c>
      <c r="F1355" s="2">
        <v>16</v>
      </c>
      <c r="G1355" s="2">
        <v>4</v>
      </c>
      <c r="H1355" s="2" t="s">
        <v>60</v>
      </c>
      <c r="I1355" s="2">
        <v>1</v>
      </c>
      <c r="J1355" s="2">
        <v>1905</v>
      </c>
      <c r="K1355" s="2">
        <v>4</v>
      </c>
      <c r="L1355" s="2" t="s">
        <v>46</v>
      </c>
      <c r="M1355" s="2">
        <v>85</v>
      </c>
      <c r="N1355" s="2">
        <v>1</v>
      </c>
      <c r="O1355" s="2">
        <v>1</v>
      </c>
      <c r="P1355" s="2" t="s">
        <v>47</v>
      </c>
      <c r="Q1355" s="2">
        <v>1</v>
      </c>
      <c r="R1355" s="2" t="s">
        <v>48</v>
      </c>
      <c r="S1355" s="2">
        <v>2307</v>
      </c>
      <c r="T1355" s="2">
        <v>14460</v>
      </c>
      <c r="U1355" s="2">
        <v>1</v>
      </c>
      <c r="V1355" s="2" t="s">
        <v>42</v>
      </c>
      <c r="W1355" s="2" t="s">
        <v>35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</row>
    <row r="1356" spans="1:35" x14ac:dyDescent="0.25">
      <c r="A1356" s="2">
        <v>56</v>
      </c>
      <c r="B1356" s="2" t="s">
        <v>35</v>
      </c>
      <c r="C1356" s="2" t="s">
        <v>36</v>
      </c>
      <c r="D1356" s="2">
        <v>1162</v>
      </c>
      <c r="E1356" s="2" t="s">
        <v>45</v>
      </c>
      <c r="F1356" s="2">
        <v>24</v>
      </c>
      <c r="G1356" s="2">
        <v>2</v>
      </c>
      <c r="H1356" s="2" t="s">
        <v>38</v>
      </c>
      <c r="I1356" s="2">
        <v>1</v>
      </c>
      <c r="J1356" s="2">
        <v>1907</v>
      </c>
      <c r="K1356" s="2">
        <v>1</v>
      </c>
      <c r="L1356" s="2" t="s">
        <v>46</v>
      </c>
      <c r="M1356" s="2">
        <v>97</v>
      </c>
      <c r="N1356" s="2">
        <v>3</v>
      </c>
      <c r="O1356" s="2">
        <v>1</v>
      </c>
      <c r="P1356" s="2" t="s">
        <v>50</v>
      </c>
      <c r="Q1356" s="2">
        <v>4</v>
      </c>
      <c r="R1356" s="2" t="s">
        <v>41</v>
      </c>
      <c r="S1356" s="2">
        <v>2587</v>
      </c>
      <c r="T1356" s="2">
        <v>10261</v>
      </c>
      <c r="U1356" s="2">
        <v>1</v>
      </c>
      <c r="V1356" s="2" t="s">
        <v>42</v>
      </c>
      <c r="W1356" s="2" t="s">
        <v>43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</row>
    <row r="1357" spans="1:35" x14ac:dyDescent="0.25">
      <c r="A1357" s="2">
        <v>36</v>
      </c>
      <c r="B1357" s="2" t="s">
        <v>43</v>
      </c>
      <c r="C1357" s="2" t="s">
        <v>36</v>
      </c>
      <c r="D1357" s="2">
        <v>335</v>
      </c>
      <c r="E1357" s="2" t="s">
        <v>37</v>
      </c>
      <c r="F1357" s="2">
        <v>17</v>
      </c>
      <c r="G1357" s="2">
        <v>2</v>
      </c>
      <c r="H1357" s="2" t="s">
        <v>59</v>
      </c>
      <c r="I1357" s="2">
        <v>1</v>
      </c>
      <c r="J1357" s="2">
        <v>1908</v>
      </c>
      <c r="K1357" s="2">
        <v>3</v>
      </c>
      <c r="L1357" s="2" t="s">
        <v>46</v>
      </c>
      <c r="M1357" s="2">
        <v>33</v>
      </c>
      <c r="N1357" s="2">
        <v>2</v>
      </c>
      <c r="O1357" s="2">
        <v>2</v>
      </c>
      <c r="P1357" s="2" t="s">
        <v>40</v>
      </c>
      <c r="Q1357" s="2">
        <v>2</v>
      </c>
      <c r="R1357" s="2" t="s">
        <v>48</v>
      </c>
      <c r="S1357" s="2">
        <v>5507</v>
      </c>
      <c r="T1357" s="2">
        <v>16822</v>
      </c>
      <c r="U1357" s="2">
        <v>2</v>
      </c>
      <c r="V1357" s="2" t="s">
        <v>42</v>
      </c>
      <c r="W1357" s="2" t="s">
        <v>43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</row>
    <row r="1358" spans="1:35" x14ac:dyDescent="0.25">
      <c r="A1358" s="2">
        <v>41</v>
      </c>
      <c r="B1358" s="2" t="s">
        <v>43</v>
      </c>
      <c r="C1358" s="2" t="s">
        <v>36</v>
      </c>
      <c r="D1358" s="2">
        <v>337</v>
      </c>
      <c r="E1358" s="2" t="s">
        <v>37</v>
      </c>
      <c r="F1358" s="2">
        <v>8</v>
      </c>
      <c r="G1358" s="2">
        <v>3</v>
      </c>
      <c r="H1358" s="2" t="s">
        <v>59</v>
      </c>
      <c r="I1358" s="2">
        <v>1</v>
      </c>
      <c r="J1358" s="2">
        <v>1909</v>
      </c>
      <c r="K1358" s="2">
        <v>3</v>
      </c>
      <c r="L1358" s="2" t="s">
        <v>39</v>
      </c>
      <c r="M1358" s="2">
        <v>54</v>
      </c>
      <c r="N1358" s="2">
        <v>3</v>
      </c>
      <c r="O1358" s="2">
        <v>2</v>
      </c>
      <c r="P1358" s="2" t="s">
        <v>40</v>
      </c>
      <c r="Q1358" s="2">
        <v>2</v>
      </c>
      <c r="R1358" s="2" t="s">
        <v>48</v>
      </c>
      <c r="S1358" s="2">
        <v>4393</v>
      </c>
      <c r="T1358" s="2">
        <v>26841</v>
      </c>
      <c r="U1358" s="2">
        <v>5</v>
      </c>
      <c r="V1358" s="2" t="s">
        <v>42</v>
      </c>
      <c r="W1358" s="2" t="s">
        <v>43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</row>
    <row r="1359" spans="1:35" x14ac:dyDescent="0.25">
      <c r="A1359" s="2">
        <v>42</v>
      </c>
      <c r="B1359" s="2" t="s">
        <v>43</v>
      </c>
      <c r="C1359" s="2" t="s">
        <v>36</v>
      </c>
      <c r="D1359" s="2">
        <v>1396</v>
      </c>
      <c r="E1359" s="2" t="s">
        <v>45</v>
      </c>
      <c r="F1359" s="2">
        <v>6</v>
      </c>
      <c r="G1359" s="2">
        <v>3</v>
      </c>
      <c r="H1359" s="2" t="s">
        <v>51</v>
      </c>
      <c r="I1359" s="2">
        <v>1</v>
      </c>
      <c r="J1359" s="2">
        <v>1911</v>
      </c>
      <c r="K1359" s="2">
        <v>3</v>
      </c>
      <c r="L1359" s="2" t="s">
        <v>46</v>
      </c>
      <c r="M1359" s="2">
        <v>83</v>
      </c>
      <c r="N1359" s="2">
        <v>3</v>
      </c>
      <c r="O1359" s="2">
        <v>3</v>
      </c>
      <c r="P1359" s="2" t="s">
        <v>58</v>
      </c>
      <c r="Q1359" s="2">
        <v>1</v>
      </c>
      <c r="R1359" s="2" t="s">
        <v>48</v>
      </c>
      <c r="S1359" s="2">
        <v>13348</v>
      </c>
      <c r="T1359" s="2">
        <v>14842</v>
      </c>
      <c r="U1359" s="2">
        <v>9</v>
      </c>
      <c r="V1359" s="2" t="s">
        <v>42</v>
      </c>
      <c r="W1359" s="2" t="s">
        <v>43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</row>
    <row r="1360" spans="1:35" x14ac:dyDescent="0.25">
      <c r="A1360" s="2">
        <v>31</v>
      </c>
      <c r="B1360" s="2" t="s">
        <v>43</v>
      </c>
      <c r="C1360" s="2" t="s">
        <v>36</v>
      </c>
      <c r="D1360" s="2">
        <v>1079</v>
      </c>
      <c r="E1360" s="2" t="s">
        <v>37</v>
      </c>
      <c r="F1360" s="2">
        <v>10</v>
      </c>
      <c r="G1360" s="2">
        <v>2</v>
      </c>
      <c r="H1360" s="2" t="s">
        <v>51</v>
      </c>
      <c r="I1360" s="2">
        <v>1</v>
      </c>
      <c r="J1360" s="2">
        <v>1912</v>
      </c>
      <c r="K1360" s="2">
        <v>3</v>
      </c>
      <c r="L1360" s="2" t="s">
        <v>39</v>
      </c>
      <c r="M1360" s="2">
        <v>86</v>
      </c>
      <c r="N1360" s="2">
        <v>3</v>
      </c>
      <c r="O1360" s="2">
        <v>2</v>
      </c>
      <c r="P1360" s="2" t="s">
        <v>40</v>
      </c>
      <c r="Q1360" s="2">
        <v>4</v>
      </c>
      <c r="R1360" s="2" t="s">
        <v>52</v>
      </c>
      <c r="S1360" s="2">
        <v>6583</v>
      </c>
      <c r="T1360" s="2">
        <v>20115</v>
      </c>
      <c r="U1360" s="2">
        <v>2</v>
      </c>
      <c r="V1360" s="2" t="s">
        <v>42</v>
      </c>
      <c r="W1360" s="2" t="s">
        <v>35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</row>
    <row r="1361" spans="1:35" x14ac:dyDescent="0.25">
      <c r="A1361" s="2">
        <v>34</v>
      </c>
      <c r="B1361" s="2" t="s">
        <v>43</v>
      </c>
      <c r="C1361" s="2" t="s">
        <v>36</v>
      </c>
      <c r="D1361" s="2">
        <v>735</v>
      </c>
      <c r="E1361" s="2" t="s">
        <v>37</v>
      </c>
      <c r="F1361" s="2">
        <v>3</v>
      </c>
      <c r="G1361" s="2">
        <v>1</v>
      </c>
      <c r="H1361" s="2" t="s">
        <v>51</v>
      </c>
      <c r="I1361" s="2">
        <v>1</v>
      </c>
      <c r="J1361" s="2">
        <v>1915</v>
      </c>
      <c r="K1361" s="2">
        <v>4</v>
      </c>
      <c r="L1361" s="2" t="s">
        <v>39</v>
      </c>
      <c r="M1361" s="2">
        <v>75</v>
      </c>
      <c r="N1361" s="2">
        <v>2</v>
      </c>
      <c r="O1361" s="2">
        <v>2</v>
      </c>
      <c r="P1361" s="2" t="s">
        <v>40</v>
      </c>
      <c r="Q1361" s="2">
        <v>4</v>
      </c>
      <c r="R1361" s="2" t="s">
        <v>48</v>
      </c>
      <c r="S1361" s="2">
        <v>8103</v>
      </c>
      <c r="T1361" s="2">
        <v>16495</v>
      </c>
      <c r="U1361" s="2">
        <v>3</v>
      </c>
      <c r="V1361" s="2" t="s">
        <v>42</v>
      </c>
      <c r="W1361" s="2" t="s">
        <v>35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</row>
    <row r="1362" spans="1:35" x14ac:dyDescent="0.25">
      <c r="A1362" s="2">
        <v>31</v>
      </c>
      <c r="B1362" s="2" t="s">
        <v>43</v>
      </c>
      <c r="C1362" s="2" t="s">
        <v>36</v>
      </c>
      <c r="D1362" s="2">
        <v>471</v>
      </c>
      <c r="E1362" s="2" t="s">
        <v>45</v>
      </c>
      <c r="F1362" s="2">
        <v>4</v>
      </c>
      <c r="G1362" s="2">
        <v>3</v>
      </c>
      <c r="H1362" s="2" t="s">
        <v>51</v>
      </c>
      <c r="I1362" s="2">
        <v>1</v>
      </c>
      <c r="J1362" s="2">
        <v>1916</v>
      </c>
      <c r="K1362" s="2">
        <v>1</v>
      </c>
      <c r="L1362" s="2" t="s">
        <v>39</v>
      </c>
      <c r="M1362" s="2">
        <v>62</v>
      </c>
      <c r="N1362" s="2">
        <v>4</v>
      </c>
      <c r="O1362" s="2">
        <v>1</v>
      </c>
      <c r="P1362" s="2" t="s">
        <v>50</v>
      </c>
      <c r="Q1362" s="2">
        <v>3</v>
      </c>
      <c r="R1362" s="2" t="s">
        <v>52</v>
      </c>
      <c r="S1362" s="2">
        <v>3978</v>
      </c>
      <c r="T1362" s="2">
        <v>16031</v>
      </c>
      <c r="U1362" s="2">
        <v>8</v>
      </c>
      <c r="V1362" s="2" t="s">
        <v>42</v>
      </c>
      <c r="W1362" s="2" t="s">
        <v>43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</row>
    <row r="1363" spans="1:35" x14ac:dyDescent="0.25">
      <c r="A1363" s="2">
        <v>26</v>
      </c>
      <c r="B1363" s="2" t="s">
        <v>43</v>
      </c>
      <c r="C1363" s="2" t="s">
        <v>44</v>
      </c>
      <c r="D1363" s="2">
        <v>1096</v>
      </c>
      <c r="E1363" s="2" t="s">
        <v>45</v>
      </c>
      <c r="F1363" s="2">
        <v>6</v>
      </c>
      <c r="G1363" s="2">
        <v>3</v>
      </c>
      <c r="H1363" s="2" t="s">
        <v>49</v>
      </c>
      <c r="I1363" s="2">
        <v>1</v>
      </c>
      <c r="J1363" s="2">
        <v>1918</v>
      </c>
      <c r="K1363" s="2">
        <v>3</v>
      </c>
      <c r="L1363" s="2" t="s">
        <v>46</v>
      </c>
      <c r="M1363" s="2">
        <v>61</v>
      </c>
      <c r="N1363" s="2">
        <v>4</v>
      </c>
      <c r="O1363" s="2">
        <v>1</v>
      </c>
      <c r="P1363" s="2" t="s">
        <v>50</v>
      </c>
      <c r="Q1363" s="2">
        <v>4</v>
      </c>
      <c r="R1363" s="2" t="s">
        <v>48</v>
      </c>
      <c r="S1363" s="2">
        <v>2544</v>
      </c>
      <c r="T1363" s="2">
        <v>7102</v>
      </c>
      <c r="U1363" s="2">
        <v>0</v>
      </c>
      <c r="V1363" s="2" t="s">
        <v>42</v>
      </c>
      <c r="W1363" s="2" t="s">
        <v>43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</row>
    <row r="1364" spans="1:35" x14ac:dyDescent="0.25">
      <c r="A1364" s="2">
        <v>45</v>
      </c>
      <c r="B1364" s="2" t="s">
        <v>43</v>
      </c>
      <c r="C1364" s="2" t="s">
        <v>44</v>
      </c>
      <c r="D1364" s="2">
        <v>1297</v>
      </c>
      <c r="E1364" s="2" t="s">
        <v>45</v>
      </c>
      <c r="F1364" s="2">
        <v>1</v>
      </c>
      <c r="G1364" s="2">
        <v>4</v>
      </c>
      <c r="H1364" s="2" t="s">
        <v>51</v>
      </c>
      <c r="I1364" s="2">
        <v>1</v>
      </c>
      <c r="J1364" s="2">
        <v>1922</v>
      </c>
      <c r="K1364" s="2">
        <v>2</v>
      </c>
      <c r="L1364" s="2" t="s">
        <v>46</v>
      </c>
      <c r="M1364" s="2">
        <v>44</v>
      </c>
      <c r="N1364" s="2">
        <v>3</v>
      </c>
      <c r="O1364" s="2">
        <v>2</v>
      </c>
      <c r="P1364" s="2" t="s">
        <v>54</v>
      </c>
      <c r="Q1364" s="2">
        <v>3</v>
      </c>
      <c r="R1364" s="2" t="s">
        <v>41</v>
      </c>
      <c r="S1364" s="2">
        <v>5399</v>
      </c>
      <c r="T1364" s="2">
        <v>14511</v>
      </c>
      <c r="U1364" s="2">
        <v>4</v>
      </c>
      <c r="V1364" s="2" t="s">
        <v>42</v>
      </c>
      <c r="W1364" s="2" t="s">
        <v>43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</row>
    <row r="1365" spans="1:35" x14ac:dyDescent="0.25">
      <c r="A1365" s="2">
        <v>33</v>
      </c>
      <c r="B1365" s="2" t="s">
        <v>43</v>
      </c>
      <c r="C1365" s="2" t="s">
        <v>36</v>
      </c>
      <c r="D1365" s="2">
        <v>217</v>
      </c>
      <c r="E1365" s="2" t="s">
        <v>37</v>
      </c>
      <c r="F1365" s="2">
        <v>10</v>
      </c>
      <c r="G1365" s="2">
        <v>4</v>
      </c>
      <c r="H1365" s="2" t="s">
        <v>59</v>
      </c>
      <c r="I1365" s="2">
        <v>1</v>
      </c>
      <c r="J1365" s="2">
        <v>1924</v>
      </c>
      <c r="K1365" s="2">
        <v>2</v>
      </c>
      <c r="L1365" s="2" t="s">
        <v>46</v>
      </c>
      <c r="M1365" s="2">
        <v>43</v>
      </c>
      <c r="N1365" s="2">
        <v>3</v>
      </c>
      <c r="O1365" s="2">
        <v>2</v>
      </c>
      <c r="P1365" s="2" t="s">
        <v>40</v>
      </c>
      <c r="Q1365" s="2">
        <v>3</v>
      </c>
      <c r="R1365" s="2" t="s">
        <v>41</v>
      </c>
      <c r="S1365" s="2">
        <v>5487</v>
      </c>
      <c r="T1365" s="2">
        <v>10410</v>
      </c>
      <c r="U1365" s="2">
        <v>1</v>
      </c>
      <c r="V1365" s="2" t="s">
        <v>42</v>
      </c>
      <c r="W1365" s="2" t="s">
        <v>43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</row>
    <row r="1366" spans="1:35" x14ac:dyDescent="0.25">
      <c r="A1366" s="2">
        <v>28</v>
      </c>
      <c r="B1366" s="2" t="s">
        <v>43</v>
      </c>
      <c r="C1366" s="2" t="s">
        <v>44</v>
      </c>
      <c r="D1366" s="2">
        <v>783</v>
      </c>
      <c r="E1366" s="2" t="s">
        <v>37</v>
      </c>
      <c r="F1366" s="2">
        <v>1</v>
      </c>
      <c r="G1366" s="2">
        <v>2</v>
      </c>
      <c r="H1366" s="2" t="s">
        <v>38</v>
      </c>
      <c r="I1366" s="2">
        <v>1</v>
      </c>
      <c r="J1366" s="2">
        <v>1927</v>
      </c>
      <c r="K1366" s="2">
        <v>3</v>
      </c>
      <c r="L1366" s="2" t="s">
        <v>46</v>
      </c>
      <c r="M1366" s="2">
        <v>42</v>
      </c>
      <c r="N1366" s="2">
        <v>2</v>
      </c>
      <c r="O1366" s="2">
        <v>2</v>
      </c>
      <c r="P1366" s="2" t="s">
        <v>40</v>
      </c>
      <c r="Q1366" s="2">
        <v>4</v>
      </c>
      <c r="R1366" s="2" t="s">
        <v>48</v>
      </c>
      <c r="S1366" s="2">
        <v>6834</v>
      </c>
      <c r="T1366" s="2">
        <v>19255</v>
      </c>
      <c r="U1366" s="2">
        <v>1</v>
      </c>
      <c r="V1366" s="2" t="s">
        <v>42</v>
      </c>
      <c r="W1366" s="2" t="s">
        <v>35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</row>
    <row r="1367" spans="1:35" x14ac:dyDescent="0.25">
      <c r="A1367" s="2">
        <v>29</v>
      </c>
      <c r="B1367" s="2" t="s">
        <v>35</v>
      </c>
      <c r="C1367" s="2" t="s">
        <v>44</v>
      </c>
      <c r="D1367" s="2">
        <v>746</v>
      </c>
      <c r="E1367" s="2" t="s">
        <v>37</v>
      </c>
      <c r="F1367" s="2">
        <v>24</v>
      </c>
      <c r="G1367" s="2">
        <v>3</v>
      </c>
      <c r="H1367" s="2" t="s">
        <v>60</v>
      </c>
      <c r="I1367" s="2">
        <v>1</v>
      </c>
      <c r="J1367" s="2">
        <v>1928</v>
      </c>
      <c r="K1367" s="2">
        <v>3</v>
      </c>
      <c r="L1367" s="2" t="s">
        <v>46</v>
      </c>
      <c r="M1367" s="2">
        <v>45</v>
      </c>
      <c r="N1367" s="2">
        <v>4</v>
      </c>
      <c r="O1367" s="2">
        <v>1</v>
      </c>
      <c r="P1367" s="2" t="s">
        <v>57</v>
      </c>
      <c r="Q1367" s="2">
        <v>1</v>
      </c>
      <c r="R1367" s="2" t="s">
        <v>41</v>
      </c>
      <c r="S1367" s="2">
        <v>1091</v>
      </c>
      <c r="T1367" s="2">
        <v>10642</v>
      </c>
      <c r="U1367" s="2">
        <v>1</v>
      </c>
      <c r="V1367" s="2" t="s">
        <v>42</v>
      </c>
      <c r="W1367" s="2" t="s">
        <v>43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</row>
    <row r="1368" spans="1:35" x14ac:dyDescent="0.25">
      <c r="A1368" s="2">
        <v>39</v>
      </c>
      <c r="B1368" s="2" t="s">
        <v>43</v>
      </c>
      <c r="C1368" s="2" t="s">
        <v>55</v>
      </c>
      <c r="D1368" s="2">
        <v>1251</v>
      </c>
      <c r="E1368" s="2" t="s">
        <v>37</v>
      </c>
      <c r="F1368" s="2">
        <v>21</v>
      </c>
      <c r="G1368" s="2">
        <v>4</v>
      </c>
      <c r="H1368" s="2" t="s">
        <v>38</v>
      </c>
      <c r="I1368" s="2">
        <v>1</v>
      </c>
      <c r="J1368" s="2">
        <v>1929</v>
      </c>
      <c r="K1368" s="2">
        <v>1</v>
      </c>
      <c r="L1368" s="2" t="s">
        <v>39</v>
      </c>
      <c r="M1368" s="2">
        <v>32</v>
      </c>
      <c r="N1368" s="2">
        <v>1</v>
      </c>
      <c r="O1368" s="2">
        <v>2</v>
      </c>
      <c r="P1368" s="2" t="s">
        <v>40</v>
      </c>
      <c r="Q1368" s="2">
        <v>3</v>
      </c>
      <c r="R1368" s="2" t="s">
        <v>48</v>
      </c>
      <c r="S1368" s="2">
        <v>5736</v>
      </c>
      <c r="T1368" s="2">
        <v>3987</v>
      </c>
      <c r="U1368" s="2">
        <v>6</v>
      </c>
      <c r="V1368" s="2" t="s">
        <v>42</v>
      </c>
      <c r="W1368" s="2" t="s">
        <v>43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</row>
    <row r="1369" spans="1:35" x14ac:dyDescent="0.25">
      <c r="A1369" s="2">
        <v>27</v>
      </c>
      <c r="B1369" s="2" t="s">
        <v>43</v>
      </c>
      <c r="C1369" s="2" t="s">
        <v>36</v>
      </c>
      <c r="D1369" s="2">
        <v>1354</v>
      </c>
      <c r="E1369" s="2" t="s">
        <v>45</v>
      </c>
      <c r="F1369" s="2">
        <v>2</v>
      </c>
      <c r="G1369" s="2">
        <v>4</v>
      </c>
      <c r="H1369" s="2" t="s">
        <v>60</v>
      </c>
      <c r="I1369" s="2">
        <v>1</v>
      </c>
      <c r="J1369" s="2">
        <v>1931</v>
      </c>
      <c r="K1369" s="2">
        <v>2</v>
      </c>
      <c r="L1369" s="2" t="s">
        <v>46</v>
      </c>
      <c r="M1369" s="2">
        <v>41</v>
      </c>
      <c r="N1369" s="2">
        <v>3</v>
      </c>
      <c r="O1369" s="2">
        <v>1</v>
      </c>
      <c r="P1369" s="2" t="s">
        <v>47</v>
      </c>
      <c r="Q1369" s="2">
        <v>2</v>
      </c>
      <c r="R1369" s="2" t="s">
        <v>48</v>
      </c>
      <c r="S1369" s="2">
        <v>2226</v>
      </c>
      <c r="T1369" s="2">
        <v>6073</v>
      </c>
      <c r="U1369" s="2">
        <v>1</v>
      </c>
      <c r="V1369" s="2" t="s">
        <v>42</v>
      </c>
      <c r="W1369" s="2" t="s">
        <v>43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</row>
    <row r="1370" spans="1:35" x14ac:dyDescent="0.25">
      <c r="A1370" s="2">
        <v>34</v>
      </c>
      <c r="B1370" s="2" t="s">
        <v>43</v>
      </c>
      <c r="C1370" s="2" t="s">
        <v>44</v>
      </c>
      <c r="D1370" s="2">
        <v>735</v>
      </c>
      <c r="E1370" s="2" t="s">
        <v>45</v>
      </c>
      <c r="F1370" s="2">
        <v>22</v>
      </c>
      <c r="G1370" s="2">
        <v>4</v>
      </c>
      <c r="H1370" s="2" t="s">
        <v>49</v>
      </c>
      <c r="I1370" s="2">
        <v>1</v>
      </c>
      <c r="J1370" s="2">
        <v>1932</v>
      </c>
      <c r="K1370" s="2">
        <v>3</v>
      </c>
      <c r="L1370" s="2" t="s">
        <v>46</v>
      </c>
      <c r="M1370" s="2">
        <v>86</v>
      </c>
      <c r="N1370" s="2">
        <v>2</v>
      </c>
      <c r="O1370" s="2">
        <v>2</v>
      </c>
      <c r="P1370" s="2" t="s">
        <v>47</v>
      </c>
      <c r="Q1370" s="2">
        <v>4</v>
      </c>
      <c r="R1370" s="2" t="s">
        <v>48</v>
      </c>
      <c r="S1370" s="2">
        <v>5747</v>
      </c>
      <c r="T1370" s="2">
        <v>26496</v>
      </c>
      <c r="U1370" s="2">
        <v>1</v>
      </c>
      <c r="V1370" s="2" t="s">
        <v>42</v>
      </c>
      <c r="W1370" s="2" t="s">
        <v>35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</row>
    <row r="1371" spans="1:35" x14ac:dyDescent="0.25">
      <c r="A1371" s="2">
        <v>28</v>
      </c>
      <c r="B1371" s="2" t="s">
        <v>35</v>
      </c>
      <c r="C1371" s="2" t="s">
        <v>36</v>
      </c>
      <c r="D1371" s="2">
        <v>1475</v>
      </c>
      <c r="E1371" s="2" t="s">
        <v>37</v>
      </c>
      <c r="F1371" s="2">
        <v>13</v>
      </c>
      <c r="G1371" s="2">
        <v>2</v>
      </c>
      <c r="H1371" s="2" t="s">
        <v>59</v>
      </c>
      <c r="I1371" s="2">
        <v>1</v>
      </c>
      <c r="J1371" s="2">
        <v>1933</v>
      </c>
      <c r="K1371" s="2">
        <v>4</v>
      </c>
      <c r="L1371" s="2" t="s">
        <v>39</v>
      </c>
      <c r="M1371" s="2">
        <v>84</v>
      </c>
      <c r="N1371" s="2">
        <v>3</v>
      </c>
      <c r="O1371" s="2">
        <v>2</v>
      </c>
      <c r="P1371" s="2" t="s">
        <v>40</v>
      </c>
      <c r="Q1371" s="2">
        <v>3</v>
      </c>
      <c r="R1371" s="2" t="s">
        <v>41</v>
      </c>
      <c r="S1371" s="2">
        <v>9854</v>
      </c>
      <c r="T1371" s="2">
        <v>23352</v>
      </c>
      <c r="U1371" s="2">
        <v>3</v>
      </c>
      <c r="V1371" s="2" t="s">
        <v>42</v>
      </c>
      <c r="W1371" s="2" t="s">
        <v>35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</row>
    <row r="1372" spans="1:35" x14ac:dyDescent="0.25">
      <c r="A1372" s="2">
        <v>47</v>
      </c>
      <c r="B1372" s="2" t="s">
        <v>43</v>
      </c>
      <c r="C1372" s="2" t="s">
        <v>55</v>
      </c>
      <c r="D1372" s="2">
        <v>1169</v>
      </c>
      <c r="E1372" s="2" t="s">
        <v>45</v>
      </c>
      <c r="F1372" s="2">
        <v>14</v>
      </c>
      <c r="G1372" s="2">
        <v>4</v>
      </c>
      <c r="H1372" s="2" t="s">
        <v>60</v>
      </c>
      <c r="I1372" s="2">
        <v>1</v>
      </c>
      <c r="J1372" s="2">
        <v>1934</v>
      </c>
      <c r="K1372" s="2">
        <v>3</v>
      </c>
      <c r="L1372" s="2" t="s">
        <v>46</v>
      </c>
      <c r="M1372" s="2">
        <v>64</v>
      </c>
      <c r="N1372" s="2">
        <v>3</v>
      </c>
      <c r="O1372" s="2">
        <v>2</v>
      </c>
      <c r="P1372" s="2" t="s">
        <v>47</v>
      </c>
      <c r="Q1372" s="2">
        <v>2</v>
      </c>
      <c r="R1372" s="2" t="s">
        <v>48</v>
      </c>
      <c r="S1372" s="2">
        <v>5467</v>
      </c>
      <c r="T1372" s="2">
        <v>2125</v>
      </c>
      <c r="U1372" s="2">
        <v>8</v>
      </c>
      <c r="V1372" s="2" t="s">
        <v>42</v>
      </c>
      <c r="W1372" s="2" t="s">
        <v>43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</row>
    <row r="1373" spans="1:35" x14ac:dyDescent="0.25">
      <c r="A1373" s="2">
        <v>56</v>
      </c>
      <c r="B1373" s="2" t="s">
        <v>43</v>
      </c>
      <c r="C1373" s="2" t="s">
        <v>36</v>
      </c>
      <c r="D1373" s="2">
        <v>1443</v>
      </c>
      <c r="E1373" s="2" t="s">
        <v>37</v>
      </c>
      <c r="F1373" s="2">
        <v>11</v>
      </c>
      <c r="G1373" s="2">
        <v>5</v>
      </c>
      <c r="H1373" s="2" t="s">
        <v>59</v>
      </c>
      <c r="I1373" s="2">
        <v>1</v>
      </c>
      <c r="J1373" s="2">
        <v>1935</v>
      </c>
      <c r="K1373" s="2">
        <v>4</v>
      </c>
      <c r="L1373" s="2" t="s">
        <v>39</v>
      </c>
      <c r="M1373" s="2">
        <v>89</v>
      </c>
      <c r="N1373" s="2">
        <v>2</v>
      </c>
      <c r="O1373" s="2">
        <v>2</v>
      </c>
      <c r="P1373" s="2" t="s">
        <v>40</v>
      </c>
      <c r="Q1373" s="2">
        <v>1</v>
      </c>
      <c r="R1373" s="2" t="s">
        <v>48</v>
      </c>
      <c r="S1373" s="2">
        <v>5380</v>
      </c>
      <c r="T1373" s="2">
        <v>20328</v>
      </c>
      <c r="U1373" s="2">
        <v>4</v>
      </c>
      <c r="V1373" s="2" t="s">
        <v>42</v>
      </c>
      <c r="W1373" s="2" t="s">
        <v>43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</row>
    <row r="1374" spans="1:35" x14ac:dyDescent="0.25">
      <c r="A1374" s="2">
        <v>39</v>
      </c>
      <c r="B1374" s="2" t="s">
        <v>43</v>
      </c>
      <c r="C1374" s="2" t="s">
        <v>36</v>
      </c>
      <c r="D1374" s="2">
        <v>867</v>
      </c>
      <c r="E1374" s="2" t="s">
        <v>45</v>
      </c>
      <c r="F1374" s="2">
        <v>9</v>
      </c>
      <c r="G1374" s="2">
        <v>2</v>
      </c>
      <c r="H1374" s="2" t="s">
        <v>51</v>
      </c>
      <c r="I1374" s="2">
        <v>1</v>
      </c>
      <c r="J1374" s="2">
        <v>1936</v>
      </c>
      <c r="K1374" s="2">
        <v>1</v>
      </c>
      <c r="L1374" s="2" t="s">
        <v>46</v>
      </c>
      <c r="M1374" s="2">
        <v>87</v>
      </c>
      <c r="N1374" s="2">
        <v>3</v>
      </c>
      <c r="O1374" s="2">
        <v>2</v>
      </c>
      <c r="P1374" s="2" t="s">
        <v>53</v>
      </c>
      <c r="Q1374" s="2">
        <v>1</v>
      </c>
      <c r="R1374" s="2" t="s">
        <v>48</v>
      </c>
      <c r="S1374" s="2">
        <v>5151</v>
      </c>
      <c r="T1374" s="2">
        <v>12315</v>
      </c>
      <c r="U1374" s="2">
        <v>1</v>
      </c>
      <c r="V1374" s="2" t="s">
        <v>42</v>
      </c>
      <c r="W1374" s="2" t="s">
        <v>43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</row>
    <row r="1375" spans="1:35" x14ac:dyDescent="0.25">
      <c r="A1375" s="2">
        <v>38</v>
      </c>
      <c r="B1375" s="2" t="s">
        <v>43</v>
      </c>
      <c r="C1375" s="2" t="s">
        <v>44</v>
      </c>
      <c r="D1375" s="2">
        <v>1394</v>
      </c>
      <c r="E1375" s="2" t="s">
        <v>45</v>
      </c>
      <c r="F1375" s="2">
        <v>8</v>
      </c>
      <c r="G1375" s="2">
        <v>3</v>
      </c>
      <c r="H1375" s="2" t="s">
        <v>51</v>
      </c>
      <c r="I1375" s="2">
        <v>1</v>
      </c>
      <c r="J1375" s="2">
        <v>1937</v>
      </c>
      <c r="K1375" s="2">
        <v>4</v>
      </c>
      <c r="L1375" s="2" t="s">
        <v>39</v>
      </c>
      <c r="M1375" s="2">
        <v>58</v>
      </c>
      <c r="N1375" s="2">
        <v>2</v>
      </c>
      <c r="O1375" s="2">
        <v>2</v>
      </c>
      <c r="P1375" s="2" t="s">
        <v>47</v>
      </c>
      <c r="Q1375" s="2">
        <v>2</v>
      </c>
      <c r="R1375" s="2" t="s">
        <v>52</v>
      </c>
      <c r="S1375" s="2">
        <v>2133</v>
      </c>
      <c r="T1375" s="2">
        <v>18115</v>
      </c>
      <c r="U1375" s="2">
        <v>1</v>
      </c>
      <c r="V1375" s="2" t="s">
        <v>42</v>
      </c>
      <c r="W1375" s="2" t="s">
        <v>35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</row>
    <row r="1376" spans="1:35" x14ac:dyDescent="0.25">
      <c r="A1376" s="2">
        <v>58</v>
      </c>
      <c r="B1376" s="2" t="s">
        <v>43</v>
      </c>
      <c r="C1376" s="2" t="s">
        <v>36</v>
      </c>
      <c r="D1376" s="2">
        <v>605</v>
      </c>
      <c r="E1376" s="2" t="s">
        <v>37</v>
      </c>
      <c r="F1376" s="2">
        <v>21</v>
      </c>
      <c r="G1376" s="2">
        <v>3</v>
      </c>
      <c r="H1376" s="2" t="s">
        <v>38</v>
      </c>
      <c r="I1376" s="2">
        <v>1</v>
      </c>
      <c r="J1376" s="2">
        <v>1938</v>
      </c>
      <c r="K1376" s="2">
        <v>4</v>
      </c>
      <c r="L1376" s="2" t="s">
        <v>39</v>
      </c>
      <c r="M1376" s="2">
        <v>72</v>
      </c>
      <c r="N1376" s="2">
        <v>3</v>
      </c>
      <c r="O1376" s="2">
        <v>4</v>
      </c>
      <c r="P1376" s="2" t="s">
        <v>56</v>
      </c>
      <c r="Q1376" s="2">
        <v>4</v>
      </c>
      <c r="R1376" s="2" t="s">
        <v>48</v>
      </c>
      <c r="S1376" s="2">
        <v>17875</v>
      </c>
      <c r="T1376" s="2">
        <v>11761</v>
      </c>
      <c r="U1376" s="2">
        <v>4</v>
      </c>
      <c r="V1376" s="2" t="s">
        <v>42</v>
      </c>
      <c r="W1376" s="2" t="s">
        <v>35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</row>
    <row r="1377" spans="1:35" x14ac:dyDescent="0.25">
      <c r="A1377" s="2">
        <v>32</v>
      </c>
      <c r="B1377" s="2" t="s">
        <v>35</v>
      </c>
      <c r="C1377" s="2" t="s">
        <v>44</v>
      </c>
      <c r="D1377" s="2">
        <v>238</v>
      </c>
      <c r="E1377" s="2" t="s">
        <v>45</v>
      </c>
      <c r="F1377" s="2">
        <v>5</v>
      </c>
      <c r="G1377" s="2">
        <v>2</v>
      </c>
      <c r="H1377" s="2" t="s">
        <v>38</v>
      </c>
      <c r="I1377" s="2">
        <v>1</v>
      </c>
      <c r="J1377" s="2">
        <v>1939</v>
      </c>
      <c r="K1377" s="2">
        <v>1</v>
      </c>
      <c r="L1377" s="2" t="s">
        <v>39</v>
      </c>
      <c r="M1377" s="2">
        <v>47</v>
      </c>
      <c r="N1377" s="2">
        <v>4</v>
      </c>
      <c r="O1377" s="2">
        <v>1</v>
      </c>
      <c r="P1377" s="2" t="s">
        <v>47</v>
      </c>
      <c r="Q1377" s="2">
        <v>3</v>
      </c>
      <c r="R1377" s="2" t="s">
        <v>41</v>
      </c>
      <c r="S1377" s="2">
        <v>2432</v>
      </c>
      <c r="T1377" s="2">
        <v>15318</v>
      </c>
      <c r="U1377" s="2">
        <v>3</v>
      </c>
      <c r="V1377" s="2" t="s">
        <v>42</v>
      </c>
      <c r="W1377" s="2" t="s">
        <v>35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</row>
    <row r="1378" spans="1:35" x14ac:dyDescent="0.25">
      <c r="A1378" s="2">
        <v>38</v>
      </c>
      <c r="B1378" s="2" t="s">
        <v>43</v>
      </c>
      <c r="C1378" s="2" t="s">
        <v>36</v>
      </c>
      <c r="D1378" s="2">
        <v>1206</v>
      </c>
      <c r="E1378" s="2" t="s">
        <v>45</v>
      </c>
      <c r="F1378" s="2">
        <v>9</v>
      </c>
      <c r="G1378" s="2">
        <v>2</v>
      </c>
      <c r="H1378" s="2" t="s">
        <v>38</v>
      </c>
      <c r="I1378" s="2">
        <v>1</v>
      </c>
      <c r="J1378" s="2">
        <v>1940</v>
      </c>
      <c r="K1378" s="2">
        <v>2</v>
      </c>
      <c r="L1378" s="2" t="s">
        <v>46</v>
      </c>
      <c r="M1378" s="2">
        <v>71</v>
      </c>
      <c r="N1378" s="2">
        <v>3</v>
      </c>
      <c r="O1378" s="2">
        <v>1</v>
      </c>
      <c r="P1378" s="2" t="s">
        <v>47</v>
      </c>
      <c r="Q1378" s="2">
        <v>4</v>
      </c>
      <c r="R1378" s="2" t="s">
        <v>52</v>
      </c>
      <c r="S1378" s="2">
        <v>4771</v>
      </c>
      <c r="T1378" s="2">
        <v>14293</v>
      </c>
      <c r="U1378" s="2">
        <v>2</v>
      </c>
      <c r="V1378" s="2" t="s">
        <v>42</v>
      </c>
      <c r="W1378" s="2" t="s">
        <v>43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</row>
    <row r="1379" spans="1:35" x14ac:dyDescent="0.25">
      <c r="A1379" s="2">
        <v>49</v>
      </c>
      <c r="B1379" s="2" t="s">
        <v>43</v>
      </c>
      <c r="C1379" s="2" t="s">
        <v>44</v>
      </c>
      <c r="D1379" s="2">
        <v>1064</v>
      </c>
      <c r="E1379" s="2" t="s">
        <v>45</v>
      </c>
      <c r="F1379" s="2">
        <v>2</v>
      </c>
      <c r="G1379" s="2">
        <v>1</v>
      </c>
      <c r="H1379" s="2" t="s">
        <v>38</v>
      </c>
      <c r="I1379" s="2">
        <v>1</v>
      </c>
      <c r="J1379" s="2">
        <v>1941</v>
      </c>
      <c r="K1379" s="2">
        <v>2</v>
      </c>
      <c r="L1379" s="2" t="s">
        <v>46</v>
      </c>
      <c r="M1379" s="2">
        <v>42</v>
      </c>
      <c r="N1379" s="2">
        <v>3</v>
      </c>
      <c r="O1379" s="2">
        <v>5</v>
      </c>
      <c r="P1379" s="2" t="s">
        <v>58</v>
      </c>
      <c r="Q1379" s="2">
        <v>4</v>
      </c>
      <c r="R1379" s="2" t="s">
        <v>48</v>
      </c>
      <c r="S1379" s="2">
        <v>19161</v>
      </c>
      <c r="T1379" s="2">
        <v>13738</v>
      </c>
      <c r="U1379" s="2">
        <v>3</v>
      </c>
      <c r="V1379" s="2" t="s">
        <v>42</v>
      </c>
      <c r="W1379" s="2" t="s">
        <v>43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</row>
    <row r="1380" spans="1:35" x14ac:dyDescent="0.25">
      <c r="A1380" s="2">
        <v>42</v>
      </c>
      <c r="B1380" s="2" t="s">
        <v>43</v>
      </c>
      <c r="C1380" s="2" t="s">
        <v>36</v>
      </c>
      <c r="D1380" s="2">
        <v>419</v>
      </c>
      <c r="E1380" s="2" t="s">
        <v>37</v>
      </c>
      <c r="F1380" s="2">
        <v>12</v>
      </c>
      <c r="G1380" s="2">
        <v>4</v>
      </c>
      <c r="H1380" s="2" t="s">
        <v>59</v>
      </c>
      <c r="I1380" s="2">
        <v>1</v>
      </c>
      <c r="J1380" s="2">
        <v>1943</v>
      </c>
      <c r="K1380" s="2">
        <v>2</v>
      </c>
      <c r="L1380" s="2" t="s">
        <v>46</v>
      </c>
      <c r="M1380" s="2">
        <v>77</v>
      </c>
      <c r="N1380" s="2">
        <v>3</v>
      </c>
      <c r="O1380" s="2">
        <v>2</v>
      </c>
      <c r="P1380" s="2" t="s">
        <v>40</v>
      </c>
      <c r="Q1380" s="2">
        <v>4</v>
      </c>
      <c r="R1380" s="2" t="s">
        <v>52</v>
      </c>
      <c r="S1380" s="2">
        <v>5087</v>
      </c>
      <c r="T1380" s="2">
        <v>2900</v>
      </c>
      <c r="U1380" s="2">
        <v>3</v>
      </c>
      <c r="V1380" s="2" t="s">
        <v>42</v>
      </c>
      <c r="W1380" s="2" t="s">
        <v>35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</row>
    <row r="1381" spans="1:35" x14ac:dyDescent="0.25">
      <c r="A1381" s="2">
        <v>27</v>
      </c>
      <c r="B1381" s="2" t="s">
        <v>35</v>
      </c>
      <c r="C1381" s="2" t="s">
        <v>44</v>
      </c>
      <c r="D1381" s="2">
        <v>1337</v>
      </c>
      <c r="E1381" s="2" t="s">
        <v>61</v>
      </c>
      <c r="F1381" s="2">
        <v>22</v>
      </c>
      <c r="G1381" s="2">
        <v>3</v>
      </c>
      <c r="H1381" s="2" t="s">
        <v>61</v>
      </c>
      <c r="I1381" s="2">
        <v>1</v>
      </c>
      <c r="J1381" s="2">
        <v>1944</v>
      </c>
      <c r="K1381" s="2">
        <v>1</v>
      </c>
      <c r="L1381" s="2" t="s">
        <v>39</v>
      </c>
      <c r="M1381" s="2">
        <v>58</v>
      </c>
      <c r="N1381" s="2">
        <v>2</v>
      </c>
      <c r="O1381" s="2">
        <v>1</v>
      </c>
      <c r="P1381" s="2" t="s">
        <v>61</v>
      </c>
      <c r="Q1381" s="2">
        <v>2</v>
      </c>
      <c r="R1381" s="2" t="s">
        <v>48</v>
      </c>
      <c r="S1381" s="2">
        <v>2863</v>
      </c>
      <c r="T1381" s="2">
        <v>19555</v>
      </c>
      <c r="U1381" s="2">
        <v>1</v>
      </c>
      <c r="V1381" s="2" t="s">
        <v>42</v>
      </c>
      <c r="W1381" s="2" t="s">
        <v>43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</row>
    <row r="1382" spans="1:35" x14ac:dyDescent="0.25">
      <c r="A1382" s="2">
        <v>35</v>
      </c>
      <c r="B1382" s="2" t="s">
        <v>43</v>
      </c>
      <c r="C1382" s="2" t="s">
        <v>36</v>
      </c>
      <c r="D1382" s="2">
        <v>682</v>
      </c>
      <c r="E1382" s="2" t="s">
        <v>37</v>
      </c>
      <c r="F1382" s="2">
        <v>18</v>
      </c>
      <c r="G1382" s="2">
        <v>4</v>
      </c>
      <c r="H1382" s="2" t="s">
        <v>51</v>
      </c>
      <c r="I1382" s="2">
        <v>1</v>
      </c>
      <c r="J1382" s="2">
        <v>1945</v>
      </c>
      <c r="K1382" s="2">
        <v>2</v>
      </c>
      <c r="L1382" s="2" t="s">
        <v>46</v>
      </c>
      <c r="M1382" s="2">
        <v>71</v>
      </c>
      <c r="N1382" s="2">
        <v>3</v>
      </c>
      <c r="O1382" s="2">
        <v>2</v>
      </c>
      <c r="P1382" s="2" t="s">
        <v>40</v>
      </c>
      <c r="Q1382" s="2">
        <v>1</v>
      </c>
      <c r="R1382" s="2" t="s">
        <v>48</v>
      </c>
      <c r="S1382" s="2">
        <v>5561</v>
      </c>
      <c r="T1382" s="2">
        <v>15975</v>
      </c>
      <c r="U1382" s="2">
        <v>0</v>
      </c>
      <c r="V1382" s="2" t="s">
        <v>42</v>
      </c>
      <c r="W1382" s="2" t="s">
        <v>43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</row>
    <row r="1383" spans="1:35" x14ac:dyDescent="0.25">
      <c r="A1383" s="2">
        <v>28</v>
      </c>
      <c r="B1383" s="2" t="s">
        <v>43</v>
      </c>
      <c r="C1383" s="2" t="s">
        <v>55</v>
      </c>
      <c r="D1383" s="2">
        <v>1103</v>
      </c>
      <c r="E1383" s="2" t="s">
        <v>45</v>
      </c>
      <c r="F1383" s="2">
        <v>16</v>
      </c>
      <c r="G1383" s="2">
        <v>3</v>
      </c>
      <c r="H1383" s="2" t="s">
        <v>51</v>
      </c>
      <c r="I1383" s="2">
        <v>1</v>
      </c>
      <c r="J1383" s="2">
        <v>1947</v>
      </c>
      <c r="K1383" s="2">
        <v>3</v>
      </c>
      <c r="L1383" s="2" t="s">
        <v>46</v>
      </c>
      <c r="M1383" s="2">
        <v>49</v>
      </c>
      <c r="N1383" s="2">
        <v>3</v>
      </c>
      <c r="O1383" s="2">
        <v>1</v>
      </c>
      <c r="P1383" s="2" t="s">
        <v>47</v>
      </c>
      <c r="Q1383" s="2">
        <v>3</v>
      </c>
      <c r="R1383" s="2" t="s">
        <v>41</v>
      </c>
      <c r="S1383" s="2">
        <v>2144</v>
      </c>
      <c r="T1383" s="2">
        <v>2122</v>
      </c>
      <c r="U1383" s="2">
        <v>1</v>
      </c>
      <c r="V1383" s="2" t="s">
        <v>42</v>
      </c>
      <c r="W1383" s="2" t="s">
        <v>43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</row>
    <row r="1384" spans="1:35" x14ac:dyDescent="0.25">
      <c r="A1384" s="2">
        <v>31</v>
      </c>
      <c r="B1384" s="2" t="s">
        <v>43</v>
      </c>
      <c r="C1384" s="2" t="s">
        <v>55</v>
      </c>
      <c r="D1384" s="2">
        <v>976</v>
      </c>
      <c r="E1384" s="2" t="s">
        <v>45</v>
      </c>
      <c r="F1384" s="2">
        <v>3</v>
      </c>
      <c r="G1384" s="2">
        <v>2</v>
      </c>
      <c r="H1384" s="2" t="s">
        <v>51</v>
      </c>
      <c r="I1384" s="2">
        <v>1</v>
      </c>
      <c r="J1384" s="2">
        <v>1948</v>
      </c>
      <c r="K1384" s="2">
        <v>3</v>
      </c>
      <c r="L1384" s="2" t="s">
        <v>46</v>
      </c>
      <c r="M1384" s="2">
        <v>48</v>
      </c>
      <c r="N1384" s="2">
        <v>3</v>
      </c>
      <c r="O1384" s="2">
        <v>1</v>
      </c>
      <c r="P1384" s="2" t="s">
        <v>47</v>
      </c>
      <c r="Q1384" s="2">
        <v>1</v>
      </c>
      <c r="R1384" s="2" t="s">
        <v>52</v>
      </c>
      <c r="S1384" s="2">
        <v>3065</v>
      </c>
      <c r="T1384" s="2">
        <v>3995</v>
      </c>
      <c r="U1384" s="2">
        <v>1</v>
      </c>
      <c r="V1384" s="2" t="s">
        <v>42</v>
      </c>
      <c r="W1384" s="2" t="s">
        <v>35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</row>
    <row r="1385" spans="1:35" x14ac:dyDescent="0.25">
      <c r="A1385" s="2">
        <v>36</v>
      </c>
      <c r="B1385" s="2" t="s">
        <v>43</v>
      </c>
      <c r="C1385" s="2" t="s">
        <v>55</v>
      </c>
      <c r="D1385" s="2">
        <v>1351</v>
      </c>
      <c r="E1385" s="2" t="s">
        <v>45</v>
      </c>
      <c r="F1385" s="2">
        <v>9</v>
      </c>
      <c r="G1385" s="2">
        <v>4</v>
      </c>
      <c r="H1385" s="2" t="s">
        <v>38</v>
      </c>
      <c r="I1385" s="2">
        <v>1</v>
      </c>
      <c r="J1385" s="2">
        <v>1949</v>
      </c>
      <c r="K1385" s="2">
        <v>1</v>
      </c>
      <c r="L1385" s="2" t="s">
        <v>46</v>
      </c>
      <c r="M1385" s="2">
        <v>66</v>
      </c>
      <c r="N1385" s="2">
        <v>4</v>
      </c>
      <c r="O1385" s="2">
        <v>1</v>
      </c>
      <c r="P1385" s="2" t="s">
        <v>50</v>
      </c>
      <c r="Q1385" s="2">
        <v>2</v>
      </c>
      <c r="R1385" s="2" t="s">
        <v>48</v>
      </c>
      <c r="S1385" s="2">
        <v>2810</v>
      </c>
      <c r="T1385" s="2">
        <v>9238</v>
      </c>
      <c r="U1385" s="2">
        <v>1</v>
      </c>
      <c r="V1385" s="2" t="s">
        <v>42</v>
      </c>
      <c r="W1385" s="2" t="s">
        <v>43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</row>
    <row r="1386" spans="1:35" x14ac:dyDescent="0.25">
      <c r="A1386" s="2">
        <v>34</v>
      </c>
      <c r="B1386" s="2" t="s">
        <v>43</v>
      </c>
      <c r="C1386" s="2" t="s">
        <v>36</v>
      </c>
      <c r="D1386" s="2">
        <v>937</v>
      </c>
      <c r="E1386" s="2" t="s">
        <v>37</v>
      </c>
      <c r="F1386" s="2">
        <v>1</v>
      </c>
      <c r="G1386" s="2">
        <v>3</v>
      </c>
      <c r="H1386" s="2" t="s">
        <v>59</v>
      </c>
      <c r="I1386" s="2">
        <v>1</v>
      </c>
      <c r="J1386" s="2">
        <v>1950</v>
      </c>
      <c r="K1386" s="2">
        <v>1</v>
      </c>
      <c r="L1386" s="2" t="s">
        <v>46</v>
      </c>
      <c r="M1386" s="2">
        <v>32</v>
      </c>
      <c r="N1386" s="2">
        <v>3</v>
      </c>
      <c r="O1386" s="2">
        <v>3</v>
      </c>
      <c r="P1386" s="2" t="s">
        <v>40</v>
      </c>
      <c r="Q1386" s="2">
        <v>4</v>
      </c>
      <c r="R1386" s="2" t="s">
        <v>41</v>
      </c>
      <c r="S1386" s="2">
        <v>9888</v>
      </c>
      <c r="T1386" s="2">
        <v>6770</v>
      </c>
      <c r="U1386" s="2">
        <v>1</v>
      </c>
      <c r="V1386" s="2" t="s">
        <v>42</v>
      </c>
      <c r="W1386" s="2" t="s">
        <v>43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</row>
    <row r="1387" spans="1:35" x14ac:dyDescent="0.25">
      <c r="A1387" s="2">
        <v>34</v>
      </c>
      <c r="B1387" s="2" t="s">
        <v>43</v>
      </c>
      <c r="C1387" s="2" t="s">
        <v>36</v>
      </c>
      <c r="D1387" s="2">
        <v>1239</v>
      </c>
      <c r="E1387" s="2" t="s">
        <v>37</v>
      </c>
      <c r="F1387" s="2">
        <v>13</v>
      </c>
      <c r="G1387" s="2">
        <v>4</v>
      </c>
      <c r="H1387" s="2" t="s">
        <v>51</v>
      </c>
      <c r="I1387" s="2">
        <v>1</v>
      </c>
      <c r="J1387" s="2">
        <v>1951</v>
      </c>
      <c r="K1387" s="2">
        <v>4</v>
      </c>
      <c r="L1387" s="2" t="s">
        <v>46</v>
      </c>
      <c r="M1387" s="2">
        <v>39</v>
      </c>
      <c r="N1387" s="2">
        <v>3</v>
      </c>
      <c r="O1387" s="2">
        <v>3</v>
      </c>
      <c r="P1387" s="2" t="s">
        <v>40</v>
      </c>
      <c r="Q1387" s="2">
        <v>3</v>
      </c>
      <c r="R1387" s="2" t="s">
        <v>52</v>
      </c>
      <c r="S1387" s="2">
        <v>8628</v>
      </c>
      <c r="T1387" s="2">
        <v>22914</v>
      </c>
      <c r="U1387" s="2">
        <v>1</v>
      </c>
      <c r="V1387" s="2" t="s">
        <v>42</v>
      </c>
      <c r="W1387" s="2" t="s">
        <v>43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</row>
    <row r="1388" spans="1:35" x14ac:dyDescent="0.25">
      <c r="A1388" s="2">
        <v>26</v>
      </c>
      <c r="B1388" s="2" t="s">
        <v>43</v>
      </c>
      <c r="C1388" s="2" t="s">
        <v>36</v>
      </c>
      <c r="D1388" s="2">
        <v>157</v>
      </c>
      <c r="E1388" s="2" t="s">
        <v>45</v>
      </c>
      <c r="F1388" s="2">
        <v>1</v>
      </c>
      <c r="G1388" s="2">
        <v>3</v>
      </c>
      <c r="H1388" s="2" t="s">
        <v>51</v>
      </c>
      <c r="I1388" s="2">
        <v>1</v>
      </c>
      <c r="J1388" s="2">
        <v>1952</v>
      </c>
      <c r="K1388" s="2">
        <v>3</v>
      </c>
      <c r="L1388" s="2" t="s">
        <v>46</v>
      </c>
      <c r="M1388" s="2">
        <v>95</v>
      </c>
      <c r="N1388" s="2">
        <v>3</v>
      </c>
      <c r="O1388" s="2">
        <v>1</v>
      </c>
      <c r="P1388" s="2" t="s">
        <v>50</v>
      </c>
      <c r="Q1388" s="2">
        <v>1</v>
      </c>
      <c r="R1388" s="2" t="s">
        <v>41</v>
      </c>
      <c r="S1388" s="2">
        <v>2867</v>
      </c>
      <c r="T1388" s="2">
        <v>20006</v>
      </c>
      <c r="U1388" s="2">
        <v>0</v>
      </c>
      <c r="V1388" s="2" t="s">
        <v>42</v>
      </c>
      <c r="W1388" s="2" t="s">
        <v>43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</row>
    <row r="1389" spans="1:35" x14ac:dyDescent="0.25">
      <c r="A1389" s="2">
        <v>29</v>
      </c>
      <c r="B1389" s="2" t="s">
        <v>43</v>
      </c>
      <c r="C1389" s="2" t="s">
        <v>36</v>
      </c>
      <c r="D1389" s="2">
        <v>136</v>
      </c>
      <c r="E1389" s="2" t="s">
        <v>45</v>
      </c>
      <c r="F1389" s="2">
        <v>1</v>
      </c>
      <c r="G1389" s="2">
        <v>3</v>
      </c>
      <c r="H1389" s="2" t="s">
        <v>38</v>
      </c>
      <c r="I1389" s="2">
        <v>1</v>
      </c>
      <c r="J1389" s="2">
        <v>1954</v>
      </c>
      <c r="K1389" s="2">
        <v>1</v>
      </c>
      <c r="L1389" s="2" t="s">
        <v>46</v>
      </c>
      <c r="M1389" s="2">
        <v>89</v>
      </c>
      <c r="N1389" s="2">
        <v>3</v>
      </c>
      <c r="O1389" s="2">
        <v>2</v>
      </c>
      <c r="P1389" s="2" t="s">
        <v>54</v>
      </c>
      <c r="Q1389" s="2">
        <v>1</v>
      </c>
      <c r="R1389" s="2" t="s">
        <v>48</v>
      </c>
      <c r="S1389" s="2">
        <v>5373</v>
      </c>
      <c r="T1389" s="2">
        <v>6225</v>
      </c>
      <c r="U1389" s="2">
        <v>0</v>
      </c>
      <c r="V1389" s="2" t="s">
        <v>42</v>
      </c>
      <c r="W1389" s="2" t="s">
        <v>43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</row>
    <row r="1390" spans="1:35" x14ac:dyDescent="0.25">
      <c r="A1390" s="2">
        <v>32</v>
      </c>
      <c r="B1390" s="2" t="s">
        <v>43</v>
      </c>
      <c r="C1390" s="2" t="s">
        <v>55</v>
      </c>
      <c r="D1390" s="2">
        <v>1146</v>
      </c>
      <c r="E1390" s="2" t="s">
        <v>45</v>
      </c>
      <c r="F1390" s="2">
        <v>15</v>
      </c>
      <c r="G1390" s="2">
        <v>4</v>
      </c>
      <c r="H1390" s="2" t="s">
        <v>51</v>
      </c>
      <c r="I1390" s="2">
        <v>1</v>
      </c>
      <c r="J1390" s="2">
        <v>1955</v>
      </c>
      <c r="K1390" s="2">
        <v>3</v>
      </c>
      <c r="L1390" s="2" t="s">
        <v>39</v>
      </c>
      <c r="M1390" s="2">
        <v>34</v>
      </c>
      <c r="N1390" s="2">
        <v>3</v>
      </c>
      <c r="O1390" s="2">
        <v>2</v>
      </c>
      <c r="P1390" s="2" t="s">
        <v>54</v>
      </c>
      <c r="Q1390" s="2">
        <v>4</v>
      </c>
      <c r="R1390" s="2" t="s">
        <v>52</v>
      </c>
      <c r="S1390" s="2">
        <v>6667</v>
      </c>
      <c r="T1390" s="2">
        <v>16542</v>
      </c>
      <c r="U1390" s="2">
        <v>5</v>
      </c>
      <c r="V1390" s="2" t="s">
        <v>42</v>
      </c>
      <c r="W1390" s="2" t="s">
        <v>43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</row>
    <row r="1391" spans="1:35" x14ac:dyDescent="0.25">
      <c r="A1391" s="2">
        <v>31</v>
      </c>
      <c r="B1391" s="2" t="s">
        <v>43</v>
      </c>
      <c r="C1391" s="2" t="s">
        <v>44</v>
      </c>
      <c r="D1391" s="2">
        <v>1125</v>
      </c>
      <c r="E1391" s="2" t="s">
        <v>45</v>
      </c>
      <c r="F1391" s="2">
        <v>1</v>
      </c>
      <c r="G1391" s="2">
        <v>3</v>
      </c>
      <c r="H1391" s="2" t="s">
        <v>38</v>
      </c>
      <c r="I1391" s="2">
        <v>1</v>
      </c>
      <c r="J1391" s="2">
        <v>1956</v>
      </c>
      <c r="K1391" s="2">
        <v>4</v>
      </c>
      <c r="L1391" s="2" t="s">
        <v>46</v>
      </c>
      <c r="M1391" s="2">
        <v>48</v>
      </c>
      <c r="N1391" s="2">
        <v>1</v>
      </c>
      <c r="O1391" s="2">
        <v>2</v>
      </c>
      <c r="P1391" s="2" t="s">
        <v>47</v>
      </c>
      <c r="Q1391" s="2">
        <v>1</v>
      </c>
      <c r="R1391" s="2" t="s">
        <v>48</v>
      </c>
      <c r="S1391" s="2">
        <v>5003</v>
      </c>
      <c r="T1391" s="2">
        <v>5771</v>
      </c>
      <c r="U1391" s="2">
        <v>1</v>
      </c>
      <c r="V1391" s="2" t="s">
        <v>42</v>
      </c>
      <c r="W1391" s="2" t="s">
        <v>43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</row>
    <row r="1392" spans="1:35" x14ac:dyDescent="0.25">
      <c r="A1392" s="2">
        <v>28</v>
      </c>
      <c r="B1392" s="2" t="s">
        <v>35</v>
      </c>
      <c r="C1392" s="2" t="s">
        <v>36</v>
      </c>
      <c r="D1392" s="2">
        <v>1404</v>
      </c>
      <c r="E1392" s="2" t="s">
        <v>45</v>
      </c>
      <c r="F1392" s="2">
        <v>17</v>
      </c>
      <c r="G1392" s="2">
        <v>3</v>
      </c>
      <c r="H1392" s="2" t="s">
        <v>60</v>
      </c>
      <c r="I1392" s="2">
        <v>1</v>
      </c>
      <c r="J1392" s="2">
        <v>1960</v>
      </c>
      <c r="K1392" s="2">
        <v>3</v>
      </c>
      <c r="L1392" s="2" t="s">
        <v>46</v>
      </c>
      <c r="M1392" s="2">
        <v>32</v>
      </c>
      <c r="N1392" s="2">
        <v>2</v>
      </c>
      <c r="O1392" s="2">
        <v>1</v>
      </c>
      <c r="P1392" s="2" t="s">
        <v>50</v>
      </c>
      <c r="Q1392" s="2">
        <v>4</v>
      </c>
      <c r="R1392" s="2" t="s">
        <v>52</v>
      </c>
      <c r="S1392" s="2">
        <v>2367</v>
      </c>
      <c r="T1392" s="2">
        <v>18779</v>
      </c>
      <c r="U1392" s="2">
        <v>5</v>
      </c>
      <c r="V1392" s="2" t="s">
        <v>42</v>
      </c>
      <c r="W1392" s="2" t="s">
        <v>43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</row>
    <row r="1393" spans="1:35" x14ac:dyDescent="0.25">
      <c r="A1393" s="2">
        <v>38</v>
      </c>
      <c r="B1393" s="2" t="s">
        <v>43</v>
      </c>
      <c r="C1393" s="2" t="s">
        <v>36</v>
      </c>
      <c r="D1393" s="2">
        <v>1404</v>
      </c>
      <c r="E1393" s="2" t="s">
        <v>37</v>
      </c>
      <c r="F1393" s="2">
        <v>1</v>
      </c>
      <c r="G1393" s="2">
        <v>3</v>
      </c>
      <c r="H1393" s="2" t="s">
        <v>38</v>
      </c>
      <c r="I1393" s="2">
        <v>1</v>
      </c>
      <c r="J1393" s="2">
        <v>1961</v>
      </c>
      <c r="K1393" s="2">
        <v>1</v>
      </c>
      <c r="L1393" s="2" t="s">
        <v>46</v>
      </c>
      <c r="M1393" s="2">
        <v>59</v>
      </c>
      <c r="N1393" s="2">
        <v>2</v>
      </c>
      <c r="O1393" s="2">
        <v>1</v>
      </c>
      <c r="P1393" s="2" t="s">
        <v>57</v>
      </c>
      <c r="Q1393" s="2">
        <v>1</v>
      </c>
      <c r="R1393" s="2" t="s">
        <v>41</v>
      </c>
      <c r="S1393" s="2">
        <v>2858</v>
      </c>
      <c r="T1393" s="2">
        <v>11473</v>
      </c>
      <c r="U1393" s="2">
        <v>4</v>
      </c>
      <c r="V1393" s="2" t="s">
        <v>42</v>
      </c>
      <c r="W1393" s="2" t="s">
        <v>43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</row>
    <row r="1394" spans="1:35" x14ac:dyDescent="0.25">
      <c r="A1394" s="2">
        <v>35</v>
      </c>
      <c r="B1394" s="2" t="s">
        <v>43</v>
      </c>
      <c r="C1394" s="2" t="s">
        <v>36</v>
      </c>
      <c r="D1394" s="2">
        <v>1224</v>
      </c>
      <c r="E1394" s="2" t="s">
        <v>37</v>
      </c>
      <c r="F1394" s="2">
        <v>7</v>
      </c>
      <c r="G1394" s="2">
        <v>4</v>
      </c>
      <c r="H1394" s="2" t="s">
        <v>38</v>
      </c>
      <c r="I1394" s="2">
        <v>1</v>
      </c>
      <c r="J1394" s="2">
        <v>1962</v>
      </c>
      <c r="K1394" s="2">
        <v>3</v>
      </c>
      <c r="L1394" s="2" t="s">
        <v>39</v>
      </c>
      <c r="M1394" s="2">
        <v>55</v>
      </c>
      <c r="N1394" s="2">
        <v>3</v>
      </c>
      <c r="O1394" s="2">
        <v>2</v>
      </c>
      <c r="P1394" s="2" t="s">
        <v>40</v>
      </c>
      <c r="Q1394" s="2">
        <v>4</v>
      </c>
      <c r="R1394" s="2" t="s">
        <v>48</v>
      </c>
      <c r="S1394" s="2">
        <v>5204</v>
      </c>
      <c r="T1394" s="2">
        <v>13586</v>
      </c>
      <c r="U1394" s="2">
        <v>1</v>
      </c>
      <c r="V1394" s="2" t="s">
        <v>42</v>
      </c>
      <c r="W1394" s="2" t="s">
        <v>35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</row>
    <row r="1395" spans="1:35" x14ac:dyDescent="0.25">
      <c r="A1395" s="2">
        <v>27</v>
      </c>
      <c r="B1395" s="2" t="s">
        <v>43</v>
      </c>
      <c r="C1395" s="2" t="s">
        <v>36</v>
      </c>
      <c r="D1395" s="2">
        <v>954</v>
      </c>
      <c r="E1395" s="2" t="s">
        <v>37</v>
      </c>
      <c r="F1395" s="2">
        <v>9</v>
      </c>
      <c r="G1395" s="2">
        <v>3</v>
      </c>
      <c r="H1395" s="2" t="s">
        <v>59</v>
      </c>
      <c r="I1395" s="2">
        <v>1</v>
      </c>
      <c r="J1395" s="2">
        <v>1965</v>
      </c>
      <c r="K1395" s="2">
        <v>4</v>
      </c>
      <c r="L1395" s="2" t="s">
        <v>46</v>
      </c>
      <c r="M1395" s="2">
        <v>44</v>
      </c>
      <c r="N1395" s="2">
        <v>3</v>
      </c>
      <c r="O1395" s="2">
        <v>2</v>
      </c>
      <c r="P1395" s="2" t="s">
        <v>40</v>
      </c>
      <c r="Q1395" s="2">
        <v>4</v>
      </c>
      <c r="R1395" s="2" t="s">
        <v>41</v>
      </c>
      <c r="S1395" s="2">
        <v>4105</v>
      </c>
      <c r="T1395" s="2">
        <v>5099</v>
      </c>
      <c r="U1395" s="2">
        <v>1</v>
      </c>
      <c r="V1395" s="2" t="s">
        <v>42</v>
      </c>
      <c r="W1395" s="2" t="s">
        <v>43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</row>
    <row r="1396" spans="1:35" x14ac:dyDescent="0.25">
      <c r="A1396" s="2">
        <v>32</v>
      </c>
      <c r="B1396" s="2" t="s">
        <v>43</v>
      </c>
      <c r="C1396" s="2" t="s">
        <v>36</v>
      </c>
      <c r="D1396" s="2">
        <v>1373</v>
      </c>
      <c r="E1396" s="2" t="s">
        <v>45</v>
      </c>
      <c r="F1396" s="2">
        <v>5</v>
      </c>
      <c r="G1396" s="2">
        <v>4</v>
      </c>
      <c r="H1396" s="2" t="s">
        <v>38</v>
      </c>
      <c r="I1396" s="2">
        <v>1</v>
      </c>
      <c r="J1396" s="2">
        <v>1966</v>
      </c>
      <c r="K1396" s="2">
        <v>4</v>
      </c>
      <c r="L1396" s="2" t="s">
        <v>46</v>
      </c>
      <c r="M1396" s="2">
        <v>56</v>
      </c>
      <c r="N1396" s="2">
        <v>2</v>
      </c>
      <c r="O1396" s="2">
        <v>2</v>
      </c>
      <c r="P1396" s="2" t="s">
        <v>53</v>
      </c>
      <c r="Q1396" s="2">
        <v>4</v>
      </c>
      <c r="R1396" s="2" t="s">
        <v>41</v>
      </c>
      <c r="S1396" s="2">
        <v>9679</v>
      </c>
      <c r="T1396" s="2">
        <v>10138</v>
      </c>
      <c r="U1396" s="2">
        <v>8</v>
      </c>
      <c r="V1396" s="2" t="s">
        <v>42</v>
      </c>
      <c r="W1396" s="2" t="s">
        <v>43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</row>
    <row r="1397" spans="1:35" x14ac:dyDescent="0.25">
      <c r="A1397" s="2">
        <v>31</v>
      </c>
      <c r="B1397" s="2" t="s">
        <v>35</v>
      </c>
      <c r="C1397" s="2" t="s">
        <v>44</v>
      </c>
      <c r="D1397" s="2">
        <v>754</v>
      </c>
      <c r="E1397" s="2" t="s">
        <v>37</v>
      </c>
      <c r="F1397" s="2">
        <v>26</v>
      </c>
      <c r="G1397" s="2">
        <v>4</v>
      </c>
      <c r="H1397" s="2" t="s">
        <v>59</v>
      </c>
      <c r="I1397" s="2">
        <v>1</v>
      </c>
      <c r="J1397" s="2">
        <v>1967</v>
      </c>
      <c r="K1397" s="2">
        <v>1</v>
      </c>
      <c r="L1397" s="2" t="s">
        <v>46</v>
      </c>
      <c r="M1397" s="2">
        <v>63</v>
      </c>
      <c r="N1397" s="2">
        <v>3</v>
      </c>
      <c r="O1397" s="2">
        <v>2</v>
      </c>
      <c r="P1397" s="2" t="s">
        <v>40</v>
      </c>
      <c r="Q1397" s="2">
        <v>4</v>
      </c>
      <c r="R1397" s="2" t="s">
        <v>48</v>
      </c>
      <c r="S1397" s="2">
        <v>5617</v>
      </c>
      <c r="T1397" s="2">
        <v>21075</v>
      </c>
      <c r="U1397" s="2">
        <v>1</v>
      </c>
      <c r="V1397" s="2" t="s">
        <v>42</v>
      </c>
      <c r="W1397" s="2" t="s">
        <v>35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</row>
    <row r="1398" spans="1:35" x14ac:dyDescent="0.25">
      <c r="A1398" s="2">
        <v>53</v>
      </c>
      <c r="B1398" s="2" t="s">
        <v>35</v>
      </c>
      <c r="C1398" s="2" t="s">
        <v>36</v>
      </c>
      <c r="D1398" s="2">
        <v>1168</v>
      </c>
      <c r="E1398" s="2" t="s">
        <v>37</v>
      </c>
      <c r="F1398" s="2">
        <v>24</v>
      </c>
      <c r="G1398" s="2">
        <v>4</v>
      </c>
      <c r="H1398" s="2" t="s">
        <v>38</v>
      </c>
      <c r="I1398" s="2">
        <v>1</v>
      </c>
      <c r="J1398" s="2">
        <v>1968</v>
      </c>
      <c r="K1398" s="2">
        <v>1</v>
      </c>
      <c r="L1398" s="2" t="s">
        <v>46</v>
      </c>
      <c r="M1398" s="2">
        <v>66</v>
      </c>
      <c r="N1398" s="2">
        <v>3</v>
      </c>
      <c r="O1398" s="2">
        <v>3</v>
      </c>
      <c r="P1398" s="2" t="s">
        <v>40</v>
      </c>
      <c r="Q1398" s="2">
        <v>1</v>
      </c>
      <c r="R1398" s="2" t="s">
        <v>41</v>
      </c>
      <c r="S1398" s="2">
        <v>10448</v>
      </c>
      <c r="T1398" s="2">
        <v>5843</v>
      </c>
      <c r="U1398" s="2">
        <v>6</v>
      </c>
      <c r="V1398" s="2" t="s">
        <v>42</v>
      </c>
      <c r="W1398" s="2" t="s">
        <v>35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</row>
    <row r="1399" spans="1:35" x14ac:dyDescent="0.25">
      <c r="A1399" s="2">
        <v>54</v>
      </c>
      <c r="B1399" s="2" t="s">
        <v>43</v>
      </c>
      <c r="C1399" s="2" t="s">
        <v>36</v>
      </c>
      <c r="D1399" s="2">
        <v>155</v>
      </c>
      <c r="E1399" s="2" t="s">
        <v>45</v>
      </c>
      <c r="F1399" s="2">
        <v>9</v>
      </c>
      <c r="G1399" s="2">
        <v>2</v>
      </c>
      <c r="H1399" s="2" t="s">
        <v>38</v>
      </c>
      <c r="I1399" s="2">
        <v>1</v>
      </c>
      <c r="J1399" s="2">
        <v>1969</v>
      </c>
      <c r="K1399" s="2">
        <v>1</v>
      </c>
      <c r="L1399" s="2" t="s">
        <v>39</v>
      </c>
      <c r="M1399" s="2">
        <v>67</v>
      </c>
      <c r="N1399" s="2">
        <v>3</v>
      </c>
      <c r="O1399" s="2">
        <v>2</v>
      </c>
      <c r="P1399" s="2" t="s">
        <v>47</v>
      </c>
      <c r="Q1399" s="2">
        <v>3</v>
      </c>
      <c r="R1399" s="2" t="s">
        <v>48</v>
      </c>
      <c r="S1399" s="2">
        <v>2897</v>
      </c>
      <c r="T1399" s="2">
        <v>22474</v>
      </c>
      <c r="U1399" s="2">
        <v>3</v>
      </c>
      <c r="V1399" s="2" t="s">
        <v>42</v>
      </c>
      <c r="W1399" s="2" t="s">
        <v>43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</row>
    <row r="1400" spans="1:35" x14ac:dyDescent="0.25">
      <c r="A1400" s="2">
        <v>33</v>
      </c>
      <c r="B1400" s="2" t="s">
        <v>43</v>
      </c>
      <c r="C1400" s="2" t="s">
        <v>44</v>
      </c>
      <c r="D1400" s="2">
        <v>1303</v>
      </c>
      <c r="E1400" s="2" t="s">
        <v>45</v>
      </c>
      <c r="F1400" s="2">
        <v>7</v>
      </c>
      <c r="G1400" s="2">
        <v>2</v>
      </c>
      <c r="H1400" s="2" t="s">
        <v>38</v>
      </c>
      <c r="I1400" s="2">
        <v>1</v>
      </c>
      <c r="J1400" s="2">
        <v>1970</v>
      </c>
      <c r="K1400" s="2">
        <v>4</v>
      </c>
      <c r="L1400" s="2" t="s">
        <v>46</v>
      </c>
      <c r="M1400" s="2">
        <v>36</v>
      </c>
      <c r="N1400" s="2">
        <v>3</v>
      </c>
      <c r="O1400" s="2">
        <v>2</v>
      </c>
      <c r="P1400" s="2" t="s">
        <v>54</v>
      </c>
      <c r="Q1400" s="2">
        <v>3</v>
      </c>
      <c r="R1400" s="2" t="s">
        <v>52</v>
      </c>
      <c r="S1400" s="2">
        <v>5968</v>
      </c>
      <c r="T1400" s="2">
        <v>18079</v>
      </c>
      <c r="U1400" s="2">
        <v>1</v>
      </c>
      <c r="V1400" s="2" t="s">
        <v>42</v>
      </c>
      <c r="W1400" s="2" t="s">
        <v>43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</row>
    <row r="1401" spans="1:35" x14ac:dyDescent="0.25">
      <c r="A1401" s="2">
        <v>43</v>
      </c>
      <c r="B1401" s="2" t="s">
        <v>43</v>
      </c>
      <c r="C1401" s="2" t="s">
        <v>36</v>
      </c>
      <c r="D1401" s="2">
        <v>574</v>
      </c>
      <c r="E1401" s="2" t="s">
        <v>45</v>
      </c>
      <c r="F1401" s="2">
        <v>11</v>
      </c>
      <c r="G1401" s="2">
        <v>3</v>
      </c>
      <c r="H1401" s="2" t="s">
        <v>38</v>
      </c>
      <c r="I1401" s="2">
        <v>1</v>
      </c>
      <c r="J1401" s="2">
        <v>1971</v>
      </c>
      <c r="K1401" s="2">
        <v>1</v>
      </c>
      <c r="L1401" s="2" t="s">
        <v>46</v>
      </c>
      <c r="M1401" s="2">
        <v>30</v>
      </c>
      <c r="N1401" s="2">
        <v>3</v>
      </c>
      <c r="O1401" s="2">
        <v>3</v>
      </c>
      <c r="P1401" s="2" t="s">
        <v>54</v>
      </c>
      <c r="Q1401" s="2">
        <v>3</v>
      </c>
      <c r="R1401" s="2" t="s">
        <v>48</v>
      </c>
      <c r="S1401" s="2">
        <v>7510</v>
      </c>
      <c r="T1401" s="2">
        <v>16873</v>
      </c>
      <c r="U1401" s="2">
        <v>1</v>
      </c>
      <c r="V1401" s="2" t="s">
        <v>42</v>
      </c>
      <c r="W1401" s="2" t="s">
        <v>43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</row>
    <row r="1402" spans="1:35" x14ac:dyDescent="0.25">
      <c r="A1402" s="2">
        <v>38</v>
      </c>
      <c r="B1402" s="2" t="s">
        <v>43</v>
      </c>
      <c r="C1402" s="2" t="s">
        <v>44</v>
      </c>
      <c r="D1402" s="2">
        <v>1444</v>
      </c>
      <c r="E1402" s="2" t="s">
        <v>61</v>
      </c>
      <c r="F1402" s="2">
        <v>1</v>
      </c>
      <c r="G1402" s="2">
        <v>4</v>
      </c>
      <c r="H1402" s="2" t="s">
        <v>49</v>
      </c>
      <c r="I1402" s="2">
        <v>1</v>
      </c>
      <c r="J1402" s="2">
        <v>1972</v>
      </c>
      <c r="K1402" s="2">
        <v>4</v>
      </c>
      <c r="L1402" s="2" t="s">
        <v>46</v>
      </c>
      <c r="M1402" s="2">
        <v>88</v>
      </c>
      <c r="N1402" s="2">
        <v>3</v>
      </c>
      <c r="O1402" s="2">
        <v>1</v>
      </c>
      <c r="P1402" s="2" t="s">
        <v>61</v>
      </c>
      <c r="Q1402" s="2">
        <v>2</v>
      </c>
      <c r="R1402" s="2" t="s">
        <v>48</v>
      </c>
      <c r="S1402" s="2">
        <v>2991</v>
      </c>
      <c r="T1402" s="2">
        <v>5224</v>
      </c>
      <c r="U1402" s="2">
        <v>0</v>
      </c>
      <c r="V1402" s="2" t="s">
        <v>42</v>
      </c>
      <c r="W1402" s="2" t="s">
        <v>35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</row>
    <row r="1403" spans="1:35" x14ac:dyDescent="0.25">
      <c r="A1403" s="2">
        <v>55</v>
      </c>
      <c r="B1403" s="2" t="s">
        <v>43</v>
      </c>
      <c r="C1403" s="2" t="s">
        <v>36</v>
      </c>
      <c r="D1403" s="2">
        <v>189</v>
      </c>
      <c r="E1403" s="2" t="s">
        <v>61</v>
      </c>
      <c r="F1403" s="2">
        <v>26</v>
      </c>
      <c r="G1403" s="2">
        <v>4</v>
      </c>
      <c r="H1403" s="2" t="s">
        <v>61</v>
      </c>
      <c r="I1403" s="2">
        <v>1</v>
      </c>
      <c r="J1403" s="2">
        <v>1973</v>
      </c>
      <c r="K1403" s="2">
        <v>3</v>
      </c>
      <c r="L1403" s="2" t="s">
        <v>46</v>
      </c>
      <c r="M1403" s="2">
        <v>71</v>
      </c>
      <c r="N1403" s="2">
        <v>4</v>
      </c>
      <c r="O1403" s="2">
        <v>5</v>
      </c>
      <c r="P1403" s="2" t="s">
        <v>56</v>
      </c>
      <c r="Q1403" s="2">
        <v>2</v>
      </c>
      <c r="R1403" s="2" t="s">
        <v>48</v>
      </c>
      <c r="S1403" s="2">
        <v>19636</v>
      </c>
      <c r="T1403" s="2">
        <v>25811</v>
      </c>
      <c r="U1403" s="2">
        <v>4</v>
      </c>
      <c r="V1403" s="2" t="s">
        <v>42</v>
      </c>
      <c r="W1403" s="2" t="s">
        <v>35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</row>
    <row r="1404" spans="1:35" x14ac:dyDescent="0.25">
      <c r="A1404" s="2">
        <v>31</v>
      </c>
      <c r="B1404" s="2" t="s">
        <v>43</v>
      </c>
      <c r="C1404" s="2" t="s">
        <v>36</v>
      </c>
      <c r="D1404" s="2">
        <v>1276</v>
      </c>
      <c r="E1404" s="2" t="s">
        <v>45</v>
      </c>
      <c r="F1404" s="2">
        <v>2</v>
      </c>
      <c r="G1404" s="2">
        <v>1</v>
      </c>
      <c r="H1404" s="2" t="s">
        <v>51</v>
      </c>
      <c r="I1404" s="2">
        <v>1</v>
      </c>
      <c r="J1404" s="2">
        <v>1974</v>
      </c>
      <c r="K1404" s="2">
        <v>4</v>
      </c>
      <c r="L1404" s="2" t="s">
        <v>39</v>
      </c>
      <c r="M1404" s="2">
        <v>59</v>
      </c>
      <c r="N1404" s="2">
        <v>1</v>
      </c>
      <c r="O1404" s="2">
        <v>1</v>
      </c>
      <c r="P1404" s="2" t="s">
        <v>50</v>
      </c>
      <c r="Q1404" s="2">
        <v>4</v>
      </c>
      <c r="R1404" s="2" t="s">
        <v>52</v>
      </c>
      <c r="S1404" s="2">
        <v>1129</v>
      </c>
      <c r="T1404" s="2">
        <v>17536</v>
      </c>
      <c r="U1404" s="2">
        <v>1</v>
      </c>
      <c r="V1404" s="2" t="s">
        <v>42</v>
      </c>
      <c r="W1404" s="2" t="s">
        <v>35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</row>
    <row r="1405" spans="1:35" x14ac:dyDescent="0.25">
      <c r="A1405" s="2">
        <v>39</v>
      </c>
      <c r="B1405" s="2" t="s">
        <v>43</v>
      </c>
      <c r="C1405" s="2" t="s">
        <v>36</v>
      </c>
      <c r="D1405" s="2">
        <v>119</v>
      </c>
      <c r="E1405" s="2" t="s">
        <v>37</v>
      </c>
      <c r="F1405" s="2">
        <v>15</v>
      </c>
      <c r="G1405" s="2">
        <v>4</v>
      </c>
      <c r="H1405" s="2" t="s">
        <v>59</v>
      </c>
      <c r="I1405" s="2">
        <v>1</v>
      </c>
      <c r="J1405" s="2">
        <v>1975</v>
      </c>
      <c r="K1405" s="2">
        <v>2</v>
      </c>
      <c r="L1405" s="2" t="s">
        <v>46</v>
      </c>
      <c r="M1405" s="2">
        <v>77</v>
      </c>
      <c r="N1405" s="2">
        <v>3</v>
      </c>
      <c r="O1405" s="2">
        <v>4</v>
      </c>
      <c r="P1405" s="2" t="s">
        <v>40</v>
      </c>
      <c r="Q1405" s="2">
        <v>1</v>
      </c>
      <c r="R1405" s="2" t="s">
        <v>41</v>
      </c>
      <c r="S1405" s="2">
        <v>13341</v>
      </c>
      <c r="T1405" s="2">
        <v>25098</v>
      </c>
      <c r="U1405" s="2">
        <v>0</v>
      </c>
      <c r="V1405" s="2" t="s">
        <v>42</v>
      </c>
      <c r="W1405" s="2" t="s">
        <v>43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</row>
    <row r="1406" spans="1:35" x14ac:dyDescent="0.25">
      <c r="A1406" s="2">
        <v>42</v>
      </c>
      <c r="B1406" s="2" t="s">
        <v>43</v>
      </c>
      <c r="C1406" s="2" t="s">
        <v>55</v>
      </c>
      <c r="D1406" s="2">
        <v>335</v>
      </c>
      <c r="E1406" s="2" t="s">
        <v>45</v>
      </c>
      <c r="F1406" s="2">
        <v>23</v>
      </c>
      <c r="G1406" s="2">
        <v>2</v>
      </c>
      <c r="H1406" s="2" t="s">
        <v>38</v>
      </c>
      <c r="I1406" s="2">
        <v>1</v>
      </c>
      <c r="J1406" s="2">
        <v>1976</v>
      </c>
      <c r="K1406" s="2">
        <v>4</v>
      </c>
      <c r="L1406" s="2" t="s">
        <v>46</v>
      </c>
      <c r="M1406" s="2">
        <v>37</v>
      </c>
      <c r="N1406" s="2">
        <v>2</v>
      </c>
      <c r="O1406" s="2">
        <v>2</v>
      </c>
      <c r="P1406" s="2" t="s">
        <v>47</v>
      </c>
      <c r="Q1406" s="2">
        <v>3</v>
      </c>
      <c r="R1406" s="2" t="s">
        <v>41</v>
      </c>
      <c r="S1406" s="2">
        <v>4332</v>
      </c>
      <c r="T1406" s="2">
        <v>14811</v>
      </c>
      <c r="U1406" s="2">
        <v>1</v>
      </c>
      <c r="V1406" s="2" t="s">
        <v>42</v>
      </c>
      <c r="W1406" s="2" t="s">
        <v>43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</row>
    <row r="1407" spans="1:35" x14ac:dyDescent="0.25">
      <c r="A1407" s="2">
        <v>31</v>
      </c>
      <c r="B1407" s="2" t="s">
        <v>43</v>
      </c>
      <c r="C1407" s="2" t="s">
        <v>55</v>
      </c>
      <c r="D1407" s="2">
        <v>697</v>
      </c>
      <c r="E1407" s="2" t="s">
        <v>45</v>
      </c>
      <c r="F1407" s="2">
        <v>10</v>
      </c>
      <c r="G1407" s="2">
        <v>3</v>
      </c>
      <c r="H1407" s="2" t="s">
        <v>51</v>
      </c>
      <c r="I1407" s="2">
        <v>1</v>
      </c>
      <c r="J1407" s="2">
        <v>1979</v>
      </c>
      <c r="K1407" s="2">
        <v>3</v>
      </c>
      <c r="L1407" s="2" t="s">
        <v>39</v>
      </c>
      <c r="M1407" s="2">
        <v>40</v>
      </c>
      <c r="N1407" s="2">
        <v>3</v>
      </c>
      <c r="O1407" s="2">
        <v>3</v>
      </c>
      <c r="P1407" s="2" t="s">
        <v>58</v>
      </c>
      <c r="Q1407" s="2">
        <v>3</v>
      </c>
      <c r="R1407" s="2" t="s">
        <v>48</v>
      </c>
      <c r="S1407" s="2">
        <v>11031</v>
      </c>
      <c r="T1407" s="2">
        <v>26862</v>
      </c>
      <c r="U1407" s="2">
        <v>4</v>
      </c>
      <c r="V1407" s="2" t="s">
        <v>42</v>
      </c>
      <c r="W1407" s="2" t="s">
        <v>43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</row>
    <row r="1408" spans="1:35" x14ac:dyDescent="0.25">
      <c r="A1408" s="2">
        <v>54</v>
      </c>
      <c r="B1408" s="2" t="s">
        <v>43</v>
      </c>
      <c r="C1408" s="2" t="s">
        <v>36</v>
      </c>
      <c r="D1408" s="2">
        <v>157</v>
      </c>
      <c r="E1408" s="2" t="s">
        <v>45</v>
      </c>
      <c r="F1408" s="2">
        <v>10</v>
      </c>
      <c r="G1408" s="2">
        <v>3</v>
      </c>
      <c r="H1408" s="2" t="s">
        <v>51</v>
      </c>
      <c r="I1408" s="2">
        <v>1</v>
      </c>
      <c r="J1408" s="2">
        <v>1980</v>
      </c>
      <c r="K1408" s="2">
        <v>3</v>
      </c>
      <c r="L1408" s="2" t="s">
        <v>39</v>
      </c>
      <c r="M1408" s="2">
        <v>77</v>
      </c>
      <c r="N1408" s="2">
        <v>3</v>
      </c>
      <c r="O1408" s="2">
        <v>2</v>
      </c>
      <c r="P1408" s="2" t="s">
        <v>53</v>
      </c>
      <c r="Q1408" s="2">
        <v>1</v>
      </c>
      <c r="R1408" s="2" t="s">
        <v>41</v>
      </c>
      <c r="S1408" s="2">
        <v>4440</v>
      </c>
      <c r="T1408" s="2">
        <v>25198</v>
      </c>
      <c r="U1408" s="2">
        <v>6</v>
      </c>
      <c r="V1408" s="2" t="s">
        <v>42</v>
      </c>
      <c r="W1408" s="2" t="s">
        <v>35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</row>
    <row r="1409" spans="1:35" x14ac:dyDescent="0.25">
      <c r="A1409" s="2">
        <v>24</v>
      </c>
      <c r="B1409" s="2" t="s">
        <v>43</v>
      </c>
      <c r="C1409" s="2" t="s">
        <v>36</v>
      </c>
      <c r="D1409" s="2">
        <v>771</v>
      </c>
      <c r="E1409" s="2" t="s">
        <v>45</v>
      </c>
      <c r="F1409" s="2">
        <v>1</v>
      </c>
      <c r="G1409" s="2">
        <v>2</v>
      </c>
      <c r="H1409" s="2" t="s">
        <v>38</v>
      </c>
      <c r="I1409" s="2">
        <v>1</v>
      </c>
      <c r="J1409" s="2">
        <v>1981</v>
      </c>
      <c r="K1409" s="2">
        <v>2</v>
      </c>
      <c r="L1409" s="2" t="s">
        <v>46</v>
      </c>
      <c r="M1409" s="2">
        <v>45</v>
      </c>
      <c r="N1409" s="2">
        <v>2</v>
      </c>
      <c r="O1409" s="2">
        <v>2</v>
      </c>
      <c r="P1409" s="2" t="s">
        <v>54</v>
      </c>
      <c r="Q1409" s="2">
        <v>3</v>
      </c>
      <c r="R1409" s="2" t="s">
        <v>41</v>
      </c>
      <c r="S1409" s="2">
        <v>4617</v>
      </c>
      <c r="T1409" s="2">
        <v>14120</v>
      </c>
      <c r="U1409" s="2">
        <v>1</v>
      </c>
      <c r="V1409" s="2" t="s">
        <v>42</v>
      </c>
      <c r="W1409" s="2" t="s">
        <v>43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</row>
    <row r="1410" spans="1:35" x14ac:dyDescent="0.25">
      <c r="A1410" s="2">
        <v>23</v>
      </c>
      <c r="B1410" s="2" t="s">
        <v>43</v>
      </c>
      <c r="C1410" s="2" t="s">
        <v>36</v>
      </c>
      <c r="D1410" s="2">
        <v>571</v>
      </c>
      <c r="E1410" s="2" t="s">
        <v>45</v>
      </c>
      <c r="F1410" s="2">
        <v>12</v>
      </c>
      <c r="G1410" s="2">
        <v>2</v>
      </c>
      <c r="H1410" s="2" t="s">
        <v>49</v>
      </c>
      <c r="I1410" s="2">
        <v>1</v>
      </c>
      <c r="J1410" s="2">
        <v>1982</v>
      </c>
      <c r="K1410" s="2">
        <v>4</v>
      </c>
      <c r="L1410" s="2" t="s">
        <v>46</v>
      </c>
      <c r="M1410" s="2">
        <v>78</v>
      </c>
      <c r="N1410" s="2">
        <v>3</v>
      </c>
      <c r="O1410" s="2">
        <v>1</v>
      </c>
      <c r="P1410" s="2" t="s">
        <v>50</v>
      </c>
      <c r="Q1410" s="2">
        <v>4</v>
      </c>
      <c r="R1410" s="2" t="s">
        <v>41</v>
      </c>
      <c r="S1410" s="2">
        <v>2647</v>
      </c>
      <c r="T1410" s="2">
        <v>13672</v>
      </c>
      <c r="U1410" s="2">
        <v>1</v>
      </c>
      <c r="V1410" s="2" t="s">
        <v>42</v>
      </c>
      <c r="W1410" s="2" t="s">
        <v>43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</row>
    <row r="1411" spans="1:35" x14ac:dyDescent="0.25">
      <c r="A1411" s="2">
        <v>40</v>
      </c>
      <c r="B1411" s="2" t="s">
        <v>43</v>
      </c>
      <c r="C1411" s="2" t="s">
        <v>44</v>
      </c>
      <c r="D1411" s="2">
        <v>692</v>
      </c>
      <c r="E1411" s="2" t="s">
        <v>45</v>
      </c>
      <c r="F1411" s="2">
        <v>11</v>
      </c>
      <c r="G1411" s="2">
        <v>3</v>
      </c>
      <c r="H1411" s="2" t="s">
        <v>60</v>
      </c>
      <c r="I1411" s="2">
        <v>1</v>
      </c>
      <c r="J1411" s="2">
        <v>1985</v>
      </c>
      <c r="K1411" s="2">
        <v>4</v>
      </c>
      <c r="L1411" s="2" t="s">
        <v>39</v>
      </c>
      <c r="M1411" s="2">
        <v>73</v>
      </c>
      <c r="N1411" s="2">
        <v>3</v>
      </c>
      <c r="O1411" s="2">
        <v>2</v>
      </c>
      <c r="P1411" s="2" t="s">
        <v>50</v>
      </c>
      <c r="Q1411" s="2">
        <v>3</v>
      </c>
      <c r="R1411" s="2" t="s">
        <v>48</v>
      </c>
      <c r="S1411" s="2">
        <v>6323</v>
      </c>
      <c r="T1411" s="2">
        <v>26849</v>
      </c>
      <c r="U1411" s="2">
        <v>1</v>
      </c>
      <c r="V1411" s="2" t="s">
        <v>42</v>
      </c>
      <c r="W1411" s="2" t="s">
        <v>43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</row>
    <row r="1412" spans="1:35" x14ac:dyDescent="0.25">
      <c r="A1412" s="2">
        <v>40</v>
      </c>
      <c r="B1412" s="2" t="s">
        <v>43</v>
      </c>
      <c r="C1412" s="2" t="s">
        <v>36</v>
      </c>
      <c r="D1412" s="2">
        <v>444</v>
      </c>
      <c r="E1412" s="2" t="s">
        <v>37</v>
      </c>
      <c r="F1412" s="2">
        <v>2</v>
      </c>
      <c r="G1412" s="2">
        <v>2</v>
      </c>
      <c r="H1412" s="2" t="s">
        <v>59</v>
      </c>
      <c r="I1412" s="2">
        <v>1</v>
      </c>
      <c r="J1412" s="2">
        <v>1986</v>
      </c>
      <c r="K1412" s="2">
        <v>2</v>
      </c>
      <c r="L1412" s="2" t="s">
        <v>39</v>
      </c>
      <c r="M1412" s="2">
        <v>92</v>
      </c>
      <c r="N1412" s="2">
        <v>3</v>
      </c>
      <c r="O1412" s="2">
        <v>2</v>
      </c>
      <c r="P1412" s="2" t="s">
        <v>40</v>
      </c>
      <c r="Q1412" s="2">
        <v>2</v>
      </c>
      <c r="R1412" s="2" t="s">
        <v>48</v>
      </c>
      <c r="S1412" s="2">
        <v>5677</v>
      </c>
      <c r="T1412" s="2">
        <v>4258</v>
      </c>
      <c r="U1412" s="2">
        <v>3</v>
      </c>
      <c r="V1412" s="2" t="s">
        <v>42</v>
      </c>
      <c r="W1412" s="2" t="s">
        <v>43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</row>
    <row r="1413" spans="1:35" x14ac:dyDescent="0.25">
      <c r="A1413" s="2">
        <v>25</v>
      </c>
      <c r="B1413" s="2" t="s">
        <v>43</v>
      </c>
      <c r="C1413" s="2" t="s">
        <v>36</v>
      </c>
      <c r="D1413" s="2">
        <v>309</v>
      </c>
      <c r="E1413" s="2" t="s">
        <v>61</v>
      </c>
      <c r="F1413" s="2">
        <v>2</v>
      </c>
      <c r="G1413" s="2">
        <v>3</v>
      </c>
      <c r="H1413" s="2" t="s">
        <v>61</v>
      </c>
      <c r="I1413" s="2">
        <v>1</v>
      </c>
      <c r="J1413" s="2">
        <v>1987</v>
      </c>
      <c r="K1413" s="2">
        <v>3</v>
      </c>
      <c r="L1413" s="2" t="s">
        <v>39</v>
      </c>
      <c r="M1413" s="2">
        <v>82</v>
      </c>
      <c r="N1413" s="2">
        <v>3</v>
      </c>
      <c r="O1413" s="2">
        <v>1</v>
      </c>
      <c r="P1413" s="2" t="s">
        <v>61</v>
      </c>
      <c r="Q1413" s="2">
        <v>2</v>
      </c>
      <c r="R1413" s="2" t="s">
        <v>48</v>
      </c>
      <c r="S1413" s="2">
        <v>2187</v>
      </c>
      <c r="T1413" s="2">
        <v>19655</v>
      </c>
      <c r="U1413" s="2">
        <v>4</v>
      </c>
      <c r="V1413" s="2" t="s">
        <v>42</v>
      </c>
      <c r="W1413" s="2" t="s">
        <v>43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</row>
    <row r="1414" spans="1:35" x14ac:dyDescent="0.25">
      <c r="A1414" s="2">
        <v>30</v>
      </c>
      <c r="B1414" s="2" t="s">
        <v>43</v>
      </c>
      <c r="C1414" s="2" t="s">
        <v>36</v>
      </c>
      <c r="D1414" s="2">
        <v>911</v>
      </c>
      <c r="E1414" s="2" t="s">
        <v>45</v>
      </c>
      <c r="F1414" s="2">
        <v>1</v>
      </c>
      <c r="G1414" s="2">
        <v>2</v>
      </c>
      <c r="H1414" s="2" t="s">
        <v>51</v>
      </c>
      <c r="I1414" s="2">
        <v>1</v>
      </c>
      <c r="J1414" s="2">
        <v>1989</v>
      </c>
      <c r="K1414" s="2">
        <v>4</v>
      </c>
      <c r="L1414" s="2" t="s">
        <v>46</v>
      </c>
      <c r="M1414" s="2">
        <v>76</v>
      </c>
      <c r="N1414" s="2">
        <v>3</v>
      </c>
      <c r="O1414" s="2">
        <v>1</v>
      </c>
      <c r="P1414" s="2" t="s">
        <v>50</v>
      </c>
      <c r="Q1414" s="2">
        <v>2</v>
      </c>
      <c r="R1414" s="2" t="s">
        <v>48</v>
      </c>
      <c r="S1414" s="2">
        <v>3748</v>
      </c>
      <c r="T1414" s="2">
        <v>4077</v>
      </c>
      <c r="U1414" s="2">
        <v>1</v>
      </c>
      <c r="V1414" s="2" t="s">
        <v>42</v>
      </c>
      <c r="W1414" s="2" t="s">
        <v>43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</row>
    <row r="1415" spans="1:35" x14ac:dyDescent="0.25">
      <c r="A1415" s="2">
        <v>25</v>
      </c>
      <c r="B1415" s="2" t="s">
        <v>43</v>
      </c>
      <c r="C1415" s="2" t="s">
        <v>36</v>
      </c>
      <c r="D1415" s="2">
        <v>977</v>
      </c>
      <c r="E1415" s="2" t="s">
        <v>45</v>
      </c>
      <c r="F1415" s="2">
        <v>2</v>
      </c>
      <c r="G1415" s="2">
        <v>1</v>
      </c>
      <c r="H1415" s="2" t="s">
        <v>49</v>
      </c>
      <c r="I1415" s="2">
        <v>1</v>
      </c>
      <c r="J1415" s="2">
        <v>1992</v>
      </c>
      <c r="K1415" s="2">
        <v>4</v>
      </c>
      <c r="L1415" s="2" t="s">
        <v>46</v>
      </c>
      <c r="M1415" s="2">
        <v>57</v>
      </c>
      <c r="N1415" s="2">
        <v>3</v>
      </c>
      <c r="O1415" s="2">
        <v>1</v>
      </c>
      <c r="P1415" s="2" t="s">
        <v>50</v>
      </c>
      <c r="Q1415" s="2">
        <v>3</v>
      </c>
      <c r="R1415" s="2" t="s">
        <v>52</v>
      </c>
      <c r="S1415" s="2">
        <v>3977</v>
      </c>
      <c r="T1415" s="2">
        <v>7298</v>
      </c>
      <c r="U1415" s="2">
        <v>6</v>
      </c>
      <c r="V1415" s="2" t="s">
        <v>42</v>
      </c>
      <c r="W1415" s="2" t="s">
        <v>35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</row>
    <row r="1416" spans="1:35" x14ac:dyDescent="0.25">
      <c r="A1416" s="2">
        <v>47</v>
      </c>
      <c r="B1416" s="2" t="s">
        <v>43</v>
      </c>
      <c r="C1416" s="2" t="s">
        <v>36</v>
      </c>
      <c r="D1416" s="2">
        <v>1180</v>
      </c>
      <c r="E1416" s="2" t="s">
        <v>45</v>
      </c>
      <c r="F1416" s="2">
        <v>25</v>
      </c>
      <c r="G1416" s="2">
        <v>3</v>
      </c>
      <c r="H1416" s="2" t="s">
        <v>51</v>
      </c>
      <c r="I1416" s="2">
        <v>1</v>
      </c>
      <c r="J1416" s="2">
        <v>1993</v>
      </c>
      <c r="K1416" s="2">
        <v>1</v>
      </c>
      <c r="L1416" s="2" t="s">
        <v>46</v>
      </c>
      <c r="M1416" s="2">
        <v>84</v>
      </c>
      <c r="N1416" s="2">
        <v>3</v>
      </c>
      <c r="O1416" s="2">
        <v>3</v>
      </c>
      <c r="P1416" s="2" t="s">
        <v>54</v>
      </c>
      <c r="Q1416" s="2">
        <v>3</v>
      </c>
      <c r="R1416" s="2" t="s">
        <v>41</v>
      </c>
      <c r="S1416" s="2">
        <v>8633</v>
      </c>
      <c r="T1416" s="2">
        <v>13084</v>
      </c>
      <c r="U1416" s="2">
        <v>2</v>
      </c>
      <c r="V1416" s="2" t="s">
        <v>42</v>
      </c>
      <c r="W1416" s="2" t="s">
        <v>43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</row>
    <row r="1417" spans="1:35" x14ac:dyDescent="0.25">
      <c r="A1417" s="2">
        <v>33</v>
      </c>
      <c r="B1417" s="2" t="s">
        <v>43</v>
      </c>
      <c r="C1417" s="2" t="s">
        <v>55</v>
      </c>
      <c r="D1417" s="2">
        <v>1313</v>
      </c>
      <c r="E1417" s="2" t="s">
        <v>45</v>
      </c>
      <c r="F1417" s="2">
        <v>1</v>
      </c>
      <c r="G1417" s="2">
        <v>2</v>
      </c>
      <c r="H1417" s="2" t="s">
        <v>51</v>
      </c>
      <c r="I1417" s="2">
        <v>1</v>
      </c>
      <c r="J1417" s="2">
        <v>1994</v>
      </c>
      <c r="K1417" s="2">
        <v>2</v>
      </c>
      <c r="L1417" s="2" t="s">
        <v>46</v>
      </c>
      <c r="M1417" s="2">
        <v>59</v>
      </c>
      <c r="N1417" s="2">
        <v>2</v>
      </c>
      <c r="O1417" s="2">
        <v>1</v>
      </c>
      <c r="P1417" s="2" t="s">
        <v>50</v>
      </c>
      <c r="Q1417" s="2">
        <v>3</v>
      </c>
      <c r="R1417" s="2" t="s">
        <v>52</v>
      </c>
      <c r="S1417" s="2">
        <v>2008</v>
      </c>
      <c r="T1417" s="2">
        <v>20439</v>
      </c>
      <c r="U1417" s="2">
        <v>1</v>
      </c>
      <c r="V1417" s="2" t="s">
        <v>42</v>
      </c>
      <c r="W1417" s="2" t="s">
        <v>43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</row>
    <row r="1418" spans="1:35" x14ac:dyDescent="0.25">
      <c r="A1418" s="2">
        <v>38</v>
      </c>
      <c r="B1418" s="2" t="s">
        <v>43</v>
      </c>
      <c r="C1418" s="2" t="s">
        <v>36</v>
      </c>
      <c r="D1418" s="2">
        <v>1321</v>
      </c>
      <c r="E1418" s="2" t="s">
        <v>37</v>
      </c>
      <c r="F1418" s="2">
        <v>1</v>
      </c>
      <c r="G1418" s="2">
        <v>4</v>
      </c>
      <c r="H1418" s="2" t="s">
        <v>38</v>
      </c>
      <c r="I1418" s="2">
        <v>1</v>
      </c>
      <c r="J1418" s="2">
        <v>1995</v>
      </c>
      <c r="K1418" s="2">
        <v>4</v>
      </c>
      <c r="L1418" s="2" t="s">
        <v>46</v>
      </c>
      <c r="M1418" s="2">
        <v>86</v>
      </c>
      <c r="N1418" s="2">
        <v>3</v>
      </c>
      <c r="O1418" s="2">
        <v>2</v>
      </c>
      <c r="P1418" s="2" t="s">
        <v>40</v>
      </c>
      <c r="Q1418" s="2">
        <v>2</v>
      </c>
      <c r="R1418" s="2" t="s">
        <v>48</v>
      </c>
      <c r="S1418" s="2">
        <v>4440</v>
      </c>
      <c r="T1418" s="2">
        <v>7636</v>
      </c>
      <c r="U1418" s="2">
        <v>0</v>
      </c>
      <c r="V1418" s="2" t="s">
        <v>42</v>
      </c>
      <c r="W1418" s="2" t="s">
        <v>43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</row>
    <row r="1419" spans="1:35" x14ac:dyDescent="0.25">
      <c r="A1419" s="2">
        <v>31</v>
      </c>
      <c r="B1419" s="2" t="s">
        <v>43</v>
      </c>
      <c r="C1419" s="2" t="s">
        <v>36</v>
      </c>
      <c r="D1419" s="2">
        <v>1154</v>
      </c>
      <c r="E1419" s="2" t="s">
        <v>37</v>
      </c>
      <c r="F1419" s="2">
        <v>2</v>
      </c>
      <c r="G1419" s="2">
        <v>2</v>
      </c>
      <c r="H1419" s="2" t="s">
        <v>38</v>
      </c>
      <c r="I1419" s="2">
        <v>1</v>
      </c>
      <c r="J1419" s="2">
        <v>1996</v>
      </c>
      <c r="K1419" s="2">
        <v>1</v>
      </c>
      <c r="L1419" s="2" t="s">
        <v>46</v>
      </c>
      <c r="M1419" s="2">
        <v>54</v>
      </c>
      <c r="N1419" s="2">
        <v>3</v>
      </c>
      <c r="O1419" s="2">
        <v>1</v>
      </c>
      <c r="P1419" s="2" t="s">
        <v>57</v>
      </c>
      <c r="Q1419" s="2">
        <v>3</v>
      </c>
      <c r="R1419" s="2" t="s">
        <v>48</v>
      </c>
      <c r="S1419" s="2">
        <v>3067</v>
      </c>
      <c r="T1419" s="2">
        <v>6393</v>
      </c>
      <c r="U1419" s="2">
        <v>0</v>
      </c>
      <c r="V1419" s="2" t="s">
        <v>42</v>
      </c>
      <c r="W1419" s="2" t="s">
        <v>43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</row>
    <row r="1420" spans="1:35" x14ac:dyDescent="0.25">
      <c r="A1420" s="2">
        <v>38</v>
      </c>
      <c r="B1420" s="2" t="s">
        <v>43</v>
      </c>
      <c r="C1420" s="2" t="s">
        <v>44</v>
      </c>
      <c r="D1420" s="2">
        <v>508</v>
      </c>
      <c r="E1420" s="2" t="s">
        <v>45</v>
      </c>
      <c r="F1420" s="2">
        <v>6</v>
      </c>
      <c r="G1420" s="2">
        <v>4</v>
      </c>
      <c r="H1420" s="2" t="s">
        <v>38</v>
      </c>
      <c r="I1420" s="2">
        <v>1</v>
      </c>
      <c r="J1420" s="2">
        <v>1997</v>
      </c>
      <c r="K1420" s="2">
        <v>1</v>
      </c>
      <c r="L1420" s="2" t="s">
        <v>46</v>
      </c>
      <c r="M1420" s="2">
        <v>72</v>
      </c>
      <c r="N1420" s="2">
        <v>2</v>
      </c>
      <c r="O1420" s="2">
        <v>2</v>
      </c>
      <c r="P1420" s="2" t="s">
        <v>53</v>
      </c>
      <c r="Q1420" s="2">
        <v>3</v>
      </c>
      <c r="R1420" s="2" t="s">
        <v>48</v>
      </c>
      <c r="S1420" s="2">
        <v>5321</v>
      </c>
      <c r="T1420" s="2">
        <v>14284</v>
      </c>
      <c r="U1420" s="2">
        <v>2</v>
      </c>
      <c r="V1420" s="2" t="s">
        <v>42</v>
      </c>
      <c r="W1420" s="2" t="s">
        <v>43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</row>
    <row r="1421" spans="1:35" x14ac:dyDescent="0.25">
      <c r="A1421" s="2">
        <v>42</v>
      </c>
      <c r="B1421" s="2" t="s">
        <v>43</v>
      </c>
      <c r="C1421" s="2" t="s">
        <v>36</v>
      </c>
      <c r="D1421" s="2">
        <v>557</v>
      </c>
      <c r="E1421" s="2" t="s">
        <v>45</v>
      </c>
      <c r="F1421" s="2">
        <v>18</v>
      </c>
      <c r="G1421" s="2">
        <v>4</v>
      </c>
      <c r="H1421" s="2" t="s">
        <v>38</v>
      </c>
      <c r="I1421" s="2">
        <v>1</v>
      </c>
      <c r="J1421" s="2">
        <v>1998</v>
      </c>
      <c r="K1421" s="2">
        <v>4</v>
      </c>
      <c r="L1421" s="2" t="s">
        <v>46</v>
      </c>
      <c r="M1421" s="2">
        <v>35</v>
      </c>
      <c r="N1421" s="2">
        <v>3</v>
      </c>
      <c r="O1421" s="2">
        <v>2</v>
      </c>
      <c r="P1421" s="2" t="s">
        <v>47</v>
      </c>
      <c r="Q1421" s="2">
        <v>1</v>
      </c>
      <c r="R1421" s="2" t="s">
        <v>52</v>
      </c>
      <c r="S1421" s="2">
        <v>5410</v>
      </c>
      <c r="T1421" s="2">
        <v>11189</v>
      </c>
      <c r="U1421" s="2">
        <v>6</v>
      </c>
      <c r="V1421" s="2" t="s">
        <v>42</v>
      </c>
      <c r="W1421" s="2" t="s">
        <v>35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</row>
    <row r="1422" spans="1:35" x14ac:dyDescent="0.25">
      <c r="A1422" s="2">
        <v>41</v>
      </c>
      <c r="B1422" s="2" t="s">
        <v>43</v>
      </c>
      <c r="C1422" s="2" t="s">
        <v>36</v>
      </c>
      <c r="D1422" s="2">
        <v>642</v>
      </c>
      <c r="E1422" s="2" t="s">
        <v>45</v>
      </c>
      <c r="F1422" s="2">
        <v>1</v>
      </c>
      <c r="G1422" s="2">
        <v>3</v>
      </c>
      <c r="H1422" s="2" t="s">
        <v>38</v>
      </c>
      <c r="I1422" s="2">
        <v>1</v>
      </c>
      <c r="J1422" s="2">
        <v>1999</v>
      </c>
      <c r="K1422" s="2">
        <v>4</v>
      </c>
      <c r="L1422" s="2" t="s">
        <v>46</v>
      </c>
      <c r="M1422" s="2">
        <v>76</v>
      </c>
      <c r="N1422" s="2">
        <v>3</v>
      </c>
      <c r="O1422" s="2">
        <v>1</v>
      </c>
      <c r="P1422" s="2" t="s">
        <v>47</v>
      </c>
      <c r="Q1422" s="2">
        <v>4</v>
      </c>
      <c r="R1422" s="2" t="s">
        <v>48</v>
      </c>
      <c r="S1422" s="2">
        <v>2782</v>
      </c>
      <c r="T1422" s="2">
        <v>21412</v>
      </c>
      <c r="U1422" s="2">
        <v>3</v>
      </c>
      <c r="V1422" s="2" t="s">
        <v>42</v>
      </c>
      <c r="W1422" s="2" t="s">
        <v>43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</row>
    <row r="1423" spans="1:35" x14ac:dyDescent="0.25">
      <c r="A1423" s="2">
        <v>47</v>
      </c>
      <c r="B1423" s="2" t="s">
        <v>43</v>
      </c>
      <c r="C1423" s="2" t="s">
        <v>55</v>
      </c>
      <c r="D1423" s="2">
        <v>1162</v>
      </c>
      <c r="E1423" s="2" t="s">
        <v>45</v>
      </c>
      <c r="F1423" s="2">
        <v>1</v>
      </c>
      <c r="G1423" s="2">
        <v>1</v>
      </c>
      <c r="H1423" s="2" t="s">
        <v>51</v>
      </c>
      <c r="I1423" s="2">
        <v>1</v>
      </c>
      <c r="J1423" s="2">
        <v>2000</v>
      </c>
      <c r="K1423" s="2">
        <v>3</v>
      </c>
      <c r="L1423" s="2" t="s">
        <v>39</v>
      </c>
      <c r="M1423" s="2">
        <v>98</v>
      </c>
      <c r="N1423" s="2">
        <v>3</v>
      </c>
      <c r="O1423" s="2">
        <v>3</v>
      </c>
      <c r="P1423" s="2" t="s">
        <v>58</v>
      </c>
      <c r="Q1423" s="2">
        <v>2</v>
      </c>
      <c r="R1423" s="2" t="s">
        <v>48</v>
      </c>
      <c r="S1423" s="2">
        <v>11957</v>
      </c>
      <c r="T1423" s="2">
        <v>17231</v>
      </c>
      <c r="U1423" s="2">
        <v>0</v>
      </c>
      <c r="V1423" s="2" t="s">
        <v>42</v>
      </c>
      <c r="W1423" s="2" t="s">
        <v>43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</row>
    <row r="1424" spans="1:35" x14ac:dyDescent="0.25">
      <c r="A1424" s="2">
        <v>35</v>
      </c>
      <c r="B1424" s="2" t="s">
        <v>43</v>
      </c>
      <c r="C1424" s="2" t="s">
        <v>36</v>
      </c>
      <c r="D1424" s="2">
        <v>1490</v>
      </c>
      <c r="E1424" s="2" t="s">
        <v>45</v>
      </c>
      <c r="F1424" s="2">
        <v>11</v>
      </c>
      <c r="G1424" s="2">
        <v>4</v>
      </c>
      <c r="H1424" s="2" t="s">
        <v>51</v>
      </c>
      <c r="I1424" s="2">
        <v>1</v>
      </c>
      <c r="J1424" s="2">
        <v>2003</v>
      </c>
      <c r="K1424" s="2">
        <v>4</v>
      </c>
      <c r="L1424" s="2" t="s">
        <v>46</v>
      </c>
      <c r="M1424" s="2">
        <v>43</v>
      </c>
      <c r="N1424" s="2">
        <v>3</v>
      </c>
      <c r="O1424" s="2">
        <v>1</v>
      </c>
      <c r="P1424" s="2" t="s">
        <v>50</v>
      </c>
      <c r="Q1424" s="2">
        <v>3</v>
      </c>
      <c r="R1424" s="2" t="s">
        <v>48</v>
      </c>
      <c r="S1424" s="2">
        <v>2660</v>
      </c>
      <c r="T1424" s="2">
        <v>20232</v>
      </c>
      <c r="U1424" s="2">
        <v>7</v>
      </c>
      <c r="V1424" s="2" t="s">
        <v>42</v>
      </c>
      <c r="W1424" s="2" t="s">
        <v>35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</row>
    <row r="1425" spans="1:35" x14ac:dyDescent="0.25">
      <c r="A1425" s="2">
        <v>22</v>
      </c>
      <c r="B1425" s="2" t="s">
        <v>43</v>
      </c>
      <c r="C1425" s="2" t="s">
        <v>36</v>
      </c>
      <c r="D1425" s="2">
        <v>581</v>
      </c>
      <c r="E1425" s="2" t="s">
        <v>45</v>
      </c>
      <c r="F1425" s="2">
        <v>1</v>
      </c>
      <c r="G1425" s="2">
        <v>2</v>
      </c>
      <c r="H1425" s="2" t="s">
        <v>38</v>
      </c>
      <c r="I1425" s="2">
        <v>1</v>
      </c>
      <c r="J1425" s="2">
        <v>2007</v>
      </c>
      <c r="K1425" s="2">
        <v>4</v>
      </c>
      <c r="L1425" s="2" t="s">
        <v>46</v>
      </c>
      <c r="M1425" s="2">
        <v>63</v>
      </c>
      <c r="N1425" s="2">
        <v>3</v>
      </c>
      <c r="O1425" s="2">
        <v>1</v>
      </c>
      <c r="P1425" s="2" t="s">
        <v>47</v>
      </c>
      <c r="Q1425" s="2">
        <v>3</v>
      </c>
      <c r="R1425" s="2" t="s">
        <v>41</v>
      </c>
      <c r="S1425" s="2">
        <v>3375</v>
      </c>
      <c r="T1425" s="2">
        <v>17624</v>
      </c>
      <c r="U1425" s="2">
        <v>0</v>
      </c>
      <c r="V1425" s="2" t="s">
        <v>42</v>
      </c>
      <c r="W1425" s="2" t="s">
        <v>43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</row>
    <row r="1426" spans="1:35" x14ac:dyDescent="0.25">
      <c r="A1426" s="2">
        <v>35</v>
      </c>
      <c r="B1426" s="2" t="s">
        <v>43</v>
      </c>
      <c r="C1426" s="2" t="s">
        <v>36</v>
      </c>
      <c r="D1426" s="2">
        <v>1395</v>
      </c>
      <c r="E1426" s="2" t="s">
        <v>45</v>
      </c>
      <c r="F1426" s="2">
        <v>9</v>
      </c>
      <c r="G1426" s="2">
        <v>4</v>
      </c>
      <c r="H1426" s="2" t="s">
        <v>51</v>
      </c>
      <c r="I1426" s="2">
        <v>1</v>
      </c>
      <c r="J1426" s="2">
        <v>2008</v>
      </c>
      <c r="K1426" s="2">
        <v>2</v>
      </c>
      <c r="L1426" s="2" t="s">
        <v>46</v>
      </c>
      <c r="M1426" s="2">
        <v>48</v>
      </c>
      <c r="N1426" s="2">
        <v>3</v>
      </c>
      <c r="O1426" s="2">
        <v>2</v>
      </c>
      <c r="P1426" s="2" t="s">
        <v>47</v>
      </c>
      <c r="Q1426" s="2">
        <v>3</v>
      </c>
      <c r="R1426" s="2" t="s">
        <v>41</v>
      </c>
      <c r="S1426" s="2">
        <v>5098</v>
      </c>
      <c r="T1426" s="2">
        <v>18698</v>
      </c>
      <c r="U1426" s="2">
        <v>1</v>
      </c>
      <c r="V1426" s="2" t="s">
        <v>42</v>
      </c>
      <c r="W1426" s="2" t="s">
        <v>43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</row>
    <row r="1427" spans="1:35" x14ac:dyDescent="0.25">
      <c r="A1427" s="2">
        <v>33</v>
      </c>
      <c r="B1427" s="2" t="s">
        <v>43</v>
      </c>
      <c r="C1427" s="2" t="s">
        <v>36</v>
      </c>
      <c r="D1427" s="2">
        <v>501</v>
      </c>
      <c r="E1427" s="2" t="s">
        <v>45</v>
      </c>
      <c r="F1427" s="2">
        <v>15</v>
      </c>
      <c r="G1427" s="2">
        <v>2</v>
      </c>
      <c r="H1427" s="2" t="s">
        <v>51</v>
      </c>
      <c r="I1427" s="2">
        <v>1</v>
      </c>
      <c r="J1427" s="2">
        <v>2009</v>
      </c>
      <c r="K1427" s="2">
        <v>2</v>
      </c>
      <c r="L1427" s="2" t="s">
        <v>39</v>
      </c>
      <c r="M1427" s="2">
        <v>95</v>
      </c>
      <c r="N1427" s="2">
        <v>3</v>
      </c>
      <c r="O1427" s="2">
        <v>2</v>
      </c>
      <c r="P1427" s="2" t="s">
        <v>54</v>
      </c>
      <c r="Q1427" s="2">
        <v>4</v>
      </c>
      <c r="R1427" s="2" t="s">
        <v>48</v>
      </c>
      <c r="S1427" s="2">
        <v>4878</v>
      </c>
      <c r="T1427" s="2">
        <v>21653</v>
      </c>
      <c r="U1427" s="2">
        <v>0</v>
      </c>
      <c r="V1427" s="2" t="s">
        <v>42</v>
      </c>
      <c r="W1427" s="2" t="s">
        <v>35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</row>
    <row r="1428" spans="1:35" x14ac:dyDescent="0.25">
      <c r="A1428" s="2">
        <v>32</v>
      </c>
      <c r="B1428" s="2" t="s">
        <v>43</v>
      </c>
      <c r="C1428" s="2" t="s">
        <v>36</v>
      </c>
      <c r="D1428" s="2">
        <v>267</v>
      </c>
      <c r="E1428" s="2" t="s">
        <v>45</v>
      </c>
      <c r="F1428" s="2">
        <v>29</v>
      </c>
      <c r="G1428" s="2">
        <v>4</v>
      </c>
      <c r="H1428" s="2" t="s">
        <v>38</v>
      </c>
      <c r="I1428" s="2">
        <v>1</v>
      </c>
      <c r="J1428" s="2">
        <v>2010</v>
      </c>
      <c r="K1428" s="2">
        <v>3</v>
      </c>
      <c r="L1428" s="2" t="s">
        <v>39</v>
      </c>
      <c r="M1428" s="2">
        <v>49</v>
      </c>
      <c r="N1428" s="2">
        <v>2</v>
      </c>
      <c r="O1428" s="2">
        <v>1</v>
      </c>
      <c r="P1428" s="2" t="s">
        <v>50</v>
      </c>
      <c r="Q1428" s="2">
        <v>2</v>
      </c>
      <c r="R1428" s="2" t="s">
        <v>41</v>
      </c>
      <c r="S1428" s="2">
        <v>2837</v>
      </c>
      <c r="T1428" s="2">
        <v>15919</v>
      </c>
      <c r="U1428" s="2">
        <v>1</v>
      </c>
      <c r="V1428" s="2" t="s">
        <v>42</v>
      </c>
      <c r="W1428" s="2" t="s">
        <v>43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</row>
    <row r="1429" spans="1:35" x14ac:dyDescent="0.25">
      <c r="A1429" s="2">
        <v>40</v>
      </c>
      <c r="B1429" s="2" t="s">
        <v>43</v>
      </c>
      <c r="C1429" s="2" t="s">
        <v>36</v>
      </c>
      <c r="D1429" s="2">
        <v>543</v>
      </c>
      <c r="E1429" s="2" t="s">
        <v>45</v>
      </c>
      <c r="F1429" s="2">
        <v>1</v>
      </c>
      <c r="G1429" s="2">
        <v>4</v>
      </c>
      <c r="H1429" s="2" t="s">
        <v>38</v>
      </c>
      <c r="I1429" s="2">
        <v>1</v>
      </c>
      <c r="J1429" s="2">
        <v>2012</v>
      </c>
      <c r="K1429" s="2">
        <v>1</v>
      </c>
      <c r="L1429" s="2" t="s">
        <v>46</v>
      </c>
      <c r="M1429" s="2">
        <v>83</v>
      </c>
      <c r="N1429" s="2">
        <v>3</v>
      </c>
      <c r="O1429" s="2">
        <v>1</v>
      </c>
      <c r="P1429" s="2" t="s">
        <v>50</v>
      </c>
      <c r="Q1429" s="2">
        <v>4</v>
      </c>
      <c r="R1429" s="2" t="s">
        <v>48</v>
      </c>
      <c r="S1429" s="2">
        <v>2406</v>
      </c>
      <c r="T1429" s="2">
        <v>4060</v>
      </c>
      <c r="U1429" s="2">
        <v>8</v>
      </c>
      <c r="V1429" s="2" t="s">
        <v>42</v>
      </c>
      <c r="W1429" s="2" t="s">
        <v>43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</row>
    <row r="1430" spans="1:35" x14ac:dyDescent="0.25">
      <c r="A1430" s="2">
        <v>32</v>
      </c>
      <c r="B1430" s="2" t="s">
        <v>43</v>
      </c>
      <c r="C1430" s="2" t="s">
        <v>36</v>
      </c>
      <c r="D1430" s="2">
        <v>234</v>
      </c>
      <c r="E1430" s="2" t="s">
        <v>37</v>
      </c>
      <c r="F1430" s="2">
        <v>1</v>
      </c>
      <c r="G1430" s="2">
        <v>4</v>
      </c>
      <c r="H1430" s="2" t="s">
        <v>51</v>
      </c>
      <c r="I1430" s="2">
        <v>1</v>
      </c>
      <c r="J1430" s="2">
        <v>2013</v>
      </c>
      <c r="K1430" s="2">
        <v>2</v>
      </c>
      <c r="L1430" s="2" t="s">
        <v>46</v>
      </c>
      <c r="M1430" s="2">
        <v>68</v>
      </c>
      <c r="N1430" s="2">
        <v>2</v>
      </c>
      <c r="O1430" s="2">
        <v>1</v>
      </c>
      <c r="P1430" s="2" t="s">
        <v>57</v>
      </c>
      <c r="Q1430" s="2">
        <v>2</v>
      </c>
      <c r="R1430" s="2" t="s">
        <v>48</v>
      </c>
      <c r="S1430" s="2">
        <v>2269</v>
      </c>
      <c r="T1430" s="2">
        <v>18024</v>
      </c>
      <c r="U1430" s="2">
        <v>0</v>
      </c>
      <c r="V1430" s="2" t="s">
        <v>42</v>
      </c>
      <c r="W1430" s="2" t="s">
        <v>43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</row>
    <row r="1431" spans="1:35" x14ac:dyDescent="0.25">
      <c r="A1431" s="2">
        <v>39</v>
      </c>
      <c r="B1431" s="2" t="s">
        <v>43</v>
      </c>
      <c r="C1431" s="2" t="s">
        <v>36</v>
      </c>
      <c r="D1431" s="2">
        <v>116</v>
      </c>
      <c r="E1431" s="2" t="s">
        <v>45</v>
      </c>
      <c r="F1431" s="2">
        <v>24</v>
      </c>
      <c r="G1431" s="2">
        <v>1</v>
      </c>
      <c r="H1431" s="2" t="s">
        <v>38</v>
      </c>
      <c r="I1431" s="2">
        <v>1</v>
      </c>
      <c r="J1431" s="2">
        <v>2014</v>
      </c>
      <c r="K1431" s="2">
        <v>1</v>
      </c>
      <c r="L1431" s="2" t="s">
        <v>46</v>
      </c>
      <c r="M1431" s="2">
        <v>52</v>
      </c>
      <c r="N1431" s="2">
        <v>3</v>
      </c>
      <c r="O1431" s="2">
        <v>2</v>
      </c>
      <c r="P1431" s="2" t="s">
        <v>47</v>
      </c>
      <c r="Q1431" s="2">
        <v>4</v>
      </c>
      <c r="R1431" s="2" t="s">
        <v>41</v>
      </c>
      <c r="S1431" s="2">
        <v>4108</v>
      </c>
      <c r="T1431" s="2">
        <v>5340</v>
      </c>
      <c r="U1431" s="2">
        <v>7</v>
      </c>
      <c r="V1431" s="2" t="s">
        <v>42</v>
      </c>
      <c r="W1431" s="2" t="s">
        <v>43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</row>
    <row r="1432" spans="1:35" x14ac:dyDescent="0.25">
      <c r="A1432" s="2">
        <v>38</v>
      </c>
      <c r="B1432" s="2" t="s">
        <v>43</v>
      </c>
      <c r="C1432" s="2" t="s">
        <v>36</v>
      </c>
      <c r="D1432" s="2">
        <v>201</v>
      </c>
      <c r="E1432" s="2" t="s">
        <v>45</v>
      </c>
      <c r="F1432" s="2">
        <v>10</v>
      </c>
      <c r="G1432" s="2">
        <v>3</v>
      </c>
      <c r="H1432" s="2" t="s">
        <v>51</v>
      </c>
      <c r="I1432" s="2">
        <v>1</v>
      </c>
      <c r="J1432" s="2">
        <v>2015</v>
      </c>
      <c r="K1432" s="2">
        <v>2</v>
      </c>
      <c r="L1432" s="2" t="s">
        <v>39</v>
      </c>
      <c r="M1432" s="2">
        <v>99</v>
      </c>
      <c r="N1432" s="2">
        <v>1</v>
      </c>
      <c r="O1432" s="2">
        <v>3</v>
      </c>
      <c r="P1432" s="2" t="s">
        <v>58</v>
      </c>
      <c r="Q1432" s="2">
        <v>3</v>
      </c>
      <c r="R1432" s="2" t="s">
        <v>48</v>
      </c>
      <c r="S1432" s="2">
        <v>13206</v>
      </c>
      <c r="T1432" s="2">
        <v>3376</v>
      </c>
      <c r="U1432" s="2">
        <v>3</v>
      </c>
      <c r="V1432" s="2" t="s">
        <v>42</v>
      </c>
      <c r="W1432" s="2" t="s">
        <v>43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</row>
    <row r="1433" spans="1:35" x14ac:dyDescent="0.25">
      <c r="A1433" s="2">
        <v>32</v>
      </c>
      <c r="B1433" s="2" t="s">
        <v>43</v>
      </c>
      <c r="C1433" s="2" t="s">
        <v>36</v>
      </c>
      <c r="D1433" s="2">
        <v>801</v>
      </c>
      <c r="E1433" s="2" t="s">
        <v>37</v>
      </c>
      <c r="F1433" s="2">
        <v>1</v>
      </c>
      <c r="G1433" s="2">
        <v>4</v>
      </c>
      <c r="H1433" s="2" t="s">
        <v>59</v>
      </c>
      <c r="I1433" s="2">
        <v>1</v>
      </c>
      <c r="J1433" s="2">
        <v>2016</v>
      </c>
      <c r="K1433" s="2">
        <v>3</v>
      </c>
      <c r="L1433" s="2" t="s">
        <v>39</v>
      </c>
      <c r="M1433" s="2">
        <v>48</v>
      </c>
      <c r="N1433" s="2">
        <v>3</v>
      </c>
      <c r="O1433" s="2">
        <v>3</v>
      </c>
      <c r="P1433" s="2" t="s">
        <v>40</v>
      </c>
      <c r="Q1433" s="2">
        <v>4</v>
      </c>
      <c r="R1433" s="2" t="s">
        <v>48</v>
      </c>
      <c r="S1433" s="2">
        <v>10422</v>
      </c>
      <c r="T1433" s="2">
        <v>24032</v>
      </c>
      <c r="U1433" s="2">
        <v>1</v>
      </c>
      <c r="V1433" s="2" t="s">
        <v>42</v>
      </c>
      <c r="W1433" s="2" t="s">
        <v>43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</row>
    <row r="1434" spans="1:35" x14ac:dyDescent="0.25">
      <c r="A1434" s="2">
        <v>37</v>
      </c>
      <c r="B1434" s="2" t="s">
        <v>43</v>
      </c>
      <c r="C1434" s="2" t="s">
        <v>36</v>
      </c>
      <c r="D1434" s="2">
        <v>161</v>
      </c>
      <c r="E1434" s="2" t="s">
        <v>45</v>
      </c>
      <c r="F1434" s="2">
        <v>10</v>
      </c>
      <c r="G1434" s="2">
        <v>3</v>
      </c>
      <c r="H1434" s="2" t="s">
        <v>38</v>
      </c>
      <c r="I1434" s="2">
        <v>1</v>
      </c>
      <c r="J1434" s="2">
        <v>2017</v>
      </c>
      <c r="K1434" s="2">
        <v>3</v>
      </c>
      <c r="L1434" s="2" t="s">
        <v>39</v>
      </c>
      <c r="M1434" s="2">
        <v>42</v>
      </c>
      <c r="N1434" s="2">
        <v>4</v>
      </c>
      <c r="O1434" s="2">
        <v>3</v>
      </c>
      <c r="P1434" s="2" t="s">
        <v>58</v>
      </c>
      <c r="Q1434" s="2">
        <v>4</v>
      </c>
      <c r="R1434" s="2" t="s">
        <v>48</v>
      </c>
      <c r="S1434" s="2">
        <v>13744</v>
      </c>
      <c r="T1434" s="2">
        <v>15471</v>
      </c>
      <c r="U1434" s="2">
        <v>1</v>
      </c>
      <c r="V1434" s="2" t="s">
        <v>42</v>
      </c>
      <c r="W1434" s="2" t="s">
        <v>35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</row>
    <row r="1435" spans="1:35" x14ac:dyDescent="0.25">
      <c r="A1435" s="2">
        <v>25</v>
      </c>
      <c r="B1435" s="2" t="s">
        <v>43</v>
      </c>
      <c r="C1435" s="2" t="s">
        <v>36</v>
      </c>
      <c r="D1435" s="2">
        <v>1382</v>
      </c>
      <c r="E1435" s="2" t="s">
        <v>37</v>
      </c>
      <c r="F1435" s="2">
        <v>8</v>
      </c>
      <c r="G1435" s="2">
        <v>2</v>
      </c>
      <c r="H1435" s="2" t="s">
        <v>49</v>
      </c>
      <c r="I1435" s="2">
        <v>1</v>
      </c>
      <c r="J1435" s="2">
        <v>2018</v>
      </c>
      <c r="K1435" s="2">
        <v>1</v>
      </c>
      <c r="L1435" s="2" t="s">
        <v>39</v>
      </c>
      <c r="M1435" s="2">
        <v>85</v>
      </c>
      <c r="N1435" s="2">
        <v>3</v>
      </c>
      <c r="O1435" s="2">
        <v>2</v>
      </c>
      <c r="P1435" s="2" t="s">
        <v>40</v>
      </c>
      <c r="Q1435" s="2">
        <v>3</v>
      </c>
      <c r="R1435" s="2" t="s">
        <v>52</v>
      </c>
      <c r="S1435" s="2">
        <v>4907</v>
      </c>
      <c r="T1435" s="2">
        <v>13684</v>
      </c>
      <c r="U1435" s="2">
        <v>0</v>
      </c>
      <c r="V1435" s="2" t="s">
        <v>42</v>
      </c>
      <c r="W1435" s="2" t="s">
        <v>35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</row>
    <row r="1436" spans="1:35" x14ac:dyDescent="0.25">
      <c r="A1436" s="2">
        <v>52</v>
      </c>
      <c r="B1436" s="2" t="s">
        <v>43</v>
      </c>
      <c r="C1436" s="2" t="s">
        <v>55</v>
      </c>
      <c r="D1436" s="2">
        <v>585</v>
      </c>
      <c r="E1436" s="2" t="s">
        <v>37</v>
      </c>
      <c r="F1436" s="2">
        <v>29</v>
      </c>
      <c r="G1436" s="2">
        <v>4</v>
      </c>
      <c r="H1436" s="2" t="s">
        <v>38</v>
      </c>
      <c r="I1436" s="2">
        <v>1</v>
      </c>
      <c r="J1436" s="2">
        <v>2019</v>
      </c>
      <c r="K1436" s="2">
        <v>1</v>
      </c>
      <c r="L1436" s="2" t="s">
        <v>46</v>
      </c>
      <c r="M1436" s="2">
        <v>40</v>
      </c>
      <c r="N1436" s="2">
        <v>3</v>
      </c>
      <c r="O1436" s="2">
        <v>1</v>
      </c>
      <c r="P1436" s="2" t="s">
        <v>57</v>
      </c>
      <c r="Q1436" s="2">
        <v>4</v>
      </c>
      <c r="R1436" s="2" t="s">
        <v>52</v>
      </c>
      <c r="S1436" s="2">
        <v>3482</v>
      </c>
      <c r="T1436" s="2">
        <v>19788</v>
      </c>
      <c r="U1436" s="2">
        <v>2</v>
      </c>
      <c r="V1436" s="2" t="s">
        <v>42</v>
      </c>
      <c r="W1436" s="2" t="s">
        <v>43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</row>
    <row r="1437" spans="1:35" x14ac:dyDescent="0.25">
      <c r="A1437" s="2">
        <v>44</v>
      </c>
      <c r="B1437" s="2" t="s">
        <v>43</v>
      </c>
      <c r="C1437" s="2" t="s">
        <v>36</v>
      </c>
      <c r="D1437" s="2">
        <v>1037</v>
      </c>
      <c r="E1437" s="2" t="s">
        <v>45</v>
      </c>
      <c r="F1437" s="2">
        <v>1</v>
      </c>
      <c r="G1437" s="2">
        <v>3</v>
      </c>
      <c r="H1437" s="2" t="s">
        <v>51</v>
      </c>
      <c r="I1437" s="2">
        <v>1</v>
      </c>
      <c r="J1437" s="2">
        <v>2020</v>
      </c>
      <c r="K1437" s="2">
        <v>2</v>
      </c>
      <c r="L1437" s="2" t="s">
        <v>46</v>
      </c>
      <c r="M1437" s="2">
        <v>42</v>
      </c>
      <c r="N1437" s="2">
        <v>3</v>
      </c>
      <c r="O1437" s="2">
        <v>1</v>
      </c>
      <c r="P1437" s="2" t="s">
        <v>47</v>
      </c>
      <c r="Q1437" s="2">
        <v>4</v>
      </c>
      <c r="R1437" s="2" t="s">
        <v>41</v>
      </c>
      <c r="S1437" s="2">
        <v>2436</v>
      </c>
      <c r="T1437" s="2">
        <v>13422</v>
      </c>
      <c r="U1437" s="2">
        <v>6</v>
      </c>
      <c r="V1437" s="2" t="s">
        <v>42</v>
      </c>
      <c r="W1437" s="2" t="s">
        <v>35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</row>
    <row r="1438" spans="1:35" x14ac:dyDescent="0.25">
      <c r="A1438" s="2">
        <v>21</v>
      </c>
      <c r="B1438" s="2" t="s">
        <v>43</v>
      </c>
      <c r="C1438" s="2" t="s">
        <v>36</v>
      </c>
      <c r="D1438" s="2">
        <v>501</v>
      </c>
      <c r="E1438" s="2" t="s">
        <v>37</v>
      </c>
      <c r="F1438" s="2">
        <v>5</v>
      </c>
      <c r="G1438" s="2">
        <v>1</v>
      </c>
      <c r="H1438" s="2" t="s">
        <v>51</v>
      </c>
      <c r="I1438" s="2">
        <v>1</v>
      </c>
      <c r="J1438" s="2">
        <v>2021</v>
      </c>
      <c r="K1438" s="2">
        <v>3</v>
      </c>
      <c r="L1438" s="2" t="s">
        <v>46</v>
      </c>
      <c r="M1438" s="2">
        <v>58</v>
      </c>
      <c r="N1438" s="2">
        <v>3</v>
      </c>
      <c r="O1438" s="2">
        <v>1</v>
      </c>
      <c r="P1438" s="2" t="s">
        <v>57</v>
      </c>
      <c r="Q1438" s="2">
        <v>1</v>
      </c>
      <c r="R1438" s="2" t="s">
        <v>41</v>
      </c>
      <c r="S1438" s="2">
        <v>2380</v>
      </c>
      <c r="T1438" s="2">
        <v>25479</v>
      </c>
      <c r="U1438" s="2">
        <v>1</v>
      </c>
      <c r="V1438" s="2" t="s">
        <v>42</v>
      </c>
      <c r="W1438" s="2" t="s">
        <v>35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</row>
    <row r="1439" spans="1:35" x14ac:dyDescent="0.25">
      <c r="A1439" s="2">
        <v>39</v>
      </c>
      <c r="B1439" s="2" t="s">
        <v>43</v>
      </c>
      <c r="C1439" s="2" t="s">
        <v>55</v>
      </c>
      <c r="D1439" s="2">
        <v>105</v>
      </c>
      <c r="E1439" s="2" t="s">
        <v>45</v>
      </c>
      <c r="F1439" s="2">
        <v>9</v>
      </c>
      <c r="G1439" s="2">
        <v>3</v>
      </c>
      <c r="H1439" s="2" t="s">
        <v>38</v>
      </c>
      <c r="I1439" s="2">
        <v>1</v>
      </c>
      <c r="J1439" s="2">
        <v>2022</v>
      </c>
      <c r="K1439" s="2">
        <v>4</v>
      </c>
      <c r="L1439" s="2" t="s">
        <v>46</v>
      </c>
      <c r="M1439" s="2">
        <v>87</v>
      </c>
      <c r="N1439" s="2">
        <v>3</v>
      </c>
      <c r="O1439" s="2">
        <v>5</v>
      </c>
      <c r="P1439" s="2" t="s">
        <v>56</v>
      </c>
      <c r="Q1439" s="2">
        <v>4</v>
      </c>
      <c r="R1439" s="2" t="s">
        <v>41</v>
      </c>
      <c r="S1439" s="2">
        <v>19431</v>
      </c>
      <c r="T1439" s="2">
        <v>15302</v>
      </c>
      <c r="U1439" s="2">
        <v>2</v>
      </c>
      <c r="V1439" s="2" t="s">
        <v>42</v>
      </c>
      <c r="W1439" s="2" t="s">
        <v>43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</row>
    <row r="1440" spans="1:35" x14ac:dyDescent="0.25">
      <c r="A1440" s="2">
        <v>23</v>
      </c>
      <c r="B1440" s="2" t="s">
        <v>35</v>
      </c>
      <c r="C1440" s="2" t="s">
        <v>44</v>
      </c>
      <c r="D1440" s="2">
        <v>638</v>
      </c>
      <c r="E1440" s="2" t="s">
        <v>37</v>
      </c>
      <c r="F1440" s="2">
        <v>9</v>
      </c>
      <c r="G1440" s="2">
        <v>3</v>
      </c>
      <c r="H1440" s="2" t="s">
        <v>59</v>
      </c>
      <c r="I1440" s="2">
        <v>1</v>
      </c>
      <c r="J1440" s="2">
        <v>2023</v>
      </c>
      <c r="K1440" s="2">
        <v>4</v>
      </c>
      <c r="L1440" s="2" t="s">
        <v>46</v>
      </c>
      <c r="M1440" s="2">
        <v>33</v>
      </c>
      <c r="N1440" s="2">
        <v>3</v>
      </c>
      <c r="O1440" s="2">
        <v>1</v>
      </c>
      <c r="P1440" s="2" t="s">
        <v>57</v>
      </c>
      <c r="Q1440" s="2">
        <v>1</v>
      </c>
      <c r="R1440" s="2" t="s">
        <v>48</v>
      </c>
      <c r="S1440" s="2">
        <v>1790</v>
      </c>
      <c r="T1440" s="2">
        <v>26956</v>
      </c>
      <c r="U1440" s="2">
        <v>1</v>
      </c>
      <c r="V1440" s="2" t="s">
        <v>42</v>
      </c>
      <c r="W1440" s="2" t="s">
        <v>43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</row>
    <row r="1441" spans="1:35" x14ac:dyDescent="0.25">
      <c r="A1441" s="2">
        <v>36</v>
      </c>
      <c r="B1441" s="2" t="s">
        <v>43</v>
      </c>
      <c r="C1441" s="2" t="s">
        <v>36</v>
      </c>
      <c r="D1441" s="2">
        <v>557</v>
      </c>
      <c r="E1441" s="2" t="s">
        <v>37</v>
      </c>
      <c r="F1441" s="2">
        <v>3</v>
      </c>
      <c r="G1441" s="2">
        <v>3</v>
      </c>
      <c r="H1441" s="2" t="s">
        <v>51</v>
      </c>
      <c r="I1441" s="2">
        <v>1</v>
      </c>
      <c r="J1441" s="2">
        <v>2024</v>
      </c>
      <c r="K1441" s="2">
        <v>1</v>
      </c>
      <c r="L1441" s="2" t="s">
        <v>39</v>
      </c>
      <c r="M1441" s="2">
        <v>94</v>
      </c>
      <c r="N1441" s="2">
        <v>2</v>
      </c>
      <c r="O1441" s="2">
        <v>3</v>
      </c>
      <c r="P1441" s="2" t="s">
        <v>40</v>
      </c>
      <c r="Q1441" s="2">
        <v>4</v>
      </c>
      <c r="R1441" s="2" t="s">
        <v>48</v>
      </c>
      <c r="S1441" s="2">
        <v>7644</v>
      </c>
      <c r="T1441" s="2">
        <v>12695</v>
      </c>
      <c r="U1441" s="2">
        <v>0</v>
      </c>
      <c r="V1441" s="2" t="s">
        <v>42</v>
      </c>
      <c r="W1441" s="2" t="s">
        <v>43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</row>
    <row r="1442" spans="1:35" x14ac:dyDescent="0.25">
      <c r="A1442" s="2">
        <v>36</v>
      </c>
      <c r="B1442" s="2" t="s">
        <v>43</v>
      </c>
      <c r="C1442" s="2" t="s">
        <v>44</v>
      </c>
      <c r="D1442" s="2">
        <v>688</v>
      </c>
      <c r="E1442" s="2" t="s">
        <v>45</v>
      </c>
      <c r="F1442" s="2">
        <v>4</v>
      </c>
      <c r="G1442" s="2">
        <v>2</v>
      </c>
      <c r="H1442" s="2" t="s">
        <v>38</v>
      </c>
      <c r="I1442" s="2">
        <v>1</v>
      </c>
      <c r="J1442" s="2">
        <v>2025</v>
      </c>
      <c r="K1442" s="2">
        <v>4</v>
      </c>
      <c r="L1442" s="2" t="s">
        <v>39</v>
      </c>
      <c r="M1442" s="2">
        <v>97</v>
      </c>
      <c r="N1442" s="2">
        <v>3</v>
      </c>
      <c r="O1442" s="2">
        <v>2</v>
      </c>
      <c r="P1442" s="2" t="s">
        <v>53</v>
      </c>
      <c r="Q1442" s="2">
        <v>2</v>
      </c>
      <c r="R1442" s="2" t="s">
        <v>52</v>
      </c>
      <c r="S1442" s="2">
        <v>5131</v>
      </c>
      <c r="T1442" s="2">
        <v>9192</v>
      </c>
      <c r="U1442" s="2">
        <v>7</v>
      </c>
      <c r="V1442" s="2" t="s">
        <v>42</v>
      </c>
      <c r="W1442" s="2" t="s">
        <v>43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</row>
    <row r="1443" spans="1:35" x14ac:dyDescent="0.25">
      <c r="A1443" s="2">
        <v>56</v>
      </c>
      <c r="B1443" s="2" t="s">
        <v>43</v>
      </c>
      <c r="C1443" s="2" t="s">
        <v>55</v>
      </c>
      <c r="D1443" s="2">
        <v>667</v>
      </c>
      <c r="E1443" s="2" t="s">
        <v>45</v>
      </c>
      <c r="F1443" s="2">
        <v>1</v>
      </c>
      <c r="G1443" s="2">
        <v>4</v>
      </c>
      <c r="H1443" s="2" t="s">
        <v>38</v>
      </c>
      <c r="I1443" s="2">
        <v>1</v>
      </c>
      <c r="J1443" s="2">
        <v>2026</v>
      </c>
      <c r="K1443" s="2">
        <v>3</v>
      </c>
      <c r="L1443" s="2" t="s">
        <v>46</v>
      </c>
      <c r="M1443" s="2">
        <v>57</v>
      </c>
      <c r="N1443" s="2">
        <v>3</v>
      </c>
      <c r="O1443" s="2">
        <v>2</v>
      </c>
      <c r="P1443" s="2" t="s">
        <v>54</v>
      </c>
      <c r="Q1443" s="2">
        <v>3</v>
      </c>
      <c r="R1443" s="2" t="s">
        <v>52</v>
      </c>
      <c r="S1443" s="2">
        <v>6306</v>
      </c>
      <c r="T1443" s="2">
        <v>26236</v>
      </c>
      <c r="U1443" s="2">
        <v>1</v>
      </c>
      <c r="V1443" s="2" t="s">
        <v>42</v>
      </c>
      <c r="W1443" s="2" t="s">
        <v>43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</row>
    <row r="1444" spans="1:35" x14ac:dyDescent="0.25">
      <c r="A1444" s="2">
        <v>29</v>
      </c>
      <c r="B1444" s="2" t="s">
        <v>35</v>
      </c>
      <c r="C1444" s="2" t="s">
        <v>36</v>
      </c>
      <c r="D1444" s="2">
        <v>1092</v>
      </c>
      <c r="E1444" s="2" t="s">
        <v>45</v>
      </c>
      <c r="F1444" s="2">
        <v>1</v>
      </c>
      <c r="G1444" s="2">
        <v>4</v>
      </c>
      <c r="H1444" s="2" t="s">
        <v>51</v>
      </c>
      <c r="I1444" s="2">
        <v>1</v>
      </c>
      <c r="J1444" s="2">
        <v>2027</v>
      </c>
      <c r="K1444" s="2">
        <v>1</v>
      </c>
      <c r="L1444" s="2" t="s">
        <v>46</v>
      </c>
      <c r="M1444" s="2">
        <v>36</v>
      </c>
      <c r="N1444" s="2">
        <v>3</v>
      </c>
      <c r="O1444" s="2">
        <v>1</v>
      </c>
      <c r="P1444" s="2" t="s">
        <v>47</v>
      </c>
      <c r="Q1444" s="2">
        <v>4</v>
      </c>
      <c r="R1444" s="2" t="s">
        <v>48</v>
      </c>
      <c r="S1444" s="2">
        <v>4787</v>
      </c>
      <c r="T1444" s="2">
        <v>26124</v>
      </c>
      <c r="U1444" s="2">
        <v>9</v>
      </c>
      <c r="V1444" s="2" t="s">
        <v>42</v>
      </c>
      <c r="W1444" s="2" t="s">
        <v>35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</row>
    <row r="1445" spans="1:35" x14ac:dyDescent="0.25">
      <c r="A1445" s="2">
        <v>42</v>
      </c>
      <c r="B1445" s="2" t="s">
        <v>43</v>
      </c>
      <c r="C1445" s="2" t="s">
        <v>36</v>
      </c>
      <c r="D1445" s="2">
        <v>300</v>
      </c>
      <c r="E1445" s="2" t="s">
        <v>45</v>
      </c>
      <c r="F1445" s="2">
        <v>2</v>
      </c>
      <c r="G1445" s="2">
        <v>3</v>
      </c>
      <c r="H1445" s="2" t="s">
        <v>38</v>
      </c>
      <c r="I1445" s="2">
        <v>1</v>
      </c>
      <c r="J1445" s="2">
        <v>2031</v>
      </c>
      <c r="K1445" s="2">
        <v>1</v>
      </c>
      <c r="L1445" s="2" t="s">
        <v>46</v>
      </c>
      <c r="M1445" s="2">
        <v>56</v>
      </c>
      <c r="N1445" s="2">
        <v>3</v>
      </c>
      <c r="O1445" s="2">
        <v>5</v>
      </c>
      <c r="P1445" s="2" t="s">
        <v>56</v>
      </c>
      <c r="Q1445" s="2">
        <v>3</v>
      </c>
      <c r="R1445" s="2" t="s">
        <v>48</v>
      </c>
      <c r="S1445" s="2">
        <v>18880</v>
      </c>
      <c r="T1445" s="2">
        <v>17312</v>
      </c>
      <c r="U1445" s="2">
        <v>5</v>
      </c>
      <c r="V1445" s="2" t="s">
        <v>42</v>
      </c>
      <c r="W1445" s="2" t="s">
        <v>43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</row>
    <row r="1446" spans="1:35" x14ac:dyDescent="0.25">
      <c r="A1446" s="2">
        <v>56</v>
      </c>
      <c r="B1446" s="2" t="s">
        <v>35</v>
      </c>
      <c r="C1446" s="2" t="s">
        <v>36</v>
      </c>
      <c r="D1446" s="2">
        <v>310</v>
      </c>
      <c r="E1446" s="2" t="s">
        <v>45</v>
      </c>
      <c r="F1446" s="2">
        <v>7</v>
      </c>
      <c r="G1446" s="2">
        <v>2</v>
      </c>
      <c r="H1446" s="2" t="s">
        <v>60</v>
      </c>
      <c r="I1446" s="2">
        <v>1</v>
      </c>
      <c r="J1446" s="2">
        <v>2032</v>
      </c>
      <c r="K1446" s="2">
        <v>4</v>
      </c>
      <c r="L1446" s="2" t="s">
        <v>46</v>
      </c>
      <c r="M1446" s="2">
        <v>72</v>
      </c>
      <c r="N1446" s="2">
        <v>3</v>
      </c>
      <c r="O1446" s="2">
        <v>1</v>
      </c>
      <c r="P1446" s="2" t="s">
        <v>50</v>
      </c>
      <c r="Q1446" s="2">
        <v>3</v>
      </c>
      <c r="R1446" s="2" t="s">
        <v>48</v>
      </c>
      <c r="S1446" s="2">
        <v>2339</v>
      </c>
      <c r="T1446" s="2">
        <v>3666</v>
      </c>
      <c r="U1446" s="2">
        <v>8</v>
      </c>
      <c r="V1446" s="2" t="s">
        <v>42</v>
      </c>
      <c r="W1446" s="2" t="s">
        <v>43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</row>
    <row r="1447" spans="1:35" x14ac:dyDescent="0.25">
      <c r="A1447" s="2">
        <v>41</v>
      </c>
      <c r="B1447" s="2" t="s">
        <v>43</v>
      </c>
      <c r="C1447" s="2" t="s">
        <v>36</v>
      </c>
      <c r="D1447" s="2">
        <v>582</v>
      </c>
      <c r="E1447" s="2" t="s">
        <v>45</v>
      </c>
      <c r="F1447" s="2">
        <v>28</v>
      </c>
      <c r="G1447" s="2">
        <v>4</v>
      </c>
      <c r="H1447" s="2" t="s">
        <v>38</v>
      </c>
      <c r="I1447" s="2">
        <v>1</v>
      </c>
      <c r="J1447" s="2">
        <v>2034</v>
      </c>
      <c r="K1447" s="2">
        <v>1</v>
      </c>
      <c r="L1447" s="2" t="s">
        <v>39</v>
      </c>
      <c r="M1447" s="2">
        <v>60</v>
      </c>
      <c r="N1447" s="2">
        <v>2</v>
      </c>
      <c r="O1447" s="2">
        <v>4</v>
      </c>
      <c r="P1447" s="2" t="s">
        <v>53</v>
      </c>
      <c r="Q1447" s="2">
        <v>2</v>
      </c>
      <c r="R1447" s="2" t="s">
        <v>48</v>
      </c>
      <c r="S1447" s="2">
        <v>13570</v>
      </c>
      <c r="T1447" s="2">
        <v>5640</v>
      </c>
      <c r="U1447" s="2">
        <v>0</v>
      </c>
      <c r="V1447" s="2" t="s">
        <v>42</v>
      </c>
      <c r="W1447" s="2" t="s">
        <v>43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</row>
    <row r="1448" spans="1:35" x14ac:dyDescent="0.25">
      <c r="A1448" s="2">
        <v>34</v>
      </c>
      <c r="B1448" s="2" t="s">
        <v>43</v>
      </c>
      <c r="C1448" s="2" t="s">
        <v>36</v>
      </c>
      <c r="D1448" s="2">
        <v>704</v>
      </c>
      <c r="E1448" s="2" t="s">
        <v>37</v>
      </c>
      <c r="F1448" s="2">
        <v>28</v>
      </c>
      <c r="G1448" s="2">
        <v>3</v>
      </c>
      <c r="H1448" s="2" t="s">
        <v>59</v>
      </c>
      <c r="I1448" s="2">
        <v>1</v>
      </c>
      <c r="J1448" s="2">
        <v>2035</v>
      </c>
      <c r="K1448" s="2">
        <v>4</v>
      </c>
      <c r="L1448" s="2" t="s">
        <v>39</v>
      </c>
      <c r="M1448" s="2">
        <v>95</v>
      </c>
      <c r="N1448" s="2">
        <v>2</v>
      </c>
      <c r="O1448" s="2">
        <v>2</v>
      </c>
      <c r="P1448" s="2" t="s">
        <v>40</v>
      </c>
      <c r="Q1448" s="2">
        <v>3</v>
      </c>
      <c r="R1448" s="2" t="s">
        <v>48</v>
      </c>
      <c r="S1448" s="2">
        <v>6712</v>
      </c>
      <c r="T1448" s="2">
        <v>8978</v>
      </c>
      <c r="U1448" s="2">
        <v>1</v>
      </c>
      <c r="V1448" s="2" t="s">
        <v>42</v>
      </c>
      <c r="W1448" s="2" t="s">
        <v>43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</row>
    <row r="1449" spans="1:35" x14ac:dyDescent="0.25">
      <c r="A1449" s="2">
        <v>36</v>
      </c>
      <c r="B1449" s="2" t="s">
        <v>43</v>
      </c>
      <c r="C1449" s="2" t="s">
        <v>55</v>
      </c>
      <c r="D1449" s="2">
        <v>301</v>
      </c>
      <c r="E1449" s="2" t="s">
        <v>37</v>
      </c>
      <c r="F1449" s="2">
        <v>15</v>
      </c>
      <c r="G1449" s="2">
        <v>4</v>
      </c>
      <c r="H1449" s="2" t="s">
        <v>59</v>
      </c>
      <c r="I1449" s="2">
        <v>1</v>
      </c>
      <c r="J1449" s="2">
        <v>2036</v>
      </c>
      <c r="K1449" s="2">
        <v>4</v>
      </c>
      <c r="L1449" s="2" t="s">
        <v>46</v>
      </c>
      <c r="M1449" s="2">
        <v>88</v>
      </c>
      <c r="N1449" s="2">
        <v>1</v>
      </c>
      <c r="O1449" s="2">
        <v>2</v>
      </c>
      <c r="P1449" s="2" t="s">
        <v>40</v>
      </c>
      <c r="Q1449" s="2">
        <v>4</v>
      </c>
      <c r="R1449" s="2" t="s">
        <v>52</v>
      </c>
      <c r="S1449" s="2">
        <v>5406</v>
      </c>
      <c r="T1449" s="2">
        <v>10436</v>
      </c>
      <c r="U1449" s="2">
        <v>1</v>
      </c>
      <c r="V1449" s="2" t="s">
        <v>42</v>
      </c>
      <c r="W1449" s="2" t="s">
        <v>43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</row>
    <row r="1450" spans="1:35" x14ac:dyDescent="0.25">
      <c r="A1450" s="2">
        <v>41</v>
      </c>
      <c r="B1450" s="2" t="s">
        <v>43</v>
      </c>
      <c r="C1450" s="2" t="s">
        <v>36</v>
      </c>
      <c r="D1450" s="2">
        <v>930</v>
      </c>
      <c r="E1450" s="2" t="s">
        <v>37</v>
      </c>
      <c r="F1450" s="2">
        <v>3</v>
      </c>
      <c r="G1450" s="2">
        <v>3</v>
      </c>
      <c r="H1450" s="2" t="s">
        <v>38</v>
      </c>
      <c r="I1450" s="2">
        <v>1</v>
      </c>
      <c r="J1450" s="2">
        <v>2037</v>
      </c>
      <c r="K1450" s="2">
        <v>3</v>
      </c>
      <c r="L1450" s="2" t="s">
        <v>46</v>
      </c>
      <c r="M1450" s="2">
        <v>57</v>
      </c>
      <c r="N1450" s="2">
        <v>2</v>
      </c>
      <c r="O1450" s="2">
        <v>2</v>
      </c>
      <c r="P1450" s="2" t="s">
        <v>40</v>
      </c>
      <c r="Q1450" s="2">
        <v>2</v>
      </c>
      <c r="R1450" s="2" t="s">
        <v>52</v>
      </c>
      <c r="S1450" s="2">
        <v>8938</v>
      </c>
      <c r="T1450" s="2">
        <v>12227</v>
      </c>
      <c r="U1450" s="2">
        <v>2</v>
      </c>
      <c r="V1450" s="2" t="s">
        <v>42</v>
      </c>
      <c r="W1450" s="2" t="s">
        <v>43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</row>
    <row r="1451" spans="1:35" x14ac:dyDescent="0.25">
      <c r="A1451" s="2">
        <v>32</v>
      </c>
      <c r="B1451" s="2" t="s">
        <v>43</v>
      </c>
      <c r="C1451" s="2" t="s">
        <v>36</v>
      </c>
      <c r="D1451" s="2">
        <v>529</v>
      </c>
      <c r="E1451" s="2" t="s">
        <v>45</v>
      </c>
      <c r="F1451" s="2">
        <v>2</v>
      </c>
      <c r="G1451" s="2">
        <v>3</v>
      </c>
      <c r="H1451" s="2" t="s">
        <v>60</v>
      </c>
      <c r="I1451" s="2">
        <v>1</v>
      </c>
      <c r="J1451" s="2">
        <v>2038</v>
      </c>
      <c r="K1451" s="2">
        <v>4</v>
      </c>
      <c r="L1451" s="2" t="s">
        <v>46</v>
      </c>
      <c r="M1451" s="2">
        <v>78</v>
      </c>
      <c r="N1451" s="2">
        <v>3</v>
      </c>
      <c r="O1451" s="2">
        <v>1</v>
      </c>
      <c r="P1451" s="2" t="s">
        <v>47</v>
      </c>
      <c r="Q1451" s="2">
        <v>1</v>
      </c>
      <c r="R1451" s="2" t="s">
        <v>41</v>
      </c>
      <c r="S1451" s="2">
        <v>2439</v>
      </c>
      <c r="T1451" s="2">
        <v>11288</v>
      </c>
      <c r="U1451" s="2">
        <v>1</v>
      </c>
      <c r="V1451" s="2" t="s">
        <v>42</v>
      </c>
      <c r="W1451" s="2" t="s">
        <v>43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</row>
    <row r="1452" spans="1:35" x14ac:dyDescent="0.25">
      <c r="A1452" s="2">
        <v>35</v>
      </c>
      <c r="B1452" s="2" t="s">
        <v>43</v>
      </c>
      <c r="C1452" s="2" t="s">
        <v>36</v>
      </c>
      <c r="D1452" s="2">
        <v>1146</v>
      </c>
      <c r="E1452" s="2" t="s">
        <v>61</v>
      </c>
      <c r="F1452" s="2">
        <v>26</v>
      </c>
      <c r="G1452" s="2">
        <v>4</v>
      </c>
      <c r="H1452" s="2" t="s">
        <v>38</v>
      </c>
      <c r="I1452" s="2">
        <v>1</v>
      </c>
      <c r="J1452" s="2">
        <v>2040</v>
      </c>
      <c r="K1452" s="2">
        <v>3</v>
      </c>
      <c r="L1452" s="2" t="s">
        <v>39</v>
      </c>
      <c r="M1452" s="2">
        <v>31</v>
      </c>
      <c r="N1452" s="2">
        <v>3</v>
      </c>
      <c r="O1452" s="2">
        <v>3</v>
      </c>
      <c r="P1452" s="2" t="s">
        <v>61</v>
      </c>
      <c r="Q1452" s="2">
        <v>4</v>
      </c>
      <c r="R1452" s="2" t="s">
        <v>41</v>
      </c>
      <c r="S1452" s="2">
        <v>8837</v>
      </c>
      <c r="T1452" s="2">
        <v>16642</v>
      </c>
      <c r="U1452" s="2">
        <v>1</v>
      </c>
      <c r="V1452" s="2" t="s">
        <v>42</v>
      </c>
      <c r="W1452" s="2" t="s">
        <v>35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</row>
    <row r="1453" spans="1:35" x14ac:dyDescent="0.25">
      <c r="A1453" s="2">
        <v>38</v>
      </c>
      <c r="B1453" s="2" t="s">
        <v>43</v>
      </c>
      <c r="C1453" s="2" t="s">
        <v>36</v>
      </c>
      <c r="D1453" s="2">
        <v>345</v>
      </c>
      <c r="E1453" s="2" t="s">
        <v>37</v>
      </c>
      <c r="F1453" s="2">
        <v>10</v>
      </c>
      <c r="G1453" s="2">
        <v>2</v>
      </c>
      <c r="H1453" s="2" t="s">
        <v>38</v>
      </c>
      <c r="I1453" s="2">
        <v>1</v>
      </c>
      <c r="J1453" s="2">
        <v>2041</v>
      </c>
      <c r="K1453" s="2">
        <v>1</v>
      </c>
      <c r="L1453" s="2" t="s">
        <v>39</v>
      </c>
      <c r="M1453" s="2">
        <v>100</v>
      </c>
      <c r="N1453" s="2">
        <v>3</v>
      </c>
      <c r="O1453" s="2">
        <v>2</v>
      </c>
      <c r="P1453" s="2" t="s">
        <v>40</v>
      </c>
      <c r="Q1453" s="2">
        <v>4</v>
      </c>
      <c r="R1453" s="2" t="s">
        <v>48</v>
      </c>
      <c r="S1453" s="2">
        <v>5343</v>
      </c>
      <c r="T1453" s="2">
        <v>5982</v>
      </c>
      <c r="U1453" s="2">
        <v>1</v>
      </c>
      <c r="V1453" s="2" t="s">
        <v>42</v>
      </c>
      <c r="W1453" s="2" t="s">
        <v>43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</row>
    <row r="1454" spans="1:35" x14ac:dyDescent="0.25">
      <c r="A1454" s="2">
        <v>50</v>
      </c>
      <c r="B1454" s="2" t="s">
        <v>35</v>
      </c>
      <c r="C1454" s="2" t="s">
        <v>44</v>
      </c>
      <c r="D1454" s="2">
        <v>878</v>
      </c>
      <c r="E1454" s="2" t="s">
        <v>37</v>
      </c>
      <c r="F1454" s="2">
        <v>1</v>
      </c>
      <c r="G1454" s="2">
        <v>4</v>
      </c>
      <c r="H1454" s="2" t="s">
        <v>38</v>
      </c>
      <c r="I1454" s="2">
        <v>1</v>
      </c>
      <c r="J1454" s="2">
        <v>2044</v>
      </c>
      <c r="K1454" s="2">
        <v>2</v>
      </c>
      <c r="L1454" s="2" t="s">
        <v>46</v>
      </c>
      <c r="M1454" s="2">
        <v>94</v>
      </c>
      <c r="N1454" s="2">
        <v>3</v>
      </c>
      <c r="O1454" s="2">
        <v>2</v>
      </c>
      <c r="P1454" s="2" t="s">
        <v>40</v>
      </c>
      <c r="Q1454" s="2">
        <v>3</v>
      </c>
      <c r="R1454" s="2" t="s">
        <v>52</v>
      </c>
      <c r="S1454" s="2">
        <v>6728</v>
      </c>
      <c r="T1454" s="2">
        <v>14255</v>
      </c>
      <c r="U1454" s="2">
        <v>7</v>
      </c>
      <c r="V1454" s="2" t="s">
        <v>42</v>
      </c>
      <c r="W1454" s="2" t="s">
        <v>43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</row>
    <row r="1455" spans="1:35" x14ac:dyDescent="0.25">
      <c r="A1455" s="2">
        <v>36</v>
      </c>
      <c r="B1455" s="2" t="s">
        <v>43</v>
      </c>
      <c r="C1455" s="2" t="s">
        <v>36</v>
      </c>
      <c r="D1455" s="2">
        <v>1120</v>
      </c>
      <c r="E1455" s="2" t="s">
        <v>37</v>
      </c>
      <c r="F1455" s="2">
        <v>11</v>
      </c>
      <c r="G1455" s="2">
        <v>4</v>
      </c>
      <c r="H1455" s="2" t="s">
        <v>59</v>
      </c>
      <c r="I1455" s="2">
        <v>1</v>
      </c>
      <c r="J1455" s="2">
        <v>2045</v>
      </c>
      <c r="K1455" s="2">
        <v>2</v>
      </c>
      <c r="L1455" s="2" t="s">
        <v>39</v>
      </c>
      <c r="M1455" s="2">
        <v>100</v>
      </c>
      <c r="N1455" s="2">
        <v>2</v>
      </c>
      <c r="O1455" s="2">
        <v>2</v>
      </c>
      <c r="P1455" s="2" t="s">
        <v>40</v>
      </c>
      <c r="Q1455" s="2">
        <v>4</v>
      </c>
      <c r="R1455" s="2" t="s">
        <v>48</v>
      </c>
      <c r="S1455" s="2">
        <v>6652</v>
      </c>
      <c r="T1455" s="2">
        <v>14369</v>
      </c>
      <c r="U1455" s="2">
        <v>4</v>
      </c>
      <c r="V1455" s="2" t="s">
        <v>42</v>
      </c>
      <c r="W1455" s="2" t="s">
        <v>43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</row>
    <row r="1456" spans="1:35" x14ac:dyDescent="0.25">
      <c r="A1456" s="2">
        <v>45</v>
      </c>
      <c r="B1456" s="2" t="s">
        <v>43</v>
      </c>
      <c r="C1456" s="2" t="s">
        <v>36</v>
      </c>
      <c r="D1456" s="2">
        <v>374</v>
      </c>
      <c r="E1456" s="2" t="s">
        <v>37</v>
      </c>
      <c r="F1456" s="2">
        <v>20</v>
      </c>
      <c r="G1456" s="2">
        <v>3</v>
      </c>
      <c r="H1456" s="2" t="s">
        <v>38</v>
      </c>
      <c r="I1456" s="2">
        <v>1</v>
      </c>
      <c r="J1456" s="2">
        <v>2046</v>
      </c>
      <c r="K1456" s="2">
        <v>4</v>
      </c>
      <c r="L1456" s="2" t="s">
        <v>39</v>
      </c>
      <c r="M1456" s="2">
        <v>50</v>
      </c>
      <c r="N1456" s="2">
        <v>3</v>
      </c>
      <c r="O1456" s="2">
        <v>2</v>
      </c>
      <c r="P1456" s="2" t="s">
        <v>40</v>
      </c>
      <c r="Q1456" s="2">
        <v>3</v>
      </c>
      <c r="R1456" s="2" t="s">
        <v>41</v>
      </c>
      <c r="S1456" s="2">
        <v>4850</v>
      </c>
      <c r="T1456" s="2">
        <v>23333</v>
      </c>
      <c r="U1456" s="2">
        <v>8</v>
      </c>
      <c r="V1456" s="2" t="s">
        <v>42</v>
      </c>
      <c r="W1456" s="2" t="s">
        <v>43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</row>
    <row r="1457" spans="1:35" x14ac:dyDescent="0.25">
      <c r="A1457" s="2">
        <v>40</v>
      </c>
      <c r="B1457" s="2" t="s">
        <v>43</v>
      </c>
      <c r="C1457" s="2" t="s">
        <v>36</v>
      </c>
      <c r="D1457" s="2">
        <v>1322</v>
      </c>
      <c r="E1457" s="2" t="s">
        <v>45</v>
      </c>
      <c r="F1457" s="2">
        <v>2</v>
      </c>
      <c r="G1457" s="2">
        <v>4</v>
      </c>
      <c r="H1457" s="2" t="s">
        <v>38</v>
      </c>
      <c r="I1457" s="2">
        <v>1</v>
      </c>
      <c r="J1457" s="2">
        <v>2048</v>
      </c>
      <c r="K1457" s="2">
        <v>3</v>
      </c>
      <c r="L1457" s="2" t="s">
        <v>46</v>
      </c>
      <c r="M1457" s="2">
        <v>52</v>
      </c>
      <c r="N1457" s="2">
        <v>2</v>
      </c>
      <c r="O1457" s="2">
        <v>1</v>
      </c>
      <c r="P1457" s="2" t="s">
        <v>47</v>
      </c>
      <c r="Q1457" s="2">
        <v>3</v>
      </c>
      <c r="R1457" s="2" t="s">
        <v>41</v>
      </c>
      <c r="S1457" s="2">
        <v>2809</v>
      </c>
      <c r="T1457" s="2">
        <v>2725</v>
      </c>
      <c r="U1457" s="2">
        <v>2</v>
      </c>
      <c r="V1457" s="2" t="s">
        <v>42</v>
      </c>
      <c r="W1457" s="2" t="s">
        <v>43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</row>
    <row r="1458" spans="1:35" x14ac:dyDescent="0.25">
      <c r="A1458" s="2">
        <v>35</v>
      </c>
      <c r="B1458" s="2" t="s">
        <v>43</v>
      </c>
      <c r="C1458" s="2" t="s">
        <v>44</v>
      </c>
      <c r="D1458" s="2">
        <v>1199</v>
      </c>
      <c r="E1458" s="2" t="s">
        <v>45</v>
      </c>
      <c r="F1458" s="2">
        <v>18</v>
      </c>
      <c r="G1458" s="2">
        <v>4</v>
      </c>
      <c r="H1458" s="2" t="s">
        <v>38</v>
      </c>
      <c r="I1458" s="2">
        <v>1</v>
      </c>
      <c r="J1458" s="2">
        <v>2049</v>
      </c>
      <c r="K1458" s="2">
        <v>3</v>
      </c>
      <c r="L1458" s="2" t="s">
        <v>46</v>
      </c>
      <c r="M1458" s="2">
        <v>80</v>
      </c>
      <c r="N1458" s="2">
        <v>3</v>
      </c>
      <c r="O1458" s="2">
        <v>2</v>
      </c>
      <c r="P1458" s="2" t="s">
        <v>54</v>
      </c>
      <c r="Q1458" s="2">
        <v>3</v>
      </c>
      <c r="R1458" s="2" t="s">
        <v>48</v>
      </c>
      <c r="S1458" s="2">
        <v>5689</v>
      </c>
      <c r="T1458" s="2">
        <v>24594</v>
      </c>
      <c r="U1458" s="2">
        <v>1</v>
      </c>
      <c r="V1458" s="2" t="s">
        <v>42</v>
      </c>
      <c r="W1458" s="2" t="s">
        <v>35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</row>
    <row r="1459" spans="1:35" x14ac:dyDescent="0.25">
      <c r="A1459" s="2">
        <v>40</v>
      </c>
      <c r="B1459" s="2" t="s">
        <v>43</v>
      </c>
      <c r="C1459" s="2" t="s">
        <v>36</v>
      </c>
      <c r="D1459" s="2">
        <v>1194</v>
      </c>
      <c r="E1459" s="2" t="s">
        <v>45</v>
      </c>
      <c r="F1459" s="2">
        <v>2</v>
      </c>
      <c r="G1459" s="2">
        <v>4</v>
      </c>
      <c r="H1459" s="2" t="s">
        <v>51</v>
      </c>
      <c r="I1459" s="2">
        <v>1</v>
      </c>
      <c r="J1459" s="2">
        <v>2051</v>
      </c>
      <c r="K1459" s="2">
        <v>3</v>
      </c>
      <c r="L1459" s="2" t="s">
        <v>39</v>
      </c>
      <c r="M1459" s="2">
        <v>98</v>
      </c>
      <c r="N1459" s="2">
        <v>3</v>
      </c>
      <c r="O1459" s="2">
        <v>1</v>
      </c>
      <c r="P1459" s="2" t="s">
        <v>47</v>
      </c>
      <c r="Q1459" s="2">
        <v>3</v>
      </c>
      <c r="R1459" s="2" t="s">
        <v>48</v>
      </c>
      <c r="S1459" s="2">
        <v>2001</v>
      </c>
      <c r="T1459" s="2">
        <v>12549</v>
      </c>
      <c r="U1459" s="2">
        <v>2</v>
      </c>
      <c r="V1459" s="2" t="s">
        <v>42</v>
      </c>
      <c r="W1459" s="2" t="s">
        <v>43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</row>
    <row r="1460" spans="1:35" x14ac:dyDescent="0.25">
      <c r="A1460" s="2">
        <v>35</v>
      </c>
      <c r="B1460" s="2" t="s">
        <v>43</v>
      </c>
      <c r="C1460" s="2" t="s">
        <v>36</v>
      </c>
      <c r="D1460" s="2">
        <v>287</v>
      </c>
      <c r="E1460" s="2" t="s">
        <v>45</v>
      </c>
      <c r="F1460" s="2">
        <v>1</v>
      </c>
      <c r="G1460" s="2">
        <v>4</v>
      </c>
      <c r="H1460" s="2" t="s">
        <v>38</v>
      </c>
      <c r="I1460" s="2">
        <v>1</v>
      </c>
      <c r="J1460" s="2">
        <v>2052</v>
      </c>
      <c r="K1460" s="2">
        <v>3</v>
      </c>
      <c r="L1460" s="2" t="s">
        <v>39</v>
      </c>
      <c r="M1460" s="2">
        <v>62</v>
      </c>
      <c r="N1460" s="2">
        <v>1</v>
      </c>
      <c r="O1460" s="2">
        <v>1</v>
      </c>
      <c r="P1460" s="2" t="s">
        <v>47</v>
      </c>
      <c r="Q1460" s="2">
        <v>4</v>
      </c>
      <c r="R1460" s="2" t="s">
        <v>48</v>
      </c>
      <c r="S1460" s="2">
        <v>2977</v>
      </c>
      <c r="T1460" s="2">
        <v>8952</v>
      </c>
      <c r="U1460" s="2">
        <v>1</v>
      </c>
      <c r="V1460" s="2" t="s">
        <v>42</v>
      </c>
      <c r="W1460" s="2" t="s">
        <v>43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</row>
    <row r="1461" spans="1:35" x14ac:dyDescent="0.25">
      <c r="A1461" s="2">
        <v>29</v>
      </c>
      <c r="B1461" s="2" t="s">
        <v>43</v>
      </c>
      <c r="C1461" s="2" t="s">
        <v>36</v>
      </c>
      <c r="D1461" s="2">
        <v>1378</v>
      </c>
      <c r="E1461" s="2" t="s">
        <v>45</v>
      </c>
      <c r="F1461" s="2">
        <v>13</v>
      </c>
      <c r="G1461" s="2">
        <v>2</v>
      </c>
      <c r="H1461" s="2" t="s">
        <v>49</v>
      </c>
      <c r="I1461" s="2">
        <v>1</v>
      </c>
      <c r="J1461" s="2">
        <v>2053</v>
      </c>
      <c r="K1461" s="2">
        <v>4</v>
      </c>
      <c r="L1461" s="2" t="s">
        <v>46</v>
      </c>
      <c r="M1461" s="2">
        <v>46</v>
      </c>
      <c r="N1461" s="2">
        <v>2</v>
      </c>
      <c r="O1461" s="2">
        <v>2</v>
      </c>
      <c r="P1461" s="2" t="s">
        <v>50</v>
      </c>
      <c r="Q1461" s="2">
        <v>2</v>
      </c>
      <c r="R1461" s="2" t="s">
        <v>48</v>
      </c>
      <c r="S1461" s="2">
        <v>4025</v>
      </c>
      <c r="T1461" s="2">
        <v>23679</v>
      </c>
      <c r="U1461" s="2">
        <v>4</v>
      </c>
      <c r="V1461" s="2" t="s">
        <v>42</v>
      </c>
      <c r="W1461" s="2" t="s">
        <v>35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</row>
    <row r="1462" spans="1:35" x14ac:dyDescent="0.25">
      <c r="A1462" s="2">
        <v>29</v>
      </c>
      <c r="B1462" s="2" t="s">
        <v>43</v>
      </c>
      <c r="C1462" s="2" t="s">
        <v>36</v>
      </c>
      <c r="D1462" s="2">
        <v>468</v>
      </c>
      <c r="E1462" s="2" t="s">
        <v>45</v>
      </c>
      <c r="F1462" s="2">
        <v>28</v>
      </c>
      <c r="G1462" s="2">
        <v>4</v>
      </c>
      <c r="H1462" s="2" t="s">
        <v>51</v>
      </c>
      <c r="I1462" s="2">
        <v>1</v>
      </c>
      <c r="J1462" s="2">
        <v>2054</v>
      </c>
      <c r="K1462" s="2">
        <v>4</v>
      </c>
      <c r="L1462" s="2" t="s">
        <v>39</v>
      </c>
      <c r="M1462" s="2">
        <v>73</v>
      </c>
      <c r="N1462" s="2">
        <v>2</v>
      </c>
      <c r="O1462" s="2">
        <v>1</v>
      </c>
      <c r="P1462" s="2" t="s">
        <v>47</v>
      </c>
      <c r="Q1462" s="2">
        <v>1</v>
      </c>
      <c r="R1462" s="2" t="s">
        <v>41</v>
      </c>
      <c r="S1462" s="2">
        <v>3785</v>
      </c>
      <c r="T1462" s="2">
        <v>8489</v>
      </c>
      <c r="U1462" s="2">
        <v>1</v>
      </c>
      <c r="V1462" s="2" t="s">
        <v>42</v>
      </c>
      <c r="W1462" s="2" t="s">
        <v>43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</row>
    <row r="1463" spans="1:35" x14ac:dyDescent="0.25">
      <c r="A1463" s="2">
        <v>50</v>
      </c>
      <c r="B1463" s="2" t="s">
        <v>35</v>
      </c>
      <c r="C1463" s="2" t="s">
        <v>36</v>
      </c>
      <c r="D1463" s="2">
        <v>410</v>
      </c>
      <c r="E1463" s="2" t="s">
        <v>37</v>
      </c>
      <c r="F1463" s="2">
        <v>28</v>
      </c>
      <c r="G1463" s="2">
        <v>3</v>
      </c>
      <c r="H1463" s="2" t="s">
        <v>59</v>
      </c>
      <c r="I1463" s="2">
        <v>1</v>
      </c>
      <c r="J1463" s="2">
        <v>2055</v>
      </c>
      <c r="K1463" s="2">
        <v>4</v>
      </c>
      <c r="L1463" s="2" t="s">
        <v>46</v>
      </c>
      <c r="M1463" s="2">
        <v>39</v>
      </c>
      <c r="N1463" s="2">
        <v>2</v>
      </c>
      <c r="O1463" s="2">
        <v>3</v>
      </c>
      <c r="P1463" s="2" t="s">
        <v>40</v>
      </c>
      <c r="Q1463" s="2">
        <v>1</v>
      </c>
      <c r="R1463" s="2" t="s">
        <v>52</v>
      </c>
      <c r="S1463" s="2">
        <v>10854</v>
      </c>
      <c r="T1463" s="2">
        <v>16586</v>
      </c>
      <c r="U1463" s="2">
        <v>4</v>
      </c>
      <c r="V1463" s="2" t="s">
        <v>42</v>
      </c>
      <c r="W1463" s="2" t="s">
        <v>35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</row>
    <row r="1464" spans="1:35" x14ac:dyDescent="0.25">
      <c r="A1464" s="2">
        <v>39</v>
      </c>
      <c r="B1464" s="2" t="s">
        <v>43</v>
      </c>
      <c r="C1464" s="2" t="s">
        <v>36</v>
      </c>
      <c r="D1464" s="2">
        <v>722</v>
      </c>
      <c r="E1464" s="2" t="s">
        <v>37</v>
      </c>
      <c r="F1464" s="2">
        <v>24</v>
      </c>
      <c r="G1464" s="2">
        <v>1</v>
      </c>
      <c r="H1464" s="2" t="s">
        <v>59</v>
      </c>
      <c r="I1464" s="2">
        <v>1</v>
      </c>
      <c r="J1464" s="2">
        <v>2056</v>
      </c>
      <c r="K1464" s="2">
        <v>2</v>
      </c>
      <c r="L1464" s="2" t="s">
        <v>39</v>
      </c>
      <c r="M1464" s="2">
        <v>60</v>
      </c>
      <c r="N1464" s="2">
        <v>2</v>
      </c>
      <c r="O1464" s="2">
        <v>4</v>
      </c>
      <c r="P1464" s="2" t="s">
        <v>40</v>
      </c>
      <c r="Q1464" s="2">
        <v>4</v>
      </c>
      <c r="R1464" s="2" t="s">
        <v>48</v>
      </c>
      <c r="S1464" s="2">
        <v>12031</v>
      </c>
      <c r="T1464" s="2">
        <v>8828</v>
      </c>
      <c r="U1464" s="2">
        <v>0</v>
      </c>
      <c r="V1464" s="2" t="s">
        <v>42</v>
      </c>
      <c r="W1464" s="2" t="s">
        <v>43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</row>
    <row r="1465" spans="1:35" x14ac:dyDescent="0.25">
      <c r="A1465" s="2">
        <v>31</v>
      </c>
      <c r="B1465" s="2" t="s">
        <v>43</v>
      </c>
      <c r="C1465" s="2" t="s">
        <v>55</v>
      </c>
      <c r="D1465" s="2">
        <v>325</v>
      </c>
      <c r="E1465" s="2" t="s">
        <v>45</v>
      </c>
      <c r="F1465" s="2">
        <v>5</v>
      </c>
      <c r="G1465" s="2">
        <v>3</v>
      </c>
      <c r="H1465" s="2" t="s">
        <v>51</v>
      </c>
      <c r="I1465" s="2">
        <v>1</v>
      </c>
      <c r="J1465" s="2">
        <v>2057</v>
      </c>
      <c r="K1465" s="2">
        <v>2</v>
      </c>
      <c r="L1465" s="2" t="s">
        <v>46</v>
      </c>
      <c r="M1465" s="2">
        <v>74</v>
      </c>
      <c r="N1465" s="2">
        <v>3</v>
      </c>
      <c r="O1465" s="2">
        <v>2</v>
      </c>
      <c r="P1465" s="2" t="s">
        <v>53</v>
      </c>
      <c r="Q1465" s="2">
        <v>1</v>
      </c>
      <c r="R1465" s="2" t="s">
        <v>41</v>
      </c>
      <c r="S1465" s="2">
        <v>9936</v>
      </c>
      <c r="T1465" s="2">
        <v>3787</v>
      </c>
      <c r="U1465" s="2">
        <v>0</v>
      </c>
      <c r="V1465" s="2" t="s">
        <v>42</v>
      </c>
      <c r="W1465" s="2" t="s">
        <v>43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</row>
    <row r="1466" spans="1:35" x14ac:dyDescent="0.25">
      <c r="A1466" s="2">
        <v>26</v>
      </c>
      <c r="B1466" s="2" t="s">
        <v>43</v>
      </c>
      <c r="C1466" s="2" t="s">
        <v>36</v>
      </c>
      <c r="D1466" s="2">
        <v>1167</v>
      </c>
      <c r="E1466" s="2" t="s">
        <v>37</v>
      </c>
      <c r="F1466" s="2">
        <v>5</v>
      </c>
      <c r="G1466" s="2">
        <v>3</v>
      </c>
      <c r="H1466" s="2" t="s">
        <v>49</v>
      </c>
      <c r="I1466" s="2">
        <v>1</v>
      </c>
      <c r="J1466" s="2">
        <v>2060</v>
      </c>
      <c r="K1466" s="2">
        <v>4</v>
      </c>
      <c r="L1466" s="2" t="s">
        <v>39</v>
      </c>
      <c r="M1466" s="2">
        <v>30</v>
      </c>
      <c r="N1466" s="2">
        <v>2</v>
      </c>
      <c r="O1466" s="2">
        <v>1</v>
      </c>
      <c r="P1466" s="2" t="s">
        <v>57</v>
      </c>
      <c r="Q1466" s="2">
        <v>3</v>
      </c>
      <c r="R1466" s="2" t="s">
        <v>41</v>
      </c>
      <c r="S1466" s="2">
        <v>2966</v>
      </c>
      <c r="T1466" s="2">
        <v>21378</v>
      </c>
      <c r="U1466" s="2">
        <v>0</v>
      </c>
      <c r="V1466" s="2" t="s">
        <v>42</v>
      </c>
      <c r="W1466" s="2" t="s">
        <v>43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</row>
    <row r="1467" spans="1:35" x14ac:dyDescent="0.25">
      <c r="A1467" s="2">
        <v>36</v>
      </c>
      <c r="B1467" s="2" t="s">
        <v>43</v>
      </c>
      <c r="C1467" s="2" t="s">
        <v>44</v>
      </c>
      <c r="D1467" s="2">
        <v>884</v>
      </c>
      <c r="E1467" s="2" t="s">
        <v>45</v>
      </c>
      <c r="F1467" s="2">
        <v>23</v>
      </c>
      <c r="G1467" s="2">
        <v>2</v>
      </c>
      <c r="H1467" s="2" t="s">
        <v>51</v>
      </c>
      <c r="I1467" s="2">
        <v>1</v>
      </c>
      <c r="J1467" s="2">
        <v>2061</v>
      </c>
      <c r="K1467" s="2">
        <v>3</v>
      </c>
      <c r="L1467" s="2" t="s">
        <v>46</v>
      </c>
      <c r="M1467" s="2">
        <v>41</v>
      </c>
      <c r="N1467" s="2">
        <v>4</v>
      </c>
      <c r="O1467" s="2">
        <v>2</v>
      </c>
      <c r="P1467" s="2" t="s">
        <v>50</v>
      </c>
      <c r="Q1467" s="2">
        <v>4</v>
      </c>
      <c r="R1467" s="2" t="s">
        <v>48</v>
      </c>
      <c r="S1467" s="2">
        <v>2571</v>
      </c>
      <c r="T1467" s="2">
        <v>12290</v>
      </c>
      <c r="U1467" s="2">
        <v>4</v>
      </c>
      <c r="V1467" s="2" t="s">
        <v>42</v>
      </c>
      <c r="W1467" s="2" t="s">
        <v>43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</row>
    <row r="1468" spans="1:35" x14ac:dyDescent="0.25">
      <c r="A1468" s="2">
        <v>39</v>
      </c>
      <c r="B1468" s="2" t="s">
        <v>43</v>
      </c>
      <c r="C1468" s="2" t="s">
        <v>36</v>
      </c>
      <c r="D1468" s="2">
        <v>613</v>
      </c>
      <c r="E1468" s="2" t="s">
        <v>45</v>
      </c>
      <c r="F1468" s="2">
        <v>6</v>
      </c>
      <c r="G1468" s="2">
        <v>1</v>
      </c>
      <c r="H1468" s="2" t="s">
        <v>51</v>
      </c>
      <c r="I1468" s="2">
        <v>1</v>
      </c>
      <c r="J1468" s="2">
        <v>2062</v>
      </c>
      <c r="K1468" s="2">
        <v>4</v>
      </c>
      <c r="L1468" s="2" t="s">
        <v>46</v>
      </c>
      <c r="M1468" s="2">
        <v>42</v>
      </c>
      <c r="N1468" s="2">
        <v>2</v>
      </c>
      <c r="O1468" s="2">
        <v>3</v>
      </c>
      <c r="P1468" s="2" t="s">
        <v>54</v>
      </c>
      <c r="Q1468" s="2">
        <v>1</v>
      </c>
      <c r="R1468" s="2" t="s">
        <v>48</v>
      </c>
      <c r="S1468" s="2">
        <v>9991</v>
      </c>
      <c r="T1468" s="2">
        <v>21457</v>
      </c>
      <c r="U1468" s="2">
        <v>4</v>
      </c>
      <c r="V1468" s="2" t="s">
        <v>42</v>
      </c>
      <c r="W1468" s="2" t="s">
        <v>43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</row>
    <row r="1469" spans="1:35" x14ac:dyDescent="0.25">
      <c r="A1469" s="2">
        <v>27</v>
      </c>
      <c r="B1469" s="2" t="s">
        <v>43</v>
      </c>
      <c r="C1469" s="2" t="s">
        <v>36</v>
      </c>
      <c r="D1469" s="2">
        <v>155</v>
      </c>
      <c r="E1469" s="2" t="s">
        <v>45</v>
      </c>
      <c r="F1469" s="2">
        <v>4</v>
      </c>
      <c r="G1469" s="2">
        <v>3</v>
      </c>
      <c r="H1469" s="2" t="s">
        <v>38</v>
      </c>
      <c r="I1469" s="2">
        <v>1</v>
      </c>
      <c r="J1469" s="2">
        <v>2064</v>
      </c>
      <c r="K1469" s="2">
        <v>2</v>
      </c>
      <c r="L1469" s="2" t="s">
        <v>46</v>
      </c>
      <c r="M1469" s="2">
        <v>87</v>
      </c>
      <c r="N1469" s="2">
        <v>4</v>
      </c>
      <c r="O1469" s="2">
        <v>2</v>
      </c>
      <c r="P1469" s="2" t="s">
        <v>53</v>
      </c>
      <c r="Q1469" s="2">
        <v>2</v>
      </c>
      <c r="R1469" s="2" t="s">
        <v>48</v>
      </c>
      <c r="S1469" s="2">
        <v>6142</v>
      </c>
      <c r="T1469" s="2">
        <v>5174</v>
      </c>
      <c r="U1469" s="2">
        <v>1</v>
      </c>
      <c r="V1469" s="2" t="s">
        <v>42</v>
      </c>
      <c r="W1469" s="2" t="s">
        <v>35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</row>
    <row r="1470" spans="1:35" x14ac:dyDescent="0.25">
      <c r="A1470" s="2">
        <v>49</v>
      </c>
      <c r="B1470" s="2" t="s">
        <v>43</v>
      </c>
      <c r="C1470" s="2" t="s">
        <v>44</v>
      </c>
      <c r="D1470" s="2">
        <v>1023</v>
      </c>
      <c r="E1470" s="2" t="s">
        <v>37</v>
      </c>
      <c r="F1470" s="2">
        <v>2</v>
      </c>
      <c r="G1470" s="2">
        <v>3</v>
      </c>
      <c r="H1470" s="2" t="s">
        <v>51</v>
      </c>
      <c r="I1470" s="2">
        <v>1</v>
      </c>
      <c r="J1470" s="2">
        <v>2065</v>
      </c>
      <c r="K1470" s="2">
        <v>4</v>
      </c>
      <c r="L1470" s="2" t="s">
        <v>46</v>
      </c>
      <c r="M1470" s="2">
        <v>63</v>
      </c>
      <c r="N1470" s="2">
        <v>2</v>
      </c>
      <c r="O1470" s="2">
        <v>2</v>
      </c>
      <c r="P1470" s="2" t="s">
        <v>40</v>
      </c>
      <c r="Q1470" s="2">
        <v>2</v>
      </c>
      <c r="R1470" s="2" t="s">
        <v>48</v>
      </c>
      <c r="S1470" s="2">
        <v>5390</v>
      </c>
      <c r="T1470" s="2">
        <v>13243</v>
      </c>
      <c r="U1470" s="2">
        <v>2</v>
      </c>
      <c r="V1470" s="2" t="s">
        <v>42</v>
      </c>
      <c r="W1470" s="2" t="s">
        <v>43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</row>
    <row r="1471" spans="1:35" x14ac:dyDescent="0.25">
      <c r="A1471" s="2">
        <v>34</v>
      </c>
      <c r="B1471" s="2" t="s">
        <v>43</v>
      </c>
      <c r="C1471" s="2" t="s">
        <v>36</v>
      </c>
      <c r="D1471" s="2">
        <v>628</v>
      </c>
      <c r="E1471" s="2" t="s">
        <v>45</v>
      </c>
      <c r="F1471" s="2">
        <v>8</v>
      </c>
      <c r="G1471" s="2">
        <v>3</v>
      </c>
      <c r="H1471" s="2" t="s">
        <v>51</v>
      </c>
      <c r="I1471" s="2">
        <v>1</v>
      </c>
      <c r="J1471" s="2">
        <v>2068</v>
      </c>
      <c r="K1471" s="2">
        <v>2</v>
      </c>
      <c r="L1471" s="2" t="s">
        <v>46</v>
      </c>
      <c r="M1471" s="2">
        <v>82</v>
      </c>
      <c r="N1471" s="2">
        <v>4</v>
      </c>
      <c r="O1471" s="2">
        <v>2</v>
      </c>
      <c r="P1471" s="2" t="s">
        <v>50</v>
      </c>
      <c r="Q1471" s="2">
        <v>3</v>
      </c>
      <c r="R1471" s="2" t="s">
        <v>48</v>
      </c>
      <c r="S1471" s="2">
        <v>4404</v>
      </c>
      <c r="T1471" s="2">
        <v>10228</v>
      </c>
      <c r="U1471" s="2">
        <v>2</v>
      </c>
      <c r="V1471" s="2" t="s">
        <v>42</v>
      </c>
      <c r="W1471" s="2" t="s">
        <v>43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</row>
  </sheetData>
  <autoFilter ref="A1:AI147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47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3.109375" customWidth="1"/>
    <col min="2" max="2" width="12.33203125" customWidth="1"/>
    <col min="3" max="3" width="5" customWidth="1"/>
    <col min="4" max="4" width="20" customWidth="1"/>
    <col min="5" max="6" width="20.77734375" customWidth="1"/>
    <col min="7" max="7" width="12.33203125" customWidth="1"/>
    <col min="8" max="8" width="23.44140625" customWidth="1"/>
    <col min="9" max="9" width="34.44140625" customWidth="1"/>
    <col min="10" max="10" width="21.77734375" customWidth="1"/>
    <col min="11" max="11" width="24.33203125" customWidth="1"/>
    <col min="12" max="12" width="25.21875" customWidth="1"/>
    <col min="13" max="13" width="25.77734375" customWidth="1"/>
    <col min="14" max="14" width="22.44140625" customWidth="1"/>
    <col min="15" max="15" width="29.44140625" customWidth="1"/>
    <col min="16" max="16" width="28" customWidth="1"/>
    <col min="17" max="17" width="24.109375" customWidth="1"/>
    <col min="18" max="18" width="22.44140625" customWidth="1"/>
  </cols>
  <sheetData>
    <row r="1" spans="1:26" ht="15.75" customHeight="1" x14ac:dyDescent="0.3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  <c r="L1" s="3" t="s">
        <v>74</v>
      </c>
      <c r="M1" s="3" t="s">
        <v>75</v>
      </c>
      <c r="N1" s="3" t="s">
        <v>76</v>
      </c>
      <c r="O1" s="3" t="s">
        <v>77</v>
      </c>
      <c r="P1" s="3" t="s">
        <v>78</v>
      </c>
      <c r="Q1" s="3" t="s">
        <v>79</v>
      </c>
      <c r="R1" s="3" t="s">
        <v>80</v>
      </c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4">
        <v>1</v>
      </c>
      <c r="B2" s="4" t="s">
        <v>35</v>
      </c>
      <c r="C2" s="4">
        <v>41</v>
      </c>
      <c r="D2" s="4" t="s">
        <v>37</v>
      </c>
      <c r="E2" s="4" t="s">
        <v>40</v>
      </c>
      <c r="F2" s="4">
        <v>5993</v>
      </c>
      <c r="G2" s="4" t="s">
        <v>35</v>
      </c>
      <c r="H2" s="4">
        <v>6</v>
      </c>
      <c r="I2" s="4">
        <v>0</v>
      </c>
      <c r="J2" s="4">
        <v>4</v>
      </c>
      <c r="K2" s="4">
        <v>1</v>
      </c>
      <c r="L2" s="4" t="str">
        <f t="shared" ref="L2:L256" si="0">IF(AND(G2="YES",J2&lt;=2,I2&gt;=3),"HIGH RISK","NORMAL")</f>
        <v>NORMAL</v>
      </c>
      <c r="M2" s="4" t="str">
        <f t="shared" ref="M2:M256" si="1">IF(F2&lt;=4000,"LOW",IF(F2&gt;9000,"MEDIUM","HIGH"))</f>
        <v>HIGH</v>
      </c>
      <c r="N2" s="4" t="str">
        <f t="shared" ref="N2:N256" si="2">IF(H2&lt;=2,"NEW",IF(H2&lt;=6,"MID","SENIOR"))</f>
        <v>MID</v>
      </c>
      <c r="O2" s="4" t="str">
        <f t="shared" ref="O2:O256" si="3">IF(I2&lt;=1,"RECENTLY PROMOTED",IF(I2&lt;=3,"MODERATE-WAIT","STAGNANT"))</f>
        <v>RECENTLY PROMOTED</v>
      </c>
      <c r="P2" s="5" t="str">
        <f t="shared" ref="P2:P256" si="4">IF(AND(G2="Yes",K2&lt;=2),"High_Pressure",
 IF(OR(G2="Yes",K2=3),"Medium_Pressure",
 "Low_Pressure"))</f>
        <v>High_Pressure</v>
      </c>
      <c r="Q2" s="4" t="str">
        <f t="shared" ref="Q2:Q256" si="5">IF(AND(J2&gt;=3,K2&gt;=3,L2&gt;=3),
"HIGHLY_ENGAGED",
IF(OR(J2&lt;=2,K2&lt;=2,L2&lt;=2),
"DISENGAGED",
"MODERATELY_ENGAGED"))</f>
        <v>DISENGAGED</v>
      </c>
      <c r="R2" s="4" t="str">
        <f t="shared" ref="R2:R73" si="6">IF(AND(L2="HIGH",O2="STAGNANT",P2="HIGH_PRESSURE",Q2="DISENGAGED"),
"CRITICAL",
IF(AND(L2="HIGH",M2="LOW",P2="HIGH_PRESSURE",Q2="MODERATELY_ENGAGED"),
"HIGH",
IF(AND(L2="NORMAL",M2="MEDIUM",O2="MODERATE-WAIT",P2="MEDIUM_PRESSURE",Q2="MODERATELY_ENGAGED"),
"MEDIUM",
"LOW")))</f>
        <v>LOW</v>
      </c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4">
        <v>2</v>
      </c>
      <c r="B3" s="4" t="s">
        <v>43</v>
      </c>
      <c r="C3" s="4">
        <v>49</v>
      </c>
      <c r="D3" s="4" t="s">
        <v>45</v>
      </c>
      <c r="E3" s="4" t="s">
        <v>47</v>
      </c>
      <c r="F3" s="4">
        <v>5130</v>
      </c>
      <c r="G3" s="4" t="s">
        <v>43</v>
      </c>
      <c r="H3" s="4">
        <v>10</v>
      </c>
      <c r="I3" s="4">
        <v>1</v>
      </c>
      <c r="J3" s="4">
        <v>2</v>
      </c>
      <c r="K3" s="4">
        <v>3</v>
      </c>
      <c r="L3" s="4" t="str">
        <f t="shared" si="0"/>
        <v>NORMAL</v>
      </c>
      <c r="M3" s="4" t="str">
        <f t="shared" si="1"/>
        <v>HIGH</v>
      </c>
      <c r="N3" s="4" t="str">
        <f t="shared" si="2"/>
        <v>SENIOR</v>
      </c>
      <c r="O3" s="4" t="str">
        <f t="shared" si="3"/>
        <v>RECENTLY PROMOTED</v>
      </c>
      <c r="P3" s="5" t="str">
        <f t="shared" si="4"/>
        <v>Medium_Pressure</v>
      </c>
      <c r="Q3" s="4" t="str">
        <f t="shared" si="5"/>
        <v>DISENGAGED</v>
      </c>
      <c r="R3" s="4" t="str">
        <f t="shared" si="6"/>
        <v>LOW</v>
      </c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4">
        <v>4</v>
      </c>
      <c r="B4" s="4" t="s">
        <v>35</v>
      </c>
      <c r="C4" s="4">
        <v>37</v>
      </c>
      <c r="D4" s="4" t="s">
        <v>45</v>
      </c>
      <c r="E4" s="4" t="s">
        <v>50</v>
      </c>
      <c r="F4" s="4">
        <v>2090</v>
      </c>
      <c r="G4" s="4" t="s">
        <v>35</v>
      </c>
      <c r="H4" s="4">
        <v>0</v>
      </c>
      <c r="I4" s="4">
        <v>0</v>
      </c>
      <c r="J4" s="4">
        <v>3</v>
      </c>
      <c r="K4" s="4">
        <v>3</v>
      </c>
      <c r="L4" s="4" t="str">
        <f t="shared" si="0"/>
        <v>NORMAL</v>
      </c>
      <c r="M4" s="4" t="str">
        <f t="shared" si="1"/>
        <v>LOW</v>
      </c>
      <c r="N4" s="4" t="str">
        <f t="shared" si="2"/>
        <v>NEW</v>
      </c>
      <c r="O4" s="4" t="str">
        <f t="shared" si="3"/>
        <v>RECENTLY PROMOTED</v>
      </c>
      <c r="P4" s="5" t="str">
        <f t="shared" si="4"/>
        <v>Medium_Pressure</v>
      </c>
      <c r="Q4" s="4" t="str">
        <f t="shared" si="5"/>
        <v>HIGHLY_ENGAGED</v>
      </c>
      <c r="R4" s="4" t="str">
        <f t="shared" si="6"/>
        <v>LOW</v>
      </c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4">
        <v>5</v>
      </c>
      <c r="B5" s="4" t="s">
        <v>43</v>
      </c>
      <c r="C5" s="4">
        <v>33</v>
      </c>
      <c r="D5" s="4" t="s">
        <v>45</v>
      </c>
      <c r="E5" s="4" t="s">
        <v>47</v>
      </c>
      <c r="F5" s="4">
        <v>2909</v>
      </c>
      <c r="G5" s="4" t="s">
        <v>35</v>
      </c>
      <c r="H5" s="4">
        <v>8</v>
      </c>
      <c r="I5" s="4">
        <v>3</v>
      </c>
      <c r="J5" s="4">
        <v>3</v>
      </c>
      <c r="K5" s="4">
        <v>3</v>
      </c>
      <c r="L5" s="4" t="str">
        <f t="shared" si="0"/>
        <v>NORMAL</v>
      </c>
      <c r="M5" s="4" t="str">
        <f t="shared" si="1"/>
        <v>LOW</v>
      </c>
      <c r="N5" s="4" t="str">
        <f t="shared" si="2"/>
        <v>SENIOR</v>
      </c>
      <c r="O5" s="4" t="str">
        <f t="shared" si="3"/>
        <v>MODERATE-WAIT</v>
      </c>
      <c r="P5" s="5" t="str">
        <f t="shared" si="4"/>
        <v>Medium_Pressure</v>
      </c>
      <c r="Q5" s="4" t="str">
        <f t="shared" si="5"/>
        <v>HIGHLY_ENGAGED</v>
      </c>
      <c r="R5" s="4" t="str">
        <f t="shared" si="6"/>
        <v>LOW</v>
      </c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4">
        <v>7</v>
      </c>
      <c r="B6" s="4" t="s">
        <v>43</v>
      </c>
      <c r="C6" s="4">
        <v>27</v>
      </c>
      <c r="D6" s="4" t="s">
        <v>45</v>
      </c>
      <c r="E6" s="4" t="s">
        <v>50</v>
      </c>
      <c r="F6" s="4">
        <v>3468</v>
      </c>
      <c r="G6" s="4" t="s">
        <v>43</v>
      </c>
      <c r="H6" s="4">
        <v>2</v>
      </c>
      <c r="I6" s="4">
        <v>2</v>
      </c>
      <c r="J6" s="4">
        <v>2</v>
      </c>
      <c r="K6" s="4">
        <v>3</v>
      </c>
      <c r="L6" s="4" t="str">
        <f t="shared" si="0"/>
        <v>NORMAL</v>
      </c>
      <c r="M6" s="4" t="str">
        <f t="shared" si="1"/>
        <v>LOW</v>
      </c>
      <c r="N6" s="4" t="str">
        <f t="shared" si="2"/>
        <v>NEW</v>
      </c>
      <c r="O6" s="4" t="str">
        <f t="shared" si="3"/>
        <v>MODERATE-WAIT</v>
      </c>
      <c r="P6" s="5" t="str">
        <f t="shared" si="4"/>
        <v>Medium_Pressure</v>
      </c>
      <c r="Q6" s="4" t="str">
        <f t="shared" si="5"/>
        <v>DISENGAGED</v>
      </c>
      <c r="R6" s="4" t="str">
        <f t="shared" si="6"/>
        <v>LOW</v>
      </c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4">
        <v>8</v>
      </c>
      <c r="B7" s="4" t="s">
        <v>43</v>
      </c>
      <c r="C7" s="4">
        <v>32</v>
      </c>
      <c r="D7" s="4" t="s">
        <v>45</v>
      </c>
      <c r="E7" s="4" t="s">
        <v>50</v>
      </c>
      <c r="F7" s="4">
        <v>3068</v>
      </c>
      <c r="G7" s="4" t="s">
        <v>43</v>
      </c>
      <c r="H7" s="4">
        <v>7</v>
      </c>
      <c r="I7" s="4">
        <v>3</v>
      </c>
      <c r="J7" s="4">
        <v>4</v>
      </c>
      <c r="K7" s="4">
        <v>2</v>
      </c>
      <c r="L7" s="4" t="str">
        <f t="shared" si="0"/>
        <v>NORMAL</v>
      </c>
      <c r="M7" s="4" t="str">
        <f t="shared" si="1"/>
        <v>LOW</v>
      </c>
      <c r="N7" s="4" t="str">
        <f t="shared" si="2"/>
        <v>SENIOR</v>
      </c>
      <c r="O7" s="4" t="str">
        <f t="shared" si="3"/>
        <v>MODERATE-WAIT</v>
      </c>
      <c r="P7" s="5" t="str">
        <f t="shared" si="4"/>
        <v>Low_Pressure</v>
      </c>
      <c r="Q7" s="4" t="str">
        <f t="shared" si="5"/>
        <v>DISENGAGED</v>
      </c>
      <c r="R7" s="4" t="str">
        <f t="shared" si="6"/>
        <v>LOW</v>
      </c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4">
        <v>10</v>
      </c>
      <c r="B8" s="4" t="s">
        <v>43</v>
      </c>
      <c r="C8" s="4">
        <v>59</v>
      </c>
      <c r="D8" s="4" t="s">
        <v>45</v>
      </c>
      <c r="E8" s="4" t="s">
        <v>50</v>
      </c>
      <c r="F8" s="4">
        <v>2670</v>
      </c>
      <c r="G8" s="4" t="s">
        <v>35</v>
      </c>
      <c r="H8" s="4">
        <v>1</v>
      </c>
      <c r="I8" s="4">
        <v>0</v>
      </c>
      <c r="J8" s="4">
        <v>1</v>
      </c>
      <c r="K8" s="4">
        <v>2</v>
      </c>
      <c r="L8" s="4" t="str">
        <f t="shared" si="0"/>
        <v>NORMAL</v>
      </c>
      <c r="M8" s="4" t="str">
        <f t="shared" si="1"/>
        <v>LOW</v>
      </c>
      <c r="N8" s="4" t="str">
        <f t="shared" si="2"/>
        <v>NEW</v>
      </c>
      <c r="O8" s="4" t="str">
        <f t="shared" si="3"/>
        <v>RECENTLY PROMOTED</v>
      </c>
      <c r="P8" s="5" t="str">
        <f t="shared" si="4"/>
        <v>High_Pressure</v>
      </c>
      <c r="Q8" s="4" t="str">
        <f t="shared" si="5"/>
        <v>DISENGAGED</v>
      </c>
      <c r="R8" s="4" t="str">
        <f t="shared" si="6"/>
        <v>LOW</v>
      </c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4">
        <v>11</v>
      </c>
      <c r="B9" s="4" t="s">
        <v>43</v>
      </c>
      <c r="C9" s="4">
        <v>30</v>
      </c>
      <c r="D9" s="4" t="s">
        <v>45</v>
      </c>
      <c r="E9" s="4" t="s">
        <v>50</v>
      </c>
      <c r="F9" s="4">
        <v>2693</v>
      </c>
      <c r="G9" s="4" t="s">
        <v>43</v>
      </c>
      <c r="H9" s="4">
        <v>1</v>
      </c>
      <c r="I9" s="4">
        <v>0</v>
      </c>
      <c r="J9" s="4">
        <v>3</v>
      </c>
      <c r="K9" s="4">
        <v>3</v>
      </c>
      <c r="L9" s="4" t="str">
        <f t="shared" si="0"/>
        <v>NORMAL</v>
      </c>
      <c r="M9" s="4" t="str">
        <f t="shared" si="1"/>
        <v>LOW</v>
      </c>
      <c r="N9" s="4" t="str">
        <f t="shared" si="2"/>
        <v>NEW</v>
      </c>
      <c r="O9" s="4" t="str">
        <f t="shared" si="3"/>
        <v>RECENTLY PROMOTED</v>
      </c>
      <c r="P9" s="5" t="str">
        <f t="shared" si="4"/>
        <v>Medium_Pressure</v>
      </c>
      <c r="Q9" s="4" t="str">
        <f t="shared" si="5"/>
        <v>HIGHLY_ENGAGED</v>
      </c>
      <c r="R9" s="4" t="str">
        <f t="shared" si="6"/>
        <v>LOW</v>
      </c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4">
        <v>12</v>
      </c>
      <c r="B10" s="4" t="s">
        <v>43</v>
      </c>
      <c r="C10" s="4">
        <v>38</v>
      </c>
      <c r="D10" s="4" t="s">
        <v>45</v>
      </c>
      <c r="E10" s="4" t="s">
        <v>53</v>
      </c>
      <c r="F10" s="4">
        <v>9526</v>
      </c>
      <c r="G10" s="4" t="s">
        <v>43</v>
      </c>
      <c r="H10" s="4">
        <v>9</v>
      </c>
      <c r="I10" s="4">
        <v>1</v>
      </c>
      <c r="J10" s="4">
        <v>3</v>
      </c>
      <c r="K10" s="4">
        <v>3</v>
      </c>
      <c r="L10" s="4" t="str">
        <f t="shared" si="0"/>
        <v>NORMAL</v>
      </c>
      <c r="M10" s="4" t="str">
        <f t="shared" si="1"/>
        <v>MEDIUM</v>
      </c>
      <c r="N10" s="4" t="str">
        <f t="shared" si="2"/>
        <v>SENIOR</v>
      </c>
      <c r="O10" s="4" t="str">
        <f t="shared" si="3"/>
        <v>RECENTLY PROMOTED</v>
      </c>
      <c r="P10" s="5" t="str">
        <f t="shared" si="4"/>
        <v>Medium_Pressure</v>
      </c>
      <c r="Q10" s="4" t="str">
        <f t="shared" si="5"/>
        <v>HIGHLY_ENGAGED</v>
      </c>
      <c r="R10" s="4" t="str">
        <f t="shared" si="6"/>
        <v>LOW</v>
      </c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4">
        <v>13</v>
      </c>
      <c r="B11" s="4" t="s">
        <v>43</v>
      </c>
      <c r="C11" s="4">
        <v>36</v>
      </c>
      <c r="D11" s="4" t="s">
        <v>45</v>
      </c>
      <c r="E11" s="4" t="s">
        <v>54</v>
      </c>
      <c r="F11" s="4">
        <v>5237</v>
      </c>
      <c r="G11" s="4" t="s">
        <v>43</v>
      </c>
      <c r="H11" s="4">
        <v>7</v>
      </c>
      <c r="I11" s="4">
        <v>7</v>
      </c>
      <c r="J11" s="4">
        <v>3</v>
      </c>
      <c r="K11" s="4">
        <v>2</v>
      </c>
      <c r="L11" s="4" t="str">
        <f t="shared" si="0"/>
        <v>NORMAL</v>
      </c>
      <c r="M11" s="4" t="str">
        <f t="shared" si="1"/>
        <v>HIGH</v>
      </c>
      <c r="N11" s="4" t="str">
        <f t="shared" si="2"/>
        <v>SENIOR</v>
      </c>
      <c r="O11" s="4" t="str">
        <f t="shared" si="3"/>
        <v>STAGNANT</v>
      </c>
      <c r="P11" s="5" t="str">
        <f t="shared" si="4"/>
        <v>Low_Pressure</v>
      </c>
      <c r="Q11" s="4" t="str">
        <f t="shared" si="5"/>
        <v>DISENGAGED</v>
      </c>
      <c r="R11" s="4" t="str">
        <f t="shared" si="6"/>
        <v>LOW</v>
      </c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4">
        <v>14</v>
      </c>
      <c r="B12" s="4" t="s">
        <v>43</v>
      </c>
      <c r="C12" s="4">
        <v>35</v>
      </c>
      <c r="D12" s="4" t="s">
        <v>45</v>
      </c>
      <c r="E12" s="4" t="s">
        <v>50</v>
      </c>
      <c r="F12" s="4">
        <v>2426</v>
      </c>
      <c r="G12" s="4" t="s">
        <v>43</v>
      </c>
      <c r="H12" s="4">
        <v>5</v>
      </c>
      <c r="I12" s="4">
        <v>0</v>
      </c>
      <c r="J12" s="4">
        <v>2</v>
      </c>
      <c r="K12" s="4">
        <v>3</v>
      </c>
      <c r="L12" s="4" t="str">
        <f t="shared" si="0"/>
        <v>NORMAL</v>
      </c>
      <c r="M12" s="4" t="str">
        <f t="shared" si="1"/>
        <v>LOW</v>
      </c>
      <c r="N12" s="4" t="str">
        <f t="shared" si="2"/>
        <v>MID</v>
      </c>
      <c r="O12" s="4" t="str">
        <f t="shared" si="3"/>
        <v>RECENTLY PROMOTED</v>
      </c>
      <c r="P12" s="5" t="str">
        <f t="shared" si="4"/>
        <v>Medium_Pressure</v>
      </c>
      <c r="Q12" s="4" t="str">
        <f t="shared" si="5"/>
        <v>DISENGAGED</v>
      </c>
      <c r="R12" s="4" t="str">
        <f t="shared" si="6"/>
        <v>LOW</v>
      </c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4">
        <v>15</v>
      </c>
      <c r="B13" s="4" t="s">
        <v>43</v>
      </c>
      <c r="C13" s="4">
        <v>29</v>
      </c>
      <c r="D13" s="4" t="s">
        <v>45</v>
      </c>
      <c r="E13" s="4" t="s">
        <v>50</v>
      </c>
      <c r="F13" s="4">
        <v>4193</v>
      </c>
      <c r="G13" s="4" t="s">
        <v>35</v>
      </c>
      <c r="H13" s="4">
        <v>9</v>
      </c>
      <c r="I13" s="4">
        <v>0</v>
      </c>
      <c r="J13" s="4">
        <v>3</v>
      </c>
      <c r="K13" s="4">
        <v>3</v>
      </c>
      <c r="L13" s="4" t="str">
        <f t="shared" si="0"/>
        <v>NORMAL</v>
      </c>
      <c r="M13" s="4" t="str">
        <f t="shared" si="1"/>
        <v>HIGH</v>
      </c>
      <c r="N13" s="4" t="str">
        <f t="shared" si="2"/>
        <v>SENIOR</v>
      </c>
      <c r="O13" s="4" t="str">
        <f t="shared" si="3"/>
        <v>RECENTLY PROMOTED</v>
      </c>
      <c r="P13" s="5" t="str">
        <f t="shared" si="4"/>
        <v>Medium_Pressure</v>
      </c>
      <c r="Q13" s="4" t="str">
        <f t="shared" si="5"/>
        <v>HIGHLY_ENGAGED</v>
      </c>
      <c r="R13" s="4" t="str">
        <f t="shared" si="6"/>
        <v>LOW</v>
      </c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4">
        <v>16</v>
      </c>
      <c r="B14" s="4" t="s">
        <v>43</v>
      </c>
      <c r="C14" s="4">
        <v>31</v>
      </c>
      <c r="D14" s="4" t="s">
        <v>45</v>
      </c>
      <c r="E14" s="4" t="s">
        <v>47</v>
      </c>
      <c r="F14" s="4">
        <v>2911</v>
      </c>
      <c r="G14" s="4" t="s">
        <v>43</v>
      </c>
      <c r="H14" s="4">
        <v>5</v>
      </c>
      <c r="I14" s="4">
        <v>4</v>
      </c>
      <c r="J14" s="4">
        <v>3</v>
      </c>
      <c r="K14" s="4">
        <v>2</v>
      </c>
      <c r="L14" s="4" t="str">
        <f t="shared" si="0"/>
        <v>NORMAL</v>
      </c>
      <c r="M14" s="4" t="str">
        <f t="shared" si="1"/>
        <v>LOW</v>
      </c>
      <c r="N14" s="4" t="str">
        <f t="shared" si="2"/>
        <v>MID</v>
      </c>
      <c r="O14" s="4" t="str">
        <f t="shared" si="3"/>
        <v>STAGNANT</v>
      </c>
      <c r="P14" s="5" t="str">
        <f t="shared" si="4"/>
        <v>Low_Pressure</v>
      </c>
      <c r="Q14" s="4" t="str">
        <f t="shared" si="5"/>
        <v>DISENGAGED</v>
      </c>
      <c r="R14" s="4" t="str">
        <f t="shared" si="6"/>
        <v>LOW</v>
      </c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4">
        <v>18</v>
      </c>
      <c r="B15" s="4" t="s">
        <v>43</v>
      </c>
      <c r="C15" s="4">
        <v>34</v>
      </c>
      <c r="D15" s="4" t="s">
        <v>45</v>
      </c>
      <c r="E15" s="4" t="s">
        <v>50</v>
      </c>
      <c r="F15" s="4">
        <v>2661</v>
      </c>
      <c r="G15" s="4" t="s">
        <v>43</v>
      </c>
      <c r="H15" s="4">
        <v>2</v>
      </c>
      <c r="I15" s="4">
        <v>1</v>
      </c>
      <c r="J15" s="4">
        <v>4</v>
      </c>
      <c r="K15" s="4">
        <v>3</v>
      </c>
      <c r="L15" s="4" t="str">
        <f t="shared" si="0"/>
        <v>NORMAL</v>
      </c>
      <c r="M15" s="4" t="str">
        <f t="shared" si="1"/>
        <v>LOW</v>
      </c>
      <c r="N15" s="4" t="str">
        <f t="shared" si="2"/>
        <v>NEW</v>
      </c>
      <c r="O15" s="4" t="str">
        <f t="shared" si="3"/>
        <v>RECENTLY PROMOTED</v>
      </c>
      <c r="P15" s="5" t="str">
        <f t="shared" si="4"/>
        <v>Medium_Pressure</v>
      </c>
      <c r="Q15" s="4" t="str">
        <f t="shared" si="5"/>
        <v>HIGHLY_ENGAGED</v>
      </c>
      <c r="R15" s="4" t="str">
        <f t="shared" si="6"/>
        <v>LOW</v>
      </c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4">
        <v>19</v>
      </c>
      <c r="B16" s="4" t="s">
        <v>35</v>
      </c>
      <c r="C16" s="4">
        <v>28</v>
      </c>
      <c r="D16" s="4" t="s">
        <v>45</v>
      </c>
      <c r="E16" s="4" t="s">
        <v>50</v>
      </c>
      <c r="F16" s="4">
        <v>2028</v>
      </c>
      <c r="G16" s="4" t="s">
        <v>35</v>
      </c>
      <c r="H16" s="4">
        <v>4</v>
      </c>
      <c r="I16" s="4">
        <v>0</v>
      </c>
      <c r="J16" s="4">
        <v>3</v>
      </c>
      <c r="K16" s="4">
        <v>3</v>
      </c>
      <c r="L16" s="4" t="str">
        <f t="shared" si="0"/>
        <v>NORMAL</v>
      </c>
      <c r="M16" s="4" t="str">
        <f t="shared" si="1"/>
        <v>LOW</v>
      </c>
      <c r="N16" s="4" t="str">
        <f t="shared" si="2"/>
        <v>MID</v>
      </c>
      <c r="O16" s="4" t="str">
        <f t="shared" si="3"/>
        <v>RECENTLY PROMOTED</v>
      </c>
      <c r="P16" s="5" t="str">
        <f t="shared" si="4"/>
        <v>Medium_Pressure</v>
      </c>
      <c r="Q16" s="4" t="str">
        <f t="shared" si="5"/>
        <v>HIGHLY_ENGAGED</v>
      </c>
      <c r="R16" s="4" t="str">
        <f t="shared" si="6"/>
        <v>LOW</v>
      </c>
      <c r="S16" s="2"/>
      <c r="T16" s="2"/>
      <c r="U16" s="2"/>
      <c r="V16" s="2"/>
      <c r="W16" s="2"/>
      <c r="X16" s="2"/>
      <c r="Y16" s="2"/>
      <c r="Z16" s="2"/>
    </row>
    <row r="17" spans="1:26" ht="16.8" x14ac:dyDescent="0.3">
      <c r="A17" s="4">
        <v>20</v>
      </c>
      <c r="B17" s="4" t="s">
        <v>43</v>
      </c>
      <c r="C17" s="4">
        <v>29</v>
      </c>
      <c r="D17" s="4" t="s">
        <v>45</v>
      </c>
      <c r="E17" s="4" t="s">
        <v>53</v>
      </c>
      <c r="F17" s="4">
        <v>9980</v>
      </c>
      <c r="G17" s="4" t="s">
        <v>43</v>
      </c>
      <c r="H17" s="4">
        <v>10</v>
      </c>
      <c r="I17" s="4">
        <v>8</v>
      </c>
      <c r="J17" s="4">
        <v>1</v>
      </c>
      <c r="K17" s="4">
        <v>3</v>
      </c>
      <c r="L17" s="4" t="str">
        <f t="shared" si="0"/>
        <v>NORMAL</v>
      </c>
      <c r="M17" s="4" t="str">
        <f t="shared" si="1"/>
        <v>MEDIUM</v>
      </c>
      <c r="N17" s="4" t="str">
        <f t="shared" si="2"/>
        <v>SENIOR</v>
      </c>
      <c r="O17" s="4" t="str">
        <f t="shared" si="3"/>
        <v>STAGNANT</v>
      </c>
      <c r="P17" s="5" t="str">
        <f t="shared" si="4"/>
        <v>Medium_Pressure</v>
      </c>
      <c r="Q17" s="4" t="str">
        <f t="shared" si="5"/>
        <v>DISENGAGED</v>
      </c>
      <c r="R17" s="4" t="str">
        <f t="shared" si="6"/>
        <v>LOW</v>
      </c>
      <c r="S17" s="2"/>
      <c r="T17" s="2"/>
      <c r="U17" s="2"/>
      <c r="V17" s="2"/>
      <c r="W17" s="2"/>
      <c r="X17" s="2"/>
      <c r="Y17" s="2"/>
      <c r="Z17" s="2"/>
    </row>
    <row r="18" spans="1:26" ht="16.8" x14ac:dyDescent="0.3">
      <c r="A18" s="4">
        <v>21</v>
      </c>
      <c r="B18" s="4" t="s">
        <v>43</v>
      </c>
      <c r="C18" s="4">
        <v>32</v>
      </c>
      <c r="D18" s="4" t="s">
        <v>45</v>
      </c>
      <c r="E18" s="4" t="s">
        <v>47</v>
      </c>
      <c r="F18" s="4">
        <v>3298</v>
      </c>
      <c r="G18" s="4" t="s">
        <v>35</v>
      </c>
      <c r="H18" s="4">
        <v>6</v>
      </c>
      <c r="I18" s="4">
        <v>0</v>
      </c>
      <c r="J18" s="4">
        <v>2</v>
      </c>
      <c r="K18" s="4">
        <v>2</v>
      </c>
      <c r="L18" s="4" t="str">
        <f t="shared" si="0"/>
        <v>NORMAL</v>
      </c>
      <c r="M18" s="4" t="str">
        <f t="shared" si="1"/>
        <v>LOW</v>
      </c>
      <c r="N18" s="4" t="str">
        <f t="shared" si="2"/>
        <v>MID</v>
      </c>
      <c r="O18" s="4" t="str">
        <f t="shared" si="3"/>
        <v>RECENTLY PROMOTED</v>
      </c>
      <c r="P18" s="5" t="str">
        <f t="shared" si="4"/>
        <v>High_Pressure</v>
      </c>
      <c r="Q18" s="4" t="str">
        <f t="shared" si="5"/>
        <v>DISENGAGED</v>
      </c>
      <c r="R18" s="4" t="str">
        <f t="shared" si="6"/>
        <v>LOW</v>
      </c>
      <c r="S18" s="2"/>
      <c r="T18" s="2"/>
      <c r="U18" s="2"/>
      <c r="V18" s="2"/>
      <c r="W18" s="2"/>
      <c r="X18" s="2"/>
      <c r="Y18" s="2"/>
      <c r="Z18" s="2"/>
    </row>
    <row r="19" spans="1:26" ht="16.8" x14ac:dyDescent="0.3">
      <c r="A19" s="4">
        <v>22</v>
      </c>
      <c r="B19" s="4" t="s">
        <v>43</v>
      </c>
      <c r="C19" s="4">
        <v>22</v>
      </c>
      <c r="D19" s="4" t="s">
        <v>45</v>
      </c>
      <c r="E19" s="4" t="s">
        <v>50</v>
      </c>
      <c r="F19" s="4">
        <v>2935</v>
      </c>
      <c r="G19" s="4" t="s">
        <v>35</v>
      </c>
      <c r="H19" s="4">
        <v>1</v>
      </c>
      <c r="I19" s="4">
        <v>0</v>
      </c>
      <c r="J19" s="4">
        <v>4</v>
      </c>
      <c r="K19" s="4">
        <v>2</v>
      </c>
      <c r="L19" s="4" t="str">
        <f t="shared" si="0"/>
        <v>NORMAL</v>
      </c>
      <c r="M19" s="4" t="str">
        <f t="shared" si="1"/>
        <v>LOW</v>
      </c>
      <c r="N19" s="4" t="str">
        <f t="shared" si="2"/>
        <v>NEW</v>
      </c>
      <c r="O19" s="4" t="str">
        <f t="shared" si="3"/>
        <v>RECENTLY PROMOTED</v>
      </c>
      <c r="P19" s="5" t="str">
        <f t="shared" si="4"/>
        <v>High_Pressure</v>
      </c>
      <c r="Q19" s="4" t="str">
        <f t="shared" si="5"/>
        <v>DISENGAGED</v>
      </c>
      <c r="R19" s="4" t="str">
        <f t="shared" si="6"/>
        <v>LOW</v>
      </c>
      <c r="S19" s="2"/>
      <c r="T19" s="2"/>
      <c r="U19" s="2"/>
      <c r="V19" s="2"/>
      <c r="W19" s="2"/>
      <c r="X19" s="2"/>
      <c r="Y19" s="2"/>
      <c r="Z19" s="2"/>
    </row>
    <row r="20" spans="1:26" ht="16.8" x14ac:dyDescent="0.3">
      <c r="A20" s="4">
        <v>23</v>
      </c>
      <c r="B20" s="4" t="s">
        <v>43</v>
      </c>
      <c r="C20" s="4">
        <v>53</v>
      </c>
      <c r="D20" s="4" t="s">
        <v>37</v>
      </c>
      <c r="E20" s="4" t="s">
        <v>56</v>
      </c>
      <c r="F20" s="4">
        <v>15427</v>
      </c>
      <c r="G20" s="4" t="s">
        <v>43</v>
      </c>
      <c r="H20" s="4">
        <v>25</v>
      </c>
      <c r="I20" s="4">
        <v>3</v>
      </c>
      <c r="J20" s="4">
        <v>4</v>
      </c>
      <c r="K20" s="4">
        <v>3</v>
      </c>
      <c r="L20" s="4" t="str">
        <f t="shared" si="0"/>
        <v>NORMAL</v>
      </c>
      <c r="M20" s="4" t="str">
        <f t="shared" si="1"/>
        <v>MEDIUM</v>
      </c>
      <c r="N20" s="4" t="str">
        <f t="shared" si="2"/>
        <v>SENIOR</v>
      </c>
      <c r="O20" s="4" t="str">
        <f t="shared" si="3"/>
        <v>MODERATE-WAIT</v>
      </c>
      <c r="P20" s="5" t="str">
        <f t="shared" si="4"/>
        <v>Medium_Pressure</v>
      </c>
      <c r="Q20" s="4" t="str">
        <f t="shared" si="5"/>
        <v>HIGHLY_ENGAGED</v>
      </c>
      <c r="R20" s="4" t="str">
        <f t="shared" si="6"/>
        <v>LOW</v>
      </c>
      <c r="S20" s="2"/>
      <c r="T20" s="2"/>
      <c r="U20" s="2"/>
      <c r="V20" s="2"/>
      <c r="W20" s="2"/>
      <c r="X20" s="2"/>
      <c r="Y20" s="2"/>
      <c r="Z20" s="2"/>
    </row>
    <row r="21" spans="1:26" ht="16.8" x14ac:dyDescent="0.3">
      <c r="A21" s="4">
        <v>24</v>
      </c>
      <c r="B21" s="4" t="s">
        <v>43</v>
      </c>
      <c r="C21" s="4">
        <v>38</v>
      </c>
      <c r="D21" s="4" t="s">
        <v>45</v>
      </c>
      <c r="E21" s="4" t="s">
        <v>47</v>
      </c>
      <c r="F21" s="4">
        <v>3944</v>
      </c>
      <c r="G21" s="4" t="s">
        <v>35</v>
      </c>
      <c r="H21" s="4">
        <v>3</v>
      </c>
      <c r="I21" s="4">
        <v>1</v>
      </c>
      <c r="J21" s="4">
        <v>4</v>
      </c>
      <c r="K21" s="4">
        <v>3</v>
      </c>
      <c r="L21" s="4" t="str">
        <f t="shared" si="0"/>
        <v>NORMAL</v>
      </c>
      <c r="M21" s="4" t="str">
        <f t="shared" si="1"/>
        <v>LOW</v>
      </c>
      <c r="N21" s="4" t="str">
        <f t="shared" si="2"/>
        <v>MID</v>
      </c>
      <c r="O21" s="4" t="str">
        <f t="shared" si="3"/>
        <v>RECENTLY PROMOTED</v>
      </c>
      <c r="P21" s="5" t="str">
        <f t="shared" si="4"/>
        <v>Medium_Pressure</v>
      </c>
      <c r="Q21" s="4" t="str">
        <f t="shared" si="5"/>
        <v>HIGHLY_ENGAGED</v>
      </c>
      <c r="R21" s="4" t="str">
        <f t="shared" si="6"/>
        <v>LOW</v>
      </c>
      <c r="S21" s="2"/>
      <c r="T21" s="2"/>
      <c r="U21" s="2"/>
      <c r="V21" s="2"/>
      <c r="W21" s="2"/>
      <c r="X21" s="2"/>
      <c r="Y21" s="2"/>
      <c r="Z21" s="2"/>
    </row>
    <row r="22" spans="1:26" ht="16.8" x14ac:dyDescent="0.3">
      <c r="A22" s="4">
        <v>26</v>
      </c>
      <c r="B22" s="4" t="s">
        <v>43</v>
      </c>
      <c r="C22" s="4">
        <v>24</v>
      </c>
      <c r="D22" s="4" t="s">
        <v>45</v>
      </c>
      <c r="E22" s="4" t="s">
        <v>53</v>
      </c>
      <c r="F22" s="4">
        <v>4011</v>
      </c>
      <c r="G22" s="4" t="s">
        <v>43</v>
      </c>
      <c r="H22" s="4">
        <v>4</v>
      </c>
      <c r="I22" s="4">
        <v>1</v>
      </c>
      <c r="J22" s="4">
        <v>3</v>
      </c>
      <c r="K22" s="4">
        <v>2</v>
      </c>
      <c r="L22" s="4" t="str">
        <f t="shared" si="0"/>
        <v>NORMAL</v>
      </c>
      <c r="M22" s="4" t="str">
        <f t="shared" si="1"/>
        <v>HIGH</v>
      </c>
      <c r="N22" s="4" t="str">
        <f t="shared" si="2"/>
        <v>MID</v>
      </c>
      <c r="O22" s="4" t="str">
        <f t="shared" si="3"/>
        <v>RECENTLY PROMOTED</v>
      </c>
      <c r="P22" s="5" t="str">
        <f t="shared" si="4"/>
        <v>Low_Pressure</v>
      </c>
      <c r="Q22" s="4" t="str">
        <f t="shared" si="5"/>
        <v>DISENGAGED</v>
      </c>
      <c r="R22" s="4" t="str">
        <f t="shared" si="6"/>
        <v>LOW</v>
      </c>
      <c r="S22" s="2"/>
      <c r="T22" s="2"/>
      <c r="U22" s="2"/>
      <c r="V22" s="2"/>
      <c r="W22" s="2"/>
      <c r="X22" s="2"/>
      <c r="Y22" s="2"/>
      <c r="Z22" s="2"/>
    </row>
    <row r="23" spans="1:26" ht="16.8" x14ac:dyDescent="0.3">
      <c r="A23" s="4">
        <v>27</v>
      </c>
      <c r="B23" s="4" t="s">
        <v>35</v>
      </c>
      <c r="C23" s="4">
        <v>36</v>
      </c>
      <c r="D23" s="4" t="s">
        <v>37</v>
      </c>
      <c r="E23" s="4" t="s">
        <v>57</v>
      </c>
      <c r="F23" s="4">
        <v>3407</v>
      </c>
      <c r="G23" s="4" t="s">
        <v>43</v>
      </c>
      <c r="H23" s="4">
        <v>5</v>
      </c>
      <c r="I23" s="4">
        <v>0</v>
      </c>
      <c r="J23" s="4">
        <v>1</v>
      </c>
      <c r="K23" s="4">
        <v>3</v>
      </c>
      <c r="L23" s="4" t="str">
        <f t="shared" si="0"/>
        <v>NORMAL</v>
      </c>
      <c r="M23" s="4" t="str">
        <f t="shared" si="1"/>
        <v>LOW</v>
      </c>
      <c r="N23" s="4" t="str">
        <f t="shared" si="2"/>
        <v>MID</v>
      </c>
      <c r="O23" s="4" t="str">
        <f t="shared" si="3"/>
        <v>RECENTLY PROMOTED</v>
      </c>
      <c r="P23" s="5" t="str">
        <f t="shared" si="4"/>
        <v>Medium_Pressure</v>
      </c>
      <c r="Q23" s="4" t="str">
        <f t="shared" si="5"/>
        <v>DISENGAGED</v>
      </c>
      <c r="R23" s="4" t="str">
        <f t="shared" si="6"/>
        <v>LOW</v>
      </c>
      <c r="S23" s="2"/>
      <c r="T23" s="2"/>
      <c r="U23" s="2"/>
      <c r="V23" s="2"/>
      <c r="W23" s="2"/>
      <c r="X23" s="2"/>
      <c r="Y23" s="2"/>
      <c r="Z23" s="2"/>
    </row>
    <row r="24" spans="1:26" ht="16.8" x14ac:dyDescent="0.3">
      <c r="A24" s="4">
        <v>28</v>
      </c>
      <c r="B24" s="4" t="s">
        <v>43</v>
      </c>
      <c r="C24" s="4">
        <v>34</v>
      </c>
      <c r="D24" s="4" t="s">
        <v>45</v>
      </c>
      <c r="E24" s="4" t="s">
        <v>58</v>
      </c>
      <c r="F24" s="4">
        <v>11994</v>
      </c>
      <c r="G24" s="4" t="s">
        <v>43</v>
      </c>
      <c r="H24" s="4">
        <v>12</v>
      </c>
      <c r="I24" s="4">
        <v>2</v>
      </c>
      <c r="J24" s="4">
        <v>2</v>
      </c>
      <c r="K24" s="4">
        <v>3</v>
      </c>
      <c r="L24" s="4" t="str">
        <f t="shared" si="0"/>
        <v>NORMAL</v>
      </c>
      <c r="M24" s="4" t="str">
        <f t="shared" si="1"/>
        <v>MEDIUM</v>
      </c>
      <c r="N24" s="4" t="str">
        <f t="shared" si="2"/>
        <v>SENIOR</v>
      </c>
      <c r="O24" s="4" t="str">
        <f t="shared" si="3"/>
        <v>MODERATE-WAIT</v>
      </c>
      <c r="P24" s="5" t="str">
        <f t="shared" si="4"/>
        <v>Medium_Pressure</v>
      </c>
      <c r="Q24" s="4" t="str">
        <f t="shared" si="5"/>
        <v>DISENGAGED</v>
      </c>
      <c r="R24" s="4" t="str">
        <f t="shared" si="6"/>
        <v>LOW</v>
      </c>
      <c r="S24" s="2"/>
      <c r="T24" s="2"/>
      <c r="U24" s="2"/>
      <c r="V24" s="2"/>
      <c r="W24" s="2"/>
      <c r="X24" s="2"/>
      <c r="Y24" s="2"/>
      <c r="Z24" s="2"/>
    </row>
    <row r="25" spans="1:26" ht="16.8" x14ac:dyDescent="0.3">
      <c r="A25" s="4">
        <v>30</v>
      </c>
      <c r="B25" s="4" t="s">
        <v>43</v>
      </c>
      <c r="C25" s="4">
        <v>21</v>
      </c>
      <c r="D25" s="4" t="s">
        <v>45</v>
      </c>
      <c r="E25" s="4" t="s">
        <v>47</v>
      </c>
      <c r="F25" s="4">
        <v>1232</v>
      </c>
      <c r="G25" s="4" t="s">
        <v>43</v>
      </c>
      <c r="H25" s="4">
        <v>0</v>
      </c>
      <c r="I25" s="4">
        <v>0</v>
      </c>
      <c r="J25" s="4">
        <v>4</v>
      </c>
      <c r="K25" s="4">
        <v>3</v>
      </c>
      <c r="L25" s="4" t="str">
        <f t="shared" si="0"/>
        <v>NORMAL</v>
      </c>
      <c r="M25" s="4" t="str">
        <f t="shared" si="1"/>
        <v>LOW</v>
      </c>
      <c r="N25" s="4" t="str">
        <f t="shared" si="2"/>
        <v>NEW</v>
      </c>
      <c r="O25" s="4" t="str">
        <f t="shared" si="3"/>
        <v>RECENTLY PROMOTED</v>
      </c>
      <c r="P25" s="5" t="str">
        <f t="shared" si="4"/>
        <v>Medium_Pressure</v>
      </c>
      <c r="Q25" s="4" t="str">
        <f t="shared" si="5"/>
        <v>HIGHLY_ENGAGED</v>
      </c>
      <c r="R25" s="4" t="str">
        <f t="shared" si="6"/>
        <v>LOW</v>
      </c>
      <c r="S25" s="2"/>
      <c r="T25" s="2"/>
      <c r="U25" s="2"/>
      <c r="V25" s="2"/>
      <c r="W25" s="2"/>
      <c r="X25" s="2"/>
      <c r="Y25" s="2"/>
      <c r="Z25" s="2"/>
    </row>
    <row r="26" spans="1:26" ht="16.8" x14ac:dyDescent="0.3">
      <c r="A26" s="4">
        <v>31</v>
      </c>
      <c r="B26" s="4" t="s">
        <v>35</v>
      </c>
      <c r="C26" s="4">
        <v>34</v>
      </c>
      <c r="D26" s="4" t="s">
        <v>45</v>
      </c>
      <c r="E26" s="4" t="s">
        <v>47</v>
      </c>
      <c r="F26" s="4">
        <v>2960</v>
      </c>
      <c r="G26" s="4" t="s">
        <v>43</v>
      </c>
      <c r="H26" s="4">
        <v>4</v>
      </c>
      <c r="I26" s="4">
        <v>1</v>
      </c>
      <c r="J26" s="4">
        <v>1</v>
      </c>
      <c r="K26" s="4">
        <v>3</v>
      </c>
      <c r="L26" s="4" t="str">
        <f t="shared" si="0"/>
        <v>NORMAL</v>
      </c>
      <c r="M26" s="4" t="str">
        <f t="shared" si="1"/>
        <v>LOW</v>
      </c>
      <c r="N26" s="4" t="str">
        <f t="shared" si="2"/>
        <v>MID</v>
      </c>
      <c r="O26" s="4" t="str">
        <f t="shared" si="3"/>
        <v>RECENTLY PROMOTED</v>
      </c>
      <c r="P26" s="5" t="str">
        <f t="shared" si="4"/>
        <v>Medium_Pressure</v>
      </c>
      <c r="Q26" s="4" t="str">
        <f t="shared" si="5"/>
        <v>DISENGAGED</v>
      </c>
      <c r="R26" s="4" t="str">
        <f t="shared" si="6"/>
        <v>LOW</v>
      </c>
      <c r="S26" s="2"/>
      <c r="T26" s="2"/>
      <c r="U26" s="2"/>
      <c r="V26" s="2"/>
      <c r="W26" s="2"/>
      <c r="X26" s="2"/>
      <c r="Y26" s="2"/>
      <c r="Z26" s="2"/>
    </row>
    <row r="27" spans="1:26" ht="16.8" x14ac:dyDescent="0.3">
      <c r="A27" s="4">
        <v>32</v>
      </c>
      <c r="B27" s="4" t="s">
        <v>43</v>
      </c>
      <c r="C27" s="4">
        <v>53</v>
      </c>
      <c r="D27" s="4" t="s">
        <v>45</v>
      </c>
      <c r="E27" s="4" t="s">
        <v>56</v>
      </c>
      <c r="F27" s="4">
        <v>19094</v>
      </c>
      <c r="G27" s="4" t="s">
        <v>43</v>
      </c>
      <c r="H27" s="4">
        <v>14</v>
      </c>
      <c r="I27" s="4">
        <v>4</v>
      </c>
      <c r="J27" s="4">
        <v>3</v>
      </c>
      <c r="K27" s="4">
        <v>2</v>
      </c>
      <c r="L27" s="4" t="str">
        <f t="shared" si="0"/>
        <v>NORMAL</v>
      </c>
      <c r="M27" s="4" t="str">
        <f t="shared" si="1"/>
        <v>MEDIUM</v>
      </c>
      <c r="N27" s="4" t="str">
        <f t="shared" si="2"/>
        <v>SENIOR</v>
      </c>
      <c r="O27" s="4" t="str">
        <f t="shared" si="3"/>
        <v>STAGNANT</v>
      </c>
      <c r="P27" s="5" t="str">
        <f t="shared" si="4"/>
        <v>Low_Pressure</v>
      </c>
      <c r="Q27" s="4" t="str">
        <f t="shared" si="5"/>
        <v>DISENGAGED</v>
      </c>
      <c r="R27" s="4" t="str">
        <f t="shared" si="6"/>
        <v>LOW</v>
      </c>
      <c r="S27" s="2"/>
      <c r="T27" s="2"/>
      <c r="U27" s="2"/>
      <c r="V27" s="2"/>
      <c r="W27" s="2"/>
      <c r="X27" s="2"/>
      <c r="Y27" s="2"/>
      <c r="Z27" s="2"/>
    </row>
    <row r="28" spans="1:26" ht="16.8" x14ac:dyDescent="0.3">
      <c r="A28" s="4">
        <v>33</v>
      </c>
      <c r="B28" s="4" t="s">
        <v>35</v>
      </c>
      <c r="C28" s="4">
        <v>32</v>
      </c>
      <c r="D28" s="4" t="s">
        <v>45</v>
      </c>
      <c r="E28" s="4" t="s">
        <v>47</v>
      </c>
      <c r="F28" s="4">
        <v>3919</v>
      </c>
      <c r="G28" s="4" t="s">
        <v>35</v>
      </c>
      <c r="H28" s="4">
        <v>10</v>
      </c>
      <c r="I28" s="4">
        <v>6</v>
      </c>
      <c r="J28" s="4">
        <v>1</v>
      </c>
      <c r="K28" s="4">
        <v>3</v>
      </c>
      <c r="L28" s="4" t="str">
        <f t="shared" si="0"/>
        <v>HIGH RISK</v>
      </c>
      <c r="M28" s="4" t="str">
        <f t="shared" si="1"/>
        <v>LOW</v>
      </c>
      <c r="N28" s="4" t="str">
        <f t="shared" si="2"/>
        <v>SENIOR</v>
      </c>
      <c r="O28" s="4" t="str">
        <f t="shared" si="3"/>
        <v>STAGNANT</v>
      </c>
      <c r="P28" s="5" t="str">
        <f t="shared" si="4"/>
        <v>Medium_Pressure</v>
      </c>
      <c r="Q28" s="4" t="str">
        <f t="shared" si="5"/>
        <v>DISENGAGED</v>
      </c>
      <c r="R28" s="4" t="str">
        <f t="shared" si="6"/>
        <v>LOW</v>
      </c>
      <c r="S28" s="2"/>
      <c r="T28" s="2"/>
      <c r="U28" s="2"/>
      <c r="V28" s="2"/>
      <c r="W28" s="2"/>
      <c r="X28" s="2"/>
      <c r="Y28" s="2"/>
      <c r="Z28" s="2"/>
    </row>
    <row r="29" spans="1:26" ht="16.8" x14ac:dyDescent="0.3">
      <c r="A29" s="4">
        <v>35</v>
      </c>
      <c r="B29" s="4" t="s">
        <v>43</v>
      </c>
      <c r="C29" s="4">
        <v>42</v>
      </c>
      <c r="D29" s="4" t="s">
        <v>37</v>
      </c>
      <c r="E29" s="4" t="s">
        <v>40</v>
      </c>
      <c r="F29" s="4">
        <v>6825</v>
      </c>
      <c r="G29" s="4" t="s">
        <v>43</v>
      </c>
      <c r="H29" s="4">
        <v>9</v>
      </c>
      <c r="I29" s="4">
        <v>4</v>
      </c>
      <c r="J29" s="4">
        <v>2</v>
      </c>
      <c r="K29" s="4">
        <v>3</v>
      </c>
      <c r="L29" s="4" t="str">
        <f t="shared" si="0"/>
        <v>NORMAL</v>
      </c>
      <c r="M29" s="4" t="str">
        <f t="shared" si="1"/>
        <v>HIGH</v>
      </c>
      <c r="N29" s="4" t="str">
        <f t="shared" si="2"/>
        <v>SENIOR</v>
      </c>
      <c r="O29" s="4" t="str">
        <f t="shared" si="3"/>
        <v>STAGNANT</v>
      </c>
      <c r="P29" s="5" t="str">
        <f t="shared" si="4"/>
        <v>Medium_Pressure</v>
      </c>
      <c r="Q29" s="4" t="str">
        <f t="shared" si="5"/>
        <v>DISENGAGED</v>
      </c>
      <c r="R29" s="4" t="str">
        <f t="shared" si="6"/>
        <v>LOW</v>
      </c>
      <c r="S29" s="2"/>
      <c r="T29" s="2"/>
      <c r="U29" s="2"/>
      <c r="V29" s="2"/>
      <c r="W29" s="2"/>
      <c r="X29" s="2"/>
      <c r="Y29" s="2"/>
      <c r="Z29" s="2"/>
    </row>
    <row r="30" spans="1:26" ht="16.8" x14ac:dyDescent="0.3">
      <c r="A30" s="4">
        <v>36</v>
      </c>
      <c r="B30" s="4" t="s">
        <v>43</v>
      </c>
      <c r="C30" s="4">
        <v>44</v>
      </c>
      <c r="D30" s="4" t="s">
        <v>45</v>
      </c>
      <c r="E30" s="4" t="s">
        <v>54</v>
      </c>
      <c r="F30" s="4">
        <v>10248</v>
      </c>
      <c r="G30" s="4" t="s">
        <v>43</v>
      </c>
      <c r="H30" s="4">
        <v>22</v>
      </c>
      <c r="I30" s="4">
        <v>5</v>
      </c>
      <c r="J30" s="4">
        <v>4</v>
      </c>
      <c r="K30" s="4">
        <v>3</v>
      </c>
      <c r="L30" s="4" t="str">
        <f t="shared" si="0"/>
        <v>NORMAL</v>
      </c>
      <c r="M30" s="4" t="str">
        <f t="shared" si="1"/>
        <v>MEDIUM</v>
      </c>
      <c r="N30" s="4" t="str">
        <f t="shared" si="2"/>
        <v>SENIOR</v>
      </c>
      <c r="O30" s="4" t="str">
        <f t="shared" si="3"/>
        <v>STAGNANT</v>
      </c>
      <c r="P30" s="5" t="str">
        <f t="shared" si="4"/>
        <v>Medium_Pressure</v>
      </c>
      <c r="Q30" s="4" t="str">
        <f t="shared" si="5"/>
        <v>HIGHLY_ENGAGED</v>
      </c>
      <c r="R30" s="4" t="str">
        <f t="shared" si="6"/>
        <v>LOW</v>
      </c>
      <c r="S30" s="2"/>
      <c r="T30" s="2"/>
      <c r="U30" s="2"/>
      <c r="V30" s="2"/>
      <c r="W30" s="2"/>
      <c r="X30" s="2"/>
      <c r="Y30" s="2"/>
      <c r="Z30" s="2"/>
    </row>
    <row r="31" spans="1:26" ht="16.8" x14ac:dyDescent="0.3">
      <c r="A31" s="4">
        <v>38</v>
      </c>
      <c r="B31" s="4" t="s">
        <v>43</v>
      </c>
      <c r="C31" s="4">
        <v>46</v>
      </c>
      <c r="D31" s="4" t="s">
        <v>37</v>
      </c>
      <c r="E31" s="4" t="s">
        <v>56</v>
      </c>
      <c r="F31" s="4">
        <v>18947</v>
      </c>
      <c r="G31" s="4" t="s">
        <v>43</v>
      </c>
      <c r="H31" s="4">
        <v>2</v>
      </c>
      <c r="I31" s="4">
        <v>2</v>
      </c>
      <c r="J31" s="4">
        <v>1</v>
      </c>
      <c r="K31" s="4">
        <v>2</v>
      </c>
      <c r="L31" s="4" t="str">
        <f t="shared" si="0"/>
        <v>NORMAL</v>
      </c>
      <c r="M31" s="4" t="str">
        <f t="shared" si="1"/>
        <v>MEDIUM</v>
      </c>
      <c r="N31" s="4" t="str">
        <f t="shared" si="2"/>
        <v>NEW</v>
      </c>
      <c r="O31" s="4" t="str">
        <f t="shared" si="3"/>
        <v>MODERATE-WAIT</v>
      </c>
      <c r="P31" s="5" t="str">
        <f t="shared" si="4"/>
        <v>Low_Pressure</v>
      </c>
      <c r="Q31" s="4" t="str">
        <f t="shared" si="5"/>
        <v>DISENGAGED</v>
      </c>
      <c r="R31" s="4" t="str">
        <f t="shared" si="6"/>
        <v>LOW</v>
      </c>
      <c r="S31" s="2"/>
      <c r="T31" s="2"/>
      <c r="U31" s="2"/>
      <c r="V31" s="2"/>
      <c r="W31" s="2"/>
      <c r="X31" s="2"/>
      <c r="Y31" s="2"/>
      <c r="Z31" s="2"/>
    </row>
    <row r="32" spans="1:26" ht="16.8" x14ac:dyDescent="0.3">
      <c r="A32" s="4">
        <v>39</v>
      </c>
      <c r="B32" s="4" t="s">
        <v>43</v>
      </c>
      <c r="C32" s="4">
        <v>33</v>
      </c>
      <c r="D32" s="4" t="s">
        <v>45</v>
      </c>
      <c r="E32" s="4" t="s">
        <v>50</v>
      </c>
      <c r="F32" s="4">
        <v>2496</v>
      </c>
      <c r="G32" s="4" t="s">
        <v>43</v>
      </c>
      <c r="H32" s="4">
        <v>1</v>
      </c>
      <c r="I32" s="4">
        <v>0</v>
      </c>
      <c r="J32" s="4">
        <v>4</v>
      </c>
      <c r="K32" s="4">
        <v>3</v>
      </c>
      <c r="L32" s="4" t="str">
        <f t="shared" si="0"/>
        <v>NORMAL</v>
      </c>
      <c r="M32" s="4" t="str">
        <f t="shared" si="1"/>
        <v>LOW</v>
      </c>
      <c r="N32" s="4" t="str">
        <f t="shared" si="2"/>
        <v>NEW</v>
      </c>
      <c r="O32" s="4" t="str">
        <f t="shared" si="3"/>
        <v>RECENTLY PROMOTED</v>
      </c>
      <c r="P32" s="5" t="str">
        <f t="shared" si="4"/>
        <v>Medium_Pressure</v>
      </c>
      <c r="Q32" s="4" t="str">
        <f t="shared" si="5"/>
        <v>HIGHLY_ENGAGED</v>
      </c>
      <c r="R32" s="4" t="str">
        <f t="shared" si="6"/>
        <v>LOW</v>
      </c>
      <c r="S32" s="2"/>
      <c r="T32" s="2"/>
      <c r="U32" s="2"/>
      <c r="V32" s="2"/>
      <c r="W32" s="2"/>
      <c r="X32" s="2"/>
      <c r="Y32" s="2"/>
      <c r="Z32" s="2"/>
    </row>
    <row r="33" spans="1:26" ht="16.8" x14ac:dyDescent="0.3">
      <c r="A33" s="4">
        <v>40</v>
      </c>
      <c r="B33" s="4" t="s">
        <v>43</v>
      </c>
      <c r="C33" s="4">
        <v>44</v>
      </c>
      <c r="D33" s="4" t="s">
        <v>45</v>
      </c>
      <c r="E33" s="4" t="s">
        <v>54</v>
      </c>
      <c r="F33" s="4">
        <v>6465</v>
      </c>
      <c r="G33" s="4" t="s">
        <v>35</v>
      </c>
      <c r="H33" s="4">
        <v>4</v>
      </c>
      <c r="I33" s="4">
        <v>1</v>
      </c>
      <c r="J33" s="4">
        <v>4</v>
      </c>
      <c r="K33" s="4">
        <v>4</v>
      </c>
      <c r="L33" s="4" t="str">
        <f t="shared" si="0"/>
        <v>NORMAL</v>
      </c>
      <c r="M33" s="4" t="str">
        <f t="shared" si="1"/>
        <v>HIGH</v>
      </c>
      <c r="N33" s="4" t="str">
        <f t="shared" si="2"/>
        <v>MID</v>
      </c>
      <c r="O33" s="4" t="str">
        <f t="shared" si="3"/>
        <v>RECENTLY PROMOTED</v>
      </c>
      <c r="P33" s="5" t="str">
        <f t="shared" si="4"/>
        <v>Medium_Pressure</v>
      </c>
      <c r="Q33" s="4" t="str">
        <f t="shared" si="5"/>
        <v>HIGHLY_ENGAGED</v>
      </c>
      <c r="R33" s="4" t="str">
        <f t="shared" si="6"/>
        <v>LOW</v>
      </c>
      <c r="S33" s="2"/>
      <c r="T33" s="2"/>
      <c r="U33" s="2"/>
      <c r="V33" s="2"/>
      <c r="W33" s="2"/>
      <c r="X33" s="2"/>
      <c r="Y33" s="2"/>
      <c r="Z33" s="2"/>
    </row>
    <row r="34" spans="1:26" ht="16.8" x14ac:dyDescent="0.3">
      <c r="A34" s="4">
        <v>41</v>
      </c>
      <c r="B34" s="4" t="s">
        <v>43</v>
      </c>
      <c r="C34" s="4">
        <v>30</v>
      </c>
      <c r="D34" s="4" t="s">
        <v>45</v>
      </c>
      <c r="E34" s="4" t="s">
        <v>50</v>
      </c>
      <c r="F34" s="4">
        <v>2206</v>
      </c>
      <c r="G34" s="4" t="s">
        <v>43</v>
      </c>
      <c r="H34" s="4">
        <v>10</v>
      </c>
      <c r="I34" s="4">
        <v>1</v>
      </c>
      <c r="J34" s="4">
        <v>3</v>
      </c>
      <c r="K34" s="4">
        <v>3</v>
      </c>
      <c r="L34" s="4" t="str">
        <f t="shared" si="0"/>
        <v>NORMAL</v>
      </c>
      <c r="M34" s="4" t="str">
        <f t="shared" si="1"/>
        <v>LOW</v>
      </c>
      <c r="N34" s="4" t="str">
        <f t="shared" si="2"/>
        <v>SENIOR</v>
      </c>
      <c r="O34" s="4" t="str">
        <f t="shared" si="3"/>
        <v>RECENTLY PROMOTED</v>
      </c>
      <c r="P34" s="5" t="str">
        <f t="shared" si="4"/>
        <v>Medium_Pressure</v>
      </c>
      <c r="Q34" s="4" t="str">
        <f t="shared" si="5"/>
        <v>HIGHLY_ENGAGED</v>
      </c>
      <c r="R34" s="4" t="str">
        <f t="shared" si="6"/>
        <v>LOW</v>
      </c>
      <c r="S34" s="2"/>
      <c r="T34" s="2"/>
      <c r="U34" s="2"/>
      <c r="V34" s="2"/>
      <c r="W34" s="2"/>
      <c r="X34" s="2"/>
      <c r="Y34" s="2"/>
      <c r="Z34" s="2"/>
    </row>
    <row r="35" spans="1:26" ht="16.8" x14ac:dyDescent="0.3">
      <c r="A35" s="4">
        <v>42</v>
      </c>
      <c r="B35" s="4" t="s">
        <v>35</v>
      </c>
      <c r="C35" s="4">
        <v>39</v>
      </c>
      <c r="D35" s="4" t="s">
        <v>37</v>
      </c>
      <c r="E35" s="4" t="s">
        <v>57</v>
      </c>
      <c r="F35" s="4">
        <v>2086</v>
      </c>
      <c r="G35" s="4" t="s">
        <v>43</v>
      </c>
      <c r="H35" s="4">
        <v>1</v>
      </c>
      <c r="I35" s="4">
        <v>0</v>
      </c>
      <c r="J35" s="4">
        <v>4</v>
      </c>
      <c r="K35" s="4">
        <v>4</v>
      </c>
      <c r="L35" s="4" t="str">
        <f t="shared" si="0"/>
        <v>NORMAL</v>
      </c>
      <c r="M35" s="4" t="str">
        <f t="shared" si="1"/>
        <v>LOW</v>
      </c>
      <c r="N35" s="4" t="str">
        <f t="shared" si="2"/>
        <v>NEW</v>
      </c>
      <c r="O35" s="4" t="str">
        <f t="shared" si="3"/>
        <v>RECENTLY PROMOTED</v>
      </c>
      <c r="P35" s="5" t="str">
        <f t="shared" si="4"/>
        <v>Low_Pressure</v>
      </c>
      <c r="Q35" s="4" t="str">
        <f t="shared" si="5"/>
        <v>HIGHLY_ENGAGED</v>
      </c>
      <c r="R35" s="4" t="str">
        <f t="shared" si="6"/>
        <v>LOW</v>
      </c>
      <c r="S35" s="2"/>
      <c r="T35" s="2"/>
      <c r="U35" s="2"/>
      <c r="V35" s="2"/>
      <c r="W35" s="2"/>
      <c r="X35" s="2"/>
      <c r="Y35" s="2"/>
      <c r="Z35" s="2"/>
    </row>
    <row r="36" spans="1:26" ht="16.8" x14ac:dyDescent="0.3">
      <c r="A36" s="4">
        <v>45</v>
      </c>
      <c r="B36" s="4" t="s">
        <v>35</v>
      </c>
      <c r="C36" s="4">
        <v>24</v>
      </c>
      <c r="D36" s="4" t="s">
        <v>45</v>
      </c>
      <c r="E36" s="4" t="s">
        <v>47</v>
      </c>
      <c r="F36" s="4">
        <v>2293</v>
      </c>
      <c r="G36" s="4" t="s">
        <v>35</v>
      </c>
      <c r="H36" s="4">
        <v>2</v>
      </c>
      <c r="I36" s="4">
        <v>2</v>
      </c>
      <c r="J36" s="4">
        <v>4</v>
      </c>
      <c r="K36" s="4">
        <v>2</v>
      </c>
      <c r="L36" s="4" t="str">
        <f t="shared" si="0"/>
        <v>NORMAL</v>
      </c>
      <c r="M36" s="4" t="str">
        <f t="shared" si="1"/>
        <v>LOW</v>
      </c>
      <c r="N36" s="4" t="str">
        <f t="shared" si="2"/>
        <v>NEW</v>
      </c>
      <c r="O36" s="4" t="str">
        <f t="shared" si="3"/>
        <v>MODERATE-WAIT</v>
      </c>
      <c r="P36" s="5" t="str">
        <f t="shared" si="4"/>
        <v>High_Pressure</v>
      </c>
      <c r="Q36" s="4" t="str">
        <f t="shared" si="5"/>
        <v>DISENGAGED</v>
      </c>
      <c r="R36" s="4" t="str">
        <f t="shared" si="6"/>
        <v>LOW</v>
      </c>
      <c r="S36" s="2"/>
      <c r="T36" s="2"/>
      <c r="U36" s="2"/>
      <c r="V36" s="2"/>
      <c r="W36" s="2"/>
      <c r="X36" s="2"/>
      <c r="Y36" s="2"/>
      <c r="Z36" s="2"/>
    </row>
    <row r="37" spans="1:26" ht="16.8" x14ac:dyDescent="0.3">
      <c r="A37" s="4">
        <v>46</v>
      </c>
      <c r="B37" s="4" t="s">
        <v>43</v>
      </c>
      <c r="C37" s="4">
        <v>43</v>
      </c>
      <c r="D37" s="4" t="s">
        <v>45</v>
      </c>
      <c r="E37" s="4" t="s">
        <v>47</v>
      </c>
      <c r="F37" s="4">
        <v>2645</v>
      </c>
      <c r="G37" s="4" t="s">
        <v>43</v>
      </c>
      <c r="H37" s="4">
        <v>5</v>
      </c>
      <c r="I37" s="4">
        <v>1</v>
      </c>
      <c r="J37" s="4">
        <v>3</v>
      </c>
      <c r="K37" s="4">
        <v>2</v>
      </c>
      <c r="L37" s="4" t="str">
        <f t="shared" si="0"/>
        <v>NORMAL</v>
      </c>
      <c r="M37" s="4" t="str">
        <f t="shared" si="1"/>
        <v>LOW</v>
      </c>
      <c r="N37" s="4" t="str">
        <f t="shared" si="2"/>
        <v>MID</v>
      </c>
      <c r="O37" s="4" t="str">
        <f t="shared" si="3"/>
        <v>RECENTLY PROMOTED</v>
      </c>
      <c r="P37" s="5" t="str">
        <f t="shared" si="4"/>
        <v>Low_Pressure</v>
      </c>
      <c r="Q37" s="4" t="str">
        <f t="shared" si="5"/>
        <v>DISENGAGED</v>
      </c>
      <c r="R37" s="4" t="str">
        <f t="shared" si="6"/>
        <v>LOW</v>
      </c>
      <c r="S37" s="2"/>
      <c r="T37" s="2"/>
      <c r="U37" s="2"/>
      <c r="V37" s="2"/>
      <c r="W37" s="2"/>
      <c r="X37" s="2"/>
      <c r="Y37" s="2"/>
      <c r="Z37" s="2"/>
    </row>
    <row r="38" spans="1:26" ht="16.8" x14ac:dyDescent="0.3">
      <c r="A38" s="4">
        <v>47</v>
      </c>
      <c r="B38" s="4" t="s">
        <v>35</v>
      </c>
      <c r="C38" s="4">
        <v>50</v>
      </c>
      <c r="D38" s="4" t="s">
        <v>37</v>
      </c>
      <c r="E38" s="4" t="s">
        <v>57</v>
      </c>
      <c r="F38" s="4">
        <v>2683</v>
      </c>
      <c r="G38" s="4" t="s">
        <v>35</v>
      </c>
      <c r="H38" s="4">
        <v>3</v>
      </c>
      <c r="I38" s="4">
        <v>0</v>
      </c>
      <c r="J38" s="4">
        <v>3</v>
      </c>
      <c r="K38" s="4">
        <v>3</v>
      </c>
      <c r="L38" s="4" t="str">
        <f t="shared" si="0"/>
        <v>NORMAL</v>
      </c>
      <c r="M38" s="4" t="str">
        <f t="shared" si="1"/>
        <v>LOW</v>
      </c>
      <c r="N38" s="4" t="str">
        <f t="shared" si="2"/>
        <v>MID</v>
      </c>
      <c r="O38" s="4" t="str">
        <f t="shared" si="3"/>
        <v>RECENTLY PROMOTED</v>
      </c>
      <c r="P38" s="5" t="str">
        <f t="shared" si="4"/>
        <v>Medium_Pressure</v>
      </c>
      <c r="Q38" s="4" t="str">
        <f t="shared" si="5"/>
        <v>HIGHLY_ENGAGED</v>
      </c>
      <c r="R38" s="4" t="str">
        <f t="shared" si="6"/>
        <v>LOW</v>
      </c>
      <c r="S38" s="2"/>
      <c r="T38" s="2"/>
      <c r="U38" s="2"/>
      <c r="V38" s="2"/>
      <c r="W38" s="2"/>
      <c r="X38" s="2"/>
      <c r="Y38" s="2"/>
      <c r="Z38" s="2"/>
    </row>
    <row r="39" spans="1:26" ht="16.8" x14ac:dyDescent="0.3">
      <c r="A39" s="4">
        <v>49</v>
      </c>
      <c r="B39" s="4" t="s">
        <v>43</v>
      </c>
      <c r="C39" s="4">
        <v>35</v>
      </c>
      <c r="D39" s="4" t="s">
        <v>37</v>
      </c>
      <c r="E39" s="4" t="s">
        <v>57</v>
      </c>
      <c r="F39" s="4">
        <v>2014</v>
      </c>
      <c r="G39" s="4" t="s">
        <v>43</v>
      </c>
      <c r="H39" s="4">
        <v>2</v>
      </c>
      <c r="I39" s="4">
        <v>2</v>
      </c>
      <c r="J39" s="4">
        <v>4</v>
      </c>
      <c r="K39" s="4">
        <v>3</v>
      </c>
      <c r="L39" s="4" t="str">
        <f t="shared" si="0"/>
        <v>NORMAL</v>
      </c>
      <c r="M39" s="4" t="str">
        <f t="shared" si="1"/>
        <v>LOW</v>
      </c>
      <c r="N39" s="4" t="str">
        <f t="shared" si="2"/>
        <v>NEW</v>
      </c>
      <c r="O39" s="4" t="str">
        <f t="shared" si="3"/>
        <v>MODERATE-WAIT</v>
      </c>
      <c r="P39" s="5" t="str">
        <f t="shared" si="4"/>
        <v>Medium_Pressure</v>
      </c>
      <c r="Q39" s="4" t="str">
        <f t="shared" si="5"/>
        <v>HIGHLY_ENGAGED</v>
      </c>
      <c r="R39" s="4" t="str">
        <f t="shared" si="6"/>
        <v>LOW</v>
      </c>
      <c r="S39" s="2"/>
      <c r="T39" s="2"/>
      <c r="U39" s="2"/>
      <c r="V39" s="2"/>
      <c r="W39" s="2"/>
      <c r="X39" s="2"/>
      <c r="Y39" s="2"/>
      <c r="Z39" s="2"/>
    </row>
    <row r="40" spans="1:26" ht="16.8" x14ac:dyDescent="0.3">
      <c r="A40" s="4">
        <v>51</v>
      </c>
      <c r="B40" s="4" t="s">
        <v>43</v>
      </c>
      <c r="C40" s="4">
        <v>36</v>
      </c>
      <c r="D40" s="4" t="s">
        <v>45</v>
      </c>
      <c r="E40" s="4" t="s">
        <v>47</v>
      </c>
      <c r="F40" s="4">
        <v>3419</v>
      </c>
      <c r="G40" s="4" t="s">
        <v>35</v>
      </c>
      <c r="H40" s="4">
        <v>1</v>
      </c>
      <c r="I40" s="4">
        <v>0</v>
      </c>
      <c r="J40" s="4">
        <v>1</v>
      </c>
      <c r="K40" s="4">
        <v>4</v>
      </c>
      <c r="L40" s="4" t="str">
        <f t="shared" si="0"/>
        <v>NORMAL</v>
      </c>
      <c r="M40" s="4" t="str">
        <f t="shared" si="1"/>
        <v>LOW</v>
      </c>
      <c r="N40" s="4" t="str">
        <f t="shared" si="2"/>
        <v>NEW</v>
      </c>
      <c r="O40" s="4" t="str">
        <f t="shared" si="3"/>
        <v>RECENTLY PROMOTED</v>
      </c>
      <c r="P40" s="5" t="str">
        <f t="shared" si="4"/>
        <v>Medium_Pressure</v>
      </c>
      <c r="Q40" s="4" t="str">
        <f t="shared" si="5"/>
        <v>DISENGAGED</v>
      </c>
      <c r="R40" s="4" t="str">
        <f t="shared" si="6"/>
        <v>LOW</v>
      </c>
      <c r="S40" s="2"/>
      <c r="T40" s="2"/>
      <c r="U40" s="2"/>
      <c r="V40" s="2"/>
      <c r="W40" s="2"/>
      <c r="X40" s="2"/>
      <c r="Y40" s="2"/>
      <c r="Z40" s="2"/>
    </row>
    <row r="41" spans="1:26" ht="16.8" x14ac:dyDescent="0.3">
      <c r="A41" s="4">
        <v>52</v>
      </c>
      <c r="B41" s="4" t="s">
        <v>43</v>
      </c>
      <c r="C41" s="4">
        <v>33</v>
      </c>
      <c r="D41" s="4" t="s">
        <v>37</v>
      </c>
      <c r="E41" s="4" t="s">
        <v>40</v>
      </c>
      <c r="F41" s="4">
        <v>5376</v>
      </c>
      <c r="G41" s="4" t="s">
        <v>43</v>
      </c>
      <c r="H41" s="4">
        <v>5</v>
      </c>
      <c r="I41" s="4">
        <v>1</v>
      </c>
      <c r="J41" s="4">
        <v>1</v>
      </c>
      <c r="K41" s="4">
        <v>3</v>
      </c>
      <c r="L41" s="4" t="str">
        <f t="shared" si="0"/>
        <v>NORMAL</v>
      </c>
      <c r="M41" s="4" t="str">
        <f t="shared" si="1"/>
        <v>HIGH</v>
      </c>
      <c r="N41" s="4" t="str">
        <f t="shared" si="2"/>
        <v>MID</v>
      </c>
      <c r="O41" s="4" t="str">
        <f t="shared" si="3"/>
        <v>RECENTLY PROMOTED</v>
      </c>
      <c r="P41" s="5" t="str">
        <f t="shared" si="4"/>
        <v>Medium_Pressure</v>
      </c>
      <c r="Q41" s="4" t="str">
        <f t="shared" si="5"/>
        <v>DISENGAGED</v>
      </c>
      <c r="R41" s="4" t="str">
        <f t="shared" si="6"/>
        <v>LOW</v>
      </c>
      <c r="S41" s="2"/>
      <c r="T41" s="2"/>
      <c r="U41" s="2"/>
      <c r="V41" s="2"/>
      <c r="W41" s="2"/>
      <c r="X41" s="2"/>
      <c r="Y41" s="2"/>
      <c r="Z41" s="2"/>
    </row>
    <row r="42" spans="1:26" ht="16.8" x14ac:dyDescent="0.3">
      <c r="A42" s="4">
        <v>53</v>
      </c>
      <c r="B42" s="4" t="s">
        <v>43</v>
      </c>
      <c r="C42" s="4">
        <v>35</v>
      </c>
      <c r="D42" s="4" t="s">
        <v>45</v>
      </c>
      <c r="E42" s="4" t="s">
        <v>50</v>
      </c>
      <c r="F42" s="4">
        <v>1951</v>
      </c>
      <c r="G42" s="4" t="s">
        <v>43</v>
      </c>
      <c r="H42" s="4">
        <v>1</v>
      </c>
      <c r="I42" s="4">
        <v>0</v>
      </c>
      <c r="J42" s="4">
        <v>4</v>
      </c>
      <c r="K42" s="4">
        <v>3</v>
      </c>
      <c r="L42" s="4" t="str">
        <f t="shared" si="0"/>
        <v>NORMAL</v>
      </c>
      <c r="M42" s="4" t="str">
        <f t="shared" si="1"/>
        <v>LOW</v>
      </c>
      <c r="N42" s="4" t="str">
        <f t="shared" si="2"/>
        <v>NEW</v>
      </c>
      <c r="O42" s="4" t="str">
        <f t="shared" si="3"/>
        <v>RECENTLY PROMOTED</v>
      </c>
      <c r="P42" s="5" t="str">
        <f t="shared" si="4"/>
        <v>Medium_Pressure</v>
      </c>
      <c r="Q42" s="4" t="str">
        <f t="shared" si="5"/>
        <v>HIGHLY_ENGAGED</v>
      </c>
      <c r="R42" s="4" t="str">
        <f t="shared" si="6"/>
        <v>LOW</v>
      </c>
      <c r="S42" s="2"/>
      <c r="T42" s="2"/>
      <c r="U42" s="2"/>
      <c r="V42" s="2"/>
      <c r="W42" s="2"/>
      <c r="X42" s="2"/>
      <c r="Y42" s="2"/>
      <c r="Z42" s="2"/>
    </row>
    <row r="43" spans="1:26" ht="16.8" x14ac:dyDescent="0.3">
      <c r="A43" s="4">
        <v>54</v>
      </c>
      <c r="B43" s="4" t="s">
        <v>43</v>
      </c>
      <c r="C43" s="4">
        <v>27</v>
      </c>
      <c r="D43" s="4" t="s">
        <v>45</v>
      </c>
      <c r="E43" s="4" t="s">
        <v>50</v>
      </c>
      <c r="F43" s="4">
        <v>2341</v>
      </c>
      <c r="G43" s="4" t="s">
        <v>43</v>
      </c>
      <c r="H43" s="4">
        <v>1</v>
      </c>
      <c r="I43" s="4">
        <v>0</v>
      </c>
      <c r="J43" s="4">
        <v>1</v>
      </c>
      <c r="K43" s="4">
        <v>3</v>
      </c>
      <c r="L43" s="4" t="str">
        <f t="shared" si="0"/>
        <v>NORMAL</v>
      </c>
      <c r="M43" s="4" t="str">
        <f t="shared" si="1"/>
        <v>LOW</v>
      </c>
      <c r="N43" s="4" t="str">
        <f t="shared" si="2"/>
        <v>NEW</v>
      </c>
      <c r="O43" s="4" t="str">
        <f t="shared" si="3"/>
        <v>RECENTLY PROMOTED</v>
      </c>
      <c r="P43" s="5" t="str">
        <f t="shared" si="4"/>
        <v>Medium_Pressure</v>
      </c>
      <c r="Q43" s="4" t="str">
        <f t="shared" si="5"/>
        <v>DISENGAGED</v>
      </c>
      <c r="R43" s="4" t="str">
        <f t="shared" si="6"/>
        <v>LOW</v>
      </c>
      <c r="S43" s="2"/>
      <c r="T43" s="2"/>
      <c r="U43" s="2"/>
      <c r="V43" s="2"/>
      <c r="W43" s="2"/>
      <c r="X43" s="2"/>
      <c r="Y43" s="2"/>
      <c r="Z43" s="2"/>
    </row>
    <row r="44" spans="1:26" ht="16.8" x14ac:dyDescent="0.3">
      <c r="A44" s="4">
        <v>55</v>
      </c>
      <c r="B44" s="4" t="s">
        <v>35</v>
      </c>
      <c r="C44" s="4">
        <v>26</v>
      </c>
      <c r="D44" s="4" t="s">
        <v>45</v>
      </c>
      <c r="E44" s="4" t="s">
        <v>50</v>
      </c>
      <c r="F44" s="4">
        <v>2293</v>
      </c>
      <c r="G44" s="4" t="s">
        <v>43</v>
      </c>
      <c r="H44" s="4">
        <v>1</v>
      </c>
      <c r="I44" s="4">
        <v>0</v>
      </c>
      <c r="J44" s="4">
        <v>3</v>
      </c>
      <c r="K44" s="4">
        <v>2</v>
      </c>
      <c r="L44" s="4" t="str">
        <f t="shared" si="0"/>
        <v>NORMAL</v>
      </c>
      <c r="M44" s="4" t="str">
        <f t="shared" si="1"/>
        <v>LOW</v>
      </c>
      <c r="N44" s="4" t="str">
        <f t="shared" si="2"/>
        <v>NEW</v>
      </c>
      <c r="O44" s="4" t="str">
        <f t="shared" si="3"/>
        <v>RECENTLY PROMOTED</v>
      </c>
      <c r="P44" s="5" t="str">
        <f t="shared" si="4"/>
        <v>Low_Pressure</v>
      </c>
      <c r="Q44" s="4" t="str">
        <f t="shared" si="5"/>
        <v>DISENGAGED</v>
      </c>
      <c r="R44" s="4" t="str">
        <f t="shared" si="6"/>
        <v>LOW</v>
      </c>
      <c r="S44" s="2"/>
      <c r="T44" s="2"/>
      <c r="U44" s="2"/>
      <c r="V44" s="2"/>
      <c r="W44" s="2"/>
      <c r="X44" s="2"/>
      <c r="Y44" s="2"/>
      <c r="Z44" s="2"/>
    </row>
    <row r="45" spans="1:26" ht="16.8" x14ac:dyDescent="0.3">
      <c r="A45" s="4">
        <v>56</v>
      </c>
      <c r="B45" s="4" t="s">
        <v>43</v>
      </c>
      <c r="C45" s="4">
        <v>27</v>
      </c>
      <c r="D45" s="4" t="s">
        <v>37</v>
      </c>
      <c r="E45" s="4" t="s">
        <v>40</v>
      </c>
      <c r="F45" s="4">
        <v>8726</v>
      </c>
      <c r="G45" s="4" t="s">
        <v>43</v>
      </c>
      <c r="H45" s="4">
        <v>9</v>
      </c>
      <c r="I45" s="4">
        <v>1</v>
      </c>
      <c r="J45" s="4">
        <v>3</v>
      </c>
      <c r="K45" s="4">
        <v>3</v>
      </c>
      <c r="L45" s="4" t="str">
        <f t="shared" si="0"/>
        <v>NORMAL</v>
      </c>
      <c r="M45" s="4" t="str">
        <f t="shared" si="1"/>
        <v>HIGH</v>
      </c>
      <c r="N45" s="4" t="str">
        <f t="shared" si="2"/>
        <v>SENIOR</v>
      </c>
      <c r="O45" s="4" t="str">
        <f t="shared" si="3"/>
        <v>RECENTLY PROMOTED</v>
      </c>
      <c r="P45" s="5" t="str">
        <f t="shared" si="4"/>
        <v>Medium_Pressure</v>
      </c>
      <c r="Q45" s="4" t="str">
        <f t="shared" si="5"/>
        <v>HIGHLY_ENGAGED</v>
      </c>
      <c r="R45" s="4" t="str">
        <f t="shared" si="6"/>
        <v>LOW</v>
      </c>
      <c r="S45" s="2"/>
      <c r="T45" s="2"/>
      <c r="U45" s="2"/>
      <c r="V45" s="2"/>
      <c r="W45" s="2"/>
      <c r="X45" s="2"/>
      <c r="Y45" s="2"/>
      <c r="Z45" s="2"/>
    </row>
    <row r="46" spans="1:26" ht="16.8" x14ac:dyDescent="0.3">
      <c r="A46" s="4">
        <v>57</v>
      </c>
      <c r="B46" s="4" t="s">
        <v>43</v>
      </c>
      <c r="C46" s="4">
        <v>30</v>
      </c>
      <c r="D46" s="4" t="s">
        <v>45</v>
      </c>
      <c r="E46" s="4" t="s">
        <v>50</v>
      </c>
      <c r="F46" s="4">
        <v>4011</v>
      </c>
      <c r="G46" s="4" t="s">
        <v>43</v>
      </c>
      <c r="H46" s="4">
        <v>12</v>
      </c>
      <c r="I46" s="4">
        <v>3</v>
      </c>
      <c r="J46" s="4">
        <v>4</v>
      </c>
      <c r="K46" s="4">
        <v>3</v>
      </c>
      <c r="L46" s="4" t="str">
        <f t="shared" si="0"/>
        <v>NORMAL</v>
      </c>
      <c r="M46" s="4" t="str">
        <f t="shared" si="1"/>
        <v>HIGH</v>
      </c>
      <c r="N46" s="4" t="str">
        <f t="shared" si="2"/>
        <v>SENIOR</v>
      </c>
      <c r="O46" s="4" t="str">
        <f t="shared" si="3"/>
        <v>MODERATE-WAIT</v>
      </c>
      <c r="P46" s="5" t="str">
        <f t="shared" si="4"/>
        <v>Medium_Pressure</v>
      </c>
      <c r="Q46" s="4" t="str">
        <f t="shared" si="5"/>
        <v>HIGHLY_ENGAGED</v>
      </c>
      <c r="R46" s="4" t="str">
        <f t="shared" si="6"/>
        <v>LOW</v>
      </c>
      <c r="S46" s="2"/>
      <c r="T46" s="2"/>
      <c r="U46" s="2"/>
      <c r="V46" s="2"/>
      <c r="W46" s="2"/>
      <c r="X46" s="2"/>
      <c r="Y46" s="2"/>
      <c r="Z46" s="2"/>
    </row>
    <row r="47" spans="1:26" ht="16.8" x14ac:dyDescent="0.3">
      <c r="A47" s="4">
        <v>58</v>
      </c>
      <c r="B47" s="4" t="s">
        <v>35</v>
      </c>
      <c r="C47" s="4">
        <v>41</v>
      </c>
      <c r="D47" s="4" t="s">
        <v>45</v>
      </c>
      <c r="E47" s="4" t="s">
        <v>58</v>
      </c>
      <c r="F47" s="4">
        <v>19545</v>
      </c>
      <c r="G47" s="4" t="s">
        <v>43</v>
      </c>
      <c r="H47" s="4">
        <v>22</v>
      </c>
      <c r="I47" s="4">
        <v>15</v>
      </c>
      <c r="J47" s="4">
        <v>3</v>
      </c>
      <c r="K47" s="4">
        <v>3</v>
      </c>
      <c r="L47" s="4" t="str">
        <f t="shared" si="0"/>
        <v>NORMAL</v>
      </c>
      <c r="M47" s="4" t="str">
        <f t="shared" si="1"/>
        <v>MEDIUM</v>
      </c>
      <c r="N47" s="4" t="str">
        <f t="shared" si="2"/>
        <v>SENIOR</v>
      </c>
      <c r="O47" s="4" t="str">
        <f t="shared" si="3"/>
        <v>STAGNANT</v>
      </c>
      <c r="P47" s="5" t="str">
        <f t="shared" si="4"/>
        <v>Medium_Pressure</v>
      </c>
      <c r="Q47" s="4" t="str">
        <f t="shared" si="5"/>
        <v>HIGHLY_ENGAGED</v>
      </c>
      <c r="R47" s="4" t="str">
        <f t="shared" si="6"/>
        <v>LOW</v>
      </c>
      <c r="S47" s="2"/>
      <c r="T47" s="2"/>
      <c r="U47" s="2"/>
      <c r="V47" s="2"/>
      <c r="W47" s="2"/>
      <c r="X47" s="2"/>
      <c r="Y47" s="2"/>
      <c r="Z47" s="2"/>
    </row>
    <row r="48" spans="1:26" ht="16.8" x14ac:dyDescent="0.3">
      <c r="A48" s="4">
        <v>60</v>
      </c>
      <c r="B48" s="4" t="s">
        <v>43</v>
      </c>
      <c r="C48" s="4">
        <v>34</v>
      </c>
      <c r="D48" s="4" t="s">
        <v>37</v>
      </c>
      <c r="E48" s="4" t="s">
        <v>40</v>
      </c>
      <c r="F48" s="4">
        <v>4568</v>
      </c>
      <c r="G48" s="4" t="s">
        <v>43</v>
      </c>
      <c r="H48" s="4">
        <v>9</v>
      </c>
      <c r="I48" s="4">
        <v>8</v>
      </c>
      <c r="J48" s="4">
        <v>3</v>
      </c>
      <c r="K48" s="4">
        <v>3</v>
      </c>
      <c r="L48" s="4" t="str">
        <f t="shared" si="0"/>
        <v>NORMAL</v>
      </c>
      <c r="M48" s="4" t="str">
        <f t="shared" si="1"/>
        <v>HIGH</v>
      </c>
      <c r="N48" s="4" t="str">
        <f t="shared" si="2"/>
        <v>SENIOR</v>
      </c>
      <c r="O48" s="4" t="str">
        <f t="shared" si="3"/>
        <v>STAGNANT</v>
      </c>
      <c r="P48" s="5" t="str">
        <f t="shared" si="4"/>
        <v>Medium_Pressure</v>
      </c>
      <c r="Q48" s="4" t="str">
        <f t="shared" si="5"/>
        <v>HIGHLY_ENGAGED</v>
      </c>
      <c r="R48" s="4" t="str">
        <f t="shared" si="6"/>
        <v>LOW</v>
      </c>
      <c r="S48" s="2"/>
      <c r="T48" s="2"/>
      <c r="U48" s="2"/>
      <c r="V48" s="2"/>
      <c r="W48" s="2"/>
      <c r="X48" s="2"/>
      <c r="Y48" s="2"/>
      <c r="Z48" s="2"/>
    </row>
    <row r="49" spans="1:26" ht="16.8" x14ac:dyDescent="0.3">
      <c r="A49" s="4">
        <v>61</v>
      </c>
      <c r="B49" s="4" t="s">
        <v>43</v>
      </c>
      <c r="C49" s="4">
        <v>37</v>
      </c>
      <c r="D49" s="4" t="s">
        <v>45</v>
      </c>
      <c r="E49" s="4" t="s">
        <v>47</v>
      </c>
      <c r="F49" s="4">
        <v>3022</v>
      </c>
      <c r="G49" s="4" t="s">
        <v>43</v>
      </c>
      <c r="H49" s="4">
        <v>1</v>
      </c>
      <c r="I49" s="4">
        <v>0</v>
      </c>
      <c r="J49" s="4">
        <v>2</v>
      </c>
      <c r="K49" s="4">
        <v>3</v>
      </c>
      <c r="L49" s="4" t="str">
        <f t="shared" si="0"/>
        <v>NORMAL</v>
      </c>
      <c r="M49" s="4" t="str">
        <f t="shared" si="1"/>
        <v>LOW</v>
      </c>
      <c r="N49" s="4" t="str">
        <f t="shared" si="2"/>
        <v>NEW</v>
      </c>
      <c r="O49" s="4" t="str">
        <f t="shared" si="3"/>
        <v>RECENTLY PROMOTED</v>
      </c>
      <c r="P49" s="5" t="str">
        <f t="shared" si="4"/>
        <v>Medium_Pressure</v>
      </c>
      <c r="Q49" s="4" t="str">
        <f t="shared" si="5"/>
        <v>DISENGAGED</v>
      </c>
      <c r="R49" s="4" t="str">
        <f t="shared" si="6"/>
        <v>LOW</v>
      </c>
      <c r="S49" s="2"/>
      <c r="T49" s="2"/>
      <c r="U49" s="2"/>
      <c r="V49" s="2"/>
      <c r="W49" s="2"/>
      <c r="X49" s="2"/>
      <c r="Y49" s="2"/>
      <c r="Z49" s="2"/>
    </row>
    <row r="50" spans="1:26" ht="16.8" x14ac:dyDescent="0.3">
      <c r="A50" s="4">
        <v>62</v>
      </c>
      <c r="B50" s="4" t="s">
        <v>43</v>
      </c>
      <c r="C50" s="4">
        <v>46</v>
      </c>
      <c r="D50" s="4" t="s">
        <v>37</v>
      </c>
      <c r="E50" s="4" t="s">
        <v>40</v>
      </c>
      <c r="F50" s="4">
        <v>5772</v>
      </c>
      <c r="G50" s="4" t="s">
        <v>35</v>
      </c>
      <c r="H50" s="4">
        <v>9</v>
      </c>
      <c r="I50" s="4">
        <v>0</v>
      </c>
      <c r="J50" s="4">
        <v>4</v>
      </c>
      <c r="K50" s="4">
        <v>3</v>
      </c>
      <c r="L50" s="4" t="str">
        <f t="shared" si="0"/>
        <v>NORMAL</v>
      </c>
      <c r="M50" s="4" t="str">
        <f t="shared" si="1"/>
        <v>HIGH</v>
      </c>
      <c r="N50" s="4" t="str">
        <f t="shared" si="2"/>
        <v>SENIOR</v>
      </c>
      <c r="O50" s="4" t="str">
        <f t="shared" si="3"/>
        <v>RECENTLY PROMOTED</v>
      </c>
      <c r="P50" s="5" t="str">
        <f t="shared" si="4"/>
        <v>Medium_Pressure</v>
      </c>
      <c r="Q50" s="4" t="str">
        <f t="shared" si="5"/>
        <v>HIGHLY_ENGAGED</v>
      </c>
      <c r="R50" s="4" t="str">
        <f t="shared" si="6"/>
        <v>LOW</v>
      </c>
      <c r="S50" s="2"/>
      <c r="T50" s="2"/>
      <c r="U50" s="2"/>
      <c r="V50" s="2"/>
      <c r="W50" s="2"/>
      <c r="X50" s="2"/>
      <c r="Y50" s="2"/>
      <c r="Z50" s="2"/>
    </row>
    <row r="51" spans="1:26" ht="16.8" x14ac:dyDescent="0.3">
      <c r="A51" s="4">
        <v>63</v>
      </c>
      <c r="B51" s="4" t="s">
        <v>43</v>
      </c>
      <c r="C51" s="4">
        <v>35</v>
      </c>
      <c r="D51" s="4" t="s">
        <v>45</v>
      </c>
      <c r="E51" s="4" t="s">
        <v>50</v>
      </c>
      <c r="F51" s="4">
        <v>2269</v>
      </c>
      <c r="G51" s="4" t="s">
        <v>43</v>
      </c>
      <c r="H51" s="4">
        <v>1</v>
      </c>
      <c r="I51" s="4">
        <v>0</v>
      </c>
      <c r="J51" s="4">
        <v>4</v>
      </c>
      <c r="K51" s="4">
        <v>3</v>
      </c>
      <c r="L51" s="4" t="str">
        <f t="shared" si="0"/>
        <v>NORMAL</v>
      </c>
      <c r="M51" s="4" t="str">
        <f t="shared" si="1"/>
        <v>LOW</v>
      </c>
      <c r="N51" s="4" t="str">
        <f t="shared" si="2"/>
        <v>NEW</v>
      </c>
      <c r="O51" s="4" t="str">
        <f t="shared" si="3"/>
        <v>RECENTLY PROMOTED</v>
      </c>
      <c r="P51" s="5" t="str">
        <f t="shared" si="4"/>
        <v>Medium_Pressure</v>
      </c>
      <c r="Q51" s="4" t="str">
        <f t="shared" si="5"/>
        <v>HIGHLY_ENGAGED</v>
      </c>
      <c r="R51" s="4" t="str">
        <f t="shared" si="6"/>
        <v>LOW</v>
      </c>
      <c r="S51" s="2"/>
      <c r="T51" s="2"/>
      <c r="U51" s="2"/>
      <c r="V51" s="2"/>
      <c r="W51" s="2"/>
      <c r="X51" s="2"/>
      <c r="Y51" s="2"/>
      <c r="Z51" s="2"/>
    </row>
    <row r="52" spans="1:26" ht="16.8" x14ac:dyDescent="0.3">
      <c r="A52" s="4">
        <v>64</v>
      </c>
      <c r="B52" s="4" t="s">
        <v>35</v>
      </c>
      <c r="C52" s="4">
        <v>48</v>
      </c>
      <c r="D52" s="4" t="s">
        <v>45</v>
      </c>
      <c r="E52" s="4" t="s">
        <v>50</v>
      </c>
      <c r="F52" s="4">
        <v>5381</v>
      </c>
      <c r="G52" s="4" t="s">
        <v>35</v>
      </c>
      <c r="H52" s="4">
        <v>1</v>
      </c>
      <c r="I52" s="4">
        <v>0</v>
      </c>
      <c r="J52" s="4">
        <v>3</v>
      </c>
      <c r="K52" s="4">
        <v>3</v>
      </c>
      <c r="L52" s="4" t="str">
        <f t="shared" si="0"/>
        <v>NORMAL</v>
      </c>
      <c r="M52" s="4" t="str">
        <f t="shared" si="1"/>
        <v>HIGH</v>
      </c>
      <c r="N52" s="4" t="str">
        <f t="shared" si="2"/>
        <v>NEW</v>
      </c>
      <c r="O52" s="4" t="str">
        <f t="shared" si="3"/>
        <v>RECENTLY PROMOTED</v>
      </c>
      <c r="P52" s="5" t="str">
        <f t="shared" si="4"/>
        <v>Medium_Pressure</v>
      </c>
      <c r="Q52" s="4" t="str">
        <f t="shared" si="5"/>
        <v>HIGHLY_ENGAGED</v>
      </c>
      <c r="R52" s="4" t="str">
        <f t="shared" si="6"/>
        <v>LOW</v>
      </c>
      <c r="S52" s="2"/>
      <c r="T52" s="2"/>
      <c r="U52" s="2"/>
      <c r="V52" s="2"/>
      <c r="W52" s="2"/>
      <c r="X52" s="2"/>
      <c r="Y52" s="2"/>
      <c r="Z52" s="2"/>
    </row>
    <row r="53" spans="1:26" ht="16.8" x14ac:dyDescent="0.3">
      <c r="A53" s="4">
        <v>65</v>
      </c>
      <c r="B53" s="4" t="s">
        <v>35</v>
      </c>
      <c r="C53" s="4">
        <v>28</v>
      </c>
      <c r="D53" s="4" t="s">
        <v>45</v>
      </c>
      <c r="E53" s="4" t="s">
        <v>50</v>
      </c>
      <c r="F53" s="4">
        <v>3441</v>
      </c>
      <c r="G53" s="4" t="s">
        <v>35</v>
      </c>
      <c r="H53" s="4">
        <v>2</v>
      </c>
      <c r="I53" s="4">
        <v>2</v>
      </c>
      <c r="J53" s="4">
        <v>3</v>
      </c>
      <c r="K53" s="4">
        <v>2</v>
      </c>
      <c r="L53" s="4" t="str">
        <f t="shared" si="0"/>
        <v>NORMAL</v>
      </c>
      <c r="M53" s="4" t="str">
        <f t="shared" si="1"/>
        <v>LOW</v>
      </c>
      <c r="N53" s="4" t="str">
        <f t="shared" si="2"/>
        <v>NEW</v>
      </c>
      <c r="O53" s="4" t="str">
        <f t="shared" si="3"/>
        <v>MODERATE-WAIT</v>
      </c>
      <c r="P53" s="5" t="str">
        <f t="shared" si="4"/>
        <v>High_Pressure</v>
      </c>
      <c r="Q53" s="4" t="str">
        <f t="shared" si="5"/>
        <v>DISENGAGED</v>
      </c>
      <c r="R53" s="4" t="str">
        <f t="shared" si="6"/>
        <v>LOW</v>
      </c>
      <c r="S53" s="2"/>
      <c r="T53" s="2"/>
      <c r="U53" s="2"/>
      <c r="V53" s="2"/>
      <c r="W53" s="2"/>
      <c r="X53" s="2"/>
      <c r="Y53" s="2"/>
      <c r="Z53" s="2"/>
    </row>
    <row r="54" spans="1:26" ht="16.8" x14ac:dyDescent="0.3">
      <c r="A54" s="4">
        <v>68</v>
      </c>
      <c r="B54" s="4" t="s">
        <v>43</v>
      </c>
      <c r="C54" s="4">
        <v>44</v>
      </c>
      <c r="D54" s="4" t="s">
        <v>37</v>
      </c>
      <c r="E54" s="4" t="s">
        <v>40</v>
      </c>
      <c r="F54" s="4">
        <v>5454</v>
      </c>
      <c r="G54" s="4" t="s">
        <v>35</v>
      </c>
      <c r="H54" s="4">
        <v>4</v>
      </c>
      <c r="I54" s="4">
        <v>1</v>
      </c>
      <c r="J54" s="4">
        <v>1</v>
      </c>
      <c r="K54" s="4">
        <v>2</v>
      </c>
      <c r="L54" s="4" t="str">
        <f t="shared" si="0"/>
        <v>NORMAL</v>
      </c>
      <c r="M54" s="4" t="str">
        <f t="shared" si="1"/>
        <v>HIGH</v>
      </c>
      <c r="N54" s="4" t="str">
        <f t="shared" si="2"/>
        <v>MID</v>
      </c>
      <c r="O54" s="4" t="str">
        <f t="shared" si="3"/>
        <v>RECENTLY PROMOTED</v>
      </c>
      <c r="P54" s="5" t="str">
        <f t="shared" si="4"/>
        <v>High_Pressure</v>
      </c>
      <c r="Q54" s="4" t="str">
        <f t="shared" si="5"/>
        <v>DISENGAGED</v>
      </c>
      <c r="R54" s="4" t="str">
        <f t="shared" si="6"/>
        <v>LOW</v>
      </c>
      <c r="S54" s="2"/>
      <c r="T54" s="2"/>
      <c r="U54" s="2"/>
      <c r="V54" s="2"/>
      <c r="W54" s="2"/>
      <c r="X54" s="2"/>
      <c r="Y54" s="2"/>
      <c r="Z54" s="2"/>
    </row>
    <row r="55" spans="1:26" ht="16.8" x14ac:dyDescent="0.3">
      <c r="A55" s="4">
        <v>70</v>
      </c>
      <c r="B55" s="4" t="s">
        <v>43</v>
      </c>
      <c r="C55" s="4">
        <v>35</v>
      </c>
      <c r="D55" s="4" t="s">
        <v>45</v>
      </c>
      <c r="E55" s="4" t="s">
        <v>54</v>
      </c>
      <c r="F55" s="4">
        <v>9884</v>
      </c>
      <c r="G55" s="4" t="s">
        <v>35</v>
      </c>
      <c r="H55" s="4">
        <v>4</v>
      </c>
      <c r="I55" s="4">
        <v>2</v>
      </c>
      <c r="J55" s="4">
        <v>1</v>
      </c>
      <c r="K55" s="4">
        <v>3</v>
      </c>
      <c r="L55" s="4" t="str">
        <f t="shared" si="0"/>
        <v>NORMAL</v>
      </c>
      <c r="M55" s="4" t="str">
        <f t="shared" si="1"/>
        <v>MEDIUM</v>
      </c>
      <c r="N55" s="4" t="str">
        <f t="shared" si="2"/>
        <v>MID</v>
      </c>
      <c r="O55" s="4" t="str">
        <f t="shared" si="3"/>
        <v>MODERATE-WAIT</v>
      </c>
      <c r="P55" s="5" t="str">
        <f t="shared" si="4"/>
        <v>Medium_Pressure</v>
      </c>
      <c r="Q55" s="4" t="str">
        <f t="shared" si="5"/>
        <v>DISENGAGED</v>
      </c>
      <c r="R55" s="4" t="str">
        <f t="shared" si="6"/>
        <v>LOW</v>
      </c>
      <c r="S55" s="2"/>
      <c r="T55" s="2"/>
      <c r="U55" s="2"/>
      <c r="V55" s="2"/>
      <c r="W55" s="2"/>
      <c r="X55" s="2"/>
      <c r="Y55" s="2"/>
      <c r="Z55" s="2"/>
    </row>
    <row r="56" spans="1:26" ht="16.8" x14ac:dyDescent="0.3">
      <c r="A56" s="4">
        <v>72</v>
      </c>
      <c r="B56" s="4" t="s">
        <v>43</v>
      </c>
      <c r="C56" s="4">
        <v>26</v>
      </c>
      <c r="D56" s="4" t="s">
        <v>37</v>
      </c>
      <c r="E56" s="4" t="s">
        <v>40</v>
      </c>
      <c r="F56" s="4">
        <v>4157</v>
      </c>
      <c r="G56" s="4" t="s">
        <v>35</v>
      </c>
      <c r="H56" s="4">
        <v>2</v>
      </c>
      <c r="I56" s="4">
        <v>0</v>
      </c>
      <c r="J56" s="4">
        <v>4</v>
      </c>
      <c r="K56" s="4">
        <v>2</v>
      </c>
      <c r="L56" s="4" t="str">
        <f t="shared" si="0"/>
        <v>NORMAL</v>
      </c>
      <c r="M56" s="4" t="str">
        <f t="shared" si="1"/>
        <v>HIGH</v>
      </c>
      <c r="N56" s="4" t="str">
        <f t="shared" si="2"/>
        <v>NEW</v>
      </c>
      <c r="O56" s="4" t="str">
        <f t="shared" si="3"/>
        <v>RECENTLY PROMOTED</v>
      </c>
      <c r="P56" s="5" t="str">
        <f t="shared" si="4"/>
        <v>High_Pressure</v>
      </c>
      <c r="Q56" s="4" t="str">
        <f t="shared" si="5"/>
        <v>DISENGAGED</v>
      </c>
      <c r="R56" s="4" t="str">
        <f t="shared" si="6"/>
        <v>LOW</v>
      </c>
      <c r="S56" s="2"/>
      <c r="T56" s="2"/>
      <c r="U56" s="2"/>
      <c r="V56" s="2"/>
      <c r="W56" s="2"/>
      <c r="X56" s="2"/>
      <c r="Y56" s="2"/>
      <c r="Z56" s="2"/>
    </row>
    <row r="57" spans="1:26" ht="16.8" x14ac:dyDescent="0.3">
      <c r="A57" s="4">
        <v>73</v>
      </c>
      <c r="B57" s="4" t="s">
        <v>43</v>
      </c>
      <c r="C57" s="4">
        <v>33</v>
      </c>
      <c r="D57" s="4" t="s">
        <v>45</v>
      </c>
      <c r="E57" s="4" t="s">
        <v>58</v>
      </c>
      <c r="F57" s="4">
        <v>13458</v>
      </c>
      <c r="G57" s="4" t="s">
        <v>35</v>
      </c>
      <c r="H57" s="4">
        <v>15</v>
      </c>
      <c r="I57" s="4">
        <v>8</v>
      </c>
      <c r="J57" s="4">
        <v>4</v>
      </c>
      <c r="K57" s="4">
        <v>3</v>
      </c>
      <c r="L57" s="4" t="str">
        <f t="shared" si="0"/>
        <v>NORMAL</v>
      </c>
      <c r="M57" s="4" t="str">
        <f t="shared" si="1"/>
        <v>MEDIUM</v>
      </c>
      <c r="N57" s="4" t="str">
        <f t="shared" si="2"/>
        <v>SENIOR</v>
      </c>
      <c r="O57" s="4" t="str">
        <f t="shared" si="3"/>
        <v>STAGNANT</v>
      </c>
      <c r="P57" s="5" t="str">
        <f t="shared" si="4"/>
        <v>Medium_Pressure</v>
      </c>
      <c r="Q57" s="4" t="str">
        <f t="shared" si="5"/>
        <v>HIGHLY_ENGAGED</v>
      </c>
      <c r="R57" s="4" t="str">
        <f t="shared" si="6"/>
        <v>LOW</v>
      </c>
      <c r="S57" s="2"/>
      <c r="T57" s="2"/>
      <c r="U57" s="2"/>
      <c r="V57" s="2"/>
      <c r="W57" s="2"/>
      <c r="X57" s="2"/>
      <c r="Y57" s="2"/>
      <c r="Z57" s="2"/>
    </row>
    <row r="58" spans="1:26" ht="16.8" x14ac:dyDescent="0.3">
      <c r="A58" s="4">
        <v>74</v>
      </c>
      <c r="B58" s="4" t="s">
        <v>43</v>
      </c>
      <c r="C58" s="4">
        <v>35</v>
      </c>
      <c r="D58" s="4" t="s">
        <v>37</v>
      </c>
      <c r="E58" s="4" t="s">
        <v>40</v>
      </c>
      <c r="F58" s="4">
        <v>9069</v>
      </c>
      <c r="G58" s="4" t="s">
        <v>43</v>
      </c>
      <c r="H58" s="4">
        <v>9</v>
      </c>
      <c r="I58" s="4">
        <v>1</v>
      </c>
      <c r="J58" s="4">
        <v>1</v>
      </c>
      <c r="K58" s="4">
        <v>2</v>
      </c>
      <c r="L58" s="4" t="str">
        <f t="shared" si="0"/>
        <v>NORMAL</v>
      </c>
      <c r="M58" s="4" t="str">
        <f t="shared" si="1"/>
        <v>MEDIUM</v>
      </c>
      <c r="N58" s="4" t="str">
        <f t="shared" si="2"/>
        <v>SENIOR</v>
      </c>
      <c r="O58" s="4" t="str">
        <f t="shared" si="3"/>
        <v>RECENTLY PROMOTED</v>
      </c>
      <c r="P58" s="5" t="str">
        <f t="shared" si="4"/>
        <v>Low_Pressure</v>
      </c>
      <c r="Q58" s="4" t="str">
        <f t="shared" si="5"/>
        <v>DISENGAGED</v>
      </c>
      <c r="R58" s="4" t="str">
        <f t="shared" si="6"/>
        <v>LOW</v>
      </c>
      <c r="S58" s="2"/>
      <c r="T58" s="2"/>
      <c r="U58" s="2"/>
      <c r="V58" s="2"/>
      <c r="W58" s="2"/>
      <c r="X58" s="2"/>
      <c r="Y58" s="2"/>
      <c r="Z58" s="2"/>
    </row>
    <row r="59" spans="1:26" ht="16.8" x14ac:dyDescent="0.3">
      <c r="A59" s="4">
        <v>75</v>
      </c>
      <c r="B59" s="4" t="s">
        <v>43</v>
      </c>
      <c r="C59" s="4">
        <v>35</v>
      </c>
      <c r="D59" s="4" t="s">
        <v>45</v>
      </c>
      <c r="E59" s="4" t="s">
        <v>50</v>
      </c>
      <c r="F59" s="4">
        <v>4014</v>
      </c>
      <c r="G59" s="4" t="s">
        <v>35</v>
      </c>
      <c r="H59" s="4">
        <v>2</v>
      </c>
      <c r="I59" s="4">
        <v>2</v>
      </c>
      <c r="J59" s="4">
        <v>1</v>
      </c>
      <c r="K59" s="4">
        <v>3</v>
      </c>
      <c r="L59" s="4" t="str">
        <f t="shared" si="0"/>
        <v>NORMAL</v>
      </c>
      <c r="M59" s="4" t="str">
        <f t="shared" si="1"/>
        <v>HIGH</v>
      </c>
      <c r="N59" s="4" t="str">
        <f t="shared" si="2"/>
        <v>NEW</v>
      </c>
      <c r="O59" s="4" t="str">
        <f t="shared" si="3"/>
        <v>MODERATE-WAIT</v>
      </c>
      <c r="P59" s="5" t="str">
        <f t="shared" si="4"/>
        <v>Medium_Pressure</v>
      </c>
      <c r="Q59" s="4" t="str">
        <f t="shared" si="5"/>
        <v>DISENGAGED</v>
      </c>
      <c r="R59" s="4" t="str">
        <f t="shared" si="6"/>
        <v>LOW</v>
      </c>
      <c r="S59" s="2"/>
      <c r="T59" s="2"/>
      <c r="U59" s="2"/>
      <c r="V59" s="2"/>
      <c r="W59" s="2"/>
      <c r="X59" s="2"/>
      <c r="Y59" s="2"/>
      <c r="Z59" s="2"/>
    </row>
    <row r="60" spans="1:26" ht="16.8" x14ac:dyDescent="0.3">
      <c r="A60" s="4">
        <v>76</v>
      </c>
      <c r="B60" s="4" t="s">
        <v>43</v>
      </c>
      <c r="C60" s="4">
        <v>31</v>
      </c>
      <c r="D60" s="4" t="s">
        <v>45</v>
      </c>
      <c r="E60" s="4" t="s">
        <v>50</v>
      </c>
      <c r="F60" s="4">
        <v>5915</v>
      </c>
      <c r="G60" s="4" t="s">
        <v>43</v>
      </c>
      <c r="H60" s="4">
        <v>7</v>
      </c>
      <c r="I60" s="4">
        <v>1</v>
      </c>
      <c r="J60" s="4">
        <v>4</v>
      </c>
      <c r="K60" s="4">
        <v>2</v>
      </c>
      <c r="L60" s="4" t="str">
        <f t="shared" si="0"/>
        <v>NORMAL</v>
      </c>
      <c r="M60" s="4" t="str">
        <f t="shared" si="1"/>
        <v>HIGH</v>
      </c>
      <c r="N60" s="4" t="str">
        <f t="shared" si="2"/>
        <v>SENIOR</v>
      </c>
      <c r="O60" s="4" t="str">
        <f t="shared" si="3"/>
        <v>RECENTLY PROMOTED</v>
      </c>
      <c r="P60" s="5" t="str">
        <f t="shared" si="4"/>
        <v>Low_Pressure</v>
      </c>
      <c r="Q60" s="4" t="str">
        <f t="shared" si="5"/>
        <v>DISENGAGED</v>
      </c>
      <c r="R60" s="4" t="str">
        <f t="shared" si="6"/>
        <v>LOW</v>
      </c>
      <c r="S60" s="2"/>
      <c r="T60" s="2"/>
      <c r="U60" s="2"/>
      <c r="V60" s="2"/>
      <c r="W60" s="2"/>
      <c r="X60" s="2"/>
      <c r="Y60" s="2"/>
      <c r="Z60" s="2"/>
    </row>
    <row r="61" spans="1:26" ht="16.8" x14ac:dyDescent="0.3">
      <c r="A61" s="4">
        <v>77</v>
      </c>
      <c r="B61" s="4" t="s">
        <v>43</v>
      </c>
      <c r="C61" s="4">
        <v>37</v>
      </c>
      <c r="D61" s="4" t="s">
        <v>45</v>
      </c>
      <c r="E61" s="4" t="s">
        <v>53</v>
      </c>
      <c r="F61" s="4">
        <v>5993</v>
      </c>
      <c r="G61" s="4" t="s">
        <v>43</v>
      </c>
      <c r="H61" s="4">
        <v>7</v>
      </c>
      <c r="I61" s="4">
        <v>0</v>
      </c>
      <c r="J61" s="4">
        <v>3</v>
      </c>
      <c r="K61" s="4">
        <v>4</v>
      </c>
      <c r="L61" s="4" t="str">
        <f t="shared" si="0"/>
        <v>NORMAL</v>
      </c>
      <c r="M61" s="4" t="str">
        <f t="shared" si="1"/>
        <v>HIGH</v>
      </c>
      <c r="N61" s="4" t="str">
        <f t="shared" si="2"/>
        <v>SENIOR</v>
      </c>
      <c r="O61" s="4" t="str">
        <f t="shared" si="3"/>
        <v>RECENTLY PROMOTED</v>
      </c>
      <c r="P61" s="5" t="str">
        <f t="shared" si="4"/>
        <v>Low_Pressure</v>
      </c>
      <c r="Q61" s="4" t="str">
        <f t="shared" si="5"/>
        <v>HIGHLY_ENGAGED</v>
      </c>
      <c r="R61" s="4" t="str">
        <f t="shared" si="6"/>
        <v>LOW</v>
      </c>
      <c r="S61" s="2"/>
      <c r="T61" s="2"/>
      <c r="U61" s="2"/>
      <c r="V61" s="2"/>
      <c r="W61" s="2"/>
      <c r="X61" s="2"/>
      <c r="Y61" s="2"/>
      <c r="Z61" s="2"/>
    </row>
    <row r="62" spans="1:26" ht="16.8" x14ac:dyDescent="0.3">
      <c r="A62" s="4">
        <v>78</v>
      </c>
      <c r="B62" s="4" t="s">
        <v>43</v>
      </c>
      <c r="C62" s="4">
        <v>32</v>
      </c>
      <c r="D62" s="4" t="s">
        <v>45</v>
      </c>
      <c r="E62" s="4" t="s">
        <v>53</v>
      </c>
      <c r="F62" s="4">
        <v>6162</v>
      </c>
      <c r="G62" s="4" t="s">
        <v>35</v>
      </c>
      <c r="H62" s="4">
        <v>9</v>
      </c>
      <c r="I62" s="4">
        <v>7</v>
      </c>
      <c r="J62" s="4">
        <v>4</v>
      </c>
      <c r="K62" s="4">
        <v>3</v>
      </c>
      <c r="L62" s="4" t="str">
        <f t="shared" si="0"/>
        <v>NORMAL</v>
      </c>
      <c r="M62" s="4" t="str">
        <f t="shared" si="1"/>
        <v>HIGH</v>
      </c>
      <c r="N62" s="4" t="str">
        <f t="shared" si="2"/>
        <v>SENIOR</v>
      </c>
      <c r="O62" s="4" t="str">
        <f t="shared" si="3"/>
        <v>STAGNANT</v>
      </c>
      <c r="P62" s="5" t="str">
        <f t="shared" si="4"/>
        <v>Medium_Pressure</v>
      </c>
      <c r="Q62" s="4" t="str">
        <f t="shared" si="5"/>
        <v>HIGHLY_ENGAGED</v>
      </c>
      <c r="R62" s="4" t="str">
        <f t="shared" si="6"/>
        <v>LOW</v>
      </c>
      <c r="S62" s="2"/>
      <c r="T62" s="2"/>
      <c r="U62" s="2"/>
      <c r="V62" s="2"/>
      <c r="W62" s="2"/>
      <c r="X62" s="2"/>
      <c r="Y62" s="2"/>
      <c r="Z62" s="2"/>
    </row>
    <row r="63" spans="1:26" ht="16.8" x14ac:dyDescent="0.3">
      <c r="A63" s="4">
        <v>79</v>
      </c>
      <c r="B63" s="4" t="s">
        <v>43</v>
      </c>
      <c r="C63" s="4">
        <v>38</v>
      </c>
      <c r="D63" s="4" t="s">
        <v>45</v>
      </c>
      <c r="E63" s="4" t="s">
        <v>50</v>
      </c>
      <c r="F63" s="4">
        <v>2406</v>
      </c>
      <c r="G63" s="4" t="s">
        <v>43</v>
      </c>
      <c r="H63" s="4">
        <v>10</v>
      </c>
      <c r="I63" s="4">
        <v>9</v>
      </c>
      <c r="J63" s="4">
        <v>4</v>
      </c>
      <c r="K63" s="4">
        <v>3</v>
      </c>
      <c r="L63" s="4" t="str">
        <f t="shared" si="0"/>
        <v>NORMAL</v>
      </c>
      <c r="M63" s="4" t="str">
        <f t="shared" si="1"/>
        <v>LOW</v>
      </c>
      <c r="N63" s="4" t="str">
        <f t="shared" si="2"/>
        <v>SENIOR</v>
      </c>
      <c r="O63" s="4" t="str">
        <f t="shared" si="3"/>
        <v>STAGNANT</v>
      </c>
      <c r="P63" s="5" t="str">
        <f t="shared" si="4"/>
        <v>Medium_Pressure</v>
      </c>
      <c r="Q63" s="4" t="str">
        <f t="shared" si="5"/>
        <v>HIGHLY_ENGAGED</v>
      </c>
      <c r="R63" s="4" t="str">
        <f t="shared" si="6"/>
        <v>LOW</v>
      </c>
      <c r="S63" s="2"/>
      <c r="T63" s="2"/>
      <c r="U63" s="2"/>
      <c r="V63" s="2"/>
      <c r="W63" s="2"/>
      <c r="X63" s="2"/>
      <c r="Y63" s="2"/>
      <c r="Z63" s="2"/>
    </row>
    <row r="64" spans="1:26" ht="16.8" x14ac:dyDescent="0.3">
      <c r="A64" s="4">
        <v>80</v>
      </c>
      <c r="B64" s="4" t="s">
        <v>43</v>
      </c>
      <c r="C64" s="4">
        <v>50</v>
      </c>
      <c r="D64" s="4" t="s">
        <v>45</v>
      </c>
      <c r="E64" s="4" t="s">
        <v>58</v>
      </c>
      <c r="F64" s="4">
        <v>18740</v>
      </c>
      <c r="G64" s="4" t="s">
        <v>35</v>
      </c>
      <c r="H64" s="4">
        <v>27</v>
      </c>
      <c r="I64" s="4">
        <v>13</v>
      </c>
      <c r="J64" s="4">
        <v>3</v>
      </c>
      <c r="K64" s="4">
        <v>2</v>
      </c>
      <c r="L64" s="4" t="str">
        <f t="shared" si="0"/>
        <v>NORMAL</v>
      </c>
      <c r="M64" s="4" t="str">
        <f t="shared" si="1"/>
        <v>MEDIUM</v>
      </c>
      <c r="N64" s="4" t="str">
        <f t="shared" si="2"/>
        <v>SENIOR</v>
      </c>
      <c r="O64" s="4" t="str">
        <f t="shared" si="3"/>
        <v>STAGNANT</v>
      </c>
      <c r="P64" s="5" t="str">
        <f t="shared" si="4"/>
        <v>High_Pressure</v>
      </c>
      <c r="Q64" s="4" t="str">
        <f t="shared" si="5"/>
        <v>DISENGAGED</v>
      </c>
      <c r="R64" s="4" t="str">
        <f t="shared" si="6"/>
        <v>LOW</v>
      </c>
      <c r="S64" s="2"/>
      <c r="T64" s="2"/>
      <c r="U64" s="2"/>
      <c r="V64" s="2"/>
      <c r="W64" s="2"/>
      <c r="X64" s="2"/>
      <c r="Y64" s="2"/>
      <c r="Z64" s="2"/>
    </row>
    <row r="65" spans="1:26" ht="16.8" x14ac:dyDescent="0.3">
      <c r="A65" s="4">
        <v>81</v>
      </c>
      <c r="B65" s="4" t="s">
        <v>43</v>
      </c>
      <c r="C65" s="4">
        <v>59</v>
      </c>
      <c r="D65" s="4" t="s">
        <v>37</v>
      </c>
      <c r="E65" s="4" t="s">
        <v>40</v>
      </c>
      <c r="F65" s="4">
        <v>7637</v>
      </c>
      <c r="G65" s="4" t="s">
        <v>43</v>
      </c>
      <c r="H65" s="4">
        <v>21</v>
      </c>
      <c r="I65" s="4">
        <v>7</v>
      </c>
      <c r="J65" s="4">
        <v>1</v>
      </c>
      <c r="K65" s="4">
        <v>2</v>
      </c>
      <c r="L65" s="4" t="str">
        <f t="shared" si="0"/>
        <v>NORMAL</v>
      </c>
      <c r="M65" s="4" t="str">
        <f t="shared" si="1"/>
        <v>HIGH</v>
      </c>
      <c r="N65" s="4" t="str">
        <f t="shared" si="2"/>
        <v>SENIOR</v>
      </c>
      <c r="O65" s="4" t="str">
        <f t="shared" si="3"/>
        <v>STAGNANT</v>
      </c>
      <c r="P65" s="5" t="str">
        <f t="shared" si="4"/>
        <v>Low_Pressure</v>
      </c>
      <c r="Q65" s="4" t="str">
        <f t="shared" si="5"/>
        <v>DISENGAGED</v>
      </c>
      <c r="R65" s="4" t="str">
        <f t="shared" si="6"/>
        <v>LOW</v>
      </c>
      <c r="S65" s="2"/>
      <c r="T65" s="2"/>
      <c r="U65" s="2"/>
      <c r="V65" s="2"/>
      <c r="W65" s="2"/>
      <c r="X65" s="2"/>
      <c r="Y65" s="2"/>
      <c r="Z65" s="2"/>
    </row>
    <row r="66" spans="1:26" ht="16.8" x14ac:dyDescent="0.3">
      <c r="A66" s="4">
        <v>83</v>
      </c>
      <c r="B66" s="4" t="s">
        <v>43</v>
      </c>
      <c r="C66" s="4">
        <v>36</v>
      </c>
      <c r="D66" s="4" t="s">
        <v>45</v>
      </c>
      <c r="E66" s="4" t="s">
        <v>54</v>
      </c>
      <c r="F66" s="4">
        <v>10096</v>
      </c>
      <c r="G66" s="4" t="s">
        <v>43</v>
      </c>
      <c r="H66" s="4">
        <v>17</v>
      </c>
      <c r="I66" s="4">
        <v>12</v>
      </c>
      <c r="J66" s="4">
        <v>3</v>
      </c>
      <c r="K66" s="4">
        <v>3</v>
      </c>
      <c r="L66" s="4" t="str">
        <f t="shared" si="0"/>
        <v>NORMAL</v>
      </c>
      <c r="M66" s="4" t="str">
        <f t="shared" si="1"/>
        <v>MEDIUM</v>
      </c>
      <c r="N66" s="4" t="str">
        <f t="shared" si="2"/>
        <v>SENIOR</v>
      </c>
      <c r="O66" s="4" t="str">
        <f t="shared" si="3"/>
        <v>STAGNANT</v>
      </c>
      <c r="P66" s="5" t="str">
        <f t="shared" si="4"/>
        <v>Medium_Pressure</v>
      </c>
      <c r="Q66" s="4" t="str">
        <f t="shared" si="5"/>
        <v>HIGHLY_ENGAGED</v>
      </c>
      <c r="R66" s="4" t="str">
        <f t="shared" si="6"/>
        <v>LOW</v>
      </c>
      <c r="S66" s="2"/>
      <c r="T66" s="2"/>
      <c r="U66" s="2"/>
      <c r="V66" s="2"/>
      <c r="W66" s="2"/>
      <c r="X66" s="2"/>
      <c r="Y66" s="2"/>
      <c r="Z66" s="2"/>
    </row>
    <row r="67" spans="1:26" ht="16.8" x14ac:dyDescent="0.3">
      <c r="A67" s="4">
        <v>84</v>
      </c>
      <c r="B67" s="4" t="s">
        <v>43</v>
      </c>
      <c r="C67" s="4">
        <v>55</v>
      </c>
      <c r="D67" s="4" t="s">
        <v>45</v>
      </c>
      <c r="E67" s="4" t="s">
        <v>56</v>
      </c>
      <c r="F67" s="4">
        <v>14756</v>
      </c>
      <c r="G67" s="4" t="s">
        <v>35</v>
      </c>
      <c r="H67" s="4">
        <v>5</v>
      </c>
      <c r="I67" s="4">
        <v>0</v>
      </c>
      <c r="J67" s="4">
        <v>3</v>
      </c>
      <c r="K67" s="4">
        <v>3</v>
      </c>
      <c r="L67" s="4" t="str">
        <f t="shared" si="0"/>
        <v>NORMAL</v>
      </c>
      <c r="M67" s="4" t="str">
        <f t="shared" si="1"/>
        <v>MEDIUM</v>
      </c>
      <c r="N67" s="4" t="str">
        <f t="shared" si="2"/>
        <v>MID</v>
      </c>
      <c r="O67" s="4" t="str">
        <f t="shared" si="3"/>
        <v>RECENTLY PROMOTED</v>
      </c>
      <c r="P67" s="5" t="str">
        <f t="shared" si="4"/>
        <v>Medium_Pressure</v>
      </c>
      <c r="Q67" s="4" t="str">
        <f t="shared" si="5"/>
        <v>HIGHLY_ENGAGED</v>
      </c>
      <c r="R67" s="4" t="str">
        <f t="shared" si="6"/>
        <v>LOW</v>
      </c>
      <c r="S67" s="2"/>
      <c r="T67" s="2"/>
      <c r="U67" s="2"/>
      <c r="V67" s="2"/>
      <c r="W67" s="2"/>
      <c r="X67" s="2"/>
      <c r="Y67" s="2"/>
      <c r="Z67" s="2"/>
    </row>
    <row r="68" spans="1:26" ht="16.8" x14ac:dyDescent="0.3">
      <c r="A68" s="4">
        <v>85</v>
      </c>
      <c r="B68" s="4" t="s">
        <v>43</v>
      </c>
      <c r="C68" s="4">
        <v>36</v>
      </c>
      <c r="D68" s="4" t="s">
        <v>45</v>
      </c>
      <c r="E68" s="4" t="s">
        <v>53</v>
      </c>
      <c r="F68" s="4">
        <v>6499</v>
      </c>
      <c r="G68" s="4" t="s">
        <v>43</v>
      </c>
      <c r="H68" s="4">
        <v>6</v>
      </c>
      <c r="I68" s="4">
        <v>0</v>
      </c>
      <c r="J68" s="4">
        <v>2</v>
      </c>
      <c r="K68" s="4">
        <v>3</v>
      </c>
      <c r="L68" s="4" t="str">
        <f t="shared" si="0"/>
        <v>NORMAL</v>
      </c>
      <c r="M68" s="4" t="str">
        <f t="shared" si="1"/>
        <v>HIGH</v>
      </c>
      <c r="N68" s="4" t="str">
        <f t="shared" si="2"/>
        <v>MID</v>
      </c>
      <c r="O68" s="4" t="str">
        <f t="shared" si="3"/>
        <v>RECENTLY PROMOTED</v>
      </c>
      <c r="P68" s="5" t="str">
        <f t="shared" si="4"/>
        <v>Medium_Pressure</v>
      </c>
      <c r="Q68" s="4" t="str">
        <f t="shared" si="5"/>
        <v>DISENGAGED</v>
      </c>
      <c r="R68" s="4" t="str">
        <f t="shared" si="6"/>
        <v>LOW</v>
      </c>
      <c r="S68" s="2"/>
      <c r="T68" s="2"/>
      <c r="U68" s="2"/>
      <c r="V68" s="2"/>
      <c r="W68" s="2"/>
      <c r="X68" s="2"/>
      <c r="Y68" s="2"/>
      <c r="Z68" s="2"/>
    </row>
    <row r="69" spans="1:26" ht="16.8" x14ac:dyDescent="0.3">
      <c r="A69" s="4">
        <v>86</v>
      </c>
      <c r="B69" s="4" t="s">
        <v>43</v>
      </c>
      <c r="C69" s="4">
        <v>45</v>
      </c>
      <c r="D69" s="4" t="s">
        <v>45</v>
      </c>
      <c r="E69" s="4" t="s">
        <v>47</v>
      </c>
      <c r="F69" s="4">
        <v>9724</v>
      </c>
      <c r="G69" s="4" t="s">
        <v>43</v>
      </c>
      <c r="H69" s="4">
        <v>1</v>
      </c>
      <c r="I69" s="4">
        <v>0</v>
      </c>
      <c r="J69" s="4">
        <v>1</v>
      </c>
      <c r="K69" s="4">
        <v>3</v>
      </c>
      <c r="L69" s="4" t="str">
        <f t="shared" si="0"/>
        <v>NORMAL</v>
      </c>
      <c r="M69" s="4" t="str">
        <f t="shared" si="1"/>
        <v>MEDIUM</v>
      </c>
      <c r="N69" s="4" t="str">
        <f t="shared" si="2"/>
        <v>NEW</v>
      </c>
      <c r="O69" s="4" t="str">
        <f t="shared" si="3"/>
        <v>RECENTLY PROMOTED</v>
      </c>
      <c r="P69" s="5" t="str">
        <f t="shared" si="4"/>
        <v>Medium_Pressure</v>
      </c>
      <c r="Q69" s="4" t="str">
        <f t="shared" si="5"/>
        <v>DISENGAGED</v>
      </c>
      <c r="R69" s="4" t="str">
        <f t="shared" si="6"/>
        <v>LOW</v>
      </c>
      <c r="S69" s="2"/>
      <c r="T69" s="2"/>
      <c r="U69" s="2"/>
      <c r="V69" s="2"/>
      <c r="W69" s="2"/>
      <c r="X69" s="2"/>
      <c r="Y69" s="2"/>
      <c r="Z69" s="2"/>
    </row>
    <row r="70" spans="1:26" ht="16.8" x14ac:dyDescent="0.3">
      <c r="A70" s="4">
        <v>88</v>
      </c>
      <c r="B70" s="4" t="s">
        <v>43</v>
      </c>
      <c r="C70" s="4">
        <v>35</v>
      </c>
      <c r="D70" s="4" t="s">
        <v>45</v>
      </c>
      <c r="E70" s="4" t="s">
        <v>47</v>
      </c>
      <c r="F70" s="4">
        <v>2194</v>
      </c>
      <c r="G70" s="4" t="s">
        <v>43</v>
      </c>
      <c r="H70" s="4">
        <v>3</v>
      </c>
      <c r="I70" s="4">
        <v>1</v>
      </c>
      <c r="J70" s="4">
        <v>1</v>
      </c>
      <c r="K70" s="4">
        <v>2</v>
      </c>
      <c r="L70" s="4" t="str">
        <f t="shared" si="0"/>
        <v>NORMAL</v>
      </c>
      <c r="M70" s="4" t="str">
        <f t="shared" si="1"/>
        <v>LOW</v>
      </c>
      <c r="N70" s="4" t="str">
        <f t="shared" si="2"/>
        <v>MID</v>
      </c>
      <c r="O70" s="4" t="str">
        <f t="shared" si="3"/>
        <v>RECENTLY PROMOTED</v>
      </c>
      <c r="P70" s="5" t="str">
        <f t="shared" si="4"/>
        <v>Low_Pressure</v>
      </c>
      <c r="Q70" s="4" t="str">
        <f t="shared" si="5"/>
        <v>DISENGAGED</v>
      </c>
      <c r="R70" s="4" t="str">
        <f t="shared" si="6"/>
        <v>LOW</v>
      </c>
      <c r="S70" s="2"/>
      <c r="T70" s="2"/>
      <c r="U70" s="2"/>
      <c r="V70" s="2"/>
      <c r="W70" s="2"/>
      <c r="X70" s="2"/>
      <c r="Y70" s="2"/>
      <c r="Z70" s="2"/>
    </row>
    <row r="71" spans="1:26" ht="16.8" x14ac:dyDescent="0.3">
      <c r="A71" s="4">
        <v>90</v>
      </c>
      <c r="B71" s="4" t="s">
        <v>35</v>
      </c>
      <c r="C71" s="4">
        <v>36</v>
      </c>
      <c r="D71" s="4" t="s">
        <v>45</v>
      </c>
      <c r="E71" s="4" t="s">
        <v>47</v>
      </c>
      <c r="F71" s="4">
        <v>3388</v>
      </c>
      <c r="G71" s="4" t="s">
        <v>35</v>
      </c>
      <c r="H71" s="4">
        <v>1</v>
      </c>
      <c r="I71" s="4">
        <v>0</v>
      </c>
      <c r="J71" s="4">
        <v>3</v>
      </c>
      <c r="K71" s="4">
        <v>2</v>
      </c>
      <c r="L71" s="4" t="str">
        <f t="shared" si="0"/>
        <v>NORMAL</v>
      </c>
      <c r="M71" s="4" t="str">
        <f t="shared" si="1"/>
        <v>LOW</v>
      </c>
      <c r="N71" s="4" t="str">
        <f t="shared" si="2"/>
        <v>NEW</v>
      </c>
      <c r="O71" s="4" t="str">
        <f t="shared" si="3"/>
        <v>RECENTLY PROMOTED</v>
      </c>
      <c r="P71" s="5" t="str">
        <f t="shared" si="4"/>
        <v>High_Pressure</v>
      </c>
      <c r="Q71" s="4" t="str">
        <f t="shared" si="5"/>
        <v>DISENGAGED</v>
      </c>
      <c r="R71" s="4" t="str">
        <f t="shared" si="6"/>
        <v>LOW</v>
      </c>
      <c r="S71" s="2"/>
      <c r="T71" s="2"/>
      <c r="U71" s="2"/>
      <c r="V71" s="2"/>
      <c r="W71" s="2"/>
      <c r="X71" s="2"/>
      <c r="Y71" s="2"/>
      <c r="Z71" s="2"/>
    </row>
    <row r="72" spans="1:26" ht="16.8" x14ac:dyDescent="0.3">
      <c r="A72" s="4">
        <v>91</v>
      </c>
      <c r="B72" s="4" t="s">
        <v>43</v>
      </c>
      <c r="C72" s="4">
        <v>59</v>
      </c>
      <c r="D72" s="4" t="s">
        <v>37</v>
      </c>
      <c r="E72" s="4" t="s">
        <v>40</v>
      </c>
      <c r="F72" s="4">
        <v>5473</v>
      </c>
      <c r="G72" s="4" t="s">
        <v>43</v>
      </c>
      <c r="H72" s="4">
        <v>4</v>
      </c>
      <c r="I72" s="4">
        <v>1</v>
      </c>
      <c r="J72" s="4">
        <v>3</v>
      </c>
      <c r="K72" s="4">
        <v>2</v>
      </c>
      <c r="L72" s="4" t="str">
        <f t="shared" si="0"/>
        <v>NORMAL</v>
      </c>
      <c r="M72" s="4" t="str">
        <f t="shared" si="1"/>
        <v>HIGH</v>
      </c>
      <c r="N72" s="4" t="str">
        <f t="shared" si="2"/>
        <v>MID</v>
      </c>
      <c r="O72" s="4" t="str">
        <f t="shared" si="3"/>
        <v>RECENTLY PROMOTED</v>
      </c>
      <c r="P72" s="5" t="str">
        <f t="shared" si="4"/>
        <v>Low_Pressure</v>
      </c>
      <c r="Q72" s="4" t="str">
        <f t="shared" si="5"/>
        <v>DISENGAGED</v>
      </c>
      <c r="R72" s="4" t="str">
        <f t="shared" si="6"/>
        <v>LOW</v>
      </c>
      <c r="S72" s="2"/>
      <c r="T72" s="2"/>
      <c r="U72" s="2"/>
      <c r="V72" s="2"/>
      <c r="W72" s="2"/>
      <c r="X72" s="2"/>
      <c r="Y72" s="2"/>
      <c r="Z72" s="2"/>
    </row>
    <row r="73" spans="1:26" ht="16.8" x14ac:dyDescent="0.3">
      <c r="A73" s="4">
        <v>94</v>
      </c>
      <c r="B73" s="4" t="s">
        <v>43</v>
      </c>
      <c r="C73" s="4">
        <v>29</v>
      </c>
      <c r="D73" s="4" t="s">
        <v>45</v>
      </c>
      <c r="E73" s="4" t="s">
        <v>47</v>
      </c>
      <c r="F73" s="4">
        <v>2703</v>
      </c>
      <c r="G73" s="4" t="s">
        <v>43</v>
      </c>
      <c r="H73" s="4">
        <v>5</v>
      </c>
      <c r="I73" s="4">
        <v>0</v>
      </c>
      <c r="J73" s="4">
        <v>2</v>
      </c>
      <c r="K73" s="4">
        <v>3</v>
      </c>
      <c r="L73" s="4" t="str">
        <f t="shared" si="0"/>
        <v>NORMAL</v>
      </c>
      <c r="M73" s="4" t="str">
        <f t="shared" si="1"/>
        <v>LOW</v>
      </c>
      <c r="N73" s="4" t="str">
        <f t="shared" si="2"/>
        <v>MID</v>
      </c>
      <c r="O73" s="4" t="str">
        <f t="shared" si="3"/>
        <v>RECENTLY PROMOTED</v>
      </c>
      <c r="P73" s="5" t="str">
        <f t="shared" si="4"/>
        <v>Medium_Pressure</v>
      </c>
      <c r="Q73" s="4" t="str">
        <f t="shared" si="5"/>
        <v>DISENGAGED</v>
      </c>
      <c r="R73" s="4" t="str">
        <f t="shared" si="6"/>
        <v>LOW</v>
      </c>
      <c r="S73" s="2"/>
      <c r="T73" s="2"/>
      <c r="U73" s="2"/>
      <c r="V73" s="2"/>
      <c r="W73" s="2"/>
      <c r="X73" s="2"/>
      <c r="Y73" s="2"/>
      <c r="Z73" s="2"/>
    </row>
    <row r="74" spans="1:26" ht="16.8" x14ac:dyDescent="0.3">
      <c r="A74" s="4">
        <v>95</v>
      </c>
      <c r="B74" s="4" t="s">
        <v>43</v>
      </c>
      <c r="C74" s="4">
        <v>31</v>
      </c>
      <c r="D74" s="4" t="s">
        <v>45</v>
      </c>
      <c r="E74" s="4" t="s">
        <v>47</v>
      </c>
      <c r="F74" s="4">
        <v>2501</v>
      </c>
      <c r="G74" s="4" t="s">
        <v>43</v>
      </c>
      <c r="H74" s="4">
        <v>1</v>
      </c>
      <c r="I74" s="4">
        <v>1</v>
      </c>
      <c r="J74" s="4">
        <v>2</v>
      </c>
      <c r="K74" s="4">
        <v>3</v>
      </c>
      <c r="L74" s="4" t="str">
        <f t="shared" si="0"/>
        <v>NORMAL</v>
      </c>
      <c r="M74" s="4" t="str">
        <f t="shared" si="1"/>
        <v>LOW</v>
      </c>
      <c r="N74" s="4" t="str">
        <f t="shared" si="2"/>
        <v>NEW</v>
      </c>
      <c r="O74" s="4" t="str">
        <f t="shared" si="3"/>
        <v>RECENTLY PROMOTED</v>
      </c>
      <c r="P74" s="5" t="str">
        <f t="shared" si="4"/>
        <v>Medium_Pressure</v>
      </c>
      <c r="Q74" s="4" t="str">
        <f t="shared" si="5"/>
        <v>DISENGAGED</v>
      </c>
      <c r="R74" s="4" t="str">
        <f>IF(AND(L74="HIGH RISK",M2="LOW",O74="STAGNANT",P74="HIGH_PRESSURE",Q74="DISENGAGED"),
"CRITICAL",
IF(AND(L74="HIGH RISK",M74="LOW",O2="MODERATE-WAIT",P74="HIGH_PRESSURE",Q74="MODERATELY_ENGAGED"),
"HIGH",
IF(AND(L74="NORMAL",M74="MEDIUM",O74="MODERATE-WAIT",P74="MEDIUM_PRESSURE",Q74="MODERATELY_ENGAGED"),
"MEDIUM",
"LOW")))</f>
        <v>LOW</v>
      </c>
      <c r="S74" s="2"/>
      <c r="T74" s="2"/>
      <c r="U74" s="2"/>
      <c r="V74" s="2"/>
      <c r="W74" s="2"/>
      <c r="X74" s="2"/>
      <c r="Y74" s="2"/>
      <c r="Z74" s="2"/>
    </row>
    <row r="75" spans="1:26" ht="16.8" x14ac:dyDescent="0.3">
      <c r="A75" s="4">
        <v>96</v>
      </c>
      <c r="B75" s="4" t="s">
        <v>43</v>
      </c>
      <c r="C75" s="4">
        <v>32</v>
      </c>
      <c r="D75" s="4" t="s">
        <v>45</v>
      </c>
      <c r="E75" s="4" t="s">
        <v>47</v>
      </c>
      <c r="F75" s="4">
        <v>6220</v>
      </c>
      <c r="G75" s="4" t="s">
        <v>43</v>
      </c>
      <c r="H75" s="4">
        <v>10</v>
      </c>
      <c r="I75" s="4">
        <v>0</v>
      </c>
      <c r="J75" s="4">
        <v>2</v>
      </c>
      <c r="K75" s="4">
        <v>3</v>
      </c>
      <c r="L75" s="4" t="str">
        <f t="shared" si="0"/>
        <v>NORMAL</v>
      </c>
      <c r="M75" s="4" t="str">
        <f t="shared" si="1"/>
        <v>HIGH</v>
      </c>
      <c r="N75" s="4" t="str">
        <f t="shared" si="2"/>
        <v>SENIOR</v>
      </c>
      <c r="O75" s="4" t="str">
        <f t="shared" si="3"/>
        <v>RECENTLY PROMOTED</v>
      </c>
      <c r="P75" s="5" t="str">
        <f t="shared" si="4"/>
        <v>Medium_Pressure</v>
      </c>
      <c r="Q75" s="4" t="str">
        <f t="shared" si="5"/>
        <v>DISENGAGED</v>
      </c>
      <c r="R75" s="4" t="str">
        <f t="shared" ref="R75:R329" si="7">IF(AND(L75="HIGH",O75="STAGNANT",P75="HIGH_PRESSURE",Q75="DISENGAGED"),
"CRITICAL",
IF(AND(L75="HIGH",M75="LOW",P75="HIGH_PRESSURE",Q75="MODERATELY_ENGAGED"),
"HIGH",
IF(AND(L75="NORMAL",M75="MEDIUM",O75="MODERATE-WAIT",P75="MEDIUM_PRESSURE",Q75="MODERATELY_ENGAGED"),
"MEDIUM",
"LOW")))</f>
        <v>LOW</v>
      </c>
      <c r="S75" s="2"/>
      <c r="T75" s="2"/>
      <c r="U75" s="2"/>
      <c r="V75" s="2"/>
      <c r="W75" s="2"/>
      <c r="X75" s="2"/>
      <c r="Y75" s="2"/>
      <c r="Z75" s="2"/>
    </row>
    <row r="76" spans="1:26" ht="16.8" x14ac:dyDescent="0.3">
      <c r="A76" s="4">
        <v>97</v>
      </c>
      <c r="B76" s="4" t="s">
        <v>43</v>
      </c>
      <c r="C76" s="4">
        <v>36</v>
      </c>
      <c r="D76" s="4" t="s">
        <v>45</v>
      </c>
      <c r="E76" s="4" t="s">
        <v>50</v>
      </c>
      <c r="F76" s="4">
        <v>3038</v>
      </c>
      <c r="G76" s="4" t="s">
        <v>43</v>
      </c>
      <c r="H76" s="4">
        <v>1</v>
      </c>
      <c r="I76" s="4">
        <v>0</v>
      </c>
      <c r="J76" s="4">
        <v>4</v>
      </c>
      <c r="K76" s="4">
        <v>3</v>
      </c>
      <c r="L76" s="4" t="str">
        <f t="shared" si="0"/>
        <v>NORMAL</v>
      </c>
      <c r="M76" s="4" t="str">
        <f t="shared" si="1"/>
        <v>LOW</v>
      </c>
      <c r="N76" s="4" t="str">
        <f t="shared" si="2"/>
        <v>NEW</v>
      </c>
      <c r="O76" s="4" t="str">
        <f t="shared" si="3"/>
        <v>RECENTLY PROMOTED</v>
      </c>
      <c r="P76" s="5" t="str">
        <f t="shared" si="4"/>
        <v>Medium_Pressure</v>
      </c>
      <c r="Q76" s="4" t="str">
        <f t="shared" si="5"/>
        <v>HIGHLY_ENGAGED</v>
      </c>
      <c r="R76" s="4" t="str">
        <f t="shared" si="7"/>
        <v>LOW</v>
      </c>
      <c r="S76" s="2"/>
      <c r="T76" s="2"/>
      <c r="U76" s="2"/>
      <c r="V76" s="2"/>
      <c r="W76" s="2"/>
      <c r="X76" s="2"/>
      <c r="Y76" s="2"/>
      <c r="Z76" s="2"/>
    </row>
    <row r="77" spans="1:26" ht="16.8" x14ac:dyDescent="0.3">
      <c r="A77" s="4">
        <v>98</v>
      </c>
      <c r="B77" s="4" t="s">
        <v>43</v>
      </c>
      <c r="C77" s="4">
        <v>31</v>
      </c>
      <c r="D77" s="4" t="s">
        <v>45</v>
      </c>
      <c r="E77" s="4" t="s">
        <v>53</v>
      </c>
      <c r="F77" s="4">
        <v>4424</v>
      </c>
      <c r="G77" s="4" t="s">
        <v>43</v>
      </c>
      <c r="H77" s="4">
        <v>11</v>
      </c>
      <c r="I77" s="4">
        <v>1</v>
      </c>
      <c r="J77" s="4">
        <v>4</v>
      </c>
      <c r="K77" s="4">
        <v>3</v>
      </c>
      <c r="L77" s="4" t="str">
        <f t="shared" si="0"/>
        <v>NORMAL</v>
      </c>
      <c r="M77" s="4" t="str">
        <f t="shared" si="1"/>
        <v>HIGH</v>
      </c>
      <c r="N77" s="4" t="str">
        <f t="shared" si="2"/>
        <v>SENIOR</v>
      </c>
      <c r="O77" s="4" t="str">
        <f t="shared" si="3"/>
        <v>RECENTLY PROMOTED</v>
      </c>
      <c r="P77" s="5" t="str">
        <f t="shared" si="4"/>
        <v>Medium_Pressure</v>
      </c>
      <c r="Q77" s="4" t="str">
        <f t="shared" si="5"/>
        <v>HIGHLY_ENGAGED</v>
      </c>
      <c r="R77" s="4" t="str">
        <f t="shared" si="7"/>
        <v>LOW</v>
      </c>
      <c r="S77" s="2"/>
      <c r="T77" s="2"/>
      <c r="U77" s="2"/>
      <c r="V77" s="2"/>
      <c r="W77" s="2"/>
      <c r="X77" s="2"/>
      <c r="Y77" s="2"/>
      <c r="Z77" s="2"/>
    </row>
    <row r="78" spans="1:26" ht="16.8" x14ac:dyDescent="0.3">
      <c r="A78" s="4">
        <v>100</v>
      </c>
      <c r="B78" s="4" t="s">
        <v>43</v>
      </c>
      <c r="C78" s="4">
        <v>35</v>
      </c>
      <c r="D78" s="4" t="s">
        <v>37</v>
      </c>
      <c r="E78" s="4" t="s">
        <v>40</v>
      </c>
      <c r="F78" s="4">
        <v>4312</v>
      </c>
      <c r="G78" s="4" t="s">
        <v>43</v>
      </c>
      <c r="H78" s="4">
        <v>15</v>
      </c>
      <c r="I78" s="4">
        <v>2</v>
      </c>
      <c r="J78" s="4">
        <v>1</v>
      </c>
      <c r="K78" s="4">
        <v>3</v>
      </c>
      <c r="L78" s="4" t="str">
        <f t="shared" si="0"/>
        <v>NORMAL</v>
      </c>
      <c r="M78" s="4" t="str">
        <f t="shared" si="1"/>
        <v>HIGH</v>
      </c>
      <c r="N78" s="4" t="str">
        <f t="shared" si="2"/>
        <v>SENIOR</v>
      </c>
      <c r="O78" s="4" t="str">
        <f t="shared" si="3"/>
        <v>MODERATE-WAIT</v>
      </c>
      <c r="P78" s="5" t="str">
        <f t="shared" si="4"/>
        <v>Medium_Pressure</v>
      </c>
      <c r="Q78" s="4" t="str">
        <f t="shared" si="5"/>
        <v>DISENGAGED</v>
      </c>
      <c r="R78" s="4" t="str">
        <f t="shared" si="7"/>
        <v>LOW</v>
      </c>
      <c r="S78" s="2"/>
      <c r="T78" s="2"/>
      <c r="U78" s="2"/>
      <c r="V78" s="2"/>
      <c r="W78" s="2"/>
      <c r="X78" s="2"/>
      <c r="Y78" s="2"/>
      <c r="Z78" s="2"/>
    </row>
    <row r="79" spans="1:26" ht="16.8" x14ac:dyDescent="0.3">
      <c r="A79" s="4">
        <v>101</v>
      </c>
      <c r="B79" s="4" t="s">
        <v>43</v>
      </c>
      <c r="C79" s="4">
        <v>45</v>
      </c>
      <c r="D79" s="4" t="s">
        <v>45</v>
      </c>
      <c r="E79" s="4" t="s">
        <v>58</v>
      </c>
      <c r="F79" s="4">
        <v>13245</v>
      </c>
      <c r="G79" s="4" t="s">
        <v>35</v>
      </c>
      <c r="H79" s="4">
        <v>0</v>
      </c>
      <c r="I79" s="4">
        <v>0</v>
      </c>
      <c r="J79" s="4">
        <v>1</v>
      </c>
      <c r="K79" s="4">
        <v>4</v>
      </c>
      <c r="L79" s="4" t="str">
        <f t="shared" si="0"/>
        <v>NORMAL</v>
      </c>
      <c r="M79" s="4" t="str">
        <f t="shared" si="1"/>
        <v>MEDIUM</v>
      </c>
      <c r="N79" s="4" t="str">
        <f t="shared" si="2"/>
        <v>NEW</v>
      </c>
      <c r="O79" s="4" t="str">
        <f t="shared" si="3"/>
        <v>RECENTLY PROMOTED</v>
      </c>
      <c r="P79" s="5" t="str">
        <f t="shared" si="4"/>
        <v>Medium_Pressure</v>
      </c>
      <c r="Q79" s="4" t="str">
        <f t="shared" si="5"/>
        <v>DISENGAGED</v>
      </c>
      <c r="R79" s="4" t="str">
        <f t="shared" si="7"/>
        <v>LOW</v>
      </c>
      <c r="S79" s="2"/>
      <c r="T79" s="2"/>
      <c r="U79" s="2"/>
      <c r="V79" s="2"/>
      <c r="W79" s="2"/>
      <c r="X79" s="2"/>
      <c r="Y79" s="2"/>
      <c r="Z79" s="2"/>
    </row>
    <row r="80" spans="1:26" ht="16.8" x14ac:dyDescent="0.3">
      <c r="A80" s="4">
        <v>102</v>
      </c>
      <c r="B80" s="4" t="s">
        <v>43</v>
      </c>
      <c r="C80" s="4">
        <v>37</v>
      </c>
      <c r="D80" s="4" t="s">
        <v>45</v>
      </c>
      <c r="E80" s="4" t="s">
        <v>58</v>
      </c>
      <c r="F80" s="4">
        <v>13664</v>
      </c>
      <c r="G80" s="4" t="s">
        <v>43</v>
      </c>
      <c r="H80" s="4">
        <v>5</v>
      </c>
      <c r="I80" s="4">
        <v>0</v>
      </c>
      <c r="J80" s="4">
        <v>3</v>
      </c>
      <c r="K80" s="4">
        <v>4</v>
      </c>
      <c r="L80" s="4" t="str">
        <f t="shared" si="0"/>
        <v>NORMAL</v>
      </c>
      <c r="M80" s="4" t="str">
        <f t="shared" si="1"/>
        <v>MEDIUM</v>
      </c>
      <c r="N80" s="4" t="str">
        <f t="shared" si="2"/>
        <v>MID</v>
      </c>
      <c r="O80" s="4" t="str">
        <f t="shared" si="3"/>
        <v>RECENTLY PROMOTED</v>
      </c>
      <c r="P80" s="5" t="str">
        <f t="shared" si="4"/>
        <v>Low_Pressure</v>
      </c>
      <c r="Q80" s="4" t="str">
        <f t="shared" si="5"/>
        <v>HIGHLY_ENGAGED</v>
      </c>
      <c r="R80" s="4" t="str">
        <f t="shared" si="7"/>
        <v>LOW</v>
      </c>
      <c r="S80" s="2"/>
      <c r="T80" s="2"/>
      <c r="U80" s="2"/>
      <c r="V80" s="2"/>
      <c r="W80" s="2"/>
      <c r="X80" s="2"/>
      <c r="Y80" s="2"/>
      <c r="Z80" s="2"/>
    </row>
    <row r="81" spans="1:26" ht="16.8" x14ac:dyDescent="0.3">
      <c r="A81" s="4">
        <v>103</v>
      </c>
      <c r="B81" s="4" t="s">
        <v>43</v>
      </c>
      <c r="C81" s="4">
        <v>46</v>
      </c>
      <c r="D81" s="4" t="s">
        <v>61</v>
      </c>
      <c r="E81" s="4" t="s">
        <v>61</v>
      </c>
      <c r="F81" s="4">
        <v>5021</v>
      </c>
      <c r="G81" s="4" t="s">
        <v>35</v>
      </c>
      <c r="H81" s="4">
        <v>4</v>
      </c>
      <c r="I81" s="4">
        <v>0</v>
      </c>
      <c r="J81" s="4">
        <v>2</v>
      </c>
      <c r="K81" s="4">
        <v>3</v>
      </c>
      <c r="L81" s="4" t="str">
        <f t="shared" si="0"/>
        <v>NORMAL</v>
      </c>
      <c r="M81" s="4" t="str">
        <f t="shared" si="1"/>
        <v>HIGH</v>
      </c>
      <c r="N81" s="4" t="str">
        <f t="shared" si="2"/>
        <v>MID</v>
      </c>
      <c r="O81" s="4" t="str">
        <f t="shared" si="3"/>
        <v>RECENTLY PROMOTED</v>
      </c>
      <c r="P81" s="5" t="str">
        <f t="shared" si="4"/>
        <v>Medium_Pressure</v>
      </c>
      <c r="Q81" s="4" t="str">
        <f t="shared" si="5"/>
        <v>DISENGAGED</v>
      </c>
      <c r="R81" s="4" t="str">
        <f t="shared" si="7"/>
        <v>LOW</v>
      </c>
      <c r="S81" s="2"/>
      <c r="T81" s="2"/>
      <c r="U81" s="2"/>
      <c r="V81" s="2"/>
      <c r="W81" s="2"/>
      <c r="X81" s="2"/>
      <c r="Y81" s="2"/>
      <c r="Z81" s="2"/>
    </row>
    <row r="82" spans="1:26" ht="16.8" x14ac:dyDescent="0.3">
      <c r="A82" s="4">
        <v>104</v>
      </c>
      <c r="B82" s="4" t="s">
        <v>43</v>
      </c>
      <c r="C82" s="4">
        <v>30</v>
      </c>
      <c r="D82" s="4" t="s">
        <v>45</v>
      </c>
      <c r="E82" s="4" t="s">
        <v>50</v>
      </c>
      <c r="F82" s="4">
        <v>5126</v>
      </c>
      <c r="G82" s="4" t="s">
        <v>35</v>
      </c>
      <c r="H82" s="4">
        <v>10</v>
      </c>
      <c r="I82" s="4">
        <v>3</v>
      </c>
      <c r="J82" s="4">
        <v>4</v>
      </c>
      <c r="K82" s="4">
        <v>2</v>
      </c>
      <c r="L82" s="4" t="str">
        <f t="shared" si="0"/>
        <v>NORMAL</v>
      </c>
      <c r="M82" s="4" t="str">
        <f t="shared" si="1"/>
        <v>HIGH</v>
      </c>
      <c r="N82" s="4" t="str">
        <f t="shared" si="2"/>
        <v>SENIOR</v>
      </c>
      <c r="O82" s="4" t="str">
        <f t="shared" si="3"/>
        <v>MODERATE-WAIT</v>
      </c>
      <c r="P82" s="5" t="str">
        <f t="shared" si="4"/>
        <v>High_Pressure</v>
      </c>
      <c r="Q82" s="4" t="str">
        <f t="shared" si="5"/>
        <v>DISENGAGED</v>
      </c>
      <c r="R82" s="4" t="str">
        <f t="shared" si="7"/>
        <v>LOW</v>
      </c>
      <c r="S82" s="2"/>
      <c r="T82" s="2"/>
      <c r="U82" s="2"/>
      <c r="V82" s="2"/>
      <c r="W82" s="2"/>
      <c r="X82" s="2"/>
      <c r="Y82" s="2"/>
      <c r="Z82" s="2"/>
    </row>
    <row r="83" spans="1:26" ht="16.8" x14ac:dyDescent="0.3">
      <c r="A83" s="4">
        <v>105</v>
      </c>
      <c r="B83" s="4" t="s">
        <v>43</v>
      </c>
      <c r="C83" s="4">
        <v>35</v>
      </c>
      <c r="D83" s="4" t="s">
        <v>45</v>
      </c>
      <c r="E83" s="4" t="s">
        <v>47</v>
      </c>
      <c r="F83" s="4">
        <v>2859</v>
      </c>
      <c r="G83" s="4" t="s">
        <v>43</v>
      </c>
      <c r="H83" s="4">
        <v>6</v>
      </c>
      <c r="I83" s="4">
        <v>0</v>
      </c>
      <c r="J83" s="4">
        <v>3</v>
      </c>
      <c r="K83" s="4">
        <v>3</v>
      </c>
      <c r="L83" s="4" t="str">
        <f t="shared" si="0"/>
        <v>NORMAL</v>
      </c>
      <c r="M83" s="4" t="str">
        <f t="shared" si="1"/>
        <v>LOW</v>
      </c>
      <c r="N83" s="4" t="str">
        <f t="shared" si="2"/>
        <v>MID</v>
      </c>
      <c r="O83" s="4" t="str">
        <f t="shared" si="3"/>
        <v>RECENTLY PROMOTED</v>
      </c>
      <c r="P83" s="5" t="str">
        <f t="shared" si="4"/>
        <v>Medium_Pressure</v>
      </c>
      <c r="Q83" s="4" t="str">
        <f t="shared" si="5"/>
        <v>HIGHLY_ENGAGED</v>
      </c>
      <c r="R83" s="4" t="str">
        <f t="shared" si="7"/>
        <v>LOW</v>
      </c>
      <c r="S83" s="2"/>
      <c r="T83" s="2"/>
      <c r="U83" s="2"/>
      <c r="V83" s="2"/>
      <c r="W83" s="2"/>
      <c r="X83" s="2"/>
      <c r="Y83" s="2"/>
      <c r="Z83" s="2"/>
    </row>
    <row r="84" spans="1:26" ht="16.8" x14ac:dyDescent="0.3">
      <c r="A84" s="4">
        <v>106</v>
      </c>
      <c r="B84" s="4" t="s">
        <v>43</v>
      </c>
      <c r="C84" s="4">
        <v>55</v>
      </c>
      <c r="D84" s="4" t="s">
        <v>37</v>
      </c>
      <c r="E84" s="4" t="s">
        <v>40</v>
      </c>
      <c r="F84" s="4">
        <v>10239</v>
      </c>
      <c r="G84" s="4" t="s">
        <v>43</v>
      </c>
      <c r="H84" s="4">
        <v>1</v>
      </c>
      <c r="I84" s="4">
        <v>1</v>
      </c>
      <c r="J84" s="4">
        <v>4</v>
      </c>
      <c r="K84" s="4">
        <v>3</v>
      </c>
      <c r="L84" s="4" t="str">
        <f t="shared" si="0"/>
        <v>NORMAL</v>
      </c>
      <c r="M84" s="4" t="str">
        <f t="shared" si="1"/>
        <v>MEDIUM</v>
      </c>
      <c r="N84" s="4" t="str">
        <f t="shared" si="2"/>
        <v>NEW</v>
      </c>
      <c r="O84" s="4" t="str">
        <f t="shared" si="3"/>
        <v>RECENTLY PROMOTED</v>
      </c>
      <c r="P84" s="5" t="str">
        <f t="shared" si="4"/>
        <v>Medium_Pressure</v>
      </c>
      <c r="Q84" s="4" t="str">
        <f t="shared" si="5"/>
        <v>HIGHLY_ENGAGED</v>
      </c>
      <c r="R84" s="4" t="str">
        <f t="shared" si="7"/>
        <v>LOW</v>
      </c>
      <c r="S84" s="2"/>
      <c r="T84" s="2"/>
      <c r="U84" s="2"/>
      <c r="V84" s="2"/>
      <c r="W84" s="2"/>
      <c r="X84" s="2"/>
      <c r="Y84" s="2"/>
      <c r="Z84" s="2"/>
    </row>
    <row r="85" spans="1:26" ht="16.8" x14ac:dyDescent="0.3">
      <c r="A85" s="4">
        <v>107</v>
      </c>
      <c r="B85" s="4" t="s">
        <v>43</v>
      </c>
      <c r="C85" s="4">
        <v>38</v>
      </c>
      <c r="D85" s="4" t="s">
        <v>45</v>
      </c>
      <c r="E85" s="4" t="s">
        <v>47</v>
      </c>
      <c r="F85" s="4">
        <v>5329</v>
      </c>
      <c r="G85" s="4" t="s">
        <v>35</v>
      </c>
      <c r="H85" s="4">
        <v>13</v>
      </c>
      <c r="I85" s="4">
        <v>1</v>
      </c>
      <c r="J85" s="4">
        <v>4</v>
      </c>
      <c r="K85" s="4">
        <v>3</v>
      </c>
      <c r="L85" s="4" t="str">
        <f t="shared" si="0"/>
        <v>NORMAL</v>
      </c>
      <c r="M85" s="4" t="str">
        <f t="shared" si="1"/>
        <v>HIGH</v>
      </c>
      <c r="N85" s="4" t="str">
        <f t="shared" si="2"/>
        <v>SENIOR</v>
      </c>
      <c r="O85" s="4" t="str">
        <f t="shared" si="3"/>
        <v>RECENTLY PROMOTED</v>
      </c>
      <c r="P85" s="5" t="str">
        <f t="shared" si="4"/>
        <v>Medium_Pressure</v>
      </c>
      <c r="Q85" s="4" t="str">
        <f t="shared" si="5"/>
        <v>HIGHLY_ENGAGED</v>
      </c>
      <c r="R85" s="4" t="str">
        <f t="shared" si="7"/>
        <v>LOW</v>
      </c>
      <c r="S85" s="2"/>
      <c r="T85" s="2"/>
      <c r="U85" s="2"/>
      <c r="V85" s="2"/>
      <c r="W85" s="2"/>
      <c r="X85" s="2"/>
      <c r="Y85" s="2"/>
      <c r="Z85" s="2"/>
    </row>
    <row r="86" spans="1:26" ht="16.8" x14ac:dyDescent="0.3">
      <c r="A86" s="4">
        <v>110</v>
      </c>
      <c r="B86" s="4" t="s">
        <v>43</v>
      </c>
      <c r="C86" s="4">
        <v>34</v>
      </c>
      <c r="D86" s="4" t="s">
        <v>45</v>
      </c>
      <c r="E86" s="4" t="s">
        <v>53</v>
      </c>
      <c r="F86" s="4">
        <v>4325</v>
      </c>
      <c r="G86" s="4" t="s">
        <v>43</v>
      </c>
      <c r="H86" s="4">
        <v>5</v>
      </c>
      <c r="I86" s="4">
        <v>1</v>
      </c>
      <c r="J86" s="4">
        <v>2</v>
      </c>
      <c r="K86" s="4">
        <v>3</v>
      </c>
      <c r="L86" s="4" t="str">
        <f t="shared" si="0"/>
        <v>NORMAL</v>
      </c>
      <c r="M86" s="4" t="str">
        <f t="shared" si="1"/>
        <v>HIGH</v>
      </c>
      <c r="N86" s="4" t="str">
        <f t="shared" si="2"/>
        <v>MID</v>
      </c>
      <c r="O86" s="4" t="str">
        <f t="shared" si="3"/>
        <v>RECENTLY PROMOTED</v>
      </c>
      <c r="P86" s="5" t="str">
        <f t="shared" si="4"/>
        <v>Medium_Pressure</v>
      </c>
      <c r="Q86" s="4" t="str">
        <f t="shared" si="5"/>
        <v>DISENGAGED</v>
      </c>
      <c r="R86" s="4" t="str">
        <f t="shared" si="7"/>
        <v>LOW</v>
      </c>
      <c r="S86" s="2"/>
      <c r="T86" s="2"/>
      <c r="U86" s="2"/>
      <c r="V86" s="2"/>
      <c r="W86" s="2"/>
      <c r="X86" s="2"/>
      <c r="Y86" s="2"/>
      <c r="Z86" s="2"/>
    </row>
    <row r="87" spans="1:26" ht="16.8" x14ac:dyDescent="0.3">
      <c r="A87" s="4">
        <v>112</v>
      </c>
      <c r="B87" s="4" t="s">
        <v>43</v>
      </c>
      <c r="C87" s="4">
        <v>56</v>
      </c>
      <c r="D87" s="4" t="s">
        <v>45</v>
      </c>
      <c r="E87" s="4" t="s">
        <v>53</v>
      </c>
      <c r="F87" s="4">
        <v>7260</v>
      </c>
      <c r="G87" s="4" t="s">
        <v>43</v>
      </c>
      <c r="H87" s="4">
        <v>6</v>
      </c>
      <c r="I87" s="4">
        <v>0</v>
      </c>
      <c r="J87" s="4">
        <v>4</v>
      </c>
      <c r="K87" s="4">
        <v>2</v>
      </c>
      <c r="L87" s="4" t="str">
        <f t="shared" si="0"/>
        <v>NORMAL</v>
      </c>
      <c r="M87" s="4" t="str">
        <f t="shared" si="1"/>
        <v>HIGH</v>
      </c>
      <c r="N87" s="4" t="str">
        <f t="shared" si="2"/>
        <v>MID</v>
      </c>
      <c r="O87" s="4" t="str">
        <f t="shared" si="3"/>
        <v>RECENTLY PROMOTED</v>
      </c>
      <c r="P87" s="5" t="str">
        <f t="shared" si="4"/>
        <v>Low_Pressure</v>
      </c>
      <c r="Q87" s="4" t="str">
        <f t="shared" si="5"/>
        <v>DISENGAGED</v>
      </c>
      <c r="R87" s="4" t="str">
        <f t="shared" si="7"/>
        <v>LOW</v>
      </c>
      <c r="S87" s="2"/>
      <c r="T87" s="2"/>
      <c r="U87" s="2"/>
      <c r="V87" s="2"/>
      <c r="W87" s="2"/>
      <c r="X87" s="2"/>
      <c r="Y87" s="2"/>
      <c r="Z87" s="2"/>
    </row>
    <row r="88" spans="1:26" ht="16.8" x14ac:dyDescent="0.3">
      <c r="A88" s="4">
        <v>113</v>
      </c>
      <c r="B88" s="4" t="s">
        <v>43</v>
      </c>
      <c r="C88" s="4">
        <v>23</v>
      </c>
      <c r="D88" s="4" t="s">
        <v>37</v>
      </c>
      <c r="E88" s="4" t="s">
        <v>57</v>
      </c>
      <c r="F88" s="4">
        <v>2322</v>
      </c>
      <c r="G88" s="4" t="s">
        <v>43</v>
      </c>
      <c r="H88" s="4">
        <v>0</v>
      </c>
      <c r="I88" s="4">
        <v>0</v>
      </c>
      <c r="J88" s="4">
        <v>1</v>
      </c>
      <c r="K88" s="4">
        <v>3</v>
      </c>
      <c r="L88" s="4" t="str">
        <f t="shared" si="0"/>
        <v>NORMAL</v>
      </c>
      <c r="M88" s="4" t="str">
        <f t="shared" si="1"/>
        <v>LOW</v>
      </c>
      <c r="N88" s="4" t="str">
        <f t="shared" si="2"/>
        <v>NEW</v>
      </c>
      <c r="O88" s="4" t="str">
        <f t="shared" si="3"/>
        <v>RECENTLY PROMOTED</v>
      </c>
      <c r="P88" s="5" t="str">
        <f t="shared" si="4"/>
        <v>Medium_Pressure</v>
      </c>
      <c r="Q88" s="4" t="str">
        <f t="shared" si="5"/>
        <v>DISENGAGED</v>
      </c>
      <c r="R88" s="4" t="str">
        <f t="shared" si="7"/>
        <v>LOW</v>
      </c>
      <c r="S88" s="2"/>
      <c r="T88" s="2"/>
      <c r="U88" s="2"/>
      <c r="V88" s="2"/>
      <c r="W88" s="2"/>
      <c r="X88" s="2"/>
      <c r="Y88" s="2"/>
      <c r="Z88" s="2"/>
    </row>
    <row r="89" spans="1:26" ht="16.8" x14ac:dyDescent="0.3">
      <c r="A89" s="4">
        <v>116</v>
      </c>
      <c r="B89" s="4" t="s">
        <v>43</v>
      </c>
      <c r="C89" s="4">
        <v>51</v>
      </c>
      <c r="D89" s="4" t="s">
        <v>45</v>
      </c>
      <c r="E89" s="4" t="s">
        <v>50</v>
      </c>
      <c r="F89" s="4">
        <v>2075</v>
      </c>
      <c r="G89" s="4" t="s">
        <v>43</v>
      </c>
      <c r="H89" s="4">
        <v>4</v>
      </c>
      <c r="I89" s="4">
        <v>0</v>
      </c>
      <c r="J89" s="4">
        <v>4</v>
      </c>
      <c r="K89" s="4">
        <v>3</v>
      </c>
      <c r="L89" s="4" t="str">
        <f t="shared" si="0"/>
        <v>NORMAL</v>
      </c>
      <c r="M89" s="4" t="str">
        <f t="shared" si="1"/>
        <v>LOW</v>
      </c>
      <c r="N89" s="4" t="str">
        <f t="shared" si="2"/>
        <v>MID</v>
      </c>
      <c r="O89" s="4" t="str">
        <f t="shared" si="3"/>
        <v>RECENTLY PROMOTED</v>
      </c>
      <c r="P89" s="5" t="str">
        <f t="shared" si="4"/>
        <v>Medium_Pressure</v>
      </c>
      <c r="Q89" s="4" t="str">
        <f t="shared" si="5"/>
        <v>HIGHLY_ENGAGED</v>
      </c>
      <c r="R89" s="4" t="str">
        <f t="shared" si="7"/>
        <v>LOW</v>
      </c>
      <c r="S89" s="2"/>
      <c r="T89" s="2"/>
      <c r="U89" s="2"/>
      <c r="V89" s="2"/>
      <c r="W89" s="2"/>
      <c r="X89" s="2"/>
      <c r="Y89" s="2"/>
      <c r="Z89" s="2"/>
    </row>
    <row r="90" spans="1:26" ht="16.8" x14ac:dyDescent="0.3">
      <c r="A90" s="4">
        <v>117</v>
      </c>
      <c r="B90" s="4" t="s">
        <v>43</v>
      </c>
      <c r="C90" s="4">
        <v>30</v>
      </c>
      <c r="D90" s="4" t="s">
        <v>45</v>
      </c>
      <c r="E90" s="4" t="s">
        <v>54</v>
      </c>
      <c r="F90" s="4">
        <v>4152</v>
      </c>
      <c r="G90" s="4" t="s">
        <v>43</v>
      </c>
      <c r="H90" s="4">
        <v>11</v>
      </c>
      <c r="I90" s="4">
        <v>10</v>
      </c>
      <c r="J90" s="4">
        <v>4</v>
      </c>
      <c r="K90" s="4">
        <v>3</v>
      </c>
      <c r="L90" s="4" t="str">
        <f t="shared" si="0"/>
        <v>NORMAL</v>
      </c>
      <c r="M90" s="4" t="str">
        <f t="shared" si="1"/>
        <v>HIGH</v>
      </c>
      <c r="N90" s="4" t="str">
        <f t="shared" si="2"/>
        <v>SENIOR</v>
      </c>
      <c r="O90" s="4" t="str">
        <f t="shared" si="3"/>
        <v>STAGNANT</v>
      </c>
      <c r="P90" s="5" t="str">
        <f t="shared" si="4"/>
        <v>Medium_Pressure</v>
      </c>
      <c r="Q90" s="4" t="str">
        <f t="shared" si="5"/>
        <v>HIGHLY_ENGAGED</v>
      </c>
      <c r="R90" s="4" t="str">
        <f t="shared" si="7"/>
        <v>LOW</v>
      </c>
      <c r="S90" s="2"/>
      <c r="T90" s="2"/>
      <c r="U90" s="2"/>
      <c r="V90" s="2"/>
      <c r="W90" s="2"/>
      <c r="X90" s="2"/>
      <c r="Y90" s="2"/>
      <c r="Z90" s="2"/>
    </row>
    <row r="91" spans="1:26" ht="16.8" x14ac:dyDescent="0.3">
      <c r="A91" s="4">
        <v>118</v>
      </c>
      <c r="B91" s="4" t="s">
        <v>35</v>
      </c>
      <c r="C91" s="4">
        <v>46</v>
      </c>
      <c r="D91" s="4" t="s">
        <v>37</v>
      </c>
      <c r="E91" s="4" t="s">
        <v>40</v>
      </c>
      <c r="F91" s="4">
        <v>9619</v>
      </c>
      <c r="G91" s="4" t="s">
        <v>43</v>
      </c>
      <c r="H91" s="4">
        <v>9</v>
      </c>
      <c r="I91" s="4">
        <v>4</v>
      </c>
      <c r="J91" s="4">
        <v>4</v>
      </c>
      <c r="K91" s="4">
        <v>3</v>
      </c>
      <c r="L91" s="4" t="str">
        <f t="shared" si="0"/>
        <v>NORMAL</v>
      </c>
      <c r="M91" s="4" t="str">
        <f t="shared" si="1"/>
        <v>MEDIUM</v>
      </c>
      <c r="N91" s="4" t="str">
        <f t="shared" si="2"/>
        <v>SENIOR</v>
      </c>
      <c r="O91" s="4" t="str">
        <f t="shared" si="3"/>
        <v>STAGNANT</v>
      </c>
      <c r="P91" s="5" t="str">
        <f t="shared" si="4"/>
        <v>Medium_Pressure</v>
      </c>
      <c r="Q91" s="4" t="str">
        <f t="shared" si="5"/>
        <v>HIGHLY_ENGAGED</v>
      </c>
      <c r="R91" s="4" t="str">
        <f t="shared" si="7"/>
        <v>LOW</v>
      </c>
      <c r="S91" s="2"/>
      <c r="T91" s="2"/>
      <c r="U91" s="2"/>
      <c r="V91" s="2"/>
      <c r="W91" s="2"/>
      <c r="X91" s="2"/>
      <c r="Y91" s="2"/>
      <c r="Z91" s="2"/>
    </row>
    <row r="92" spans="1:26" ht="16.8" x14ac:dyDescent="0.3">
      <c r="A92" s="4">
        <v>119</v>
      </c>
      <c r="B92" s="4" t="s">
        <v>43</v>
      </c>
      <c r="C92" s="4">
        <v>40</v>
      </c>
      <c r="D92" s="4" t="s">
        <v>45</v>
      </c>
      <c r="E92" s="4" t="s">
        <v>54</v>
      </c>
      <c r="F92" s="4">
        <v>13503</v>
      </c>
      <c r="G92" s="4" t="s">
        <v>43</v>
      </c>
      <c r="H92" s="4">
        <v>22</v>
      </c>
      <c r="I92" s="4">
        <v>11</v>
      </c>
      <c r="J92" s="4">
        <v>2</v>
      </c>
      <c r="K92" s="4">
        <v>2</v>
      </c>
      <c r="L92" s="4" t="str">
        <f t="shared" si="0"/>
        <v>NORMAL</v>
      </c>
      <c r="M92" s="4" t="str">
        <f t="shared" si="1"/>
        <v>MEDIUM</v>
      </c>
      <c r="N92" s="4" t="str">
        <f t="shared" si="2"/>
        <v>SENIOR</v>
      </c>
      <c r="O92" s="4" t="str">
        <f t="shared" si="3"/>
        <v>STAGNANT</v>
      </c>
      <c r="P92" s="5" t="str">
        <f t="shared" si="4"/>
        <v>Low_Pressure</v>
      </c>
      <c r="Q92" s="4" t="str">
        <f t="shared" si="5"/>
        <v>DISENGAGED</v>
      </c>
      <c r="R92" s="4" t="str">
        <f t="shared" si="7"/>
        <v>LOW</v>
      </c>
      <c r="S92" s="2"/>
      <c r="T92" s="2"/>
      <c r="U92" s="2"/>
      <c r="V92" s="2"/>
      <c r="W92" s="2"/>
      <c r="X92" s="2"/>
      <c r="Y92" s="2"/>
      <c r="Z92" s="2"/>
    </row>
    <row r="93" spans="1:26" ht="16.8" x14ac:dyDescent="0.3">
      <c r="A93" s="4">
        <v>120</v>
      </c>
      <c r="B93" s="4" t="s">
        <v>43</v>
      </c>
      <c r="C93" s="4">
        <v>51</v>
      </c>
      <c r="D93" s="4" t="s">
        <v>37</v>
      </c>
      <c r="E93" s="4" t="s">
        <v>40</v>
      </c>
      <c r="F93" s="4">
        <v>5441</v>
      </c>
      <c r="G93" s="4" t="s">
        <v>35</v>
      </c>
      <c r="H93" s="4">
        <v>10</v>
      </c>
      <c r="I93" s="4">
        <v>1</v>
      </c>
      <c r="J93" s="4">
        <v>4</v>
      </c>
      <c r="K93" s="4">
        <v>1</v>
      </c>
      <c r="L93" s="4" t="str">
        <f t="shared" si="0"/>
        <v>NORMAL</v>
      </c>
      <c r="M93" s="4" t="str">
        <f t="shared" si="1"/>
        <v>HIGH</v>
      </c>
      <c r="N93" s="4" t="str">
        <f t="shared" si="2"/>
        <v>SENIOR</v>
      </c>
      <c r="O93" s="4" t="str">
        <f t="shared" si="3"/>
        <v>RECENTLY PROMOTED</v>
      </c>
      <c r="P93" s="5" t="str">
        <f t="shared" si="4"/>
        <v>High_Pressure</v>
      </c>
      <c r="Q93" s="4" t="str">
        <f t="shared" si="5"/>
        <v>DISENGAGED</v>
      </c>
      <c r="R93" s="4" t="str">
        <f t="shared" si="7"/>
        <v>LOW</v>
      </c>
      <c r="S93" s="2"/>
      <c r="T93" s="2"/>
      <c r="U93" s="2"/>
      <c r="V93" s="2"/>
      <c r="W93" s="2"/>
      <c r="X93" s="2"/>
      <c r="Y93" s="2"/>
      <c r="Z93" s="2"/>
    </row>
    <row r="94" spans="1:26" ht="16.8" x14ac:dyDescent="0.3">
      <c r="A94" s="4">
        <v>121</v>
      </c>
      <c r="B94" s="4" t="s">
        <v>43</v>
      </c>
      <c r="C94" s="4">
        <v>30</v>
      </c>
      <c r="D94" s="4" t="s">
        <v>37</v>
      </c>
      <c r="E94" s="4" t="s">
        <v>40</v>
      </c>
      <c r="F94" s="4">
        <v>5209</v>
      </c>
      <c r="G94" s="4" t="s">
        <v>35</v>
      </c>
      <c r="H94" s="4">
        <v>11</v>
      </c>
      <c r="I94" s="4">
        <v>2</v>
      </c>
      <c r="J94" s="4">
        <v>2</v>
      </c>
      <c r="K94" s="4">
        <v>2</v>
      </c>
      <c r="L94" s="4" t="str">
        <f t="shared" si="0"/>
        <v>NORMAL</v>
      </c>
      <c r="M94" s="4" t="str">
        <f t="shared" si="1"/>
        <v>HIGH</v>
      </c>
      <c r="N94" s="4" t="str">
        <f t="shared" si="2"/>
        <v>SENIOR</v>
      </c>
      <c r="O94" s="4" t="str">
        <f t="shared" si="3"/>
        <v>MODERATE-WAIT</v>
      </c>
      <c r="P94" s="5" t="str">
        <f t="shared" si="4"/>
        <v>High_Pressure</v>
      </c>
      <c r="Q94" s="4" t="str">
        <f t="shared" si="5"/>
        <v>DISENGAGED</v>
      </c>
      <c r="R94" s="4" t="str">
        <f t="shared" si="7"/>
        <v>LOW</v>
      </c>
      <c r="S94" s="2"/>
      <c r="T94" s="2"/>
      <c r="U94" s="2"/>
      <c r="V94" s="2"/>
      <c r="W94" s="2"/>
      <c r="X94" s="2"/>
      <c r="Y94" s="2"/>
      <c r="Z94" s="2"/>
    </row>
    <row r="95" spans="1:26" ht="16.8" x14ac:dyDescent="0.3">
      <c r="A95" s="4">
        <v>124</v>
      </c>
      <c r="B95" s="4" t="s">
        <v>43</v>
      </c>
      <c r="C95" s="4">
        <v>46</v>
      </c>
      <c r="D95" s="4" t="s">
        <v>45</v>
      </c>
      <c r="E95" s="4" t="s">
        <v>54</v>
      </c>
      <c r="F95" s="4">
        <v>10673</v>
      </c>
      <c r="G95" s="4" t="s">
        <v>35</v>
      </c>
      <c r="H95" s="4">
        <v>10</v>
      </c>
      <c r="I95" s="4">
        <v>9</v>
      </c>
      <c r="J95" s="4">
        <v>1</v>
      </c>
      <c r="K95" s="4">
        <v>2</v>
      </c>
      <c r="L95" s="4" t="str">
        <f t="shared" si="0"/>
        <v>HIGH RISK</v>
      </c>
      <c r="M95" s="4" t="str">
        <f t="shared" si="1"/>
        <v>MEDIUM</v>
      </c>
      <c r="N95" s="4" t="str">
        <f t="shared" si="2"/>
        <v>SENIOR</v>
      </c>
      <c r="O95" s="4" t="str">
        <f t="shared" si="3"/>
        <v>STAGNANT</v>
      </c>
      <c r="P95" s="5" t="str">
        <f t="shared" si="4"/>
        <v>High_Pressure</v>
      </c>
      <c r="Q95" s="4" t="str">
        <f t="shared" si="5"/>
        <v>DISENGAGED</v>
      </c>
      <c r="R95" s="4" t="str">
        <f t="shared" si="7"/>
        <v>LOW</v>
      </c>
      <c r="S95" s="2"/>
      <c r="T95" s="2"/>
      <c r="U95" s="2"/>
      <c r="V95" s="2"/>
      <c r="W95" s="2"/>
      <c r="X95" s="2"/>
      <c r="Y95" s="2"/>
      <c r="Z95" s="2"/>
    </row>
    <row r="96" spans="1:26" ht="16.8" x14ac:dyDescent="0.3">
      <c r="A96" s="4">
        <v>125</v>
      </c>
      <c r="B96" s="4" t="s">
        <v>43</v>
      </c>
      <c r="C96" s="4">
        <v>32</v>
      </c>
      <c r="D96" s="4" t="s">
        <v>37</v>
      </c>
      <c r="E96" s="4" t="s">
        <v>40</v>
      </c>
      <c r="F96" s="4">
        <v>5010</v>
      </c>
      <c r="G96" s="4" t="s">
        <v>43</v>
      </c>
      <c r="H96" s="4">
        <v>11</v>
      </c>
      <c r="I96" s="4">
        <v>5</v>
      </c>
      <c r="J96" s="4">
        <v>3</v>
      </c>
      <c r="K96" s="4">
        <v>3</v>
      </c>
      <c r="L96" s="4" t="str">
        <f t="shared" si="0"/>
        <v>NORMAL</v>
      </c>
      <c r="M96" s="4" t="str">
        <f t="shared" si="1"/>
        <v>HIGH</v>
      </c>
      <c r="N96" s="4" t="str">
        <f t="shared" si="2"/>
        <v>SENIOR</v>
      </c>
      <c r="O96" s="4" t="str">
        <f t="shared" si="3"/>
        <v>STAGNANT</v>
      </c>
      <c r="P96" s="5" t="str">
        <f t="shared" si="4"/>
        <v>Medium_Pressure</v>
      </c>
      <c r="Q96" s="4" t="str">
        <f t="shared" si="5"/>
        <v>HIGHLY_ENGAGED</v>
      </c>
      <c r="R96" s="4" t="str">
        <f t="shared" si="7"/>
        <v>LOW</v>
      </c>
      <c r="S96" s="2"/>
      <c r="T96" s="2"/>
      <c r="U96" s="2"/>
      <c r="V96" s="2"/>
      <c r="W96" s="2"/>
      <c r="X96" s="2"/>
      <c r="Y96" s="2"/>
      <c r="Z96" s="2"/>
    </row>
    <row r="97" spans="1:26" ht="16.8" x14ac:dyDescent="0.3">
      <c r="A97" s="4">
        <v>126</v>
      </c>
      <c r="B97" s="4" t="s">
        <v>43</v>
      </c>
      <c r="C97" s="4">
        <v>54</v>
      </c>
      <c r="D97" s="4" t="s">
        <v>45</v>
      </c>
      <c r="E97" s="4" t="s">
        <v>58</v>
      </c>
      <c r="F97" s="4">
        <v>13549</v>
      </c>
      <c r="G97" s="4" t="s">
        <v>43</v>
      </c>
      <c r="H97" s="4">
        <v>4</v>
      </c>
      <c r="I97" s="4">
        <v>0</v>
      </c>
      <c r="J97" s="4">
        <v>3</v>
      </c>
      <c r="K97" s="4">
        <v>1</v>
      </c>
      <c r="L97" s="4" t="str">
        <f t="shared" si="0"/>
        <v>NORMAL</v>
      </c>
      <c r="M97" s="4" t="str">
        <f t="shared" si="1"/>
        <v>MEDIUM</v>
      </c>
      <c r="N97" s="4" t="str">
        <f t="shared" si="2"/>
        <v>MID</v>
      </c>
      <c r="O97" s="4" t="str">
        <f t="shared" si="3"/>
        <v>RECENTLY PROMOTED</v>
      </c>
      <c r="P97" s="5" t="str">
        <f t="shared" si="4"/>
        <v>Low_Pressure</v>
      </c>
      <c r="Q97" s="4" t="str">
        <f t="shared" si="5"/>
        <v>DISENGAGED</v>
      </c>
      <c r="R97" s="4" t="str">
        <f t="shared" si="7"/>
        <v>LOW</v>
      </c>
      <c r="S97" s="2"/>
      <c r="T97" s="2"/>
      <c r="U97" s="2"/>
      <c r="V97" s="2"/>
      <c r="W97" s="2"/>
      <c r="X97" s="2"/>
      <c r="Y97" s="2"/>
      <c r="Z97" s="2"/>
    </row>
    <row r="98" spans="1:26" ht="16.8" x14ac:dyDescent="0.3">
      <c r="A98" s="4">
        <v>128</v>
      </c>
      <c r="B98" s="4" t="s">
        <v>43</v>
      </c>
      <c r="C98" s="4">
        <v>24</v>
      </c>
      <c r="D98" s="4" t="s">
        <v>37</v>
      </c>
      <c r="E98" s="4" t="s">
        <v>40</v>
      </c>
      <c r="F98" s="4">
        <v>4999</v>
      </c>
      <c r="G98" s="4" t="s">
        <v>43</v>
      </c>
      <c r="H98" s="4">
        <v>3</v>
      </c>
      <c r="I98" s="4">
        <v>0</v>
      </c>
      <c r="J98" s="4">
        <v>3</v>
      </c>
      <c r="K98" s="4">
        <v>2</v>
      </c>
      <c r="L98" s="4" t="str">
        <f t="shared" si="0"/>
        <v>NORMAL</v>
      </c>
      <c r="M98" s="4" t="str">
        <f t="shared" si="1"/>
        <v>HIGH</v>
      </c>
      <c r="N98" s="4" t="str">
        <f t="shared" si="2"/>
        <v>MID</v>
      </c>
      <c r="O98" s="4" t="str">
        <f t="shared" si="3"/>
        <v>RECENTLY PROMOTED</v>
      </c>
      <c r="P98" s="5" t="str">
        <f t="shared" si="4"/>
        <v>Low_Pressure</v>
      </c>
      <c r="Q98" s="4" t="str">
        <f t="shared" si="5"/>
        <v>DISENGAGED</v>
      </c>
      <c r="R98" s="4" t="str">
        <f t="shared" si="7"/>
        <v>LOW</v>
      </c>
      <c r="S98" s="2"/>
      <c r="T98" s="2"/>
      <c r="U98" s="2"/>
      <c r="V98" s="2"/>
      <c r="W98" s="2"/>
      <c r="X98" s="2"/>
      <c r="Y98" s="2"/>
      <c r="Z98" s="2"/>
    </row>
    <row r="99" spans="1:26" ht="16.8" x14ac:dyDescent="0.3">
      <c r="A99" s="4">
        <v>129</v>
      </c>
      <c r="B99" s="4" t="s">
        <v>43</v>
      </c>
      <c r="C99" s="4">
        <v>28</v>
      </c>
      <c r="D99" s="4" t="s">
        <v>37</v>
      </c>
      <c r="E99" s="4" t="s">
        <v>40</v>
      </c>
      <c r="F99" s="4">
        <v>4221</v>
      </c>
      <c r="G99" s="4" t="s">
        <v>43</v>
      </c>
      <c r="H99" s="4">
        <v>5</v>
      </c>
      <c r="I99" s="4">
        <v>0</v>
      </c>
      <c r="J99" s="4">
        <v>3</v>
      </c>
      <c r="K99" s="4">
        <v>4</v>
      </c>
      <c r="L99" s="4" t="str">
        <f t="shared" si="0"/>
        <v>NORMAL</v>
      </c>
      <c r="M99" s="4" t="str">
        <f t="shared" si="1"/>
        <v>HIGH</v>
      </c>
      <c r="N99" s="4" t="str">
        <f t="shared" si="2"/>
        <v>MID</v>
      </c>
      <c r="O99" s="4" t="str">
        <f t="shared" si="3"/>
        <v>RECENTLY PROMOTED</v>
      </c>
      <c r="P99" s="5" t="str">
        <f t="shared" si="4"/>
        <v>Low_Pressure</v>
      </c>
      <c r="Q99" s="4" t="str">
        <f t="shared" si="5"/>
        <v>HIGHLY_ENGAGED</v>
      </c>
      <c r="R99" s="4" t="str">
        <f t="shared" si="7"/>
        <v>LOW</v>
      </c>
      <c r="S99" s="2"/>
      <c r="T99" s="2"/>
      <c r="U99" s="2"/>
      <c r="V99" s="2"/>
      <c r="W99" s="2"/>
      <c r="X99" s="2"/>
      <c r="Y99" s="2"/>
      <c r="Z99" s="2"/>
    </row>
    <row r="100" spans="1:26" ht="16.8" x14ac:dyDescent="0.3">
      <c r="A100" s="4">
        <v>131</v>
      </c>
      <c r="B100" s="4" t="s">
        <v>43</v>
      </c>
      <c r="C100" s="4">
        <v>58</v>
      </c>
      <c r="D100" s="4" t="s">
        <v>37</v>
      </c>
      <c r="E100" s="4" t="s">
        <v>40</v>
      </c>
      <c r="F100" s="4">
        <v>13872</v>
      </c>
      <c r="G100" s="4" t="s">
        <v>43</v>
      </c>
      <c r="H100" s="4">
        <v>37</v>
      </c>
      <c r="I100" s="4">
        <v>1</v>
      </c>
      <c r="J100" s="4">
        <v>3</v>
      </c>
      <c r="K100" s="4">
        <v>2</v>
      </c>
      <c r="L100" s="4" t="str">
        <f t="shared" si="0"/>
        <v>NORMAL</v>
      </c>
      <c r="M100" s="4" t="str">
        <f t="shared" si="1"/>
        <v>MEDIUM</v>
      </c>
      <c r="N100" s="4" t="str">
        <f t="shared" si="2"/>
        <v>SENIOR</v>
      </c>
      <c r="O100" s="4" t="str">
        <f t="shared" si="3"/>
        <v>RECENTLY PROMOTED</v>
      </c>
      <c r="P100" s="5" t="str">
        <f t="shared" si="4"/>
        <v>Low_Pressure</v>
      </c>
      <c r="Q100" s="4" t="str">
        <f t="shared" si="5"/>
        <v>DISENGAGED</v>
      </c>
      <c r="R100" s="4" t="str">
        <f t="shared" si="7"/>
        <v>LOW</v>
      </c>
      <c r="S100" s="2"/>
      <c r="T100" s="2"/>
      <c r="U100" s="2"/>
      <c r="V100" s="2"/>
      <c r="W100" s="2"/>
      <c r="X100" s="2"/>
      <c r="Y100" s="2"/>
      <c r="Z100" s="2"/>
    </row>
    <row r="101" spans="1:26" ht="16.8" x14ac:dyDescent="0.3">
      <c r="A101" s="4">
        <v>132</v>
      </c>
      <c r="B101" s="4" t="s">
        <v>43</v>
      </c>
      <c r="C101" s="4">
        <v>44</v>
      </c>
      <c r="D101" s="4" t="s">
        <v>45</v>
      </c>
      <c r="E101" s="4" t="s">
        <v>50</v>
      </c>
      <c r="F101" s="4">
        <v>2042</v>
      </c>
      <c r="G101" s="4" t="s">
        <v>43</v>
      </c>
      <c r="H101" s="4">
        <v>3</v>
      </c>
      <c r="I101" s="4">
        <v>1</v>
      </c>
      <c r="J101" s="4">
        <v>2</v>
      </c>
      <c r="K101" s="4">
        <v>4</v>
      </c>
      <c r="L101" s="4" t="str">
        <f t="shared" si="0"/>
        <v>NORMAL</v>
      </c>
      <c r="M101" s="4" t="str">
        <f t="shared" si="1"/>
        <v>LOW</v>
      </c>
      <c r="N101" s="4" t="str">
        <f t="shared" si="2"/>
        <v>MID</v>
      </c>
      <c r="O101" s="4" t="str">
        <f t="shared" si="3"/>
        <v>RECENTLY PROMOTED</v>
      </c>
      <c r="P101" s="5" t="str">
        <f t="shared" si="4"/>
        <v>Low_Pressure</v>
      </c>
      <c r="Q101" s="4" t="str">
        <f t="shared" si="5"/>
        <v>DISENGAGED</v>
      </c>
      <c r="R101" s="4" t="str">
        <f t="shared" si="7"/>
        <v>LOW</v>
      </c>
      <c r="S101" s="2"/>
      <c r="T101" s="2"/>
      <c r="U101" s="2"/>
      <c r="V101" s="2"/>
      <c r="W101" s="2"/>
      <c r="X101" s="2"/>
      <c r="Y101" s="2"/>
      <c r="Z101" s="2"/>
    </row>
    <row r="102" spans="1:26" ht="16.8" x14ac:dyDescent="0.3">
      <c r="A102" s="4">
        <v>133</v>
      </c>
      <c r="B102" s="4" t="s">
        <v>35</v>
      </c>
      <c r="C102" s="4">
        <v>37</v>
      </c>
      <c r="D102" s="4" t="s">
        <v>61</v>
      </c>
      <c r="E102" s="4" t="s">
        <v>61</v>
      </c>
      <c r="F102" s="4">
        <v>2073</v>
      </c>
      <c r="G102" s="4" t="s">
        <v>35</v>
      </c>
      <c r="H102" s="4">
        <v>3</v>
      </c>
      <c r="I102" s="4">
        <v>0</v>
      </c>
      <c r="J102" s="4">
        <v>1</v>
      </c>
      <c r="K102" s="4">
        <v>3</v>
      </c>
      <c r="L102" s="4" t="str">
        <f t="shared" si="0"/>
        <v>NORMAL</v>
      </c>
      <c r="M102" s="4" t="str">
        <f t="shared" si="1"/>
        <v>LOW</v>
      </c>
      <c r="N102" s="4" t="str">
        <f t="shared" si="2"/>
        <v>MID</v>
      </c>
      <c r="O102" s="4" t="str">
        <f t="shared" si="3"/>
        <v>RECENTLY PROMOTED</v>
      </c>
      <c r="P102" s="5" t="str">
        <f t="shared" si="4"/>
        <v>Medium_Pressure</v>
      </c>
      <c r="Q102" s="4" t="str">
        <f t="shared" si="5"/>
        <v>DISENGAGED</v>
      </c>
      <c r="R102" s="4" t="str">
        <f t="shared" si="7"/>
        <v>LOW</v>
      </c>
      <c r="S102" s="2"/>
      <c r="T102" s="2"/>
      <c r="U102" s="2"/>
      <c r="V102" s="2"/>
      <c r="W102" s="2"/>
      <c r="X102" s="2"/>
      <c r="Y102" s="2"/>
      <c r="Z102" s="2"/>
    </row>
    <row r="103" spans="1:26" ht="16.8" x14ac:dyDescent="0.3">
      <c r="A103" s="4">
        <v>134</v>
      </c>
      <c r="B103" s="4" t="s">
        <v>43</v>
      </c>
      <c r="C103" s="4">
        <v>32</v>
      </c>
      <c r="D103" s="4" t="s">
        <v>45</v>
      </c>
      <c r="E103" s="4" t="s">
        <v>47</v>
      </c>
      <c r="F103" s="4">
        <v>2956</v>
      </c>
      <c r="G103" s="4" t="s">
        <v>43</v>
      </c>
      <c r="H103" s="4">
        <v>1</v>
      </c>
      <c r="I103" s="4">
        <v>0</v>
      </c>
      <c r="J103" s="4">
        <v>1</v>
      </c>
      <c r="K103" s="4">
        <v>3</v>
      </c>
      <c r="L103" s="4" t="str">
        <f t="shared" si="0"/>
        <v>NORMAL</v>
      </c>
      <c r="M103" s="4" t="str">
        <f t="shared" si="1"/>
        <v>LOW</v>
      </c>
      <c r="N103" s="4" t="str">
        <f t="shared" si="2"/>
        <v>NEW</v>
      </c>
      <c r="O103" s="4" t="str">
        <f t="shared" si="3"/>
        <v>RECENTLY PROMOTED</v>
      </c>
      <c r="P103" s="5" t="str">
        <f t="shared" si="4"/>
        <v>Medium_Pressure</v>
      </c>
      <c r="Q103" s="4" t="str">
        <f t="shared" si="5"/>
        <v>DISENGAGED</v>
      </c>
      <c r="R103" s="4" t="str">
        <f t="shared" si="7"/>
        <v>LOW</v>
      </c>
      <c r="S103" s="2"/>
      <c r="T103" s="2"/>
      <c r="U103" s="2"/>
      <c r="V103" s="2"/>
      <c r="W103" s="2"/>
      <c r="X103" s="2"/>
      <c r="Y103" s="2"/>
      <c r="Z103" s="2"/>
    </row>
    <row r="104" spans="1:26" ht="16.8" x14ac:dyDescent="0.3">
      <c r="A104" s="4">
        <v>137</v>
      </c>
      <c r="B104" s="4" t="s">
        <v>35</v>
      </c>
      <c r="C104" s="4">
        <v>20</v>
      </c>
      <c r="D104" s="4" t="s">
        <v>45</v>
      </c>
      <c r="E104" s="4" t="s">
        <v>50</v>
      </c>
      <c r="F104" s="4">
        <v>2926</v>
      </c>
      <c r="G104" s="4" t="s">
        <v>35</v>
      </c>
      <c r="H104" s="4">
        <v>1</v>
      </c>
      <c r="I104" s="4">
        <v>1</v>
      </c>
      <c r="J104" s="4">
        <v>4</v>
      </c>
      <c r="K104" s="4">
        <v>3</v>
      </c>
      <c r="L104" s="4" t="str">
        <f t="shared" si="0"/>
        <v>NORMAL</v>
      </c>
      <c r="M104" s="4" t="str">
        <f t="shared" si="1"/>
        <v>LOW</v>
      </c>
      <c r="N104" s="4" t="str">
        <f t="shared" si="2"/>
        <v>NEW</v>
      </c>
      <c r="O104" s="4" t="str">
        <f t="shared" si="3"/>
        <v>RECENTLY PROMOTED</v>
      </c>
      <c r="P104" s="5" t="str">
        <f t="shared" si="4"/>
        <v>Medium_Pressure</v>
      </c>
      <c r="Q104" s="4" t="str">
        <f t="shared" si="5"/>
        <v>HIGHLY_ENGAGED</v>
      </c>
      <c r="R104" s="4" t="str">
        <f t="shared" si="7"/>
        <v>LOW</v>
      </c>
      <c r="S104" s="2"/>
      <c r="T104" s="2"/>
      <c r="U104" s="2"/>
      <c r="V104" s="2"/>
      <c r="W104" s="2"/>
      <c r="X104" s="2"/>
      <c r="Y104" s="2"/>
      <c r="Z104" s="2"/>
    </row>
    <row r="105" spans="1:26" ht="16.8" x14ac:dyDescent="0.3">
      <c r="A105" s="4">
        <v>138</v>
      </c>
      <c r="B105" s="4" t="s">
        <v>43</v>
      </c>
      <c r="C105" s="4">
        <v>34</v>
      </c>
      <c r="D105" s="4" t="s">
        <v>45</v>
      </c>
      <c r="E105" s="4" t="s">
        <v>47</v>
      </c>
      <c r="F105" s="4">
        <v>4809</v>
      </c>
      <c r="G105" s="4" t="s">
        <v>43</v>
      </c>
      <c r="H105" s="4">
        <v>16</v>
      </c>
      <c r="I105" s="4">
        <v>2</v>
      </c>
      <c r="J105" s="4">
        <v>3</v>
      </c>
      <c r="K105" s="4">
        <v>3</v>
      </c>
      <c r="L105" s="4" t="str">
        <f t="shared" si="0"/>
        <v>NORMAL</v>
      </c>
      <c r="M105" s="4" t="str">
        <f t="shared" si="1"/>
        <v>HIGH</v>
      </c>
      <c r="N105" s="4" t="str">
        <f t="shared" si="2"/>
        <v>SENIOR</v>
      </c>
      <c r="O105" s="4" t="str">
        <f t="shared" si="3"/>
        <v>MODERATE-WAIT</v>
      </c>
      <c r="P105" s="5" t="str">
        <f t="shared" si="4"/>
        <v>Medium_Pressure</v>
      </c>
      <c r="Q105" s="4" t="str">
        <f t="shared" si="5"/>
        <v>HIGHLY_ENGAGED</v>
      </c>
      <c r="R105" s="4" t="str">
        <f t="shared" si="7"/>
        <v>LOW</v>
      </c>
      <c r="S105" s="2"/>
      <c r="T105" s="2"/>
      <c r="U105" s="2"/>
      <c r="V105" s="2"/>
      <c r="W105" s="2"/>
      <c r="X105" s="2"/>
      <c r="Y105" s="2"/>
      <c r="Z105" s="2"/>
    </row>
    <row r="106" spans="1:26" ht="16.8" x14ac:dyDescent="0.3">
      <c r="A106" s="4">
        <v>139</v>
      </c>
      <c r="B106" s="4" t="s">
        <v>43</v>
      </c>
      <c r="C106" s="4">
        <v>37</v>
      </c>
      <c r="D106" s="4" t="s">
        <v>45</v>
      </c>
      <c r="E106" s="4" t="s">
        <v>54</v>
      </c>
      <c r="F106" s="4">
        <v>5163</v>
      </c>
      <c r="G106" s="4" t="s">
        <v>43</v>
      </c>
      <c r="H106" s="4">
        <v>1</v>
      </c>
      <c r="I106" s="4">
        <v>0</v>
      </c>
      <c r="J106" s="4">
        <v>4</v>
      </c>
      <c r="K106" s="4">
        <v>4</v>
      </c>
      <c r="L106" s="4" t="str">
        <f t="shared" si="0"/>
        <v>NORMAL</v>
      </c>
      <c r="M106" s="4" t="str">
        <f t="shared" si="1"/>
        <v>HIGH</v>
      </c>
      <c r="N106" s="4" t="str">
        <f t="shared" si="2"/>
        <v>NEW</v>
      </c>
      <c r="O106" s="4" t="str">
        <f t="shared" si="3"/>
        <v>RECENTLY PROMOTED</v>
      </c>
      <c r="P106" s="5" t="str">
        <f t="shared" si="4"/>
        <v>Low_Pressure</v>
      </c>
      <c r="Q106" s="4" t="str">
        <f t="shared" si="5"/>
        <v>HIGHLY_ENGAGED</v>
      </c>
      <c r="R106" s="4" t="str">
        <f t="shared" si="7"/>
        <v>LOW</v>
      </c>
      <c r="S106" s="2"/>
      <c r="T106" s="2"/>
      <c r="U106" s="2"/>
      <c r="V106" s="2"/>
      <c r="W106" s="2"/>
      <c r="X106" s="2"/>
      <c r="Y106" s="2"/>
      <c r="Z106" s="2"/>
    </row>
    <row r="107" spans="1:26" ht="16.8" x14ac:dyDescent="0.3">
      <c r="A107" s="4">
        <v>140</v>
      </c>
      <c r="B107" s="4" t="s">
        <v>43</v>
      </c>
      <c r="C107" s="4">
        <v>59</v>
      </c>
      <c r="D107" s="4" t="s">
        <v>61</v>
      </c>
      <c r="E107" s="4" t="s">
        <v>56</v>
      </c>
      <c r="F107" s="4">
        <v>18844</v>
      </c>
      <c r="G107" s="4" t="s">
        <v>43</v>
      </c>
      <c r="H107" s="4">
        <v>3</v>
      </c>
      <c r="I107" s="4">
        <v>2</v>
      </c>
      <c r="J107" s="4">
        <v>4</v>
      </c>
      <c r="K107" s="4">
        <v>3</v>
      </c>
      <c r="L107" s="4" t="str">
        <f t="shared" si="0"/>
        <v>NORMAL</v>
      </c>
      <c r="M107" s="4" t="str">
        <f t="shared" si="1"/>
        <v>MEDIUM</v>
      </c>
      <c r="N107" s="4" t="str">
        <f t="shared" si="2"/>
        <v>MID</v>
      </c>
      <c r="O107" s="4" t="str">
        <f t="shared" si="3"/>
        <v>MODERATE-WAIT</v>
      </c>
      <c r="P107" s="5" t="str">
        <f t="shared" si="4"/>
        <v>Medium_Pressure</v>
      </c>
      <c r="Q107" s="4" t="str">
        <f t="shared" si="5"/>
        <v>HIGHLY_ENGAGED</v>
      </c>
      <c r="R107" s="4" t="str">
        <f t="shared" si="7"/>
        <v>LOW</v>
      </c>
      <c r="S107" s="2"/>
      <c r="T107" s="2"/>
      <c r="U107" s="2"/>
      <c r="V107" s="2"/>
      <c r="W107" s="2"/>
      <c r="X107" s="2"/>
      <c r="Y107" s="2"/>
      <c r="Z107" s="2"/>
    </row>
    <row r="108" spans="1:26" ht="16.8" x14ac:dyDescent="0.3">
      <c r="A108" s="4">
        <v>141</v>
      </c>
      <c r="B108" s="4" t="s">
        <v>43</v>
      </c>
      <c r="C108" s="4">
        <v>50</v>
      </c>
      <c r="D108" s="4" t="s">
        <v>45</v>
      </c>
      <c r="E108" s="4" t="s">
        <v>58</v>
      </c>
      <c r="F108" s="4">
        <v>18172</v>
      </c>
      <c r="G108" s="4" t="s">
        <v>35</v>
      </c>
      <c r="H108" s="4">
        <v>8</v>
      </c>
      <c r="I108" s="4">
        <v>0</v>
      </c>
      <c r="J108" s="4">
        <v>2</v>
      </c>
      <c r="K108" s="4">
        <v>2</v>
      </c>
      <c r="L108" s="4" t="str">
        <f t="shared" si="0"/>
        <v>NORMAL</v>
      </c>
      <c r="M108" s="4" t="str">
        <f t="shared" si="1"/>
        <v>MEDIUM</v>
      </c>
      <c r="N108" s="4" t="str">
        <f t="shared" si="2"/>
        <v>SENIOR</v>
      </c>
      <c r="O108" s="4" t="str">
        <f t="shared" si="3"/>
        <v>RECENTLY PROMOTED</v>
      </c>
      <c r="P108" s="5" t="str">
        <f t="shared" si="4"/>
        <v>High_Pressure</v>
      </c>
      <c r="Q108" s="4" t="str">
        <f t="shared" si="5"/>
        <v>DISENGAGED</v>
      </c>
      <c r="R108" s="4" t="str">
        <f t="shared" si="7"/>
        <v>LOW</v>
      </c>
      <c r="S108" s="2"/>
      <c r="T108" s="2"/>
      <c r="U108" s="2"/>
      <c r="V108" s="2"/>
      <c r="W108" s="2"/>
      <c r="X108" s="2"/>
      <c r="Y108" s="2"/>
      <c r="Z108" s="2"/>
    </row>
    <row r="109" spans="1:26" ht="16.8" x14ac:dyDescent="0.3">
      <c r="A109" s="4">
        <v>142</v>
      </c>
      <c r="B109" s="4" t="s">
        <v>35</v>
      </c>
      <c r="C109" s="4">
        <v>25</v>
      </c>
      <c r="D109" s="4" t="s">
        <v>37</v>
      </c>
      <c r="E109" s="4" t="s">
        <v>40</v>
      </c>
      <c r="F109" s="4">
        <v>5744</v>
      </c>
      <c r="G109" s="4" t="s">
        <v>35</v>
      </c>
      <c r="H109" s="4">
        <v>6</v>
      </c>
      <c r="I109" s="4">
        <v>0</v>
      </c>
      <c r="J109" s="4">
        <v>3</v>
      </c>
      <c r="K109" s="4">
        <v>3</v>
      </c>
      <c r="L109" s="4" t="str">
        <f t="shared" si="0"/>
        <v>NORMAL</v>
      </c>
      <c r="M109" s="4" t="str">
        <f t="shared" si="1"/>
        <v>HIGH</v>
      </c>
      <c r="N109" s="4" t="str">
        <f t="shared" si="2"/>
        <v>MID</v>
      </c>
      <c r="O109" s="4" t="str">
        <f t="shared" si="3"/>
        <v>RECENTLY PROMOTED</v>
      </c>
      <c r="P109" s="5" t="str">
        <f t="shared" si="4"/>
        <v>Medium_Pressure</v>
      </c>
      <c r="Q109" s="4" t="str">
        <f t="shared" si="5"/>
        <v>HIGHLY_ENGAGED</v>
      </c>
      <c r="R109" s="4" t="str">
        <f t="shared" si="7"/>
        <v>LOW</v>
      </c>
      <c r="S109" s="2"/>
      <c r="T109" s="2"/>
      <c r="U109" s="2"/>
      <c r="V109" s="2"/>
      <c r="W109" s="2"/>
      <c r="X109" s="2"/>
      <c r="Y109" s="2"/>
      <c r="Z109" s="2"/>
    </row>
    <row r="110" spans="1:26" ht="16.8" x14ac:dyDescent="0.3">
      <c r="A110" s="4">
        <v>143</v>
      </c>
      <c r="B110" s="4" t="s">
        <v>43</v>
      </c>
      <c r="C110" s="4">
        <v>25</v>
      </c>
      <c r="D110" s="4" t="s">
        <v>45</v>
      </c>
      <c r="E110" s="4" t="s">
        <v>47</v>
      </c>
      <c r="F110" s="4">
        <v>2889</v>
      </c>
      <c r="G110" s="4" t="s">
        <v>43</v>
      </c>
      <c r="H110" s="4">
        <v>2</v>
      </c>
      <c r="I110" s="4">
        <v>2</v>
      </c>
      <c r="J110" s="4">
        <v>4</v>
      </c>
      <c r="K110" s="4">
        <v>3</v>
      </c>
      <c r="L110" s="4" t="str">
        <f t="shared" si="0"/>
        <v>NORMAL</v>
      </c>
      <c r="M110" s="4" t="str">
        <f t="shared" si="1"/>
        <v>LOW</v>
      </c>
      <c r="N110" s="4" t="str">
        <f t="shared" si="2"/>
        <v>NEW</v>
      </c>
      <c r="O110" s="4" t="str">
        <f t="shared" si="3"/>
        <v>MODERATE-WAIT</v>
      </c>
      <c r="P110" s="5" t="str">
        <f t="shared" si="4"/>
        <v>Medium_Pressure</v>
      </c>
      <c r="Q110" s="4" t="str">
        <f t="shared" si="5"/>
        <v>HIGHLY_ENGAGED</v>
      </c>
      <c r="R110" s="4" t="str">
        <f t="shared" si="7"/>
        <v>LOW</v>
      </c>
      <c r="S110" s="2"/>
      <c r="T110" s="2"/>
      <c r="U110" s="2"/>
      <c r="V110" s="2"/>
      <c r="W110" s="2"/>
      <c r="X110" s="2"/>
      <c r="Y110" s="2"/>
      <c r="Z110" s="2"/>
    </row>
    <row r="111" spans="1:26" ht="16.8" x14ac:dyDescent="0.3">
      <c r="A111" s="4">
        <v>144</v>
      </c>
      <c r="B111" s="4" t="s">
        <v>43</v>
      </c>
      <c r="C111" s="4">
        <v>22</v>
      </c>
      <c r="D111" s="4" t="s">
        <v>45</v>
      </c>
      <c r="E111" s="4" t="s">
        <v>50</v>
      </c>
      <c r="F111" s="4">
        <v>2871</v>
      </c>
      <c r="G111" s="4" t="s">
        <v>43</v>
      </c>
      <c r="H111" s="4">
        <v>0</v>
      </c>
      <c r="I111" s="4">
        <v>0</v>
      </c>
      <c r="J111" s="4">
        <v>4</v>
      </c>
      <c r="K111" s="4">
        <v>3</v>
      </c>
      <c r="L111" s="4" t="str">
        <f t="shared" si="0"/>
        <v>NORMAL</v>
      </c>
      <c r="M111" s="4" t="str">
        <f t="shared" si="1"/>
        <v>LOW</v>
      </c>
      <c r="N111" s="4" t="str">
        <f t="shared" si="2"/>
        <v>NEW</v>
      </c>
      <c r="O111" s="4" t="str">
        <f t="shared" si="3"/>
        <v>RECENTLY PROMOTED</v>
      </c>
      <c r="P111" s="5" t="str">
        <f t="shared" si="4"/>
        <v>Medium_Pressure</v>
      </c>
      <c r="Q111" s="4" t="str">
        <f t="shared" si="5"/>
        <v>HIGHLY_ENGAGED</v>
      </c>
      <c r="R111" s="4" t="str">
        <f t="shared" si="7"/>
        <v>LOW</v>
      </c>
      <c r="S111" s="2"/>
      <c r="T111" s="2"/>
      <c r="U111" s="2"/>
      <c r="V111" s="2"/>
      <c r="W111" s="2"/>
      <c r="X111" s="2"/>
      <c r="Y111" s="2"/>
      <c r="Z111" s="2"/>
    </row>
    <row r="112" spans="1:26" ht="16.8" x14ac:dyDescent="0.3">
      <c r="A112" s="4">
        <v>145</v>
      </c>
      <c r="B112" s="4" t="s">
        <v>43</v>
      </c>
      <c r="C112" s="4">
        <v>51</v>
      </c>
      <c r="D112" s="4" t="s">
        <v>45</v>
      </c>
      <c r="E112" s="4" t="s">
        <v>54</v>
      </c>
      <c r="F112" s="4">
        <v>7484</v>
      </c>
      <c r="G112" s="4" t="s">
        <v>43</v>
      </c>
      <c r="H112" s="4">
        <v>13</v>
      </c>
      <c r="I112" s="4">
        <v>12</v>
      </c>
      <c r="J112" s="4">
        <v>1</v>
      </c>
      <c r="K112" s="4">
        <v>2</v>
      </c>
      <c r="L112" s="4" t="str">
        <f t="shared" si="0"/>
        <v>NORMAL</v>
      </c>
      <c r="M112" s="4" t="str">
        <f t="shared" si="1"/>
        <v>HIGH</v>
      </c>
      <c r="N112" s="4" t="str">
        <f t="shared" si="2"/>
        <v>SENIOR</v>
      </c>
      <c r="O112" s="4" t="str">
        <f t="shared" si="3"/>
        <v>STAGNANT</v>
      </c>
      <c r="P112" s="5" t="str">
        <f t="shared" si="4"/>
        <v>Low_Pressure</v>
      </c>
      <c r="Q112" s="4" t="str">
        <f t="shared" si="5"/>
        <v>DISENGAGED</v>
      </c>
      <c r="R112" s="4" t="str">
        <f t="shared" si="7"/>
        <v>LOW</v>
      </c>
      <c r="S112" s="2"/>
      <c r="T112" s="2"/>
      <c r="U112" s="2"/>
      <c r="V112" s="2"/>
      <c r="W112" s="2"/>
      <c r="X112" s="2"/>
      <c r="Y112" s="2"/>
      <c r="Z112" s="2"/>
    </row>
    <row r="113" spans="1:26" ht="16.8" x14ac:dyDescent="0.3">
      <c r="A113" s="4">
        <v>147</v>
      </c>
      <c r="B113" s="4" t="s">
        <v>35</v>
      </c>
      <c r="C113" s="4">
        <v>34</v>
      </c>
      <c r="D113" s="4" t="s">
        <v>45</v>
      </c>
      <c r="E113" s="4" t="s">
        <v>50</v>
      </c>
      <c r="F113" s="4">
        <v>6074</v>
      </c>
      <c r="G113" s="4" t="s">
        <v>35</v>
      </c>
      <c r="H113" s="4">
        <v>9</v>
      </c>
      <c r="I113" s="4">
        <v>0</v>
      </c>
      <c r="J113" s="4">
        <v>3</v>
      </c>
      <c r="K113" s="4">
        <v>3</v>
      </c>
      <c r="L113" s="4" t="str">
        <f t="shared" si="0"/>
        <v>NORMAL</v>
      </c>
      <c r="M113" s="4" t="str">
        <f t="shared" si="1"/>
        <v>HIGH</v>
      </c>
      <c r="N113" s="4" t="str">
        <f t="shared" si="2"/>
        <v>SENIOR</v>
      </c>
      <c r="O113" s="4" t="str">
        <f t="shared" si="3"/>
        <v>RECENTLY PROMOTED</v>
      </c>
      <c r="P113" s="5" t="str">
        <f t="shared" si="4"/>
        <v>Medium_Pressure</v>
      </c>
      <c r="Q113" s="4" t="str">
        <f t="shared" si="5"/>
        <v>HIGHLY_ENGAGED</v>
      </c>
      <c r="R113" s="4" t="str">
        <f t="shared" si="7"/>
        <v>LOW</v>
      </c>
      <c r="S113" s="2"/>
      <c r="T113" s="2"/>
      <c r="U113" s="2"/>
      <c r="V113" s="2"/>
      <c r="W113" s="2"/>
      <c r="X113" s="2"/>
      <c r="Y113" s="2"/>
      <c r="Z113" s="2"/>
    </row>
    <row r="114" spans="1:26" ht="16.8" x14ac:dyDescent="0.3">
      <c r="A114" s="4">
        <v>148</v>
      </c>
      <c r="B114" s="4" t="s">
        <v>43</v>
      </c>
      <c r="C114" s="4">
        <v>54</v>
      </c>
      <c r="D114" s="4" t="s">
        <v>61</v>
      </c>
      <c r="E114" s="4" t="s">
        <v>56</v>
      </c>
      <c r="F114" s="4">
        <v>17328</v>
      </c>
      <c r="G114" s="4" t="s">
        <v>35</v>
      </c>
      <c r="H114" s="4">
        <v>5</v>
      </c>
      <c r="I114" s="4">
        <v>4</v>
      </c>
      <c r="J114" s="4">
        <v>4</v>
      </c>
      <c r="K114" s="4">
        <v>3</v>
      </c>
      <c r="L114" s="4" t="str">
        <f t="shared" si="0"/>
        <v>NORMAL</v>
      </c>
      <c r="M114" s="4" t="str">
        <f t="shared" si="1"/>
        <v>MEDIUM</v>
      </c>
      <c r="N114" s="4" t="str">
        <f t="shared" si="2"/>
        <v>MID</v>
      </c>
      <c r="O114" s="4" t="str">
        <f t="shared" si="3"/>
        <v>STAGNANT</v>
      </c>
      <c r="P114" s="5" t="str">
        <f t="shared" si="4"/>
        <v>Medium_Pressure</v>
      </c>
      <c r="Q114" s="4" t="str">
        <f t="shared" si="5"/>
        <v>HIGHLY_ENGAGED</v>
      </c>
      <c r="R114" s="4" t="str">
        <f t="shared" si="7"/>
        <v>LOW</v>
      </c>
      <c r="S114" s="2"/>
      <c r="T114" s="2"/>
      <c r="U114" s="2"/>
      <c r="V114" s="2"/>
      <c r="W114" s="2"/>
      <c r="X114" s="2"/>
      <c r="Y114" s="2"/>
      <c r="Z114" s="2"/>
    </row>
    <row r="115" spans="1:26" ht="16.8" x14ac:dyDescent="0.3">
      <c r="A115" s="4">
        <v>150</v>
      </c>
      <c r="B115" s="4" t="s">
        <v>43</v>
      </c>
      <c r="C115" s="4">
        <v>24</v>
      </c>
      <c r="D115" s="4" t="s">
        <v>45</v>
      </c>
      <c r="E115" s="4" t="s">
        <v>50</v>
      </c>
      <c r="F115" s="4">
        <v>2774</v>
      </c>
      <c r="G115" s="4" t="s">
        <v>43</v>
      </c>
      <c r="H115" s="4">
        <v>5</v>
      </c>
      <c r="I115" s="4">
        <v>1</v>
      </c>
      <c r="J115" s="4">
        <v>3</v>
      </c>
      <c r="K115" s="4">
        <v>3</v>
      </c>
      <c r="L115" s="4" t="str">
        <f t="shared" si="0"/>
        <v>NORMAL</v>
      </c>
      <c r="M115" s="4" t="str">
        <f t="shared" si="1"/>
        <v>LOW</v>
      </c>
      <c r="N115" s="4" t="str">
        <f t="shared" si="2"/>
        <v>MID</v>
      </c>
      <c r="O115" s="4" t="str">
        <f t="shared" si="3"/>
        <v>RECENTLY PROMOTED</v>
      </c>
      <c r="P115" s="5" t="str">
        <f t="shared" si="4"/>
        <v>Medium_Pressure</v>
      </c>
      <c r="Q115" s="4" t="str">
        <f t="shared" si="5"/>
        <v>HIGHLY_ENGAGED</v>
      </c>
      <c r="R115" s="4" t="str">
        <f t="shared" si="7"/>
        <v>LOW</v>
      </c>
      <c r="S115" s="2"/>
      <c r="T115" s="2"/>
      <c r="U115" s="2"/>
      <c r="V115" s="2"/>
      <c r="W115" s="2"/>
      <c r="X115" s="2"/>
      <c r="Y115" s="2"/>
      <c r="Z115" s="2"/>
    </row>
    <row r="116" spans="1:26" ht="16.8" x14ac:dyDescent="0.3">
      <c r="A116" s="4">
        <v>151</v>
      </c>
      <c r="B116" s="4" t="s">
        <v>43</v>
      </c>
      <c r="C116" s="4">
        <v>34</v>
      </c>
      <c r="D116" s="4" t="s">
        <v>45</v>
      </c>
      <c r="E116" s="4" t="s">
        <v>47</v>
      </c>
      <c r="F116" s="4">
        <v>4505</v>
      </c>
      <c r="G116" s="4" t="s">
        <v>43</v>
      </c>
      <c r="H116" s="4">
        <v>1</v>
      </c>
      <c r="I116" s="4">
        <v>0</v>
      </c>
      <c r="J116" s="4">
        <v>2</v>
      </c>
      <c r="K116" s="4">
        <v>3</v>
      </c>
      <c r="L116" s="4" t="str">
        <f t="shared" si="0"/>
        <v>NORMAL</v>
      </c>
      <c r="M116" s="4" t="str">
        <f t="shared" si="1"/>
        <v>HIGH</v>
      </c>
      <c r="N116" s="4" t="str">
        <f t="shared" si="2"/>
        <v>NEW</v>
      </c>
      <c r="O116" s="4" t="str">
        <f t="shared" si="3"/>
        <v>RECENTLY PROMOTED</v>
      </c>
      <c r="P116" s="5" t="str">
        <f t="shared" si="4"/>
        <v>Medium_Pressure</v>
      </c>
      <c r="Q116" s="4" t="str">
        <f t="shared" si="5"/>
        <v>DISENGAGED</v>
      </c>
      <c r="R116" s="4" t="str">
        <f t="shared" si="7"/>
        <v>LOW</v>
      </c>
      <c r="S116" s="2"/>
      <c r="T116" s="2"/>
      <c r="U116" s="2"/>
      <c r="V116" s="2"/>
      <c r="W116" s="2"/>
      <c r="X116" s="2"/>
      <c r="Y116" s="2"/>
      <c r="Z116" s="2"/>
    </row>
    <row r="117" spans="1:26" ht="16.8" x14ac:dyDescent="0.3">
      <c r="A117" s="4">
        <v>152</v>
      </c>
      <c r="B117" s="4" t="s">
        <v>43</v>
      </c>
      <c r="C117" s="4">
        <v>37</v>
      </c>
      <c r="D117" s="4" t="s">
        <v>37</v>
      </c>
      <c r="E117" s="4" t="s">
        <v>40</v>
      </c>
      <c r="F117" s="4">
        <v>7428</v>
      </c>
      <c r="G117" s="4" t="s">
        <v>43</v>
      </c>
      <c r="H117" s="4">
        <v>5</v>
      </c>
      <c r="I117" s="4">
        <v>1</v>
      </c>
      <c r="J117" s="4">
        <v>4</v>
      </c>
      <c r="K117" s="4">
        <v>3</v>
      </c>
      <c r="L117" s="4" t="str">
        <f t="shared" si="0"/>
        <v>NORMAL</v>
      </c>
      <c r="M117" s="4" t="str">
        <f t="shared" si="1"/>
        <v>HIGH</v>
      </c>
      <c r="N117" s="4" t="str">
        <f t="shared" si="2"/>
        <v>MID</v>
      </c>
      <c r="O117" s="4" t="str">
        <f t="shared" si="3"/>
        <v>RECENTLY PROMOTED</v>
      </c>
      <c r="P117" s="5" t="str">
        <f t="shared" si="4"/>
        <v>Medium_Pressure</v>
      </c>
      <c r="Q117" s="4" t="str">
        <f t="shared" si="5"/>
        <v>HIGHLY_ENGAGED</v>
      </c>
      <c r="R117" s="4" t="str">
        <f t="shared" si="7"/>
        <v>LOW</v>
      </c>
      <c r="S117" s="2"/>
      <c r="T117" s="2"/>
      <c r="U117" s="2"/>
      <c r="V117" s="2"/>
      <c r="W117" s="2"/>
      <c r="X117" s="2"/>
      <c r="Y117" s="2"/>
      <c r="Z117" s="2"/>
    </row>
    <row r="118" spans="1:26" ht="16.8" x14ac:dyDescent="0.3">
      <c r="A118" s="4">
        <v>153</v>
      </c>
      <c r="B118" s="4" t="s">
        <v>43</v>
      </c>
      <c r="C118" s="4">
        <v>34</v>
      </c>
      <c r="D118" s="4" t="s">
        <v>45</v>
      </c>
      <c r="E118" s="4" t="s">
        <v>56</v>
      </c>
      <c r="F118" s="4">
        <v>11631</v>
      </c>
      <c r="G118" s="4" t="s">
        <v>43</v>
      </c>
      <c r="H118" s="4">
        <v>11</v>
      </c>
      <c r="I118" s="4">
        <v>5</v>
      </c>
      <c r="J118" s="4">
        <v>1</v>
      </c>
      <c r="K118" s="4">
        <v>3</v>
      </c>
      <c r="L118" s="4" t="str">
        <f t="shared" si="0"/>
        <v>NORMAL</v>
      </c>
      <c r="M118" s="4" t="str">
        <f t="shared" si="1"/>
        <v>MEDIUM</v>
      </c>
      <c r="N118" s="4" t="str">
        <f t="shared" si="2"/>
        <v>SENIOR</v>
      </c>
      <c r="O118" s="4" t="str">
        <f t="shared" si="3"/>
        <v>STAGNANT</v>
      </c>
      <c r="P118" s="5" t="str">
        <f t="shared" si="4"/>
        <v>Medium_Pressure</v>
      </c>
      <c r="Q118" s="4" t="str">
        <f t="shared" si="5"/>
        <v>DISENGAGED</v>
      </c>
      <c r="R118" s="4" t="str">
        <f t="shared" si="7"/>
        <v>LOW</v>
      </c>
      <c r="S118" s="2"/>
      <c r="T118" s="2"/>
      <c r="U118" s="2"/>
      <c r="V118" s="2"/>
      <c r="W118" s="2"/>
      <c r="X118" s="2"/>
      <c r="Y118" s="2"/>
      <c r="Z118" s="2"/>
    </row>
    <row r="119" spans="1:26" ht="16.8" x14ac:dyDescent="0.3">
      <c r="A119" s="4">
        <v>154</v>
      </c>
      <c r="B119" s="4" t="s">
        <v>43</v>
      </c>
      <c r="C119" s="4">
        <v>36</v>
      </c>
      <c r="D119" s="4" t="s">
        <v>37</v>
      </c>
      <c r="E119" s="4" t="s">
        <v>40</v>
      </c>
      <c r="F119" s="4">
        <v>9738</v>
      </c>
      <c r="G119" s="4" t="s">
        <v>43</v>
      </c>
      <c r="H119" s="4">
        <v>9</v>
      </c>
      <c r="I119" s="4">
        <v>2</v>
      </c>
      <c r="J119" s="4">
        <v>4</v>
      </c>
      <c r="K119" s="4">
        <v>3</v>
      </c>
      <c r="L119" s="4" t="str">
        <f t="shared" si="0"/>
        <v>NORMAL</v>
      </c>
      <c r="M119" s="4" t="str">
        <f t="shared" si="1"/>
        <v>MEDIUM</v>
      </c>
      <c r="N119" s="4" t="str">
        <f t="shared" si="2"/>
        <v>SENIOR</v>
      </c>
      <c r="O119" s="4" t="str">
        <f t="shared" si="3"/>
        <v>MODERATE-WAIT</v>
      </c>
      <c r="P119" s="5" t="str">
        <f t="shared" si="4"/>
        <v>Medium_Pressure</v>
      </c>
      <c r="Q119" s="4" t="str">
        <f t="shared" si="5"/>
        <v>HIGHLY_ENGAGED</v>
      </c>
      <c r="R119" s="4" t="str">
        <f t="shared" si="7"/>
        <v>LOW</v>
      </c>
      <c r="S119" s="2"/>
      <c r="T119" s="2"/>
      <c r="U119" s="2"/>
      <c r="V119" s="2"/>
      <c r="W119" s="2"/>
      <c r="X119" s="2"/>
      <c r="Y119" s="2"/>
      <c r="Z119" s="2"/>
    </row>
    <row r="120" spans="1:26" ht="16.8" x14ac:dyDescent="0.3">
      <c r="A120" s="4">
        <v>155</v>
      </c>
      <c r="B120" s="4" t="s">
        <v>43</v>
      </c>
      <c r="C120" s="4">
        <v>36</v>
      </c>
      <c r="D120" s="4" t="s">
        <v>45</v>
      </c>
      <c r="E120" s="4" t="s">
        <v>50</v>
      </c>
      <c r="F120" s="4">
        <v>2835</v>
      </c>
      <c r="G120" s="4" t="s">
        <v>43</v>
      </c>
      <c r="H120" s="4">
        <v>1</v>
      </c>
      <c r="I120" s="4">
        <v>0</v>
      </c>
      <c r="J120" s="4">
        <v>4</v>
      </c>
      <c r="K120" s="4">
        <v>3</v>
      </c>
      <c r="L120" s="4" t="str">
        <f t="shared" si="0"/>
        <v>NORMAL</v>
      </c>
      <c r="M120" s="4" t="str">
        <f t="shared" si="1"/>
        <v>LOW</v>
      </c>
      <c r="N120" s="4" t="str">
        <f t="shared" si="2"/>
        <v>NEW</v>
      </c>
      <c r="O120" s="4" t="str">
        <f t="shared" si="3"/>
        <v>RECENTLY PROMOTED</v>
      </c>
      <c r="P120" s="5" t="str">
        <f t="shared" si="4"/>
        <v>Medium_Pressure</v>
      </c>
      <c r="Q120" s="4" t="str">
        <f t="shared" si="5"/>
        <v>HIGHLY_ENGAGED</v>
      </c>
      <c r="R120" s="4" t="str">
        <f t="shared" si="7"/>
        <v>LOW</v>
      </c>
      <c r="S120" s="2"/>
      <c r="T120" s="2"/>
      <c r="U120" s="2"/>
      <c r="V120" s="2"/>
      <c r="W120" s="2"/>
      <c r="X120" s="2"/>
      <c r="Y120" s="2"/>
      <c r="Z120" s="2"/>
    </row>
    <row r="121" spans="1:26" ht="16.8" x14ac:dyDescent="0.3">
      <c r="A121" s="4">
        <v>158</v>
      </c>
      <c r="B121" s="4" t="s">
        <v>43</v>
      </c>
      <c r="C121" s="4">
        <v>43</v>
      </c>
      <c r="D121" s="4" t="s">
        <v>37</v>
      </c>
      <c r="E121" s="4" t="s">
        <v>56</v>
      </c>
      <c r="F121" s="4">
        <v>16959</v>
      </c>
      <c r="G121" s="4" t="s">
        <v>35</v>
      </c>
      <c r="H121" s="4">
        <v>25</v>
      </c>
      <c r="I121" s="4">
        <v>4</v>
      </c>
      <c r="J121" s="4">
        <v>4</v>
      </c>
      <c r="K121" s="4">
        <v>4</v>
      </c>
      <c r="L121" s="4" t="str">
        <f t="shared" si="0"/>
        <v>NORMAL</v>
      </c>
      <c r="M121" s="4" t="str">
        <f t="shared" si="1"/>
        <v>MEDIUM</v>
      </c>
      <c r="N121" s="4" t="str">
        <f t="shared" si="2"/>
        <v>SENIOR</v>
      </c>
      <c r="O121" s="4" t="str">
        <f t="shared" si="3"/>
        <v>STAGNANT</v>
      </c>
      <c r="P121" s="5" t="str">
        <f t="shared" si="4"/>
        <v>Medium_Pressure</v>
      </c>
      <c r="Q121" s="4" t="str">
        <f t="shared" si="5"/>
        <v>HIGHLY_ENGAGED</v>
      </c>
      <c r="R121" s="4" t="str">
        <f t="shared" si="7"/>
        <v>LOW</v>
      </c>
      <c r="S121" s="2"/>
      <c r="T121" s="2"/>
      <c r="U121" s="2"/>
      <c r="V121" s="2"/>
      <c r="W121" s="2"/>
      <c r="X121" s="2"/>
      <c r="Y121" s="2"/>
      <c r="Z121" s="2"/>
    </row>
    <row r="122" spans="1:26" ht="16.8" x14ac:dyDescent="0.3">
      <c r="A122" s="4">
        <v>159</v>
      </c>
      <c r="B122" s="4" t="s">
        <v>43</v>
      </c>
      <c r="C122" s="4">
        <v>30</v>
      </c>
      <c r="D122" s="4" t="s">
        <v>45</v>
      </c>
      <c r="E122" s="4" t="s">
        <v>47</v>
      </c>
      <c r="F122" s="4">
        <v>2613</v>
      </c>
      <c r="G122" s="4" t="s">
        <v>43</v>
      </c>
      <c r="H122" s="4">
        <v>10</v>
      </c>
      <c r="I122" s="4">
        <v>0</v>
      </c>
      <c r="J122" s="4">
        <v>3</v>
      </c>
      <c r="K122" s="4">
        <v>2</v>
      </c>
      <c r="L122" s="4" t="str">
        <f t="shared" si="0"/>
        <v>NORMAL</v>
      </c>
      <c r="M122" s="4" t="str">
        <f t="shared" si="1"/>
        <v>LOW</v>
      </c>
      <c r="N122" s="4" t="str">
        <f t="shared" si="2"/>
        <v>SENIOR</v>
      </c>
      <c r="O122" s="4" t="str">
        <f t="shared" si="3"/>
        <v>RECENTLY PROMOTED</v>
      </c>
      <c r="P122" s="5" t="str">
        <f t="shared" si="4"/>
        <v>Low_Pressure</v>
      </c>
      <c r="Q122" s="4" t="str">
        <f t="shared" si="5"/>
        <v>DISENGAGED</v>
      </c>
      <c r="R122" s="4" t="str">
        <f t="shared" si="7"/>
        <v>LOW</v>
      </c>
      <c r="S122" s="2"/>
      <c r="T122" s="2"/>
      <c r="U122" s="2"/>
      <c r="V122" s="2"/>
      <c r="W122" s="2"/>
      <c r="X122" s="2"/>
      <c r="Y122" s="2"/>
      <c r="Z122" s="2"/>
    </row>
    <row r="123" spans="1:26" ht="16.8" x14ac:dyDescent="0.3">
      <c r="A123" s="4">
        <v>160</v>
      </c>
      <c r="B123" s="4" t="s">
        <v>43</v>
      </c>
      <c r="C123" s="4">
        <v>33</v>
      </c>
      <c r="D123" s="4" t="s">
        <v>37</v>
      </c>
      <c r="E123" s="4" t="s">
        <v>40</v>
      </c>
      <c r="F123" s="4">
        <v>6146</v>
      </c>
      <c r="G123" s="4" t="s">
        <v>43</v>
      </c>
      <c r="H123" s="4">
        <v>7</v>
      </c>
      <c r="I123" s="4">
        <v>0</v>
      </c>
      <c r="J123" s="4">
        <v>2</v>
      </c>
      <c r="K123" s="4">
        <v>4</v>
      </c>
      <c r="L123" s="4" t="str">
        <f t="shared" si="0"/>
        <v>NORMAL</v>
      </c>
      <c r="M123" s="4" t="str">
        <f t="shared" si="1"/>
        <v>HIGH</v>
      </c>
      <c r="N123" s="4" t="str">
        <f t="shared" si="2"/>
        <v>SENIOR</v>
      </c>
      <c r="O123" s="4" t="str">
        <f t="shared" si="3"/>
        <v>RECENTLY PROMOTED</v>
      </c>
      <c r="P123" s="5" t="str">
        <f t="shared" si="4"/>
        <v>Low_Pressure</v>
      </c>
      <c r="Q123" s="4" t="str">
        <f t="shared" si="5"/>
        <v>DISENGAGED</v>
      </c>
      <c r="R123" s="4" t="str">
        <f t="shared" si="7"/>
        <v>LOW</v>
      </c>
      <c r="S123" s="2"/>
      <c r="T123" s="2"/>
      <c r="U123" s="2"/>
      <c r="V123" s="2"/>
      <c r="W123" s="2"/>
      <c r="X123" s="2"/>
      <c r="Y123" s="2"/>
      <c r="Z123" s="2"/>
    </row>
    <row r="124" spans="1:26" ht="16.8" x14ac:dyDescent="0.3">
      <c r="A124" s="4">
        <v>161</v>
      </c>
      <c r="B124" s="4" t="s">
        <v>35</v>
      </c>
      <c r="C124" s="4">
        <v>56</v>
      </c>
      <c r="D124" s="4" t="s">
        <v>45</v>
      </c>
      <c r="E124" s="4" t="s">
        <v>47</v>
      </c>
      <c r="F124" s="4">
        <v>4963</v>
      </c>
      <c r="G124" s="4" t="s">
        <v>35</v>
      </c>
      <c r="H124" s="4">
        <v>5</v>
      </c>
      <c r="I124" s="4">
        <v>4</v>
      </c>
      <c r="J124" s="4">
        <v>2</v>
      </c>
      <c r="K124" s="4">
        <v>3</v>
      </c>
      <c r="L124" s="4" t="str">
        <f t="shared" si="0"/>
        <v>HIGH RISK</v>
      </c>
      <c r="M124" s="4" t="str">
        <f t="shared" si="1"/>
        <v>HIGH</v>
      </c>
      <c r="N124" s="4" t="str">
        <f t="shared" si="2"/>
        <v>MID</v>
      </c>
      <c r="O124" s="4" t="str">
        <f t="shared" si="3"/>
        <v>STAGNANT</v>
      </c>
      <c r="P124" s="5" t="str">
        <f t="shared" si="4"/>
        <v>Medium_Pressure</v>
      </c>
      <c r="Q124" s="4" t="str">
        <f t="shared" si="5"/>
        <v>DISENGAGED</v>
      </c>
      <c r="R124" s="4" t="str">
        <f t="shared" si="7"/>
        <v>LOW</v>
      </c>
      <c r="S124" s="2"/>
      <c r="T124" s="2"/>
      <c r="U124" s="2"/>
      <c r="V124" s="2"/>
      <c r="W124" s="2"/>
      <c r="X124" s="2"/>
      <c r="Y124" s="2"/>
      <c r="Z124" s="2"/>
    </row>
    <row r="125" spans="1:26" ht="16.8" x14ac:dyDescent="0.3">
      <c r="A125" s="4">
        <v>162</v>
      </c>
      <c r="B125" s="4" t="s">
        <v>43</v>
      </c>
      <c r="C125" s="4">
        <v>51</v>
      </c>
      <c r="D125" s="4" t="s">
        <v>45</v>
      </c>
      <c r="E125" s="4" t="s">
        <v>58</v>
      </c>
      <c r="F125" s="4">
        <v>19537</v>
      </c>
      <c r="G125" s="4" t="s">
        <v>43</v>
      </c>
      <c r="H125" s="4">
        <v>20</v>
      </c>
      <c r="I125" s="4">
        <v>15</v>
      </c>
      <c r="J125" s="4">
        <v>3</v>
      </c>
      <c r="K125" s="4">
        <v>3</v>
      </c>
      <c r="L125" s="4" t="str">
        <f t="shared" si="0"/>
        <v>NORMAL</v>
      </c>
      <c r="M125" s="4" t="str">
        <f t="shared" si="1"/>
        <v>MEDIUM</v>
      </c>
      <c r="N125" s="4" t="str">
        <f t="shared" si="2"/>
        <v>SENIOR</v>
      </c>
      <c r="O125" s="4" t="str">
        <f t="shared" si="3"/>
        <v>STAGNANT</v>
      </c>
      <c r="P125" s="5" t="str">
        <f t="shared" si="4"/>
        <v>Medium_Pressure</v>
      </c>
      <c r="Q125" s="4" t="str">
        <f t="shared" si="5"/>
        <v>HIGHLY_ENGAGED</v>
      </c>
      <c r="R125" s="4" t="str">
        <f t="shared" si="7"/>
        <v>LOW</v>
      </c>
      <c r="S125" s="2"/>
      <c r="T125" s="2"/>
      <c r="U125" s="2"/>
      <c r="V125" s="2"/>
      <c r="W125" s="2"/>
      <c r="X125" s="2"/>
      <c r="Y125" s="2"/>
      <c r="Z125" s="2"/>
    </row>
    <row r="126" spans="1:26" ht="16.8" x14ac:dyDescent="0.3">
      <c r="A126" s="4">
        <v>163</v>
      </c>
      <c r="B126" s="4" t="s">
        <v>35</v>
      </c>
      <c r="C126" s="4">
        <v>31</v>
      </c>
      <c r="D126" s="4" t="s">
        <v>37</v>
      </c>
      <c r="E126" s="4" t="s">
        <v>40</v>
      </c>
      <c r="F126" s="4">
        <v>6172</v>
      </c>
      <c r="G126" s="4" t="s">
        <v>35</v>
      </c>
      <c r="H126" s="4">
        <v>7</v>
      </c>
      <c r="I126" s="4">
        <v>7</v>
      </c>
      <c r="J126" s="4">
        <v>3</v>
      </c>
      <c r="K126" s="4">
        <v>2</v>
      </c>
      <c r="L126" s="4" t="str">
        <f t="shared" si="0"/>
        <v>NORMAL</v>
      </c>
      <c r="M126" s="4" t="str">
        <f t="shared" si="1"/>
        <v>HIGH</v>
      </c>
      <c r="N126" s="4" t="str">
        <f t="shared" si="2"/>
        <v>SENIOR</v>
      </c>
      <c r="O126" s="4" t="str">
        <f t="shared" si="3"/>
        <v>STAGNANT</v>
      </c>
      <c r="P126" s="5" t="str">
        <f t="shared" si="4"/>
        <v>High_Pressure</v>
      </c>
      <c r="Q126" s="4" t="str">
        <f t="shared" si="5"/>
        <v>DISENGAGED</v>
      </c>
      <c r="R126" s="4" t="str">
        <f t="shared" si="7"/>
        <v>LOW</v>
      </c>
      <c r="S126" s="2"/>
      <c r="T126" s="2"/>
      <c r="U126" s="2"/>
      <c r="V126" s="2"/>
      <c r="W126" s="2"/>
      <c r="X126" s="2"/>
      <c r="Y126" s="2"/>
      <c r="Z126" s="2"/>
    </row>
    <row r="127" spans="1:26" ht="16.8" x14ac:dyDescent="0.3">
      <c r="A127" s="4">
        <v>164</v>
      </c>
      <c r="B127" s="4" t="s">
        <v>43</v>
      </c>
      <c r="C127" s="4">
        <v>26</v>
      </c>
      <c r="D127" s="4" t="s">
        <v>45</v>
      </c>
      <c r="E127" s="4" t="s">
        <v>47</v>
      </c>
      <c r="F127" s="4">
        <v>2368</v>
      </c>
      <c r="G127" s="4" t="s">
        <v>43</v>
      </c>
      <c r="H127" s="4">
        <v>5</v>
      </c>
      <c r="I127" s="4">
        <v>4</v>
      </c>
      <c r="J127" s="4">
        <v>2</v>
      </c>
      <c r="K127" s="4">
        <v>2</v>
      </c>
      <c r="L127" s="4" t="str">
        <f t="shared" si="0"/>
        <v>NORMAL</v>
      </c>
      <c r="M127" s="4" t="str">
        <f t="shared" si="1"/>
        <v>LOW</v>
      </c>
      <c r="N127" s="4" t="str">
        <f t="shared" si="2"/>
        <v>MID</v>
      </c>
      <c r="O127" s="4" t="str">
        <f t="shared" si="3"/>
        <v>STAGNANT</v>
      </c>
      <c r="P127" s="5" t="str">
        <f t="shared" si="4"/>
        <v>Low_Pressure</v>
      </c>
      <c r="Q127" s="4" t="str">
        <f t="shared" si="5"/>
        <v>DISENGAGED</v>
      </c>
      <c r="R127" s="4" t="str">
        <f t="shared" si="7"/>
        <v>LOW</v>
      </c>
      <c r="S127" s="2"/>
      <c r="T127" s="2"/>
      <c r="U127" s="2"/>
      <c r="V127" s="2"/>
      <c r="W127" s="2"/>
      <c r="X127" s="2"/>
      <c r="Y127" s="2"/>
      <c r="Z127" s="2"/>
    </row>
    <row r="128" spans="1:26" ht="16.8" x14ac:dyDescent="0.3">
      <c r="A128" s="4">
        <v>165</v>
      </c>
      <c r="B128" s="4" t="s">
        <v>35</v>
      </c>
      <c r="C128" s="4">
        <v>58</v>
      </c>
      <c r="D128" s="4" t="s">
        <v>45</v>
      </c>
      <c r="E128" s="4" t="s">
        <v>54</v>
      </c>
      <c r="F128" s="4">
        <v>10312</v>
      </c>
      <c r="G128" s="4" t="s">
        <v>43</v>
      </c>
      <c r="H128" s="4">
        <v>40</v>
      </c>
      <c r="I128" s="4">
        <v>15</v>
      </c>
      <c r="J128" s="4">
        <v>4</v>
      </c>
      <c r="K128" s="4">
        <v>2</v>
      </c>
      <c r="L128" s="4" t="str">
        <f t="shared" si="0"/>
        <v>NORMAL</v>
      </c>
      <c r="M128" s="4" t="str">
        <f t="shared" si="1"/>
        <v>MEDIUM</v>
      </c>
      <c r="N128" s="4" t="str">
        <f t="shared" si="2"/>
        <v>SENIOR</v>
      </c>
      <c r="O128" s="4" t="str">
        <f t="shared" si="3"/>
        <v>STAGNANT</v>
      </c>
      <c r="P128" s="5" t="str">
        <f t="shared" si="4"/>
        <v>Low_Pressure</v>
      </c>
      <c r="Q128" s="4" t="str">
        <f t="shared" si="5"/>
        <v>DISENGAGED</v>
      </c>
      <c r="R128" s="4" t="str">
        <f t="shared" si="7"/>
        <v>LOW</v>
      </c>
      <c r="S128" s="2"/>
      <c r="T128" s="2"/>
      <c r="U128" s="2"/>
      <c r="V128" s="2"/>
      <c r="W128" s="2"/>
      <c r="X128" s="2"/>
      <c r="Y128" s="2"/>
      <c r="Z128" s="2"/>
    </row>
    <row r="129" spans="1:26" ht="16.8" x14ac:dyDescent="0.3">
      <c r="A129" s="4">
        <v>167</v>
      </c>
      <c r="B129" s="4" t="s">
        <v>35</v>
      </c>
      <c r="C129" s="4">
        <v>19</v>
      </c>
      <c r="D129" s="4" t="s">
        <v>37</v>
      </c>
      <c r="E129" s="4" t="s">
        <v>57</v>
      </c>
      <c r="F129" s="4">
        <v>1675</v>
      </c>
      <c r="G129" s="4" t="s">
        <v>35</v>
      </c>
      <c r="H129" s="4">
        <v>0</v>
      </c>
      <c r="I129" s="4">
        <v>0</v>
      </c>
      <c r="J129" s="4">
        <v>3</v>
      </c>
      <c r="K129" s="4">
        <v>2</v>
      </c>
      <c r="L129" s="4" t="str">
        <f t="shared" si="0"/>
        <v>NORMAL</v>
      </c>
      <c r="M129" s="4" t="str">
        <f t="shared" si="1"/>
        <v>LOW</v>
      </c>
      <c r="N129" s="4" t="str">
        <f t="shared" si="2"/>
        <v>NEW</v>
      </c>
      <c r="O129" s="4" t="str">
        <f t="shared" si="3"/>
        <v>RECENTLY PROMOTED</v>
      </c>
      <c r="P129" s="5" t="str">
        <f t="shared" si="4"/>
        <v>High_Pressure</v>
      </c>
      <c r="Q129" s="4" t="str">
        <f t="shared" si="5"/>
        <v>DISENGAGED</v>
      </c>
      <c r="R129" s="4" t="str">
        <f t="shared" si="7"/>
        <v>LOW</v>
      </c>
      <c r="S129" s="2"/>
      <c r="T129" s="2"/>
      <c r="U129" s="2"/>
      <c r="V129" s="2"/>
      <c r="W129" s="2"/>
      <c r="X129" s="2"/>
      <c r="Y129" s="2"/>
      <c r="Z129" s="2"/>
    </row>
    <row r="130" spans="1:26" ht="16.8" x14ac:dyDescent="0.3">
      <c r="A130" s="4">
        <v>169</v>
      </c>
      <c r="B130" s="4" t="s">
        <v>43</v>
      </c>
      <c r="C130" s="4">
        <v>22</v>
      </c>
      <c r="D130" s="4" t="s">
        <v>45</v>
      </c>
      <c r="E130" s="4" t="s">
        <v>50</v>
      </c>
      <c r="F130" s="4">
        <v>2523</v>
      </c>
      <c r="G130" s="4" t="s">
        <v>43</v>
      </c>
      <c r="H130" s="4">
        <v>2</v>
      </c>
      <c r="I130" s="4">
        <v>2</v>
      </c>
      <c r="J130" s="4">
        <v>4</v>
      </c>
      <c r="K130" s="4">
        <v>3</v>
      </c>
      <c r="L130" s="4" t="str">
        <f t="shared" si="0"/>
        <v>NORMAL</v>
      </c>
      <c r="M130" s="4" t="str">
        <f t="shared" si="1"/>
        <v>LOW</v>
      </c>
      <c r="N130" s="4" t="str">
        <f t="shared" si="2"/>
        <v>NEW</v>
      </c>
      <c r="O130" s="4" t="str">
        <f t="shared" si="3"/>
        <v>MODERATE-WAIT</v>
      </c>
      <c r="P130" s="5" t="str">
        <f t="shared" si="4"/>
        <v>Medium_Pressure</v>
      </c>
      <c r="Q130" s="4" t="str">
        <f t="shared" si="5"/>
        <v>HIGHLY_ENGAGED</v>
      </c>
      <c r="R130" s="4" t="str">
        <f t="shared" si="7"/>
        <v>LOW</v>
      </c>
      <c r="S130" s="2"/>
      <c r="T130" s="2"/>
      <c r="U130" s="2"/>
      <c r="V130" s="2"/>
      <c r="W130" s="2"/>
      <c r="X130" s="2"/>
      <c r="Y130" s="2"/>
      <c r="Z130" s="2"/>
    </row>
    <row r="131" spans="1:26" ht="16.8" x14ac:dyDescent="0.3">
      <c r="A131" s="4">
        <v>170</v>
      </c>
      <c r="B131" s="4" t="s">
        <v>43</v>
      </c>
      <c r="C131" s="4">
        <v>49</v>
      </c>
      <c r="D131" s="4" t="s">
        <v>45</v>
      </c>
      <c r="E131" s="4" t="s">
        <v>53</v>
      </c>
      <c r="F131" s="4">
        <v>6567</v>
      </c>
      <c r="G131" s="4" t="s">
        <v>43</v>
      </c>
      <c r="H131" s="4">
        <v>15</v>
      </c>
      <c r="I131" s="4">
        <v>5</v>
      </c>
      <c r="J131" s="4">
        <v>1</v>
      </c>
      <c r="K131" s="4">
        <v>2</v>
      </c>
      <c r="L131" s="4" t="str">
        <f t="shared" si="0"/>
        <v>NORMAL</v>
      </c>
      <c r="M131" s="4" t="str">
        <f t="shared" si="1"/>
        <v>HIGH</v>
      </c>
      <c r="N131" s="4" t="str">
        <f t="shared" si="2"/>
        <v>SENIOR</v>
      </c>
      <c r="O131" s="4" t="str">
        <f t="shared" si="3"/>
        <v>STAGNANT</v>
      </c>
      <c r="P131" s="5" t="str">
        <f t="shared" si="4"/>
        <v>Low_Pressure</v>
      </c>
      <c r="Q131" s="4" t="str">
        <f t="shared" si="5"/>
        <v>DISENGAGED</v>
      </c>
      <c r="R131" s="4" t="str">
        <f t="shared" si="7"/>
        <v>LOW</v>
      </c>
      <c r="S131" s="2"/>
      <c r="T131" s="2"/>
      <c r="U131" s="2"/>
      <c r="V131" s="2"/>
      <c r="W131" s="2"/>
      <c r="X131" s="2"/>
      <c r="Y131" s="2"/>
      <c r="Z131" s="2"/>
    </row>
    <row r="132" spans="1:26" ht="16.8" x14ac:dyDescent="0.3">
      <c r="A132" s="4">
        <v>171</v>
      </c>
      <c r="B132" s="4" t="s">
        <v>43</v>
      </c>
      <c r="C132" s="4">
        <v>43</v>
      </c>
      <c r="D132" s="4" t="s">
        <v>45</v>
      </c>
      <c r="E132" s="4" t="s">
        <v>47</v>
      </c>
      <c r="F132" s="4">
        <v>4739</v>
      </c>
      <c r="G132" s="4" t="s">
        <v>43</v>
      </c>
      <c r="H132" s="4">
        <v>3</v>
      </c>
      <c r="I132" s="4">
        <v>1</v>
      </c>
      <c r="J132" s="4">
        <v>3</v>
      </c>
      <c r="K132" s="4">
        <v>3</v>
      </c>
      <c r="L132" s="4" t="str">
        <f t="shared" si="0"/>
        <v>NORMAL</v>
      </c>
      <c r="M132" s="4" t="str">
        <f t="shared" si="1"/>
        <v>HIGH</v>
      </c>
      <c r="N132" s="4" t="str">
        <f t="shared" si="2"/>
        <v>MID</v>
      </c>
      <c r="O132" s="4" t="str">
        <f t="shared" si="3"/>
        <v>RECENTLY PROMOTED</v>
      </c>
      <c r="P132" s="5" t="str">
        <f t="shared" si="4"/>
        <v>Medium_Pressure</v>
      </c>
      <c r="Q132" s="4" t="str">
        <f t="shared" si="5"/>
        <v>HIGHLY_ENGAGED</v>
      </c>
      <c r="R132" s="4" t="str">
        <f t="shared" si="7"/>
        <v>LOW</v>
      </c>
      <c r="S132" s="2"/>
      <c r="T132" s="2"/>
      <c r="U132" s="2"/>
      <c r="V132" s="2"/>
      <c r="W132" s="2"/>
      <c r="X132" s="2"/>
      <c r="Y132" s="2"/>
      <c r="Z132" s="2"/>
    </row>
    <row r="133" spans="1:26" ht="16.8" x14ac:dyDescent="0.3">
      <c r="A133" s="4">
        <v>174</v>
      </c>
      <c r="B133" s="4" t="s">
        <v>43</v>
      </c>
      <c r="C133" s="4">
        <v>50</v>
      </c>
      <c r="D133" s="4" t="s">
        <v>37</v>
      </c>
      <c r="E133" s="4" t="s">
        <v>40</v>
      </c>
      <c r="F133" s="4">
        <v>9208</v>
      </c>
      <c r="G133" s="4" t="s">
        <v>43</v>
      </c>
      <c r="H133" s="4">
        <v>2</v>
      </c>
      <c r="I133" s="4">
        <v>2</v>
      </c>
      <c r="J133" s="4">
        <v>4</v>
      </c>
      <c r="K133" s="4">
        <v>3</v>
      </c>
      <c r="L133" s="4" t="str">
        <f t="shared" si="0"/>
        <v>NORMAL</v>
      </c>
      <c r="M133" s="4" t="str">
        <f t="shared" si="1"/>
        <v>MEDIUM</v>
      </c>
      <c r="N133" s="4" t="str">
        <f t="shared" si="2"/>
        <v>NEW</v>
      </c>
      <c r="O133" s="4" t="str">
        <f t="shared" si="3"/>
        <v>MODERATE-WAIT</v>
      </c>
      <c r="P133" s="5" t="str">
        <f t="shared" si="4"/>
        <v>Medium_Pressure</v>
      </c>
      <c r="Q133" s="4" t="str">
        <f t="shared" si="5"/>
        <v>HIGHLY_ENGAGED</v>
      </c>
      <c r="R133" s="4" t="str">
        <f t="shared" si="7"/>
        <v>LOW</v>
      </c>
      <c r="S133" s="2"/>
      <c r="T133" s="2"/>
      <c r="U133" s="2"/>
      <c r="V133" s="2"/>
      <c r="W133" s="2"/>
      <c r="X133" s="2"/>
      <c r="Y133" s="2"/>
      <c r="Z133" s="2"/>
    </row>
    <row r="134" spans="1:26" ht="16.8" x14ac:dyDescent="0.3">
      <c r="A134" s="4">
        <v>175</v>
      </c>
      <c r="B134" s="4" t="s">
        <v>35</v>
      </c>
      <c r="C134" s="4">
        <v>31</v>
      </c>
      <c r="D134" s="4" t="s">
        <v>37</v>
      </c>
      <c r="E134" s="4" t="s">
        <v>40</v>
      </c>
      <c r="F134" s="4">
        <v>4559</v>
      </c>
      <c r="G134" s="4" t="s">
        <v>35</v>
      </c>
      <c r="H134" s="4">
        <v>2</v>
      </c>
      <c r="I134" s="4">
        <v>2</v>
      </c>
      <c r="J134" s="4">
        <v>3</v>
      </c>
      <c r="K134" s="4">
        <v>3</v>
      </c>
      <c r="L134" s="4" t="str">
        <f t="shared" si="0"/>
        <v>NORMAL</v>
      </c>
      <c r="M134" s="4" t="str">
        <f t="shared" si="1"/>
        <v>HIGH</v>
      </c>
      <c r="N134" s="4" t="str">
        <f t="shared" si="2"/>
        <v>NEW</v>
      </c>
      <c r="O134" s="4" t="str">
        <f t="shared" si="3"/>
        <v>MODERATE-WAIT</v>
      </c>
      <c r="P134" s="5" t="str">
        <f t="shared" si="4"/>
        <v>Medium_Pressure</v>
      </c>
      <c r="Q134" s="4" t="str">
        <f t="shared" si="5"/>
        <v>HIGHLY_ENGAGED</v>
      </c>
      <c r="R134" s="4" t="str">
        <f t="shared" si="7"/>
        <v>LOW</v>
      </c>
      <c r="S134" s="2"/>
      <c r="T134" s="2"/>
      <c r="U134" s="2"/>
      <c r="V134" s="2"/>
      <c r="W134" s="2"/>
      <c r="X134" s="2"/>
      <c r="Y134" s="2"/>
      <c r="Z134" s="2"/>
    </row>
    <row r="135" spans="1:26" ht="16.8" x14ac:dyDescent="0.3">
      <c r="A135" s="4">
        <v>176</v>
      </c>
      <c r="B135" s="4" t="s">
        <v>43</v>
      </c>
      <c r="C135" s="4">
        <v>41</v>
      </c>
      <c r="D135" s="4" t="s">
        <v>37</v>
      </c>
      <c r="E135" s="4" t="s">
        <v>40</v>
      </c>
      <c r="F135" s="4">
        <v>8189</v>
      </c>
      <c r="G135" s="4" t="s">
        <v>35</v>
      </c>
      <c r="H135" s="4">
        <v>9</v>
      </c>
      <c r="I135" s="4">
        <v>0</v>
      </c>
      <c r="J135" s="4">
        <v>3</v>
      </c>
      <c r="K135" s="4">
        <v>3</v>
      </c>
      <c r="L135" s="4" t="str">
        <f t="shared" si="0"/>
        <v>NORMAL</v>
      </c>
      <c r="M135" s="4" t="str">
        <f t="shared" si="1"/>
        <v>HIGH</v>
      </c>
      <c r="N135" s="4" t="str">
        <f t="shared" si="2"/>
        <v>SENIOR</v>
      </c>
      <c r="O135" s="4" t="str">
        <f t="shared" si="3"/>
        <v>RECENTLY PROMOTED</v>
      </c>
      <c r="P135" s="5" t="str">
        <f t="shared" si="4"/>
        <v>Medium_Pressure</v>
      </c>
      <c r="Q135" s="4" t="str">
        <f t="shared" si="5"/>
        <v>HIGHLY_ENGAGED</v>
      </c>
      <c r="R135" s="4" t="str">
        <f t="shared" si="7"/>
        <v>LOW</v>
      </c>
      <c r="S135" s="2"/>
      <c r="T135" s="2"/>
      <c r="U135" s="2"/>
      <c r="V135" s="2"/>
      <c r="W135" s="2"/>
      <c r="X135" s="2"/>
      <c r="Y135" s="2"/>
      <c r="Z135" s="2"/>
    </row>
    <row r="136" spans="1:26" ht="16.8" x14ac:dyDescent="0.3">
      <c r="A136" s="4">
        <v>177</v>
      </c>
      <c r="B136" s="4" t="s">
        <v>43</v>
      </c>
      <c r="C136" s="4">
        <v>26</v>
      </c>
      <c r="D136" s="4" t="s">
        <v>61</v>
      </c>
      <c r="E136" s="4" t="s">
        <v>61</v>
      </c>
      <c r="F136" s="4">
        <v>2942</v>
      </c>
      <c r="G136" s="4" t="s">
        <v>43</v>
      </c>
      <c r="H136" s="4">
        <v>8</v>
      </c>
      <c r="I136" s="4">
        <v>5</v>
      </c>
      <c r="J136" s="4">
        <v>3</v>
      </c>
      <c r="K136" s="4">
        <v>3</v>
      </c>
      <c r="L136" s="4" t="str">
        <f t="shared" si="0"/>
        <v>NORMAL</v>
      </c>
      <c r="M136" s="4" t="str">
        <f t="shared" si="1"/>
        <v>LOW</v>
      </c>
      <c r="N136" s="4" t="str">
        <f t="shared" si="2"/>
        <v>SENIOR</v>
      </c>
      <c r="O136" s="4" t="str">
        <f t="shared" si="3"/>
        <v>STAGNANT</v>
      </c>
      <c r="P136" s="5" t="str">
        <f t="shared" si="4"/>
        <v>Medium_Pressure</v>
      </c>
      <c r="Q136" s="4" t="str">
        <f t="shared" si="5"/>
        <v>HIGHLY_ENGAGED</v>
      </c>
      <c r="R136" s="4" t="str">
        <f t="shared" si="7"/>
        <v>LOW</v>
      </c>
      <c r="S136" s="2"/>
      <c r="T136" s="2"/>
      <c r="U136" s="2"/>
      <c r="V136" s="2"/>
      <c r="W136" s="2"/>
      <c r="X136" s="2"/>
      <c r="Y136" s="2"/>
      <c r="Z136" s="2"/>
    </row>
    <row r="137" spans="1:26" ht="16.8" x14ac:dyDescent="0.3">
      <c r="A137" s="4">
        <v>178</v>
      </c>
      <c r="B137" s="4" t="s">
        <v>43</v>
      </c>
      <c r="C137" s="4">
        <v>36</v>
      </c>
      <c r="D137" s="4" t="s">
        <v>45</v>
      </c>
      <c r="E137" s="4" t="s">
        <v>53</v>
      </c>
      <c r="F137" s="4">
        <v>4941</v>
      </c>
      <c r="G137" s="4" t="s">
        <v>43</v>
      </c>
      <c r="H137" s="4">
        <v>3</v>
      </c>
      <c r="I137" s="4">
        <v>0</v>
      </c>
      <c r="J137" s="4">
        <v>2</v>
      </c>
      <c r="K137" s="4">
        <v>3</v>
      </c>
      <c r="L137" s="4" t="str">
        <f t="shared" si="0"/>
        <v>NORMAL</v>
      </c>
      <c r="M137" s="4" t="str">
        <f t="shared" si="1"/>
        <v>HIGH</v>
      </c>
      <c r="N137" s="4" t="str">
        <f t="shared" si="2"/>
        <v>MID</v>
      </c>
      <c r="O137" s="4" t="str">
        <f t="shared" si="3"/>
        <v>RECENTLY PROMOTED</v>
      </c>
      <c r="P137" s="5" t="str">
        <f t="shared" si="4"/>
        <v>Medium_Pressure</v>
      </c>
      <c r="Q137" s="4" t="str">
        <f t="shared" si="5"/>
        <v>DISENGAGED</v>
      </c>
      <c r="R137" s="4" t="str">
        <f t="shared" si="7"/>
        <v>LOW</v>
      </c>
      <c r="S137" s="2"/>
      <c r="T137" s="2"/>
      <c r="U137" s="2"/>
      <c r="V137" s="2"/>
      <c r="W137" s="2"/>
      <c r="X137" s="2"/>
      <c r="Y137" s="2"/>
      <c r="Z137" s="2"/>
    </row>
    <row r="138" spans="1:26" ht="16.8" x14ac:dyDescent="0.3">
      <c r="A138" s="4">
        <v>179</v>
      </c>
      <c r="B138" s="4" t="s">
        <v>35</v>
      </c>
      <c r="C138" s="4">
        <v>51</v>
      </c>
      <c r="D138" s="4" t="s">
        <v>45</v>
      </c>
      <c r="E138" s="4" t="s">
        <v>53</v>
      </c>
      <c r="F138" s="4">
        <v>10650</v>
      </c>
      <c r="G138" s="4" t="s">
        <v>43</v>
      </c>
      <c r="H138" s="4">
        <v>4</v>
      </c>
      <c r="I138" s="4">
        <v>0</v>
      </c>
      <c r="J138" s="4">
        <v>4</v>
      </c>
      <c r="K138" s="4">
        <v>3</v>
      </c>
      <c r="L138" s="4" t="str">
        <f t="shared" si="0"/>
        <v>NORMAL</v>
      </c>
      <c r="M138" s="4" t="str">
        <f t="shared" si="1"/>
        <v>MEDIUM</v>
      </c>
      <c r="N138" s="4" t="str">
        <f t="shared" si="2"/>
        <v>MID</v>
      </c>
      <c r="O138" s="4" t="str">
        <f t="shared" si="3"/>
        <v>RECENTLY PROMOTED</v>
      </c>
      <c r="P138" s="5" t="str">
        <f t="shared" si="4"/>
        <v>Medium_Pressure</v>
      </c>
      <c r="Q138" s="4" t="str">
        <f t="shared" si="5"/>
        <v>HIGHLY_ENGAGED</v>
      </c>
      <c r="R138" s="4" t="str">
        <f t="shared" si="7"/>
        <v>LOW</v>
      </c>
      <c r="S138" s="2"/>
      <c r="T138" s="2"/>
      <c r="U138" s="2"/>
      <c r="V138" s="2"/>
      <c r="W138" s="2"/>
      <c r="X138" s="2"/>
      <c r="Y138" s="2"/>
      <c r="Z138" s="2"/>
    </row>
    <row r="139" spans="1:26" ht="16.8" x14ac:dyDescent="0.3">
      <c r="A139" s="4">
        <v>182</v>
      </c>
      <c r="B139" s="4" t="s">
        <v>43</v>
      </c>
      <c r="C139" s="4">
        <v>39</v>
      </c>
      <c r="D139" s="4" t="s">
        <v>37</v>
      </c>
      <c r="E139" s="4" t="s">
        <v>40</v>
      </c>
      <c r="F139" s="4">
        <v>5902</v>
      </c>
      <c r="G139" s="4" t="s">
        <v>43</v>
      </c>
      <c r="H139" s="4">
        <v>15</v>
      </c>
      <c r="I139" s="4">
        <v>5</v>
      </c>
      <c r="J139" s="4">
        <v>3</v>
      </c>
      <c r="K139" s="4">
        <v>4</v>
      </c>
      <c r="L139" s="4" t="str">
        <f t="shared" si="0"/>
        <v>NORMAL</v>
      </c>
      <c r="M139" s="4" t="str">
        <f t="shared" si="1"/>
        <v>HIGH</v>
      </c>
      <c r="N139" s="4" t="str">
        <f t="shared" si="2"/>
        <v>SENIOR</v>
      </c>
      <c r="O139" s="4" t="str">
        <f t="shared" si="3"/>
        <v>STAGNANT</v>
      </c>
      <c r="P139" s="5" t="str">
        <f t="shared" si="4"/>
        <v>Low_Pressure</v>
      </c>
      <c r="Q139" s="4" t="str">
        <f t="shared" si="5"/>
        <v>HIGHLY_ENGAGED</v>
      </c>
      <c r="R139" s="4" t="str">
        <f t="shared" si="7"/>
        <v>LOW</v>
      </c>
      <c r="S139" s="2"/>
      <c r="T139" s="2"/>
      <c r="U139" s="2"/>
      <c r="V139" s="2"/>
      <c r="W139" s="2"/>
      <c r="X139" s="2"/>
      <c r="Y139" s="2"/>
      <c r="Z139" s="2"/>
    </row>
    <row r="140" spans="1:26" ht="16.8" x14ac:dyDescent="0.3">
      <c r="A140" s="4">
        <v>183</v>
      </c>
      <c r="B140" s="4" t="s">
        <v>43</v>
      </c>
      <c r="C140" s="4">
        <v>25</v>
      </c>
      <c r="D140" s="4" t="s">
        <v>37</v>
      </c>
      <c r="E140" s="4" t="s">
        <v>40</v>
      </c>
      <c r="F140" s="4">
        <v>8639</v>
      </c>
      <c r="G140" s="4" t="s">
        <v>43</v>
      </c>
      <c r="H140" s="4">
        <v>2</v>
      </c>
      <c r="I140" s="4">
        <v>2</v>
      </c>
      <c r="J140" s="4">
        <v>3</v>
      </c>
      <c r="K140" s="4">
        <v>3</v>
      </c>
      <c r="L140" s="4" t="str">
        <f t="shared" si="0"/>
        <v>NORMAL</v>
      </c>
      <c r="M140" s="4" t="str">
        <f t="shared" si="1"/>
        <v>HIGH</v>
      </c>
      <c r="N140" s="4" t="str">
        <f t="shared" si="2"/>
        <v>NEW</v>
      </c>
      <c r="O140" s="4" t="str">
        <f t="shared" si="3"/>
        <v>MODERATE-WAIT</v>
      </c>
      <c r="P140" s="5" t="str">
        <f t="shared" si="4"/>
        <v>Medium_Pressure</v>
      </c>
      <c r="Q140" s="4" t="str">
        <f t="shared" si="5"/>
        <v>HIGHLY_ENGAGED</v>
      </c>
      <c r="R140" s="4" t="str">
        <f t="shared" si="7"/>
        <v>LOW</v>
      </c>
      <c r="S140" s="2"/>
      <c r="T140" s="2"/>
      <c r="U140" s="2"/>
      <c r="V140" s="2"/>
      <c r="W140" s="2"/>
      <c r="X140" s="2"/>
      <c r="Y140" s="2"/>
      <c r="Z140" s="2"/>
    </row>
    <row r="141" spans="1:26" ht="16.8" x14ac:dyDescent="0.3">
      <c r="A141" s="4">
        <v>184</v>
      </c>
      <c r="B141" s="4" t="s">
        <v>43</v>
      </c>
      <c r="C141" s="4">
        <v>30</v>
      </c>
      <c r="D141" s="4" t="s">
        <v>61</v>
      </c>
      <c r="E141" s="4" t="s">
        <v>61</v>
      </c>
      <c r="F141" s="4">
        <v>6347</v>
      </c>
      <c r="G141" s="4" t="s">
        <v>35</v>
      </c>
      <c r="H141" s="4">
        <v>11</v>
      </c>
      <c r="I141" s="4">
        <v>4</v>
      </c>
      <c r="J141" s="4">
        <v>4</v>
      </c>
      <c r="K141" s="4">
        <v>1</v>
      </c>
      <c r="L141" s="4" t="str">
        <f t="shared" si="0"/>
        <v>NORMAL</v>
      </c>
      <c r="M141" s="4" t="str">
        <f t="shared" si="1"/>
        <v>HIGH</v>
      </c>
      <c r="N141" s="4" t="str">
        <f t="shared" si="2"/>
        <v>SENIOR</v>
      </c>
      <c r="O141" s="4" t="str">
        <f t="shared" si="3"/>
        <v>STAGNANT</v>
      </c>
      <c r="P141" s="5" t="str">
        <f t="shared" si="4"/>
        <v>High_Pressure</v>
      </c>
      <c r="Q141" s="4" t="str">
        <f t="shared" si="5"/>
        <v>DISENGAGED</v>
      </c>
      <c r="R141" s="4" t="str">
        <f t="shared" si="7"/>
        <v>LOW</v>
      </c>
      <c r="S141" s="2"/>
      <c r="T141" s="2"/>
      <c r="U141" s="2"/>
      <c r="V141" s="2"/>
      <c r="W141" s="2"/>
      <c r="X141" s="2"/>
      <c r="Y141" s="2"/>
      <c r="Z141" s="2"/>
    </row>
    <row r="142" spans="1:26" ht="16.8" x14ac:dyDescent="0.3">
      <c r="A142" s="4">
        <v>190</v>
      </c>
      <c r="B142" s="4" t="s">
        <v>35</v>
      </c>
      <c r="C142" s="4">
        <v>32</v>
      </c>
      <c r="D142" s="4" t="s">
        <v>45</v>
      </c>
      <c r="E142" s="4" t="s">
        <v>50</v>
      </c>
      <c r="F142" s="4">
        <v>4200</v>
      </c>
      <c r="G142" s="4" t="s">
        <v>43</v>
      </c>
      <c r="H142" s="4">
        <v>5</v>
      </c>
      <c r="I142" s="4">
        <v>0</v>
      </c>
      <c r="J142" s="4">
        <v>1</v>
      </c>
      <c r="K142" s="4">
        <v>4</v>
      </c>
      <c r="L142" s="4" t="str">
        <f t="shared" si="0"/>
        <v>NORMAL</v>
      </c>
      <c r="M142" s="4" t="str">
        <f t="shared" si="1"/>
        <v>HIGH</v>
      </c>
      <c r="N142" s="4" t="str">
        <f t="shared" si="2"/>
        <v>MID</v>
      </c>
      <c r="O142" s="4" t="str">
        <f t="shared" si="3"/>
        <v>RECENTLY PROMOTED</v>
      </c>
      <c r="P142" s="5" t="str">
        <f t="shared" si="4"/>
        <v>Low_Pressure</v>
      </c>
      <c r="Q142" s="4" t="str">
        <f t="shared" si="5"/>
        <v>DISENGAGED</v>
      </c>
      <c r="R142" s="4" t="str">
        <f t="shared" si="7"/>
        <v>LOW</v>
      </c>
      <c r="S142" s="2"/>
      <c r="T142" s="2"/>
      <c r="U142" s="2"/>
      <c r="V142" s="2"/>
      <c r="W142" s="2"/>
      <c r="X142" s="2"/>
      <c r="Y142" s="2"/>
      <c r="Z142" s="2"/>
    </row>
    <row r="143" spans="1:26" ht="16.8" x14ac:dyDescent="0.3">
      <c r="A143" s="4">
        <v>192</v>
      </c>
      <c r="B143" s="4" t="s">
        <v>43</v>
      </c>
      <c r="C143" s="4">
        <v>45</v>
      </c>
      <c r="D143" s="4" t="s">
        <v>45</v>
      </c>
      <c r="E143" s="4" t="s">
        <v>47</v>
      </c>
      <c r="F143" s="4">
        <v>3452</v>
      </c>
      <c r="G143" s="4" t="s">
        <v>43</v>
      </c>
      <c r="H143" s="4">
        <v>6</v>
      </c>
      <c r="I143" s="4">
        <v>0</v>
      </c>
      <c r="J143" s="4">
        <v>4</v>
      </c>
      <c r="K143" s="4">
        <v>2</v>
      </c>
      <c r="L143" s="4" t="str">
        <f t="shared" si="0"/>
        <v>NORMAL</v>
      </c>
      <c r="M143" s="4" t="str">
        <f t="shared" si="1"/>
        <v>LOW</v>
      </c>
      <c r="N143" s="4" t="str">
        <f t="shared" si="2"/>
        <v>MID</v>
      </c>
      <c r="O143" s="4" t="str">
        <f t="shared" si="3"/>
        <v>RECENTLY PROMOTED</v>
      </c>
      <c r="P143" s="5" t="str">
        <f t="shared" si="4"/>
        <v>Low_Pressure</v>
      </c>
      <c r="Q143" s="4" t="str">
        <f t="shared" si="5"/>
        <v>DISENGAGED</v>
      </c>
      <c r="R143" s="4" t="str">
        <f t="shared" si="7"/>
        <v>LOW</v>
      </c>
      <c r="S143" s="2"/>
      <c r="T143" s="2"/>
      <c r="U143" s="2"/>
      <c r="V143" s="2"/>
      <c r="W143" s="2"/>
      <c r="X143" s="2"/>
      <c r="Y143" s="2"/>
      <c r="Z143" s="2"/>
    </row>
    <row r="144" spans="1:26" ht="16.8" x14ac:dyDescent="0.3">
      <c r="A144" s="4">
        <v>193</v>
      </c>
      <c r="B144" s="4" t="s">
        <v>43</v>
      </c>
      <c r="C144" s="4">
        <v>38</v>
      </c>
      <c r="D144" s="4" t="s">
        <v>45</v>
      </c>
      <c r="E144" s="4" t="s">
        <v>47</v>
      </c>
      <c r="F144" s="4">
        <v>4317</v>
      </c>
      <c r="G144" s="4" t="s">
        <v>35</v>
      </c>
      <c r="H144" s="4">
        <v>3</v>
      </c>
      <c r="I144" s="4">
        <v>2</v>
      </c>
      <c r="J144" s="4">
        <v>3</v>
      </c>
      <c r="K144" s="4">
        <v>3</v>
      </c>
      <c r="L144" s="4" t="str">
        <f t="shared" si="0"/>
        <v>NORMAL</v>
      </c>
      <c r="M144" s="4" t="str">
        <f t="shared" si="1"/>
        <v>HIGH</v>
      </c>
      <c r="N144" s="4" t="str">
        <f t="shared" si="2"/>
        <v>MID</v>
      </c>
      <c r="O144" s="4" t="str">
        <f t="shared" si="3"/>
        <v>MODERATE-WAIT</v>
      </c>
      <c r="P144" s="5" t="str">
        <f t="shared" si="4"/>
        <v>Medium_Pressure</v>
      </c>
      <c r="Q144" s="4" t="str">
        <f t="shared" si="5"/>
        <v>HIGHLY_ENGAGED</v>
      </c>
      <c r="R144" s="4" t="str">
        <f t="shared" si="7"/>
        <v>LOW</v>
      </c>
      <c r="S144" s="2"/>
      <c r="T144" s="2"/>
      <c r="U144" s="2"/>
      <c r="V144" s="2"/>
      <c r="W144" s="2"/>
      <c r="X144" s="2"/>
      <c r="Y144" s="2"/>
      <c r="Z144" s="2"/>
    </row>
    <row r="145" spans="1:26" ht="16.8" x14ac:dyDescent="0.3">
      <c r="A145" s="4">
        <v>194</v>
      </c>
      <c r="B145" s="4" t="s">
        <v>43</v>
      </c>
      <c r="C145" s="4">
        <v>30</v>
      </c>
      <c r="D145" s="4" t="s">
        <v>45</v>
      </c>
      <c r="E145" s="4" t="s">
        <v>47</v>
      </c>
      <c r="F145" s="4">
        <v>2632</v>
      </c>
      <c r="G145" s="4" t="s">
        <v>43</v>
      </c>
      <c r="H145" s="4">
        <v>5</v>
      </c>
      <c r="I145" s="4">
        <v>0</v>
      </c>
      <c r="J145" s="4">
        <v>3</v>
      </c>
      <c r="K145" s="4">
        <v>2</v>
      </c>
      <c r="L145" s="4" t="str">
        <f t="shared" si="0"/>
        <v>NORMAL</v>
      </c>
      <c r="M145" s="4" t="str">
        <f t="shared" si="1"/>
        <v>LOW</v>
      </c>
      <c r="N145" s="4" t="str">
        <f t="shared" si="2"/>
        <v>MID</v>
      </c>
      <c r="O145" s="4" t="str">
        <f t="shared" si="3"/>
        <v>RECENTLY PROMOTED</v>
      </c>
      <c r="P145" s="5" t="str">
        <f t="shared" si="4"/>
        <v>Low_Pressure</v>
      </c>
      <c r="Q145" s="4" t="str">
        <f t="shared" si="5"/>
        <v>DISENGAGED</v>
      </c>
      <c r="R145" s="4" t="str">
        <f t="shared" si="7"/>
        <v>LOW</v>
      </c>
      <c r="S145" s="2"/>
      <c r="T145" s="2"/>
      <c r="U145" s="2"/>
      <c r="V145" s="2"/>
      <c r="W145" s="2"/>
      <c r="X145" s="2"/>
      <c r="Y145" s="2"/>
      <c r="Z145" s="2"/>
    </row>
    <row r="146" spans="1:26" ht="16.8" x14ac:dyDescent="0.3">
      <c r="A146" s="4">
        <v>195</v>
      </c>
      <c r="B146" s="4" t="s">
        <v>43</v>
      </c>
      <c r="C146" s="4">
        <v>32</v>
      </c>
      <c r="D146" s="4" t="s">
        <v>37</v>
      </c>
      <c r="E146" s="4" t="s">
        <v>40</v>
      </c>
      <c r="F146" s="4">
        <v>4668</v>
      </c>
      <c r="G146" s="4" t="s">
        <v>43</v>
      </c>
      <c r="H146" s="4">
        <v>8</v>
      </c>
      <c r="I146" s="4">
        <v>0</v>
      </c>
      <c r="J146" s="4">
        <v>4</v>
      </c>
      <c r="K146" s="4">
        <v>4</v>
      </c>
      <c r="L146" s="4" t="str">
        <f t="shared" si="0"/>
        <v>NORMAL</v>
      </c>
      <c r="M146" s="4" t="str">
        <f t="shared" si="1"/>
        <v>HIGH</v>
      </c>
      <c r="N146" s="4" t="str">
        <f t="shared" si="2"/>
        <v>SENIOR</v>
      </c>
      <c r="O146" s="4" t="str">
        <f t="shared" si="3"/>
        <v>RECENTLY PROMOTED</v>
      </c>
      <c r="P146" s="5" t="str">
        <f t="shared" si="4"/>
        <v>Low_Pressure</v>
      </c>
      <c r="Q146" s="4" t="str">
        <f t="shared" si="5"/>
        <v>HIGHLY_ENGAGED</v>
      </c>
      <c r="R146" s="4" t="str">
        <f t="shared" si="7"/>
        <v>LOW</v>
      </c>
      <c r="S146" s="2"/>
      <c r="T146" s="2"/>
      <c r="U146" s="2"/>
      <c r="V146" s="2"/>
      <c r="W146" s="2"/>
      <c r="X146" s="2"/>
      <c r="Y146" s="2"/>
      <c r="Z146" s="2"/>
    </row>
    <row r="147" spans="1:26" ht="16.8" x14ac:dyDescent="0.3">
      <c r="A147" s="4">
        <v>197</v>
      </c>
      <c r="B147" s="4" t="s">
        <v>43</v>
      </c>
      <c r="C147" s="4">
        <v>30</v>
      </c>
      <c r="D147" s="4" t="s">
        <v>45</v>
      </c>
      <c r="E147" s="4" t="s">
        <v>47</v>
      </c>
      <c r="F147" s="4">
        <v>3204</v>
      </c>
      <c r="G147" s="4" t="s">
        <v>43</v>
      </c>
      <c r="H147" s="4">
        <v>3</v>
      </c>
      <c r="I147" s="4">
        <v>2</v>
      </c>
      <c r="J147" s="4">
        <v>1</v>
      </c>
      <c r="K147" s="4">
        <v>3</v>
      </c>
      <c r="L147" s="4" t="str">
        <f t="shared" si="0"/>
        <v>NORMAL</v>
      </c>
      <c r="M147" s="4" t="str">
        <f t="shared" si="1"/>
        <v>LOW</v>
      </c>
      <c r="N147" s="4" t="str">
        <f t="shared" si="2"/>
        <v>MID</v>
      </c>
      <c r="O147" s="4" t="str">
        <f t="shared" si="3"/>
        <v>MODERATE-WAIT</v>
      </c>
      <c r="P147" s="5" t="str">
        <f t="shared" si="4"/>
        <v>Medium_Pressure</v>
      </c>
      <c r="Q147" s="4" t="str">
        <f t="shared" si="5"/>
        <v>DISENGAGED</v>
      </c>
      <c r="R147" s="4" t="str">
        <f t="shared" si="7"/>
        <v>LOW</v>
      </c>
      <c r="S147" s="2"/>
      <c r="T147" s="2"/>
      <c r="U147" s="2"/>
      <c r="V147" s="2"/>
      <c r="W147" s="2"/>
      <c r="X147" s="2"/>
      <c r="Y147" s="2"/>
      <c r="Z147" s="2"/>
    </row>
    <row r="148" spans="1:26" ht="16.8" x14ac:dyDescent="0.3">
      <c r="A148" s="4">
        <v>198</v>
      </c>
      <c r="B148" s="4" t="s">
        <v>43</v>
      </c>
      <c r="C148" s="4">
        <v>30</v>
      </c>
      <c r="D148" s="4" t="s">
        <v>45</v>
      </c>
      <c r="E148" s="4" t="s">
        <v>50</v>
      </c>
      <c r="F148" s="4">
        <v>2720</v>
      </c>
      <c r="G148" s="4" t="s">
        <v>43</v>
      </c>
      <c r="H148" s="4">
        <v>5</v>
      </c>
      <c r="I148" s="4">
        <v>1</v>
      </c>
      <c r="J148" s="4">
        <v>4</v>
      </c>
      <c r="K148" s="4">
        <v>3</v>
      </c>
      <c r="L148" s="4" t="str">
        <f t="shared" si="0"/>
        <v>NORMAL</v>
      </c>
      <c r="M148" s="4" t="str">
        <f t="shared" si="1"/>
        <v>LOW</v>
      </c>
      <c r="N148" s="4" t="str">
        <f t="shared" si="2"/>
        <v>MID</v>
      </c>
      <c r="O148" s="4" t="str">
        <f t="shared" si="3"/>
        <v>RECENTLY PROMOTED</v>
      </c>
      <c r="P148" s="5" t="str">
        <f t="shared" si="4"/>
        <v>Medium_Pressure</v>
      </c>
      <c r="Q148" s="4" t="str">
        <f t="shared" si="5"/>
        <v>HIGHLY_ENGAGED</v>
      </c>
      <c r="R148" s="4" t="str">
        <f t="shared" si="7"/>
        <v>LOW</v>
      </c>
      <c r="S148" s="2"/>
      <c r="T148" s="2"/>
      <c r="U148" s="2"/>
      <c r="V148" s="2"/>
      <c r="W148" s="2"/>
      <c r="X148" s="2"/>
      <c r="Y148" s="2"/>
      <c r="Z148" s="2"/>
    </row>
    <row r="149" spans="1:26" ht="16.8" x14ac:dyDescent="0.3">
      <c r="A149" s="4">
        <v>199</v>
      </c>
      <c r="B149" s="4" t="s">
        <v>43</v>
      </c>
      <c r="C149" s="4">
        <v>41</v>
      </c>
      <c r="D149" s="4" t="s">
        <v>45</v>
      </c>
      <c r="E149" s="4" t="s">
        <v>56</v>
      </c>
      <c r="F149" s="4">
        <v>17181</v>
      </c>
      <c r="G149" s="4" t="s">
        <v>43</v>
      </c>
      <c r="H149" s="4">
        <v>7</v>
      </c>
      <c r="I149" s="4">
        <v>7</v>
      </c>
      <c r="J149" s="4">
        <v>1</v>
      </c>
      <c r="K149" s="4">
        <v>2</v>
      </c>
      <c r="L149" s="4" t="str">
        <f t="shared" si="0"/>
        <v>NORMAL</v>
      </c>
      <c r="M149" s="4" t="str">
        <f t="shared" si="1"/>
        <v>MEDIUM</v>
      </c>
      <c r="N149" s="4" t="str">
        <f t="shared" si="2"/>
        <v>SENIOR</v>
      </c>
      <c r="O149" s="4" t="str">
        <f t="shared" si="3"/>
        <v>STAGNANT</v>
      </c>
      <c r="P149" s="5" t="str">
        <f t="shared" si="4"/>
        <v>Low_Pressure</v>
      </c>
      <c r="Q149" s="4" t="str">
        <f t="shared" si="5"/>
        <v>DISENGAGED</v>
      </c>
      <c r="R149" s="4" t="str">
        <f t="shared" si="7"/>
        <v>LOW</v>
      </c>
      <c r="S149" s="2"/>
      <c r="T149" s="2"/>
      <c r="U149" s="2"/>
      <c r="V149" s="2"/>
      <c r="W149" s="2"/>
      <c r="X149" s="2"/>
      <c r="Y149" s="2"/>
      <c r="Z149" s="2"/>
    </row>
    <row r="150" spans="1:26" ht="16.8" x14ac:dyDescent="0.3">
      <c r="A150" s="4">
        <v>200</v>
      </c>
      <c r="B150" s="4" t="s">
        <v>43</v>
      </c>
      <c r="C150" s="4">
        <v>41</v>
      </c>
      <c r="D150" s="4" t="s">
        <v>45</v>
      </c>
      <c r="E150" s="4" t="s">
        <v>50</v>
      </c>
      <c r="F150" s="4">
        <v>2238</v>
      </c>
      <c r="G150" s="4" t="s">
        <v>43</v>
      </c>
      <c r="H150" s="4">
        <v>5</v>
      </c>
      <c r="I150" s="4">
        <v>1</v>
      </c>
      <c r="J150" s="4">
        <v>1</v>
      </c>
      <c r="K150" s="4">
        <v>3</v>
      </c>
      <c r="L150" s="4" t="str">
        <f t="shared" si="0"/>
        <v>NORMAL</v>
      </c>
      <c r="M150" s="4" t="str">
        <f t="shared" si="1"/>
        <v>LOW</v>
      </c>
      <c r="N150" s="4" t="str">
        <f t="shared" si="2"/>
        <v>MID</v>
      </c>
      <c r="O150" s="4" t="str">
        <f t="shared" si="3"/>
        <v>RECENTLY PROMOTED</v>
      </c>
      <c r="P150" s="5" t="str">
        <f t="shared" si="4"/>
        <v>Medium_Pressure</v>
      </c>
      <c r="Q150" s="4" t="str">
        <f t="shared" si="5"/>
        <v>DISENGAGED</v>
      </c>
      <c r="R150" s="4" t="str">
        <f t="shared" si="7"/>
        <v>LOW</v>
      </c>
      <c r="S150" s="2"/>
      <c r="T150" s="2"/>
      <c r="U150" s="2"/>
      <c r="V150" s="2"/>
      <c r="W150" s="2"/>
      <c r="X150" s="2"/>
      <c r="Y150" s="2"/>
      <c r="Z150" s="2"/>
    </row>
    <row r="151" spans="1:26" ht="16.8" x14ac:dyDescent="0.3">
      <c r="A151" s="4">
        <v>201</v>
      </c>
      <c r="B151" s="4" t="s">
        <v>43</v>
      </c>
      <c r="C151" s="4">
        <v>19</v>
      </c>
      <c r="D151" s="4" t="s">
        <v>45</v>
      </c>
      <c r="E151" s="4" t="s">
        <v>50</v>
      </c>
      <c r="F151" s="4">
        <v>1483</v>
      </c>
      <c r="G151" s="4" t="s">
        <v>43</v>
      </c>
      <c r="H151" s="4">
        <v>1</v>
      </c>
      <c r="I151" s="4">
        <v>0</v>
      </c>
      <c r="J151" s="4">
        <v>2</v>
      </c>
      <c r="K151" s="4">
        <v>3</v>
      </c>
      <c r="L151" s="4" t="str">
        <f t="shared" si="0"/>
        <v>NORMAL</v>
      </c>
      <c r="M151" s="4" t="str">
        <f t="shared" si="1"/>
        <v>LOW</v>
      </c>
      <c r="N151" s="4" t="str">
        <f t="shared" si="2"/>
        <v>NEW</v>
      </c>
      <c r="O151" s="4" t="str">
        <f t="shared" si="3"/>
        <v>RECENTLY PROMOTED</v>
      </c>
      <c r="P151" s="5" t="str">
        <f t="shared" si="4"/>
        <v>Medium_Pressure</v>
      </c>
      <c r="Q151" s="4" t="str">
        <f t="shared" si="5"/>
        <v>DISENGAGED</v>
      </c>
      <c r="R151" s="4" t="str">
        <f t="shared" si="7"/>
        <v>LOW</v>
      </c>
      <c r="S151" s="2"/>
      <c r="T151" s="2"/>
      <c r="U151" s="2"/>
      <c r="V151" s="2"/>
      <c r="W151" s="2"/>
      <c r="X151" s="2"/>
      <c r="Y151" s="2"/>
      <c r="Z151" s="2"/>
    </row>
    <row r="152" spans="1:26" ht="16.8" x14ac:dyDescent="0.3">
      <c r="A152" s="4">
        <v>202</v>
      </c>
      <c r="B152" s="4" t="s">
        <v>43</v>
      </c>
      <c r="C152" s="4">
        <v>40</v>
      </c>
      <c r="D152" s="4" t="s">
        <v>45</v>
      </c>
      <c r="E152" s="4" t="s">
        <v>47</v>
      </c>
      <c r="F152" s="4">
        <v>5605</v>
      </c>
      <c r="G152" s="4" t="s">
        <v>43</v>
      </c>
      <c r="H152" s="4">
        <v>20</v>
      </c>
      <c r="I152" s="4">
        <v>2</v>
      </c>
      <c r="J152" s="4">
        <v>2</v>
      </c>
      <c r="K152" s="4">
        <v>3</v>
      </c>
      <c r="L152" s="4" t="str">
        <f t="shared" si="0"/>
        <v>NORMAL</v>
      </c>
      <c r="M152" s="4" t="str">
        <f t="shared" si="1"/>
        <v>HIGH</v>
      </c>
      <c r="N152" s="4" t="str">
        <f t="shared" si="2"/>
        <v>SENIOR</v>
      </c>
      <c r="O152" s="4" t="str">
        <f t="shared" si="3"/>
        <v>MODERATE-WAIT</v>
      </c>
      <c r="P152" s="5" t="str">
        <f t="shared" si="4"/>
        <v>Medium_Pressure</v>
      </c>
      <c r="Q152" s="4" t="str">
        <f t="shared" si="5"/>
        <v>DISENGAGED</v>
      </c>
      <c r="R152" s="4" t="str">
        <f t="shared" si="7"/>
        <v>LOW</v>
      </c>
      <c r="S152" s="2"/>
      <c r="T152" s="2"/>
      <c r="U152" s="2"/>
      <c r="V152" s="2"/>
      <c r="W152" s="2"/>
      <c r="X152" s="2"/>
      <c r="Y152" s="2"/>
      <c r="Z152" s="2"/>
    </row>
    <row r="153" spans="1:26" ht="16.8" x14ac:dyDescent="0.3">
      <c r="A153" s="4">
        <v>204</v>
      </c>
      <c r="B153" s="4" t="s">
        <v>43</v>
      </c>
      <c r="C153" s="4">
        <v>35</v>
      </c>
      <c r="D153" s="4" t="s">
        <v>37</v>
      </c>
      <c r="E153" s="4" t="s">
        <v>40</v>
      </c>
      <c r="F153" s="4">
        <v>7295</v>
      </c>
      <c r="G153" s="4" t="s">
        <v>43</v>
      </c>
      <c r="H153" s="4">
        <v>10</v>
      </c>
      <c r="I153" s="4">
        <v>0</v>
      </c>
      <c r="J153" s="4">
        <v>2</v>
      </c>
      <c r="K153" s="4">
        <v>3</v>
      </c>
      <c r="L153" s="4" t="str">
        <f t="shared" si="0"/>
        <v>NORMAL</v>
      </c>
      <c r="M153" s="4" t="str">
        <f t="shared" si="1"/>
        <v>HIGH</v>
      </c>
      <c r="N153" s="4" t="str">
        <f t="shared" si="2"/>
        <v>SENIOR</v>
      </c>
      <c r="O153" s="4" t="str">
        <f t="shared" si="3"/>
        <v>RECENTLY PROMOTED</v>
      </c>
      <c r="P153" s="5" t="str">
        <f t="shared" si="4"/>
        <v>Medium_Pressure</v>
      </c>
      <c r="Q153" s="4" t="str">
        <f t="shared" si="5"/>
        <v>DISENGAGED</v>
      </c>
      <c r="R153" s="4" t="str">
        <f t="shared" si="7"/>
        <v>LOW</v>
      </c>
      <c r="S153" s="2"/>
      <c r="T153" s="2"/>
      <c r="U153" s="2"/>
      <c r="V153" s="2"/>
      <c r="W153" s="2"/>
      <c r="X153" s="2"/>
      <c r="Y153" s="2"/>
      <c r="Z153" s="2"/>
    </row>
    <row r="154" spans="1:26" ht="16.8" x14ac:dyDescent="0.3">
      <c r="A154" s="4">
        <v>205</v>
      </c>
      <c r="B154" s="4" t="s">
        <v>43</v>
      </c>
      <c r="C154" s="4">
        <v>53</v>
      </c>
      <c r="D154" s="4" t="s">
        <v>37</v>
      </c>
      <c r="E154" s="4" t="s">
        <v>57</v>
      </c>
      <c r="F154" s="4">
        <v>2306</v>
      </c>
      <c r="G154" s="4" t="s">
        <v>35</v>
      </c>
      <c r="H154" s="4">
        <v>7</v>
      </c>
      <c r="I154" s="4">
        <v>4</v>
      </c>
      <c r="J154" s="4">
        <v>3</v>
      </c>
      <c r="K154" s="4">
        <v>1</v>
      </c>
      <c r="L154" s="4" t="str">
        <f t="shared" si="0"/>
        <v>NORMAL</v>
      </c>
      <c r="M154" s="4" t="str">
        <f t="shared" si="1"/>
        <v>LOW</v>
      </c>
      <c r="N154" s="4" t="str">
        <f t="shared" si="2"/>
        <v>SENIOR</v>
      </c>
      <c r="O154" s="4" t="str">
        <f t="shared" si="3"/>
        <v>STAGNANT</v>
      </c>
      <c r="P154" s="5" t="str">
        <f t="shared" si="4"/>
        <v>High_Pressure</v>
      </c>
      <c r="Q154" s="4" t="str">
        <f t="shared" si="5"/>
        <v>DISENGAGED</v>
      </c>
      <c r="R154" s="4" t="str">
        <f t="shared" si="7"/>
        <v>LOW</v>
      </c>
      <c r="S154" s="2"/>
      <c r="T154" s="2"/>
      <c r="U154" s="2"/>
      <c r="V154" s="2"/>
      <c r="W154" s="2"/>
      <c r="X154" s="2"/>
      <c r="Y154" s="2"/>
      <c r="Z154" s="2"/>
    </row>
    <row r="155" spans="1:26" ht="16.8" x14ac:dyDescent="0.3">
      <c r="A155" s="4">
        <v>206</v>
      </c>
      <c r="B155" s="4" t="s">
        <v>43</v>
      </c>
      <c r="C155" s="4">
        <v>45</v>
      </c>
      <c r="D155" s="4" t="s">
        <v>45</v>
      </c>
      <c r="E155" s="4" t="s">
        <v>50</v>
      </c>
      <c r="F155" s="4">
        <v>2348</v>
      </c>
      <c r="G155" s="4" t="s">
        <v>43</v>
      </c>
      <c r="H155" s="4">
        <v>17</v>
      </c>
      <c r="I155" s="4">
        <v>0</v>
      </c>
      <c r="J155" s="4">
        <v>2</v>
      </c>
      <c r="K155" s="4">
        <v>1</v>
      </c>
      <c r="L155" s="4" t="str">
        <f t="shared" si="0"/>
        <v>NORMAL</v>
      </c>
      <c r="M155" s="4" t="str">
        <f t="shared" si="1"/>
        <v>LOW</v>
      </c>
      <c r="N155" s="4" t="str">
        <f t="shared" si="2"/>
        <v>SENIOR</v>
      </c>
      <c r="O155" s="4" t="str">
        <f t="shared" si="3"/>
        <v>RECENTLY PROMOTED</v>
      </c>
      <c r="P155" s="5" t="str">
        <f t="shared" si="4"/>
        <v>Low_Pressure</v>
      </c>
      <c r="Q155" s="4" t="str">
        <f t="shared" si="5"/>
        <v>DISENGAGED</v>
      </c>
      <c r="R155" s="4" t="str">
        <f t="shared" si="7"/>
        <v>LOW</v>
      </c>
      <c r="S155" s="2"/>
      <c r="T155" s="2"/>
      <c r="U155" s="2"/>
      <c r="V155" s="2"/>
      <c r="W155" s="2"/>
      <c r="X155" s="2"/>
      <c r="Y155" s="2"/>
      <c r="Z155" s="2"/>
    </row>
    <row r="156" spans="1:26" ht="16.8" x14ac:dyDescent="0.3">
      <c r="A156" s="4">
        <v>207</v>
      </c>
      <c r="B156" s="4" t="s">
        <v>43</v>
      </c>
      <c r="C156" s="4">
        <v>32</v>
      </c>
      <c r="D156" s="4" t="s">
        <v>37</v>
      </c>
      <c r="E156" s="4" t="s">
        <v>40</v>
      </c>
      <c r="F156" s="4">
        <v>8998</v>
      </c>
      <c r="G156" s="4" t="s">
        <v>43</v>
      </c>
      <c r="H156" s="4">
        <v>9</v>
      </c>
      <c r="I156" s="4">
        <v>3</v>
      </c>
      <c r="J156" s="4">
        <v>4</v>
      </c>
      <c r="K156" s="4">
        <v>3</v>
      </c>
      <c r="L156" s="4" t="str">
        <f t="shared" si="0"/>
        <v>NORMAL</v>
      </c>
      <c r="M156" s="4" t="str">
        <f t="shared" si="1"/>
        <v>HIGH</v>
      </c>
      <c r="N156" s="4" t="str">
        <f t="shared" si="2"/>
        <v>SENIOR</v>
      </c>
      <c r="O156" s="4" t="str">
        <f t="shared" si="3"/>
        <v>MODERATE-WAIT</v>
      </c>
      <c r="P156" s="5" t="str">
        <f t="shared" si="4"/>
        <v>Medium_Pressure</v>
      </c>
      <c r="Q156" s="4" t="str">
        <f t="shared" si="5"/>
        <v>HIGHLY_ENGAGED</v>
      </c>
      <c r="R156" s="4" t="str">
        <f t="shared" si="7"/>
        <v>LOW</v>
      </c>
      <c r="S156" s="2"/>
      <c r="T156" s="2"/>
      <c r="U156" s="2"/>
      <c r="V156" s="2"/>
      <c r="W156" s="2"/>
      <c r="X156" s="2"/>
      <c r="Y156" s="2"/>
      <c r="Z156" s="2"/>
    </row>
    <row r="157" spans="1:26" ht="16.8" x14ac:dyDescent="0.3">
      <c r="A157" s="4">
        <v>208</v>
      </c>
      <c r="B157" s="4" t="s">
        <v>43</v>
      </c>
      <c r="C157" s="4">
        <v>29</v>
      </c>
      <c r="D157" s="4" t="s">
        <v>45</v>
      </c>
      <c r="E157" s="4" t="s">
        <v>53</v>
      </c>
      <c r="F157" s="4">
        <v>4319</v>
      </c>
      <c r="G157" s="4" t="s">
        <v>43</v>
      </c>
      <c r="H157" s="4">
        <v>10</v>
      </c>
      <c r="I157" s="4">
        <v>0</v>
      </c>
      <c r="J157" s="4">
        <v>3</v>
      </c>
      <c r="K157" s="4">
        <v>3</v>
      </c>
      <c r="L157" s="4" t="str">
        <f t="shared" si="0"/>
        <v>NORMAL</v>
      </c>
      <c r="M157" s="4" t="str">
        <f t="shared" si="1"/>
        <v>HIGH</v>
      </c>
      <c r="N157" s="4" t="str">
        <f t="shared" si="2"/>
        <v>SENIOR</v>
      </c>
      <c r="O157" s="4" t="str">
        <f t="shared" si="3"/>
        <v>RECENTLY PROMOTED</v>
      </c>
      <c r="P157" s="5" t="str">
        <f t="shared" si="4"/>
        <v>Medium_Pressure</v>
      </c>
      <c r="Q157" s="4" t="str">
        <f t="shared" si="5"/>
        <v>HIGHLY_ENGAGED</v>
      </c>
      <c r="R157" s="4" t="str">
        <f t="shared" si="7"/>
        <v>LOW</v>
      </c>
      <c r="S157" s="2"/>
      <c r="T157" s="2"/>
      <c r="U157" s="2"/>
      <c r="V157" s="2"/>
      <c r="W157" s="2"/>
      <c r="X157" s="2"/>
      <c r="Y157" s="2"/>
      <c r="Z157" s="2"/>
    </row>
    <row r="158" spans="1:26" ht="16.8" x14ac:dyDescent="0.3">
      <c r="A158" s="4">
        <v>211</v>
      </c>
      <c r="B158" s="4" t="s">
        <v>43</v>
      </c>
      <c r="C158" s="4">
        <v>51</v>
      </c>
      <c r="D158" s="4" t="s">
        <v>45</v>
      </c>
      <c r="E158" s="4" t="s">
        <v>53</v>
      </c>
      <c r="F158" s="4">
        <v>6132</v>
      </c>
      <c r="G158" s="4" t="s">
        <v>43</v>
      </c>
      <c r="H158" s="4">
        <v>1</v>
      </c>
      <c r="I158" s="4">
        <v>0</v>
      </c>
      <c r="J158" s="4">
        <v>3</v>
      </c>
      <c r="K158" s="4">
        <v>3</v>
      </c>
      <c r="L158" s="4" t="str">
        <f t="shared" si="0"/>
        <v>NORMAL</v>
      </c>
      <c r="M158" s="4" t="str">
        <f t="shared" si="1"/>
        <v>HIGH</v>
      </c>
      <c r="N158" s="4" t="str">
        <f t="shared" si="2"/>
        <v>NEW</v>
      </c>
      <c r="O158" s="4" t="str">
        <f t="shared" si="3"/>
        <v>RECENTLY PROMOTED</v>
      </c>
      <c r="P158" s="5" t="str">
        <f t="shared" si="4"/>
        <v>Medium_Pressure</v>
      </c>
      <c r="Q158" s="4" t="str">
        <f t="shared" si="5"/>
        <v>HIGHLY_ENGAGED</v>
      </c>
      <c r="R158" s="4" t="str">
        <f t="shared" si="7"/>
        <v>LOW</v>
      </c>
      <c r="S158" s="2"/>
      <c r="T158" s="2"/>
      <c r="U158" s="2"/>
      <c r="V158" s="2"/>
      <c r="W158" s="2"/>
      <c r="X158" s="2"/>
      <c r="Y158" s="2"/>
      <c r="Z158" s="2"/>
    </row>
    <row r="159" spans="1:26" ht="16.8" x14ac:dyDescent="0.3">
      <c r="A159" s="4">
        <v>214</v>
      </c>
      <c r="B159" s="4" t="s">
        <v>43</v>
      </c>
      <c r="C159" s="4">
        <v>58</v>
      </c>
      <c r="D159" s="4" t="s">
        <v>45</v>
      </c>
      <c r="E159" s="4" t="s">
        <v>47</v>
      </c>
      <c r="F159" s="4">
        <v>3346</v>
      </c>
      <c r="G159" s="4" t="s">
        <v>35</v>
      </c>
      <c r="H159" s="4">
        <v>1</v>
      </c>
      <c r="I159" s="4">
        <v>0</v>
      </c>
      <c r="J159" s="4">
        <v>2</v>
      </c>
      <c r="K159" s="4">
        <v>2</v>
      </c>
      <c r="L159" s="4" t="str">
        <f t="shared" si="0"/>
        <v>NORMAL</v>
      </c>
      <c r="M159" s="4" t="str">
        <f t="shared" si="1"/>
        <v>LOW</v>
      </c>
      <c r="N159" s="4" t="str">
        <f t="shared" si="2"/>
        <v>NEW</v>
      </c>
      <c r="O159" s="4" t="str">
        <f t="shared" si="3"/>
        <v>RECENTLY PROMOTED</v>
      </c>
      <c r="P159" s="5" t="str">
        <f t="shared" si="4"/>
        <v>High_Pressure</v>
      </c>
      <c r="Q159" s="4" t="str">
        <f t="shared" si="5"/>
        <v>DISENGAGED</v>
      </c>
      <c r="R159" s="4" t="str">
        <f t="shared" si="7"/>
        <v>LOW</v>
      </c>
      <c r="S159" s="2"/>
      <c r="T159" s="2"/>
      <c r="U159" s="2"/>
      <c r="V159" s="2"/>
      <c r="W159" s="2"/>
      <c r="X159" s="2"/>
      <c r="Y159" s="2"/>
      <c r="Z159" s="2"/>
    </row>
    <row r="160" spans="1:26" ht="16.8" x14ac:dyDescent="0.3">
      <c r="A160" s="4">
        <v>215</v>
      </c>
      <c r="B160" s="4" t="s">
        <v>43</v>
      </c>
      <c r="C160" s="4">
        <v>40</v>
      </c>
      <c r="D160" s="4" t="s">
        <v>37</v>
      </c>
      <c r="E160" s="4" t="s">
        <v>40</v>
      </c>
      <c r="F160" s="4">
        <v>10855</v>
      </c>
      <c r="G160" s="4" t="s">
        <v>43</v>
      </c>
      <c r="H160" s="4">
        <v>12</v>
      </c>
      <c r="I160" s="4">
        <v>2</v>
      </c>
      <c r="J160" s="4">
        <v>4</v>
      </c>
      <c r="K160" s="4">
        <v>2</v>
      </c>
      <c r="L160" s="4" t="str">
        <f t="shared" si="0"/>
        <v>NORMAL</v>
      </c>
      <c r="M160" s="4" t="str">
        <f t="shared" si="1"/>
        <v>MEDIUM</v>
      </c>
      <c r="N160" s="4" t="str">
        <f t="shared" si="2"/>
        <v>SENIOR</v>
      </c>
      <c r="O160" s="4" t="str">
        <f t="shared" si="3"/>
        <v>MODERATE-WAIT</v>
      </c>
      <c r="P160" s="5" t="str">
        <f t="shared" si="4"/>
        <v>Low_Pressure</v>
      </c>
      <c r="Q160" s="4" t="str">
        <f t="shared" si="5"/>
        <v>DISENGAGED</v>
      </c>
      <c r="R160" s="4" t="str">
        <f t="shared" si="7"/>
        <v>LOW</v>
      </c>
      <c r="S160" s="2"/>
      <c r="T160" s="2"/>
      <c r="U160" s="2"/>
      <c r="V160" s="2"/>
      <c r="W160" s="2"/>
      <c r="X160" s="2"/>
      <c r="Y160" s="2"/>
      <c r="Z160" s="2"/>
    </row>
    <row r="161" spans="1:26" ht="16.8" x14ac:dyDescent="0.3">
      <c r="A161" s="4">
        <v>216</v>
      </c>
      <c r="B161" s="4" t="s">
        <v>43</v>
      </c>
      <c r="C161" s="4">
        <v>34</v>
      </c>
      <c r="D161" s="4" t="s">
        <v>37</v>
      </c>
      <c r="E161" s="4" t="s">
        <v>57</v>
      </c>
      <c r="F161" s="4">
        <v>2231</v>
      </c>
      <c r="G161" s="4" t="s">
        <v>43</v>
      </c>
      <c r="H161" s="4">
        <v>4</v>
      </c>
      <c r="I161" s="4">
        <v>1</v>
      </c>
      <c r="J161" s="4">
        <v>3</v>
      </c>
      <c r="K161" s="4">
        <v>3</v>
      </c>
      <c r="L161" s="4" t="str">
        <f t="shared" si="0"/>
        <v>NORMAL</v>
      </c>
      <c r="M161" s="4" t="str">
        <f t="shared" si="1"/>
        <v>LOW</v>
      </c>
      <c r="N161" s="4" t="str">
        <f t="shared" si="2"/>
        <v>MID</v>
      </c>
      <c r="O161" s="4" t="str">
        <f t="shared" si="3"/>
        <v>RECENTLY PROMOTED</v>
      </c>
      <c r="P161" s="5" t="str">
        <f t="shared" si="4"/>
        <v>Medium_Pressure</v>
      </c>
      <c r="Q161" s="4" t="str">
        <f t="shared" si="5"/>
        <v>HIGHLY_ENGAGED</v>
      </c>
      <c r="R161" s="4" t="str">
        <f t="shared" si="7"/>
        <v>LOW</v>
      </c>
      <c r="S161" s="2"/>
      <c r="T161" s="2"/>
      <c r="U161" s="2"/>
      <c r="V161" s="2"/>
      <c r="W161" s="2"/>
      <c r="X161" s="2"/>
      <c r="Y161" s="2"/>
      <c r="Z161" s="2"/>
    </row>
    <row r="162" spans="1:26" ht="16.8" x14ac:dyDescent="0.3">
      <c r="A162" s="4">
        <v>217</v>
      </c>
      <c r="B162" s="4" t="s">
        <v>43</v>
      </c>
      <c r="C162" s="4">
        <v>22</v>
      </c>
      <c r="D162" s="4" t="s">
        <v>45</v>
      </c>
      <c r="E162" s="4" t="s">
        <v>47</v>
      </c>
      <c r="F162" s="4">
        <v>2323</v>
      </c>
      <c r="G162" s="4" t="s">
        <v>43</v>
      </c>
      <c r="H162" s="4">
        <v>2</v>
      </c>
      <c r="I162" s="4">
        <v>2</v>
      </c>
      <c r="J162" s="4">
        <v>4</v>
      </c>
      <c r="K162" s="4">
        <v>3</v>
      </c>
      <c r="L162" s="4" t="str">
        <f t="shared" si="0"/>
        <v>NORMAL</v>
      </c>
      <c r="M162" s="4" t="str">
        <f t="shared" si="1"/>
        <v>LOW</v>
      </c>
      <c r="N162" s="4" t="str">
        <f t="shared" si="2"/>
        <v>NEW</v>
      </c>
      <c r="O162" s="4" t="str">
        <f t="shared" si="3"/>
        <v>MODERATE-WAIT</v>
      </c>
      <c r="P162" s="5" t="str">
        <f t="shared" si="4"/>
        <v>Medium_Pressure</v>
      </c>
      <c r="Q162" s="4" t="str">
        <f t="shared" si="5"/>
        <v>HIGHLY_ENGAGED</v>
      </c>
      <c r="R162" s="4" t="str">
        <f t="shared" si="7"/>
        <v>LOW</v>
      </c>
      <c r="S162" s="2"/>
      <c r="T162" s="2"/>
      <c r="U162" s="2"/>
      <c r="V162" s="2"/>
      <c r="W162" s="2"/>
      <c r="X162" s="2"/>
      <c r="Y162" s="2"/>
      <c r="Z162" s="2"/>
    </row>
    <row r="163" spans="1:26" ht="16.8" x14ac:dyDescent="0.3">
      <c r="A163" s="4">
        <v>218</v>
      </c>
      <c r="B163" s="4" t="s">
        <v>43</v>
      </c>
      <c r="C163" s="4">
        <v>27</v>
      </c>
      <c r="D163" s="4" t="s">
        <v>45</v>
      </c>
      <c r="E163" s="4" t="s">
        <v>47</v>
      </c>
      <c r="F163" s="4">
        <v>2024</v>
      </c>
      <c r="G163" s="4" t="s">
        <v>43</v>
      </c>
      <c r="H163" s="4">
        <v>2</v>
      </c>
      <c r="I163" s="4">
        <v>2</v>
      </c>
      <c r="J163" s="4">
        <v>2</v>
      </c>
      <c r="K163" s="4">
        <v>1</v>
      </c>
      <c r="L163" s="4" t="str">
        <f t="shared" si="0"/>
        <v>NORMAL</v>
      </c>
      <c r="M163" s="4" t="str">
        <f t="shared" si="1"/>
        <v>LOW</v>
      </c>
      <c r="N163" s="4" t="str">
        <f t="shared" si="2"/>
        <v>NEW</v>
      </c>
      <c r="O163" s="4" t="str">
        <f t="shared" si="3"/>
        <v>MODERATE-WAIT</v>
      </c>
      <c r="P163" s="5" t="str">
        <f t="shared" si="4"/>
        <v>Low_Pressure</v>
      </c>
      <c r="Q163" s="4" t="str">
        <f t="shared" si="5"/>
        <v>DISENGAGED</v>
      </c>
      <c r="R163" s="4" t="str">
        <f t="shared" si="7"/>
        <v>LOW</v>
      </c>
      <c r="S163" s="2"/>
      <c r="T163" s="2"/>
      <c r="U163" s="2"/>
      <c r="V163" s="2"/>
      <c r="W163" s="2"/>
      <c r="X163" s="2"/>
      <c r="Y163" s="2"/>
      <c r="Z163" s="2"/>
    </row>
    <row r="164" spans="1:26" ht="16.8" x14ac:dyDescent="0.3">
      <c r="A164" s="4">
        <v>221</v>
      </c>
      <c r="B164" s="4" t="s">
        <v>43</v>
      </c>
      <c r="C164" s="4">
        <v>28</v>
      </c>
      <c r="D164" s="4" t="s">
        <v>45</v>
      </c>
      <c r="E164" s="4" t="s">
        <v>47</v>
      </c>
      <c r="F164" s="4">
        <v>2713</v>
      </c>
      <c r="G164" s="4" t="s">
        <v>43</v>
      </c>
      <c r="H164" s="4">
        <v>5</v>
      </c>
      <c r="I164" s="4">
        <v>0</v>
      </c>
      <c r="J164" s="4">
        <v>4</v>
      </c>
      <c r="K164" s="4">
        <v>1</v>
      </c>
      <c r="L164" s="4" t="str">
        <f t="shared" si="0"/>
        <v>NORMAL</v>
      </c>
      <c r="M164" s="4" t="str">
        <f t="shared" si="1"/>
        <v>LOW</v>
      </c>
      <c r="N164" s="4" t="str">
        <f t="shared" si="2"/>
        <v>MID</v>
      </c>
      <c r="O164" s="4" t="str">
        <f t="shared" si="3"/>
        <v>RECENTLY PROMOTED</v>
      </c>
      <c r="P164" s="5" t="str">
        <f t="shared" si="4"/>
        <v>Low_Pressure</v>
      </c>
      <c r="Q164" s="4" t="str">
        <f t="shared" si="5"/>
        <v>DISENGAGED</v>
      </c>
      <c r="R164" s="4" t="str">
        <f t="shared" si="7"/>
        <v>LOW</v>
      </c>
      <c r="S164" s="2"/>
      <c r="T164" s="2"/>
      <c r="U164" s="2"/>
      <c r="V164" s="2"/>
      <c r="W164" s="2"/>
      <c r="X164" s="2"/>
      <c r="Y164" s="2"/>
      <c r="Z164" s="2"/>
    </row>
    <row r="165" spans="1:26" ht="16.8" x14ac:dyDescent="0.3">
      <c r="A165" s="4">
        <v>223</v>
      </c>
      <c r="B165" s="4" t="s">
        <v>43</v>
      </c>
      <c r="C165" s="4">
        <v>57</v>
      </c>
      <c r="D165" s="4" t="s">
        <v>45</v>
      </c>
      <c r="E165" s="4" t="s">
        <v>54</v>
      </c>
      <c r="F165" s="4">
        <v>9439</v>
      </c>
      <c r="G165" s="4" t="s">
        <v>35</v>
      </c>
      <c r="H165" s="4">
        <v>5</v>
      </c>
      <c r="I165" s="4">
        <v>1</v>
      </c>
      <c r="J165" s="4">
        <v>4</v>
      </c>
      <c r="K165" s="4">
        <v>1</v>
      </c>
      <c r="L165" s="4" t="str">
        <f t="shared" si="0"/>
        <v>NORMAL</v>
      </c>
      <c r="M165" s="4" t="str">
        <f t="shared" si="1"/>
        <v>MEDIUM</v>
      </c>
      <c r="N165" s="4" t="str">
        <f t="shared" si="2"/>
        <v>MID</v>
      </c>
      <c r="O165" s="4" t="str">
        <f t="shared" si="3"/>
        <v>RECENTLY PROMOTED</v>
      </c>
      <c r="P165" s="5" t="str">
        <f t="shared" si="4"/>
        <v>High_Pressure</v>
      </c>
      <c r="Q165" s="4" t="str">
        <f t="shared" si="5"/>
        <v>DISENGAGED</v>
      </c>
      <c r="R165" s="4" t="str">
        <f t="shared" si="7"/>
        <v>LOW</v>
      </c>
      <c r="S165" s="2"/>
      <c r="T165" s="2"/>
      <c r="U165" s="2"/>
      <c r="V165" s="2"/>
      <c r="W165" s="2"/>
      <c r="X165" s="2"/>
      <c r="Y165" s="2"/>
      <c r="Z165" s="2"/>
    </row>
    <row r="166" spans="1:26" ht="16.8" x14ac:dyDescent="0.3">
      <c r="A166" s="4">
        <v>224</v>
      </c>
      <c r="B166" s="4" t="s">
        <v>43</v>
      </c>
      <c r="C166" s="4">
        <v>27</v>
      </c>
      <c r="D166" s="4" t="s">
        <v>45</v>
      </c>
      <c r="E166" s="4" t="s">
        <v>47</v>
      </c>
      <c r="F166" s="4">
        <v>2566</v>
      </c>
      <c r="G166" s="4" t="s">
        <v>35</v>
      </c>
      <c r="H166" s="4">
        <v>1</v>
      </c>
      <c r="I166" s="4">
        <v>0</v>
      </c>
      <c r="J166" s="4">
        <v>3</v>
      </c>
      <c r="K166" s="4">
        <v>2</v>
      </c>
      <c r="L166" s="4" t="str">
        <f t="shared" si="0"/>
        <v>NORMAL</v>
      </c>
      <c r="M166" s="4" t="str">
        <f t="shared" si="1"/>
        <v>LOW</v>
      </c>
      <c r="N166" s="4" t="str">
        <f t="shared" si="2"/>
        <v>NEW</v>
      </c>
      <c r="O166" s="4" t="str">
        <f t="shared" si="3"/>
        <v>RECENTLY PROMOTED</v>
      </c>
      <c r="P166" s="5" t="str">
        <f t="shared" si="4"/>
        <v>High_Pressure</v>
      </c>
      <c r="Q166" s="4" t="str">
        <f t="shared" si="5"/>
        <v>DISENGAGED</v>
      </c>
      <c r="R166" s="4" t="str">
        <f t="shared" si="7"/>
        <v>LOW</v>
      </c>
      <c r="S166" s="2"/>
      <c r="T166" s="2"/>
      <c r="U166" s="2"/>
      <c r="V166" s="2"/>
      <c r="W166" s="2"/>
      <c r="X166" s="2"/>
      <c r="Y166" s="2"/>
      <c r="Z166" s="2"/>
    </row>
    <row r="167" spans="1:26" ht="16.8" x14ac:dyDescent="0.3">
      <c r="A167" s="4">
        <v>226</v>
      </c>
      <c r="B167" s="4" t="s">
        <v>43</v>
      </c>
      <c r="C167" s="4">
        <v>50</v>
      </c>
      <c r="D167" s="4" t="s">
        <v>45</v>
      </c>
      <c r="E167" s="4" t="s">
        <v>56</v>
      </c>
      <c r="F167" s="4">
        <v>19926</v>
      </c>
      <c r="G167" s="4" t="s">
        <v>43</v>
      </c>
      <c r="H167" s="4">
        <v>5</v>
      </c>
      <c r="I167" s="4">
        <v>4</v>
      </c>
      <c r="J167" s="4">
        <v>2</v>
      </c>
      <c r="K167" s="4">
        <v>3</v>
      </c>
      <c r="L167" s="4" t="str">
        <f t="shared" si="0"/>
        <v>NORMAL</v>
      </c>
      <c r="M167" s="4" t="str">
        <f t="shared" si="1"/>
        <v>MEDIUM</v>
      </c>
      <c r="N167" s="4" t="str">
        <f t="shared" si="2"/>
        <v>MID</v>
      </c>
      <c r="O167" s="4" t="str">
        <f t="shared" si="3"/>
        <v>STAGNANT</v>
      </c>
      <c r="P167" s="5" t="str">
        <f t="shared" si="4"/>
        <v>Medium_Pressure</v>
      </c>
      <c r="Q167" s="4" t="str">
        <f t="shared" si="5"/>
        <v>DISENGAGED</v>
      </c>
      <c r="R167" s="4" t="str">
        <f t="shared" si="7"/>
        <v>LOW</v>
      </c>
      <c r="S167" s="2"/>
      <c r="T167" s="2"/>
      <c r="U167" s="2"/>
      <c r="V167" s="2"/>
      <c r="W167" s="2"/>
      <c r="X167" s="2"/>
      <c r="Y167" s="2"/>
      <c r="Z167" s="2"/>
    </row>
    <row r="168" spans="1:26" ht="16.8" x14ac:dyDescent="0.3">
      <c r="A168" s="4">
        <v>227</v>
      </c>
      <c r="B168" s="4" t="s">
        <v>43</v>
      </c>
      <c r="C168" s="4">
        <v>41</v>
      </c>
      <c r="D168" s="4" t="s">
        <v>45</v>
      </c>
      <c r="E168" s="4" t="s">
        <v>47</v>
      </c>
      <c r="F168" s="4">
        <v>2451</v>
      </c>
      <c r="G168" s="4" t="s">
        <v>43</v>
      </c>
      <c r="H168" s="4">
        <v>9</v>
      </c>
      <c r="I168" s="4">
        <v>1</v>
      </c>
      <c r="J168" s="4">
        <v>3</v>
      </c>
      <c r="K168" s="4">
        <v>3</v>
      </c>
      <c r="L168" s="4" t="str">
        <f t="shared" si="0"/>
        <v>NORMAL</v>
      </c>
      <c r="M168" s="4" t="str">
        <f t="shared" si="1"/>
        <v>LOW</v>
      </c>
      <c r="N168" s="4" t="str">
        <f t="shared" si="2"/>
        <v>SENIOR</v>
      </c>
      <c r="O168" s="4" t="str">
        <f t="shared" si="3"/>
        <v>RECENTLY PROMOTED</v>
      </c>
      <c r="P168" s="5" t="str">
        <f t="shared" si="4"/>
        <v>Medium_Pressure</v>
      </c>
      <c r="Q168" s="4" t="str">
        <f t="shared" si="5"/>
        <v>HIGHLY_ENGAGED</v>
      </c>
      <c r="R168" s="4" t="str">
        <f t="shared" si="7"/>
        <v>LOW</v>
      </c>
      <c r="S168" s="2"/>
      <c r="T168" s="2"/>
      <c r="U168" s="2"/>
      <c r="V168" s="2"/>
      <c r="W168" s="2"/>
      <c r="X168" s="2"/>
      <c r="Y168" s="2"/>
      <c r="Z168" s="2"/>
    </row>
    <row r="169" spans="1:26" ht="16.8" x14ac:dyDescent="0.3">
      <c r="A169" s="4">
        <v>228</v>
      </c>
      <c r="B169" s="4" t="s">
        <v>43</v>
      </c>
      <c r="C169" s="4">
        <v>30</v>
      </c>
      <c r="D169" s="4" t="s">
        <v>37</v>
      </c>
      <c r="E169" s="4" t="s">
        <v>40</v>
      </c>
      <c r="F169" s="4">
        <v>9419</v>
      </c>
      <c r="G169" s="4" t="s">
        <v>43</v>
      </c>
      <c r="H169" s="4">
        <v>10</v>
      </c>
      <c r="I169" s="4">
        <v>7</v>
      </c>
      <c r="J169" s="4">
        <v>4</v>
      </c>
      <c r="K169" s="4">
        <v>3</v>
      </c>
      <c r="L169" s="4" t="str">
        <f t="shared" si="0"/>
        <v>NORMAL</v>
      </c>
      <c r="M169" s="4" t="str">
        <f t="shared" si="1"/>
        <v>MEDIUM</v>
      </c>
      <c r="N169" s="4" t="str">
        <f t="shared" si="2"/>
        <v>SENIOR</v>
      </c>
      <c r="O169" s="4" t="str">
        <f t="shared" si="3"/>
        <v>STAGNANT</v>
      </c>
      <c r="P169" s="5" t="str">
        <f t="shared" si="4"/>
        <v>Medium_Pressure</v>
      </c>
      <c r="Q169" s="4" t="str">
        <f t="shared" si="5"/>
        <v>HIGHLY_ENGAGED</v>
      </c>
      <c r="R169" s="4" t="str">
        <f t="shared" si="7"/>
        <v>LOW</v>
      </c>
      <c r="S169" s="2"/>
      <c r="T169" s="2"/>
      <c r="U169" s="2"/>
      <c r="V169" s="2"/>
      <c r="W169" s="2"/>
      <c r="X169" s="2"/>
      <c r="Y169" s="2"/>
      <c r="Z169" s="2"/>
    </row>
    <row r="170" spans="1:26" ht="16.8" x14ac:dyDescent="0.3">
      <c r="A170" s="4">
        <v>230</v>
      </c>
      <c r="B170" s="4" t="s">
        <v>43</v>
      </c>
      <c r="C170" s="4">
        <v>38</v>
      </c>
      <c r="D170" s="4" t="s">
        <v>37</v>
      </c>
      <c r="E170" s="4" t="s">
        <v>40</v>
      </c>
      <c r="F170" s="4">
        <v>8686</v>
      </c>
      <c r="G170" s="4" t="s">
        <v>43</v>
      </c>
      <c r="H170" s="4">
        <v>8</v>
      </c>
      <c r="I170" s="4">
        <v>0</v>
      </c>
      <c r="J170" s="4">
        <v>4</v>
      </c>
      <c r="K170" s="4">
        <v>4</v>
      </c>
      <c r="L170" s="4" t="str">
        <f t="shared" si="0"/>
        <v>NORMAL</v>
      </c>
      <c r="M170" s="4" t="str">
        <f t="shared" si="1"/>
        <v>HIGH</v>
      </c>
      <c r="N170" s="4" t="str">
        <f t="shared" si="2"/>
        <v>SENIOR</v>
      </c>
      <c r="O170" s="4" t="str">
        <f t="shared" si="3"/>
        <v>RECENTLY PROMOTED</v>
      </c>
      <c r="P170" s="5" t="str">
        <f t="shared" si="4"/>
        <v>Low_Pressure</v>
      </c>
      <c r="Q170" s="4" t="str">
        <f t="shared" si="5"/>
        <v>HIGHLY_ENGAGED</v>
      </c>
      <c r="R170" s="4" t="str">
        <f t="shared" si="7"/>
        <v>LOW</v>
      </c>
      <c r="S170" s="2"/>
      <c r="T170" s="2"/>
      <c r="U170" s="2"/>
      <c r="V170" s="2"/>
      <c r="W170" s="2"/>
      <c r="X170" s="2"/>
      <c r="Y170" s="2"/>
      <c r="Z170" s="2"/>
    </row>
    <row r="171" spans="1:26" ht="16.8" x14ac:dyDescent="0.3">
      <c r="A171" s="4">
        <v>231</v>
      </c>
      <c r="B171" s="4" t="s">
        <v>43</v>
      </c>
      <c r="C171" s="4">
        <v>32</v>
      </c>
      <c r="D171" s="4" t="s">
        <v>45</v>
      </c>
      <c r="E171" s="4" t="s">
        <v>47</v>
      </c>
      <c r="F171" s="4">
        <v>3038</v>
      </c>
      <c r="G171" s="4" t="s">
        <v>43</v>
      </c>
      <c r="H171" s="4">
        <v>5</v>
      </c>
      <c r="I171" s="4">
        <v>1</v>
      </c>
      <c r="J171" s="4">
        <v>3</v>
      </c>
      <c r="K171" s="4">
        <v>3</v>
      </c>
      <c r="L171" s="4" t="str">
        <f t="shared" si="0"/>
        <v>NORMAL</v>
      </c>
      <c r="M171" s="4" t="str">
        <f t="shared" si="1"/>
        <v>LOW</v>
      </c>
      <c r="N171" s="4" t="str">
        <f t="shared" si="2"/>
        <v>MID</v>
      </c>
      <c r="O171" s="4" t="str">
        <f t="shared" si="3"/>
        <v>RECENTLY PROMOTED</v>
      </c>
      <c r="P171" s="5" t="str">
        <f t="shared" si="4"/>
        <v>Medium_Pressure</v>
      </c>
      <c r="Q171" s="4" t="str">
        <f t="shared" si="5"/>
        <v>HIGHLY_ENGAGED</v>
      </c>
      <c r="R171" s="4" t="str">
        <f t="shared" si="7"/>
        <v>LOW</v>
      </c>
      <c r="S171" s="2"/>
      <c r="T171" s="2"/>
      <c r="U171" s="2"/>
      <c r="V171" s="2"/>
      <c r="W171" s="2"/>
      <c r="X171" s="2"/>
      <c r="Y171" s="2"/>
      <c r="Z171" s="2"/>
    </row>
    <row r="172" spans="1:26" ht="16.8" x14ac:dyDescent="0.3">
      <c r="A172" s="4">
        <v>233</v>
      </c>
      <c r="B172" s="4" t="s">
        <v>43</v>
      </c>
      <c r="C172" s="4">
        <v>27</v>
      </c>
      <c r="D172" s="4" t="s">
        <v>45</v>
      </c>
      <c r="E172" s="4" t="s">
        <v>47</v>
      </c>
      <c r="F172" s="4">
        <v>3058</v>
      </c>
      <c r="G172" s="4" t="s">
        <v>35</v>
      </c>
      <c r="H172" s="4">
        <v>5</v>
      </c>
      <c r="I172" s="4">
        <v>1</v>
      </c>
      <c r="J172" s="4">
        <v>2</v>
      </c>
      <c r="K172" s="4">
        <v>2</v>
      </c>
      <c r="L172" s="4" t="str">
        <f t="shared" si="0"/>
        <v>NORMAL</v>
      </c>
      <c r="M172" s="4" t="str">
        <f t="shared" si="1"/>
        <v>LOW</v>
      </c>
      <c r="N172" s="4" t="str">
        <f t="shared" si="2"/>
        <v>MID</v>
      </c>
      <c r="O172" s="4" t="str">
        <f t="shared" si="3"/>
        <v>RECENTLY PROMOTED</v>
      </c>
      <c r="P172" s="5" t="str">
        <f t="shared" si="4"/>
        <v>High_Pressure</v>
      </c>
      <c r="Q172" s="4" t="str">
        <f t="shared" si="5"/>
        <v>DISENGAGED</v>
      </c>
      <c r="R172" s="4" t="str">
        <f t="shared" si="7"/>
        <v>LOW</v>
      </c>
      <c r="S172" s="2"/>
      <c r="T172" s="2"/>
      <c r="U172" s="2"/>
      <c r="V172" s="2"/>
      <c r="W172" s="2"/>
      <c r="X172" s="2"/>
      <c r="Y172" s="2"/>
      <c r="Z172" s="2"/>
    </row>
    <row r="173" spans="1:26" ht="16.8" x14ac:dyDescent="0.3">
      <c r="A173" s="4">
        <v>235</v>
      </c>
      <c r="B173" s="4" t="s">
        <v>35</v>
      </c>
      <c r="C173" s="4">
        <v>19</v>
      </c>
      <c r="D173" s="4" t="s">
        <v>37</v>
      </c>
      <c r="E173" s="4" t="s">
        <v>57</v>
      </c>
      <c r="F173" s="4">
        <v>2325</v>
      </c>
      <c r="G173" s="4" t="s">
        <v>43</v>
      </c>
      <c r="H173" s="4">
        <v>0</v>
      </c>
      <c r="I173" s="4">
        <v>0</v>
      </c>
      <c r="J173" s="4">
        <v>1</v>
      </c>
      <c r="K173" s="4">
        <v>4</v>
      </c>
      <c r="L173" s="4" t="str">
        <f t="shared" si="0"/>
        <v>NORMAL</v>
      </c>
      <c r="M173" s="4" t="str">
        <f t="shared" si="1"/>
        <v>LOW</v>
      </c>
      <c r="N173" s="4" t="str">
        <f t="shared" si="2"/>
        <v>NEW</v>
      </c>
      <c r="O173" s="4" t="str">
        <f t="shared" si="3"/>
        <v>RECENTLY PROMOTED</v>
      </c>
      <c r="P173" s="5" t="str">
        <f t="shared" si="4"/>
        <v>Low_Pressure</v>
      </c>
      <c r="Q173" s="4" t="str">
        <f t="shared" si="5"/>
        <v>DISENGAGED</v>
      </c>
      <c r="R173" s="4" t="str">
        <f t="shared" si="7"/>
        <v>LOW</v>
      </c>
      <c r="S173" s="2"/>
      <c r="T173" s="2"/>
      <c r="U173" s="2"/>
      <c r="V173" s="2"/>
      <c r="W173" s="2"/>
      <c r="X173" s="2"/>
      <c r="Y173" s="2"/>
      <c r="Z173" s="2"/>
    </row>
    <row r="174" spans="1:26" ht="16.8" x14ac:dyDescent="0.3">
      <c r="A174" s="4">
        <v>238</v>
      </c>
      <c r="B174" s="4" t="s">
        <v>43</v>
      </c>
      <c r="C174" s="4">
        <v>36</v>
      </c>
      <c r="D174" s="4" t="s">
        <v>45</v>
      </c>
      <c r="E174" s="4" t="s">
        <v>50</v>
      </c>
      <c r="F174" s="4">
        <v>2088</v>
      </c>
      <c r="G174" s="4" t="s">
        <v>43</v>
      </c>
      <c r="H174" s="4">
        <v>8</v>
      </c>
      <c r="I174" s="4">
        <v>7</v>
      </c>
      <c r="J174" s="4">
        <v>2</v>
      </c>
      <c r="K174" s="4">
        <v>2</v>
      </c>
      <c r="L174" s="4" t="str">
        <f t="shared" si="0"/>
        <v>NORMAL</v>
      </c>
      <c r="M174" s="4" t="str">
        <f t="shared" si="1"/>
        <v>LOW</v>
      </c>
      <c r="N174" s="4" t="str">
        <f t="shared" si="2"/>
        <v>SENIOR</v>
      </c>
      <c r="O174" s="4" t="str">
        <f t="shared" si="3"/>
        <v>STAGNANT</v>
      </c>
      <c r="P174" s="5" t="str">
        <f t="shared" si="4"/>
        <v>Low_Pressure</v>
      </c>
      <c r="Q174" s="4" t="str">
        <f t="shared" si="5"/>
        <v>DISENGAGED</v>
      </c>
      <c r="R174" s="4" t="str">
        <f t="shared" si="7"/>
        <v>LOW</v>
      </c>
      <c r="S174" s="2"/>
      <c r="T174" s="2"/>
      <c r="U174" s="2"/>
      <c r="V174" s="2"/>
      <c r="W174" s="2"/>
      <c r="X174" s="2"/>
      <c r="Y174" s="2"/>
      <c r="Z174" s="2"/>
    </row>
    <row r="175" spans="1:26" ht="16.8" x14ac:dyDescent="0.3">
      <c r="A175" s="4">
        <v>239</v>
      </c>
      <c r="B175" s="4" t="s">
        <v>43</v>
      </c>
      <c r="C175" s="4">
        <v>30</v>
      </c>
      <c r="D175" s="4" t="s">
        <v>45</v>
      </c>
      <c r="E175" s="4" t="s">
        <v>50</v>
      </c>
      <c r="F175" s="4">
        <v>3072</v>
      </c>
      <c r="G175" s="4" t="s">
        <v>43</v>
      </c>
      <c r="H175" s="4">
        <v>12</v>
      </c>
      <c r="I175" s="4">
        <v>6</v>
      </c>
      <c r="J175" s="4">
        <v>1</v>
      </c>
      <c r="K175" s="4">
        <v>3</v>
      </c>
      <c r="L175" s="4" t="str">
        <f t="shared" si="0"/>
        <v>NORMAL</v>
      </c>
      <c r="M175" s="4" t="str">
        <f t="shared" si="1"/>
        <v>LOW</v>
      </c>
      <c r="N175" s="4" t="str">
        <f t="shared" si="2"/>
        <v>SENIOR</v>
      </c>
      <c r="O175" s="4" t="str">
        <f t="shared" si="3"/>
        <v>STAGNANT</v>
      </c>
      <c r="P175" s="5" t="str">
        <f t="shared" si="4"/>
        <v>Medium_Pressure</v>
      </c>
      <c r="Q175" s="4" t="str">
        <f t="shared" si="5"/>
        <v>DISENGAGED</v>
      </c>
      <c r="R175" s="4" t="str">
        <f t="shared" si="7"/>
        <v>LOW</v>
      </c>
      <c r="S175" s="2"/>
      <c r="T175" s="2"/>
      <c r="U175" s="2"/>
      <c r="V175" s="2"/>
      <c r="W175" s="2"/>
      <c r="X175" s="2"/>
      <c r="Y175" s="2"/>
      <c r="Z175" s="2"/>
    </row>
    <row r="176" spans="1:26" ht="16.8" x14ac:dyDescent="0.3">
      <c r="A176" s="4">
        <v>240</v>
      </c>
      <c r="B176" s="4" t="s">
        <v>43</v>
      </c>
      <c r="C176" s="4">
        <v>45</v>
      </c>
      <c r="D176" s="4" t="s">
        <v>37</v>
      </c>
      <c r="E176" s="4" t="s">
        <v>40</v>
      </c>
      <c r="F176" s="4">
        <v>5006</v>
      </c>
      <c r="G176" s="4" t="s">
        <v>35</v>
      </c>
      <c r="H176" s="4">
        <v>5</v>
      </c>
      <c r="I176" s="4">
        <v>0</v>
      </c>
      <c r="J176" s="4">
        <v>1</v>
      </c>
      <c r="K176" s="4">
        <v>4</v>
      </c>
      <c r="L176" s="4" t="str">
        <f t="shared" si="0"/>
        <v>NORMAL</v>
      </c>
      <c r="M176" s="4" t="str">
        <f t="shared" si="1"/>
        <v>HIGH</v>
      </c>
      <c r="N176" s="4" t="str">
        <f t="shared" si="2"/>
        <v>MID</v>
      </c>
      <c r="O176" s="4" t="str">
        <f t="shared" si="3"/>
        <v>RECENTLY PROMOTED</v>
      </c>
      <c r="P176" s="5" t="str">
        <f t="shared" si="4"/>
        <v>Medium_Pressure</v>
      </c>
      <c r="Q176" s="4" t="str">
        <f t="shared" si="5"/>
        <v>DISENGAGED</v>
      </c>
      <c r="R176" s="4" t="str">
        <f t="shared" si="7"/>
        <v>LOW</v>
      </c>
      <c r="S176" s="2"/>
      <c r="T176" s="2"/>
      <c r="U176" s="2"/>
      <c r="V176" s="2"/>
      <c r="W176" s="2"/>
      <c r="X176" s="2"/>
      <c r="Y176" s="2"/>
      <c r="Z176" s="2"/>
    </row>
    <row r="177" spans="1:26" ht="16.8" x14ac:dyDescent="0.3">
      <c r="A177" s="4">
        <v>241</v>
      </c>
      <c r="B177" s="4" t="s">
        <v>43</v>
      </c>
      <c r="C177" s="4">
        <v>56</v>
      </c>
      <c r="D177" s="4" t="s">
        <v>45</v>
      </c>
      <c r="E177" s="4" t="s">
        <v>47</v>
      </c>
      <c r="F177" s="4">
        <v>4257</v>
      </c>
      <c r="G177" s="4" t="s">
        <v>35</v>
      </c>
      <c r="H177" s="4">
        <v>2</v>
      </c>
      <c r="I177" s="4">
        <v>2</v>
      </c>
      <c r="J177" s="4">
        <v>1</v>
      </c>
      <c r="K177" s="4">
        <v>3</v>
      </c>
      <c r="L177" s="4" t="str">
        <f t="shared" si="0"/>
        <v>NORMAL</v>
      </c>
      <c r="M177" s="4" t="str">
        <f t="shared" si="1"/>
        <v>HIGH</v>
      </c>
      <c r="N177" s="4" t="str">
        <f t="shared" si="2"/>
        <v>NEW</v>
      </c>
      <c r="O177" s="4" t="str">
        <f t="shared" si="3"/>
        <v>MODERATE-WAIT</v>
      </c>
      <c r="P177" s="5" t="str">
        <f t="shared" si="4"/>
        <v>Medium_Pressure</v>
      </c>
      <c r="Q177" s="4" t="str">
        <f t="shared" si="5"/>
        <v>DISENGAGED</v>
      </c>
      <c r="R177" s="4" t="str">
        <f t="shared" si="7"/>
        <v>LOW</v>
      </c>
      <c r="S177" s="2"/>
      <c r="T177" s="2"/>
      <c r="U177" s="2"/>
      <c r="V177" s="2"/>
      <c r="W177" s="2"/>
      <c r="X177" s="2"/>
      <c r="Y177" s="2"/>
      <c r="Z177" s="2"/>
    </row>
    <row r="178" spans="1:26" ht="16.8" x14ac:dyDescent="0.3">
      <c r="A178" s="4">
        <v>242</v>
      </c>
      <c r="B178" s="4" t="s">
        <v>43</v>
      </c>
      <c r="C178" s="4">
        <v>33</v>
      </c>
      <c r="D178" s="4" t="s">
        <v>45</v>
      </c>
      <c r="E178" s="4" t="s">
        <v>47</v>
      </c>
      <c r="F178" s="4">
        <v>2500</v>
      </c>
      <c r="G178" s="4" t="s">
        <v>43</v>
      </c>
      <c r="H178" s="4">
        <v>3</v>
      </c>
      <c r="I178" s="4">
        <v>0</v>
      </c>
      <c r="J178" s="4">
        <v>4</v>
      </c>
      <c r="K178" s="4">
        <v>4</v>
      </c>
      <c r="L178" s="4" t="str">
        <f t="shared" si="0"/>
        <v>NORMAL</v>
      </c>
      <c r="M178" s="4" t="str">
        <f t="shared" si="1"/>
        <v>LOW</v>
      </c>
      <c r="N178" s="4" t="str">
        <f t="shared" si="2"/>
        <v>MID</v>
      </c>
      <c r="O178" s="4" t="str">
        <f t="shared" si="3"/>
        <v>RECENTLY PROMOTED</v>
      </c>
      <c r="P178" s="5" t="str">
        <f t="shared" si="4"/>
        <v>Low_Pressure</v>
      </c>
      <c r="Q178" s="4" t="str">
        <f t="shared" si="5"/>
        <v>HIGHLY_ENGAGED</v>
      </c>
      <c r="R178" s="4" t="str">
        <f t="shared" si="7"/>
        <v>LOW</v>
      </c>
      <c r="S178" s="2"/>
      <c r="T178" s="2"/>
      <c r="U178" s="2"/>
      <c r="V178" s="2"/>
      <c r="W178" s="2"/>
      <c r="X178" s="2"/>
      <c r="Y178" s="2"/>
      <c r="Z178" s="2"/>
    </row>
    <row r="179" spans="1:26" ht="16.8" x14ac:dyDescent="0.3">
      <c r="A179" s="4">
        <v>243</v>
      </c>
      <c r="B179" s="4" t="s">
        <v>35</v>
      </c>
      <c r="C179" s="4">
        <v>19</v>
      </c>
      <c r="D179" s="4" t="s">
        <v>45</v>
      </c>
      <c r="E179" s="4" t="s">
        <v>50</v>
      </c>
      <c r="F179" s="4">
        <v>1102</v>
      </c>
      <c r="G179" s="4" t="s">
        <v>43</v>
      </c>
      <c r="H179" s="4">
        <v>1</v>
      </c>
      <c r="I179" s="4">
        <v>1</v>
      </c>
      <c r="J179" s="4">
        <v>4</v>
      </c>
      <c r="K179" s="4">
        <v>2</v>
      </c>
      <c r="L179" s="4" t="str">
        <f t="shared" si="0"/>
        <v>NORMAL</v>
      </c>
      <c r="M179" s="4" t="str">
        <f t="shared" si="1"/>
        <v>LOW</v>
      </c>
      <c r="N179" s="4" t="str">
        <f t="shared" si="2"/>
        <v>NEW</v>
      </c>
      <c r="O179" s="4" t="str">
        <f t="shared" si="3"/>
        <v>RECENTLY PROMOTED</v>
      </c>
      <c r="P179" s="5" t="str">
        <f t="shared" si="4"/>
        <v>Low_Pressure</v>
      </c>
      <c r="Q179" s="4" t="str">
        <f t="shared" si="5"/>
        <v>DISENGAGED</v>
      </c>
      <c r="R179" s="4" t="str">
        <f t="shared" si="7"/>
        <v>LOW</v>
      </c>
      <c r="S179" s="2"/>
      <c r="T179" s="2"/>
      <c r="U179" s="2"/>
      <c r="V179" s="2"/>
      <c r="W179" s="2"/>
      <c r="X179" s="2"/>
      <c r="Y179" s="2"/>
      <c r="Z179" s="2"/>
    </row>
    <row r="180" spans="1:26" ht="16.8" x14ac:dyDescent="0.3">
      <c r="A180" s="4">
        <v>244</v>
      </c>
      <c r="B180" s="4" t="s">
        <v>43</v>
      </c>
      <c r="C180" s="4">
        <v>46</v>
      </c>
      <c r="D180" s="4" t="s">
        <v>37</v>
      </c>
      <c r="E180" s="4" t="s">
        <v>40</v>
      </c>
      <c r="F180" s="4">
        <v>10453</v>
      </c>
      <c r="G180" s="4" t="s">
        <v>43</v>
      </c>
      <c r="H180" s="4">
        <v>24</v>
      </c>
      <c r="I180" s="4">
        <v>15</v>
      </c>
      <c r="J180" s="4">
        <v>1</v>
      </c>
      <c r="K180" s="4">
        <v>3</v>
      </c>
      <c r="L180" s="4" t="str">
        <f t="shared" si="0"/>
        <v>NORMAL</v>
      </c>
      <c r="M180" s="4" t="str">
        <f t="shared" si="1"/>
        <v>MEDIUM</v>
      </c>
      <c r="N180" s="4" t="str">
        <f t="shared" si="2"/>
        <v>SENIOR</v>
      </c>
      <c r="O180" s="4" t="str">
        <f t="shared" si="3"/>
        <v>STAGNANT</v>
      </c>
      <c r="P180" s="5" t="str">
        <f t="shared" si="4"/>
        <v>Medium_Pressure</v>
      </c>
      <c r="Q180" s="4" t="str">
        <f t="shared" si="5"/>
        <v>DISENGAGED</v>
      </c>
      <c r="R180" s="4" t="str">
        <f t="shared" si="7"/>
        <v>LOW</v>
      </c>
      <c r="S180" s="2"/>
      <c r="T180" s="2"/>
      <c r="U180" s="2"/>
      <c r="V180" s="2"/>
      <c r="W180" s="2"/>
      <c r="X180" s="2"/>
      <c r="Y180" s="2"/>
      <c r="Z180" s="2"/>
    </row>
    <row r="181" spans="1:26" ht="16.8" x14ac:dyDescent="0.3">
      <c r="A181" s="4">
        <v>245</v>
      </c>
      <c r="B181" s="4" t="s">
        <v>43</v>
      </c>
      <c r="C181" s="4">
        <v>38</v>
      </c>
      <c r="D181" s="4" t="s">
        <v>45</v>
      </c>
      <c r="E181" s="4" t="s">
        <v>50</v>
      </c>
      <c r="F181" s="4">
        <v>2288</v>
      </c>
      <c r="G181" s="4" t="s">
        <v>43</v>
      </c>
      <c r="H181" s="4">
        <v>2</v>
      </c>
      <c r="I181" s="4">
        <v>2</v>
      </c>
      <c r="J181" s="4">
        <v>4</v>
      </c>
      <c r="K181" s="4">
        <v>3</v>
      </c>
      <c r="L181" s="4" t="str">
        <f t="shared" si="0"/>
        <v>NORMAL</v>
      </c>
      <c r="M181" s="4" t="str">
        <f t="shared" si="1"/>
        <v>LOW</v>
      </c>
      <c r="N181" s="4" t="str">
        <f t="shared" si="2"/>
        <v>NEW</v>
      </c>
      <c r="O181" s="4" t="str">
        <f t="shared" si="3"/>
        <v>MODERATE-WAIT</v>
      </c>
      <c r="P181" s="5" t="str">
        <f t="shared" si="4"/>
        <v>Medium_Pressure</v>
      </c>
      <c r="Q181" s="4" t="str">
        <f t="shared" si="5"/>
        <v>HIGHLY_ENGAGED</v>
      </c>
      <c r="R181" s="4" t="str">
        <f t="shared" si="7"/>
        <v>LOW</v>
      </c>
      <c r="S181" s="2"/>
      <c r="T181" s="2"/>
      <c r="U181" s="2"/>
      <c r="V181" s="2"/>
      <c r="W181" s="2"/>
      <c r="X181" s="2"/>
      <c r="Y181" s="2"/>
      <c r="Z181" s="2"/>
    </row>
    <row r="182" spans="1:26" ht="16.8" x14ac:dyDescent="0.3">
      <c r="A182" s="4">
        <v>246</v>
      </c>
      <c r="B182" s="4" t="s">
        <v>43</v>
      </c>
      <c r="C182" s="4">
        <v>31</v>
      </c>
      <c r="D182" s="4" t="s">
        <v>45</v>
      </c>
      <c r="E182" s="4" t="s">
        <v>47</v>
      </c>
      <c r="F182" s="4">
        <v>3929</v>
      </c>
      <c r="G182" s="4" t="s">
        <v>35</v>
      </c>
      <c r="H182" s="4">
        <v>4</v>
      </c>
      <c r="I182" s="4">
        <v>0</v>
      </c>
      <c r="J182" s="4">
        <v>4</v>
      </c>
      <c r="K182" s="4">
        <v>3</v>
      </c>
      <c r="L182" s="4" t="str">
        <f t="shared" si="0"/>
        <v>NORMAL</v>
      </c>
      <c r="M182" s="4" t="str">
        <f t="shared" si="1"/>
        <v>LOW</v>
      </c>
      <c r="N182" s="4" t="str">
        <f t="shared" si="2"/>
        <v>MID</v>
      </c>
      <c r="O182" s="4" t="str">
        <f t="shared" si="3"/>
        <v>RECENTLY PROMOTED</v>
      </c>
      <c r="P182" s="5" t="str">
        <f t="shared" si="4"/>
        <v>Medium_Pressure</v>
      </c>
      <c r="Q182" s="4" t="str">
        <f t="shared" si="5"/>
        <v>HIGHLY_ENGAGED</v>
      </c>
      <c r="R182" s="4" t="str">
        <f t="shared" si="7"/>
        <v>LOW</v>
      </c>
      <c r="S182" s="2"/>
      <c r="T182" s="2"/>
      <c r="U182" s="2"/>
      <c r="V182" s="2"/>
      <c r="W182" s="2"/>
      <c r="X182" s="2"/>
      <c r="Y182" s="2"/>
      <c r="Z182" s="2"/>
    </row>
    <row r="183" spans="1:26" ht="16.8" x14ac:dyDescent="0.3">
      <c r="A183" s="4">
        <v>247</v>
      </c>
      <c r="B183" s="4" t="s">
        <v>43</v>
      </c>
      <c r="C183" s="4">
        <v>34</v>
      </c>
      <c r="D183" s="4" t="s">
        <v>45</v>
      </c>
      <c r="E183" s="4" t="s">
        <v>47</v>
      </c>
      <c r="F183" s="4">
        <v>2311</v>
      </c>
      <c r="G183" s="4" t="s">
        <v>43</v>
      </c>
      <c r="H183" s="4">
        <v>3</v>
      </c>
      <c r="I183" s="4">
        <v>1</v>
      </c>
      <c r="J183" s="4">
        <v>2</v>
      </c>
      <c r="K183" s="4">
        <v>3</v>
      </c>
      <c r="L183" s="4" t="str">
        <f t="shared" si="0"/>
        <v>NORMAL</v>
      </c>
      <c r="M183" s="4" t="str">
        <f t="shared" si="1"/>
        <v>LOW</v>
      </c>
      <c r="N183" s="4" t="str">
        <f t="shared" si="2"/>
        <v>MID</v>
      </c>
      <c r="O183" s="4" t="str">
        <f t="shared" si="3"/>
        <v>RECENTLY PROMOTED</v>
      </c>
      <c r="P183" s="5" t="str">
        <f t="shared" si="4"/>
        <v>Medium_Pressure</v>
      </c>
      <c r="Q183" s="4" t="str">
        <f t="shared" si="5"/>
        <v>DISENGAGED</v>
      </c>
      <c r="R183" s="4" t="str">
        <f t="shared" si="7"/>
        <v>LOW</v>
      </c>
      <c r="S183" s="2"/>
      <c r="T183" s="2"/>
      <c r="U183" s="2"/>
      <c r="V183" s="2"/>
      <c r="W183" s="2"/>
      <c r="X183" s="2"/>
      <c r="Y183" s="2"/>
      <c r="Z183" s="2"/>
    </row>
    <row r="184" spans="1:26" ht="16.8" x14ac:dyDescent="0.3">
      <c r="A184" s="4">
        <v>248</v>
      </c>
      <c r="B184" s="4" t="s">
        <v>35</v>
      </c>
      <c r="C184" s="4">
        <v>41</v>
      </c>
      <c r="D184" s="4" t="s">
        <v>37</v>
      </c>
      <c r="E184" s="4" t="s">
        <v>57</v>
      </c>
      <c r="F184" s="4">
        <v>3140</v>
      </c>
      <c r="G184" s="4" t="s">
        <v>35</v>
      </c>
      <c r="H184" s="4">
        <v>4</v>
      </c>
      <c r="I184" s="4">
        <v>0</v>
      </c>
      <c r="J184" s="4">
        <v>2</v>
      </c>
      <c r="K184" s="4">
        <v>2</v>
      </c>
      <c r="L184" s="4" t="str">
        <f t="shared" si="0"/>
        <v>NORMAL</v>
      </c>
      <c r="M184" s="4" t="str">
        <f t="shared" si="1"/>
        <v>LOW</v>
      </c>
      <c r="N184" s="4" t="str">
        <f t="shared" si="2"/>
        <v>MID</v>
      </c>
      <c r="O184" s="4" t="str">
        <f t="shared" si="3"/>
        <v>RECENTLY PROMOTED</v>
      </c>
      <c r="P184" s="5" t="str">
        <f t="shared" si="4"/>
        <v>High_Pressure</v>
      </c>
      <c r="Q184" s="4" t="str">
        <f t="shared" si="5"/>
        <v>DISENGAGED</v>
      </c>
      <c r="R184" s="4" t="str">
        <f t="shared" si="7"/>
        <v>LOW</v>
      </c>
      <c r="S184" s="2"/>
      <c r="T184" s="2"/>
      <c r="U184" s="2"/>
      <c r="V184" s="2"/>
      <c r="W184" s="2"/>
      <c r="X184" s="2"/>
      <c r="Y184" s="2"/>
      <c r="Z184" s="2"/>
    </row>
    <row r="185" spans="1:26" ht="16.8" x14ac:dyDescent="0.3">
      <c r="A185" s="4">
        <v>249</v>
      </c>
      <c r="B185" s="4" t="s">
        <v>43</v>
      </c>
      <c r="C185" s="4">
        <v>50</v>
      </c>
      <c r="D185" s="4" t="s">
        <v>45</v>
      </c>
      <c r="E185" s="4" t="s">
        <v>50</v>
      </c>
      <c r="F185" s="4">
        <v>3690</v>
      </c>
      <c r="G185" s="4" t="s">
        <v>43</v>
      </c>
      <c r="H185" s="4">
        <v>3</v>
      </c>
      <c r="I185" s="4">
        <v>0</v>
      </c>
      <c r="J185" s="4">
        <v>3</v>
      </c>
      <c r="K185" s="4">
        <v>2</v>
      </c>
      <c r="L185" s="4" t="str">
        <f t="shared" si="0"/>
        <v>NORMAL</v>
      </c>
      <c r="M185" s="4" t="str">
        <f t="shared" si="1"/>
        <v>LOW</v>
      </c>
      <c r="N185" s="4" t="str">
        <f t="shared" si="2"/>
        <v>MID</v>
      </c>
      <c r="O185" s="4" t="str">
        <f t="shared" si="3"/>
        <v>RECENTLY PROMOTED</v>
      </c>
      <c r="P185" s="5" t="str">
        <f t="shared" si="4"/>
        <v>Low_Pressure</v>
      </c>
      <c r="Q185" s="4" t="str">
        <f t="shared" si="5"/>
        <v>DISENGAGED</v>
      </c>
      <c r="R185" s="4" t="str">
        <f t="shared" si="7"/>
        <v>LOW</v>
      </c>
      <c r="S185" s="2"/>
      <c r="T185" s="2"/>
      <c r="U185" s="2"/>
      <c r="V185" s="2"/>
      <c r="W185" s="2"/>
      <c r="X185" s="2"/>
      <c r="Y185" s="2"/>
      <c r="Z185" s="2"/>
    </row>
    <row r="186" spans="1:26" ht="16.8" x14ac:dyDescent="0.3">
      <c r="A186" s="4">
        <v>250</v>
      </c>
      <c r="B186" s="4" t="s">
        <v>43</v>
      </c>
      <c r="C186" s="4">
        <v>53</v>
      </c>
      <c r="D186" s="4" t="s">
        <v>45</v>
      </c>
      <c r="E186" s="4" t="s">
        <v>53</v>
      </c>
      <c r="F186" s="4">
        <v>4450</v>
      </c>
      <c r="G186" s="4" t="s">
        <v>43</v>
      </c>
      <c r="H186" s="4">
        <v>4</v>
      </c>
      <c r="I186" s="4">
        <v>1</v>
      </c>
      <c r="J186" s="4">
        <v>1</v>
      </c>
      <c r="K186" s="4">
        <v>3</v>
      </c>
      <c r="L186" s="4" t="str">
        <f t="shared" si="0"/>
        <v>NORMAL</v>
      </c>
      <c r="M186" s="4" t="str">
        <f t="shared" si="1"/>
        <v>HIGH</v>
      </c>
      <c r="N186" s="4" t="str">
        <f t="shared" si="2"/>
        <v>MID</v>
      </c>
      <c r="O186" s="4" t="str">
        <f t="shared" si="3"/>
        <v>RECENTLY PROMOTED</v>
      </c>
      <c r="P186" s="5" t="str">
        <f t="shared" si="4"/>
        <v>Medium_Pressure</v>
      </c>
      <c r="Q186" s="4" t="str">
        <f t="shared" si="5"/>
        <v>DISENGAGED</v>
      </c>
      <c r="R186" s="4" t="str">
        <f t="shared" si="7"/>
        <v>LOW</v>
      </c>
      <c r="S186" s="2"/>
      <c r="T186" s="2"/>
      <c r="U186" s="2"/>
      <c r="V186" s="2"/>
      <c r="W186" s="2"/>
      <c r="X186" s="2"/>
      <c r="Y186" s="2"/>
      <c r="Z186" s="2"/>
    </row>
    <row r="187" spans="1:26" ht="16.8" x14ac:dyDescent="0.3">
      <c r="A187" s="4">
        <v>252</v>
      </c>
      <c r="B187" s="4" t="s">
        <v>43</v>
      </c>
      <c r="C187" s="4">
        <v>33</v>
      </c>
      <c r="D187" s="4" t="s">
        <v>45</v>
      </c>
      <c r="E187" s="4" t="s">
        <v>47</v>
      </c>
      <c r="F187" s="4">
        <v>2756</v>
      </c>
      <c r="G187" s="4" t="s">
        <v>43</v>
      </c>
      <c r="H187" s="4">
        <v>8</v>
      </c>
      <c r="I187" s="4">
        <v>1</v>
      </c>
      <c r="J187" s="4">
        <v>2</v>
      </c>
      <c r="K187" s="4">
        <v>3</v>
      </c>
      <c r="L187" s="4" t="str">
        <f t="shared" si="0"/>
        <v>NORMAL</v>
      </c>
      <c r="M187" s="4" t="str">
        <f t="shared" si="1"/>
        <v>LOW</v>
      </c>
      <c r="N187" s="4" t="str">
        <f t="shared" si="2"/>
        <v>SENIOR</v>
      </c>
      <c r="O187" s="4" t="str">
        <f t="shared" si="3"/>
        <v>RECENTLY PROMOTED</v>
      </c>
      <c r="P187" s="5" t="str">
        <f t="shared" si="4"/>
        <v>Medium_Pressure</v>
      </c>
      <c r="Q187" s="4" t="str">
        <f t="shared" si="5"/>
        <v>DISENGAGED</v>
      </c>
      <c r="R187" s="4" t="str">
        <f t="shared" si="7"/>
        <v>LOW</v>
      </c>
      <c r="S187" s="2"/>
      <c r="T187" s="2"/>
      <c r="U187" s="2"/>
      <c r="V187" s="2"/>
      <c r="W187" s="2"/>
      <c r="X187" s="2"/>
      <c r="Y187" s="2"/>
      <c r="Z187" s="2"/>
    </row>
    <row r="188" spans="1:26" ht="16.8" x14ac:dyDescent="0.3">
      <c r="A188" s="4">
        <v>253</v>
      </c>
      <c r="B188" s="4" t="s">
        <v>43</v>
      </c>
      <c r="C188" s="4">
        <v>40</v>
      </c>
      <c r="D188" s="4" t="s">
        <v>45</v>
      </c>
      <c r="E188" s="4" t="s">
        <v>56</v>
      </c>
      <c r="F188" s="4">
        <v>19033</v>
      </c>
      <c r="G188" s="4" t="s">
        <v>43</v>
      </c>
      <c r="H188" s="4">
        <v>20</v>
      </c>
      <c r="I188" s="4">
        <v>9</v>
      </c>
      <c r="J188" s="4">
        <v>3</v>
      </c>
      <c r="K188" s="4">
        <v>3</v>
      </c>
      <c r="L188" s="4" t="str">
        <f t="shared" si="0"/>
        <v>NORMAL</v>
      </c>
      <c r="M188" s="4" t="str">
        <f t="shared" si="1"/>
        <v>MEDIUM</v>
      </c>
      <c r="N188" s="4" t="str">
        <f t="shared" si="2"/>
        <v>SENIOR</v>
      </c>
      <c r="O188" s="4" t="str">
        <f t="shared" si="3"/>
        <v>STAGNANT</v>
      </c>
      <c r="P188" s="5" t="str">
        <f t="shared" si="4"/>
        <v>Medium_Pressure</v>
      </c>
      <c r="Q188" s="4" t="str">
        <f t="shared" si="5"/>
        <v>HIGHLY_ENGAGED</v>
      </c>
      <c r="R188" s="4" t="str">
        <f t="shared" si="7"/>
        <v>LOW</v>
      </c>
      <c r="S188" s="2"/>
      <c r="T188" s="2"/>
      <c r="U188" s="2"/>
      <c r="V188" s="2"/>
      <c r="W188" s="2"/>
      <c r="X188" s="2"/>
      <c r="Y188" s="2"/>
      <c r="Z188" s="2"/>
    </row>
    <row r="189" spans="1:26" ht="16.8" x14ac:dyDescent="0.3">
      <c r="A189" s="4">
        <v>254</v>
      </c>
      <c r="B189" s="4" t="s">
        <v>43</v>
      </c>
      <c r="C189" s="4">
        <v>55</v>
      </c>
      <c r="D189" s="4" t="s">
        <v>45</v>
      </c>
      <c r="E189" s="4" t="s">
        <v>58</v>
      </c>
      <c r="F189" s="4">
        <v>18722</v>
      </c>
      <c r="G189" s="4" t="s">
        <v>43</v>
      </c>
      <c r="H189" s="4">
        <v>24</v>
      </c>
      <c r="I189" s="4">
        <v>2</v>
      </c>
      <c r="J189" s="4">
        <v>2</v>
      </c>
      <c r="K189" s="4">
        <v>3</v>
      </c>
      <c r="L189" s="4" t="str">
        <f t="shared" si="0"/>
        <v>NORMAL</v>
      </c>
      <c r="M189" s="4" t="str">
        <f t="shared" si="1"/>
        <v>MEDIUM</v>
      </c>
      <c r="N189" s="4" t="str">
        <f t="shared" si="2"/>
        <v>SENIOR</v>
      </c>
      <c r="O189" s="4" t="str">
        <f t="shared" si="3"/>
        <v>MODERATE-WAIT</v>
      </c>
      <c r="P189" s="5" t="str">
        <f t="shared" si="4"/>
        <v>Medium_Pressure</v>
      </c>
      <c r="Q189" s="4" t="str">
        <f t="shared" si="5"/>
        <v>DISENGAGED</v>
      </c>
      <c r="R189" s="4" t="str">
        <f t="shared" si="7"/>
        <v>LOW</v>
      </c>
      <c r="S189" s="2"/>
      <c r="T189" s="2"/>
      <c r="U189" s="2"/>
      <c r="V189" s="2"/>
      <c r="W189" s="2"/>
      <c r="X189" s="2"/>
      <c r="Y189" s="2"/>
      <c r="Z189" s="2"/>
    </row>
    <row r="190" spans="1:26" ht="16.8" x14ac:dyDescent="0.3">
      <c r="A190" s="4">
        <v>256</v>
      </c>
      <c r="B190" s="4" t="s">
        <v>43</v>
      </c>
      <c r="C190" s="4">
        <v>34</v>
      </c>
      <c r="D190" s="4" t="s">
        <v>45</v>
      </c>
      <c r="E190" s="4" t="s">
        <v>53</v>
      </c>
      <c r="F190" s="4">
        <v>9547</v>
      </c>
      <c r="G190" s="4" t="s">
        <v>43</v>
      </c>
      <c r="H190" s="4">
        <v>10</v>
      </c>
      <c r="I190" s="4">
        <v>1</v>
      </c>
      <c r="J190" s="4">
        <v>3</v>
      </c>
      <c r="K190" s="4">
        <v>2</v>
      </c>
      <c r="L190" s="4" t="str">
        <f t="shared" si="0"/>
        <v>NORMAL</v>
      </c>
      <c r="M190" s="4" t="str">
        <f t="shared" si="1"/>
        <v>MEDIUM</v>
      </c>
      <c r="N190" s="4" t="str">
        <f t="shared" si="2"/>
        <v>SENIOR</v>
      </c>
      <c r="O190" s="4" t="str">
        <f t="shared" si="3"/>
        <v>RECENTLY PROMOTED</v>
      </c>
      <c r="P190" s="5" t="str">
        <f t="shared" si="4"/>
        <v>Low_Pressure</v>
      </c>
      <c r="Q190" s="4" t="str">
        <f t="shared" si="5"/>
        <v>DISENGAGED</v>
      </c>
      <c r="R190" s="4" t="str">
        <f t="shared" si="7"/>
        <v>LOW</v>
      </c>
      <c r="S190" s="2"/>
      <c r="T190" s="2"/>
      <c r="U190" s="2"/>
      <c r="V190" s="2"/>
      <c r="W190" s="2"/>
      <c r="X190" s="2"/>
      <c r="Y190" s="2"/>
      <c r="Z190" s="2"/>
    </row>
    <row r="191" spans="1:26" ht="16.8" x14ac:dyDescent="0.3">
      <c r="A191" s="4">
        <v>258</v>
      </c>
      <c r="B191" s="4" t="s">
        <v>43</v>
      </c>
      <c r="C191" s="4">
        <v>51</v>
      </c>
      <c r="D191" s="4" t="s">
        <v>45</v>
      </c>
      <c r="E191" s="4" t="s">
        <v>54</v>
      </c>
      <c r="F191" s="4">
        <v>13734</v>
      </c>
      <c r="G191" s="4" t="s">
        <v>43</v>
      </c>
      <c r="H191" s="4">
        <v>7</v>
      </c>
      <c r="I191" s="4">
        <v>1</v>
      </c>
      <c r="J191" s="4">
        <v>2</v>
      </c>
      <c r="K191" s="4">
        <v>3</v>
      </c>
      <c r="L191" s="4" t="str">
        <f t="shared" si="0"/>
        <v>NORMAL</v>
      </c>
      <c r="M191" s="4" t="str">
        <f t="shared" si="1"/>
        <v>MEDIUM</v>
      </c>
      <c r="N191" s="4" t="str">
        <f t="shared" si="2"/>
        <v>SENIOR</v>
      </c>
      <c r="O191" s="4" t="str">
        <f t="shared" si="3"/>
        <v>RECENTLY PROMOTED</v>
      </c>
      <c r="P191" s="5" t="str">
        <f t="shared" si="4"/>
        <v>Medium_Pressure</v>
      </c>
      <c r="Q191" s="4" t="str">
        <f t="shared" si="5"/>
        <v>DISENGAGED</v>
      </c>
      <c r="R191" s="4" t="str">
        <f t="shared" si="7"/>
        <v>LOW</v>
      </c>
      <c r="S191" s="2"/>
      <c r="T191" s="2"/>
      <c r="U191" s="2"/>
      <c r="V191" s="2"/>
      <c r="W191" s="2"/>
      <c r="X191" s="2"/>
      <c r="Y191" s="2"/>
      <c r="Z191" s="2"/>
    </row>
    <row r="192" spans="1:26" ht="16.8" x14ac:dyDescent="0.3">
      <c r="A192" s="4">
        <v>259</v>
      </c>
      <c r="B192" s="4" t="s">
        <v>43</v>
      </c>
      <c r="C192" s="4">
        <v>52</v>
      </c>
      <c r="D192" s="4" t="s">
        <v>45</v>
      </c>
      <c r="E192" s="4" t="s">
        <v>56</v>
      </c>
      <c r="F192" s="4">
        <v>19999</v>
      </c>
      <c r="G192" s="4" t="s">
        <v>43</v>
      </c>
      <c r="H192" s="4">
        <v>33</v>
      </c>
      <c r="I192" s="4">
        <v>11</v>
      </c>
      <c r="J192" s="4">
        <v>3</v>
      </c>
      <c r="K192" s="4">
        <v>3</v>
      </c>
      <c r="L192" s="4" t="str">
        <f t="shared" si="0"/>
        <v>NORMAL</v>
      </c>
      <c r="M192" s="4" t="str">
        <f t="shared" si="1"/>
        <v>MEDIUM</v>
      </c>
      <c r="N192" s="4" t="str">
        <f t="shared" si="2"/>
        <v>SENIOR</v>
      </c>
      <c r="O192" s="4" t="str">
        <f t="shared" si="3"/>
        <v>STAGNANT</v>
      </c>
      <c r="P192" s="5" t="str">
        <f t="shared" si="4"/>
        <v>Medium_Pressure</v>
      </c>
      <c r="Q192" s="4" t="str">
        <f t="shared" si="5"/>
        <v>HIGHLY_ENGAGED</v>
      </c>
      <c r="R192" s="4" t="str">
        <f t="shared" si="7"/>
        <v>LOW</v>
      </c>
      <c r="S192" s="2"/>
      <c r="T192" s="2"/>
      <c r="U192" s="2"/>
      <c r="V192" s="2"/>
      <c r="W192" s="2"/>
      <c r="X192" s="2"/>
      <c r="Y192" s="2"/>
      <c r="Z192" s="2"/>
    </row>
    <row r="193" spans="1:26" ht="16.8" x14ac:dyDescent="0.3">
      <c r="A193" s="4">
        <v>260</v>
      </c>
      <c r="B193" s="4" t="s">
        <v>43</v>
      </c>
      <c r="C193" s="4">
        <v>27</v>
      </c>
      <c r="D193" s="4" t="s">
        <v>45</v>
      </c>
      <c r="E193" s="4" t="s">
        <v>47</v>
      </c>
      <c r="F193" s="4">
        <v>2279</v>
      </c>
      <c r="G193" s="4" t="s">
        <v>43</v>
      </c>
      <c r="H193" s="4">
        <v>7</v>
      </c>
      <c r="I193" s="4">
        <v>0</v>
      </c>
      <c r="J193" s="4">
        <v>2</v>
      </c>
      <c r="K193" s="4">
        <v>2</v>
      </c>
      <c r="L193" s="4" t="str">
        <f t="shared" si="0"/>
        <v>NORMAL</v>
      </c>
      <c r="M193" s="4" t="str">
        <f t="shared" si="1"/>
        <v>LOW</v>
      </c>
      <c r="N193" s="4" t="str">
        <f t="shared" si="2"/>
        <v>SENIOR</v>
      </c>
      <c r="O193" s="4" t="str">
        <f t="shared" si="3"/>
        <v>RECENTLY PROMOTED</v>
      </c>
      <c r="P193" s="5" t="str">
        <f t="shared" si="4"/>
        <v>Low_Pressure</v>
      </c>
      <c r="Q193" s="4" t="str">
        <f t="shared" si="5"/>
        <v>DISENGAGED</v>
      </c>
      <c r="R193" s="4" t="str">
        <f t="shared" si="7"/>
        <v>LOW</v>
      </c>
      <c r="S193" s="2"/>
      <c r="T193" s="2"/>
      <c r="U193" s="2"/>
      <c r="V193" s="2"/>
      <c r="W193" s="2"/>
      <c r="X193" s="2"/>
      <c r="Y193" s="2"/>
      <c r="Z193" s="2"/>
    </row>
    <row r="194" spans="1:26" ht="16.8" x14ac:dyDescent="0.3">
      <c r="A194" s="4">
        <v>261</v>
      </c>
      <c r="B194" s="4" t="s">
        <v>35</v>
      </c>
      <c r="C194" s="4">
        <v>35</v>
      </c>
      <c r="D194" s="4" t="s">
        <v>45</v>
      </c>
      <c r="E194" s="4" t="s">
        <v>53</v>
      </c>
      <c r="F194" s="4">
        <v>5916</v>
      </c>
      <c r="G194" s="4" t="s">
        <v>35</v>
      </c>
      <c r="H194" s="4">
        <v>1</v>
      </c>
      <c r="I194" s="4">
        <v>0</v>
      </c>
      <c r="J194" s="4">
        <v>3</v>
      </c>
      <c r="K194" s="4">
        <v>3</v>
      </c>
      <c r="L194" s="4" t="str">
        <f t="shared" si="0"/>
        <v>NORMAL</v>
      </c>
      <c r="M194" s="4" t="str">
        <f t="shared" si="1"/>
        <v>HIGH</v>
      </c>
      <c r="N194" s="4" t="str">
        <f t="shared" si="2"/>
        <v>NEW</v>
      </c>
      <c r="O194" s="4" t="str">
        <f t="shared" si="3"/>
        <v>RECENTLY PROMOTED</v>
      </c>
      <c r="P194" s="5" t="str">
        <f t="shared" si="4"/>
        <v>Medium_Pressure</v>
      </c>
      <c r="Q194" s="4" t="str">
        <f t="shared" si="5"/>
        <v>HIGHLY_ENGAGED</v>
      </c>
      <c r="R194" s="4" t="str">
        <f t="shared" si="7"/>
        <v>LOW</v>
      </c>
      <c r="S194" s="2"/>
      <c r="T194" s="2"/>
      <c r="U194" s="2"/>
      <c r="V194" s="2"/>
      <c r="W194" s="2"/>
      <c r="X194" s="2"/>
      <c r="Y194" s="2"/>
      <c r="Z194" s="2"/>
    </row>
    <row r="195" spans="1:26" ht="16.8" x14ac:dyDescent="0.3">
      <c r="A195" s="4">
        <v>262</v>
      </c>
      <c r="B195" s="4" t="s">
        <v>43</v>
      </c>
      <c r="C195" s="4">
        <v>43</v>
      </c>
      <c r="D195" s="4" t="s">
        <v>45</v>
      </c>
      <c r="E195" s="4" t="s">
        <v>47</v>
      </c>
      <c r="F195" s="4">
        <v>2089</v>
      </c>
      <c r="G195" s="4" t="s">
        <v>43</v>
      </c>
      <c r="H195" s="4">
        <v>5</v>
      </c>
      <c r="I195" s="4">
        <v>2</v>
      </c>
      <c r="J195" s="4">
        <v>4</v>
      </c>
      <c r="K195" s="4">
        <v>4</v>
      </c>
      <c r="L195" s="4" t="str">
        <f t="shared" si="0"/>
        <v>NORMAL</v>
      </c>
      <c r="M195" s="4" t="str">
        <f t="shared" si="1"/>
        <v>LOW</v>
      </c>
      <c r="N195" s="4" t="str">
        <f t="shared" si="2"/>
        <v>MID</v>
      </c>
      <c r="O195" s="4" t="str">
        <f t="shared" si="3"/>
        <v>MODERATE-WAIT</v>
      </c>
      <c r="P195" s="5" t="str">
        <f t="shared" si="4"/>
        <v>Low_Pressure</v>
      </c>
      <c r="Q195" s="4" t="str">
        <f t="shared" si="5"/>
        <v>HIGHLY_ENGAGED</v>
      </c>
      <c r="R195" s="4" t="str">
        <f t="shared" si="7"/>
        <v>LOW</v>
      </c>
      <c r="S195" s="2"/>
      <c r="T195" s="2"/>
      <c r="U195" s="2"/>
      <c r="V195" s="2"/>
      <c r="W195" s="2"/>
      <c r="X195" s="2"/>
      <c r="Y195" s="2"/>
      <c r="Z195" s="2"/>
    </row>
    <row r="196" spans="1:26" ht="16.8" x14ac:dyDescent="0.3">
      <c r="A196" s="4">
        <v>264</v>
      </c>
      <c r="B196" s="4" t="s">
        <v>43</v>
      </c>
      <c r="C196" s="4">
        <v>45</v>
      </c>
      <c r="D196" s="4" t="s">
        <v>45</v>
      </c>
      <c r="E196" s="4" t="s">
        <v>56</v>
      </c>
      <c r="F196" s="4">
        <v>16792</v>
      </c>
      <c r="G196" s="4" t="s">
        <v>43</v>
      </c>
      <c r="H196" s="4">
        <v>20</v>
      </c>
      <c r="I196" s="4">
        <v>11</v>
      </c>
      <c r="J196" s="4">
        <v>4</v>
      </c>
      <c r="K196" s="4">
        <v>3</v>
      </c>
      <c r="L196" s="4" t="str">
        <f t="shared" si="0"/>
        <v>NORMAL</v>
      </c>
      <c r="M196" s="4" t="str">
        <f t="shared" si="1"/>
        <v>MEDIUM</v>
      </c>
      <c r="N196" s="4" t="str">
        <f t="shared" si="2"/>
        <v>SENIOR</v>
      </c>
      <c r="O196" s="4" t="str">
        <f t="shared" si="3"/>
        <v>STAGNANT</v>
      </c>
      <c r="P196" s="5" t="str">
        <f t="shared" si="4"/>
        <v>Medium_Pressure</v>
      </c>
      <c r="Q196" s="4" t="str">
        <f t="shared" si="5"/>
        <v>HIGHLY_ENGAGED</v>
      </c>
      <c r="R196" s="4" t="str">
        <f t="shared" si="7"/>
        <v>LOW</v>
      </c>
      <c r="S196" s="2"/>
      <c r="T196" s="2"/>
      <c r="U196" s="2"/>
      <c r="V196" s="2"/>
      <c r="W196" s="2"/>
      <c r="X196" s="2"/>
      <c r="Y196" s="2"/>
      <c r="Z196" s="2"/>
    </row>
    <row r="197" spans="1:26" ht="16.8" x14ac:dyDescent="0.3">
      <c r="A197" s="4">
        <v>267</v>
      </c>
      <c r="B197" s="4" t="s">
        <v>43</v>
      </c>
      <c r="C197" s="4">
        <v>37</v>
      </c>
      <c r="D197" s="4" t="s">
        <v>45</v>
      </c>
      <c r="E197" s="4" t="s">
        <v>47</v>
      </c>
      <c r="F197" s="4">
        <v>3564</v>
      </c>
      <c r="G197" s="4" t="s">
        <v>35</v>
      </c>
      <c r="H197" s="4">
        <v>8</v>
      </c>
      <c r="I197" s="4">
        <v>1</v>
      </c>
      <c r="J197" s="4">
        <v>1</v>
      </c>
      <c r="K197" s="4">
        <v>2</v>
      </c>
      <c r="L197" s="4" t="str">
        <f t="shared" si="0"/>
        <v>NORMAL</v>
      </c>
      <c r="M197" s="4" t="str">
        <f t="shared" si="1"/>
        <v>LOW</v>
      </c>
      <c r="N197" s="4" t="str">
        <f t="shared" si="2"/>
        <v>SENIOR</v>
      </c>
      <c r="O197" s="4" t="str">
        <f t="shared" si="3"/>
        <v>RECENTLY PROMOTED</v>
      </c>
      <c r="P197" s="5" t="str">
        <f t="shared" si="4"/>
        <v>High_Pressure</v>
      </c>
      <c r="Q197" s="4" t="str">
        <f t="shared" si="5"/>
        <v>DISENGAGED</v>
      </c>
      <c r="R197" s="4" t="str">
        <f t="shared" si="7"/>
        <v>LOW</v>
      </c>
      <c r="S197" s="2"/>
      <c r="T197" s="2"/>
      <c r="U197" s="2"/>
      <c r="V197" s="2"/>
      <c r="W197" s="2"/>
      <c r="X197" s="2"/>
      <c r="Y197" s="2"/>
      <c r="Z197" s="2"/>
    </row>
    <row r="198" spans="1:26" ht="16.8" x14ac:dyDescent="0.3">
      <c r="A198" s="4">
        <v>269</v>
      </c>
      <c r="B198" s="4" t="s">
        <v>43</v>
      </c>
      <c r="C198" s="4">
        <v>35</v>
      </c>
      <c r="D198" s="4" t="s">
        <v>45</v>
      </c>
      <c r="E198" s="4" t="s">
        <v>50</v>
      </c>
      <c r="F198" s="4">
        <v>4425</v>
      </c>
      <c r="G198" s="4" t="s">
        <v>43</v>
      </c>
      <c r="H198" s="4">
        <v>6</v>
      </c>
      <c r="I198" s="4">
        <v>1</v>
      </c>
      <c r="J198" s="4">
        <v>2</v>
      </c>
      <c r="K198" s="4">
        <v>3</v>
      </c>
      <c r="L198" s="4" t="str">
        <f t="shared" si="0"/>
        <v>NORMAL</v>
      </c>
      <c r="M198" s="4" t="str">
        <f t="shared" si="1"/>
        <v>HIGH</v>
      </c>
      <c r="N198" s="4" t="str">
        <f t="shared" si="2"/>
        <v>MID</v>
      </c>
      <c r="O198" s="4" t="str">
        <f t="shared" si="3"/>
        <v>RECENTLY PROMOTED</v>
      </c>
      <c r="P198" s="5" t="str">
        <f t="shared" si="4"/>
        <v>Medium_Pressure</v>
      </c>
      <c r="Q198" s="4" t="str">
        <f t="shared" si="5"/>
        <v>DISENGAGED</v>
      </c>
      <c r="R198" s="4" t="str">
        <f t="shared" si="7"/>
        <v>LOW</v>
      </c>
      <c r="S198" s="2"/>
      <c r="T198" s="2"/>
      <c r="U198" s="2"/>
      <c r="V198" s="2"/>
      <c r="W198" s="2"/>
      <c r="X198" s="2"/>
      <c r="Y198" s="2"/>
      <c r="Z198" s="2"/>
    </row>
    <row r="199" spans="1:26" ht="16.8" x14ac:dyDescent="0.3">
      <c r="A199" s="4">
        <v>270</v>
      </c>
      <c r="B199" s="4" t="s">
        <v>43</v>
      </c>
      <c r="C199" s="4">
        <v>42</v>
      </c>
      <c r="D199" s="4" t="s">
        <v>45</v>
      </c>
      <c r="E199" s="4" t="s">
        <v>53</v>
      </c>
      <c r="F199" s="4">
        <v>5265</v>
      </c>
      <c r="G199" s="4" t="s">
        <v>43</v>
      </c>
      <c r="H199" s="4">
        <v>5</v>
      </c>
      <c r="I199" s="4">
        <v>0</v>
      </c>
      <c r="J199" s="4">
        <v>3</v>
      </c>
      <c r="K199" s="4">
        <v>3</v>
      </c>
      <c r="L199" s="4" t="str">
        <f t="shared" si="0"/>
        <v>NORMAL</v>
      </c>
      <c r="M199" s="4" t="str">
        <f t="shared" si="1"/>
        <v>HIGH</v>
      </c>
      <c r="N199" s="4" t="str">
        <f t="shared" si="2"/>
        <v>MID</v>
      </c>
      <c r="O199" s="4" t="str">
        <f t="shared" si="3"/>
        <v>RECENTLY PROMOTED</v>
      </c>
      <c r="P199" s="5" t="str">
        <f t="shared" si="4"/>
        <v>Medium_Pressure</v>
      </c>
      <c r="Q199" s="4" t="str">
        <f t="shared" si="5"/>
        <v>HIGHLY_ENGAGED</v>
      </c>
      <c r="R199" s="4" t="str">
        <f t="shared" si="7"/>
        <v>LOW</v>
      </c>
      <c r="S199" s="2"/>
      <c r="T199" s="2"/>
      <c r="U199" s="2"/>
      <c r="V199" s="2"/>
      <c r="W199" s="2"/>
      <c r="X199" s="2"/>
      <c r="Y199" s="2"/>
      <c r="Z199" s="2"/>
    </row>
    <row r="200" spans="1:26" ht="16.8" x14ac:dyDescent="0.3">
      <c r="A200" s="4">
        <v>271</v>
      </c>
      <c r="B200" s="4" t="s">
        <v>43</v>
      </c>
      <c r="C200" s="4">
        <v>38</v>
      </c>
      <c r="D200" s="4" t="s">
        <v>45</v>
      </c>
      <c r="E200" s="4" t="s">
        <v>53</v>
      </c>
      <c r="F200" s="4">
        <v>6553</v>
      </c>
      <c r="G200" s="4" t="s">
        <v>43</v>
      </c>
      <c r="H200" s="4">
        <v>1</v>
      </c>
      <c r="I200" s="4">
        <v>0</v>
      </c>
      <c r="J200" s="4">
        <v>3</v>
      </c>
      <c r="K200" s="4">
        <v>3</v>
      </c>
      <c r="L200" s="4" t="str">
        <f t="shared" si="0"/>
        <v>NORMAL</v>
      </c>
      <c r="M200" s="4" t="str">
        <f t="shared" si="1"/>
        <v>HIGH</v>
      </c>
      <c r="N200" s="4" t="str">
        <f t="shared" si="2"/>
        <v>NEW</v>
      </c>
      <c r="O200" s="4" t="str">
        <f t="shared" si="3"/>
        <v>RECENTLY PROMOTED</v>
      </c>
      <c r="P200" s="5" t="str">
        <f t="shared" si="4"/>
        <v>Medium_Pressure</v>
      </c>
      <c r="Q200" s="4" t="str">
        <f t="shared" si="5"/>
        <v>HIGHLY_ENGAGED</v>
      </c>
      <c r="R200" s="4" t="str">
        <f t="shared" si="7"/>
        <v>LOW</v>
      </c>
      <c r="S200" s="2"/>
      <c r="T200" s="2"/>
      <c r="U200" s="2"/>
      <c r="V200" s="2"/>
      <c r="W200" s="2"/>
      <c r="X200" s="2"/>
      <c r="Y200" s="2"/>
      <c r="Z200" s="2"/>
    </row>
    <row r="201" spans="1:26" ht="16.8" x14ac:dyDescent="0.3">
      <c r="A201" s="4">
        <v>273</v>
      </c>
      <c r="B201" s="4" t="s">
        <v>43</v>
      </c>
      <c r="C201" s="4">
        <v>38</v>
      </c>
      <c r="D201" s="4" t="s">
        <v>45</v>
      </c>
      <c r="E201" s="4" t="s">
        <v>53</v>
      </c>
      <c r="F201" s="4">
        <v>6261</v>
      </c>
      <c r="G201" s="4" t="s">
        <v>43</v>
      </c>
      <c r="H201" s="4">
        <v>7</v>
      </c>
      <c r="I201" s="4">
        <v>1</v>
      </c>
      <c r="J201" s="4">
        <v>4</v>
      </c>
      <c r="K201" s="4">
        <v>1</v>
      </c>
      <c r="L201" s="4" t="str">
        <f t="shared" si="0"/>
        <v>NORMAL</v>
      </c>
      <c r="M201" s="4" t="str">
        <f t="shared" si="1"/>
        <v>HIGH</v>
      </c>
      <c r="N201" s="4" t="str">
        <f t="shared" si="2"/>
        <v>SENIOR</v>
      </c>
      <c r="O201" s="4" t="str">
        <f t="shared" si="3"/>
        <v>RECENTLY PROMOTED</v>
      </c>
      <c r="P201" s="5" t="str">
        <f t="shared" si="4"/>
        <v>Low_Pressure</v>
      </c>
      <c r="Q201" s="4" t="str">
        <f t="shared" si="5"/>
        <v>DISENGAGED</v>
      </c>
      <c r="R201" s="4" t="str">
        <f t="shared" si="7"/>
        <v>LOW</v>
      </c>
      <c r="S201" s="2"/>
      <c r="T201" s="2"/>
      <c r="U201" s="2"/>
      <c r="V201" s="2"/>
      <c r="W201" s="2"/>
      <c r="X201" s="2"/>
      <c r="Y201" s="2"/>
      <c r="Z201" s="2"/>
    </row>
    <row r="202" spans="1:26" ht="16.8" x14ac:dyDescent="0.3">
      <c r="A202" s="4">
        <v>274</v>
      </c>
      <c r="B202" s="4" t="s">
        <v>43</v>
      </c>
      <c r="C202" s="4">
        <v>27</v>
      </c>
      <c r="D202" s="4" t="s">
        <v>45</v>
      </c>
      <c r="E202" s="4" t="s">
        <v>53</v>
      </c>
      <c r="F202" s="4">
        <v>4298</v>
      </c>
      <c r="G202" s="4" t="s">
        <v>43</v>
      </c>
      <c r="H202" s="4">
        <v>2</v>
      </c>
      <c r="I202" s="4">
        <v>2</v>
      </c>
      <c r="J202" s="4">
        <v>1</v>
      </c>
      <c r="K202" s="4">
        <v>3</v>
      </c>
      <c r="L202" s="4" t="str">
        <f t="shared" si="0"/>
        <v>NORMAL</v>
      </c>
      <c r="M202" s="4" t="str">
        <f t="shared" si="1"/>
        <v>HIGH</v>
      </c>
      <c r="N202" s="4" t="str">
        <f t="shared" si="2"/>
        <v>NEW</v>
      </c>
      <c r="O202" s="4" t="str">
        <f t="shared" si="3"/>
        <v>MODERATE-WAIT</v>
      </c>
      <c r="P202" s="5" t="str">
        <f t="shared" si="4"/>
        <v>Medium_Pressure</v>
      </c>
      <c r="Q202" s="4" t="str">
        <f t="shared" si="5"/>
        <v>DISENGAGED</v>
      </c>
      <c r="R202" s="4" t="str">
        <f t="shared" si="7"/>
        <v>LOW</v>
      </c>
      <c r="S202" s="2"/>
      <c r="T202" s="2"/>
      <c r="U202" s="2"/>
      <c r="V202" s="2"/>
      <c r="W202" s="2"/>
      <c r="X202" s="2"/>
      <c r="Y202" s="2"/>
      <c r="Z202" s="2"/>
    </row>
    <row r="203" spans="1:26" ht="16.8" x14ac:dyDescent="0.3">
      <c r="A203" s="4">
        <v>275</v>
      </c>
      <c r="B203" s="4" t="s">
        <v>43</v>
      </c>
      <c r="C203" s="4">
        <v>49</v>
      </c>
      <c r="D203" s="4" t="s">
        <v>45</v>
      </c>
      <c r="E203" s="4" t="s">
        <v>53</v>
      </c>
      <c r="F203" s="4">
        <v>6804</v>
      </c>
      <c r="G203" s="4" t="s">
        <v>35</v>
      </c>
      <c r="H203" s="4">
        <v>7</v>
      </c>
      <c r="I203" s="4">
        <v>1</v>
      </c>
      <c r="J203" s="4">
        <v>4</v>
      </c>
      <c r="K203" s="4">
        <v>3</v>
      </c>
      <c r="L203" s="4" t="str">
        <f t="shared" si="0"/>
        <v>NORMAL</v>
      </c>
      <c r="M203" s="4" t="str">
        <f t="shared" si="1"/>
        <v>HIGH</v>
      </c>
      <c r="N203" s="4" t="str">
        <f t="shared" si="2"/>
        <v>SENIOR</v>
      </c>
      <c r="O203" s="4" t="str">
        <f t="shared" si="3"/>
        <v>RECENTLY PROMOTED</v>
      </c>
      <c r="P203" s="5" t="str">
        <f t="shared" si="4"/>
        <v>Medium_Pressure</v>
      </c>
      <c r="Q203" s="4" t="str">
        <f t="shared" si="5"/>
        <v>HIGHLY_ENGAGED</v>
      </c>
      <c r="R203" s="4" t="str">
        <f t="shared" si="7"/>
        <v>LOW</v>
      </c>
      <c r="S203" s="2"/>
      <c r="T203" s="2"/>
      <c r="U203" s="2"/>
      <c r="V203" s="2"/>
      <c r="W203" s="2"/>
      <c r="X203" s="2"/>
      <c r="Y203" s="2"/>
      <c r="Z203" s="2"/>
    </row>
    <row r="204" spans="1:26" ht="16.8" x14ac:dyDescent="0.3">
      <c r="A204" s="4">
        <v>277</v>
      </c>
      <c r="B204" s="4" t="s">
        <v>43</v>
      </c>
      <c r="C204" s="4">
        <v>34</v>
      </c>
      <c r="D204" s="4" t="s">
        <v>45</v>
      </c>
      <c r="E204" s="4" t="s">
        <v>47</v>
      </c>
      <c r="F204" s="4">
        <v>3815</v>
      </c>
      <c r="G204" s="4" t="s">
        <v>35</v>
      </c>
      <c r="H204" s="4">
        <v>5</v>
      </c>
      <c r="I204" s="4">
        <v>2</v>
      </c>
      <c r="J204" s="4">
        <v>3</v>
      </c>
      <c r="K204" s="4">
        <v>4</v>
      </c>
      <c r="L204" s="4" t="str">
        <f t="shared" si="0"/>
        <v>NORMAL</v>
      </c>
      <c r="M204" s="4" t="str">
        <f t="shared" si="1"/>
        <v>LOW</v>
      </c>
      <c r="N204" s="4" t="str">
        <f t="shared" si="2"/>
        <v>MID</v>
      </c>
      <c r="O204" s="4" t="str">
        <f t="shared" si="3"/>
        <v>MODERATE-WAIT</v>
      </c>
      <c r="P204" s="5" t="str">
        <f t="shared" si="4"/>
        <v>Medium_Pressure</v>
      </c>
      <c r="Q204" s="4" t="str">
        <f t="shared" si="5"/>
        <v>HIGHLY_ENGAGED</v>
      </c>
      <c r="R204" s="4" t="str">
        <f t="shared" si="7"/>
        <v>LOW</v>
      </c>
      <c r="S204" s="2"/>
      <c r="T204" s="2"/>
      <c r="U204" s="2"/>
      <c r="V204" s="2"/>
      <c r="W204" s="2"/>
      <c r="X204" s="2"/>
      <c r="Y204" s="2"/>
      <c r="Z204" s="2"/>
    </row>
    <row r="205" spans="1:26" ht="16.8" x14ac:dyDescent="0.3">
      <c r="A205" s="4">
        <v>281</v>
      </c>
      <c r="B205" s="4" t="s">
        <v>43</v>
      </c>
      <c r="C205" s="4">
        <v>40</v>
      </c>
      <c r="D205" s="4" t="s">
        <v>45</v>
      </c>
      <c r="E205" s="4" t="s">
        <v>50</v>
      </c>
      <c r="F205" s="4">
        <v>2741</v>
      </c>
      <c r="G205" s="4" t="s">
        <v>35</v>
      </c>
      <c r="H205" s="4">
        <v>7</v>
      </c>
      <c r="I205" s="4">
        <v>3</v>
      </c>
      <c r="J205" s="4">
        <v>4</v>
      </c>
      <c r="K205" s="4">
        <v>4</v>
      </c>
      <c r="L205" s="4" t="str">
        <f t="shared" si="0"/>
        <v>NORMAL</v>
      </c>
      <c r="M205" s="4" t="str">
        <f t="shared" si="1"/>
        <v>LOW</v>
      </c>
      <c r="N205" s="4" t="str">
        <f t="shared" si="2"/>
        <v>SENIOR</v>
      </c>
      <c r="O205" s="4" t="str">
        <f t="shared" si="3"/>
        <v>MODERATE-WAIT</v>
      </c>
      <c r="P205" s="5" t="str">
        <f t="shared" si="4"/>
        <v>Medium_Pressure</v>
      </c>
      <c r="Q205" s="4" t="str">
        <f t="shared" si="5"/>
        <v>HIGHLY_ENGAGED</v>
      </c>
      <c r="R205" s="4" t="str">
        <f t="shared" si="7"/>
        <v>LOW</v>
      </c>
      <c r="S205" s="2"/>
      <c r="T205" s="2"/>
      <c r="U205" s="2"/>
      <c r="V205" s="2"/>
      <c r="W205" s="2"/>
      <c r="X205" s="2"/>
      <c r="Y205" s="2"/>
      <c r="Z205" s="2"/>
    </row>
    <row r="206" spans="1:26" ht="16.8" x14ac:dyDescent="0.3">
      <c r="A206" s="4">
        <v>282</v>
      </c>
      <c r="B206" s="4" t="s">
        <v>35</v>
      </c>
      <c r="C206" s="4">
        <v>38</v>
      </c>
      <c r="D206" s="4" t="s">
        <v>45</v>
      </c>
      <c r="E206" s="4" t="s">
        <v>54</v>
      </c>
      <c r="F206" s="4">
        <v>6673</v>
      </c>
      <c r="G206" s="4" t="s">
        <v>35</v>
      </c>
      <c r="H206" s="4">
        <v>1</v>
      </c>
      <c r="I206" s="4">
        <v>0</v>
      </c>
      <c r="J206" s="4">
        <v>1</v>
      </c>
      <c r="K206" s="4">
        <v>3</v>
      </c>
      <c r="L206" s="4" t="str">
        <f t="shared" si="0"/>
        <v>NORMAL</v>
      </c>
      <c r="M206" s="4" t="str">
        <f t="shared" si="1"/>
        <v>HIGH</v>
      </c>
      <c r="N206" s="4" t="str">
        <f t="shared" si="2"/>
        <v>NEW</v>
      </c>
      <c r="O206" s="4" t="str">
        <f t="shared" si="3"/>
        <v>RECENTLY PROMOTED</v>
      </c>
      <c r="P206" s="5" t="str">
        <f t="shared" si="4"/>
        <v>Medium_Pressure</v>
      </c>
      <c r="Q206" s="4" t="str">
        <f t="shared" si="5"/>
        <v>DISENGAGED</v>
      </c>
      <c r="R206" s="4" t="str">
        <f t="shared" si="7"/>
        <v>LOW</v>
      </c>
      <c r="S206" s="2"/>
      <c r="T206" s="2"/>
      <c r="U206" s="2"/>
      <c r="V206" s="2"/>
      <c r="W206" s="2"/>
      <c r="X206" s="2"/>
      <c r="Y206" s="2"/>
      <c r="Z206" s="2"/>
    </row>
    <row r="207" spans="1:26" ht="16.8" x14ac:dyDescent="0.3">
      <c r="A207" s="4">
        <v>283</v>
      </c>
      <c r="B207" s="4" t="s">
        <v>35</v>
      </c>
      <c r="C207" s="4">
        <v>29</v>
      </c>
      <c r="D207" s="4" t="s">
        <v>37</v>
      </c>
      <c r="E207" s="4" t="s">
        <v>40</v>
      </c>
      <c r="F207" s="4">
        <v>7639</v>
      </c>
      <c r="G207" s="4" t="s">
        <v>43</v>
      </c>
      <c r="H207" s="4">
        <v>10</v>
      </c>
      <c r="I207" s="4">
        <v>1</v>
      </c>
      <c r="J207" s="4">
        <v>4</v>
      </c>
      <c r="K207" s="4">
        <v>2</v>
      </c>
      <c r="L207" s="4" t="str">
        <f t="shared" si="0"/>
        <v>NORMAL</v>
      </c>
      <c r="M207" s="4" t="str">
        <f t="shared" si="1"/>
        <v>HIGH</v>
      </c>
      <c r="N207" s="4" t="str">
        <f t="shared" si="2"/>
        <v>SENIOR</v>
      </c>
      <c r="O207" s="4" t="str">
        <f t="shared" si="3"/>
        <v>RECENTLY PROMOTED</v>
      </c>
      <c r="P207" s="5" t="str">
        <f t="shared" si="4"/>
        <v>Low_Pressure</v>
      </c>
      <c r="Q207" s="4" t="str">
        <f t="shared" si="5"/>
        <v>DISENGAGED</v>
      </c>
      <c r="R207" s="4" t="str">
        <f t="shared" si="7"/>
        <v>LOW</v>
      </c>
      <c r="S207" s="2"/>
      <c r="T207" s="2"/>
      <c r="U207" s="2"/>
      <c r="V207" s="2"/>
      <c r="W207" s="2"/>
      <c r="X207" s="2"/>
      <c r="Y207" s="2"/>
      <c r="Z207" s="2"/>
    </row>
    <row r="208" spans="1:26" ht="16.8" x14ac:dyDescent="0.3">
      <c r="A208" s="4">
        <v>284</v>
      </c>
      <c r="B208" s="4" t="s">
        <v>43</v>
      </c>
      <c r="C208" s="4">
        <v>22</v>
      </c>
      <c r="D208" s="4" t="s">
        <v>45</v>
      </c>
      <c r="E208" s="4" t="s">
        <v>47</v>
      </c>
      <c r="F208" s="4">
        <v>2328</v>
      </c>
      <c r="G208" s="4" t="s">
        <v>35</v>
      </c>
      <c r="H208" s="4">
        <v>4</v>
      </c>
      <c r="I208" s="4">
        <v>2</v>
      </c>
      <c r="J208" s="4">
        <v>2</v>
      </c>
      <c r="K208" s="4">
        <v>2</v>
      </c>
      <c r="L208" s="4" t="str">
        <f t="shared" si="0"/>
        <v>NORMAL</v>
      </c>
      <c r="M208" s="4" t="str">
        <f t="shared" si="1"/>
        <v>LOW</v>
      </c>
      <c r="N208" s="4" t="str">
        <f t="shared" si="2"/>
        <v>MID</v>
      </c>
      <c r="O208" s="4" t="str">
        <f t="shared" si="3"/>
        <v>MODERATE-WAIT</v>
      </c>
      <c r="P208" s="5" t="str">
        <f t="shared" si="4"/>
        <v>High_Pressure</v>
      </c>
      <c r="Q208" s="4" t="str">
        <f t="shared" si="5"/>
        <v>DISENGAGED</v>
      </c>
      <c r="R208" s="4" t="str">
        <f t="shared" si="7"/>
        <v>LOW</v>
      </c>
      <c r="S208" s="2"/>
      <c r="T208" s="2"/>
      <c r="U208" s="2"/>
      <c r="V208" s="2"/>
      <c r="W208" s="2"/>
      <c r="X208" s="2"/>
      <c r="Y208" s="2"/>
      <c r="Z208" s="2"/>
    </row>
    <row r="209" spans="1:26" ht="16.8" x14ac:dyDescent="0.3">
      <c r="A209" s="4">
        <v>286</v>
      </c>
      <c r="B209" s="4" t="s">
        <v>43</v>
      </c>
      <c r="C209" s="4">
        <v>36</v>
      </c>
      <c r="D209" s="4" t="s">
        <v>45</v>
      </c>
      <c r="E209" s="4" t="s">
        <v>50</v>
      </c>
      <c r="F209" s="4">
        <v>2153</v>
      </c>
      <c r="G209" s="4" t="s">
        <v>43</v>
      </c>
      <c r="H209" s="4">
        <v>8</v>
      </c>
      <c r="I209" s="4">
        <v>1</v>
      </c>
      <c r="J209" s="4">
        <v>4</v>
      </c>
      <c r="K209" s="4">
        <v>3</v>
      </c>
      <c r="L209" s="4" t="str">
        <f t="shared" si="0"/>
        <v>NORMAL</v>
      </c>
      <c r="M209" s="4" t="str">
        <f t="shared" si="1"/>
        <v>LOW</v>
      </c>
      <c r="N209" s="4" t="str">
        <f t="shared" si="2"/>
        <v>SENIOR</v>
      </c>
      <c r="O209" s="4" t="str">
        <f t="shared" si="3"/>
        <v>RECENTLY PROMOTED</v>
      </c>
      <c r="P209" s="5" t="str">
        <f t="shared" si="4"/>
        <v>Medium_Pressure</v>
      </c>
      <c r="Q209" s="4" t="str">
        <f t="shared" si="5"/>
        <v>HIGHLY_ENGAGED</v>
      </c>
      <c r="R209" s="4" t="str">
        <f t="shared" si="7"/>
        <v>LOW</v>
      </c>
      <c r="S209" s="2"/>
      <c r="T209" s="2"/>
      <c r="U209" s="2"/>
      <c r="V209" s="2"/>
      <c r="W209" s="2"/>
      <c r="X209" s="2"/>
      <c r="Y209" s="2"/>
      <c r="Z209" s="2"/>
    </row>
    <row r="210" spans="1:26" ht="16.8" x14ac:dyDescent="0.3">
      <c r="A210" s="4">
        <v>287</v>
      </c>
      <c r="B210" s="4" t="s">
        <v>43</v>
      </c>
      <c r="C210" s="4">
        <v>40</v>
      </c>
      <c r="D210" s="4" t="s">
        <v>45</v>
      </c>
      <c r="E210" s="4" t="s">
        <v>54</v>
      </c>
      <c r="F210" s="4">
        <v>4876</v>
      </c>
      <c r="G210" s="4" t="s">
        <v>43</v>
      </c>
      <c r="H210" s="4">
        <v>3</v>
      </c>
      <c r="I210" s="4">
        <v>0</v>
      </c>
      <c r="J210" s="4">
        <v>4</v>
      </c>
      <c r="K210" s="4">
        <v>1</v>
      </c>
      <c r="L210" s="4" t="str">
        <f t="shared" si="0"/>
        <v>NORMAL</v>
      </c>
      <c r="M210" s="4" t="str">
        <f t="shared" si="1"/>
        <v>HIGH</v>
      </c>
      <c r="N210" s="4" t="str">
        <f t="shared" si="2"/>
        <v>MID</v>
      </c>
      <c r="O210" s="4" t="str">
        <f t="shared" si="3"/>
        <v>RECENTLY PROMOTED</v>
      </c>
      <c r="P210" s="5" t="str">
        <f t="shared" si="4"/>
        <v>Low_Pressure</v>
      </c>
      <c r="Q210" s="4" t="str">
        <f t="shared" si="5"/>
        <v>DISENGAGED</v>
      </c>
      <c r="R210" s="4" t="str">
        <f t="shared" si="7"/>
        <v>LOW</v>
      </c>
      <c r="S210" s="2"/>
      <c r="T210" s="2"/>
      <c r="U210" s="2"/>
      <c r="V210" s="2"/>
      <c r="W210" s="2"/>
      <c r="X210" s="2"/>
      <c r="Y210" s="2"/>
      <c r="Z210" s="2"/>
    </row>
    <row r="211" spans="1:26" ht="16.8" x14ac:dyDescent="0.3">
      <c r="A211" s="4">
        <v>288</v>
      </c>
      <c r="B211" s="4" t="s">
        <v>43</v>
      </c>
      <c r="C211" s="4">
        <v>46</v>
      </c>
      <c r="D211" s="4" t="s">
        <v>45</v>
      </c>
      <c r="E211" s="4" t="s">
        <v>54</v>
      </c>
      <c r="F211" s="4">
        <v>9396</v>
      </c>
      <c r="G211" s="4" t="s">
        <v>43</v>
      </c>
      <c r="H211" s="4">
        <v>4</v>
      </c>
      <c r="I211" s="4">
        <v>0</v>
      </c>
      <c r="J211" s="4">
        <v>1</v>
      </c>
      <c r="K211" s="4">
        <v>3</v>
      </c>
      <c r="L211" s="4" t="str">
        <f t="shared" si="0"/>
        <v>NORMAL</v>
      </c>
      <c r="M211" s="4" t="str">
        <f t="shared" si="1"/>
        <v>MEDIUM</v>
      </c>
      <c r="N211" s="4" t="str">
        <f t="shared" si="2"/>
        <v>MID</v>
      </c>
      <c r="O211" s="4" t="str">
        <f t="shared" si="3"/>
        <v>RECENTLY PROMOTED</v>
      </c>
      <c r="P211" s="5" t="str">
        <f t="shared" si="4"/>
        <v>Medium_Pressure</v>
      </c>
      <c r="Q211" s="4" t="str">
        <f t="shared" si="5"/>
        <v>DISENGAGED</v>
      </c>
      <c r="R211" s="4" t="str">
        <f t="shared" si="7"/>
        <v>LOW</v>
      </c>
      <c r="S211" s="2"/>
      <c r="T211" s="2"/>
      <c r="U211" s="2"/>
      <c r="V211" s="2"/>
      <c r="W211" s="2"/>
      <c r="X211" s="2"/>
      <c r="Y211" s="2"/>
      <c r="Z211" s="2"/>
    </row>
    <row r="212" spans="1:26" ht="16.8" x14ac:dyDescent="0.3">
      <c r="A212" s="4">
        <v>291</v>
      </c>
      <c r="B212" s="4" t="s">
        <v>35</v>
      </c>
      <c r="C212" s="4">
        <v>32</v>
      </c>
      <c r="D212" s="4" t="s">
        <v>37</v>
      </c>
      <c r="E212" s="4" t="s">
        <v>40</v>
      </c>
      <c r="F212" s="4">
        <v>10400</v>
      </c>
      <c r="G212" s="4" t="s">
        <v>43</v>
      </c>
      <c r="H212" s="4">
        <v>14</v>
      </c>
      <c r="I212" s="4">
        <v>9</v>
      </c>
      <c r="J212" s="4">
        <v>4</v>
      </c>
      <c r="K212" s="4">
        <v>2</v>
      </c>
      <c r="L212" s="4" t="str">
        <f t="shared" si="0"/>
        <v>NORMAL</v>
      </c>
      <c r="M212" s="4" t="str">
        <f t="shared" si="1"/>
        <v>MEDIUM</v>
      </c>
      <c r="N212" s="4" t="str">
        <f t="shared" si="2"/>
        <v>SENIOR</v>
      </c>
      <c r="O212" s="4" t="str">
        <f t="shared" si="3"/>
        <v>STAGNANT</v>
      </c>
      <c r="P212" s="5" t="str">
        <f t="shared" si="4"/>
        <v>Low_Pressure</v>
      </c>
      <c r="Q212" s="4" t="str">
        <f t="shared" si="5"/>
        <v>DISENGAGED</v>
      </c>
      <c r="R212" s="4" t="str">
        <f t="shared" si="7"/>
        <v>LOW</v>
      </c>
      <c r="S212" s="2"/>
      <c r="T212" s="2"/>
      <c r="U212" s="2"/>
      <c r="V212" s="2"/>
      <c r="W212" s="2"/>
      <c r="X212" s="2"/>
      <c r="Y212" s="2"/>
      <c r="Z212" s="2"/>
    </row>
    <row r="213" spans="1:26" ht="16.8" x14ac:dyDescent="0.3">
      <c r="A213" s="4">
        <v>292</v>
      </c>
      <c r="B213" s="4" t="s">
        <v>43</v>
      </c>
      <c r="C213" s="4">
        <v>30</v>
      </c>
      <c r="D213" s="4" t="s">
        <v>45</v>
      </c>
      <c r="E213" s="4" t="s">
        <v>53</v>
      </c>
      <c r="F213" s="4">
        <v>8474</v>
      </c>
      <c r="G213" s="4" t="s">
        <v>43</v>
      </c>
      <c r="H213" s="4">
        <v>11</v>
      </c>
      <c r="I213" s="4">
        <v>5</v>
      </c>
      <c r="J213" s="4">
        <v>3</v>
      </c>
      <c r="K213" s="4">
        <v>3</v>
      </c>
      <c r="L213" s="4" t="str">
        <f t="shared" si="0"/>
        <v>NORMAL</v>
      </c>
      <c r="M213" s="4" t="str">
        <f t="shared" si="1"/>
        <v>HIGH</v>
      </c>
      <c r="N213" s="4" t="str">
        <f t="shared" si="2"/>
        <v>SENIOR</v>
      </c>
      <c r="O213" s="4" t="str">
        <f t="shared" si="3"/>
        <v>STAGNANT</v>
      </c>
      <c r="P213" s="5" t="str">
        <f t="shared" si="4"/>
        <v>Medium_Pressure</v>
      </c>
      <c r="Q213" s="4" t="str">
        <f t="shared" si="5"/>
        <v>HIGHLY_ENGAGED</v>
      </c>
      <c r="R213" s="4" t="str">
        <f t="shared" si="7"/>
        <v>LOW</v>
      </c>
      <c r="S213" s="2"/>
      <c r="T213" s="2"/>
      <c r="U213" s="2"/>
      <c r="V213" s="2"/>
      <c r="W213" s="2"/>
      <c r="X213" s="2"/>
      <c r="Y213" s="2"/>
      <c r="Z213" s="2"/>
    </row>
    <row r="214" spans="1:26" ht="16.8" x14ac:dyDescent="0.3">
      <c r="A214" s="4">
        <v>293</v>
      </c>
      <c r="B214" s="4" t="s">
        <v>43</v>
      </c>
      <c r="C214" s="4">
        <v>27</v>
      </c>
      <c r="D214" s="4" t="s">
        <v>37</v>
      </c>
      <c r="E214" s="4" t="s">
        <v>40</v>
      </c>
      <c r="F214" s="4">
        <v>9981</v>
      </c>
      <c r="G214" s="4" t="s">
        <v>43</v>
      </c>
      <c r="H214" s="4">
        <v>7</v>
      </c>
      <c r="I214" s="4">
        <v>0</v>
      </c>
      <c r="J214" s="4">
        <v>3</v>
      </c>
      <c r="K214" s="4">
        <v>3</v>
      </c>
      <c r="L214" s="4" t="str">
        <f t="shared" si="0"/>
        <v>NORMAL</v>
      </c>
      <c r="M214" s="4" t="str">
        <f t="shared" si="1"/>
        <v>MEDIUM</v>
      </c>
      <c r="N214" s="4" t="str">
        <f t="shared" si="2"/>
        <v>SENIOR</v>
      </c>
      <c r="O214" s="4" t="str">
        <f t="shared" si="3"/>
        <v>RECENTLY PROMOTED</v>
      </c>
      <c r="P214" s="5" t="str">
        <f t="shared" si="4"/>
        <v>Medium_Pressure</v>
      </c>
      <c r="Q214" s="4" t="str">
        <f t="shared" si="5"/>
        <v>HIGHLY_ENGAGED</v>
      </c>
      <c r="R214" s="4" t="str">
        <f t="shared" si="7"/>
        <v>LOW</v>
      </c>
      <c r="S214" s="2"/>
      <c r="T214" s="2"/>
      <c r="U214" s="2"/>
      <c r="V214" s="2"/>
      <c r="W214" s="2"/>
      <c r="X214" s="2"/>
      <c r="Y214" s="2"/>
      <c r="Z214" s="2"/>
    </row>
    <row r="215" spans="1:26" ht="16.8" x14ac:dyDescent="0.3">
      <c r="A215" s="4">
        <v>296</v>
      </c>
      <c r="B215" s="4" t="s">
        <v>43</v>
      </c>
      <c r="C215" s="4">
        <v>51</v>
      </c>
      <c r="D215" s="4" t="s">
        <v>45</v>
      </c>
      <c r="E215" s="4" t="s">
        <v>58</v>
      </c>
      <c r="F215" s="4">
        <v>12490</v>
      </c>
      <c r="G215" s="4" t="s">
        <v>43</v>
      </c>
      <c r="H215" s="4">
        <v>10</v>
      </c>
      <c r="I215" s="4">
        <v>4</v>
      </c>
      <c r="J215" s="4">
        <v>2</v>
      </c>
      <c r="K215" s="4">
        <v>1</v>
      </c>
      <c r="L215" s="4" t="str">
        <f t="shared" si="0"/>
        <v>NORMAL</v>
      </c>
      <c r="M215" s="4" t="str">
        <f t="shared" si="1"/>
        <v>MEDIUM</v>
      </c>
      <c r="N215" s="4" t="str">
        <f t="shared" si="2"/>
        <v>SENIOR</v>
      </c>
      <c r="O215" s="4" t="str">
        <f t="shared" si="3"/>
        <v>STAGNANT</v>
      </c>
      <c r="P215" s="5" t="str">
        <f t="shared" si="4"/>
        <v>Low_Pressure</v>
      </c>
      <c r="Q215" s="4" t="str">
        <f t="shared" si="5"/>
        <v>DISENGAGED</v>
      </c>
      <c r="R215" s="4" t="str">
        <f t="shared" si="7"/>
        <v>LOW</v>
      </c>
      <c r="S215" s="2"/>
      <c r="T215" s="2"/>
      <c r="U215" s="2"/>
      <c r="V215" s="2"/>
      <c r="W215" s="2"/>
      <c r="X215" s="2"/>
      <c r="Y215" s="2"/>
      <c r="Z215" s="2"/>
    </row>
    <row r="216" spans="1:26" ht="16.8" x14ac:dyDescent="0.3">
      <c r="A216" s="4">
        <v>297</v>
      </c>
      <c r="B216" s="4" t="s">
        <v>35</v>
      </c>
      <c r="C216" s="4">
        <v>30</v>
      </c>
      <c r="D216" s="4" t="s">
        <v>45</v>
      </c>
      <c r="E216" s="4" t="s">
        <v>47</v>
      </c>
      <c r="F216" s="4">
        <v>2657</v>
      </c>
      <c r="G216" s="4" t="s">
        <v>35</v>
      </c>
      <c r="H216" s="4">
        <v>5</v>
      </c>
      <c r="I216" s="4">
        <v>0</v>
      </c>
      <c r="J216" s="4">
        <v>1</v>
      </c>
      <c r="K216" s="4">
        <v>3</v>
      </c>
      <c r="L216" s="4" t="str">
        <f t="shared" si="0"/>
        <v>NORMAL</v>
      </c>
      <c r="M216" s="4" t="str">
        <f t="shared" si="1"/>
        <v>LOW</v>
      </c>
      <c r="N216" s="4" t="str">
        <f t="shared" si="2"/>
        <v>MID</v>
      </c>
      <c r="O216" s="4" t="str">
        <f t="shared" si="3"/>
        <v>RECENTLY PROMOTED</v>
      </c>
      <c r="P216" s="5" t="str">
        <f t="shared" si="4"/>
        <v>Medium_Pressure</v>
      </c>
      <c r="Q216" s="4" t="str">
        <f t="shared" si="5"/>
        <v>DISENGAGED</v>
      </c>
      <c r="R216" s="4" t="str">
        <f t="shared" si="7"/>
        <v>LOW</v>
      </c>
      <c r="S216" s="2"/>
      <c r="T216" s="2"/>
      <c r="U216" s="2"/>
      <c r="V216" s="2"/>
      <c r="W216" s="2"/>
      <c r="X216" s="2"/>
      <c r="Y216" s="2"/>
      <c r="Z216" s="2"/>
    </row>
    <row r="217" spans="1:26" ht="16.8" x14ac:dyDescent="0.3">
      <c r="A217" s="4">
        <v>298</v>
      </c>
      <c r="B217" s="4" t="s">
        <v>43</v>
      </c>
      <c r="C217" s="4">
        <v>41</v>
      </c>
      <c r="D217" s="4" t="s">
        <v>37</v>
      </c>
      <c r="E217" s="4" t="s">
        <v>56</v>
      </c>
      <c r="F217" s="4">
        <v>13591</v>
      </c>
      <c r="G217" s="4" t="s">
        <v>35</v>
      </c>
      <c r="H217" s="4">
        <v>1</v>
      </c>
      <c r="I217" s="4">
        <v>0</v>
      </c>
      <c r="J217" s="4">
        <v>4</v>
      </c>
      <c r="K217" s="4">
        <v>3</v>
      </c>
      <c r="L217" s="4" t="str">
        <f t="shared" si="0"/>
        <v>NORMAL</v>
      </c>
      <c r="M217" s="4" t="str">
        <f t="shared" si="1"/>
        <v>MEDIUM</v>
      </c>
      <c r="N217" s="4" t="str">
        <f t="shared" si="2"/>
        <v>NEW</v>
      </c>
      <c r="O217" s="4" t="str">
        <f t="shared" si="3"/>
        <v>RECENTLY PROMOTED</v>
      </c>
      <c r="P217" s="5" t="str">
        <f t="shared" si="4"/>
        <v>Medium_Pressure</v>
      </c>
      <c r="Q217" s="4" t="str">
        <f t="shared" si="5"/>
        <v>HIGHLY_ENGAGED</v>
      </c>
      <c r="R217" s="4" t="str">
        <f t="shared" si="7"/>
        <v>LOW</v>
      </c>
      <c r="S217" s="2"/>
      <c r="T217" s="2"/>
      <c r="U217" s="2"/>
      <c r="V217" s="2"/>
      <c r="W217" s="2"/>
      <c r="X217" s="2"/>
      <c r="Y217" s="2"/>
      <c r="Z217" s="2"/>
    </row>
    <row r="218" spans="1:26" ht="16.8" x14ac:dyDescent="0.3">
      <c r="A218" s="4">
        <v>299</v>
      </c>
      <c r="B218" s="4" t="s">
        <v>35</v>
      </c>
      <c r="C218" s="4">
        <v>30</v>
      </c>
      <c r="D218" s="4" t="s">
        <v>37</v>
      </c>
      <c r="E218" s="4" t="s">
        <v>40</v>
      </c>
      <c r="F218" s="4">
        <v>6696</v>
      </c>
      <c r="G218" s="4" t="s">
        <v>43</v>
      </c>
      <c r="H218" s="4">
        <v>6</v>
      </c>
      <c r="I218" s="4">
        <v>0</v>
      </c>
      <c r="J218" s="4">
        <v>1</v>
      </c>
      <c r="K218" s="4">
        <v>2</v>
      </c>
      <c r="L218" s="4" t="str">
        <f t="shared" si="0"/>
        <v>NORMAL</v>
      </c>
      <c r="M218" s="4" t="str">
        <f t="shared" si="1"/>
        <v>HIGH</v>
      </c>
      <c r="N218" s="4" t="str">
        <f t="shared" si="2"/>
        <v>MID</v>
      </c>
      <c r="O218" s="4" t="str">
        <f t="shared" si="3"/>
        <v>RECENTLY PROMOTED</v>
      </c>
      <c r="P218" s="5" t="str">
        <f t="shared" si="4"/>
        <v>Low_Pressure</v>
      </c>
      <c r="Q218" s="4" t="str">
        <f t="shared" si="5"/>
        <v>DISENGAGED</v>
      </c>
      <c r="R218" s="4" t="str">
        <f t="shared" si="7"/>
        <v>LOW</v>
      </c>
      <c r="S218" s="2"/>
      <c r="T218" s="2"/>
      <c r="U218" s="2"/>
      <c r="V218" s="2"/>
      <c r="W218" s="2"/>
      <c r="X218" s="2"/>
      <c r="Y218" s="2"/>
      <c r="Z218" s="2"/>
    </row>
    <row r="219" spans="1:26" ht="16.8" x14ac:dyDescent="0.3">
      <c r="A219" s="4">
        <v>300</v>
      </c>
      <c r="B219" s="4" t="s">
        <v>35</v>
      </c>
      <c r="C219" s="4">
        <v>29</v>
      </c>
      <c r="D219" s="4" t="s">
        <v>45</v>
      </c>
      <c r="E219" s="4" t="s">
        <v>47</v>
      </c>
      <c r="F219" s="4">
        <v>2058</v>
      </c>
      <c r="G219" s="4" t="s">
        <v>43</v>
      </c>
      <c r="H219" s="4">
        <v>6</v>
      </c>
      <c r="I219" s="4">
        <v>1</v>
      </c>
      <c r="J219" s="4">
        <v>3</v>
      </c>
      <c r="K219" s="4">
        <v>2</v>
      </c>
      <c r="L219" s="4" t="str">
        <f t="shared" si="0"/>
        <v>NORMAL</v>
      </c>
      <c r="M219" s="4" t="str">
        <f t="shared" si="1"/>
        <v>LOW</v>
      </c>
      <c r="N219" s="4" t="str">
        <f t="shared" si="2"/>
        <v>MID</v>
      </c>
      <c r="O219" s="4" t="str">
        <f t="shared" si="3"/>
        <v>RECENTLY PROMOTED</v>
      </c>
      <c r="P219" s="5" t="str">
        <f t="shared" si="4"/>
        <v>Low_Pressure</v>
      </c>
      <c r="Q219" s="4" t="str">
        <f t="shared" si="5"/>
        <v>DISENGAGED</v>
      </c>
      <c r="R219" s="4" t="str">
        <f t="shared" si="7"/>
        <v>LOW</v>
      </c>
      <c r="S219" s="2"/>
      <c r="T219" s="2"/>
      <c r="U219" s="2"/>
      <c r="V219" s="2"/>
      <c r="W219" s="2"/>
      <c r="X219" s="2"/>
      <c r="Y219" s="2"/>
      <c r="Z219" s="2"/>
    </row>
    <row r="220" spans="1:26" ht="16.8" x14ac:dyDescent="0.3">
      <c r="A220" s="4">
        <v>302</v>
      </c>
      <c r="B220" s="4" t="s">
        <v>43</v>
      </c>
      <c r="C220" s="4">
        <v>45</v>
      </c>
      <c r="D220" s="4" t="s">
        <v>37</v>
      </c>
      <c r="E220" s="4" t="s">
        <v>40</v>
      </c>
      <c r="F220" s="4">
        <v>8865</v>
      </c>
      <c r="G220" s="4" t="s">
        <v>43</v>
      </c>
      <c r="H220" s="4">
        <v>19</v>
      </c>
      <c r="I220" s="4">
        <v>12</v>
      </c>
      <c r="J220" s="4">
        <v>4</v>
      </c>
      <c r="K220" s="4">
        <v>3</v>
      </c>
      <c r="L220" s="4" t="str">
        <f t="shared" si="0"/>
        <v>NORMAL</v>
      </c>
      <c r="M220" s="4" t="str">
        <f t="shared" si="1"/>
        <v>HIGH</v>
      </c>
      <c r="N220" s="4" t="str">
        <f t="shared" si="2"/>
        <v>SENIOR</v>
      </c>
      <c r="O220" s="4" t="str">
        <f t="shared" si="3"/>
        <v>STAGNANT</v>
      </c>
      <c r="P220" s="5" t="str">
        <f t="shared" si="4"/>
        <v>Medium_Pressure</v>
      </c>
      <c r="Q220" s="4" t="str">
        <f t="shared" si="5"/>
        <v>HIGHLY_ENGAGED</v>
      </c>
      <c r="R220" s="4" t="str">
        <f t="shared" si="7"/>
        <v>LOW</v>
      </c>
      <c r="S220" s="2"/>
      <c r="T220" s="2"/>
      <c r="U220" s="2"/>
      <c r="V220" s="2"/>
      <c r="W220" s="2"/>
      <c r="X220" s="2"/>
      <c r="Y220" s="2"/>
      <c r="Z220" s="2"/>
    </row>
    <row r="221" spans="1:26" ht="16.8" x14ac:dyDescent="0.3">
      <c r="A221" s="4">
        <v>303</v>
      </c>
      <c r="B221" s="4" t="s">
        <v>43</v>
      </c>
      <c r="C221" s="4">
        <v>54</v>
      </c>
      <c r="D221" s="4" t="s">
        <v>37</v>
      </c>
      <c r="E221" s="4" t="s">
        <v>40</v>
      </c>
      <c r="F221" s="4">
        <v>5940</v>
      </c>
      <c r="G221" s="4" t="s">
        <v>43</v>
      </c>
      <c r="H221" s="4">
        <v>6</v>
      </c>
      <c r="I221" s="4">
        <v>0</v>
      </c>
      <c r="J221" s="4">
        <v>1</v>
      </c>
      <c r="K221" s="4">
        <v>3</v>
      </c>
      <c r="L221" s="4" t="str">
        <f t="shared" si="0"/>
        <v>NORMAL</v>
      </c>
      <c r="M221" s="4" t="str">
        <f t="shared" si="1"/>
        <v>HIGH</v>
      </c>
      <c r="N221" s="4" t="str">
        <f t="shared" si="2"/>
        <v>MID</v>
      </c>
      <c r="O221" s="4" t="str">
        <f t="shared" si="3"/>
        <v>RECENTLY PROMOTED</v>
      </c>
      <c r="P221" s="5" t="str">
        <f t="shared" si="4"/>
        <v>Medium_Pressure</v>
      </c>
      <c r="Q221" s="4" t="str">
        <f t="shared" si="5"/>
        <v>DISENGAGED</v>
      </c>
      <c r="R221" s="4" t="str">
        <f t="shared" si="7"/>
        <v>LOW</v>
      </c>
      <c r="S221" s="2"/>
      <c r="T221" s="2"/>
      <c r="U221" s="2"/>
      <c r="V221" s="2"/>
      <c r="W221" s="2"/>
      <c r="X221" s="2"/>
      <c r="Y221" s="2"/>
      <c r="Z221" s="2"/>
    </row>
    <row r="222" spans="1:26" ht="16.8" x14ac:dyDescent="0.3">
      <c r="A222" s="4">
        <v>304</v>
      </c>
      <c r="B222" s="4" t="s">
        <v>43</v>
      </c>
      <c r="C222" s="4">
        <v>36</v>
      </c>
      <c r="D222" s="4" t="s">
        <v>45</v>
      </c>
      <c r="E222" s="4" t="s">
        <v>50</v>
      </c>
      <c r="F222" s="4">
        <v>5914</v>
      </c>
      <c r="G222" s="4" t="s">
        <v>43</v>
      </c>
      <c r="H222" s="4">
        <v>13</v>
      </c>
      <c r="I222" s="4">
        <v>3</v>
      </c>
      <c r="J222" s="4">
        <v>2</v>
      </c>
      <c r="K222" s="4">
        <v>4</v>
      </c>
      <c r="L222" s="4" t="str">
        <f t="shared" si="0"/>
        <v>NORMAL</v>
      </c>
      <c r="M222" s="4" t="str">
        <f t="shared" si="1"/>
        <v>HIGH</v>
      </c>
      <c r="N222" s="4" t="str">
        <f t="shared" si="2"/>
        <v>SENIOR</v>
      </c>
      <c r="O222" s="4" t="str">
        <f t="shared" si="3"/>
        <v>MODERATE-WAIT</v>
      </c>
      <c r="P222" s="5" t="str">
        <f t="shared" si="4"/>
        <v>Low_Pressure</v>
      </c>
      <c r="Q222" s="4" t="str">
        <f t="shared" si="5"/>
        <v>DISENGAGED</v>
      </c>
      <c r="R222" s="4" t="str">
        <f t="shared" si="7"/>
        <v>LOW</v>
      </c>
      <c r="S222" s="2"/>
      <c r="T222" s="2"/>
      <c r="U222" s="2"/>
      <c r="V222" s="2"/>
      <c r="W222" s="2"/>
      <c r="X222" s="2"/>
      <c r="Y222" s="2"/>
      <c r="Z222" s="2"/>
    </row>
    <row r="223" spans="1:26" ht="16.8" x14ac:dyDescent="0.3">
      <c r="A223" s="4">
        <v>305</v>
      </c>
      <c r="B223" s="4" t="s">
        <v>43</v>
      </c>
      <c r="C223" s="4">
        <v>33</v>
      </c>
      <c r="D223" s="4" t="s">
        <v>45</v>
      </c>
      <c r="E223" s="4" t="s">
        <v>47</v>
      </c>
      <c r="F223" s="4">
        <v>2622</v>
      </c>
      <c r="G223" s="4" t="s">
        <v>43</v>
      </c>
      <c r="H223" s="4">
        <v>3</v>
      </c>
      <c r="I223" s="4">
        <v>1</v>
      </c>
      <c r="J223" s="4">
        <v>2</v>
      </c>
      <c r="K223" s="4">
        <v>3</v>
      </c>
      <c r="L223" s="4" t="str">
        <f t="shared" si="0"/>
        <v>NORMAL</v>
      </c>
      <c r="M223" s="4" t="str">
        <f t="shared" si="1"/>
        <v>LOW</v>
      </c>
      <c r="N223" s="4" t="str">
        <f t="shared" si="2"/>
        <v>MID</v>
      </c>
      <c r="O223" s="4" t="str">
        <f t="shared" si="3"/>
        <v>RECENTLY PROMOTED</v>
      </c>
      <c r="P223" s="5" t="str">
        <f t="shared" si="4"/>
        <v>Medium_Pressure</v>
      </c>
      <c r="Q223" s="4" t="str">
        <f t="shared" si="5"/>
        <v>DISENGAGED</v>
      </c>
      <c r="R223" s="4" t="str">
        <f t="shared" si="7"/>
        <v>LOW</v>
      </c>
      <c r="S223" s="2"/>
      <c r="T223" s="2"/>
      <c r="U223" s="2"/>
      <c r="V223" s="2"/>
      <c r="W223" s="2"/>
      <c r="X223" s="2"/>
      <c r="Y223" s="2"/>
      <c r="Z223" s="2"/>
    </row>
    <row r="224" spans="1:26" ht="16.8" x14ac:dyDescent="0.3">
      <c r="A224" s="4">
        <v>306</v>
      </c>
      <c r="B224" s="4" t="s">
        <v>43</v>
      </c>
      <c r="C224" s="4">
        <v>37</v>
      </c>
      <c r="D224" s="4" t="s">
        <v>45</v>
      </c>
      <c r="E224" s="4" t="s">
        <v>58</v>
      </c>
      <c r="F224" s="4">
        <v>12185</v>
      </c>
      <c r="G224" s="4" t="s">
        <v>35</v>
      </c>
      <c r="H224" s="4">
        <v>10</v>
      </c>
      <c r="I224" s="4">
        <v>0</v>
      </c>
      <c r="J224" s="4">
        <v>4</v>
      </c>
      <c r="K224" s="4">
        <v>3</v>
      </c>
      <c r="L224" s="4" t="str">
        <f t="shared" si="0"/>
        <v>NORMAL</v>
      </c>
      <c r="M224" s="4" t="str">
        <f t="shared" si="1"/>
        <v>MEDIUM</v>
      </c>
      <c r="N224" s="4" t="str">
        <f t="shared" si="2"/>
        <v>SENIOR</v>
      </c>
      <c r="O224" s="4" t="str">
        <f t="shared" si="3"/>
        <v>RECENTLY PROMOTED</v>
      </c>
      <c r="P224" s="5" t="str">
        <f t="shared" si="4"/>
        <v>Medium_Pressure</v>
      </c>
      <c r="Q224" s="4" t="str">
        <f t="shared" si="5"/>
        <v>HIGHLY_ENGAGED</v>
      </c>
      <c r="R224" s="4" t="str">
        <f t="shared" si="7"/>
        <v>LOW</v>
      </c>
      <c r="S224" s="2"/>
      <c r="T224" s="2"/>
      <c r="U224" s="2"/>
      <c r="V224" s="2"/>
      <c r="W224" s="2"/>
      <c r="X224" s="2"/>
      <c r="Y224" s="2"/>
      <c r="Z224" s="2"/>
    </row>
    <row r="225" spans="1:26" ht="16.8" x14ac:dyDescent="0.3">
      <c r="A225" s="4">
        <v>307</v>
      </c>
      <c r="B225" s="4" t="s">
        <v>43</v>
      </c>
      <c r="C225" s="4">
        <v>38</v>
      </c>
      <c r="D225" s="4" t="s">
        <v>37</v>
      </c>
      <c r="E225" s="4" t="s">
        <v>40</v>
      </c>
      <c r="F225" s="4">
        <v>10609</v>
      </c>
      <c r="G225" s="4" t="s">
        <v>43</v>
      </c>
      <c r="H225" s="4">
        <v>16</v>
      </c>
      <c r="I225" s="4">
        <v>5</v>
      </c>
      <c r="J225" s="4">
        <v>3</v>
      </c>
      <c r="K225" s="4">
        <v>2</v>
      </c>
      <c r="L225" s="4" t="str">
        <f t="shared" si="0"/>
        <v>NORMAL</v>
      </c>
      <c r="M225" s="4" t="str">
        <f t="shared" si="1"/>
        <v>MEDIUM</v>
      </c>
      <c r="N225" s="4" t="str">
        <f t="shared" si="2"/>
        <v>SENIOR</v>
      </c>
      <c r="O225" s="4" t="str">
        <f t="shared" si="3"/>
        <v>STAGNANT</v>
      </c>
      <c r="P225" s="5" t="str">
        <f t="shared" si="4"/>
        <v>Low_Pressure</v>
      </c>
      <c r="Q225" s="4" t="str">
        <f t="shared" si="5"/>
        <v>DISENGAGED</v>
      </c>
      <c r="R225" s="4" t="str">
        <f t="shared" si="7"/>
        <v>LOW</v>
      </c>
      <c r="S225" s="2"/>
      <c r="T225" s="2"/>
      <c r="U225" s="2"/>
      <c r="V225" s="2"/>
      <c r="W225" s="2"/>
      <c r="X225" s="2"/>
      <c r="Y225" s="2"/>
      <c r="Z225" s="2"/>
    </row>
    <row r="226" spans="1:26" ht="16.8" x14ac:dyDescent="0.3">
      <c r="A226" s="4">
        <v>308</v>
      </c>
      <c r="B226" s="4" t="s">
        <v>43</v>
      </c>
      <c r="C226" s="4">
        <v>31</v>
      </c>
      <c r="D226" s="4" t="s">
        <v>45</v>
      </c>
      <c r="E226" s="4" t="s">
        <v>53</v>
      </c>
      <c r="F226" s="4">
        <v>4345</v>
      </c>
      <c r="G226" s="4" t="s">
        <v>43</v>
      </c>
      <c r="H226" s="4">
        <v>5</v>
      </c>
      <c r="I226" s="4">
        <v>1</v>
      </c>
      <c r="J226" s="4">
        <v>3</v>
      </c>
      <c r="K226" s="4">
        <v>3</v>
      </c>
      <c r="L226" s="4" t="str">
        <f t="shared" si="0"/>
        <v>NORMAL</v>
      </c>
      <c r="M226" s="4" t="str">
        <f t="shared" si="1"/>
        <v>HIGH</v>
      </c>
      <c r="N226" s="4" t="str">
        <f t="shared" si="2"/>
        <v>MID</v>
      </c>
      <c r="O226" s="4" t="str">
        <f t="shared" si="3"/>
        <v>RECENTLY PROMOTED</v>
      </c>
      <c r="P226" s="5" t="str">
        <f t="shared" si="4"/>
        <v>Medium_Pressure</v>
      </c>
      <c r="Q226" s="4" t="str">
        <f t="shared" si="5"/>
        <v>HIGHLY_ENGAGED</v>
      </c>
      <c r="R226" s="4" t="str">
        <f t="shared" si="7"/>
        <v>LOW</v>
      </c>
      <c r="S226" s="2"/>
      <c r="T226" s="2"/>
      <c r="U226" s="2"/>
      <c r="V226" s="2"/>
      <c r="W226" s="2"/>
      <c r="X226" s="2"/>
      <c r="Y226" s="2"/>
      <c r="Z226" s="2"/>
    </row>
    <row r="227" spans="1:26" ht="16.8" x14ac:dyDescent="0.3">
      <c r="A227" s="4">
        <v>309</v>
      </c>
      <c r="B227" s="4" t="s">
        <v>43</v>
      </c>
      <c r="C227" s="4">
        <v>59</v>
      </c>
      <c r="D227" s="4" t="s">
        <v>45</v>
      </c>
      <c r="E227" s="4" t="s">
        <v>47</v>
      </c>
      <c r="F227" s="4">
        <v>2177</v>
      </c>
      <c r="G227" s="4" t="s">
        <v>43</v>
      </c>
      <c r="H227" s="4">
        <v>1</v>
      </c>
      <c r="I227" s="4">
        <v>0</v>
      </c>
      <c r="J227" s="4">
        <v>4</v>
      </c>
      <c r="K227" s="4">
        <v>3</v>
      </c>
      <c r="L227" s="4" t="str">
        <f t="shared" si="0"/>
        <v>NORMAL</v>
      </c>
      <c r="M227" s="4" t="str">
        <f t="shared" si="1"/>
        <v>LOW</v>
      </c>
      <c r="N227" s="4" t="str">
        <f t="shared" si="2"/>
        <v>NEW</v>
      </c>
      <c r="O227" s="4" t="str">
        <f t="shared" si="3"/>
        <v>RECENTLY PROMOTED</v>
      </c>
      <c r="P227" s="5" t="str">
        <f t="shared" si="4"/>
        <v>Medium_Pressure</v>
      </c>
      <c r="Q227" s="4" t="str">
        <f t="shared" si="5"/>
        <v>HIGHLY_ENGAGED</v>
      </c>
      <c r="R227" s="4" t="str">
        <f t="shared" si="7"/>
        <v>LOW</v>
      </c>
      <c r="S227" s="2"/>
      <c r="T227" s="2"/>
      <c r="U227" s="2"/>
      <c r="V227" s="2"/>
      <c r="W227" s="2"/>
      <c r="X227" s="2"/>
      <c r="Y227" s="2"/>
      <c r="Z227" s="2"/>
    </row>
    <row r="228" spans="1:26" ht="16.8" x14ac:dyDescent="0.3">
      <c r="A228" s="4">
        <v>311</v>
      </c>
      <c r="B228" s="4" t="s">
        <v>43</v>
      </c>
      <c r="C228" s="4">
        <v>37</v>
      </c>
      <c r="D228" s="4" t="s">
        <v>37</v>
      </c>
      <c r="E228" s="4" t="s">
        <v>57</v>
      </c>
      <c r="F228" s="4">
        <v>2793</v>
      </c>
      <c r="G228" s="4" t="s">
        <v>43</v>
      </c>
      <c r="H228" s="4">
        <v>9</v>
      </c>
      <c r="I228" s="4">
        <v>5</v>
      </c>
      <c r="J228" s="4">
        <v>4</v>
      </c>
      <c r="K228" s="4">
        <v>3</v>
      </c>
      <c r="L228" s="4" t="str">
        <f t="shared" si="0"/>
        <v>NORMAL</v>
      </c>
      <c r="M228" s="4" t="str">
        <f t="shared" si="1"/>
        <v>LOW</v>
      </c>
      <c r="N228" s="4" t="str">
        <f t="shared" si="2"/>
        <v>SENIOR</v>
      </c>
      <c r="O228" s="4" t="str">
        <f t="shared" si="3"/>
        <v>STAGNANT</v>
      </c>
      <c r="P228" s="5" t="str">
        <f t="shared" si="4"/>
        <v>Medium_Pressure</v>
      </c>
      <c r="Q228" s="4" t="str">
        <f t="shared" si="5"/>
        <v>HIGHLY_ENGAGED</v>
      </c>
      <c r="R228" s="4" t="str">
        <f t="shared" si="7"/>
        <v>LOW</v>
      </c>
      <c r="S228" s="2"/>
      <c r="T228" s="2"/>
      <c r="U228" s="2"/>
      <c r="V228" s="2"/>
      <c r="W228" s="2"/>
      <c r="X228" s="2"/>
      <c r="Y228" s="2"/>
      <c r="Z228" s="2"/>
    </row>
    <row r="229" spans="1:26" ht="16.8" x14ac:dyDescent="0.3">
      <c r="A229" s="4">
        <v>312</v>
      </c>
      <c r="B229" s="4" t="s">
        <v>43</v>
      </c>
      <c r="C229" s="4">
        <v>29</v>
      </c>
      <c r="D229" s="4" t="s">
        <v>37</v>
      </c>
      <c r="E229" s="4" t="s">
        <v>40</v>
      </c>
      <c r="F229" s="4">
        <v>7918</v>
      </c>
      <c r="G229" s="4" t="s">
        <v>43</v>
      </c>
      <c r="H229" s="4">
        <v>11</v>
      </c>
      <c r="I229" s="4">
        <v>4</v>
      </c>
      <c r="J229" s="4">
        <v>4</v>
      </c>
      <c r="K229" s="4">
        <v>3</v>
      </c>
      <c r="L229" s="4" t="str">
        <f t="shared" si="0"/>
        <v>NORMAL</v>
      </c>
      <c r="M229" s="4" t="str">
        <f t="shared" si="1"/>
        <v>HIGH</v>
      </c>
      <c r="N229" s="4" t="str">
        <f t="shared" si="2"/>
        <v>SENIOR</v>
      </c>
      <c r="O229" s="4" t="str">
        <f t="shared" si="3"/>
        <v>STAGNANT</v>
      </c>
      <c r="P229" s="5" t="str">
        <f t="shared" si="4"/>
        <v>Medium_Pressure</v>
      </c>
      <c r="Q229" s="4" t="str">
        <f t="shared" si="5"/>
        <v>HIGHLY_ENGAGED</v>
      </c>
      <c r="R229" s="4" t="str">
        <f t="shared" si="7"/>
        <v>LOW</v>
      </c>
      <c r="S229" s="2"/>
      <c r="T229" s="2"/>
      <c r="U229" s="2"/>
      <c r="V229" s="2"/>
      <c r="W229" s="2"/>
      <c r="X229" s="2"/>
      <c r="Y229" s="2"/>
      <c r="Z229" s="2"/>
    </row>
    <row r="230" spans="1:26" ht="16.8" x14ac:dyDescent="0.3">
      <c r="A230" s="4">
        <v>314</v>
      </c>
      <c r="B230" s="4" t="s">
        <v>43</v>
      </c>
      <c r="C230" s="4">
        <v>35</v>
      </c>
      <c r="D230" s="4" t="s">
        <v>37</v>
      </c>
      <c r="E230" s="4" t="s">
        <v>40</v>
      </c>
      <c r="F230" s="4">
        <v>8789</v>
      </c>
      <c r="G230" s="4" t="s">
        <v>43</v>
      </c>
      <c r="H230" s="4">
        <v>10</v>
      </c>
      <c r="I230" s="4">
        <v>0</v>
      </c>
      <c r="J230" s="4">
        <v>3</v>
      </c>
      <c r="K230" s="4">
        <v>4</v>
      </c>
      <c r="L230" s="4" t="str">
        <f t="shared" si="0"/>
        <v>NORMAL</v>
      </c>
      <c r="M230" s="4" t="str">
        <f t="shared" si="1"/>
        <v>HIGH</v>
      </c>
      <c r="N230" s="4" t="str">
        <f t="shared" si="2"/>
        <v>SENIOR</v>
      </c>
      <c r="O230" s="4" t="str">
        <f t="shared" si="3"/>
        <v>RECENTLY PROMOTED</v>
      </c>
      <c r="P230" s="5" t="str">
        <f t="shared" si="4"/>
        <v>Low_Pressure</v>
      </c>
      <c r="Q230" s="4" t="str">
        <f t="shared" si="5"/>
        <v>HIGHLY_ENGAGED</v>
      </c>
      <c r="R230" s="4" t="str">
        <f t="shared" si="7"/>
        <v>LOW</v>
      </c>
      <c r="S230" s="2"/>
      <c r="T230" s="2"/>
      <c r="U230" s="2"/>
      <c r="V230" s="2"/>
      <c r="W230" s="2"/>
      <c r="X230" s="2"/>
      <c r="Y230" s="2"/>
      <c r="Z230" s="2"/>
    </row>
    <row r="231" spans="1:26" ht="16.8" x14ac:dyDescent="0.3">
      <c r="A231" s="4">
        <v>315</v>
      </c>
      <c r="B231" s="4" t="s">
        <v>35</v>
      </c>
      <c r="C231" s="4">
        <v>29</v>
      </c>
      <c r="D231" s="4" t="s">
        <v>45</v>
      </c>
      <c r="E231" s="4" t="s">
        <v>47</v>
      </c>
      <c r="F231" s="4">
        <v>2389</v>
      </c>
      <c r="G231" s="4" t="s">
        <v>35</v>
      </c>
      <c r="H231" s="4">
        <v>4</v>
      </c>
      <c r="I231" s="4">
        <v>0</v>
      </c>
      <c r="J231" s="4">
        <v>4</v>
      </c>
      <c r="K231" s="4">
        <v>2</v>
      </c>
      <c r="L231" s="4" t="str">
        <f t="shared" si="0"/>
        <v>NORMAL</v>
      </c>
      <c r="M231" s="4" t="str">
        <f t="shared" si="1"/>
        <v>LOW</v>
      </c>
      <c r="N231" s="4" t="str">
        <f t="shared" si="2"/>
        <v>MID</v>
      </c>
      <c r="O231" s="4" t="str">
        <f t="shared" si="3"/>
        <v>RECENTLY PROMOTED</v>
      </c>
      <c r="P231" s="5" t="str">
        <f t="shared" si="4"/>
        <v>High_Pressure</v>
      </c>
      <c r="Q231" s="4" t="str">
        <f t="shared" si="5"/>
        <v>DISENGAGED</v>
      </c>
      <c r="R231" s="4" t="str">
        <f t="shared" si="7"/>
        <v>LOW</v>
      </c>
      <c r="S231" s="2"/>
      <c r="T231" s="2"/>
      <c r="U231" s="2"/>
      <c r="V231" s="2"/>
      <c r="W231" s="2"/>
      <c r="X231" s="2"/>
      <c r="Y231" s="2"/>
      <c r="Z231" s="2"/>
    </row>
    <row r="232" spans="1:26" ht="16.8" x14ac:dyDescent="0.3">
      <c r="A232" s="4">
        <v>316</v>
      </c>
      <c r="B232" s="4" t="s">
        <v>43</v>
      </c>
      <c r="C232" s="4">
        <v>52</v>
      </c>
      <c r="D232" s="4" t="s">
        <v>45</v>
      </c>
      <c r="E232" s="4" t="s">
        <v>50</v>
      </c>
      <c r="F232" s="4">
        <v>3212</v>
      </c>
      <c r="G232" s="4" t="s">
        <v>43</v>
      </c>
      <c r="H232" s="4">
        <v>2</v>
      </c>
      <c r="I232" s="4">
        <v>2</v>
      </c>
      <c r="J232" s="4">
        <v>4</v>
      </c>
      <c r="K232" s="4">
        <v>2</v>
      </c>
      <c r="L232" s="4" t="str">
        <f t="shared" si="0"/>
        <v>NORMAL</v>
      </c>
      <c r="M232" s="4" t="str">
        <f t="shared" si="1"/>
        <v>LOW</v>
      </c>
      <c r="N232" s="4" t="str">
        <f t="shared" si="2"/>
        <v>NEW</v>
      </c>
      <c r="O232" s="4" t="str">
        <f t="shared" si="3"/>
        <v>MODERATE-WAIT</v>
      </c>
      <c r="P232" s="5" t="str">
        <f t="shared" si="4"/>
        <v>Low_Pressure</v>
      </c>
      <c r="Q232" s="4" t="str">
        <f t="shared" si="5"/>
        <v>DISENGAGED</v>
      </c>
      <c r="R232" s="4" t="str">
        <f t="shared" si="7"/>
        <v>LOW</v>
      </c>
      <c r="S232" s="2"/>
      <c r="T232" s="2"/>
      <c r="U232" s="2"/>
      <c r="V232" s="2"/>
      <c r="W232" s="2"/>
      <c r="X232" s="2"/>
      <c r="Y232" s="2"/>
      <c r="Z232" s="2"/>
    </row>
    <row r="233" spans="1:26" ht="16.8" x14ac:dyDescent="0.3">
      <c r="A233" s="4">
        <v>319</v>
      </c>
      <c r="B233" s="4" t="s">
        <v>43</v>
      </c>
      <c r="C233" s="4">
        <v>42</v>
      </c>
      <c r="D233" s="4" t="s">
        <v>45</v>
      </c>
      <c r="E233" s="4" t="s">
        <v>56</v>
      </c>
      <c r="F233" s="4">
        <v>19232</v>
      </c>
      <c r="G233" s="4" t="s">
        <v>43</v>
      </c>
      <c r="H233" s="4">
        <v>22</v>
      </c>
      <c r="I233" s="4">
        <v>11</v>
      </c>
      <c r="J233" s="4">
        <v>4</v>
      </c>
      <c r="K233" s="4">
        <v>3</v>
      </c>
      <c r="L233" s="4" t="str">
        <f t="shared" si="0"/>
        <v>NORMAL</v>
      </c>
      <c r="M233" s="4" t="str">
        <f t="shared" si="1"/>
        <v>MEDIUM</v>
      </c>
      <c r="N233" s="4" t="str">
        <f t="shared" si="2"/>
        <v>SENIOR</v>
      </c>
      <c r="O233" s="4" t="str">
        <f t="shared" si="3"/>
        <v>STAGNANT</v>
      </c>
      <c r="P233" s="5" t="str">
        <f t="shared" si="4"/>
        <v>Medium_Pressure</v>
      </c>
      <c r="Q233" s="4" t="str">
        <f t="shared" si="5"/>
        <v>HIGHLY_ENGAGED</v>
      </c>
      <c r="R233" s="4" t="str">
        <f t="shared" si="7"/>
        <v>LOW</v>
      </c>
      <c r="S233" s="2"/>
      <c r="T233" s="2"/>
      <c r="U233" s="2"/>
      <c r="V233" s="2"/>
      <c r="W233" s="2"/>
      <c r="X233" s="2"/>
      <c r="Y233" s="2"/>
      <c r="Z233" s="2"/>
    </row>
    <row r="234" spans="1:26" ht="16.8" x14ac:dyDescent="0.3">
      <c r="A234" s="4">
        <v>321</v>
      </c>
      <c r="B234" s="4" t="s">
        <v>43</v>
      </c>
      <c r="C234" s="4">
        <v>59</v>
      </c>
      <c r="D234" s="4" t="s">
        <v>61</v>
      </c>
      <c r="E234" s="4" t="s">
        <v>61</v>
      </c>
      <c r="F234" s="4">
        <v>2267</v>
      </c>
      <c r="G234" s="4" t="s">
        <v>43</v>
      </c>
      <c r="H234" s="4">
        <v>2</v>
      </c>
      <c r="I234" s="4">
        <v>2</v>
      </c>
      <c r="J234" s="4">
        <v>3</v>
      </c>
      <c r="K234" s="4">
        <v>2</v>
      </c>
      <c r="L234" s="4" t="str">
        <f t="shared" si="0"/>
        <v>NORMAL</v>
      </c>
      <c r="M234" s="4" t="str">
        <f t="shared" si="1"/>
        <v>LOW</v>
      </c>
      <c r="N234" s="4" t="str">
        <f t="shared" si="2"/>
        <v>NEW</v>
      </c>
      <c r="O234" s="4" t="str">
        <f t="shared" si="3"/>
        <v>MODERATE-WAIT</v>
      </c>
      <c r="P234" s="5" t="str">
        <f t="shared" si="4"/>
        <v>Low_Pressure</v>
      </c>
      <c r="Q234" s="4" t="str">
        <f t="shared" si="5"/>
        <v>DISENGAGED</v>
      </c>
      <c r="R234" s="4" t="str">
        <f t="shared" si="7"/>
        <v>LOW</v>
      </c>
      <c r="S234" s="2"/>
      <c r="T234" s="2"/>
      <c r="U234" s="2"/>
      <c r="V234" s="2"/>
      <c r="W234" s="2"/>
      <c r="X234" s="2"/>
      <c r="Y234" s="2"/>
      <c r="Z234" s="2"/>
    </row>
    <row r="235" spans="1:26" ht="16.8" x14ac:dyDescent="0.3">
      <c r="A235" s="4">
        <v>323</v>
      </c>
      <c r="B235" s="4" t="s">
        <v>43</v>
      </c>
      <c r="C235" s="4">
        <v>50</v>
      </c>
      <c r="D235" s="4" t="s">
        <v>37</v>
      </c>
      <c r="E235" s="4" t="s">
        <v>56</v>
      </c>
      <c r="F235" s="4">
        <v>19517</v>
      </c>
      <c r="G235" s="4" t="s">
        <v>43</v>
      </c>
      <c r="H235" s="4">
        <v>7</v>
      </c>
      <c r="I235" s="4">
        <v>0</v>
      </c>
      <c r="J235" s="4">
        <v>4</v>
      </c>
      <c r="K235" s="4">
        <v>2</v>
      </c>
      <c r="L235" s="4" t="str">
        <f t="shared" si="0"/>
        <v>NORMAL</v>
      </c>
      <c r="M235" s="4" t="str">
        <f t="shared" si="1"/>
        <v>MEDIUM</v>
      </c>
      <c r="N235" s="4" t="str">
        <f t="shared" si="2"/>
        <v>SENIOR</v>
      </c>
      <c r="O235" s="4" t="str">
        <f t="shared" si="3"/>
        <v>RECENTLY PROMOTED</v>
      </c>
      <c r="P235" s="5" t="str">
        <f t="shared" si="4"/>
        <v>Low_Pressure</v>
      </c>
      <c r="Q235" s="4" t="str">
        <f t="shared" si="5"/>
        <v>DISENGAGED</v>
      </c>
      <c r="R235" s="4" t="str">
        <f t="shared" si="7"/>
        <v>LOW</v>
      </c>
      <c r="S235" s="2"/>
      <c r="T235" s="2"/>
      <c r="U235" s="2"/>
      <c r="V235" s="2"/>
      <c r="W235" s="2"/>
      <c r="X235" s="2"/>
      <c r="Y235" s="2"/>
      <c r="Z235" s="2"/>
    </row>
    <row r="236" spans="1:26" ht="16.8" x14ac:dyDescent="0.3">
      <c r="A236" s="4">
        <v>325</v>
      </c>
      <c r="B236" s="4" t="s">
        <v>35</v>
      </c>
      <c r="C236" s="4">
        <v>33</v>
      </c>
      <c r="D236" s="4" t="s">
        <v>45</v>
      </c>
      <c r="E236" s="4" t="s">
        <v>50</v>
      </c>
      <c r="F236" s="4">
        <v>2436</v>
      </c>
      <c r="G236" s="4" t="s">
        <v>35</v>
      </c>
      <c r="H236" s="4">
        <v>5</v>
      </c>
      <c r="I236" s="4">
        <v>0</v>
      </c>
      <c r="J236" s="4">
        <v>4</v>
      </c>
      <c r="K236" s="4">
        <v>1</v>
      </c>
      <c r="L236" s="4" t="str">
        <f t="shared" si="0"/>
        <v>NORMAL</v>
      </c>
      <c r="M236" s="4" t="str">
        <f t="shared" si="1"/>
        <v>LOW</v>
      </c>
      <c r="N236" s="4" t="str">
        <f t="shared" si="2"/>
        <v>MID</v>
      </c>
      <c r="O236" s="4" t="str">
        <f t="shared" si="3"/>
        <v>RECENTLY PROMOTED</v>
      </c>
      <c r="P236" s="5" t="str">
        <f t="shared" si="4"/>
        <v>High_Pressure</v>
      </c>
      <c r="Q236" s="4" t="str">
        <f t="shared" si="5"/>
        <v>DISENGAGED</v>
      </c>
      <c r="R236" s="4" t="str">
        <f t="shared" si="7"/>
        <v>LOW</v>
      </c>
      <c r="S236" s="2"/>
      <c r="T236" s="2"/>
      <c r="U236" s="2"/>
      <c r="V236" s="2"/>
      <c r="W236" s="2"/>
      <c r="X236" s="2"/>
      <c r="Y236" s="2"/>
      <c r="Z236" s="2"/>
    </row>
    <row r="237" spans="1:26" ht="16.8" x14ac:dyDescent="0.3">
      <c r="A237" s="4">
        <v>327</v>
      </c>
      <c r="B237" s="4" t="s">
        <v>43</v>
      </c>
      <c r="C237" s="4">
        <v>43</v>
      </c>
      <c r="D237" s="4" t="s">
        <v>37</v>
      </c>
      <c r="E237" s="4" t="s">
        <v>56</v>
      </c>
      <c r="F237" s="4">
        <v>16064</v>
      </c>
      <c r="G237" s="4" t="s">
        <v>35</v>
      </c>
      <c r="H237" s="4">
        <v>17</v>
      </c>
      <c r="I237" s="4">
        <v>1</v>
      </c>
      <c r="J237" s="4">
        <v>4</v>
      </c>
      <c r="K237" s="4">
        <v>3</v>
      </c>
      <c r="L237" s="4" t="str">
        <f t="shared" si="0"/>
        <v>NORMAL</v>
      </c>
      <c r="M237" s="4" t="str">
        <f t="shared" si="1"/>
        <v>MEDIUM</v>
      </c>
      <c r="N237" s="4" t="str">
        <f t="shared" si="2"/>
        <v>SENIOR</v>
      </c>
      <c r="O237" s="4" t="str">
        <f t="shared" si="3"/>
        <v>RECENTLY PROMOTED</v>
      </c>
      <c r="P237" s="5" t="str">
        <f t="shared" si="4"/>
        <v>Medium_Pressure</v>
      </c>
      <c r="Q237" s="4" t="str">
        <f t="shared" si="5"/>
        <v>HIGHLY_ENGAGED</v>
      </c>
      <c r="R237" s="4" t="str">
        <f t="shared" si="7"/>
        <v>LOW</v>
      </c>
      <c r="S237" s="2"/>
      <c r="T237" s="2"/>
      <c r="U237" s="2"/>
      <c r="V237" s="2"/>
      <c r="W237" s="2"/>
      <c r="X237" s="2"/>
      <c r="Y237" s="2"/>
      <c r="Z237" s="2"/>
    </row>
    <row r="238" spans="1:26" ht="16.8" x14ac:dyDescent="0.3">
      <c r="A238" s="4">
        <v>328</v>
      </c>
      <c r="B238" s="4" t="s">
        <v>35</v>
      </c>
      <c r="C238" s="4">
        <v>33</v>
      </c>
      <c r="D238" s="4" t="s">
        <v>45</v>
      </c>
      <c r="E238" s="4" t="s">
        <v>50</v>
      </c>
      <c r="F238" s="4">
        <v>2707</v>
      </c>
      <c r="G238" s="4" t="s">
        <v>43</v>
      </c>
      <c r="H238" s="4">
        <v>9</v>
      </c>
      <c r="I238" s="4">
        <v>1</v>
      </c>
      <c r="J238" s="4">
        <v>1</v>
      </c>
      <c r="K238" s="4">
        <v>4</v>
      </c>
      <c r="L238" s="4" t="str">
        <f t="shared" si="0"/>
        <v>NORMAL</v>
      </c>
      <c r="M238" s="4" t="str">
        <f t="shared" si="1"/>
        <v>LOW</v>
      </c>
      <c r="N238" s="4" t="str">
        <f t="shared" si="2"/>
        <v>SENIOR</v>
      </c>
      <c r="O238" s="4" t="str">
        <f t="shared" si="3"/>
        <v>RECENTLY PROMOTED</v>
      </c>
      <c r="P238" s="5" t="str">
        <f t="shared" si="4"/>
        <v>Low_Pressure</v>
      </c>
      <c r="Q238" s="4" t="str">
        <f t="shared" si="5"/>
        <v>DISENGAGED</v>
      </c>
      <c r="R238" s="4" t="str">
        <f t="shared" si="7"/>
        <v>LOW</v>
      </c>
      <c r="S238" s="2"/>
      <c r="T238" s="2"/>
      <c r="U238" s="2"/>
      <c r="V238" s="2"/>
      <c r="W238" s="2"/>
      <c r="X238" s="2"/>
      <c r="Y238" s="2"/>
      <c r="Z238" s="2"/>
    </row>
    <row r="239" spans="1:26" ht="16.8" x14ac:dyDescent="0.3">
      <c r="A239" s="4">
        <v>329</v>
      </c>
      <c r="B239" s="4" t="s">
        <v>43</v>
      </c>
      <c r="C239" s="4">
        <v>52</v>
      </c>
      <c r="D239" s="4" t="s">
        <v>37</v>
      </c>
      <c r="E239" s="4" t="s">
        <v>56</v>
      </c>
      <c r="F239" s="4">
        <v>19068</v>
      </c>
      <c r="G239" s="4" t="s">
        <v>35</v>
      </c>
      <c r="H239" s="4">
        <v>33</v>
      </c>
      <c r="I239" s="4">
        <v>15</v>
      </c>
      <c r="J239" s="4">
        <v>3</v>
      </c>
      <c r="K239" s="4">
        <v>4</v>
      </c>
      <c r="L239" s="4" t="str">
        <f t="shared" si="0"/>
        <v>NORMAL</v>
      </c>
      <c r="M239" s="4" t="str">
        <f t="shared" si="1"/>
        <v>MEDIUM</v>
      </c>
      <c r="N239" s="4" t="str">
        <f t="shared" si="2"/>
        <v>SENIOR</v>
      </c>
      <c r="O239" s="4" t="str">
        <f t="shared" si="3"/>
        <v>STAGNANT</v>
      </c>
      <c r="P239" s="5" t="str">
        <f t="shared" si="4"/>
        <v>Medium_Pressure</v>
      </c>
      <c r="Q239" s="4" t="str">
        <f t="shared" si="5"/>
        <v>HIGHLY_ENGAGED</v>
      </c>
      <c r="R239" s="4" t="str">
        <f t="shared" si="7"/>
        <v>LOW</v>
      </c>
      <c r="S239" s="2"/>
      <c r="T239" s="2"/>
      <c r="U239" s="2"/>
      <c r="V239" s="2"/>
      <c r="W239" s="2"/>
      <c r="X239" s="2"/>
      <c r="Y239" s="2"/>
      <c r="Z239" s="2"/>
    </row>
    <row r="240" spans="1:26" ht="16.8" x14ac:dyDescent="0.3">
      <c r="A240" s="4">
        <v>330</v>
      </c>
      <c r="B240" s="4" t="s">
        <v>43</v>
      </c>
      <c r="C240" s="4">
        <v>32</v>
      </c>
      <c r="D240" s="4" t="s">
        <v>37</v>
      </c>
      <c r="E240" s="4" t="s">
        <v>57</v>
      </c>
      <c r="F240" s="4">
        <v>3931</v>
      </c>
      <c r="G240" s="4" t="s">
        <v>43</v>
      </c>
      <c r="H240" s="4">
        <v>4</v>
      </c>
      <c r="I240" s="4">
        <v>1</v>
      </c>
      <c r="J240" s="4">
        <v>2</v>
      </c>
      <c r="K240" s="4">
        <v>3</v>
      </c>
      <c r="L240" s="4" t="str">
        <f t="shared" si="0"/>
        <v>NORMAL</v>
      </c>
      <c r="M240" s="4" t="str">
        <f t="shared" si="1"/>
        <v>LOW</v>
      </c>
      <c r="N240" s="4" t="str">
        <f t="shared" si="2"/>
        <v>MID</v>
      </c>
      <c r="O240" s="4" t="str">
        <f t="shared" si="3"/>
        <v>RECENTLY PROMOTED</v>
      </c>
      <c r="P240" s="5" t="str">
        <f t="shared" si="4"/>
        <v>Medium_Pressure</v>
      </c>
      <c r="Q240" s="4" t="str">
        <f t="shared" si="5"/>
        <v>DISENGAGED</v>
      </c>
      <c r="R240" s="4" t="str">
        <f t="shared" si="7"/>
        <v>LOW</v>
      </c>
      <c r="S240" s="2"/>
      <c r="T240" s="2"/>
      <c r="U240" s="2"/>
      <c r="V240" s="2"/>
      <c r="W240" s="2"/>
      <c r="X240" s="2"/>
      <c r="Y240" s="2"/>
      <c r="Z240" s="2"/>
    </row>
    <row r="241" spans="1:26" ht="16.8" x14ac:dyDescent="0.3">
      <c r="A241" s="4">
        <v>331</v>
      </c>
      <c r="B241" s="4" t="s">
        <v>35</v>
      </c>
      <c r="C241" s="4">
        <v>32</v>
      </c>
      <c r="D241" s="4" t="s">
        <v>45</v>
      </c>
      <c r="E241" s="4" t="s">
        <v>50</v>
      </c>
      <c r="F241" s="4">
        <v>3730</v>
      </c>
      <c r="G241" s="4" t="s">
        <v>35</v>
      </c>
      <c r="H241" s="4">
        <v>3</v>
      </c>
      <c r="I241" s="4">
        <v>1</v>
      </c>
      <c r="J241" s="4">
        <v>3</v>
      </c>
      <c r="K241" s="4">
        <v>1</v>
      </c>
      <c r="L241" s="4" t="str">
        <f t="shared" si="0"/>
        <v>NORMAL</v>
      </c>
      <c r="M241" s="4" t="str">
        <f t="shared" si="1"/>
        <v>LOW</v>
      </c>
      <c r="N241" s="4" t="str">
        <f t="shared" si="2"/>
        <v>MID</v>
      </c>
      <c r="O241" s="4" t="str">
        <f t="shared" si="3"/>
        <v>RECENTLY PROMOTED</v>
      </c>
      <c r="P241" s="5" t="str">
        <f t="shared" si="4"/>
        <v>High_Pressure</v>
      </c>
      <c r="Q241" s="4" t="str">
        <f t="shared" si="5"/>
        <v>DISENGAGED</v>
      </c>
      <c r="R241" s="4" t="str">
        <f t="shared" si="7"/>
        <v>LOW</v>
      </c>
      <c r="S241" s="2"/>
      <c r="T241" s="2"/>
      <c r="U241" s="2"/>
      <c r="V241" s="2"/>
      <c r="W241" s="2"/>
      <c r="X241" s="2"/>
      <c r="Y241" s="2"/>
      <c r="Z241" s="2"/>
    </row>
    <row r="242" spans="1:26" ht="16.8" x14ac:dyDescent="0.3">
      <c r="A242" s="4">
        <v>332</v>
      </c>
      <c r="B242" s="4" t="s">
        <v>43</v>
      </c>
      <c r="C242" s="4">
        <v>39</v>
      </c>
      <c r="D242" s="4" t="s">
        <v>45</v>
      </c>
      <c r="E242" s="4" t="s">
        <v>50</v>
      </c>
      <c r="F242" s="4">
        <v>2232</v>
      </c>
      <c r="G242" s="4" t="s">
        <v>43</v>
      </c>
      <c r="H242" s="4">
        <v>3</v>
      </c>
      <c r="I242" s="4">
        <v>1</v>
      </c>
      <c r="J242" s="4">
        <v>3</v>
      </c>
      <c r="K242" s="4">
        <v>3</v>
      </c>
      <c r="L242" s="4" t="str">
        <f t="shared" si="0"/>
        <v>NORMAL</v>
      </c>
      <c r="M242" s="4" t="str">
        <f t="shared" si="1"/>
        <v>LOW</v>
      </c>
      <c r="N242" s="4" t="str">
        <f t="shared" si="2"/>
        <v>MID</v>
      </c>
      <c r="O242" s="4" t="str">
        <f t="shared" si="3"/>
        <v>RECENTLY PROMOTED</v>
      </c>
      <c r="P242" s="5" t="str">
        <f t="shared" si="4"/>
        <v>Medium_Pressure</v>
      </c>
      <c r="Q242" s="4" t="str">
        <f t="shared" si="5"/>
        <v>HIGHLY_ENGAGED</v>
      </c>
      <c r="R242" s="4" t="str">
        <f t="shared" si="7"/>
        <v>LOW</v>
      </c>
      <c r="S242" s="2"/>
      <c r="T242" s="2"/>
      <c r="U242" s="2"/>
      <c r="V242" s="2"/>
      <c r="W242" s="2"/>
      <c r="X242" s="2"/>
      <c r="Y242" s="2"/>
      <c r="Z242" s="2"/>
    </row>
    <row r="243" spans="1:26" ht="16.8" x14ac:dyDescent="0.3">
      <c r="A243" s="4">
        <v>333</v>
      </c>
      <c r="B243" s="4" t="s">
        <v>43</v>
      </c>
      <c r="C243" s="4">
        <v>32</v>
      </c>
      <c r="D243" s="4" t="s">
        <v>37</v>
      </c>
      <c r="E243" s="4" t="s">
        <v>40</v>
      </c>
      <c r="F243" s="4">
        <v>4465</v>
      </c>
      <c r="G243" s="4" t="s">
        <v>43</v>
      </c>
      <c r="H243" s="4">
        <v>3</v>
      </c>
      <c r="I243" s="4">
        <v>2</v>
      </c>
      <c r="J243" s="4">
        <v>4</v>
      </c>
      <c r="K243" s="4">
        <v>3</v>
      </c>
      <c r="L243" s="4" t="str">
        <f t="shared" si="0"/>
        <v>NORMAL</v>
      </c>
      <c r="M243" s="4" t="str">
        <f t="shared" si="1"/>
        <v>HIGH</v>
      </c>
      <c r="N243" s="4" t="str">
        <f t="shared" si="2"/>
        <v>MID</v>
      </c>
      <c r="O243" s="4" t="str">
        <f t="shared" si="3"/>
        <v>MODERATE-WAIT</v>
      </c>
      <c r="P243" s="5" t="str">
        <f t="shared" si="4"/>
        <v>Medium_Pressure</v>
      </c>
      <c r="Q243" s="4" t="str">
        <f t="shared" si="5"/>
        <v>HIGHLY_ENGAGED</v>
      </c>
      <c r="R243" s="4" t="str">
        <f t="shared" si="7"/>
        <v>LOW</v>
      </c>
      <c r="S243" s="2"/>
      <c r="T243" s="2"/>
      <c r="U243" s="2"/>
      <c r="V243" s="2"/>
      <c r="W243" s="2"/>
      <c r="X243" s="2"/>
      <c r="Y243" s="2"/>
      <c r="Z243" s="2"/>
    </row>
    <row r="244" spans="1:26" ht="16.8" x14ac:dyDescent="0.3">
      <c r="A244" s="4">
        <v>334</v>
      </c>
      <c r="B244" s="4" t="s">
        <v>43</v>
      </c>
      <c r="C244" s="4">
        <v>41</v>
      </c>
      <c r="D244" s="4" t="s">
        <v>45</v>
      </c>
      <c r="E244" s="4" t="s">
        <v>47</v>
      </c>
      <c r="F244" s="4">
        <v>3072</v>
      </c>
      <c r="G244" s="4" t="s">
        <v>43</v>
      </c>
      <c r="H244" s="4">
        <v>1</v>
      </c>
      <c r="I244" s="4">
        <v>0</v>
      </c>
      <c r="J244" s="4">
        <v>1</v>
      </c>
      <c r="K244" s="4">
        <v>2</v>
      </c>
      <c r="L244" s="4" t="str">
        <f t="shared" si="0"/>
        <v>NORMAL</v>
      </c>
      <c r="M244" s="4" t="str">
        <f t="shared" si="1"/>
        <v>LOW</v>
      </c>
      <c r="N244" s="4" t="str">
        <f t="shared" si="2"/>
        <v>NEW</v>
      </c>
      <c r="O244" s="4" t="str">
        <f t="shared" si="3"/>
        <v>RECENTLY PROMOTED</v>
      </c>
      <c r="P244" s="5" t="str">
        <f t="shared" si="4"/>
        <v>Low_Pressure</v>
      </c>
      <c r="Q244" s="4" t="str">
        <f t="shared" si="5"/>
        <v>DISENGAGED</v>
      </c>
      <c r="R244" s="4" t="str">
        <f t="shared" si="7"/>
        <v>LOW</v>
      </c>
      <c r="S244" s="2"/>
      <c r="T244" s="2"/>
      <c r="U244" s="2"/>
      <c r="V244" s="2"/>
      <c r="W244" s="2"/>
      <c r="X244" s="2"/>
      <c r="Y244" s="2"/>
      <c r="Z244" s="2"/>
    </row>
    <row r="245" spans="1:26" ht="16.8" x14ac:dyDescent="0.3">
      <c r="A245" s="4">
        <v>335</v>
      </c>
      <c r="B245" s="4" t="s">
        <v>43</v>
      </c>
      <c r="C245" s="4">
        <v>40</v>
      </c>
      <c r="D245" s="4" t="s">
        <v>45</v>
      </c>
      <c r="E245" s="4" t="s">
        <v>47</v>
      </c>
      <c r="F245" s="4">
        <v>3319</v>
      </c>
      <c r="G245" s="4" t="s">
        <v>43</v>
      </c>
      <c r="H245" s="4">
        <v>9</v>
      </c>
      <c r="I245" s="4">
        <v>4</v>
      </c>
      <c r="J245" s="4">
        <v>4</v>
      </c>
      <c r="K245" s="4">
        <v>3</v>
      </c>
      <c r="L245" s="4" t="str">
        <f t="shared" si="0"/>
        <v>NORMAL</v>
      </c>
      <c r="M245" s="4" t="str">
        <f t="shared" si="1"/>
        <v>LOW</v>
      </c>
      <c r="N245" s="4" t="str">
        <f t="shared" si="2"/>
        <v>SENIOR</v>
      </c>
      <c r="O245" s="4" t="str">
        <f t="shared" si="3"/>
        <v>STAGNANT</v>
      </c>
      <c r="P245" s="5" t="str">
        <f t="shared" si="4"/>
        <v>Medium_Pressure</v>
      </c>
      <c r="Q245" s="4" t="str">
        <f t="shared" si="5"/>
        <v>HIGHLY_ENGAGED</v>
      </c>
      <c r="R245" s="4" t="str">
        <f t="shared" si="7"/>
        <v>LOW</v>
      </c>
      <c r="S245" s="2"/>
      <c r="T245" s="2"/>
      <c r="U245" s="2"/>
      <c r="V245" s="2"/>
      <c r="W245" s="2"/>
      <c r="X245" s="2"/>
      <c r="Y245" s="2"/>
      <c r="Z245" s="2"/>
    </row>
    <row r="246" spans="1:26" ht="16.8" x14ac:dyDescent="0.3">
      <c r="A246" s="4">
        <v>336</v>
      </c>
      <c r="B246" s="4" t="s">
        <v>43</v>
      </c>
      <c r="C246" s="4">
        <v>45</v>
      </c>
      <c r="D246" s="4" t="s">
        <v>45</v>
      </c>
      <c r="E246" s="4" t="s">
        <v>56</v>
      </c>
      <c r="F246" s="4">
        <v>19202</v>
      </c>
      <c r="G246" s="4" t="s">
        <v>43</v>
      </c>
      <c r="H246" s="4">
        <v>24</v>
      </c>
      <c r="I246" s="4">
        <v>1</v>
      </c>
      <c r="J246" s="4">
        <v>4</v>
      </c>
      <c r="K246" s="4">
        <v>3</v>
      </c>
      <c r="L246" s="4" t="str">
        <f t="shared" si="0"/>
        <v>NORMAL</v>
      </c>
      <c r="M246" s="4" t="str">
        <f t="shared" si="1"/>
        <v>MEDIUM</v>
      </c>
      <c r="N246" s="4" t="str">
        <f t="shared" si="2"/>
        <v>SENIOR</v>
      </c>
      <c r="O246" s="4" t="str">
        <f t="shared" si="3"/>
        <v>RECENTLY PROMOTED</v>
      </c>
      <c r="P246" s="5" t="str">
        <f t="shared" si="4"/>
        <v>Medium_Pressure</v>
      </c>
      <c r="Q246" s="4" t="str">
        <f t="shared" si="5"/>
        <v>HIGHLY_ENGAGED</v>
      </c>
      <c r="R246" s="4" t="str">
        <f t="shared" si="7"/>
        <v>LOW</v>
      </c>
      <c r="S246" s="2"/>
      <c r="T246" s="2"/>
      <c r="U246" s="2"/>
      <c r="V246" s="2"/>
      <c r="W246" s="2"/>
      <c r="X246" s="2"/>
      <c r="Y246" s="2"/>
      <c r="Z246" s="2"/>
    </row>
    <row r="247" spans="1:26" ht="16.8" x14ac:dyDescent="0.3">
      <c r="A247" s="4">
        <v>337</v>
      </c>
      <c r="B247" s="4" t="s">
        <v>43</v>
      </c>
      <c r="C247" s="4">
        <v>31</v>
      </c>
      <c r="D247" s="4" t="s">
        <v>45</v>
      </c>
      <c r="E247" s="4" t="s">
        <v>58</v>
      </c>
      <c r="F247" s="4">
        <v>13675</v>
      </c>
      <c r="G247" s="4" t="s">
        <v>43</v>
      </c>
      <c r="H247" s="4">
        <v>2</v>
      </c>
      <c r="I247" s="4">
        <v>2</v>
      </c>
      <c r="J247" s="4">
        <v>3</v>
      </c>
      <c r="K247" s="4">
        <v>3</v>
      </c>
      <c r="L247" s="4" t="str">
        <f t="shared" si="0"/>
        <v>NORMAL</v>
      </c>
      <c r="M247" s="4" t="str">
        <f t="shared" si="1"/>
        <v>MEDIUM</v>
      </c>
      <c r="N247" s="4" t="str">
        <f t="shared" si="2"/>
        <v>NEW</v>
      </c>
      <c r="O247" s="4" t="str">
        <f t="shared" si="3"/>
        <v>MODERATE-WAIT</v>
      </c>
      <c r="P247" s="5" t="str">
        <f t="shared" si="4"/>
        <v>Medium_Pressure</v>
      </c>
      <c r="Q247" s="4" t="str">
        <f t="shared" si="5"/>
        <v>HIGHLY_ENGAGED</v>
      </c>
      <c r="R247" s="4" t="str">
        <f t="shared" si="7"/>
        <v>LOW</v>
      </c>
      <c r="S247" s="2"/>
      <c r="T247" s="2"/>
      <c r="U247" s="2"/>
      <c r="V247" s="2"/>
      <c r="W247" s="2"/>
      <c r="X247" s="2"/>
      <c r="Y247" s="2"/>
      <c r="Z247" s="2"/>
    </row>
    <row r="248" spans="1:26" ht="16.8" x14ac:dyDescent="0.3">
      <c r="A248" s="4">
        <v>338</v>
      </c>
      <c r="B248" s="4" t="s">
        <v>43</v>
      </c>
      <c r="C248" s="4">
        <v>33</v>
      </c>
      <c r="D248" s="4" t="s">
        <v>45</v>
      </c>
      <c r="E248" s="4" t="s">
        <v>47</v>
      </c>
      <c r="F248" s="4">
        <v>2911</v>
      </c>
      <c r="G248" s="4" t="s">
        <v>43</v>
      </c>
      <c r="H248" s="4">
        <v>2</v>
      </c>
      <c r="I248" s="4">
        <v>0</v>
      </c>
      <c r="J248" s="4">
        <v>4</v>
      </c>
      <c r="K248" s="4">
        <v>2</v>
      </c>
      <c r="L248" s="4" t="str">
        <f t="shared" si="0"/>
        <v>NORMAL</v>
      </c>
      <c r="M248" s="4" t="str">
        <f t="shared" si="1"/>
        <v>LOW</v>
      </c>
      <c r="N248" s="4" t="str">
        <f t="shared" si="2"/>
        <v>NEW</v>
      </c>
      <c r="O248" s="4" t="str">
        <f t="shared" si="3"/>
        <v>RECENTLY PROMOTED</v>
      </c>
      <c r="P248" s="5" t="str">
        <f t="shared" si="4"/>
        <v>Low_Pressure</v>
      </c>
      <c r="Q248" s="4" t="str">
        <f t="shared" si="5"/>
        <v>DISENGAGED</v>
      </c>
      <c r="R248" s="4" t="str">
        <f t="shared" si="7"/>
        <v>LOW</v>
      </c>
      <c r="S248" s="2"/>
      <c r="T248" s="2"/>
      <c r="U248" s="2"/>
      <c r="V248" s="2"/>
      <c r="W248" s="2"/>
      <c r="X248" s="2"/>
      <c r="Y248" s="2"/>
      <c r="Z248" s="2"/>
    </row>
    <row r="249" spans="1:26" ht="16.8" x14ac:dyDescent="0.3">
      <c r="A249" s="4">
        <v>339</v>
      </c>
      <c r="B249" s="4" t="s">
        <v>43</v>
      </c>
      <c r="C249" s="4">
        <v>34</v>
      </c>
      <c r="D249" s="4" t="s">
        <v>45</v>
      </c>
      <c r="E249" s="4" t="s">
        <v>53</v>
      </c>
      <c r="F249" s="4">
        <v>5957</v>
      </c>
      <c r="G249" s="4" t="s">
        <v>43</v>
      </c>
      <c r="H249" s="4">
        <v>11</v>
      </c>
      <c r="I249" s="4">
        <v>5</v>
      </c>
      <c r="J249" s="4">
        <v>1</v>
      </c>
      <c r="K249" s="4">
        <v>3</v>
      </c>
      <c r="L249" s="4" t="str">
        <f t="shared" si="0"/>
        <v>NORMAL</v>
      </c>
      <c r="M249" s="4" t="str">
        <f t="shared" si="1"/>
        <v>HIGH</v>
      </c>
      <c r="N249" s="4" t="str">
        <f t="shared" si="2"/>
        <v>SENIOR</v>
      </c>
      <c r="O249" s="4" t="str">
        <f t="shared" si="3"/>
        <v>STAGNANT</v>
      </c>
      <c r="P249" s="5" t="str">
        <f t="shared" si="4"/>
        <v>Medium_Pressure</v>
      </c>
      <c r="Q249" s="4" t="str">
        <f t="shared" si="5"/>
        <v>DISENGAGED</v>
      </c>
      <c r="R249" s="4" t="str">
        <f t="shared" si="7"/>
        <v>LOW</v>
      </c>
      <c r="S249" s="2"/>
      <c r="T249" s="2"/>
      <c r="U249" s="2"/>
      <c r="V249" s="2"/>
      <c r="W249" s="2"/>
      <c r="X249" s="2"/>
      <c r="Y249" s="2"/>
      <c r="Z249" s="2"/>
    </row>
    <row r="250" spans="1:26" ht="16.8" x14ac:dyDescent="0.3">
      <c r="A250" s="4">
        <v>340</v>
      </c>
      <c r="B250" s="4" t="s">
        <v>43</v>
      </c>
      <c r="C250" s="4">
        <v>37</v>
      </c>
      <c r="D250" s="4" t="s">
        <v>45</v>
      </c>
      <c r="E250" s="4" t="s">
        <v>47</v>
      </c>
      <c r="F250" s="4">
        <v>3920</v>
      </c>
      <c r="G250" s="4" t="s">
        <v>43</v>
      </c>
      <c r="H250" s="4">
        <v>3</v>
      </c>
      <c r="I250" s="4">
        <v>0</v>
      </c>
      <c r="J250" s="4">
        <v>1</v>
      </c>
      <c r="K250" s="4">
        <v>2</v>
      </c>
      <c r="L250" s="4" t="str">
        <f t="shared" si="0"/>
        <v>NORMAL</v>
      </c>
      <c r="M250" s="4" t="str">
        <f t="shared" si="1"/>
        <v>LOW</v>
      </c>
      <c r="N250" s="4" t="str">
        <f t="shared" si="2"/>
        <v>MID</v>
      </c>
      <c r="O250" s="4" t="str">
        <f t="shared" si="3"/>
        <v>RECENTLY PROMOTED</v>
      </c>
      <c r="P250" s="5" t="str">
        <f t="shared" si="4"/>
        <v>Low_Pressure</v>
      </c>
      <c r="Q250" s="4" t="str">
        <f t="shared" si="5"/>
        <v>DISENGAGED</v>
      </c>
      <c r="R250" s="4" t="str">
        <f t="shared" si="7"/>
        <v>LOW</v>
      </c>
      <c r="S250" s="2"/>
      <c r="T250" s="2"/>
      <c r="U250" s="2"/>
      <c r="V250" s="2"/>
      <c r="W250" s="2"/>
      <c r="X250" s="2"/>
      <c r="Y250" s="2"/>
      <c r="Z250" s="2"/>
    </row>
    <row r="251" spans="1:26" ht="16.8" x14ac:dyDescent="0.3">
      <c r="A251" s="4">
        <v>341</v>
      </c>
      <c r="B251" s="4" t="s">
        <v>43</v>
      </c>
      <c r="C251" s="4">
        <v>45</v>
      </c>
      <c r="D251" s="4" t="s">
        <v>45</v>
      </c>
      <c r="E251" s="4" t="s">
        <v>53</v>
      </c>
      <c r="F251" s="4">
        <v>6434</v>
      </c>
      <c r="G251" s="4" t="s">
        <v>43</v>
      </c>
      <c r="H251" s="4">
        <v>3</v>
      </c>
      <c r="I251" s="4">
        <v>0</v>
      </c>
      <c r="J251" s="4">
        <v>3</v>
      </c>
      <c r="K251" s="4">
        <v>3</v>
      </c>
      <c r="L251" s="4" t="str">
        <f t="shared" si="0"/>
        <v>NORMAL</v>
      </c>
      <c r="M251" s="4" t="str">
        <f t="shared" si="1"/>
        <v>HIGH</v>
      </c>
      <c r="N251" s="4" t="str">
        <f t="shared" si="2"/>
        <v>MID</v>
      </c>
      <c r="O251" s="4" t="str">
        <f t="shared" si="3"/>
        <v>RECENTLY PROMOTED</v>
      </c>
      <c r="P251" s="5" t="str">
        <f t="shared" si="4"/>
        <v>Medium_Pressure</v>
      </c>
      <c r="Q251" s="4" t="str">
        <f t="shared" si="5"/>
        <v>HIGHLY_ENGAGED</v>
      </c>
      <c r="R251" s="4" t="str">
        <f t="shared" si="7"/>
        <v>LOW</v>
      </c>
      <c r="S251" s="2"/>
      <c r="T251" s="2"/>
      <c r="U251" s="2"/>
      <c r="V251" s="2"/>
      <c r="W251" s="2"/>
      <c r="X251" s="2"/>
      <c r="Y251" s="2"/>
      <c r="Z251" s="2"/>
    </row>
    <row r="252" spans="1:26" ht="16.8" x14ac:dyDescent="0.3">
      <c r="A252" s="4">
        <v>342</v>
      </c>
      <c r="B252" s="4" t="s">
        <v>35</v>
      </c>
      <c r="C252" s="4">
        <v>37</v>
      </c>
      <c r="D252" s="4" t="s">
        <v>45</v>
      </c>
      <c r="E252" s="4" t="s">
        <v>53</v>
      </c>
      <c r="F252" s="4">
        <v>10048</v>
      </c>
      <c r="G252" s="4" t="s">
        <v>43</v>
      </c>
      <c r="H252" s="4">
        <v>1</v>
      </c>
      <c r="I252" s="4">
        <v>0</v>
      </c>
      <c r="J252" s="4">
        <v>3</v>
      </c>
      <c r="K252" s="4">
        <v>3</v>
      </c>
      <c r="L252" s="4" t="str">
        <f t="shared" si="0"/>
        <v>NORMAL</v>
      </c>
      <c r="M252" s="4" t="str">
        <f t="shared" si="1"/>
        <v>MEDIUM</v>
      </c>
      <c r="N252" s="4" t="str">
        <f t="shared" si="2"/>
        <v>NEW</v>
      </c>
      <c r="O252" s="4" t="str">
        <f t="shared" si="3"/>
        <v>RECENTLY PROMOTED</v>
      </c>
      <c r="P252" s="5" t="str">
        <f t="shared" si="4"/>
        <v>Medium_Pressure</v>
      </c>
      <c r="Q252" s="4" t="str">
        <f t="shared" si="5"/>
        <v>HIGHLY_ENGAGED</v>
      </c>
      <c r="R252" s="4" t="str">
        <f t="shared" si="7"/>
        <v>LOW</v>
      </c>
      <c r="S252" s="2"/>
      <c r="T252" s="2"/>
      <c r="U252" s="2"/>
      <c r="V252" s="2"/>
      <c r="W252" s="2"/>
      <c r="X252" s="2"/>
      <c r="Y252" s="2"/>
      <c r="Z252" s="2"/>
    </row>
    <row r="253" spans="1:26" ht="16.8" x14ac:dyDescent="0.3">
      <c r="A253" s="4">
        <v>343</v>
      </c>
      <c r="B253" s="4" t="s">
        <v>43</v>
      </c>
      <c r="C253" s="4">
        <v>39</v>
      </c>
      <c r="D253" s="4" t="s">
        <v>45</v>
      </c>
      <c r="E253" s="4" t="s">
        <v>54</v>
      </c>
      <c r="F253" s="4">
        <v>10938</v>
      </c>
      <c r="G253" s="4" t="s">
        <v>43</v>
      </c>
      <c r="H253" s="4">
        <v>19</v>
      </c>
      <c r="I253" s="4">
        <v>11</v>
      </c>
      <c r="J253" s="4">
        <v>3</v>
      </c>
      <c r="K253" s="4">
        <v>3</v>
      </c>
      <c r="L253" s="4" t="str">
        <f t="shared" si="0"/>
        <v>NORMAL</v>
      </c>
      <c r="M253" s="4" t="str">
        <f t="shared" si="1"/>
        <v>MEDIUM</v>
      </c>
      <c r="N253" s="4" t="str">
        <f t="shared" si="2"/>
        <v>SENIOR</v>
      </c>
      <c r="O253" s="4" t="str">
        <f t="shared" si="3"/>
        <v>STAGNANT</v>
      </c>
      <c r="P253" s="5" t="str">
        <f t="shared" si="4"/>
        <v>Medium_Pressure</v>
      </c>
      <c r="Q253" s="4" t="str">
        <f t="shared" si="5"/>
        <v>HIGHLY_ENGAGED</v>
      </c>
      <c r="R253" s="4" t="str">
        <f t="shared" si="7"/>
        <v>LOW</v>
      </c>
      <c r="S253" s="2"/>
      <c r="T253" s="2"/>
      <c r="U253" s="2"/>
      <c r="V253" s="2"/>
      <c r="W253" s="2"/>
      <c r="X253" s="2"/>
      <c r="Y253" s="2"/>
      <c r="Z253" s="2"/>
    </row>
    <row r="254" spans="1:26" ht="16.8" x14ac:dyDescent="0.3">
      <c r="A254" s="4">
        <v>346</v>
      </c>
      <c r="B254" s="4" t="s">
        <v>43</v>
      </c>
      <c r="C254" s="4">
        <v>29</v>
      </c>
      <c r="D254" s="4" t="s">
        <v>45</v>
      </c>
      <c r="E254" s="4" t="s">
        <v>47</v>
      </c>
      <c r="F254" s="4">
        <v>2340</v>
      </c>
      <c r="G254" s="4" t="s">
        <v>43</v>
      </c>
      <c r="H254" s="4">
        <v>6</v>
      </c>
      <c r="I254" s="4">
        <v>1</v>
      </c>
      <c r="J254" s="4">
        <v>4</v>
      </c>
      <c r="K254" s="4">
        <v>3</v>
      </c>
      <c r="L254" s="4" t="str">
        <f t="shared" si="0"/>
        <v>NORMAL</v>
      </c>
      <c r="M254" s="4" t="str">
        <f t="shared" si="1"/>
        <v>LOW</v>
      </c>
      <c r="N254" s="4" t="str">
        <f t="shared" si="2"/>
        <v>MID</v>
      </c>
      <c r="O254" s="4" t="str">
        <f t="shared" si="3"/>
        <v>RECENTLY PROMOTED</v>
      </c>
      <c r="P254" s="5" t="str">
        <f t="shared" si="4"/>
        <v>Medium_Pressure</v>
      </c>
      <c r="Q254" s="4" t="str">
        <f t="shared" si="5"/>
        <v>HIGHLY_ENGAGED</v>
      </c>
      <c r="R254" s="4" t="str">
        <f t="shared" si="7"/>
        <v>LOW</v>
      </c>
      <c r="S254" s="2"/>
      <c r="T254" s="2"/>
      <c r="U254" s="2"/>
      <c r="V254" s="2"/>
      <c r="W254" s="2"/>
      <c r="X254" s="2"/>
      <c r="Y254" s="2"/>
      <c r="Z254" s="2"/>
    </row>
    <row r="255" spans="1:26" ht="16.8" x14ac:dyDescent="0.3">
      <c r="A255" s="4">
        <v>347</v>
      </c>
      <c r="B255" s="4" t="s">
        <v>43</v>
      </c>
      <c r="C255" s="4">
        <v>42</v>
      </c>
      <c r="D255" s="4" t="s">
        <v>45</v>
      </c>
      <c r="E255" s="4" t="s">
        <v>47</v>
      </c>
      <c r="F255" s="4">
        <v>6545</v>
      </c>
      <c r="G255" s="4" t="s">
        <v>35</v>
      </c>
      <c r="H255" s="4">
        <v>3</v>
      </c>
      <c r="I255" s="4">
        <v>0</v>
      </c>
      <c r="J255" s="4">
        <v>1</v>
      </c>
      <c r="K255" s="4">
        <v>3</v>
      </c>
      <c r="L255" s="4" t="str">
        <f t="shared" si="0"/>
        <v>NORMAL</v>
      </c>
      <c r="M255" s="4" t="str">
        <f t="shared" si="1"/>
        <v>HIGH</v>
      </c>
      <c r="N255" s="4" t="str">
        <f t="shared" si="2"/>
        <v>MID</v>
      </c>
      <c r="O255" s="4" t="str">
        <f t="shared" si="3"/>
        <v>RECENTLY PROMOTED</v>
      </c>
      <c r="P255" s="5" t="str">
        <f t="shared" si="4"/>
        <v>Medium_Pressure</v>
      </c>
      <c r="Q255" s="4" t="str">
        <f t="shared" si="5"/>
        <v>DISENGAGED</v>
      </c>
      <c r="R255" s="4" t="str">
        <f t="shared" si="7"/>
        <v>LOW</v>
      </c>
      <c r="S255" s="2"/>
      <c r="T255" s="2"/>
      <c r="U255" s="2"/>
      <c r="V255" s="2"/>
      <c r="W255" s="2"/>
      <c r="X255" s="2"/>
      <c r="Y255" s="2"/>
      <c r="Z255" s="2"/>
    </row>
    <row r="256" spans="1:26" ht="16.8" x14ac:dyDescent="0.3">
      <c r="A256" s="4">
        <v>349</v>
      </c>
      <c r="B256" s="4" t="s">
        <v>43</v>
      </c>
      <c r="C256" s="4">
        <v>29</v>
      </c>
      <c r="D256" s="4" t="s">
        <v>37</v>
      </c>
      <c r="E256" s="4" t="s">
        <v>40</v>
      </c>
      <c r="F256" s="4">
        <v>6931</v>
      </c>
      <c r="G256" s="4" t="s">
        <v>43</v>
      </c>
      <c r="H256" s="4">
        <v>3</v>
      </c>
      <c r="I256" s="4">
        <v>0</v>
      </c>
      <c r="J256" s="4">
        <v>4</v>
      </c>
      <c r="K256" s="4">
        <v>3</v>
      </c>
      <c r="L256" s="4" t="str">
        <f t="shared" si="0"/>
        <v>NORMAL</v>
      </c>
      <c r="M256" s="4" t="str">
        <f t="shared" si="1"/>
        <v>HIGH</v>
      </c>
      <c r="N256" s="4" t="str">
        <f t="shared" si="2"/>
        <v>MID</v>
      </c>
      <c r="O256" s="4" t="str">
        <f t="shared" si="3"/>
        <v>RECENTLY PROMOTED</v>
      </c>
      <c r="P256" s="5" t="str">
        <f t="shared" si="4"/>
        <v>Medium_Pressure</v>
      </c>
      <c r="Q256" s="4" t="str">
        <f t="shared" si="5"/>
        <v>HIGHLY_ENGAGED</v>
      </c>
      <c r="R256" s="4" t="str">
        <f t="shared" si="7"/>
        <v>LOW</v>
      </c>
      <c r="S256" s="2"/>
      <c r="T256" s="2"/>
      <c r="U256" s="2"/>
      <c r="V256" s="2"/>
      <c r="W256" s="2"/>
      <c r="X256" s="2"/>
      <c r="Y256" s="2"/>
      <c r="Z256" s="2"/>
    </row>
    <row r="257" spans="1:26" ht="16.8" x14ac:dyDescent="0.3">
      <c r="A257" s="4">
        <v>350</v>
      </c>
      <c r="B257" s="4" t="s">
        <v>43</v>
      </c>
      <c r="C257" s="4">
        <v>25</v>
      </c>
      <c r="D257" s="4" t="s">
        <v>45</v>
      </c>
      <c r="E257" s="4" t="s">
        <v>53</v>
      </c>
      <c r="F257" s="4">
        <v>4898</v>
      </c>
      <c r="G257" s="4" t="s">
        <v>43</v>
      </c>
      <c r="H257" s="4">
        <v>4</v>
      </c>
      <c r="I257" s="4">
        <v>1</v>
      </c>
      <c r="J257" s="4">
        <v>3</v>
      </c>
      <c r="K257" s="4">
        <v>3</v>
      </c>
      <c r="L257" s="4" t="str">
        <f t="shared" ref="L257:L511" si="8">IF(AND(G257="YES",J257&lt;=2,I257&gt;=3),"HIGH RISK","NORMAL")</f>
        <v>NORMAL</v>
      </c>
      <c r="M257" s="4" t="str">
        <f t="shared" ref="M257:M511" si="9">IF(F257&lt;=4000,"LOW",IF(F257&gt;9000,"MEDIUM","HIGH"))</f>
        <v>HIGH</v>
      </c>
      <c r="N257" s="4" t="str">
        <f t="shared" ref="N257:N511" si="10">IF(H257&lt;=2,"NEW",IF(H257&lt;=6,"MID","SENIOR"))</f>
        <v>MID</v>
      </c>
      <c r="O257" s="4" t="str">
        <f t="shared" ref="O257:O511" si="11">IF(I257&lt;=1,"RECENTLY PROMOTED",IF(I257&lt;=3,"MODERATE-WAIT","STAGNANT"))</f>
        <v>RECENTLY PROMOTED</v>
      </c>
      <c r="P257" s="5" t="str">
        <f t="shared" ref="P257:P511" si="12">IF(AND(G257="Yes",K257&lt;=2),"High_Pressure",
 IF(OR(G257="Yes",K257=3),"Medium_Pressure",
 "Low_Pressure"))</f>
        <v>Medium_Pressure</v>
      </c>
      <c r="Q257" s="4" t="str">
        <f t="shared" ref="Q257:Q511" si="13">IF(AND(J257&gt;=3,K257&gt;=3,L257&gt;=3),
"HIGHLY_ENGAGED",
IF(OR(J257&lt;=2,K257&lt;=2,L257&lt;=2),
"DISENGAGED",
"MODERATELY_ENGAGED"))</f>
        <v>HIGHLY_ENGAGED</v>
      </c>
      <c r="R257" s="4" t="str">
        <f t="shared" si="7"/>
        <v>LOW</v>
      </c>
      <c r="S257" s="2"/>
      <c r="T257" s="2"/>
      <c r="U257" s="2"/>
      <c r="V257" s="2"/>
      <c r="W257" s="2"/>
      <c r="X257" s="2"/>
      <c r="Y257" s="2"/>
      <c r="Z257" s="2"/>
    </row>
    <row r="258" spans="1:26" ht="16.8" x14ac:dyDescent="0.3">
      <c r="A258" s="4">
        <v>351</v>
      </c>
      <c r="B258" s="4" t="s">
        <v>43</v>
      </c>
      <c r="C258" s="4">
        <v>42</v>
      </c>
      <c r="D258" s="4" t="s">
        <v>45</v>
      </c>
      <c r="E258" s="4" t="s">
        <v>50</v>
      </c>
      <c r="F258" s="4">
        <v>2593</v>
      </c>
      <c r="G258" s="4" t="s">
        <v>35</v>
      </c>
      <c r="H258" s="4">
        <v>9</v>
      </c>
      <c r="I258" s="4">
        <v>7</v>
      </c>
      <c r="J258" s="4">
        <v>1</v>
      </c>
      <c r="K258" s="4">
        <v>3</v>
      </c>
      <c r="L258" s="4" t="str">
        <f t="shared" si="8"/>
        <v>HIGH RISK</v>
      </c>
      <c r="M258" s="4" t="str">
        <f t="shared" si="9"/>
        <v>LOW</v>
      </c>
      <c r="N258" s="4" t="str">
        <f t="shared" si="10"/>
        <v>SENIOR</v>
      </c>
      <c r="O258" s="4" t="str">
        <f t="shared" si="11"/>
        <v>STAGNANT</v>
      </c>
      <c r="P258" s="5" t="str">
        <f t="shared" si="12"/>
        <v>Medium_Pressure</v>
      </c>
      <c r="Q258" s="4" t="str">
        <f t="shared" si="13"/>
        <v>DISENGAGED</v>
      </c>
      <c r="R258" s="4" t="str">
        <f t="shared" si="7"/>
        <v>LOW</v>
      </c>
      <c r="S258" s="2"/>
      <c r="T258" s="2"/>
      <c r="U258" s="2"/>
      <c r="V258" s="2"/>
      <c r="W258" s="2"/>
      <c r="X258" s="2"/>
      <c r="Y258" s="2"/>
      <c r="Z258" s="2"/>
    </row>
    <row r="259" spans="1:26" ht="16.8" x14ac:dyDescent="0.3">
      <c r="A259" s="4">
        <v>352</v>
      </c>
      <c r="B259" s="4" t="s">
        <v>43</v>
      </c>
      <c r="C259" s="4">
        <v>40</v>
      </c>
      <c r="D259" s="4" t="s">
        <v>45</v>
      </c>
      <c r="E259" s="4" t="s">
        <v>58</v>
      </c>
      <c r="F259" s="4">
        <v>19436</v>
      </c>
      <c r="G259" s="4" t="s">
        <v>43</v>
      </c>
      <c r="H259" s="4">
        <v>21</v>
      </c>
      <c r="I259" s="4">
        <v>3</v>
      </c>
      <c r="J259" s="4">
        <v>3</v>
      </c>
      <c r="K259" s="4">
        <v>3</v>
      </c>
      <c r="L259" s="4" t="str">
        <f t="shared" si="8"/>
        <v>NORMAL</v>
      </c>
      <c r="M259" s="4" t="str">
        <f t="shared" si="9"/>
        <v>MEDIUM</v>
      </c>
      <c r="N259" s="4" t="str">
        <f t="shared" si="10"/>
        <v>SENIOR</v>
      </c>
      <c r="O259" s="4" t="str">
        <f t="shared" si="11"/>
        <v>MODERATE-WAIT</v>
      </c>
      <c r="P259" s="5" t="str">
        <f t="shared" si="12"/>
        <v>Medium_Pressure</v>
      </c>
      <c r="Q259" s="4" t="str">
        <f t="shared" si="13"/>
        <v>HIGHLY_ENGAGED</v>
      </c>
      <c r="R259" s="4" t="str">
        <f t="shared" si="7"/>
        <v>LOW</v>
      </c>
      <c r="S259" s="2"/>
      <c r="T259" s="2"/>
      <c r="U259" s="2"/>
      <c r="V259" s="2"/>
      <c r="W259" s="2"/>
      <c r="X259" s="2"/>
      <c r="Y259" s="2"/>
      <c r="Z259" s="2"/>
    </row>
    <row r="260" spans="1:26" ht="16.8" x14ac:dyDescent="0.3">
      <c r="A260" s="4">
        <v>353</v>
      </c>
      <c r="B260" s="4" t="s">
        <v>43</v>
      </c>
      <c r="C260" s="4">
        <v>51</v>
      </c>
      <c r="D260" s="4" t="s">
        <v>45</v>
      </c>
      <c r="E260" s="4" t="s">
        <v>47</v>
      </c>
      <c r="F260" s="4">
        <v>2723</v>
      </c>
      <c r="G260" s="4" t="s">
        <v>43</v>
      </c>
      <c r="H260" s="4">
        <v>1</v>
      </c>
      <c r="I260" s="4">
        <v>0</v>
      </c>
      <c r="J260" s="4">
        <v>4</v>
      </c>
      <c r="K260" s="4">
        <v>2</v>
      </c>
      <c r="L260" s="4" t="str">
        <f t="shared" si="8"/>
        <v>NORMAL</v>
      </c>
      <c r="M260" s="4" t="str">
        <f t="shared" si="9"/>
        <v>LOW</v>
      </c>
      <c r="N260" s="4" t="str">
        <f t="shared" si="10"/>
        <v>NEW</v>
      </c>
      <c r="O260" s="4" t="str">
        <f t="shared" si="11"/>
        <v>RECENTLY PROMOTED</v>
      </c>
      <c r="P260" s="5" t="str">
        <f t="shared" si="12"/>
        <v>Low_Pressure</v>
      </c>
      <c r="Q260" s="4" t="str">
        <f t="shared" si="13"/>
        <v>DISENGAGED</v>
      </c>
      <c r="R260" s="4" t="str">
        <f t="shared" si="7"/>
        <v>LOW</v>
      </c>
      <c r="S260" s="2"/>
      <c r="T260" s="2"/>
      <c r="U260" s="2"/>
      <c r="V260" s="2"/>
      <c r="W260" s="2"/>
      <c r="X260" s="2"/>
      <c r="Y260" s="2"/>
      <c r="Z260" s="2"/>
    </row>
    <row r="261" spans="1:26" ht="16.8" x14ac:dyDescent="0.3">
      <c r="A261" s="4">
        <v>355</v>
      </c>
      <c r="B261" s="4" t="s">
        <v>35</v>
      </c>
      <c r="C261" s="4">
        <v>31</v>
      </c>
      <c r="D261" s="4" t="s">
        <v>45</v>
      </c>
      <c r="E261" s="4" t="s">
        <v>50</v>
      </c>
      <c r="F261" s="4">
        <v>3479</v>
      </c>
      <c r="G261" s="4" t="s">
        <v>43</v>
      </c>
      <c r="H261" s="4">
        <v>5</v>
      </c>
      <c r="I261" s="4">
        <v>1</v>
      </c>
      <c r="J261" s="4">
        <v>2</v>
      </c>
      <c r="K261" s="4">
        <v>4</v>
      </c>
      <c r="L261" s="4" t="str">
        <f t="shared" si="8"/>
        <v>NORMAL</v>
      </c>
      <c r="M261" s="4" t="str">
        <f t="shared" si="9"/>
        <v>LOW</v>
      </c>
      <c r="N261" s="4" t="str">
        <f t="shared" si="10"/>
        <v>MID</v>
      </c>
      <c r="O261" s="4" t="str">
        <f t="shared" si="11"/>
        <v>RECENTLY PROMOTED</v>
      </c>
      <c r="P261" s="5" t="str">
        <f t="shared" si="12"/>
        <v>Low_Pressure</v>
      </c>
      <c r="Q261" s="4" t="str">
        <f t="shared" si="13"/>
        <v>DISENGAGED</v>
      </c>
      <c r="R261" s="4" t="str">
        <f t="shared" si="7"/>
        <v>LOW</v>
      </c>
      <c r="S261" s="2"/>
      <c r="T261" s="2"/>
      <c r="U261" s="2"/>
      <c r="V261" s="2"/>
      <c r="W261" s="2"/>
      <c r="X261" s="2"/>
      <c r="Y261" s="2"/>
      <c r="Z261" s="2"/>
    </row>
    <row r="262" spans="1:26" ht="16.8" x14ac:dyDescent="0.3">
      <c r="A262" s="4">
        <v>359</v>
      </c>
      <c r="B262" s="4" t="s">
        <v>43</v>
      </c>
      <c r="C262" s="4">
        <v>32</v>
      </c>
      <c r="D262" s="4" t="s">
        <v>45</v>
      </c>
      <c r="E262" s="4" t="s">
        <v>50</v>
      </c>
      <c r="F262" s="4">
        <v>2794</v>
      </c>
      <c r="G262" s="4" t="s">
        <v>43</v>
      </c>
      <c r="H262" s="4">
        <v>5</v>
      </c>
      <c r="I262" s="4">
        <v>0</v>
      </c>
      <c r="J262" s="4">
        <v>2</v>
      </c>
      <c r="K262" s="4">
        <v>1</v>
      </c>
      <c r="L262" s="4" t="str">
        <f t="shared" si="8"/>
        <v>NORMAL</v>
      </c>
      <c r="M262" s="4" t="str">
        <f t="shared" si="9"/>
        <v>LOW</v>
      </c>
      <c r="N262" s="4" t="str">
        <f t="shared" si="10"/>
        <v>MID</v>
      </c>
      <c r="O262" s="4" t="str">
        <f t="shared" si="11"/>
        <v>RECENTLY PROMOTED</v>
      </c>
      <c r="P262" s="5" t="str">
        <f t="shared" si="12"/>
        <v>Low_Pressure</v>
      </c>
      <c r="Q262" s="4" t="str">
        <f t="shared" si="13"/>
        <v>DISENGAGED</v>
      </c>
      <c r="R262" s="4" t="str">
        <f t="shared" si="7"/>
        <v>LOW</v>
      </c>
      <c r="S262" s="2"/>
      <c r="T262" s="2"/>
      <c r="U262" s="2"/>
      <c r="V262" s="2"/>
      <c r="W262" s="2"/>
      <c r="X262" s="2"/>
      <c r="Y262" s="2"/>
      <c r="Z262" s="2"/>
    </row>
    <row r="263" spans="1:26" ht="16.8" x14ac:dyDescent="0.3">
      <c r="A263" s="4">
        <v>361</v>
      </c>
      <c r="B263" s="4" t="s">
        <v>43</v>
      </c>
      <c r="C263" s="4">
        <v>38</v>
      </c>
      <c r="D263" s="4" t="s">
        <v>37</v>
      </c>
      <c r="E263" s="4" t="s">
        <v>40</v>
      </c>
      <c r="F263" s="4">
        <v>5249</v>
      </c>
      <c r="G263" s="4" t="s">
        <v>43</v>
      </c>
      <c r="H263" s="4">
        <v>8</v>
      </c>
      <c r="I263" s="4">
        <v>7</v>
      </c>
      <c r="J263" s="4">
        <v>4</v>
      </c>
      <c r="K263" s="4">
        <v>3</v>
      </c>
      <c r="L263" s="4" t="str">
        <f t="shared" si="8"/>
        <v>NORMAL</v>
      </c>
      <c r="M263" s="4" t="str">
        <f t="shared" si="9"/>
        <v>HIGH</v>
      </c>
      <c r="N263" s="4" t="str">
        <f t="shared" si="10"/>
        <v>SENIOR</v>
      </c>
      <c r="O263" s="4" t="str">
        <f t="shared" si="11"/>
        <v>STAGNANT</v>
      </c>
      <c r="P263" s="5" t="str">
        <f t="shared" si="12"/>
        <v>Medium_Pressure</v>
      </c>
      <c r="Q263" s="4" t="str">
        <f t="shared" si="13"/>
        <v>HIGHLY_ENGAGED</v>
      </c>
      <c r="R263" s="4" t="str">
        <f t="shared" si="7"/>
        <v>LOW</v>
      </c>
      <c r="S263" s="2"/>
      <c r="T263" s="2"/>
      <c r="U263" s="2"/>
      <c r="V263" s="2"/>
      <c r="W263" s="2"/>
      <c r="X263" s="2"/>
      <c r="Y263" s="2"/>
      <c r="Z263" s="2"/>
    </row>
    <row r="264" spans="1:26" ht="16.8" x14ac:dyDescent="0.3">
      <c r="A264" s="4">
        <v>362</v>
      </c>
      <c r="B264" s="4" t="s">
        <v>43</v>
      </c>
      <c r="C264" s="4">
        <v>32</v>
      </c>
      <c r="D264" s="4" t="s">
        <v>45</v>
      </c>
      <c r="E264" s="4" t="s">
        <v>50</v>
      </c>
      <c r="F264" s="4">
        <v>2176</v>
      </c>
      <c r="G264" s="4" t="s">
        <v>43</v>
      </c>
      <c r="H264" s="4">
        <v>6</v>
      </c>
      <c r="I264" s="4">
        <v>0</v>
      </c>
      <c r="J264" s="4">
        <v>1</v>
      </c>
      <c r="K264" s="4">
        <v>3</v>
      </c>
      <c r="L264" s="4" t="str">
        <f t="shared" si="8"/>
        <v>NORMAL</v>
      </c>
      <c r="M264" s="4" t="str">
        <f t="shared" si="9"/>
        <v>LOW</v>
      </c>
      <c r="N264" s="4" t="str">
        <f t="shared" si="10"/>
        <v>MID</v>
      </c>
      <c r="O264" s="4" t="str">
        <f t="shared" si="11"/>
        <v>RECENTLY PROMOTED</v>
      </c>
      <c r="P264" s="5" t="str">
        <f t="shared" si="12"/>
        <v>Medium_Pressure</v>
      </c>
      <c r="Q264" s="4" t="str">
        <f t="shared" si="13"/>
        <v>DISENGAGED</v>
      </c>
      <c r="R264" s="4" t="str">
        <f t="shared" si="7"/>
        <v>LOW</v>
      </c>
      <c r="S264" s="2"/>
      <c r="T264" s="2"/>
      <c r="U264" s="2"/>
      <c r="V264" s="2"/>
      <c r="W264" s="2"/>
      <c r="X264" s="2"/>
      <c r="Y264" s="2"/>
      <c r="Z264" s="2"/>
    </row>
    <row r="265" spans="1:26" ht="16.8" x14ac:dyDescent="0.3">
      <c r="A265" s="4">
        <v>363</v>
      </c>
      <c r="B265" s="4" t="s">
        <v>43</v>
      </c>
      <c r="C265" s="4">
        <v>46</v>
      </c>
      <c r="D265" s="4" t="s">
        <v>37</v>
      </c>
      <c r="E265" s="4" t="s">
        <v>56</v>
      </c>
      <c r="F265" s="4">
        <v>16872</v>
      </c>
      <c r="G265" s="4" t="s">
        <v>35</v>
      </c>
      <c r="H265" s="4">
        <v>7</v>
      </c>
      <c r="I265" s="4">
        <v>7</v>
      </c>
      <c r="J265" s="4">
        <v>2</v>
      </c>
      <c r="K265" s="4">
        <v>2</v>
      </c>
      <c r="L265" s="4" t="str">
        <f t="shared" si="8"/>
        <v>HIGH RISK</v>
      </c>
      <c r="M265" s="4" t="str">
        <f t="shared" si="9"/>
        <v>MEDIUM</v>
      </c>
      <c r="N265" s="4" t="str">
        <f t="shared" si="10"/>
        <v>SENIOR</v>
      </c>
      <c r="O265" s="4" t="str">
        <f t="shared" si="11"/>
        <v>STAGNANT</v>
      </c>
      <c r="P265" s="5" t="str">
        <f t="shared" si="12"/>
        <v>High_Pressure</v>
      </c>
      <c r="Q265" s="4" t="str">
        <f t="shared" si="13"/>
        <v>DISENGAGED</v>
      </c>
      <c r="R265" s="4" t="str">
        <f t="shared" si="7"/>
        <v>LOW</v>
      </c>
      <c r="S265" s="2"/>
      <c r="T265" s="2"/>
      <c r="U265" s="2"/>
      <c r="V265" s="2"/>
      <c r="W265" s="2"/>
      <c r="X265" s="2"/>
      <c r="Y265" s="2"/>
      <c r="Z265" s="2"/>
    </row>
    <row r="266" spans="1:26" ht="16.8" x14ac:dyDescent="0.3">
      <c r="A266" s="4">
        <v>364</v>
      </c>
      <c r="B266" s="4" t="s">
        <v>35</v>
      </c>
      <c r="C266" s="4">
        <v>28</v>
      </c>
      <c r="D266" s="4" t="s">
        <v>45</v>
      </c>
      <c r="E266" s="4" t="s">
        <v>50</v>
      </c>
      <c r="F266" s="4">
        <v>3485</v>
      </c>
      <c r="G266" s="4" t="s">
        <v>43</v>
      </c>
      <c r="H266" s="4">
        <v>0</v>
      </c>
      <c r="I266" s="4">
        <v>0</v>
      </c>
      <c r="J266" s="4">
        <v>3</v>
      </c>
      <c r="K266" s="4">
        <v>1</v>
      </c>
      <c r="L266" s="4" t="str">
        <f t="shared" si="8"/>
        <v>NORMAL</v>
      </c>
      <c r="M266" s="4" t="str">
        <f t="shared" si="9"/>
        <v>LOW</v>
      </c>
      <c r="N266" s="4" t="str">
        <f t="shared" si="10"/>
        <v>NEW</v>
      </c>
      <c r="O266" s="4" t="str">
        <f t="shared" si="11"/>
        <v>RECENTLY PROMOTED</v>
      </c>
      <c r="P266" s="5" t="str">
        <f t="shared" si="12"/>
        <v>Low_Pressure</v>
      </c>
      <c r="Q266" s="4" t="str">
        <f t="shared" si="13"/>
        <v>DISENGAGED</v>
      </c>
      <c r="R266" s="4" t="str">
        <f t="shared" si="7"/>
        <v>LOW</v>
      </c>
      <c r="S266" s="2"/>
      <c r="T266" s="2"/>
      <c r="U266" s="2"/>
      <c r="V266" s="2"/>
      <c r="W266" s="2"/>
      <c r="X266" s="2"/>
      <c r="Y266" s="2"/>
      <c r="Z266" s="2"/>
    </row>
    <row r="267" spans="1:26" ht="16.8" x14ac:dyDescent="0.3">
      <c r="A267" s="4">
        <v>366</v>
      </c>
      <c r="B267" s="4" t="s">
        <v>43</v>
      </c>
      <c r="C267" s="4">
        <v>29</v>
      </c>
      <c r="D267" s="4" t="s">
        <v>37</v>
      </c>
      <c r="E267" s="4" t="s">
        <v>40</v>
      </c>
      <c r="F267" s="4">
        <v>6644</v>
      </c>
      <c r="G267" s="4" t="s">
        <v>43</v>
      </c>
      <c r="H267" s="4">
        <v>0</v>
      </c>
      <c r="I267" s="4">
        <v>0</v>
      </c>
      <c r="J267" s="4">
        <v>2</v>
      </c>
      <c r="K267" s="4">
        <v>3</v>
      </c>
      <c r="L267" s="4" t="str">
        <f t="shared" si="8"/>
        <v>NORMAL</v>
      </c>
      <c r="M267" s="4" t="str">
        <f t="shared" si="9"/>
        <v>HIGH</v>
      </c>
      <c r="N267" s="4" t="str">
        <f t="shared" si="10"/>
        <v>NEW</v>
      </c>
      <c r="O267" s="4" t="str">
        <f t="shared" si="11"/>
        <v>RECENTLY PROMOTED</v>
      </c>
      <c r="P267" s="5" t="str">
        <f t="shared" si="12"/>
        <v>Medium_Pressure</v>
      </c>
      <c r="Q267" s="4" t="str">
        <f t="shared" si="13"/>
        <v>DISENGAGED</v>
      </c>
      <c r="R267" s="4" t="str">
        <f t="shared" si="7"/>
        <v>LOW</v>
      </c>
      <c r="S267" s="2"/>
      <c r="T267" s="2"/>
      <c r="U267" s="2"/>
      <c r="V267" s="2"/>
      <c r="W267" s="2"/>
      <c r="X267" s="2"/>
      <c r="Y267" s="2"/>
      <c r="Z267" s="2"/>
    </row>
    <row r="268" spans="1:26" ht="16.8" x14ac:dyDescent="0.3">
      <c r="A268" s="4">
        <v>367</v>
      </c>
      <c r="B268" s="4" t="s">
        <v>43</v>
      </c>
      <c r="C268" s="4">
        <v>31</v>
      </c>
      <c r="D268" s="4" t="s">
        <v>45</v>
      </c>
      <c r="E268" s="4" t="s">
        <v>54</v>
      </c>
      <c r="F268" s="4">
        <v>5582</v>
      </c>
      <c r="G268" s="4" t="s">
        <v>43</v>
      </c>
      <c r="H268" s="4">
        <v>9</v>
      </c>
      <c r="I268" s="4">
        <v>7</v>
      </c>
      <c r="J268" s="4">
        <v>4</v>
      </c>
      <c r="K268" s="4">
        <v>3</v>
      </c>
      <c r="L268" s="4" t="str">
        <f t="shared" si="8"/>
        <v>NORMAL</v>
      </c>
      <c r="M268" s="4" t="str">
        <f t="shared" si="9"/>
        <v>HIGH</v>
      </c>
      <c r="N268" s="4" t="str">
        <f t="shared" si="10"/>
        <v>SENIOR</v>
      </c>
      <c r="O268" s="4" t="str">
        <f t="shared" si="11"/>
        <v>STAGNANT</v>
      </c>
      <c r="P268" s="5" t="str">
        <f t="shared" si="12"/>
        <v>Medium_Pressure</v>
      </c>
      <c r="Q268" s="4" t="str">
        <f t="shared" si="13"/>
        <v>HIGHLY_ENGAGED</v>
      </c>
      <c r="R268" s="4" t="str">
        <f t="shared" si="7"/>
        <v>LOW</v>
      </c>
      <c r="S268" s="2"/>
      <c r="T268" s="2"/>
      <c r="U268" s="2"/>
      <c r="V268" s="2"/>
      <c r="W268" s="2"/>
      <c r="X268" s="2"/>
      <c r="Y268" s="2"/>
      <c r="Z268" s="2"/>
    </row>
    <row r="269" spans="1:26" ht="16.8" x14ac:dyDescent="0.3">
      <c r="A269" s="4">
        <v>369</v>
      </c>
      <c r="B269" s="4" t="s">
        <v>43</v>
      </c>
      <c r="C269" s="4">
        <v>25</v>
      </c>
      <c r="D269" s="4" t="s">
        <v>45</v>
      </c>
      <c r="E269" s="4" t="s">
        <v>54</v>
      </c>
      <c r="F269" s="4">
        <v>4000</v>
      </c>
      <c r="G269" s="4" t="s">
        <v>43</v>
      </c>
      <c r="H269" s="4">
        <v>6</v>
      </c>
      <c r="I269" s="4">
        <v>1</v>
      </c>
      <c r="J269" s="4">
        <v>1</v>
      </c>
      <c r="K269" s="4">
        <v>3</v>
      </c>
      <c r="L269" s="4" t="str">
        <f t="shared" si="8"/>
        <v>NORMAL</v>
      </c>
      <c r="M269" s="4" t="str">
        <f t="shared" si="9"/>
        <v>LOW</v>
      </c>
      <c r="N269" s="4" t="str">
        <f t="shared" si="10"/>
        <v>MID</v>
      </c>
      <c r="O269" s="4" t="str">
        <f t="shared" si="11"/>
        <v>RECENTLY PROMOTED</v>
      </c>
      <c r="P269" s="5" t="str">
        <f t="shared" si="12"/>
        <v>Medium_Pressure</v>
      </c>
      <c r="Q269" s="4" t="str">
        <f t="shared" si="13"/>
        <v>DISENGAGED</v>
      </c>
      <c r="R269" s="4" t="str">
        <f t="shared" si="7"/>
        <v>LOW</v>
      </c>
      <c r="S269" s="2"/>
      <c r="T269" s="2"/>
      <c r="U269" s="2"/>
      <c r="V269" s="2"/>
      <c r="W269" s="2"/>
      <c r="X269" s="2"/>
      <c r="Y269" s="2"/>
      <c r="Z269" s="2"/>
    </row>
    <row r="270" spans="1:26" ht="16.8" x14ac:dyDescent="0.3">
      <c r="A270" s="4">
        <v>372</v>
      </c>
      <c r="B270" s="4" t="s">
        <v>43</v>
      </c>
      <c r="C270" s="4">
        <v>45</v>
      </c>
      <c r="D270" s="4" t="s">
        <v>45</v>
      </c>
      <c r="E270" s="4" t="s">
        <v>54</v>
      </c>
      <c r="F270" s="4">
        <v>13496</v>
      </c>
      <c r="G270" s="4" t="s">
        <v>35</v>
      </c>
      <c r="H270" s="4">
        <v>20</v>
      </c>
      <c r="I270" s="4">
        <v>4</v>
      </c>
      <c r="J270" s="4">
        <v>4</v>
      </c>
      <c r="K270" s="4">
        <v>3</v>
      </c>
      <c r="L270" s="4" t="str">
        <f t="shared" si="8"/>
        <v>NORMAL</v>
      </c>
      <c r="M270" s="4" t="str">
        <f t="shared" si="9"/>
        <v>MEDIUM</v>
      </c>
      <c r="N270" s="4" t="str">
        <f t="shared" si="10"/>
        <v>SENIOR</v>
      </c>
      <c r="O270" s="4" t="str">
        <f t="shared" si="11"/>
        <v>STAGNANT</v>
      </c>
      <c r="P270" s="5" t="str">
        <f t="shared" si="12"/>
        <v>Medium_Pressure</v>
      </c>
      <c r="Q270" s="4" t="str">
        <f t="shared" si="13"/>
        <v>HIGHLY_ENGAGED</v>
      </c>
      <c r="R270" s="4" t="str">
        <f t="shared" si="7"/>
        <v>LOW</v>
      </c>
      <c r="S270" s="2"/>
      <c r="T270" s="2"/>
      <c r="U270" s="2"/>
      <c r="V270" s="2"/>
      <c r="W270" s="2"/>
      <c r="X270" s="2"/>
      <c r="Y270" s="2"/>
      <c r="Z270" s="2"/>
    </row>
    <row r="271" spans="1:26" ht="16.8" x14ac:dyDescent="0.3">
      <c r="A271" s="4">
        <v>373</v>
      </c>
      <c r="B271" s="4" t="s">
        <v>43</v>
      </c>
      <c r="C271" s="4">
        <v>36</v>
      </c>
      <c r="D271" s="4" t="s">
        <v>45</v>
      </c>
      <c r="E271" s="4" t="s">
        <v>50</v>
      </c>
      <c r="F271" s="4">
        <v>3210</v>
      </c>
      <c r="G271" s="4" t="s">
        <v>43</v>
      </c>
      <c r="H271" s="4">
        <v>15</v>
      </c>
      <c r="I271" s="4">
        <v>10</v>
      </c>
      <c r="J271" s="4">
        <v>4</v>
      </c>
      <c r="K271" s="4">
        <v>3</v>
      </c>
      <c r="L271" s="4" t="str">
        <f t="shared" si="8"/>
        <v>NORMAL</v>
      </c>
      <c r="M271" s="4" t="str">
        <f t="shared" si="9"/>
        <v>LOW</v>
      </c>
      <c r="N271" s="4" t="str">
        <f t="shared" si="10"/>
        <v>SENIOR</v>
      </c>
      <c r="O271" s="4" t="str">
        <f t="shared" si="11"/>
        <v>STAGNANT</v>
      </c>
      <c r="P271" s="5" t="str">
        <f t="shared" si="12"/>
        <v>Medium_Pressure</v>
      </c>
      <c r="Q271" s="4" t="str">
        <f t="shared" si="13"/>
        <v>HIGHLY_ENGAGED</v>
      </c>
      <c r="R271" s="4" t="str">
        <f t="shared" si="7"/>
        <v>LOW</v>
      </c>
      <c r="S271" s="2"/>
      <c r="T271" s="2"/>
      <c r="U271" s="2"/>
      <c r="V271" s="2"/>
      <c r="W271" s="2"/>
      <c r="X271" s="2"/>
      <c r="Y271" s="2"/>
      <c r="Z271" s="2"/>
    </row>
    <row r="272" spans="1:26" ht="16.8" x14ac:dyDescent="0.3">
      <c r="A272" s="4">
        <v>374</v>
      </c>
      <c r="B272" s="4" t="s">
        <v>43</v>
      </c>
      <c r="C272" s="4">
        <v>55</v>
      </c>
      <c r="D272" s="4" t="s">
        <v>45</v>
      </c>
      <c r="E272" s="4" t="s">
        <v>56</v>
      </c>
      <c r="F272" s="4">
        <v>19045</v>
      </c>
      <c r="G272" s="4" t="s">
        <v>35</v>
      </c>
      <c r="H272" s="4">
        <v>36</v>
      </c>
      <c r="I272" s="4">
        <v>4</v>
      </c>
      <c r="J272" s="4">
        <v>1</v>
      </c>
      <c r="K272" s="4">
        <v>3</v>
      </c>
      <c r="L272" s="4" t="str">
        <f t="shared" si="8"/>
        <v>HIGH RISK</v>
      </c>
      <c r="M272" s="4" t="str">
        <f t="shared" si="9"/>
        <v>MEDIUM</v>
      </c>
      <c r="N272" s="4" t="str">
        <f t="shared" si="10"/>
        <v>SENIOR</v>
      </c>
      <c r="O272" s="4" t="str">
        <f t="shared" si="11"/>
        <v>STAGNANT</v>
      </c>
      <c r="P272" s="5" t="str">
        <f t="shared" si="12"/>
        <v>Medium_Pressure</v>
      </c>
      <c r="Q272" s="4" t="str">
        <f t="shared" si="13"/>
        <v>DISENGAGED</v>
      </c>
      <c r="R272" s="4" t="str">
        <f t="shared" si="7"/>
        <v>LOW</v>
      </c>
      <c r="S272" s="2"/>
      <c r="T272" s="2"/>
      <c r="U272" s="2"/>
      <c r="V272" s="2"/>
      <c r="W272" s="2"/>
      <c r="X272" s="2"/>
      <c r="Y272" s="2"/>
      <c r="Z272" s="2"/>
    </row>
    <row r="273" spans="1:26" ht="16.8" x14ac:dyDescent="0.3">
      <c r="A273" s="4">
        <v>376</v>
      </c>
      <c r="B273" s="4" t="s">
        <v>35</v>
      </c>
      <c r="C273" s="4">
        <v>47</v>
      </c>
      <c r="D273" s="4" t="s">
        <v>45</v>
      </c>
      <c r="E273" s="4" t="s">
        <v>56</v>
      </c>
      <c r="F273" s="4">
        <v>11849</v>
      </c>
      <c r="G273" s="4" t="s">
        <v>35</v>
      </c>
      <c r="H273" s="4">
        <v>10</v>
      </c>
      <c r="I273" s="4">
        <v>9</v>
      </c>
      <c r="J273" s="4">
        <v>2</v>
      </c>
      <c r="K273" s="4">
        <v>2</v>
      </c>
      <c r="L273" s="4" t="str">
        <f t="shared" si="8"/>
        <v>HIGH RISK</v>
      </c>
      <c r="M273" s="4" t="str">
        <f t="shared" si="9"/>
        <v>MEDIUM</v>
      </c>
      <c r="N273" s="4" t="str">
        <f t="shared" si="10"/>
        <v>SENIOR</v>
      </c>
      <c r="O273" s="4" t="str">
        <f t="shared" si="11"/>
        <v>STAGNANT</v>
      </c>
      <c r="P273" s="5" t="str">
        <f t="shared" si="12"/>
        <v>High_Pressure</v>
      </c>
      <c r="Q273" s="4" t="str">
        <f t="shared" si="13"/>
        <v>DISENGAGED</v>
      </c>
      <c r="R273" s="4" t="str">
        <f t="shared" si="7"/>
        <v>LOW</v>
      </c>
      <c r="S273" s="2"/>
      <c r="T273" s="2"/>
      <c r="U273" s="2"/>
      <c r="V273" s="2"/>
      <c r="W273" s="2"/>
      <c r="X273" s="2"/>
      <c r="Y273" s="2"/>
      <c r="Z273" s="2"/>
    </row>
    <row r="274" spans="1:26" ht="16.8" x14ac:dyDescent="0.3">
      <c r="A274" s="4">
        <v>377</v>
      </c>
      <c r="B274" s="4" t="s">
        <v>43</v>
      </c>
      <c r="C274" s="4">
        <v>28</v>
      </c>
      <c r="D274" s="4" t="s">
        <v>45</v>
      </c>
      <c r="E274" s="4" t="s">
        <v>47</v>
      </c>
      <c r="F274" s="4">
        <v>2070</v>
      </c>
      <c r="G274" s="4" t="s">
        <v>43</v>
      </c>
      <c r="H274" s="4">
        <v>5</v>
      </c>
      <c r="I274" s="4">
        <v>0</v>
      </c>
      <c r="J274" s="4">
        <v>4</v>
      </c>
      <c r="K274" s="4">
        <v>2</v>
      </c>
      <c r="L274" s="4" t="str">
        <f t="shared" si="8"/>
        <v>NORMAL</v>
      </c>
      <c r="M274" s="4" t="str">
        <f t="shared" si="9"/>
        <v>LOW</v>
      </c>
      <c r="N274" s="4" t="str">
        <f t="shared" si="10"/>
        <v>MID</v>
      </c>
      <c r="O274" s="4" t="str">
        <f t="shared" si="11"/>
        <v>RECENTLY PROMOTED</v>
      </c>
      <c r="P274" s="5" t="str">
        <f t="shared" si="12"/>
        <v>Low_Pressure</v>
      </c>
      <c r="Q274" s="4" t="str">
        <f t="shared" si="13"/>
        <v>DISENGAGED</v>
      </c>
      <c r="R274" s="4" t="str">
        <f t="shared" si="7"/>
        <v>LOW</v>
      </c>
      <c r="S274" s="2"/>
      <c r="T274" s="2"/>
      <c r="U274" s="2"/>
      <c r="V274" s="2"/>
      <c r="W274" s="2"/>
      <c r="X274" s="2"/>
      <c r="Y274" s="2"/>
      <c r="Z274" s="2"/>
    </row>
    <row r="275" spans="1:26" ht="16.8" x14ac:dyDescent="0.3">
      <c r="A275" s="4">
        <v>378</v>
      </c>
      <c r="B275" s="4" t="s">
        <v>43</v>
      </c>
      <c r="C275" s="4">
        <v>37</v>
      </c>
      <c r="D275" s="4" t="s">
        <v>37</v>
      </c>
      <c r="E275" s="4" t="s">
        <v>40</v>
      </c>
      <c r="F275" s="4">
        <v>6502</v>
      </c>
      <c r="G275" s="4" t="s">
        <v>43</v>
      </c>
      <c r="H275" s="4">
        <v>5</v>
      </c>
      <c r="I275" s="4">
        <v>0</v>
      </c>
      <c r="J275" s="4">
        <v>4</v>
      </c>
      <c r="K275" s="4">
        <v>4</v>
      </c>
      <c r="L275" s="4" t="str">
        <f t="shared" si="8"/>
        <v>NORMAL</v>
      </c>
      <c r="M275" s="4" t="str">
        <f t="shared" si="9"/>
        <v>HIGH</v>
      </c>
      <c r="N275" s="4" t="str">
        <f t="shared" si="10"/>
        <v>MID</v>
      </c>
      <c r="O275" s="4" t="str">
        <f t="shared" si="11"/>
        <v>RECENTLY PROMOTED</v>
      </c>
      <c r="P275" s="5" t="str">
        <f t="shared" si="12"/>
        <v>Low_Pressure</v>
      </c>
      <c r="Q275" s="4" t="str">
        <f t="shared" si="13"/>
        <v>HIGHLY_ENGAGED</v>
      </c>
      <c r="R275" s="4" t="str">
        <f t="shared" si="7"/>
        <v>LOW</v>
      </c>
      <c r="S275" s="2"/>
      <c r="T275" s="2"/>
      <c r="U275" s="2"/>
      <c r="V275" s="2"/>
      <c r="W275" s="2"/>
      <c r="X275" s="2"/>
      <c r="Y275" s="2"/>
      <c r="Z275" s="2"/>
    </row>
    <row r="276" spans="1:26" ht="16.8" x14ac:dyDescent="0.3">
      <c r="A276" s="4">
        <v>379</v>
      </c>
      <c r="B276" s="4" t="s">
        <v>43</v>
      </c>
      <c r="C276" s="4">
        <v>21</v>
      </c>
      <c r="D276" s="4" t="s">
        <v>45</v>
      </c>
      <c r="E276" s="4" t="s">
        <v>47</v>
      </c>
      <c r="F276" s="4">
        <v>3230</v>
      </c>
      <c r="G276" s="4" t="s">
        <v>43</v>
      </c>
      <c r="H276" s="4">
        <v>3</v>
      </c>
      <c r="I276" s="4">
        <v>1</v>
      </c>
      <c r="J276" s="4">
        <v>3</v>
      </c>
      <c r="K276" s="4">
        <v>4</v>
      </c>
      <c r="L276" s="4" t="str">
        <f t="shared" si="8"/>
        <v>NORMAL</v>
      </c>
      <c r="M276" s="4" t="str">
        <f t="shared" si="9"/>
        <v>LOW</v>
      </c>
      <c r="N276" s="4" t="str">
        <f t="shared" si="10"/>
        <v>MID</v>
      </c>
      <c r="O276" s="4" t="str">
        <f t="shared" si="11"/>
        <v>RECENTLY PROMOTED</v>
      </c>
      <c r="P276" s="5" t="str">
        <f t="shared" si="12"/>
        <v>Low_Pressure</v>
      </c>
      <c r="Q276" s="4" t="str">
        <f t="shared" si="13"/>
        <v>HIGHLY_ENGAGED</v>
      </c>
      <c r="R276" s="4" t="str">
        <f t="shared" si="7"/>
        <v>LOW</v>
      </c>
      <c r="S276" s="2"/>
      <c r="T276" s="2"/>
      <c r="U276" s="2"/>
      <c r="V276" s="2"/>
      <c r="W276" s="2"/>
      <c r="X276" s="2"/>
      <c r="Y276" s="2"/>
      <c r="Z276" s="2"/>
    </row>
    <row r="277" spans="1:26" ht="16.8" x14ac:dyDescent="0.3">
      <c r="A277" s="4">
        <v>380</v>
      </c>
      <c r="B277" s="4" t="s">
        <v>43</v>
      </c>
      <c r="C277" s="4">
        <v>37</v>
      </c>
      <c r="D277" s="4" t="s">
        <v>45</v>
      </c>
      <c r="E277" s="4" t="s">
        <v>58</v>
      </c>
      <c r="F277" s="4">
        <v>13603</v>
      </c>
      <c r="G277" s="4" t="s">
        <v>35</v>
      </c>
      <c r="H277" s="4">
        <v>5</v>
      </c>
      <c r="I277" s="4">
        <v>0</v>
      </c>
      <c r="J277" s="4">
        <v>4</v>
      </c>
      <c r="K277" s="4">
        <v>3</v>
      </c>
      <c r="L277" s="4" t="str">
        <f t="shared" si="8"/>
        <v>NORMAL</v>
      </c>
      <c r="M277" s="4" t="str">
        <f t="shared" si="9"/>
        <v>MEDIUM</v>
      </c>
      <c r="N277" s="4" t="str">
        <f t="shared" si="10"/>
        <v>MID</v>
      </c>
      <c r="O277" s="4" t="str">
        <f t="shared" si="11"/>
        <v>RECENTLY PROMOTED</v>
      </c>
      <c r="P277" s="5" t="str">
        <f t="shared" si="12"/>
        <v>Medium_Pressure</v>
      </c>
      <c r="Q277" s="4" t="str">
        <f t="shared" si="13"/>
        <v>HIGHLY_ENGAGED</v>
      </c>
      <c r="R277" s="4" t="str">
        <f t="shared" si="7"/>
        <v>LOW</v>
      </c>
      <c r="S277" s="2"/>
      <c r="T277" s="2"/>
      <c r="U277" s="2"/>
      <c r="V277" s="2"/>
      <c r="W277" s="2"/>
      <c r="X277" s="2"/>
      <c r="Y277" s="2"/>
      <c r="Z277" s="2"/>
    </row>
    <row r="278" spans="1:26" ht="16.8" x14ac:dyDescent="0.3">
      <c r="A278" s="4">
        <v>381</v>
      </c>
      <c r="B278" s="4" t="s">
        <v>43</v>
      </c>
      <c r="C278" s="4">
        <v>35</v>
      </c>
      <c r="D278" s="4" t="s">
        <v>45</v>
      </c>
      <c r="E278" s="4" t="s">
        <v>56</v>
      </c>
      <c r="F278" s="4">
        <v>11996</v>
      </c>
      <c r="G278" s="4" t="s">
        <v>43</v>
      </c>
      <c r="H278" s="4">
        <v>7</v>
      </c>
      <c r="I278" s="4">
        <v>6</v>
      </c>
      <c r="J278" s="4">
        <v>2</v>
      </c>
      <c r="K278" s="4">
        <v>2</v>
      </c>
      <c r="L278" s="4" t="str">
        <f t="shared" si="8"/>
        <v>NORMAL</v>
      </c>
      <c r="M278" s="4" t="str">
        <f t="shared" si="9"/>
        <v>MEDIUM</v>
      </c>
      <c r="N278" s="4" t="str">
        <f t="shared" si="10"/>
        <v>SENIOR</v>
      </c>
      <c r="O278" s="4" t="str">
        <f t="shared" si="11"/>
        <v>STAGNANT</v>
      </c>
      <c r="P278" s="5" t="str">
        <f t="shared" si="12"/>
        <v>Low_Pressure</v>
      </c>
      <c r="Q278" s="4" t="str">
        <f t="shared" si="13"/>
        <v>DISENGAGED</v>
      </c>
      <c r="R278" s="4" t="str">
        <f t="shared" si="7"/>
        <v>LOW</v>
      </c>
      <c r="S278" s="2"/>
      <c r="T278" s="2"/>
      <c r="U278" s="2"/>
      <c r="V278" s="2"/>
      <c r="W278" s="2"/>
      <c r="X278" s="2"/>
      <c r="Y278" s="2"/>
      <c r="Z278" s="2"/>
    </row>
    <row r="279" spans="1:26" ht="16.8" x14ac:dyDescent="0.3">
      <c r="A279" s="4">
        <v>382</v>
      </c>
      <c r="B279" s="4" t="s">
        <v>43</v>
      </c>
      <c r="C279" s="4">
        <v>38</v>
      </c>
      <c r="D279" s="4" t="s">
        <v>37</v>
      </c>
      <c r="E279" s="4" t="s">
        <v>40</v>
      </c>
      <c r="F279" s="4">
        <v>5605</v>
      </c>
      <c r="G279" s="4" t="s">
        <v>35</v>
      </c>
      <c r="H279" s="4">
        <v>8</v>
      </c>
      <c r="I279" s="4">
        <v>7</v>
      </c>
      <c r="J279" s="4">
        <v>1</v>
      </c>
      <c r="K279" s="4">
        <v>3</v>
      </c>
      <c r="L279" s="4" t="str">
        <f t="shared" si="8"/>
        <v>HIGH RISK</v>
      </c>
      <c r="M279" s="4" t="str">
        <f t="shared" si="9"/>
        <v>HIGH</v>
      </c>
      <c r="N279" s="4" t="str">
        <f t="shared" si="10"/>
        <v>SENIOR</v>
      </c>
      <c r="O279" s="4" t="str">
        <f t="shared" si="11"/>
        <v>STAGNANT</v>
      </c>
      <c r="P279" s="5" t="str">
        <f t="shared" si="12"/>
        <v>Medium_Pressure</v>
      </c>
      <c r="Q279" s="4" t="str">
        <f t="shared" si="13"/>
        <v>DISENGAGED</v>
      </c>
      <c r="R279" s="4" t="str">
        <f t="shared" si="7"/>
        <v>LOW</v>
      </c>
      <c r="S279" s="2"/>
      <c r="T279" s="2"/>
      <c r="U279" s="2"/>
      <c r="V279" s="2"/>
      <c r="W279" s="2"/>
      <c r="X279" s="2"/>
      <c r="Y279" s="2"/>
      <c r="Z279" s="2"/>
    </row>
    <row r="280" spans="1:26" ht="16.8" x14ac:dyDescent="0.3">
      <c r="A280" s="4">
        <v>384</v>
      </c>
      <c r="B280" s="4" t="s">
        <v>43</v>
      </c>
      <c r="C280" s="4">
        <v>26</v>
      </c>
      <c r="D280" s="4" t="s">
        <v>45</v>
      </c>
      <c r="E280" s="4" t="s">
        <v>53</v>
      </c>
      <c r="F280" s="4">
        <v>6397</v>
      </c>
      <c r="G280" s="4" t="s">
        <v>43</v>
      </c>
      <c r="H280" s="4">
        <v>6</v>
      </c>
      <c r="I280" s="4">
        <v>1</v>
      </c>
      <c r="J280" s="4">
        <v>2</v>
      </c>
      <c r="K280" s="4">
        <v>1</v>
      </c>
      <c r="L280" s="4" t="str">
        <f t="shared" si="8"/>
        <v>NORMAL</v>
      </c>
      <c r="M280" s="4" t="str">
        <f t="shared" si="9"/>
        <v>HIGH</v>
      </c>
      <c r="N280" s="4" t="str">
        <f t="shared" si="10"/>
        <v>MID</v>
      </c>
      <c r="O280" s="4" t="str">
        <f t="shared" si="11"/>
        <v>RECENTLY PROMOTED</v>
      </c>
      <c r="P280" s="5" t="str">
        <f t="shared" si="12"/>
        <v>Low_Pressure</v>
      </c>
      <c r="Q280" s="4" t="str">
        <f t="shared" si="13"/>
        <v>DISENGAGED</v>
      </c>
      <c r="R280" s="4" t="str">
        <f t="shared" si="7"/>
        <v>LOW</v>
      </c>
      <c r="S280" s="2"/>
      <c r="T280" s="2"/>
      <c r="U280" s="2"/>
      <c r="V280" s="2"/>
      <c r="W280" s="2"/>
      <c r="X280" s="2"/>
      <c r="Y280" s="2"/>
      <c r="Z280" s="2"/>
    </row>
    <row r="281" spans="1:26" ht="16.8" x14ac:dyDescent="0.3">
      <c r="A281" s="4">
        <v>385</v>
      </c>
      <c r="B281" s="4" t="s">
        <v>43</v>
      </c>
      <c r="C281" s="4">
        <v>50</v>
      </c>
      <c r="D281" s="4" t="s">
        <v>45</v>
      </c>
      <c r="E281" s="4" t="s">
        <v>58</v>
      </c>
      <c r="F281" s="4">
        <v>19144</v>
      </c>
      <c r="G281" s="4" t="s">
        <v>43</v>
      </c>
      <c r="H281" s="4">
        <v>10</v>
      </c>
      <c r="I281" s="4">
        <v>1</v>
      </c>
      <c r="J281" s="4">
        <v>2</v>
      </c>
      <c r="K281" s="4">
        <v>2</v>
      </c>
      <c r="L281" s="4" t="str">
        <f t="shared" si="8"/>
        <v>NORMAL</v>
      </c>
      <c r="M281" s="4" t="str">
        <f t="shared" si="9"/>
        <v>MEDIUM</v>
      </c>
      <c r="N281" s="4" t="str">
        <f t="shared" si="10"/>
        <v>SENIOR</v>
      </c>
      <c r="O281" s="4" t="str">
        <f t="shared" si="11"/>
        <v>RECENTLY PROMOTED</v>
      </c>
      <c r="P281" s="5" t="str">
        <f t="shared" si="12"/>
        <v>Low_Pressure</v>
      </c>
      <c r="Q281" s="4" t="str">
        <f t="shared" si="13"/>
        <v>DISENGAGED</v>
      </c>
      <c r="R281" s="4" t="str">
        <f t="shared" si="7"/>
        <v>LOW</v>
      </c>
      <c r="S281" s="2"/>
      <c r="T281" s="2"/>
      <c r="U281" s="2"/>
      <c r="V281" s="2"/>
      <c r="W281" s="2"/>
      <c r="X281" s="2"/>
      <c r="Y281" s="2"/>
      <c r="Z281" s="2"/>
    </row>
    <row r="282" spans="1:26" ht="16.8" x14ac:dyDescent="0.3">
      <c r="A282" s="4">
        <v>386</v>
      </c>
      <c r="B282" s="4" t="s">
        <v>43</v>
      </c>
      <c r="C282" s="4">
        <v>53</v>
      </c>
      <c r="D282" s="4" t="s">
        <v>45</v>
      </c>
      <c r="E282" s="4" t="s">
        <v>58</v>
      </c>
      <c r="F282" s="4">
        <v>17584</v>
      </c>
      <c r="G282" s="4" t="s">
        <v>35</v>
      </c>
      <c r="H282" s="4">
        <v>5</v>
      </c>
      <c r="I282" s="4">
        <v>1</v>
      </c>
      <c r="J282" s="4">
        <v>3</v>
      </c>
      <c r="K282" s="4">
        <v>2</v>
      </c>
      <c r="L282" s="4" t="str">
        <f t="shared" si="8"/>
        <v>NORMAL</v>
      </c>
      <c r="M282" s="4" t="str">
        <f t="shared" si="9"/>
        <v>MEDIUM</v>
      </c>
      <c r="N282" s="4" t="str">
        <f t="shared" si="10"/>
        <v>MID</v>
      </c>
      <c r="O282" s="4" t="str">
        <f t="shared" si="11"/>
        <v>RECENTLY PROMOTED</v>
      </c>
      <c r="P282" s="5" t="str">
        <f t="shared" si="12"/>
        <v>High_Pressure</v>
      </c>
      <c r="Q282" s="4" t="str">
        <f t="shared" si="13"/>
        <v>DISENGAGED</v>
      </c>
      <c r="R282" s="4" t="str">
        <f t="shared" si="7"/>
        <v>LOW</v>
      </c>
      <c r="S282" s="2"/>
      <c r="T282" s="2"/>
      <c r="U282" s="2"/>
      <c r="V282" s="2"/>
      <c r="W282" s="2"/>
      <c r="X282" s="2"/>
      <c r="Y282" s="2"/>
      <c r="Z282" s="2"/>
    </row>
    <row r="283" spans="1:26" ht="16.8" x14ac:dyDescent="0.3">
      <c r="A283" s="4">
        <v>387</v>
      </c>
      <c r="B283" s="4" t="s">
        <v>43</v>
      </c>
      <c r="C283" s="4">
        <v>42</v>
      </c>
      <c r="D283" s="4" t="s">
        <v>37</v>
      </c>
      <c r="E283" s="4" t="s">
        <v>40</v>
      </c>
      <c r="F283" s="4">
        <v>4907</v>
      </c>
      <c r="G283" s="4" t="s">
        <v>43</v>
      </c>
      <c r="H283" s="4">
        <v>20</v>
      </c>
      <c r="I283" s="4">
        <v>11</v>
      </c>
      <c r="J283" s="4">
        <v>3</v>
      </c>
      <c r="K283" s="4">
        <v>3</v>
      </c>
      <c r="L283" s="4" t="str">
        <f t="shared" si="8"/>
        <v>NORMAL</v>
      </c>
      <c r="M283" s="4" t="str">
        <f t="shared" si="9"/>
        <v>HIGH</v>
      </c>
      <c r="N283" s="4" t="str">
        <f t="shared" si="10"/>
        <v>SENIOR</v>
      </c>
      <c r="O283" s="4" t="str">
        <f t="shared" si="11"/>
        <v>STAGNANT</v>
      </c>
      <c r="P283" s="5" t="str">
        <f t="shared" si="12"/>
        <v>Medium_Pressure</v>
      </c>
      <c r="Q283" s="4" t="str">
        <f t="shared" si="13"/>
        <v>HIGHLY_ENGAGED</v>
      </c>
      <c r="R283" s="4" t="str">
        <f t="shared" si="7"/>
        <v>LOW</v>
      </c>
      <c r="S283" s="2"/>
      <c r="T283" s="2"/>
      <c r="U283" s="2"/>
      <c r="V283" s="2"/>
      <c r="W283" s="2"/>
      <c r="X283" s="2"/>
      <c r="Y283" s="2"/>
      <c r="Z283" s="2"/>
    </row>
    <row r="284" spans="1:26" ht="16.8" x14ac:dyDescent="0.3">
      <c r="A284" s="4">
        <v>388</v>
      </c>
      <c r="B284" s="4" t="s">
        <v>43</v>
      </c>
      <c r="C284" s="4">
        <v>29</v>
      </c>
      <c r="D284" s="4" t="s">
        <v>37</v>
      </c>
      <c r="E284" s="4" t="s">
        <v>40</v>
      </c>
      <c r="F284" s="4">
        <v>4554</v>
      </c>
      <c r="G284" s="4" t="s">
        <v>43</v>
      </c>
      <c r="H284" s="4">
        <v>10</v>
      </c>
      <c r="I284" s="4">
        <v>0</v>
      </c>
      <c r="J284" s="4">
        <v>4</v>
      </c>
      <c r="K284" s="4">
        <v>2</v>
      </c>
      <c r="L284" s="4" t="str">
        <f t="shared" si="8"/>
        <v>NORMAL</v>
      </c>
      <c r="M284" s="4" t="str">
        <f t="shared" si="9"/>
        <v>HIGH</v>
      </c>
      <c r="N284" s="4" t="str">
        <f t="shared" si="10"/>
        <v>SENIOR</v>
      </c>
      <c r="O284" s="4" t="str">
        <f t="shared" si="11"/>
        <v>RECENTLY PROMOTED</v>
      </c>
      <c r="P284" s="5" t="str">
        <f t="shared" si="12"/>
        <v>Low_Pressure</v>
      </c>
      <c r="Q284" s="4" t="str">
        <f t="shared" si="13"/>
        <v>DISENGAGED</v>
      </c>
      <c r="R284" s="4" t="str">
        <f t="shared" si="7"/>
        <v>LOW</v>
      </c>
      <c r="S284" s="2"/>
      <c r="T284" s="2"/>
      <c r="U284" s="2"/>
      <c r="V284" s="2"/>
      <c r="W284" s="2"/>
      <c r="X284" s="2"/>
      <c r="Y284" s="2"/>
      <c r="Z284" s="2"/>
    </row>
    <row r="285" spans="1:26" ht="16.8" x14ac:dyDescent="0.3">
      <c r="A285" s="4">
        <v>389</v>
      </c>
      <c r="B285" s="4" t="s">
        <v>43</v>
      </c>
      <c r="C285" s="4">
        <v>55</v>
      </c>
      <c r="D285" s="4" t="s">
        <v>45</v>
      </c>
      <c r="E285" s="4" t="s">
        <v>50</v>
      </c>
      <c r="F285" s="4">
        <v>5415</v>
      </c>
      <c r="G285" s="4" t="s">
        <v>35</v>
      </c>
      <c r="H285" s="4">
        <v>10</v>
      </c>
      <c r="I285" s="4">
        <v>0</v>
      </c>
      <c r="J285" s="4">
        <v>4</v>
      </c>
      <c r="K285" s="4">
        <v>3</v>
      </c>
      <c r="L285" s="4" t="str">
        <f t="shared" si="8"/>
        <v>NORMAL</v>
      </c>
      <c r="M285" s="4" t="str">
        <f t="shared" si="9"/>
        <v>HIGH</v>
      </c>
      <c r="N285" s="4" t="str">
        <f t="shared" si="10"/>
        <v>SENIOR</v>
      </c>
      <c r="O285" s="4" t="str">
        <f t="shared" si="11"/>
        <v>RECENTLY PROMOTED</v>
      </c>
      <c r="P285" s="5" t="str">
        <f t="shared" si="12"/>
        <v>Medium_Pressure</v>
      </c>
      <c r="Q285" s="4" t="str">
        <f t="shared" si="13"/>
        <v>HIGHLY_ENGAGED</v>
      </c>
      <c r="R285" s="4" t="str">
        <f t="shared" si="7"/>
        <v>LOW</v>
      </c>
      <c r="S285" s="2"/>
      <c r="T285" s="2"/>
      <c r="U285" s="2"/>
      <c r="V285" s="2"/>
      <c r="W285" s="2"/>
      <c r="X285" s="2"/>
      <c r="Y285" s="2"/>
      <c r="Z285" s="2"/>
    </row>
    <row r="286" spans="1:26" ht="16.8" x14ac:dyDescent="0.3">
      <c r="A286" s="4">
        <v>390</v>
      </c>
      <c r="B286" s="4" t="s">
        <v>43</v>
      </c>
      <c r="C286" s="4">
        <v>26</v>
      </c>
      <c r="D286" s="4" t="s">
        <v>45</v>
      </c>
      <c r="E286" s="4" t="s">
        <v>54</v>
      </c>
      <c r="F286" s="4">
        <v>4741</v>
      </c>
      <c r="G286" s="4" t="s">
        <v>35</v>
      </c>
      <c r="H286" s="4">
        <v>5</v>
      </c>
      <c r="I286" s="4">
        <v>3</v>
      </c>
      <c r="J286" s="4">
        <v>1</v>
      </c>
      <c r="K286" s="4">
        <v>3</v>
      </c>
      <c r="L286" s="4" t="str">
        <f t="shared" si="8"/>
        <v>HIGH RISK</v>
      </c>
      <c r="M286" s="4" t="str">
        <f t="shared" si="9"/>
        <v>HIGH</v>
      </c>
      <c r="N286" s="4" t="str">
        <f t="shared" si="10"/>
        <v>MID</v>
      </c>
      <c r="O286" s="4" t="str">
        <f t="shared" si="11"/>
        <v>MODERATE-WAIT</v>
      </c>
      <c r="P286" s="5" t="str">
        <f t="shared" si="12"/>
        <v>Medium_Pressure</v>
      </c>
      <c r="Q286" s="4" t="str">
        <f t="shared" si="13"/>
        <v>DISENGAGED</v>
      </c>
      <c r="R286" s="4" t="str">
        <f t="shared" si="7"/>
        <v>LOW</v>
      </c>
      <c r="S286" s="2"/>
      <c r="T286" s="2"/>
      <c r="U286" s="2"/>
      <c r="V286" s="2"/>
      <c r="W286" s="2"/>
      <c r="X286" s="2"/>
      <c r="Y286" s="2"/>
      <c r="Z286" s="2"/>
    </row>
    <row r="287" spans="1:26" ht="16.8" x14ac:dyDescent="0.3">
      <c r="A287" s="4">
        <v>391</v>
      </c>
      <c r="B287" s="4" t="s">
        <v>43</v>
      </c>
      <c r="C287" s="4">
        <v>37</v>
      </c>
      <c r="D287" s="4" t="s">
        <v>45</v>
      </c>
      <c r="E287" s="4" t="s">
        <v>47</v>
      </c>
      <c r="F287" s="4">
        <v>2115</v>
      </c>
      <c r="G287" s="4" t="s">
        <v>43</v>
      </c>
      <c r="H287" s="4">
        <v>17</v>
      </c>
      <c r="I287" s="4">
        <v>5</v>
      </c>
      <c r="J287" s="4">
        <v>4</v>
      </c>
      <c r="K287" s="4">
        <v>3</v>
      </c>
      <c r="L287" s="4" t="str">
        <f t="shared" si="8"/>
        <v>NORMAL</v>
      </c>
      <c r="M287" s="4" t="str">
        <f t="shared" si="9"/>
        <v>LOW</v>
      </c>
      <c r="N287" s="4" t="str">
        <f t="shared" si="10"/>
        <v>SENIOR</v>
      </c>
      <c r="O287" s="4" t="str">
        <f t="shared" si="11"/>
        <v>STAGNANT</v>
      </c>
      <c r="P287" s="5" t="str">
        <f t="shared" si="12"/>
        <v>Medium_Pressure</v>
      </c>
      <c r="Q287" s="4" t="str">
        <f t="shared" si="13"/>
        <v>HIGHLY_ENGAGED</v>
      </c>
      <c r="R287" s="4" t="str">
        <f t="shared" si="7"/>
        <v>LOW</v>
      </c>
      <c r="S287" s="2"/>
      <c r="T287" s="2"/>
      <c r="U287" s="2"/>
      <c r="V287" s="2"/>
      <c r="W287" s="2"/>
      <c r="X287" s="2"/>
      <c r="Y287" s="2"/>
      <c r="Z287" s="2"/>
    </row>
    <row r="288" spans="1:26" ht="16.8" x14ac:dyDescent="0.3">
      <c r="A288" s="4">
        <v>392</v>
      </c>
      <c r="B288" s="4" t="s">
        <v>35</v>
      </c>
      <c r="C288" s="4">
        <v>44</v>
      </c>
      <c r="D288" s="4" t="s">
        <v>45</v>
      </c>
      <c r="E288" s="4" t="s">
        <v>50</v>
      </c>
      <c r="F288" s="4">
        <v>3161</v>
      </c>
      <c r="G288" s="4" t="s">
        <v>35</v>
      </c>
      <c r="H288" s="4">
        <v>1</v>
      </c>
      <c r="I288" s="4">
        <v>0</v>
      </c>
      <c r="J288" s="4">
        <v>3</v>
      </c>
      <c r="K288" s="4">
        <v>1</v>
      </c>
      <c r="L288" s="4" t="str">
        <f t="shared" si="8"/>
        <v>NORMAL</v>
      </c>
      <c r="M288" s="4" t="str">
        <f t="shared" si="9"/>
        <v>LOW</v>
      </c>
      <c r="N288" s="4" t="str">
        <f t="shared" si="10"/>
        <v>NEW</v>
      </c>
      <c r="O288" s="4" t="str">
        <f t="shared" si="11"/>
        <v>RECENTLY PROMOTED</v>
      </c>
      <c r="P288" s="5" t="str">
        <f t="shared" si="12"/>
        <v>High_Pressure</v>
      </c>
      <c r="Q288" s="4" t="str">
        <f t="shared" si="13"/>
        <v>DISENGAGED</v>
      </c>
      <c r="R288" s="4" t="str">
        <f t="shared" si="7"/>
        <v>LOW</v>
      </c>
      <c r="S288" s="2"/>
      <c r="T288" s="2"/>
      <c r="U288" s="2"/>
      <c r="V288" s="2"/>
      <c r="W288" s="2"/>
      <c r="X288" s="2"/>
      <c r="Y288" s="2"/>
      <c r="Z288" s="2"/>
    </row>
    <row r="289" spans="1:26" ht="16.8" x14ac:dyDescent="0.3">
      <c r="A289" s="4">
        <v>393</v>
      </c>
      <c r="B289" s="4" t="s">
        <v>43</v>
      </c>
      <c r="C289" s="4">
        <v>38</v>
      </c>
      <c r="D289" s="4" t="s">
        <v>45</v>
      </c>
      <c r="E289" s="4" t="s">
        <v>54</v>
      </c>
      <c r="F289" s="4">
        <v>5745</v>
      </c>
      <c r="G289" s="4" t="s">
        <v>43</v>
      </c>
      <c r="H289" s="4">
        <v>2</v>
      </c>
      <c r="I289" s="4">
        <v>1</v>
      </c>
      <c r="J289" s="4">
        <v>4</v>
      </c>
      <c r="K289" s="4">
        <v>3</v>
      </c>
      <c r="L289" s="4" t="str">
        <f t="shared" si="8"/>
        <v>NORMAL</v>
      </c>
      <c r="M289" s="4" t="str">
        <f t="shared" si="9"/>
        <v>HIGH</v>
      </c>
      <c r="N289" s="4" t="str">
        <f t="shared" si="10"/>
        <v>NEW</v>
      </c>
      <c r="O289" s="4" t="str">
        <f t="shared" si="11"/>
        <v>RECENTLY PROMOTED</v>
      </c>
      <c r="P289" s="5" t="str">
        <f t="shared" si="12"/>
        <v>Medium_Pressure</v>
      </c>
      <c r="Q289" s="4" t="str">
        <f t="shared" si="13"/>
        <v>HIGHLY_ENGAGED</v>
      </c>
      <c r="R289" s="4" t="str">
        <f t="shared" si="7"/>
        <v>LOW</v>
      </c>
      <c r="S289" s="2"/>
      <c r="T289" s="2"/>
      <c r="U289" s="2"/>
      <c r="V289" s="2"/>
      <c r="W289" s="2"/>
      <c r="X289" s="2"/>
      <c r="Y289" s="2"/>
      <c r="Z289" s="2"/>
    </row>
    <row r="290" spans="1:26" ht="16.8" x14ac:dyDescent="0.3">
      <c r="A290" s="4">
        <v>394</v>
      </c>
      <c r="B290" s="4" t="s">
        <v>35</v>
      </c>
      <c r="C290" s="4">
        <v>26</v>
      </c>
      <c r="D290" s="4" t="s">
        <v>45</v>
      </c>
      <c r="E290" s="4" t="s">
        <v>50</v>
      </c>
      <c r="F290" s="4">
        <v>2373</v>
      </c>
      <c r="G290" s="4" t="s">
        <v>35</v>
      </c>
      <c r="H290" s="4">
        <v>3</v>
      </c>
      <c r="I290" s="4">
        <v>0</v>
      </c>
      <c r="J290" s="4">
        <v>2</v>
      </c>
      <c r="K290" s="4">
        <v>3</v>
      </c>
      <c r="L290" s="4" t="str">
        <f t="shared" si="8"/>
        <v>NORMAL</v>
      </c>
      <c r="M290" s="4" t="str">
        <f t="shared" si="9"/>
        <v>LOW</v>
      </c>
      <c r="N290" s="4" t="str">
        <f t="shared" si="10"/>
        <v>MID</v>
      </c>
      <c r="O290" s="4" t="str">
        <f t="shared" si="11"/>
        <v>RECENTLY PROMOTED</v>
      </c>
      <c r="P290" s="5" t="str">
        <f t="shared" si="12"/>
        <v>Medium_Pressure</v>
      </c>
      <c r="Q290" s="4" t="str">
        <f t="shared" si="13"/>
        <v>DISENGAGED</v>
      </c>
      <c r="R290" s="4" t="str">
        <f t="shared" si="7"/>
        <v>LOW</v>
      </c>
      <c r="S290" s="2"/>
      <c r="T290" s="2"/>
      <c r="U290" s="2"/>
      <c r="V290" s="2"/>
      <c r="W290" s="2"/>
      <c r="X290" s="2"/>
      <c r="Y290" s="2"/>
      <c r="Z290" s="2"/>
    </row>
    <row r="291" spans="1:26" ht="16.8" x14ac:dyDescent="0.3">
      <c r="A291" s="4">
        <v>395</v>
      </c>
      <c r="B291" s="4" t="s">
        <v>43</v>
      </c>
      <c r="C291" s="4">
        <v>28</v>
      </c>
      <c r="D291" s="4" t="s">
        <v>45</v>
      </c>
      <c r="E291" s="4" t="s">
        <v>47</v>
      </c>
      <c r="F291" s="4">
        <v>3310</v>
      </c>
      <c r="G291" s="4" t="s">
        <v>43</v>
      </c>
      <c r="H291" s="4">
        <v>5</v>
      </c>
      <c r="I291" s="4">
        <v>0</v>
      </c>
      <c r="J291" s="4">
        <v>4</v>
      </c>
      <c r="K291" s="4">
        <v>3</v>
      </c>
      <c r="L291" s="4" t="str">
        <f t="shared" si="8"/>
        <v>NORMAL</v>
      </c>
      <c r="M291" s="4" t="str">
        <f t="shared" si="9"/>
        <v>LOW</v>
      </c>
      <c r="N291" s="4" t="str">
        <f t="shared" si="10"/>
        <v>MID</v>
      </c>
      <c r="O291" s="4" t="str">
        <f t="shared" si="11"/>
        <v>RECENTLY PROMOTED</v>
      </c>
      <c r="P291" s="5" t="str">
        <f t="shared" si="12"/>
        <v>Medium_Pressure</v>
      </c>
      <c r="Q291" s="4" t="str">
        <f t="shared" si="13"/>
        <v>HIGHLY_ENGAGED</v>
      </c>
      <c r="R291" s="4" t="str">
        <f t="shared" si="7"/>
        <v>LOW</v>
      </c>
      <c r="S291" s="2"/>
      <c r="T291" s="2"/>
      <c r="U291" s="2"/>
      <c r="V291" s="2"/>
      <c r="W291" s="2"/>
      <c r="X291" s="2"/>
      <c r="Y291" s="2"/>
      <c r="Z291" s="2"/>
    </row>
    <row r="292" spans="1:26" ht="16.8" x14ac:dyDescent="0.3">
      <c r="A292" s="4">
        <v>396</v>
      </c>
      <c r="B292" s="4" t="s">
        <v>43</v>
      </c>
      <c r="C292" s="4">
        <v>49</v>
      </c>
      <c r="D292" s="4" t="s">
        <v>45</v>
      </c>
      <c r="E292" s="4" t="s">
        <v>58</v>
      </c>
      <c r="F292" s="4">
        <v>18665</v>
      </c>
      <c r="G292" s="4" t="s">
        <v>35</v>
      </c>
      <c r="H292" s="4">
        <v>3</v>
      </c>
      <c r="I292" s="4">
        <v>1</v>
      </c>
      <c r="J292" s="4">
        <v>1</v>
      </c>
      <c r="K292" s="4">
        <v>3</v>
      </c>
      <c r="L292" s="4" t="str">
        <f t="shared" si="8"/>
        <v>NORMAL</v>
      </c>
      <c r="M292" s="4" t="str">
        <f t="shared" si="9"/>
        <v>MEDIUM</v>
      </c>
      <c r="N292" s="4" t="str">
        <f t="shared" si="10"/>
        <v>MID</v>
      </c>
      <c r="O292" s="4" t="str">
        <f t="shared" si="11"/>
        <v>RECENTLY PROMOTED</v>
      </c>
      <c r="P292" s="5" t="str">
        <f t="shared" si="12"/>
        <v>Medium_Pressure</v>
      </c>
      <c r="Q292" s="4" t="str">
        <f t="shared" si="13"/>
        <v>DISENGAGED</v>
      </c>
      <c r="R292" s="4" t="str">
        <f t="shared" si="7"/>
        <v>LOW</v>
      </c>
      <c r="S292" s="2"/>
      <c r="T292" s="2"/>
      <c r="U292" s="2"/>
      <c r="V292" s="2"/>
      <c r="W292" s="2"/>
      <c r="X292" s="2"/>
      <c r="Y292" s="2"/>
      <c r="Z292" s="2"/>
    </row>
    <row r="293" spans="1:26" ht="16.8" x14ac:dyDescent="0.3">
      <c r="A293" s="4">
        <v>397</v>
      </c>
      <c r="B293" s="4" t="s">
        <v>43</v>
      </c>
      <c r="C293" s="4">
        <v>36</v>
      </c>
      <c r="D293" s="4" t="s">
        <v>45</v>
      </c>
      <c r="E293" s="4" t="s">
        <v>47</v>
      </c>
      <c r="F293" s="4">
        <v>4485</v>
      </c>
      <c r="G293" s="4" t="s">
        <v>43</v>
      </c>
      <c r="H293" s="4">
        <v>8</v>
      </c>
      <c r="I293" s="4">
        <v>7</v>
      </c>
      <c r="J293" s="4">
        <v>2</v>
      </c>
      <c r="K293" s="4">
        <v>3</v>
      </c>
      <c r="L293" s="4" t="str">
        <f t="shared" si="8"/>
        <v>NORMAL</v>
      </c>
      <c r="M293" s="4" t="str">
        <f t="shared" si="9"/>
        <v>HIGH</v>
      </c>
      <c r="N293" s="4" t="str">
        <f t="shared" si="10"/>
        <v>SENIOR</v>
      </c>
      <c r="O293" s="4" t="str">
        <f t="shared" si="11"/>
        <v>STAGNANT</v>
      </c>
      <c r="P293" s="5" t="str">
        <f t="shared" si="12"/>
        <v>Medium_Pressure</v>
      </c>
      <c r="Q293" s="4" t="str">
        <f t="shared" si="13"/>
        <v>DISENGAGED</v>
      </c>
      <c r="R293" s="4" t="str">
        <f t="shared" si="7"/>
        <v>LOW</v>
      </c>
      <c r="S293" s="2"/>
      <c r="T293" s="2"/>
      <c r="U293" s="2"/>
      <c r="V293" s="2"/>
      <c r="W293" s="2"/>
      <c r="X293" s="2"/>
      <c r="Y293" s="2"/>
      <c r="Z293" s="2"/>
    </row>
    <row r="294" spans="1:26" ht="16.8" x14ac:dyDescent="0.3">
      <c r="A294" s="4">
        <v>399</v>
      </c>
      <c r="B294" s="4" t="s">
        <v>43</v>
      </c>
      <c r="C294" s="4">
        <v>31</v>
      </c>
      <c r="D294" s="4" t="s">
        <v>37</v>
      </c>
      <c r="E294" s="4" t="s">
        <v>57</v>
      </c>
      <c r="F294" s="4">
        <v>2789</v>
      </c>
      <c r="G294" s="4" t="s">
        <v>43</v>
      </c>
      <c r="H294" s="4">
        <v>2</v>
      </c>
      <c r="I294" s="4">
        <v>2</v>
      </c>
      <c r="J294" s="4">
        <v>2</v>
      </c>
      <c r="K294" s="4">
        <v>2</v>
      </c>
      <c r="L294" s="4" t="str">
        <f t="shared" si="8"/>
        <v>NORMAL</v>
      </c>
      <c r="M294" s="4" t="str">
        <f t="shared" si="9"/>
        <v>LOW</v>
      </c>
      <c r="N294" s="4" t="str">
        <f t="shared" si="10"/>
        <v>NEW</v>
      </c>
      <c r="O294" s="4" t="str">
        <f t="shared" si="11"/>
        <v>MODERATE-WAIT</v>
      </c>
      <c r="P294" s="5" t="str">
        <f t="shared" si="12"/>
        <v>Low_Pressure</v>
      </c>
      <c r="Q294" s="4" t="str">
        <f t="shared" si="13"/>
        <v>DISENGAGED</v>
      </c>
      <c r="R294" s="4" t="str">
        <f t="shared" si="7"/>
        <v>LOW</v>
      </c>
      <c r="S294" s="2"/>
      <c r="T294" s="2"/>
      <c r="U294" s="2"/>
      <c r="V294" s="2"/>
      <c r="W294" s="2"/>
      <c r="X294" s="2"/>
      <c r="Y294" s="2"/>
      <c r="Z294" s="2"/>
    </row>
    <row r="295" spans="1:26" ht="16.8" x14ac:dyDescent="0.3">
      <c r="A295" s="4">
        <v>401</v>
      </c>
      <c r="B295" s="4" t="s">
        <v>35</v>
      </c>
      <c r="C295" s="4">
        <v>26</v>
      </c>
      <c r="D295" s="4" t="s">
        <v>37</v>
      </c>
      <c r="E295" s="4" t="s">
        <v>40</v>
      </c>
      <c r="F295" s="4">
        <v>5828</v>
      </c>
      <c r="G295" s="4" t="s">
        <v>35</v>
      </c>
      <c r="H295" s="4">
        <v>8</v>
      </c>
      <c r="I295" s="4">
        <v>7</v>
      </c>
      <c r="J295" s="4">
        <v>4</v>
      </c>
      <c r="K295" s="4">
        <v>3</v>
      </c>
      <c r="L295" s="4" t="str">
        <f t="shared" si="8"/>
        <v>NORMAL</v>
      </c>
      <c r="M295" s="4" t="str">
        <f t="shared" si="9"/>
        <v>HIGH</v>
      </c>
      <c r="N295" s="4" t="str">
        <f t="shared" si="10"/>
        <v>SENIOR</v>
      </c>
      <c r="O295" s="4" t="str">
        <f t="shared" si="11"/>
        <v>STAGNANT</v>
      </c>
      <c r="P295" s="5" t="str">
        <f t="shared" si="12"/>
        <v>Medium_Pressure</v>
      </c>
      <c r="Q295" s="4" t="str">
        <f t="shared" si="13"/>
        <v>HIGHLY_ENGAGED</v>
      </c>
      <c r="R295" s="4" t="str">
        <f t="shared" si="7"/>
        <v>LOW</v>
      </c>
      <c r="S295" s="2"/>
      <c r="T295" s="2"/>
      <c r="U295" s="2"/>
      <c r="V295" s="2"/>
      <c r="W295" s="2"/>
      <c r="X295" s="2"/>
      <c r="Y295" s="2"/>
      <c r="Z295" s="2"/>
    </row>
    <row r="296" spans="1:26" ht="16.8" x14ac:dyDescent="0.3">
      <c r="A296" s="4">
        <v>403</v>
      </c>
      <c r="B296" s="4" t="s">
        <v>43</v>
      </c>
      <c r="C296" s="4">
        <v>37</v>
      </c>
      <c r="D296" s="4" t="s">
        <v>45</v>
      </c>
      <c r="E296" s="4" t="s">
        <v>47</v>
      </c>
      <c r="F296" s="4">
        <v>2326</v>
      </c>
      <c r="G296" s="4" t="s">
        <v>35</v>
      </c>
      <c r="H296" s="4">
        <v>4</v>
      </c>
      <c r="I296" s="4">
        <v>1</v>
      </c>
      <c r="J296" s="4">
        <v>4</v>
      </c>
      <c r="K296" s="4">
        <v>2</v>
      </c>
      <c r="L296" s="4" t="str">
        <f t="shared" si="8"/>
        <v>NORMAL</v>
      </c>
      <c r="M296" s="4" t="str">
        <f t="shared" si="9"/>
        <v>LOW</v>
      </c>
      <c r="N296" s="4" t="str">
        <f t="shared" si="10"/>
        <v>MID</v>
      </c>
      <c r="O296" s="4" t="str">
        <f t="shared" si="11"/>
        <v>RECENTLY PROMOTED</v>
      </c>
      <c r="P296" s="5" t="str">
        <f t="shared" si="12"/>
        <v>High_Pressure</v>
      </c>
      <c r="Q296" s="4" t="str">
        <f t="shared" si="13"/>
        <v>DISENGAGED</v>
      </c>
      <c r="R296" s="4" t="str">
        <f t="shared" si="7"/>
        <v>LOW</v>
      </c>
      <c r="S296" s="2"/>
      <c r="T296" s="2"/>
      <c r="U296" s="2"/>
      <c r="V296" s="2"/>
      <c r="W296" s="2"/>
      <c r="X296" s="2"/>
      <c r="Y296" s="2"/>
      <c r="Z296" s="2"/>
    </row>
    <row r="297" spans="1:26" ht="16.8" x14ac:dyDescent="0.3">
      <c r="A297" s="4">
        <v>404</v>
      </c>
      <c r="B297" s="4" t="s">
        <v>43</v>
      </c>
      <c r="C297" s="4">
        <v>42</v>
      </c>
      <c r="D297" s="4" t="s">
        <v>37</v>
      </c>
      <c r="E297" s="4" t="s">
        <v>40</v>
      </c>
      <c r="F297" s="4">
        <v>13525</v>
      </c>
      <c r="G297" s="4" t="s">
        <v>43</v>
      </c>
      <c r="H297" s="4">
        <v>20</v>
      </c>
      <c r="I297" s="4">
        <v>4</v>
      </c>
      <c r="J297" s="4">
        <v>2</v>
      </c>
      <c r="K297" s="4">
        <v>4</v>
      </c>
      <c r="L297" s="4" t="str">
        <f t="shared" si="8"/>
        <v>NORMAL</v>
      </c>
      <c r="M297" s="4" t="str">
        <f t="shared" si="9"/>
        <v>MEDIUM</v>
      </c>
      <c r="N297" s="4" t="str">
        <f t="shared" si="10"/>
        <v>SENIOR</v>
      </c>
      <c r="O297" s="4" t="str">
        <f t="shared" si="11"/>
        <v>STAGNANT</v>
      </c>
      <c r="P297" s="5" t="str">
        <f t="shared" si="12"/>
        <v>Low_Pressure</v>
      </c>
      <c r="Q297" s="4" t="str">
        <f t="shared" si="13"/>
        <v>DISENGAGED</v>
      </c>
      <c r="R297" s="4" t="str">
        <f t="shared" si="7"/>
        <v>LOW</v>
      </c>
      <c r="S297" s="2"/>
      <c r="T297" s="2"/>
      <c r="U297" s="2"/>
      <c r="V297" s="2"/>
      <c r="W297" s="2"/>
      <c r="X297" s="2"/>
      <c r="Y297" s="2"/>
      <c r="Z297" s="2"/>
    </row>
    <row r="298" spans="1:26" ht="16.8" x14ac:dyDescent="0.3">
      <c r="A298" s="4">
        <v>405</v>
      </c>
      <c r="B298" s="4" t="s">
        <v>35</v>
      </c>
      <c r="C298" s="4">
        <v>18</v>
      </c>
      <c r="D298" s="4" t="s">
        <v>45</v>
      </c>
      <c r="E298" s="4" t="s">
        <v>50</v>
      </c>
      <c r="F298" s="4">
        <v>1420</v>
      </c>
      <c r="G298" s="4" t="s">
        <v>43</v>
      </c>
      <c r="H298" s="4">
        <v>0</v>
      </c>
      <c r="I298" s="4">
        <v>0</v>
      </c>
      <c r="J298" s="4">
        <v>3</v>
      </c>
      <c r="K298" s="4">
        <v>3</v>
      </c>
      <c r="L298" s="4" t="str">
        <f t="shared" si="8"/>
        <v>NORMAL</v>
      </c>
      <c r="M298" s="4" t="str">
        <f t="shared" si="9"/>
        <v>LOW</v>
      </c>
      <c r="N298" s="4" t="str">
        <f t="shared" si="10"/>
        <v>NEW</v>
      </c>
      <c r="O298" s="4" t="str">
        <f t="shared" si="11"/>
        <v>RECENTLY PROMOTED</v>
      </c>
      <c r="P298" s="5" t="str">
        <f t="shared" si="12"/>
        <v>Medium_Pressure</v>
      </c>
      <c r="Q298" s="4" t="str">
        <f t="shared" si="13"/>
        <v>HIGHLY_ENGAGED</v>
      </c>
      <c r="R298" s="4" t="str">
        <f t="shared" si="7"/>
        <v>LOW</v>
      </c>
      <c r="S298" s="2"/>
      <c r="T298" s="2"/>
      <c r="U298" s="2"/>
      <c r="V298" s="2"/>
      <c r="W298" s="2"/>
      <c r="X298" s="2"/>
      <c r="Y298" s="2"/>
      <c r="Z298" s="2"/>
    </row>
    <row r="299" spans="1:26" ht="16.8" x14ac:dyDescent="0.3">
      <c r="A299" s="4">
        <v>406</v>
      </c>
      <c r="B299" s="4" t="s">
        <v>43</v>
      </c>
      <c r="C299" s="4">
        <v>35</v>
      </c>
      <c r="D299" s="4" t="s">
        <v>37</v>
      </c>
      <c r="E299" s="4" t="s">
        <v>40</v>
      </c>
      <c r="F299" s="4">
        <v>8020</v>
      </c>
      <c r="G299" s="4" t="s">
        <v>43</v>
      </c>
      <c r="H299" s="4">
        <v>11</v>
      </c>
      <c r="I299" s="4">
        <v>6</v>
      </c>
      <c r="J299" s="4">
        <v>2</v>
      </c>
      <c r="K299" s="4">
        <v>2</v>
      </c>
      <c r="L299" s="4" t="str">
        <f t="shared" si="8"/>
        <v>NORMAL</v>
      </c>
      <c r="M299" s="4" t="str">
        <f t="shared" si="9"/>
        <v>HIGH</v>
      </c>
      <c r="N299" s="4" t="str">
        <f t="shared" si="10"/>
        <v>SENIOR</v>
      </c>
      <c r="O299" s="4" t="str">
        <f t="shared" si="11"/>
        <v>STAGNANT</v>
      </c>
      <c r="P299" s="5" t="str">
        <f t="shared" si="12"/>
        <v>Low_Pressure</v>
      </c>
      <c r="Q299" s="4" t="str">
        <f t="shared" si="13"/>
        <v>DISENGAGED</v>
      </c>
      <c r="R299" s="4" t="str">
        <f t="shared" si="7"/>
        <v>LOW</v>
      </c>
      <c r="S299" s="2"/>
      <c r="T299" s="2"/>
      <c r="U299" s="2"/>
      <c r="V299" s="2"/>
      <c r="W299" s="2"/>
      <c r="X299" s="2"/>
      <c r="Y299" s="2"/>
      <c r="Z299" s="2"/>
    </row>
    <row r="300" spans="1:26" ht="16.8" x14ac:dyDescent="0.3">
      <c r="A300" s="4">
        <v>407</v>
      </c>
      <c r="B300" s="4" t="s">
        <v>43</v>
      </c>
      <c r="C300" s="4">
        <v>36</v>
      </c>
      <c r="D300" s="4" t="s">
        <v>45</v>
      </c>
      <c r="E300" s="4" t="s">
        <v>50</v>
      </c>
      <c r="F300" s="4">
        <v>3688</v>
      </c>
      <c r="G300" s="4" t="s">
        <v>43</v>
      </c>
      <c r="H300" s="4">
        <v>1</v>
      </c>
      <c r="I300" s="4">
        <v>0</v>
      </c>
      <c r="J300" s="4">
        <v>4</v>
      </c>
      <c r="K300" s="4">
        <v>3</v>
      </c>
      <c r="L300" s="4" t="str">
        <f t="shared" si="8"/>
        <v>NORMAL</v>
      </c>
      <c r="M300" s="4" t="str">
        <f t="shared" si="9"/>
        <v>LOW</v>
      </c>
      <c r="N300" s="4" t="str">
        <f t="shared" si="10"/>
        <v>NEW</v>
      </c>
      <c r="O300" s="4" t="str">
        <f t="shared" si="11"/>
        <v>RECENTLY PROMOTED</v>
      </c>
      <c r="P300" s="5" t="str">
        <f t="shared" si="12"/>
        <v>Medium_Pressure</v>
      </c>
      <c r="Q300" s="4" t="str">
        <f t="shared" si="13"/>
        <v>HIGHLY_ENGAGED</v>
      </c>
      <c r="R300" s="4" t="str">
        <f t="shared" si="7"/>
        <v>LOW</v>
      </c>
      <c r="S300" s="2"/>
      <c r="T300" s="2"/>
      <c r="U300" s="2"/>
      <c r="V300" s="2"/>
      <c r="W300" s="2"/>
      <c r="X300" s="2"/>
      <c r="Y300" s="2"/>
      <c r="Z300" s="2"/>
    </row>
    <row r="301" spans="1:26" ht="16.8" x14ac:dyDescent="0.3">
      <c r="A301" s="4">
        <v>408</v>
      </c>
      <c r="B301" s="4" t="s">
        <v>43</v>
      </c>
      <c r="C301" s="4">
        <v>51</v>
      </c>
      <c r="D301" s="4" t="s">
        <v>45</v>
      </c>
      <c r="E301" s="4" t="s">
        <v>53</v>
      </c>
      <c r="F301" s="4">
        <v>5482</v>
      </c>
      <c r="G301" s="4" t="s">
        <v>43</v>
      </c>
      <c r="H301" s="4">
        <v>4</v>
      </c>
      <c r="I301" s="4">
        <v>1</v>
      </c>
      <c r="J301" s="4">
        <v>2</v>
      </c>
      <c r="K301" s="4">
        <v>3</v>
      </c>
      <c r="L301" s="4" t="str">
        <f t="shared" si="8"/>
        <v>NORMAL</v>
      </c>
      <c r="M301" s="4" t="str">
        <f t="shared" si="9"/>
        <v>HIGH</v>
      </c>
      <c r="N301" s="4" t="str">
        <f t="shared" si="10"/>
        <v>MID</v>
      </c>
      <c r="O301" s="4" t="str">
        <f t="shared" si="11"/>
        <v>RECENTLY PROMOTED</v>
      </c>
      <c r="P301" s="5" t="str">
        <f t="shared" si="12"/>
        <v>Medium_Pressure</v>
      </c>
      <c r="Q301" s="4" t="str">
        <f t="shared" si="13"/>
        <v>DISENGAGED</v>
      </c>
      <c r="R301" s="4" t="str">
        <f t="shared" si="7"/>
        <v>LOW</v>
      </c>
      <c r="S301" s="2"/>
      <c r="T301" s="2"/>
      <c r="U301" s="2"/>
      <c r="V301" s="2"/>
      <c r="W301" s="2"/>
      <c r="X301" s="2"/>
      <c r="Y301" s="2"/>
      <c r="Z301" s="2"/>
    </row>
    <row r="302" spans="1:26" ht="16.8" x14ac:dyDescent="0.3">
      <c r="A302" s="4">
        <v>410</v>
      </c>
      <c r="B302" s="4" t="s">
        <v>43</v>
      </c>
      <c r="C302" s="4">
        <v>41</v>
      </c>
      <c r="D302" s="4" t="s">
        <v>37</v>
      </c>
      <c r="E302" s="4" t="s">
        <v>56</v>
      </c>
      <c r="F302" s="4">
        <v>16015</v>
      </c>
      <c r="G302" s="4" t="s">
        <v>43</v>
      </c>
      <c r="H302" s="4">
        <v>22</v>
      </c>
      <c r="I302" s="4">
        <v>0</v>
      </c>
      <c r="J302" s="4">
        <v>2</v>
      </c>
      <c r="K302" s="4">
        <v>3</v>
      </c>
      <c r="L302" s="4" t="str">
        <f t="shared" si="8"/>
        <v>NORMAL</v>
      </c>
      <c r="M302" s="4" t="str">
        <f t="shared" si="9"/>
        <v>MEDIUM</v>
      </c>
      <c r="N302" s="4" t="str">
        <f t="shared" si="10"/>
        <v>SENIOR</v>
      </c>
      <c r="O302" s="4" t="str">
        <f t="shared" si="11"/>
        <v>RECENTLY PROMOTED</v>
      </c>
      <c r="P302" s="5" t="str">
        <f t="shared" si="12"/>
        <v>Medium_Pressure</v>
      </c>
      <c r="Q302" s="4" t="str">
        <f t="shared" si="13"/>
        <v>DISENGAGED</v>
      </c>
      <c r="R302" s="4" t="str">
        <f t="shared" si="7"/>
        <v>LOW</v>
      </c>
      <c r="S302" s="2"/>
      <c r="T302" s="2"/>
      <c r="U302" s="2"/>
      <c r="V302" s="2"/>
      <c r="W302" s="2"/>
      <c r="X302" s="2"/>
      <c r="Y302" s="2"/>
      <c r="Z302" s="2"/>
    </row>
    <row r="303" spans="1:26" ht="16.8" x14ac:dyDescent="0.3">
      <c r="A303" s="4">
        <v>411</v>
      </c>
      <c r="B303" s="4" t="s">
        <v>43</v>
      </c>
      <c r="C303" s="4">
        <v>18</v>
      </c>
      <c r="D303" s="4" t="s">
        <v>37</v>
      </c>
      <c r="E303" s="4" t="s">
        <v>57</v>
      </c>
      <c r="F303" s="4">
        <v>1200</v>
      </c>
      <c r="G303" s="4" t="s">
        <v>43</v>
      </c>
      <c r="H303" s="4">
        <v>0</v>
      </c>
      <c r="I303" s="4">
        <v>0</v>
      </c>
      <c r="J303" s="4">
        <v>3</v>
      </c>
      <c r="K303" s="4">
        <v>3</v>
      </c>
      <c r="L303" s="4" t="str">
        <f t="shared" si="8"/>
        <v>NORMAL</v>
      </c>
      <c r="M303" s="4" t="str">
        <f t="shared" si="9"/>
        <v>LOW</v>
      </c>
      <c r="N303" s="4" t="str">
        <f t="shared" si="10"/>
        <v>NEW</v>
      </c>
      <c r="O303" s="4" t="str">
        <f t="shared" si="11"/>
        <v>RECENTLY PROMOTED</v>
      </c>
      <c r="P303" s="5" t="str">
        <f t="shared" si="12"/>
        <v>Medium_Pressure</v>
      </c>
      <c r="Q303" s="4" t="str">
        <f t="shared" si="13"/>
        <v>HIGHLY_ENGAGED</v>
      </c>
      <c r="R303" s="4" t="str">
        <f t="shared" si="7"/>
        <v>LOW</v>
      </c>
      <c r="S303" s="2"/>
      <c r="T303" s="2"/>
      <c r="U303" s="2"/>
      <c r="V303" s="2"/>
      <c r="W303" s="2"/>
      <c r="X303" s="2"/>
      <c r="Y303" s="2"/>
      <c r="Z303" s="2"/>
    </row>
    <row r="304" spans="1:26" ht="16.8" x14ac:dyDescent="0.3">
      <c r="A304" s="4">
        <v>412</v>
      </c>
      <c r="B304" s="4" t="s">
        <v>43</v>
      </c>
      <c r="C304" s="4">
        <v>28</v>
      </c>
      <c r="D304" s="4" t="s">
        <v>45</v>
      </c>
      <c r="E304" s="4" t="s">
        <v>54</v>
      </c>
      <c r="F304" s="4">
        <v>5661</v>
      </c>
      <c r="G304" s="4" t="s">
        <v>43</v>
      </c>
      <c r="H304" s="4">
        <v>8</v>
      </c>
      <c r="I304" s="4">
        <v>0</v>
      </c>
      <c r="J304" s="4">
        <v>1</v>
      </c>
      <c r="K304" s="4">
        <v>3</v>
      </c>
      <c r="L304" s="4" t="str">
        <f t="shared" si="8"/>
        <v>NORMAL</v>
      </c>
      <c r="M304" s="4" t="str">
        <f t="shared" si="9"/>
        <v>HIGH</v>
      </c>
      <c r="N304" s="4" t="str">
        <f t="shared" si="10"/>
        <v>SENIOR</v>
      </c>
      <c r="O304" s="4" t="str">
        <f t="shared" si="11"/>
        <v>RECENTLY PROMOTED</v>
      </c>
      <c r="P304" s="5" t="str">
        <f t="shared" si="12"/>
        <v>Medium_Pressure</v>
      </c>
      <c r="Q304" s="4" t="str">
        <f t="shared" si="13"/>
        <v>DISENGAGED</v>
      </c>
      <c r="R304" s="4" t="str">
        <f t="shared" si="7"/>
        <v>LOW</v>
      </c>
      <c r="S304" s="2"/>
      <c r="T304" s="2"/>
      <c r="U304" s="2"/>
      <c r="V304" s="2"/>
      <c r="W304" s="2"/>
      <c r="X304" s="2"/>
      <c r="Y304" s="2"/>
      <c r="Z304" s="2"/>
    </row>
    <row r="305" spans="1:26" ht="16.8" x14ac:dyDescent="0.3">
      <c r="A305" s="4">
        <v>416</v>
      </c>
      <c r="B305" s="4" t="s">
        <v>43</v>
      </c>
      <c r="C305" s="4">
        <v>31</v>
      </c>
      <c r="D305" s="4" t="s">
        <v>37</v>
      </c>
      <c r="E305" s="4" t="s">
        <v>40</v>
      </c>
      <c r="F305" s="4">
        <v>6929</v>
      </c>
      <c r="G305" s="4" t="s">
        <v>43</v>
      </c>
      <c r="H305" s="4">
        <v>8</v>
      </c>
      <c r="I305" s="4">
        <v>7</v>
      </c>
      <c r="J305" s="4">
        <v>4</v>
      </c>
      <c r="K305" s="4">
        <v>2</v>
      </c>
      <c r="L305" s="4" t="str">
        <f t="shared" si="8"/>
        <v>NORMAL</v>
      </c>
      <c r="M305" s="4" t="str">
        <f t="shared" si="9"/>
        <v>HIGH</v>
      </c>
      <c r="N305" s="4" t="str">
        <f t="shared" si="10"/>
        <v>SENIOR</v>
      </c>
      <c r="O305" s="4" t="str">
        <f t="shared" si="11"/>
        <v>STAGNANT</v>
      </c>
      <c r="P305" s="5" t="str">
        <f t="shared" si="12"/>
        <v>Low_Pressure</v>
      </c>
      <c r="Q305" s="4" t="str">
        <f t="shared" si="13"/>
        <v>DISENGAGED</v>
      </c>
      <c r="R305" s="4" t="str">
        <f t="shared" si="7"/>
        <v>LOW</v>
      </c>
      <c r="S305" s="2"/>
      <c r="T305" s="2"/>
      <c r="U305" s="2"/>
      <c r="V305" s="2"/>
      <c r="W305" s="2"/>
      <c r="X305" s="2"/>
      <c r="Y305" s="2"/>
      <c r="Z305" s="2"/>
    </row>
    <row r="306" spans="1:26" ht="16.8" x14ac:dyDescent="0.3">
      <c r="A306" s="4">
        <v>417</v>
      </c>
      <c r="B306" s="4" t="s">
        <v>43</v>
      </c>
      <c r="C306" s="4">
        <v>39</v>
      </c>
      <c r="D306" s="4" t="s">
        <v>45</v>
      </c>
      <c r="E306" s="4" t="s">
        <v>54</v>
      </c>
      <c r="F306" s="4">
        <v>9613</v>
      </c>
      <c r="G306" s="4" t="s">
        <v>43</v>
      </c>
      <c r="H306" s="4">
        <v>18</v>
      </c>
      <c r="I306" s="4">
        <v>3</v>
      </c>
      <c r="J306" s="4">
        <v>4</v>
      </c>
      <c r="K306" s="4">
        <v>2</v>
      </c>
      <c r="L306" s="4" t="str">
        <f t="shared" si="8"/>
        <v>NORMAL</v>
      </c>
      <c r="M306" s="4" t="str">
        <f t="shared" si="9"/>
        <v>MEDIUM</v>
      </c>
      <c r="N306" s="4" t="str">
        <f t="shared" si="10"/>
        <v>SENIOR</v>
      </c>
      <c r="O306" s="4" t="str">
        <f t="shared" si="11"/>
        <v>MODERATE-WAIT</v>
      </c>
      <c r="P306" s="5" t="str">
        <f t="shared" si="12"/>
        <v>Low_Pressure</v>
      </c>
      <c r="Q306" s="4" t="str">
        <f t="shared" si="13"/>
        <v>DISENGAGED</v>
      </c>
      <c r="R306" s="4" t="str">
        <f t="shared" si="7"/>
        <v>LOW</v>
      </c>
      <c r="S306" s="2"/>
      <c r="T306" s="2"/>
      <c r="U306" s="2"/>
      <c r="V306" s="2"/>
      <c r="W306" s="2"/>
      <c r="X306" s="2"/>
      <c r="Y306" s="2"/>
      <c r="Z306" s="2"/>
    </row>
    <row r="307" spans="1:26" ht="16.8" x14ac:dyDescent="0.3">
      <c r="A307" s="4">
        <v>419</v>
      </c>
      <c r="B307" s="4" t="s">
        <v>43</v>
      </c>
      <c r="C307" s="4">
        <v>36</v>
      </c>
      <c r="D307" s="4" t="s">
        <v>45</v>
      </c>
      <c r="E307" s="4" t="s">
        <v>50</v>
      </c>
      <c r="F307" s="4">
        <v>5674</v>
      </c>
      <c r="G307" s="4" t="s">
        <v>43</v>
      </c>
      <c r="H307" s="4">
        <v>9</v>
      </c>
      <c r="I307" s="4">
        <v>0</v>
      </c>
      <c r="J307" s="4">
        <v>2</v>
      </c>
      <c r="K307" s="4">
        <v>3</v>
      </c>
      <c r="L307" s="4" t="str">
        <f t="shared" si="8"/>
        <v>NORMAL</v>
      </c>
      <c r="M307" s="4" t="str">
        <f t="shared" si="9"/>
        <v>HIGH</v>
      </c>
      <c r="N307" s="4" t="str">
        <f t="shared" si="10"/>
        <v>SENIOR</v>
      </c>
      <c r="O307" s="4" t="str">
        <f t="shared" si="11"/>
        <v>RECENTLY PROMOTED</v>
      </c>
      <c r="P307" s="5" t="str">
        <f t="shared" si="12"/>
        <v>Medium_Pressure</v>
      </c>
      <c r="Q307" s="4" t="str">
        <f t="shared" si="13"/>
        <v>DISENGAGED</v>
      </c>
      <c r="R307" s="4" t="str">
        <f t="shared" si="7"/>
        <v>LOW</v>
      </c>
      <c r="S307" s="2"/>
      <c r="T307" s="2"/>
      <c r="U307" s="2"/>
      <c r="V307" s="2"/>
      <c r="W307" s="2"/>
      <c r="X307" s="2"/>
      <c r="Y307" s="2"/>
      <c r="Z307" s="2"/>
    </row>
    <row r="308" spans="1:26" ht="16.8" x14ac:dyDescent="0.3">
      <c r="A308" s="4">
        <v>420</v>
      </c>
      <c r="B308" s="4" t="s">
        <v>43</v>
      </c>
      <c r="C308" s="4">
        <v>32</v>
      </c>
      <c r="D308" s="4" t="s">
        <v>37</v>
      </c>
      <c r="E308" s="4" t="s">
        <v>40</v>
      </c>
      <c r="F308" s="4">
        <v>5484</v>
      </c>
      <c r="G308" s="4" t="s">
        <v>43</v>
      </c>
      <c r="H308" s="4">
        <v>13</v>
      </c>
      <c r="I308" s="4">
        <v>4</v>
      </c>
      <c r="J308" s="4">
        <v>3</v>
      </c>
      <c r="K308" s="4">
        <v>2</v>
      </c>
      <c r="L308" s="4" t="str">
        <f t="shared" si="8"/>
        <v>NORMAL</v>
      </c>
      <c r="M308" s="4" t="str">
        <f t="shared" si="9"/>
        <v>HIGH</v>
      </c>
      <c r="N308" s="4" t="str">
        <f t="shared" si="10"/>
        <v>SENIOR</v>
      </c>
      <c r="O308" s="4" t="str">
        <f t="shared" si="11"/>
        <v>STAGNANT</v>
      </c>
      <c r="P308" s="5" t="str">
        <f t="shared" si="12"/>
        <v>Low_Pressure</v>
      </c>
      <c r="Q308" s="4" t="str">
        <f t="shared" si="13"/>
        <v>DISENGAGED</v>
      </c>
      <c r="R308" s="4" t="str">
        <f t="shared" si="7"/>
        <v>LOW</v>
      </c>
      <c r="S308" s="2"/>
      <c r="T308" s="2"/>
      <c r="U308" s="2"/>
      <c r="V308" s="2"/>
      <c r="W308" s="2"/>
      <c r="X308" s="2"/>
      <c r="Y308" s="2"/>
      <c r="Z308" s="2"/>
    </row>
    <row r="309" spans="1:26" ht="16.8" x14ac:dyDescent="0.3">
      <c r="A309" s="4">
        <v>421</v>
      </c>
      <c r="B309" s="4" t="s">
        <v>43</v>
      </c>
      <c r="C309" s="4">
        <v>38</v>
      </c>
      <c r="D309" s="4" t="s">
        <v>45</v>
      </c>
      <c r="E309" s="4" t="s">
        <v>58</v>
      </c>
      <c r="F309" s="4">
        <v>12061</v>
      </c>
      <c r="G309" s="4" t="s">
        <v>43</v>
      </c>
      <c r="H309" s="4">
        <v>10</v>
      </c>
      <c r="I309" s="4">
        <v>0</v>
      </c>
      <c r="J309" s="4">
        <v>2</v>
      </c>
      <c r="K309" s="4">
        <v>3</v>
      </c>
      <c r="L309" s="4" t="str">
        <f t="shared" si="8"/>
        <v>NORMAL</v>
      </c>
      <c r="M309" s="4" t="str">
        <f t="shared" si="9"/>
        <v>MEDIUM</v>
      </c>
      <c r="N309" s="4" t="str">
        <f t="shared" si="10"/>
        <v>SENIOR</v>
      </c>
      <c r="O309" s="4" t="str">
        <f t="shared" si="11"/>
        <v>RECENTLY PROMOTED</v>
      </c>
      <c r="P309" s="5" t="str">
        <f t="shared" si="12"/>
        <v>Medium_Pressure</v>
      </c>
      <c r="Q309" s="4" t="str">
        <f t="shared" si="13"/>
        <v>DISENGAGED</v>
      </c>
      <c r="R309" s="4" t="str">
        <f t="shared" si="7"/>
        <v>LOW</v>
      </c>
      <c r="S309" s="2"/>
      <c r="T309" s="2"/>
      <c r="U309" s="2"/>
      <c r="V309" s="2"/>
      <c r="W309" s="2"/>
      <c r="X309" s="2"/>
      <c r="Y309" s="2"/>
      <c r="Z309" s="2"/>
    </row>
    <row r="310" spans="1:26" ht="16.8" x14ac:dyDescent="0.3">
      <c r="A310" s="4">
        <v>422</v>
      </c>
      <c r="B310" s="4" t="s">
        <v>43</v>
      </c>
      <c r="C310" s="4">
        <v>58</v>
      </c>
      <c r="D310" s="4" t="s">
        <v>45</v>
      </c>
      <c r="E310" s="4" t="s">
        <v>54</v>
      </c>
      <c r="F310" s="4">
        <v>5660</v>
      </c>
      <c r="G310" s="4" t="s">
        <v>35</v>
      </c>
      <c r="H310" s="4">
        <v>5</v>
      </c>
      <c r="I310" s="4">
        <v>1</v>
      </c>
      <c r="J310" s="4">
        <v>3</v>
      </c>
      <c r="K310" s="4">
        <v>3</v>
      </c>
      <c r="L310" s="4" t="str">
        <f t="shared" si="8"/>
        <v>NORMAL</v>
      </c>
      <c r="M310" s="4" t="str">
        <f t="shared" si="9"/>
        <v>HIGH</v>
      </c>
      <c r="N310" s="4" t="str">
        <f t="shared" si="10"/>
        <v>MID</v>
      </c>
      <c r="O310" s="4" t="str">
        <f t="shared" si="11"/>
        <v>RECENTLY PROMOTED</v>
      </c>
      <c r="P310" s="5" t="str">
        <f t="shared" si="12"/>
        <v>Medium_Pressure</v>
      </c>
      <c r="Q310" s="4" t="str">
        <f t="shared" si="13"/>
        <v>HIGHLY_ENGAGED</v>
      </c>
      <c r="R310" s="4" t="str">
        <f t="shared" si="7"/>
        <v>LOW</v>
      </c>
      <c r="S310" s="2"/>
      <c r="T310" s="2"/>
      <c r="U310" s="2"/>
      <c r="V310" s="2"/>
      <c r="W310" s="2"/>
      <c r="X310" s="2"/>
      <c r="Y310" s="2"/>
      <c r="Z310" s="2"/>
    </row>
    <row r="311" spans="1:26" ht="16.8" x14ac:dyDescent="0.3">
      <c r="A311" s="4">
        <v>423</v>
      </c>
      <c r="B311" s="4" t="s">
        <v>43</v>
      </c>
      <c r="C311" s="4">
        <v>31</v>
      </c>
      <c r="D311" s="4" t="s">
        <v>45</v>
      </c>
      <c r="E311" s="4" t="s">
        <v>47</v>
      </c>
      <c r="F311" s="4">
        <v>4821</v>
      </c>
      <c r="G311" s="4" t="s">
        <v>35</v>
      </c>
      <c r="H311" s="4">
        <v>5</v>
      </c>
      <c r="I311" s="4">
        <v>0</v>
      </c>
      <c r="J311" s="4">
        <v>4</v>
      </c>
      <c r="K311" s="4">
        <v>3</v>
      </c>
      <c r="L311" s="4" t="str">
        <f t="shared" si="8"/>
        <v>NORMAL</v>
      </c>
      <c r="M311" s="4" t="str">
        <f t="shared" si="9"/>
        <v>HIGH</v>
      </c>
      <c r="N311" s="4" t="str">
        <f t="shared" si="10"/>
        <v>MID</v>
      </c>
      <c r="O311" s="4" t="str">
        <f t="shared" si="11"/>
        <v>RECENTLY PROMOTED</v>
      </c>
      <c r="P311" s="5" t="str">
        <f t="shared" si="12"/>
        <v>Medium_Pressure</v>
      </c>
      <c r="Q311" s="4" t="str">
        <f t="shared" si="13"/>
        <v>HIGHLY_ENGAGED</v>
      </c>
      <c r="R311" s="4" t="str">
        <f t="shared" si="7"/>
        <v>LOW</v>
      </c>
      <c r="S311" s="2"/>
      <c r="T311" s="2"/>
      <c r="U311" s="2"/>
      <c r="V311" s="2"/>
      <c r="W311" s="2"/>
      <c r="X311" s="2"/>
      <c r="Y311" s="2"/>
      <c r="Z311" s="2"/>
    </row>
    <row r="312" spans="1:26" ht="16.8" x14ac:dyDescent="0.3">
      <c r="A312" s="4">
        <v>424</v>
      </c>
      <c r="B312" s="4" t="s">
        <v>43</v>
      </c>
      <c r="C312" s="4">
        <v>31</v>
      </c>
      <c r="D312" s="4" t="s">
        <v>61</v>
      </c>
      <c r="E312" s="4" t="s">
        <v>61</v>
      </c>
      <c r="F312" s="4">
        <v>6410</v>
      </c>
      <c r="G312" s="4" t="s">
        <v>43</v>
      </c>
      <c r="H312" s="4">
        <v>2</v>
      </c>
      <c r="I312" s="4">
        <v>1</v>
      </c>
      <c r="J312" s="4">
        <v>1</v>
      </c>
      <c r="K312" s="4">
        <v>3</v>
      </c>
      <c r="L312" s="4" t="str">
        <f t="shared" si="8"/>
        <v>NORMAL</v>
      </c>
      <c r="M312" s="4" t="str">
        <f t="shared" si="9"/>
        <v>HIGH</v>
      </c>
      <c r="N312" s="4" t="str">
        <f t="shared" si="10"/>
        <v>NEW</v>
      </c>
      <c r="O312" s="4" t="str">
        <f t="shared" si="11"/>
        <v>RECENTLY PROMOTED</v>
      </c>
      <c r="P312" s="5" t="str">
        <f t="shared" si="12"/>
        <v>Medium_Pressure</v>
      </c>
      <c r="Q312" s="4" t="str">
        <f t="shared" si="13"/>
        <v>DISENGAGED</v>
      </c>
      <c r="R312" s="4" t="str">
        <f t="shared" si="7"/>
        <v>LOW</v>
      </c>
      <c r="S312" s="2"/>
      <c r="T312" s="2"/>
      <c r="U312" s="2"/>
      <c r="V312" s="2"/>
      <c r="W312" s="2"/>
      <c r="X312" s="2"/>
      <c r="Y312" s="2"/>
      <c r="Z312" s="2"/>
    </row>
    <row r="313" spans="1:26" ht="16.8" x14ac:dyDescent="0.3">
      <c r="A313" s="4">
        <v>425</v>
      </c>
      <c r="B313" s="4" t="s">
        <v>43</v>
      </c>
      <c r="C313" s="4">
        <v>45</v>
      </c>
      <c r="D313" s="4" t="s">
        <v>45</v>
      </c>
      <c r="E313" s="4" t="s">
        <v>50</v>
      </c>
      <c r="F313" s="4">
        <v>5210</v>
      </c>
      <c r="G313" s="4" t="s">
        <v>43</v>
      </c>
      <c r="H313" s="4">
        <v>24</v>
      </c>
      <c r="I313" s="4">
        <v>9</v>
      </c>
      <c r="J313" s="4">
        <v>1</v>
      </c>
      <c r="K313" s="4">
        <v>3</v>
      </c>
      <c r="L313" s="4" t="str">
        <f t="shared" si="8"/>
        <v>NORMAL</v>
      </c>
      <c r="M313" s="4" t="str">
        <f t="shared" si="9"/>
        <v>HIGH</v>
      </c>
      <c r="N313" s="4" t="str">
        <f t="shared" si="10"/>
        <v>SENIOR</v>
      </c>
      <c r="O313" s="4" t="str">
        <f t="shared" si="11"/>
        <v>STAGNANT</v>
      </c>
      <c r="P313" s="5" t="str">
        <f t="shared" si="12"/>
        <v>Medium_Pressure</v>
      </c>
      <c r="Q313" s="4" t="str">
        <f t="shared" si="13"/>
        <v>DISENGAGED</v>
      </c>
      <c r="R313" s="4" t="str">
        <f t="shared" si="7"/>
        <v>LOW</v>
      </c>
      <c r="S313" s="2"/>
      <c r="T313" s="2"/>
      <c r="U313" s="2"/>
      <c r="V313" s="2"/>
      <c r="W313" s="2"/>
      <c r="X313" s="2"/>
      <c r="Y313" s="2"/>
      <c r="Z313" s="2"/>
    </row>
    <row r="314" spans="1:26" ht="16.8" x14ac:dyDescent="0.3">
      <c r="A314" s="4">
        <v>426</v>
      </c>
      <c r="B314" s="4" t="s">
        <v>43</v>
      </c>
      <c r="C314" s="4">
        <v>31</v>
      </c>
      <c r="D314" s="4" t="s">
        <v>45</v>
      </c>
      <c r="E314" s="4" t="s">
        <v>47</v>
      </c>
      <c r="F314" s="4">
        <v>2695</v>
      </c>
      <c r="G314" s="4" t="s">
        <v>35</v>
      </c>
      <c r="H314" s="4">
        <v>2</v>
      </c>
      <c r="I314" s="4">
        <v>2</v>
      </c>
      <c r="J314" s="4">
        <v>4</v>
      </c>
      <c r="K314" s="4">
        <v>1</v>
      </c>
      <c r="L314" s="4" t="str">
        <f t="shared" si="8"/>
        <v>NORMAL</v>
      </c>
      <c r="M314" s="4" t="str">
        <f t="shared" si="9"/>
        <v>LOW</v>
      </c>
      <c r="N314" s="4" t="str">
        <f t="shared" si="10"/>
        <v>NEW</v>
      </c>
      <c r="O314" s="4" t="str">
        <f t="shared" si="11"/>
        <v>MODERATE-WAIT</v>
      </c>
      <c r="P314" s="5" t="str">
        <f t="shared" si="12"/>
        <v>High_Pressure</v>
      </c>
      <c r="Q314" s="4" t="str">
        <f t="shared" si="13"/>
        <v>DISENGAGED</v>
      </c>
      <c r="R314" s="4" t="str">
        <f t="shared" si="7"/>
        <v>LOW</v>
      </c>
      <c r="S314" s="2"/>
      <c r="T314" s="2"/>
      <c r="U314" s="2"/>
      <c r="V314" s="2"/>
      <c r="W314" s="2"/>
      <c r="X314" s="2"/>
      <c r="Y314" s="2"/>
      <c r="Z314" s="2"/>
    </row>
    <row r="315" spans="1:26" ht="16.8" x14ac:dyDescent="0.3">
      <c r="A315" s="4">
        <v>428</v>
      </c>
      <c r="B315" s="4" t="s">
        <v>43</v>
      </c>
      <c r="C315" s="4">
        <v>33</v>
      </c>
      <c r="D315" s="4" t="s">
        <v>45</v>
      </c>
      <c r="E315" s="4" t="s">
        <v>56</v>
      </c>
      <c r="F315" s="4">
        <v>11878</v>
      </c>
      <c r="G315" s="4" t="s">
        <v>43</v>
      </c>
      <c r="H315" s="4">
        <v>10</v>
      </c>
      <c r="I315" s="4">
        <v>8</v>
      </c>
      <c r="J315" s="4">
        <v>2</v>
      </c>
      <c r="K315" s="4">
        <v>3</v>
      </c>
      <c r="L315" s="4" t="str">
        <f t="shared" si="8"/>
        <v>NORMAL</v>
      </c>
      <c r="M315" s="4" t="str">
        <f t="shared" si="9"/>
        <v>MEDIUM</v>
      </c>
      <c r="N315" s="4" t="str">
        <f t="shared" si="10"/>
        <v>SENIOR</v>
      </c>
      <c r="O315" s="4" t="str">
        <f t="shared" si="11"/>
        <v>STAGNANT</v>
      </c>
      <c r="P315" s="5" t="str">
        <f t="shared" si="12"/>
        <v>Medium_Pressure</v>
      </c>
      <c r="Q315" s="4" t="str">
        <f t="shared" si="13"/>
        <v>DISENGAGED</v>
      </c>
      <c r="R315" s="4" t="str">
        <f t="shared" si="7"/>
        <v>LOW</v>
      </c>
      <c r="S315" s="2"/>
      <c r="T315" s="2"/>
      <c r="U315" s="2"/>
      <c r="V315" s="2"/>
      <c r="W315" s="2"/>
      <c r="X315" s="2"/>
      <c r="Y315" s="2"/>
      <c r="Z315" s="2"/>
    </row>
    <row r="316" spans="1:26" ht="16.8" x14ac:dyDescent="0.3">
      <c r="A316" s="4">
        <v>429</v>
      </c>
      <c r="B316" s="4" t="s">
        <v>43</v>
      </c>
      <c r="C316" s="4">
        <v>39</v>
      </c>
      <c r="D316" s="4" t="s">
        <v>45</v>
      </c>
      <c r="E316" s="4" t="s">
        <v>56</v>
      </c>
      <c r="F316" s="4">
        <v>17068</v>
      </c>
      <c r="G316" s="4" t="s">
        <v>35</v>
      </c>
      <c r="H316" s="4">
        <v>21</v>
      </c>
      <c r="I316" s="4">
        <v>11</v>
      </c>
      <c r="J316" s="4">
        <v>1</v>
      </c>
      <c r="K316" s="4">
        <v>3</v>
      </c>
      <c r="L316" s="4" t="str">
        <f t="shared" si="8"/>
        <v>HIGH RISK</v>
      </c>
      <c r="M316" s="4" t="str">
        <f t="shared" si="9"/>
        <v>MEDIUM</v>
      </c>
      <c r="N316" s="4" t="str">
        <f t="shared" si="10"/>
        <v>SENIOR</v>
      </c>
      <c r="O316" s="4" t="str">
        <f t="shared" si="11"/>
        <v>STAGNANT</v>
      </c>
      <c r="P316" s="5" t="str">
        <f t="shared" si="12"/>
        <v>Medium_Pressure</v>
      </c>
      <c r="Q316" s="4" t="str">
        <f t="shared" si="13"/>
        <v>DISENGAGED</v>
      </c>
      <c r="R316" s="4" t="str">
        <f t="shared" si="7"/>
        <v>LOW</v>
      </c>
      <c r="S316" s="2"/>
      <c r="T316" s="2"/>
      <c r="U316" s="2"/>
      <c r="V316" s="2"/>
      <c r="W316" s="2"/>
      <c r="X316" s="2"/>
      <c r="Y316" s="2"/>
      <c r="Z316" s="2"/>
    </row>
    <row r="317" spans="1:26" ht="16.8" x14ac:dyDescent="0.3">
      <c r="A317" s="4">
        <v>430</v>
      </c>
      <c r="B317" s="4" t="s">
        <v>43</v>
      </c>
      <c r="C317" s="4">
        <v>43</v>
      </c>
      <c r="D317" s="4" t="s">
        <v>45</v>
      </c>
      <c r="E317" s="4" t="s">
        <v>50</v>
      </c>
      <c r="F317" s="4">
        <v>2455</v>
      </c>
      <c r="G317" s="4" t="s">
        <v>43</v>
      </c>
      <c r="H317" s="4">
        <v>8</v>
      </c>
      <c r="I317" s="4">
        <v>1</v>
      </c>
      <c r="J317" s="4">
        <v>4</v>
      </c>
      <c r="K317" s="4">
        <v>3</v>
      </c>
      <c r="L317" s="4" t="str">
        <f t="shared" si="8"/>
        <v>NORMAL</v>
      </c>
      <c r="M317" s="4" t="str">
        <f t="shared" si="9"/>
        <v>LOW</v>
      </c>
      <c r="N317" s="4" t="str">
        <f t="shared" si="10"/>
        <v>SENIOR</v>
      </c>
      <c r="O317" s="4" t="str">
        <f t="shared" si="11"/>
        <v>RECENTLY PROMOTED</v>
      </c>
      <c r="P317" s="5" t="str">
        <f t="shared" si="12"/>
        <v>Medium_Pressure</v>
      </c>
      <c r="Q317" s="4" t="str">
        <f t="shared" si="13"/>
        <v>HIGHLY_ENGAGED</v>
      </c>
      <c r="R317" s="4" t="str">
        <f t="shared" si="7"/>
        <v>LOW</v>
      </c>
      <c r="S317" s="2"/>
      <c r="T317" s="2"/>
      <c r="U317" s="2"/>
      <c r="V317" s="2"/>
      <c r="W317" s="2"/>
      <c r="X317" s="2"/>
      <c r="Y317" s="2"/>
      <c r="Z317" s="2"/>
    </row>
    <row r="318" spans="1:26" ht="16.8" x14ac:dyDescent="0.3">
      <c r="A318" s="4">
        <v>431</v>
      </c>
      <c r="B318" s="4" t="s">
        <v>43</v>
      </c>
      <c r="C318" s="4">
        <v>49</v>
      </c>
      <c r="D318" s="4" t="s">
        <v>45</v>
      </c>
      <c r="E318" s="4" t="s">
        <v>54</v>
      </c>
      <c r="F318" s="4">
        <v>13964</v>
      </c>
      <c r="G318" s="4" t="s">
        <v>35</v>
      </c>
      <c r="H318" s="4">
        <v>7</v>
      </c>
      <c r="I318" s="4">
        <v>0</v>
      </c>
      <c r="J318" s="4">
        <v>3</v>
      </c>
      <c r="K318" s="4">
        <v>3</v>
      </c>
      <c r="L318" s="4" t="str">
        <f t="shared" si="8"/>
        <v>NORMAL</v>
      </c>
      <c r="M318" s="4" t="str">
        <f t="shared" si="9"/>
        <v>MEDIUM</v>
      </c>
      <c r="N318" s="4" t="str">
        <f t="shared" si="10"/>
        <v>SENIOR</v>
      </c>
      <c r="O318" s="4" t="str">
        <f t="shared" si="11"/>
        <v>RECENTLY PROMOTED</v>
      </c>
      <c r="P318" s="5" t="str">
        <f t="shared" si="12"/>
        <v>Medium_Pressure</v>
      </c>
      <c r="Q318" s="4" t="str">
        <f t="shared" si="13"/>
        <v>HIGHLY_ENGAGED</v>
      </c>
      <c r="R318" s="4" t="str">
        <f t="shared" si="7"/>
        <v>LOW</v>
      </c>
      <c r="S318" s="2"/>
      <c r="T318" s="2"/>
      <c r="U318" s="2"/>
      <c r="V318" s="2"/>
      <c r="W318" s="2"/>
      <c r="X318" s="2"/>
      <c r="Y318" s="2"/>
      <c r="Z318" s="2"/>
    </row>
    <row r="319" spans="1:26" ht="16.8" x14ac:dyDescent="0.3">
      <c r="A319" s="4">
        <v>433</v>
      </c>
      <c r="B319" s="4" t="s">
        <v>35</v>
      </c>
      <c r="C319" s="4">
        <v>52</v>
      </c>
      <c r="D319" s="4" t="s">
        <v>45</v>
      </c>
      <c r="E319" s="4" t="s">
        <v>47</v>
      </c>
      <c r="F319" s="4">
        <v>4941</v>
      </c>
      <c r="G319" s="4" t="s">
        <v>43</v>
      </c>
      <c r="H319" s="4">
        <v>8</v>
      </c>
      <c r="I319" s="4">
        <v>7</v>
      </c>
      <c r="J319" s="4">
        <v>2</v>
      </c>
      <c r="K319" s="4">
        <v>2</v>
      </c>
      <c r="L319" s="4" t="str">
        <f t="shared" si="8"/>
        <v>NORMAL</v>
      </c>
      <c r="M319" s="4" t="str">
        <f t="shared" si="9"/>
        <v>HIGH</v>
      </c>
      <c r="N319" s="4" t="str">
        <f t="shared" si="10"/>
        <v>SENIOR</v>
      </c>
      <c r="O319" s="4" t="str">
        <f t="shared" si="11"/>
        <v>STAGNANT</v>
      </c>
      <c r="P319" s="5" t="str">
        <f t="shared" si="12"/>
        <v>Low_Pressure</v>
      </c>
      <c r="Q319" s="4" t="str">
        <f t="shared" si="13"/>
        <v>DISENGAGED</v>
      </c>
      <c r="R319" s="4" t="str">
        <f t="shared" si="7"/>
        <v>LOW</v>
      </c>
      <c r="S319" s="2"/>
      <c r="T319" s="2"/>
      <c r="U319" s="2"/>
      <c r="V319" s="2"/>
      <c r="W319" s="2"/>
      <c r="X319" s="2"/>
      <c r="Y319" s="2"/>
      <c r="Z319" s="2"/>
    </row>
    <row r="320" spans="1:26" ht="16.8" x14ac:dyDescent="0.3">
      <c r="A320" s="4">
        <v>434</v>
      </c>
      <c r="B320" s="4" t="s">
        <v>43</v>
      </c>
      <c r="C320" s="4">
        <v>27</v>
      </c>
      <c r="D320" s="4" t="s">
        <v>45</v>
      </c>
      <c r="E320" s="4" t="s">
        <v>47</v>
      </c>
      <c r="F320" s="4">
        <v>2478</v>
      </c>
      <c r="G320" s="4" t="s">
        <v>35</v>
      </c>
      <c r="H320" s="4">
        <v>4</v>
      </c>
      <c r="I320" s="4">
        <v>1</v>
      </c>
      <c r="J320" s="4">
        <v>2</v>
      </c>
      <c r="K320" s="4">
        <v>2</v>
      </c>
      <c r="L320" s="4" t="str">
        <f t="shared" si="8"/>
        <v>NORMAL</v>
      </c>
      <c r="M320" s="4" t="str">
        <f t="shared" si="9"/>
        <v>LOW</v>
      </c>
      <c r="N320" s="4" t="str">
        <f t="shared" si="10"/>
        <v>MID</v>
      </c>
      <c r="O320" s="4" t="str">
        <f t="shared" si="11"/>
        <v>RECENTLY PROMOTED</v>
      </c>
      <c r="P320" s="5" t="str">
        <f t="shared" si="12"/>
        <v>High_Pressure</v>
      </c>
      <c r="Q320" s="4" t="str">
        <f t="shared" si="13"/>
        <v>DISENGAGED</v>
      </c>
      <c r="R320" s="4" t="str">
        <f t="shared" si="7"/>
        <v>LOW</v>
      </c>
      <c r="S320" s="2"/>
      <c r="T320" s="2"/>
      <c r="U320" s="2"/>
      <c r="V320" s="2"/>
      <c r="W320" s="2"/>
      <c r="X320" s="2"/>
      <c r="Y320" s="2"/>
      <c r="Z320" s="2"/>
    </row>
    <row r="321" spans="1:26" ht="16.8" x14ac:dyDescent="0.3">
      <c r="A321" s="4">
        <v>436</v>
      </c>
      <c r="B321" s="4" t="s">
        <v>43</v>
      </c>
      <c r="C321" s="4">
        <v>32</v>
      </c>
      <c r="D321" s="4" t="s">
        <v>37</v>
      </c>
      <c r="E321" s="4" t="s">
        <v>40</v>
      </c>
      <c r="F321" s="4">
        <v>5228</v>
      </c>
      <c r="G321" s="4" t="s">
        <v>35</v>
      </c>
      <c r="H321" s="4">
        <v>13</v>
      </c>
      <c r="I321" s="4">
        <v>11</v>
      </c>
      <c r="J321" s="4">
        <v>2</v>
      </c>
      <c r="K321" s="4">
        <v>3</v>
      </c>
      <c r="L321" s="4" t="str">
        <f t="shared" si="8"/>
        <v>HIGH RISK</v>
      </c>
      <c r="M321" s="4" t="str">
        <f t="shared" si="9"/>
        <v>HIGH</v>
      </c>
      <c r="N321" s="4" t="str">
        <f t="shared" si="10"/>
        <v>SENIOR</v>
      </c>
      <c r="O321" s="4" t="str">
        <f t="shared" si="11"/>
        <v>STAGNANT</v>
      </c>
      <c r="P321" s="5" t="str">
        <f t="shared" si="12"/>
        <v>Medium_Pressure</v>
      </c>
      <c r="Q321" s="4" t="str">
        <f t="shared" si="13"/>
        <v>DISENGAGED</v>
      </c>
      <c r="R321" s="4" t="str">
        <f t="shared" si="7"/>
        <v>LOW</v>
      </c>
      <c r="S321" s="2"/>
      <c r="T321" s="2"/>
      <c r="U321" s="2"/>
      <c r="V321" s="2"/>
      <c r="W321" s="2"/>
      <c r="X321" s="2"/>
      <c r="Y321" s="2"/>
      <c r="Z321" s="2"/>
    </row>
    <row r="322" spans="1:26" ht="16.8" x14ac:dyDescent="0.3">
      <c r="A322" s="4">
        <v>437</v>
      </c>
      <c r="B322" s="4" t="s">
        <v>43</v>
      </c>
      <c r="C322" s="4">
        <v>27</v>
      </c>
      <c r="D322" s="4" t="s">
        <v>37</v>
      </c>
      <c r="E322" s="4" t="s">
        <v>40</v>
      </c>
      <c r="F322" s="4">
        <v>4478</v>
      </c>
      <c r="G322" s="4" t="s">
        <v>35</v>
      </c>
      <c r="H322" s="4">
        <v>5</v>
      </c>
      <c r="I322" s="4">
        <v>0</v>
      </c>
      <c r="J322" s="4">
        <v>3</v>
      </c>
      <c r="K322" s="4">
        <v>3</v>
      </c>
      <c r="L322" s="4" t="str">
        <f t="shared" si="8"/>
        <v>NORMAL</v>
      </c>
      <c r="M322" s="4" t="str">
        <f t="shared" si="9"/>
        <v>HIGH</v>
      </c>
      <c r="N322" s="4" t="str">
        <f t="shared" si="10"/>
        <v>MID</v>
      </c>
      <c r="O322" s="4" t="str">
        <f t="shared" si="11"/>
        <v>RECENTLY PROMOTED</v>
      </c>
      <c r="P322" s="5" t="str">
        <f t="shared" si="12"/>
        <v>Medium_Pressure</v>
      </c>
      <c r="Q322" s="4" t="str">
        <f t="shared" si="13"/>
        <v>HIGHLY_ENGAGED</v>
      </c>
      <c r="R322" s="4" t="str">
        <f t="shared" si="7"/>
        <v>LOW</v>
      </c>
      <c r="S322" s="2"/>
      <c r="T322" s="2"/>
      <c r="U322" s="2"/>
      <c r="V322" s="2"/>
      <c r="W322" s="2"/>
      <c r="X322" s="2"/>
      <c r="Y322" s="2"/>
      <c r="Z322" s="2"/>
    </row>
    <row r="323" spans="1:26" ht="16.8" x14ac:dyDescent="0.3">
      <c r="A323" s="4">
        <v>438</v>
      </c>
      <c r="B323" s="4" t="s">
        <v>43</v>
      </c>
      <c r="C323" s="4">
        <v>31</v>
      </c>
      <c r="D323" s="4" t="s">
        <v>37</v>
      </c>
      <c r="E323" s="4" t="s">
        <v>40</v>
      </c>
      <c r="F323" s="4">
        <v>7547</v>
      </c>
      <c r="G323" s="4" t="s">
        <v>43</v>
      </c>
      <c r="H323" s="4">
        <v>7</v>
      </c>
      <c r="I323" s="4">
        <v>1</v>
      </c>
      <c r="J323" s="4">
        <v>4</v>
      </c>
      <c r="K323" s="4">
        <v>3</v>
      </c>
      <c r="L323" s="4" t="str">
        <f t="shared" si="8"/>
        <v>NORMAL</v>
      </c>
      <c r="M323" s="4" t="str">
        <f t="shared" si="9"/>
        <v>HIGH</v>
      </c>
      <c r="N323" s="4" t="str">
        <f t="shared" si="10"/>
        <v>SENIOR</v>
      </c>
      <c r="O323" s="4" t="str">
        <f t="shared" si="11"/>
        <v>RECENTLY PROMOTED</v>
      </c>
      <c r="P323" s="5" t="str">
        <f t="shared" si="12"/>
        <v>Medium_Pressure</v>
      </c>
      <c r="Q323" s="4" t="str">
        <f t="shared" si="13"/>
        <v>HIGHLY_ENGAGED</v>
      </c>
      <c r="R323" s="4" t="str">
        <f t="shared" si="7"/>
        <v>LOW</v>
      </c>
      <c r="S323" s="2"/>
      <c r="T323" s="2"/>
      <c r="U323" s="2"/>
      <c r="V323" s="2"/>
      <c r="W323" s="2"/>
      <c r="X323" s="2"/>
      <c r="Y323" s="2"/>
      <c r="Z323" s="2"/>
    </row>
    <row r="324" spans="1:26" ht="16.8" x14ac:dyDescent="0.3">
      <c r="A324" s="4">
        <v>439</v>
      </c>
      <c r="B324" s="4" t="s">
        <v>43</v>
      </c>
      <c r="C324" s="4">
        <v>32</v>
      </c>
      <c r="D324" s="4" t="s">
        <v>45</v>
      </c>
      <c r="E324" s="4" t="s">
        <v>47</v>
      </c>
      <c r="F324" s="4">
        <v>5055</v>
      </c>
      <c r="G324" s="4" t="s">
        <v>43</v>
      </c>
      <c r="H324" s="4">
        <v>7</v>
      </c>
      <c r="I324" s="4">
        <v>0</v>
      </c>
      <c r="J324" s="4">
        <v>4</v>
      </c>
      <c r="K324" s="4">
        <v>2</v>
      </c>
      <c r="L324" s="4" t="str">
        <f t="shared" si="8"/>
        <v>NORMAL</v>
      </c>
      <c r="M324" s="4" t="str">
        <f t="shared" si="9"/>
        <v>HIGH</v>
      </c>
      <c r="N324" s="4" t="str">
        <f t="shared" si="10"/>
        <v>SENIOR</v>
      </c>
      <c r="O324" s="4" t="str">
        <f t="shared" si="11"/>
        <v>RECENTLY PROMOTED</v>
      </c>
      <c r="P324" s="5" t="str">
        <f t="shared" si="12"/>
        <v>Low_Pressure</v>
      </c>
      <c r="Q324" s="4" t="str">
        <f t="shared" si="13"/>
        <v>DISENGAGED</v>
      </c>
      <c r="R324" s="4" t="str">
        <f t="shared" si="7"/>
        <v>LOW</v>
      </c>
      <c r="S324" s="2"/>
      <c r="T324" s="2"/>
      <c r="U324" s="2"/>
      <c r="V324" s="2"/>
      <c r="W324" s="2"/>
      <c r="X324" s="2"/>
      <c r="Y324" s="2"/>
      <c r="Z324" s="2"/>
    </row>
    <row r="325" spans="1:26" ht="16.8" x14ac:dyDescent="0.3">
      <c r="A325" s="4">
        <v>440</v>
      </c>
      <c r="B325" s="4" t="s">
        <v>35</v>
      </c>
      <c r="C325" s="4">
        <v>28</v>
      </c>
      <c r="D325" s="4" t="s">
        <v>45</v>
      </c>
      <c r="E325" s="4" t="s">
        <v>47</v>
      </c>
      <c r="F325" s="4">
        <v>3464</v>
      </c>
      <c r="G325" s="4" t="s">
        <v>35</v>
      </c>
      <c r="H325" s="4">
        <v>3</v>
      </c>
      <c r="I325" s="4">
        <v>2</v>
      </c>
      <c r="J325" s="4">
        <v>4</v>
      </c>
      <c r="K325" s="4">
        <v>2</v>
      </c>
      <c r="L325" s="4" t="str">
        <f t="shared" si="8"/>
        <v>NORMAL</v>
      </c>
      <c r="M325" s="4" t="str">
        <f t="shared" si="9"/>
        <v>LOW</v>
      </c>
      <c r="N325" s="4" t="str">
        <f t="shared" si="10"/>
        <v>MID</v>
      </c>
      <c r="O325" s="4" t="str">
        <f t="shared" si="11"/>
        <v>MODERATE-WAIT</v>
      </c>
      <c r="P325" s="5" t="str">
        <f t="shared" si="12"/>
        <v>High_Pressure</v>
      </c>
      <c r="Q325" s="4" t="str">
        <f t="shared" si="13"/>
        <v>DISENGAGED</v>
      </c>
      <c r="R325" s="4" t="str">
        <f t="shared" si="7"/>
        <v>LOW</v>
      </c>
      <c r="S325" s="2"/>
      <c r="T325" s="2"/>
      <c r="U325" s="2"/>
      <c r="V325" s="2"/>
      <c r="W325" s="2"/>
      <c r="X325" s="2"/>
      <c r="Y325" s="2"/>
      <c r="Z325" s="2"/>
    </row>
    <row r="326" spans="1:26" ht="16.8" x14ac:dyDescent="0.3">
      <c r="A326" s="4">
        <v>441</v>
      </c>
      <c r="B326" s="4" t="s">
        <v>43</v>
      </c>
      <c r="C326" s="4">
        <v>30</v>
      </c>
      <c r="D326" s="4" t="s">
        <v>45</v>
      </c>
      <c r="E326" s="4" t="s">
        <v>47</v>
      </c>
      <c r="F326" s="4">
        <v>5775</v>
      </c>
      <c r="G326" s="4" t="s">
        <v>43</v>
      </c>
      <c r="H326" s="4">
        <v>10</v>
      </c>
      <c r="I326" s="4">
        <v>1</v>
      </c>
      <c r="J326" s="4">
        <v>4</v>
      </c>
      <c r="K326" s="4">
        <v>3</v>
      </c>
      <c r="L326" s="4" t="str">
        <f t="shared" si="8"/>
        <v>NORMAL</v>
      </c>
      <c r="M326" s="4" t="str">
        <f t="shared" si="9"/>
        <v>HIGH</v>
      </c>
      <c r="N326" s="4" t="str">
        <f t="shared" si="10"/>
        <v>SENIOR</v>
      </c>
      <c r="O326" s="4" t="str">
        <f t="shared" si="11"/>
        <v>RECENTLY PROMOTED</v>
      </c>
      <c r="P326" s="5" t="str">
        <f t="shared" si="12"/>
        <v>Medium_Pressure</v>
      </c>
      <c r="Q326" s="4" t="str">
        <f t="shared" si="13"/>
        <v>HIGHLY_ENGAGED</v>
      </c>
      <c r="R326" s="4" t="str">
        <f t="shared" si="7"/>
        <v>LOW</v>
      </c>
      <c r="S326" s="2"/>
      <c r="T326" s="2"/>
      <c r="U326" s="2"/>
      <c r="V326" s="2"/>
      <c r="W326" s="2"/>
      <c r="X326" s="2"/>
      <c r="Y326" s="2"/>
      <c r="Z326" s="2"/>
    </row>
    <row r="327" spans="1:26" ht="16.8" x14ac:dyDescent="0.3">
      <c r="A327" s="4">
        <v>442</v>
      </c>
      <c r="B327" s="4" t="s">
        <v>43</v>
      </c>
      <c r="C327" s="4">
        <v>31</v>
      </c>
      <c r="D327" s="4" t="s">
        <v>45</v>
      </c>
      <c r="E327" s="4" t="s">
        <v>53</v>
      </c>
      <c r="F327" s="4">
        <v>8943</v>
      </c>
      <c r="G327" s="4" t="s">
        <v>43</v>
      </c>
      <c r="H327" s="4">
        <v>10</v>
      </c>
      <c r="I327" s="4">
        <v>8</v>
      </c>
      <c r="J327" s="4">
        <v>3</v>
      </c>
      <c r="K327" s="4">
        <v>3</v>
      </c>
      <c r="L327" s="4" t="str">
        <f t="shared" si="8"/>
        <v>NORMAL</v>
      </c>
      <c r="M327" s="4" t="str">
        <f t="shared" si="9"/>
        <v>HIGH</v>
      </c>
      <c r="N327" s="4" t="str">
        <f t="shared" si="10"/>
        <v>SENIOR</v>
      </c>
      <c r="O327" s="4" t="str">
        <f t="shared" si="11"/>
        <v>STAGNANT</v>
      </c>
      <c r="P327" s="5" t="str">
        <f t="shared" si="12"/>
        <v>Medium_Pressure</v>
      </c>
      <c r="Q327" s="4" t="str">
        <f t="shared" si="13"/>
        <v>HIGHLY_ENGAGED</v>
      </c>
      <c r="R327" s="4" t="str">
        <f t="shared" si="7"/>
        <v>LOW</v>
      </c>
      <c r="S327" s="2"/>
      <c r="T327" s="2"/>
      <c r="U327" s="2"/>
      <c r="V327" s="2"/>
      <c r="W327" s="2"/>
      <c r="X327" s="2"/>
      <c r="Y327" s="2"/>
      <c r="Z327" s="2"/>
    </row>
    <row r="328" spans="1:26" ht="16.8" x14ac:dyDescent="0.3">
      <c r="A328" s="4">
        <v>444</v>
      </c>
      <c r="B328" s="4" t="s">
        <v>43</v>
      </c>
      <c r="C328" s="4">
        <v>39</v>
      </c>
      <c r="D328" s="4" t="s">
        <v>45</v>
      </c>
      <c r="E328" s="4" t="s">
        <v>56</v>
      </c>
      <c r="F328" s="4">
        <v>19272</v>
      </c>
      <c r="G328" s="4" t="s">
        <v>43</v>
      </c>
      <c r="H328" s="4">
        <v>21</v>
      </c>
      <c r="I328" s="4">
        <v>13</v>
      </c>
      <c r="J328" s="4">
        <v>4</v>
      </c>
      <c r="K328" s="4">
        <v>3</v>
      </c>
      <c r="L328" s="4" t="str">
        <f t="shared" si="8"/>
        <v>NORMAL</v>
      </c>
      <c r="M328" s="4" t="str">
        <f t="shared" si="9"/>
        <v>MEDIUM</v>
      </c>
      <c r="N328" s="4" t="str">
        <f t="shared" si="10"/>
        <v>SENIOR</v>
      </c>
      <c r="O328" s="4" t="str">
        <f t="shared" si="11"/>
        <v>STAGNANT</v>
      </c>
      <c r="P328" s="5" t="str">
        <f t="shared" si="12"/>
        <v>Medium_Pressure</v>
      </c>
      <c r="Q328" s="4" t="str">
        <f t="shared" si="13"/>
        <v>HIGHLY_ENGAGED</v>
      </c>
      <c r="R328" s="4" t="str">
        <f t="shared" si="7"/>
        <v>LOW</v>
      </c>
      <c r="S328" s="2"/>
      <c r="T328" s="2"/>
      <c r="U328" s="2"/>
      <c r="V328" s="2"/>
      <c r="W328" s="2"/>
      <c r="X328" s="2"/>
      <c r="Y328" s="2"/>
      <c r="Z328" s="2"/>
    </row>
    <row r="329" spans="1:26" ht="16.8" x14ac:dyDescent="0.3">
      <c r="A329" s="4">
        <v>445</v>
      </c>
      <c r="B329" s="4" t="s">
        <v>35</v>
      </c>
      <c r="C329" s="4">
        <v>39</v>
      </c>
      <c r="D329" s="4" t="s">
        <v>37</v>
      </c>
      <c r="E329" s="4" t="s">
        <v>40</v>
      </c>
      <c r="F329" s="4">
        <v>5238</v>
      </c>
      <c r="G329" s="4" t="s">
        <v>35</v>
      </c>
      <c r="H329" s="4">
        <v>1</v>
      </c>
      <c r="I329" s="4">
        <v>0</v>
      </c>
      <c r="J329" s="4">
        <v>3</v>
      </c>
      <c r="K329" s="4">
        <v>2</v>
      </c>
      <c r="L329" s="4" t="str">
        <f t="shared" si="8"/>
        <v>NORMAL</v>
      </c>
      <c r="M329" s="4" t="str">
        <f t="shared" si="9"/>
        <v>HIGH</v>
      </c>
      <c r="N329" s="4" t="str">
        <f t="shared" si="10"/>
        <v>NEW</v>
      </c>
      <c r="O329" s="4" t="str">
        <f t="shared" si="11"/>
        <v>RECENTLY PROMOTED</v>
      </c>
      <c r="P329" s="5" t="str">
        <f t="shared" si="12"/>
        <v>High_Pressure</v>
      </c>
      <c r="Q329" s="4" t="str">
        <f t="shared" si="13"/>
        <v>DISENGAGED</v>
      </c>
      <c r="R329" s="4" t="str">
        <f t="shared" si="7"/>
        <v>LOW</v>
      </c>
      <c r="S329" s="2"/>
      <c r="T329" s="2"/>
      <c r="U329" s="2"/>
      <c r="V329" s="2"/>
      <c r="W329" s="2"/>
      <c r="X329" s="2"/>
      <c r="Y329" s="2"/>
      <c r="Z329" s="2"/>
    </row>
    <row r="330" spans="1:26" ht="16.8" x14ac:dyDescent="0.3">
      <c r="A330" s="4">
        <v>446</v>
      </c>
      <c r="B330" s="4" t="s">
        <v>43</v>
      </c>
      <c r="C330" s="4">
        <v>33</v>
      </c>
      <c r="D330" s="4" t="s">
        <v>37</v>
      </c>
      <c r="E330" s="4" t="s">
        <v>40</v>
      </c>
      <c r="F330" s="4">
        <v>4682</v>
      </c>
      <c r="G330" s="4" t="s">
        <v>43</v>
      </c>
      <c r="H330" s="4">
        <v>7</v>
      </c>
      <c r="I330" s="4">
        <v>0</v>
      </c>
      <c r="J330" s="4">
        <v>4</v>
      </c>
      <c r="K330" s="4">
        <v>2</v>
      </c>
      <c r="L330" s="4" t="str">
        <f t="shared" si="8"/>
        <v>NORMAL</v>
      </c>
      <c r="M330" s="4" t="str">
        <f t="shared" si="9"/>
        <v>HIGH</v>
      </c>
      <c r="N330" s="4" t="str">
        <f t="shared" si="10"/>
        <v>SENIOR</v>
      </c>
      <c r="O330" s="4" t="str">
        <f t="shared" si="11"/>
        <v>RECENTLY PROMOTED</v>
      </c>
      <c r="P330" s="5" t="str">
        <f t="shared" si="12"/>
        <v>Low_Pressure</v>
      </c>
      <c r="Q330" s="4" t="str">
        <f t="shared" si="13"/>
        <v>DISENGAGED</v>
      </c>
      <c r="R330" s="4" t="str">
        <f t="shared" ref="R330:R584" si="14">IF(AND(L330="HIGH",O330="STAGNANT",P330="HIGH_PRESSURE",Q330="DISENGAGED"),
"CRITICAL",
IF(AND(L330="HIGH",M330="LOW",P330="HIGH_PRESSURE",Q330="MODERATELY_ENGAGED"),
"HIGH",
IF(AND(L330="NORMAL",M330="MEDIUM",O330="MODERATE-WAIT",P330="MEDIUM_PRESSURE",Q330="MODERATELY_ENGAGED"),
"MEDIUM",
"LOW")))</f>
        <v>LOW</v>
      </c>
      <c r="S330" s="2"/>
      <c r="T330" s="2"/>
      <c r="U330" s="2"/>
      <c r="V330" s="2"/>
      <c r="W330" s="2"/>
      <c r="X330" s="2"/>
      <c r="Y330" s="2"/>
      <c r="Z330" s="2"/>
    </row>
    <row r="331" spans="1:26" ht="16.8" x14ac:dyDescent="0.3">
      <c r="A331" s="4">
        <v>447</v>
      </c>
      <c r="B331" s="4" t="s">
        <v>43</v>
      </c>
      <c r="C331" s="4">
        <v>47</v>
      </c>
      <c r="D331" s="4" t="s">
        <v>45</v>
      </c>
      <c r="E331" s="4" t="s">
        <v>58</v>
      </c>
      <c r="F331" s="4">
        <v>18300</v>
      </c>
      <c r="G331" s="4" t="s">
        <v>43</v>
      </c>
      <c r="H331" s="4">
        <v>3</v>
      </c>
      <c r="I331" s="4">
        <v>1</v>
      </c>
      <c r="J331" s="4">
        <v>3</v>
      </c>
      <c r="K331" s="4">
        <v>3</v>
      </c>
      <c r="L331" s="4" t="str">
        <f t="shared" si="8"/>
        <v>NORMAL</v>
      </c>
      <c r="M331" s="4" t="str">
        <f t="shared" si="9"/>
        <v>MEDIUM</v>
      </c>
      <c r="N331" s="4" t="str">
        <f t="shared" si="10"/>
        <v>MID</v>
      </c>
      <c r="O331" s="4" t="str">
        <f t="shared" si="11"/>
        <v>RECENTLY PROMOTED</v>
      </c>
      <c r="P331" s="5" t="str">
        <f t="shared" si="12"/>
        <v>Medium_Pressure</v>
      </c>
      <c r="Q331" s="4" t="str">
        <f t="shared" si="13"/>
        <v>HIGHLY_ENGAGED</v>
      </c>
      <c r="R331" s="4" t="str">
        <f t="shared" si="14"/>
        <v>LOW</v>
      </c>
      <c r="S331" s="2"/>
      <c r="T331" s="2"/>
      <c r="U331" s="2"/>
      <c r="V331" s="2"/>
      <c r="W331" s="2"/>
      <c r="X331" s="2"/>
      <c r="Y331" s="2"/>
      <c r="Z331" s="2"/>
    </row>
    <row r="332" spans="1:26" ht="16.8" x14ac:dyDescent="0.3">
      <c r="A332" s="4">
        <v>448</v>
      </c>
      <c r="B332" s="4" t="s">
        <v>43</v>
      </c>
      <c r="C332" s="4">
        <v>43</v>
      </c>
      <c r="D332" s="4" t="s">
        <v>45</v>
      </c>
      <c r="E332" s="4" t="s">
        <v>50</v>
      </c>
      <c r="F332" s="4">
        <v>5257</v>
      </c>
      <c r="G332" s="4" t="s">
        <v>43</v>
      </c>
      <c r="H332" s="4">
        <v>9</v>
      </c>
      <c r="I332" s="4">
        <v>0</v>
      </c>
      <c r="J332" s="4">
        <v>3</v>
      </c>
      <c r="K332" s="4">
        <v>4</v>
      </c>
      <c r="L332" s="4" t="str">
        <f t="shared" si="8"/>
        <v>NORMAL</v>
      </c>
      <c r="M332" s="4" t="str">
        <f t="shared" si="9"/>
        <v>HIGH</v>
      </c>
      <c r="N332" s="4" t="str">
        <f t="shared" si="10"/>
        <v>SENIOR</v>
      </c>
      <c r="O332" s="4" t="str">
        <f t="shared" si="11"/>
        <v>RECENTLY PROMOTED</v>
      </c>
      <c r="P332" s="5" t="str">
        <f t="shared" si="12"/>
        <v>Low_Pressure</v>
      </c>
      <c r="Q332" s="4" t="str">
        <f t="shared" si="13"/>
        <v>HIGHLY_ENGAGED</v>
      </c>
      <c r="R332" s="4" t="str">
        <f t="shared" si="14"/>
        <v>LOW</v>
      </c>
      <c r="S332" s="2"/>
      <c r="T332" s="2"/>
      <c r="U332" s="2"/>
      <c r="V332" s="2"/>
      <c r="W332" s="2"/>
      <c r="X332" s="2"/>
      <c r="Y332" s="2"/>
      <c r="Z332" s="2"/>
    </row>
    <row r="333" spans="1:26" ht="16.8" x14ac:dyDescent="0.3">
      <c r="A333" s="4">
        <v>449</v>
      </c>
      <c r="B333" s="4" t="s">
        <v>43</v>
      </c>
      <c r="C333" s="4">
        <v>27</v>
      </c>
      <c r="D333" s="4" t="s">
        <v>37</v>
      </c>
      <c r="E333" s="4" t="s">
        <v>40</v>
      </c>
      <c r="F333" s="4">
        <v>6349</v>
      </c>
      <c r="G333" s="4" t="s">
        <v>35</v>
      </c>
      <c r="H333" s="4">
        <v>5</v>
      </c>
      <c r="I333" s="4">
        <v>1</v>
      </c>
      <c r="J333" s="4">
        <v>2</v>
      </c>
      <c r="K333" s="4">
        <v>3</v>
      </c>
      <c r="L333" s="4" t="str">
        <f t="shared" si="8"/>
        <v>NORMAL</v>
      </c>
      <c r="M333" s="4" t="str">
        <f t="shared" si="9"/>
        <v>HIGH</v>
      </c>
      <c r="N333" s="4" t="str">
        <f t="shared" si="10"/>
        <v>MID</v>
      </c>
      <c r="O333" s="4" t="str">
        <f t="shared" si="11"/>
        <v>RECENTLY PROMOTED</v>
      </c>
      <c r="P333" s="5" t="str">
        <f t="shared" si="12"/>
        <v>Medium_Pressure</v>
      </c>
      <c r="Q333" s="4" t="str">
        <f t="shared" si="13"/>
        <v>DISENGAGED</v>
      </c>
      <c r="R333" s="4" t="str">
        <f t="shared" si="14"/>
        <v>LOW</v>
      </c>
      <c r="S333" s="2"/>
      <c r="T333" s="2"/>
      <c r="U333" s="2"/>
      <c r="V333" s="2"/>
      <c r="W333" s="2"/>
      <c r="X333" s="2"/>
      <c r="Y333" s="2"/>
      <c r="Z333" s="2"/>
    </row>
    <row r="334" spans="1:26" ht="16.8" x14ac:dyDescent="0.3">
      <c r="A334" s="4">
        <v>450</v>
      </c>
      <c r="B334" s="4" t="s">
        <v>43</v>
      </c>
      <c r="C334" s="4">
        <v>54</v>
      </c>
      <c r="D334" s="4" t="s">
        <v>45</v>
      </c>
      <c r="E334" s="4" t="s">
        <v>47</v>
      </c>
      <c r="F334" s="4">
        <v>4869</v>
      </c>
      <c r="G334" s="4" t="s">
        <v>43</v>
      </c>
      <c r="H334" s="4">
        <v>4</v>
      </c>
      <c r="I334" s="4">
        <v>0</v>
      </c>
      <c r="J334" s="4">
        <v>3</v>
      </c>
      <c r="K334" s="4">
        <v>2</v>
      </c>
      <c r="L334" s="4" t="str">
        <f t="shared" si="8"/>
        <v>NORMAL</v>
      </c>
      <c r="M334" s="4" t="str">
        <f t="shared" si="9"/>
        <v>HIGH</v>
      </c>
      <c r="N334" s="4" t="str">
        <f t="shared" si="10"/>
        <v>MID</v>
      </c>
      <c r="O334" s="4" t="str">
        <f t="shared" si="11"/>
        <v>RECENTLY PROMOTED</v>
      </c>
      <c r="P334" s="5" t="str">
        <f t="shared" si="12"/>
        <v>Low_Pressure</v>
      </c>
      <c r="Q334" s="4" t="str">
        <f t="shared" si="13"/>
        <v>DISENGAGED</v>
      </c>
      <c r="R334" s="4" t="str">
        <f t="shared" si="14"/>
        <v>LOW</v>
      </c>
      <c r="S334" s="2"/>
      <c r="T334" s="2"/>
      <c r="U334" s="2"/>
      <c r="V334" s="2"/>
      <c r="W334" s="2"/>
      <c r="X334" s="2"/>
      <c r="Y334" s="2"/>
      <c r="Z334" s="2"/>
    </row>
    <row r="335" spans="1:26" ht="16.8" x14ac:dyDescent="0.3">
      <c r="A335" s="4">
        <v>451</v>
      </c>
      <c r="B335" s="4" t="s">
        <v>43</v>
      </c>
      <c r="C335" s="4">
        <v>43</v>
      </c>
      <c r="D335" s="4" t="s">
        <v>45</v>
      </c>
      <c r="E335" s="4" t="s">
        <v>54</v>
      </c>
      <c r="F335" s="4">
        <v>9985</v>
      </c>
      <c r="G335" s="4" t="s">
        <v>43</v>
      </c>
      <c r="H335" s="4">
        <v>1</v>
      </c>
      <c r="I335" s="4">
        <v>0</v>
      </c>
      <c r="J335" s="4">
        <v>1</v>
      </c>
      <c r="K335" s="4">
        <v>2</v>
      </c>
      <c r="L335" s="4" t="str">
        <f t="shared" si="8"/>
        <v>NORMAL</v>
      </c>
      <c r="M335" s="4" t="str">
        <f t="shared" si="9"/>
        <v>MEDIUM</v>
      </c>
      <c r="N335" s="4" t="str">
        <f t="shared" si="10"/>
        <v>NEW</v>
      </c>
      <c r="O335" s="4" t="str">
        <f t="shared" si="11"/>
        <v>RECENTLY PROMOTED</v>
      </c>
      <c r="P335" s="5" t="str">
        <f t="shared" si="12"/>
        <v>Low_Pressure</v>
      </c>
      <c r="Q335" s="4" t="str">
        <f t="shared" si="13"/>
        <v>DISENGAGED</v>
      </c>
      <c r="R335" s="4" t="str">
        <f t="shared" si="14"/>
        <v>LOW</v>
      </c>
      <c r="S335" s="2"/>
      <c r="T335" s="2"/>
      <c r="U335" s="2"/>
      <c r="V335" s="2"/>
      <c r="W335" s="2"/>
      <c r="X335" s="2"/>
      <c r="Y335" s="2"/>
      <c r="Z335" s="2"/>
    </row>
    <row r="336" spans="1:26" ht="16.8" x14ac:dyDescent="0.3">
      <c r="A336" s="4">
        <v>452</v>
      </c>
      <c r="B336" s="4" t="s">
        <v>43</v>
      </c>
      <c r="C336" s="4">
        <v>45</v>
      </c>
      <c r="D336" s="4" t="s">
        <v>45</v>
      </c>
      <c r="E336" s="4" t="s">
        <v>47</v>
      </c>
      <c r="F336" s="4">
        <v>3697</v>
      </c>
      <c r="G336" s="4" t="s">
        <v>43</v>
      </c>
      <c r="H336" s="4">
        <v>10</v>
      </c>
      <c r="I336" s="4">
        <v>9</v>
      </c>
      <c r="J336" s="4">
        <v>4</v>
      </c>
      <c r="K336" s="4">
        <v>3</v>
      </c>
      <c r="L336" s="4" t="str">
        <f t="shared" si="8"/>
        <v>NORMAL</v>
      </c>
      <c r="M336" s="4" t="str">
        <f t="shared" si="9"/>
        <v>LOW</v>
      </c>
      <c r="N336" s="4" t="str">
        <f t="shared" si="10"/>
        <v>SENIOR</v>
      </c>
      <c r="O336" s="4" t="str">
        <f t="shared" si="11"/>
        <v>STAGNANT</v>
      </c>
      <c r="P336" s="5" t="str">
        <f t="shared" si="12"/>
        <v>Medium_Pressure</v>
      </c>
      <c r="Q336" s="4" t="str">
        <f t="shared" si="13"/>
        <v>HIGHLY_ENGAGED</v>
      </c>
      <c r="R336" s="4" t="str">
        <f t="shared" si="14"/>
        <v>LOW</v>
      </c>
      <c r="S336" s="2"/>
      <c r="T336" s="2"/>
      <c r="U336" s="2"/>
      <c r="V336" s="2"/>
      <c r="W336" s="2"/>
      <c r="X336" s="2"/>
      <c r="Y336" s="2"/>
      <c r="Z336" s="2"/>
    </row>
    <row r="337" spans="1:26" ht="16.8" x14ac:dyDescent="0.3">
      <c r="A337" s="4">
        <v>453</v>
      </c>
      <c r="B337" s="4" t="s">
        <v>43</v>
      </c>
      <c r="C337" s="4">
        <v>40</v>
      </c>
      <c r="D337" s="4" t="s">
        <v>37</v>
      </c>
      <c r="E337" s="4" t="s">
        <v>40</v>
      </c>
      <c r="F337" s="4">
        <v>7457</v>
      </c>
      <c r="G337" s="4" t="s">
        <v>35</v>
      </c>
      <c r="H337" s="4">
        <v>4</v>
      </c>
      <c r="I337" s="4">
        <v>0</v>
      </c>
      <c r="J337" s="4">
        <v>4</v>
      </c>
      <c r="K337" s="4">
        <v>2</v>
      </c>
      <c r="L337" s="4" t="str">
        <f t="shared" si="8"/>
        <v>NORMAL</v>
      </c>
      <c r="M337" s="4" t="str">
        <f t="shared" si="9"/>
        <v>HIGH</v>
      </c>
      <c r="N337" s="4" t="str">
        <f t="shared" si="10"/>
        <v>MID</v>
      </c>
      <c r="O337" s="4" t="str">
        <f t="shared" si="11"/>
        <v>RECENTLY PROMOTED</v>
      </c>
      <c r="P337" s="5" t="str">
        <f t="shared" si="12"/>
        <v>High_Pressure</v>
      </c>
      <c r="Q337" s="4" t="str">
        <f t="shared" si="13"/>
        <v>DISENGAGED</v>
      </c>
      <c r="R337" s="4" t="str">
        <f t="shared" si="14"/>
        <v>LOW</v>
      </c>
      <c r="S337" s="2"/>
      <c r="T337" s="2"/>
      <c r="U337" s="2"/>
      <c r="V337" s="2"/>
      <c r="W337" s="2"/>
      <c r="X337" s="2"/>
      <c r="Y337" s="2"/>
      <c r="Z337" s="2"/>
    </row>
    <row r="338" spans="1:26" ht="16.8" x14ac:dyDescent="0.3">
      <c r="A338" s="4">
        <v>454</v>
      </c>
      <c r="B338" s="4" t="s">
        <v>35</v>
      </c>
      <c r="C338" s="4">
        <v>29</v>
      </c>
      <c r="D338" s="4" t="s">
        <v>45</v>
      </c>
      <c r="E338" s="4" t="s">
        <v>50</v>
      </c>
      <c r="F338" s="4">
        <v>2119</v>
      </c>
      <c r="G338" s="4" t="s">
        <v>35</v>
      </c>
      <c r="H338" s="4">
        <v>7</v>
      </c>
      <c r="I338" s="4">
        <v>0</v>
      </c>
      <c r="J338" s="4">
        <v>1</v>
      </c>
      <c r="K338" s="4">
        <v>2</v>
      </c>
      <c r="L338" s="4" t="str">
        <f t="shared" si="8"/>
        <v>NORMAL</v>
      </c>
      <c r="M338" s="4" t="str">
        <f t="shared" si="9"/>
        <v>LOW</v>
      </c>
      <c r="N338" s="4" t="str">
        <f t="shared" si="10"/>
        <v>SENIOR</v>
      </c>
      <c r="O338" s="4" t="str">
        <f t="shared" si="11"/>
        <v>RECENTLY PROMOTED</v>
      </c>
      <c r="P338" s="5" t="str">
        <f t="shared" si="12"/>
        <v>High_Pressure</v>
      </c>
      <c r="Q338" s="4" t="str">
        <f t="shared" si="13"/>
        <v>DISENGAGED</v>
      </c>
      <c r="R338" s="4" t="str">
        <f t="shared" si="14"/>
        <v>LOW</v>
      </c>
      <c r="S338" s="2"/>
      <c r="T338" s="2"/>
      <c r="U338" s="2"/>
      <c r="V338" s="2"/>
      <c r="W338" s="2"/>
      <c r="X338" s="2"/>
      <c r="Y338" s="2"/>
      <c r="Z338" s="2"/>
    </row>
    <row r="339" spans="1:26" ht="16.8" x14ac:dyDescent="0.3">
      <c r="A339" s="4">
        <v>455</v>
      </c>
      <c r="B339" s="4" t="s">
        <v>43</v>
      </c>
      <c r="C339" s="4">
        <v>29</v>
      </c>
      <c r="D339" s="4" t="s">
        <v>45</v>
      </c>
      <c r="E339" s="4" t="s">
        <v>50</v>
      </c>
      <c r="F339" s="4">
        <v>3983</v>
      </c>
      <c r="G339" s="4" t="s">
        <v>43</v>
      </c>
      <c r="H339" s="4">
        <v>3</v>
      </c>
      <c r="I339" s="4">
        <v>2</v>
      </c>
      <c r="J339" s="4">
        <v>4</v>
      </c>
      <c r="K339" s="4">
        <v>3</v>
      </c>
      <c r="L339" s="4" t="str">
        <f t="shared" si="8"/>
        <v>NORMAL</v>
      </c>
      <c r="M339" s="4" t="str">
        <f t="shared" si="9"/>
        <v>LOW</v>
      </c>
      <c r="N339" s="4" t="str">
        <f t="shared" si="10"/>
        <v>MID</v>
      </c>
      <c r="O339" s="4" t="str">
        <f t="shared" si="11"/>
        <v>MODERATE-WAIT</v>
      </c>
      <c r="P339" s="5" t="str">
        <f t="shared" si="12"/>
        <v>Medium_Pressure</v>
      </c>
      <c r="Q339" s="4" t="str">
        <f t="shared" si="13"/>
        <v>HIGHLY_ENGAGED</v>
      </c>
      <c r="R339" s="4" t="str">
        <f t="shared" si="14"/>
        <v>LOW</v>
      </c>
      <c r="S339" s="2"/>
      <c r="T339" s="2"/>
      <c r="U339" s="2"/>
      <c r="V339" s="2"/>
      <c r="W339" s="2"/>
      <c r="X339" s="2"/>
      <c r="Y339" s="2"/>
      <c r="Z339" s="2"/>
    </row>
    <row r="340" spans="1:26" ht="16.8" x14ac:dyDescent="0.3">
      <c r="A340" s="4">
        <v>456</v>
      </c>
      <c r="B340" s="4" t="s">
        <v>43</v>
      </c>
      <c r="C340" s="4">
        <v>30</v>
      </c>
      <c r="D340" s="4" t="s">
        <v>37</v>
      </c>
      <c r="E340" s="4" t="s">
        <v>40</v>
      </c>
      <c r="F340" s="4">
        <v>6118</v>
      </c>
      <c r="G340" s="4" t="s">
        <v>43</v>
      </c>
      <c r="H340" s="4">
        <v>10</v>
      </c>
      <c r="I340" s="4">
        <v>1</v>
      </c>
      <c r="J340" s="4">
        <v>3</v>
      </c>
      <c r="K340" s="4">
        <v>3</v>
      </c>
      <c r="L340" s="4" t="str">
        <f t="shared" si="8"/>
        <v>NORMAL</v>
      </c>
      <c r="M340" s="4" t="str">
        <f t="shared" si="9"/>
        <v>HIGH</v>
      </c>
      <c r="N340" s="4" t="str">
        <f t="shared" si="10"/>
        <v>SENIOR</v>
      </c>
      <c r="O340" s="4" t="str">
        <f t="shared" si="11"/>
        <v>RECENTLY PROMOTED</v>
      </c>
      <c r="P340" s="5" t="str">
        <f t="shared" si="12"/>
        <v>Medium_Pressure</v>
      </c>
      <c r="Q340" s="4" t="str">
        <f t="shared" si="13"/>
        <v>HIGHLY_ENGAGED</v>
      </c>
      <c r="R340" s="4" t="str">
        <f t="shared" si="14"/>
        <v>LOW</v>
      </c>
      <c r="S340" s="2"/>
      <c r="T340" s="2"/>
      <c r="U340" s="2"/>
      <c r="V340" s="2"/>
      <c r="W340" s="2"/>
      <c r="X340" s="2"/>
      <c r="Y340" s="2"/>
      <c r="Z340" s="2"/>
    </row>
    <row r="341" spans="1:26" ht="16.8" x14ac:dyDescent="0.3">
      <c r="A341" s="4">
        <v>458</v>
      </c>
      <c r="B341" s="4" t="s">
        <v>43</v>
      </c>
      <c r="C341" s="4">
        <v>27</v>
      </c>
      <c r="D341" s="4" t="s">
        <v>37</v>
      </c>
      <c r="E341" s="4" t="s">
        <v>40</v>
      </c>
      <c r="F341" s="4">
        <v>6214</v>
      </c>
      <c r="G341" s="4" t="s">
        <v>43</v>
      </c>
      <c r="H341" s="4">
        <v>8</v>
      </c>
      <c r="I341" s="4">
        <v>0</v>
      </c>
      <c r="J341" s="4">
        <v>2</v>
      </c>
      <c r="K341" s="4">
        <v>3</v>
      </c>
      <c r="L341" s="4" t="str">
        <f t="shared" si="8"/>
        <v>NORMAL</v>
      </c>
      <c r="M341" s="4" t="str">
        <f t="shared" si="9"/>
        <v>HIGH</v>
      </c>
      <c r="N341" s="4" t="str">
        <f t="shared" si="10"/>
        <v>SENIOR</v>
      </c>
      <c r="O341" s="4" t="str">
        <f t="shared" si="11"/>
        <v>RECENTLY PROMOTED</v>
      </c>
      <c r="P341" s="5" t="str">
        <f t="shared" si="12"/>
        <v>Medium_Pressure</v>
      </c>
      <c r="Q341" s="4" t="str">
        <f t="shared" si="13"/>
        <v>DISENGAGED</v>
      </c>
      <c r="R341" s="4" t="str">
        <f t="shared" si="14"/>
        <v>LOW</v>
      </c>
      <c r="S341" s="2"/>
      <c r="T341" s="2"/>
      <c r="U341" s="2"/>
      <c r="V341" s="2"/>
      <c r="W341" s="2"/>
      <c r="X341" s="2"/>
      <c r="Y341" s="2"/>
      <c r="Z341" s="2"/>
    </row>
    <row r="342" spans="1:26" ht="16.8" x14ac:dyDescent="0.3">
      <c r="A342" s="4">
        <v>460</v>
      </c>
      <c r="B342" s="4" t="s">
        <v>43</v>
      </c>
      <c r="C342" s="4">
        <v>37</v>
      </c>
      <c r="D342" s="4" t="s">
        <v>45</v>
      </c>
      <c r="E342" s="4" t="s">
        <v>53</v>
      </c>
      <c r="F342" s="4">
        <v>6347</v>
      </c>
      <c r="G342" s="4" t="s">
        <v>43</v>
      </c>
      <c r="H342" s="4">
        <v>6</v>
      </c>
      <c r="I342" s="4">
        <v>0</v>
      </c>
      <c r="J342" s="4">
        <v>4</v>
      </c>
      <c r="K342" s="4">
        <v>2</v>
      </c>
      <c r="L342" s="4" t="str">
        <f t="shared" si="8"/>
        <v>NORMAL</v>
      </c>
      <c r="M342" s="4" t="str">
        <f t="shared" si="9"/>
        <v>HIGH</v>
      </c>
      <c r="N342" s="4" t="str">
        <f t="shared" si="10"/>
        <v>MID</v>
      </c>
      <c r="O342" s="4" t="str">
        <f t="shared" si="11"/>
        <v>RECENTLY PROMOTED</v>
      </c>
      <c r="P342" s="5" t="str">
        <f t="shared" si="12"/>
        <v>Low_Pressure</v>
      </c>
      <c r="Q342" s="4" t="str">
        <f t="shared" si="13"/>
        <v>DISENGAGED</v>
      </c>
      <c r="R342" s="4" t="str">
        <f t="shared" si="14"/>
        <v>LOW</v>
      </c>
      <c r="S342" s="2"/>
      <c r="T342" s="2"/>
      <c r="U342" s="2"/>
      <c r="V342" s="2"/>
      <c r="W342" s="2"/>
      <c r="X342" s="2"/>
      <c r="Y342" s="2"/>
      <c r="Z342" s="2"/>
    </row>
    <row r="343" spans="1:26" ht="16.8" x14ac:dyDescent="0.3">
      <c r="A343" s="4">
        <v>461</v>
      </c>
      <c r="B343" s="4" t="s">
        <v>43</v>
      </c>
      <c r="C343" s="4">
        <v>38</v>
      </c>
      <c r="D343" s="4" t="s">
        <v>45</v>
      </c>
      <c r="E343" s="4" t="s">
        <v>58</v>
      </c>
      <c r="F343" s="4">
        <v>11510</v>
      </c>
      <c r="G343" s="4" t="s">
        <v>35</v>
      </c>
      <c r="H343" s="4">
        <v>11</v>
      </c>
      <c r="I343" s="4">
        <v>2</v>
      </c>
      <c r="J343" s="4">
        <v>4</v>
      </c>
      <c r="K343" s="4">
        <v>3</v>
      </c>
      <c r="L343" s="4" t="str">
        <f t="shared" si="8"/>
        <v>NORMAL</v>
      </c>
      <c r="M343" s="4" t="str">
        <f t="shared" si="9"/>
        <v>MEDIUM</v>
      </c>
      <c r="N343" s="4" t="str">
        <f t="shared" si="10"/>
        <v>SENIOR</v>
      </c>
      <c r="O343" s="4" t="str">
        <f t="shared" si="11"/>
        <v>MODERATE-WAIT</v>
      </c>
      <c r="P343" s="5" t="str">
        <f t="shared" si="12"/>
        <v>Medium_Pressure</v>
      </c>
      <c r="Q343" s="4" t="str">
        <f t="shared" si="13"/>
        <v>HIGHLY_ENGAGED</v>
      </c>
      <c r="R343" s="4" t="str">
        <f t="shared" si="14"/>
        <v>LOW</v>
      </c>
      <c r="S343" s="2"/>
      <c r="T343" s="2"/>
      <c r="U343" s="2"/>
      <c r="V343" s="2"/>
      <c r="W343" s="2"/>
      <c r="X343" s="2"/>
      <c r="Y343" s="2"/>
      <c r="Z343" s="2"/>
    </row>
    <row r="344" spans="1:26" ht="16.8" x14ac:dyDescent="0.3">
      <c r="A344" s="4">
        <v>462</v>
      </c>
      <c r="B344" s="4" t="s">
        <v>43</v>
      </c>
      <c r="C344" s="4">
        <v>31</v>
      </c>
      <c r="D344" s="4" t="s">
        <v>45</v>
      </c>
      <c r="E344" s="4" t="s">
        <v>53</v>
      </c>
      <c r="F344" s="4">
        <v>7143</v>
      </c>
      <c r="G344" s="4" t="s">
        <v>35</v>
      </c>
      <c r="H344" s="4">
        <v>11</v>
      </c>
      <c r="I344" s="4">
        <v>4</v>
      </c>
      <c r="J344" s="4">
        <v>4</v>
      </c>
      <c r="K344" s="4">
        <v>2</v>
      </c>
      <c r="L344" s="4" t="str">
        <f t="shared" si="8"/>
        <v>NORMAL</v>
      </c>
      <c r="M344" s="4" t="str">
        <f t="shared" si="9"/>
        <v>HIGH</v>
      </c>
      <c r="N344" s="4" t="str">
        <f t="shared" si="10"/>
        <v>SENIOR</v>
      </c>
      <c r="O344" s="4" t="str">
        <f t="shared" si="11"/>
        <v>STAGNANT</v>
      </c>
      <c r="P344" s="5" t="str">
        <f t="shared" si="12"/>
        <v>High_Pressure</v>
      </c>
      <c r="Q344" s="4" t="str">
        <f t="shared" si="13"/>
        <v>DISENGAGED</v>
      </c>
      <c r="R344" s="4" t="str">
        <f t="shared" si="14"/>
        <v>LOW</v>
      </c>
      <c r="S344" s="2"/>
      <c r="T344" s="2"/>
      <c r="U344" s="2"/>
      <c r="V344" s="2"/>
      <c r="W344" s="2"/>
      <c r="X344" s="2"/>
      <c r="Y344" s="2"/>
      <c r="Z344" s="2"/>
    </row>
    <row r="345" spans="1:26" ht="16.8" x14ac:dyDescent="0.3">
      <c r="A345" s="4">
        <v>463</v>
      </c>
      <c r="B345" s="4" t="s">
        <v>43</v>
      </c>
      <c r="C345" s="4">
        <v>29</v>
      </c>
      <c r="D345" s="4" t="s">
        <v>37</v>
      </c>
      <c r="E345" s="4" t="s">
        <v>40</v>
      </c>
      <c r="F345" s="4">
        <v>8268</v>
      </c>
      <c r="G345" s="4" t="s">
        <v>35</v>
      </c>
      <c r="H345" s="4">
        <v>7</v>
      </c>
      <c r="I345" s="4">
        <v>1</v>
      </c>
      <c r="J345" s="4">
        <v>2</v>
      </c>
      <c r="K345" s="4">
        <v>3</v>
      </c>
      <c r="L345" s="4" t="str">
        <f t="shared" si="8"/>
        <v>NORMAL</v>
      </c>
      <c r="M345" s="4" t="str">
        <f t="shared" si="9"/>
        <v>HIGH</v>
      </c>
      <c r="N345" s="4" t="str">
        <f t="shared" si="10"/>
        <v>SENIOR</v>
      </c>
      <c r="O345" s="4" t="str">
        <f t="shared" si="11"/>
        <v>RECENTLY PROMOTED</v>
      </c>
      <c r="P345" s="5" t="str">
        <f t="shared" si="12"/>
        <v>Medium_Pressure</v>
      </c>
      <c r="Q345" s="4" t="str">
        <f t="shared" si="13"/>
        <v>DISENGAGED</v>
      </c>
      <c r="R345" s="4" t="str">
        <f t="shared" si="14"/>
        <v>LOW</v>
      </c>
      <c r="S345" s="2"/>
      <c r="T345" s="2"/>
      <c r="U345" s="2"/>
      <c r="V345" s="2"/>
      <c r="W345" s="2"/>
      <c r="X345" s="2"/>
      <c r="Y345" s="2"/>
      <c r="Z345" s="2"/>
    </row>
    <row r="346" spans="1:26" ht="16.8" x14ac:dyDescent="0.3">
      <c r="A346" s="4">
        <v>464</v>
      </c>
      <c r="B346" s="4" t="s">
        <v>43</v>
      </c>
      <c r="C346" s="4">
        <v>35</v>
      </c>
      <c r="D346" s="4" t="s">
        <v>45</v>
      </c>
      <c r="E346" s="4" t="s">
        <v>53</v>
      </c>
      <c r="F346" s="4">
        <v>8095</v>
      </c>
      <c r="G346" s="4" t="s">
        <v>43</v>
      </c>
      <c r="H346" s="4">
        <v>16</v>
      </c>
      <c r="I346" s="4">
        <v>0</v>
      </c>
      <c r="J346" s="4">
        <v>2</v>
      </c>
      <c r="K346" s="4">
        <v>3</v>
      </c>
      <c r="L346" s="4" t="str">
        <f t="shared" si="8"/>
        <v>NORMAL</v>
      </c>
      <c r="M346" s="4" t="str">
        <f t="shared" si="9"/>
        <v>HIGH</v>
      </c>
      <c r="N346" s="4" t="str">
        <f t="shared" si="10"/>
        <v>SENIOR</v>
      </c>
      <c r="O346" s="4" t="str">
        <f t="shared" si="11"/>
        <v>RECENTLY PROMOTED</v>
      </c>
      <c r="P346" s="5" t="str">
        <f t="shared" si="12"/>
        <v>Medium_Pressure</v>
      </c>
      <c r="Q346" s="4" t="str">
        <f t="shared" si="13"/>
        <v>DISENGAGED</v>
      </c>
      <c r="R346" s="4" t="str">
        <f t="shared" si="14"/>
        <v>LOW</v>
      </c>
      <c r="S346" s="2"/>
      <c r="T346" s="2"/>
      <c r="U346" s="2"/>
      <c r="V346" s="2"/>
      <c r="W346" s="2"/>
      <c r="X346" s="2"/>
      <c r="Y346" s="2"/>
      <c r="Z346" s="2"/>
    </row>
    <row r="347" spans="1:26" ht="16.8" x14ac:dyDescent="0.3">
      <c r="A347" s="4">
        <v>465</v>
      </c>
      <c r="B347" s="4" t="s">
        <v>43</v>
      </c>
      <c r="C347" s="4">
        <v>23</v>
      </c>
      <c r="D347" s="4" t="s">
        <v>45</v>
      </c>
      <c r="E347" s="4" t="s">
        <v>47</v>
      </c>
      <c r="F347" s="4">
        <v>2904</v>
      </c>
      <c r="G347" s="4" t="s">
        <v>43</v>
      </c>
      <c r="H347" s="4">
        <v>4</v>
      </c>
      <c r="I347" s="4">
        <v>0</v>
      </c>
      <c r="J347" s="4">
        <v>4</v>
      </c>
      <c r="K347" s="4">
        <v>2</v>
      </c>
      <c r="L347" s="4" t="str">
        <f t="shared" si="8"/>
        <v>NORMAL</v>
      </c>
      <c r="M347" s="4" t="str">
        <f t="shared" si="9"/>
        <v>LOW</v>
      </c>
      <c r="N347" s="4" t="str">
        <f t="shared" si="10"/>
        <v>MID</v>
      </c>
      <c r="O347" s="4" t="str">
        <f t="shared" si="11"/>
        <v>RECENTLY PROMOTED</v>
      </c>
      <c r="P347" s="5" t="str">
        <f t="shared" si="12"/>
        <v>Low_Pressure</v>
      </c>
      <c r="Q347" s="4" t="str">
        <f t="shared" si="13"/>
        <v>DISENGAGED</v>
      </c>
      <c r="R347" s="4" t="str">
        <f t="shared" si="14"/>
        <v>LOW</v>
      </c>
      <c r="S347" s="2"/>
      <c r="T347" s="2"/>
      <c r="U347" s="2"/>
      <c r="V347" s="2"/>
      <c r="W347" s="2"/>
      <c r="X347" s="2"/>
      <c r="Y347" s="2"/>
      <c r="Z347" s="2"/>
    </row>
    <row r="348" spans="1:26" ht="16.8" x14ac:dyDescent="0.3">
      <c r="A348" s="4">
        <v>466</v>
      </c>
      <c r="B348" s="4" t="s">
        <v>43</v>
      </c>
      <c r="C348" s="4">
        <v>41</v>
      </c>
      <c r="D348" s="4" t="s">
        <v>45</v>
      </c>
      <c r="E348" s="4" t="s">
        <v>53</v>
      </c>
      <c r="F348" s="4">
        <v>6032</v>
      </c>
      <c r="G348" s="4" t="s">
        <v>35</v>
      </c>
      <c r="H348" s="4">
        <v>5</v>
      </c>
      <c r="I348" s="4">
        <v>1</v>
      </c>
      <c r="J348" s="4">
        <v>2</v>
      </c>
      <c r="K348" s="4">
        <v>3</v>
      </c>
      <c r="L348" s="4" t="str">
        <f t="shared" si="8"/>
        <v>NORMAL</v>
      </c>
      <c r="M348" s="4" t="str">
        <f t="shared" si="9"/>
        <v>HIGH</v>
      </c>
      <c r="N348" s="4" t="str">
        <f t="shared" si="10"/>
        <v>MID</v>
      </c>
      <c r="O348" s="4" t="str">
        <f t="shared" si="11"/>
        <v>RECENTLY PROMOTED</v>
      </c>
      <c r="P348" s="5" t="str">
        <f t="shared" si="12"/>
        <v>Medium_Pressure</v>
      </c>
      <c r="Q348" s="4" t="str">
        <f t="shared" si="13"/>
        <v>DISENGAGED</v>
      </c>
      <c r="R348" s="4" t="str">
        <f t="shared" si="14"/>
        <v>LOW</v>
      </c>
      <c r="S348" s="2"/>
      <c r="T348" s="2"/>
      <c r="U348" s="2"/>
      <c r="V348" s="2"/>
      <c r="W348" s="2"/>
      <c r="X348" s="2"/>
      <c r="Y348" s="2"/>
      <c r="Z348" s="2"/>
    </row>
    <row r="349" spans="1:26" ht="16.8" x14ac:dyDescent="0.3">
      <c r="A349" s="4">
        <v>467</v>
      </c>
      <c r="B349" s="4" t="s">
        <v>43</v>
      </c>
      <c r="C349" s="4">
        <v>47</v>
      </c>
      <c r="D349" s="4" t="s">
        <v>37</v>
      </c>
      <c r="E349" s="4" t="s">
        <v>57</v>
      </c>
      <c r="F349" s="4">
        <v>2976</v>
      </c>
      <c r="G349" s="4" t="s">
        <v>43</v>
      </c>
      <c r="H349" s="4">
        <v>0</v>
      </c>
      <c r="I349" s="4">
        <v>0</v>
      </c>
      <c r="J349" s="4">
        <v>3</v>
      </c>
      <c r="K349" s="4">
        <v>3</v>
      </c>
      <c r="L349" s="4" t="str">
        <f t="shared" si="8"/>
        <v>NORMAL</v>
      </c>
      <c r="M349" s="4" t="str">
        <f t="shared" si="9"/>
        <v>LOW</v>
      </c>
      <c r="N349" s="4" t="str">
        <f t="shared" si="10"/>
        <v>NEW</v>
      </c>
      <c r="O349" s="4" t="str">
        <f t="shared" si="11"/>
        <v>RECENTLY PROMOTED</v>
      </c>
      <c r="P349" s="5" t="str">
        <f t="shared" si="12"/>
        <v>Medium_Pressure</v>
      </c>
      <c r="Q349" s="4" t="str">
        <f t="shared" si="13"/>
        <v>HIGHLY_ENGAGED</v>
      </c>
      <c r="R349" s="4" t="str">
        <f t="shared" si="14"/>
        <v>LOW</v>
      </c>
      <c r="S349" s="2"/>
      <c r="T349" s="2"/>
      <c r="U349" s="2"/>
      <c r="V349" s="2"/>
      <c r="W349" s="2"/>
      <c r="X349" s="2"/>
      <c r="Y349" s="2"/>
      <c r="Z349" s="2"/>
    </row>
    <row r="350" spans="1:26" ht="16.8" x14ac:dyDescent="0.3">
      <c r="A350" s="4">
        <v>468</v>
      </c>
      <c r="B350" s="4" t="s">
        <v>43</v>
      </c>
      <c r="C350" s="4">
        <v>42</v>
      </c>
      <c r="D350" s="4" t="s">
        <v>45</v>
      </c>
      <c r="E350" s="4" t="s">
        <v>58</v>
      </c>
      <c r="F350" s="4">
        <v>15992</v>
      </c>
      <c r="G350" s="4" t="s">
        <v>43</v>
      </c>
      <c r="H350" s="4">
        <v>1</v>
      </c>
      <c r="I350" s="4">
        <v>0</v>
      </c>
      <c r="J350" s="4">
        <v>4</v>
      </c>
      <c r="K350" s="4">
        <v>3</v>
      </c>
      <c r="L350" s="4" t="str">
        <f t="shared" si="8"/>
        <v>NORMAL</v>
      </c>
      <c r="M350" s="4" t="str">
        <f t="shared" si="9"/>
        <v>MEDIUM</v>
      </c>
      <c r="N350" s="4" t="str">
        <f t="shared" si="10"/>
        <v>NEW</v>
      </c>
      <c r="O350" s="4" t="str">
        <f t="shared" si="11"/>
        <v>RECENTLY PROMOTED</v>
      </c>
      <c r="P350" s="5" t="str">
        <f t="shared" si="12"/>
        <v>Medium_Pressure</v>
      </c>
      <c r="Q350" s="4" t="str">
        <f t="shared" si="13"/>
        <v>HIGHLY_ENGAGED</v>
      </c>
      <c r="R350" s="4" t="str">
        <f t="shared" si="14"/>
        <v>LOW</v>
      </c>
      <c r="S350" s="2"/>
      <c r="T350" s="2"/>
      <c r="U350" s="2"/>
      <c r="V350" s="2"/>
      <c r="W350" s="2"/>
      <c r="X350" s="2"/>
      <c r="Y350" s="2"/>
      <c r="Z350" s="2"/>
    </row>
    <row r="351" spans="1:26" ht="16.8" x14ac:dyDescent="0.3">
      <c r="A351" s="4">
        <v>469</v>
      </c>
      <c r="B351" s="4" t="s">
        <v>43</v>
      </c>
      <c r="C351" s="4">
        <v>29</v>
      </c>
      <c r="D351" s="4" t="s">
        <v>37</v>
      </c>
      <c r="E351" s="4" t="s">
        <v>40</v>
      </c>
      <c r="F351" s="4">
        <v>4649</v>
      </c>
      <c r="G351" s="4" t="s">
        <v>43</v>
      </c>
      <c r="H351" s="4">
        <v>4</v>
      </c>
      <c r="I351" s="4">
        <v>0</v>
      </c>
      <c r="J351" s="4">
        <v>3</v>
      </c>
      <c r="K351" s="4">
        <v>2</v>
      </c>
      <c r="L351" s="4" t="str">
        <f t="shared" si="8"/>
        <v>NORMAL</v>
      </c>
      <c r="M351" s="4" t="str">
        <f t="shared" si="9"/>
        <v>HIGH</v>
      </c>
      <c r="N351" s="4" t="str">
        <f t="shared" si="10"/>
        <v>MID</v>
      </c>
      <c r="O351" s="4" t="str">
        <f t="shared" si="11"/>
        <v>RECENTLY PROMOTED</v>
      </c>
      <c r="P351" s="5" t="str">
        <f t="shared" si="12"/>
        <v>Low_Pressure</v>
      </c>
      <c r="Q351" s="4" t="str">
        <f t="shared" si="13"/>
        <v>DISENGAGED</v>
      </c>
      <c r="R351" s="4" t="str">
        <f t="shared" si="14"/>
        <v>LOW</v>
      </c>
      <c r="S351" s="2"/>
      <c r="T351" s="2"/>
      <c r="U351" s="2"/>
      <c r="V351" s="2"/>
      <c r="W351" s="2"/>
      <c r="X351" s="2"/>
      <c r="Y351" s="2"/>
      <c r="Z351" s="2"/>
    </row>
    <row r="352" spans="1:26" ht="16.8" x14ac:dyDescent="0.3">
      <c r="A352" s="4">
        <v>470</v>
      </c>
      <c r="B352" s="4" t="s">
        <v>43</v>
      </c>
      <c r="C352" s="4">
        <v>42</v>
      </c>
      <c r="D352" s="4" t="s">
        <v>61</v>
      </c>
      <c r="E352" s="4" t="s">
        <v>61</v>
      </c>
      <c r="F352" s="4">
        <v>2696</v>
      </c>
      <c r="G352" s="4" t="s">
        <v>35</v>
      </c>
      <c r="H352" s="4">
        <v>3</v>
      </c>
      <c r="I352" s="4">
        <v>1</v>
      </c>
      <c r="J352" s="4">
        <v>3</v>
      </c>
      <c r="K352" s="4">
        <v>3</v>
      </c>
      <c r="L352" s="4" t="str">
        <f t="shared" si="8"/>
        <v>NORMAL</v>
      </c>
      <c r="M352" s="4" t="str">
        <f t="shared" si="9"/>
        <v>LOW</v>
      </c>
      <c r="N352" s="4" t="str">
        <f t="shared" si="10"/>
        <v>MID</v>
      </c>
      <c r="O352" s="4" t="str">
        <f t="shared" si="11"/>
        <v>RECENTLY PROMOTED</v>
      </c>
      <c r="P352" s="5" t="str">
        <f t="shared" si="12"/>
        <v>Medium_Pressure</v>
      </c>
      <c r="Q352" s="4" t="str">
        <f t="shared" si="13"/>
        <v>HIGHLY_ENGAGED</v>
      </c>
      <c r="R352" s="4" t="str">
        <f t="shared" si="14"/>
        <v>LOW</v>
      </c>
      <c r="S352" s="2"/>
      <c r="T352" s="2"/>
      <c r="U352" s="2"/>
      <c r="V352" s="2"/>
      <c r="W352" s="2"/>
      <c r="X352" s="2"/>
      <c r="Y352" s="2"/>
      <c r="Z352" s="2"/>
    </row>
    <row r="353" spans="1:26" ht="16.8" x14ac:dyDescent="0.3">
      <c r="A353" s="4">
        <v>471</v>
      </c>
      <c r="B353" s="4" t="s">
        <v>43</v>
      </c>
      <c r="C353" s="4">
        <v>32</v>
      </c>
      <c r="D353" s="4" t="s">
        <v>45</v>
      </c>
      <c r="E353" s="4" t="s">
        <v>50</v>
      </c>
      <c r="F353" s="4">
        <v>2370</v>
      </c>
      <c r="G353" s="4" t="s">
        <v>43</v>
      </c>
      <c r="H353" s="4">
        <v>8</v>
      </c>
      <c r="I353" s="4">
        <v>0</v>
      </c>
      <c r="J353" s="4">
        <v>2</v>
      </c>
      <c r="K353" s="4">
        <v>3</v>
      </c>
      <c r="L353" s="4" t="str">
        <f t="shared" si="8"/>
        <v>NORMAL</v>
      </c>
      <c r="M353" s="4" t="str">
        <f t="shared" si="9"/>
        <v>LOW</v>
      </c>
      <c r="N353" s="4" t="str">
        <f t="shared" si="10"/>
        <v>SENIOR</v>
      </c>
      <c r="O353" s="4" t="str">
        <f t="shared" si="11"/>
        <v>RECENTLY PROMOTED</v>
      </c>
      <c r="P353" s="5" t="str">
        <f t="shared" si="12"/>
        <v>Medium_Pressure</v>
      </c>
      <c r="Q353" s="4" t="str">
        <f t="shared" si="13"/>
        <v>DISENGAGED</v>
      </c>
      <c r="R353" s="4" t="str">
        <f t="shared" si="14"/>
        <v>LOW</v>
      </c>
      <c r="S353" s="2"/>
      <c r="T353" s="2"/>
      <c r="U353" s="2"/>
      <c r="V353" s="2"/>
      <c r="W353" s="2"/>
      <c r="X353" s="2"/>
      <c r="Y353" s="2"/>
      <c r="Z353" s="2"/>
    </row>
    <row r="354" spans="1:26" ht="16.8" x14ac:dyDescent="0.3">
      <c r="A354" s="4">
        <v>473</v>
      </c>
      <c r="B354" s="4" t="s">
        <v>43</v>
      </c>
      <c r="C354" s="4">
        <v>48</v>
      </c>
      <c r="D354" s="4" t="s">
        <v>37</v>
      </c>
      <c r="E354" s="4" t="s">
        <v>56</v>
      </c>
      <c r="F354" s="4">
        <v>12504</v>
      </c>
      <c r="G354" s="4" t="s">
        <v>43</v>
      </c>
      <c r="H354" s="4">
        <v>0</v>
      </c>
      <c r="I354" s="4">
        <v>0</v>
      </c>
      <c r="J354" s="4">
        <v>3</v>
      </c>
      <c r="K354" s="4">
        <v>1</v>
      </c>
      <c r="L354" s="4" t="str">
        <f t="shared" si="8"/>
        <v>NORMAL</v>
      </c>
      <c r="M354" s="4" t="str">
        <f t="shared" si="9"/>
        <v>MEDIUM</v>
      </c>
      <c r="N354" s="4" t="str">
        <f t="shared" si="10"/>
        <v>NEW</v>
      </c>
      <c r="O354" s="4" t="str">
        <f t="shared" si="11"/>
        <v>RECENTLY PROMOTED</v>
      </c>
      <c r="P354" s="5" t="str">
        <f t="shared" si="12"/>
        <v>Low_Pressure</v>
      </c>
      <c r="Q354" s="4" t="str">
        <f t="shared" si="13"/>
        <v>DISENGAGED</v>
      </c>
      <c r="R354" s="4" t="str">
        <f t="shared" si="14"/>
        <v>LOW</v>
      </c>
      <c r="S354" s="2"/>
      <c r="T354" s="2"/>
      <c r="U354" s="2"/>
      <c r="V354" s="2"/>
      <c r="W354" s="2"/>
      <c r="X354" s="2"/>
      <c r="Y354" s="2"/>
      <c r="Z354" s="2"/>
    </row>
    <row r="355" spans="1:26" ht="16.8" x14ac:dyDescent="0.3">
      <c r="A355" s="4">
        <v>474</v>
      </c>
      <c r="B355" s="4" t="s">
        <v>43</v>
      </c>
      <c r="C355" s="4">
        <v>37</v>
      </c>
      <c r="D355" s="4" t="s">
        <v>45</v>
      </c>
      <c r="E355" s="4" t="s">
        <v>47</v>
      </c>
      <c r="F355" s="4">
        <v>5974</v>
      </c>
      <c r="G355" s="4" t="s">
        <v>35</v>
      </c>
      <c r="H355" s="4">
        <v>7</v>
      </c>
      <c r="I355" s="4">
        <v>6</v>
      </c>
      <c r="J355" s="4">
        <v>1</v>
      </c>
      <c r="K355" s="4">
        <v>3</v>
      </c>
      <c r="L355" s="4" t="str">
        <f t="shared" si="8"/>
        <v>HIGH RISK</v>
      </c>
      <c r="M355" s="4" t="str">
        <f t="shared" si="9"/>
        <v>HIGH</v>
      </c>
      <c r="N355" s="4" t="str">
        <f t="shared" si="10"/>
        <v>SENIOR</v>
      </c>
      <c r="O355" s="4" t="str">
        <f t="shared" si="11"/>
        <v>STAGNANT</v>
      </c>
      <c r="P355" s="5" t="str">
        <f t="shared" si="12"/>
        <v>Medium_Pressure</v>
      </c>
      <c r="Q355" s="4" t="str">
        <f t="shared" si="13"/>
        <v>DISENGAGED</v>
      </c>
      <c r="R355" s="4" t="str">
        <f t="shared" si="14"/>
        <v>LOW</v>
      </c>
      <c r="S355" s="2"/>
      <c r="T355" s="2"/>
      <c r="U355" s="2"/>
      <c r="V355" s="2"/>
      <c r="W355" s="2"/>
      <c r="X355" s="2"/>
      <c r="Y355" s="2"/>
      <c r="Z355" s="2"/>
    </row>
    <row r="356" spans="1:26" ht="16.8" x14ac:dyDescent="0.3">
      <c r="A356" s="4">
        <v>475</v>
      </c>
      <c r="B356" s="4" t="s">
        <v>43</v>
      </c>
      <c r="C356" s="4">
        <v>30</v>
      </c>
      <c r="D356" s="4" t="s">
        <v>37</v>
      </c>
      <c r="E356" s="4" t="s">
        <v>40</v>
      </c>
      <c r="F356" s="4">
        <v>4736</v>
      </c>
      <c r="G356" s="4" t="s">
        <v>35</v>
      </c>
      <c r="H356" s="4">
        <v>2</v>
      </c>
      <c r="I356" s="4">
        <v>2</v>
      </c>
      <c r="J356" s="4">
        <v>3</v>
      </c>
      <c r="K356" s="4">
        <v>4</v>
      </c>
      <c r="L356" s="4" t="str">
        <f t="shared" si="8"/>
        <v>NORMAL</v>
      </c>
      <c r="M356" s="4" t="str">
        <f t="shared" si="9"/>
        <v>HIGH</v>
      </c>
      <c r="N356" s="4" t="str">
        <f t="shared" si="10"/>
        <v>NEW</v>
      </c>
      <c r="O356" s="4" t="str">
        <f t="shared" si="11"/>
        <v>MODERATE-WAIT</v>
      </c>
      <c r="P356" s="5" t="str">
        <f t="shared" si="12"/>
        <v>Medium_Pressure</v>
      </c>
      <c r="Q356" s="4" t="str">
        <f t="shared" si="13"/>
        <v>HIGHLY_ENGAGED</v>
      </c>
      <c r="R356" s="4" t="str">
        <f t="shared" si="14"/>
        <v>LOW</v>
      </c>
      <c r="S356" s="2"/>
      <c r="T356" s="2"/>
      <c r="U356" s="2"/>
      <c r="V356" s="2"/>
      <c r="W356" s="2"/>
      <c r="X356" s="2"/>
      <c r="Y356" s="2"/>
      <c r="Z356" s="2"/>
    </row>
    <row r="357" spans="1:26" ht="16.8" x14ac:dyDescent="0.3">
      <c r="A357" s="4">
        <v>476</v>
      </c>
      <c r="B357" s="4" t="s">
        <v>43</v>
      </c>
      <c r="C357" s="4">
        <v>26</v>
      </c>
      <c r="D357" s="4" t="s">
        <v>37</v>
      </c>
      <c r="E357" s="4" t="s">
        <v>40</v>
      </c>
      <c r="F357" s="4">
        <v>5296</v>
      </c>
      <c r="G357" s="4" t="s">
        <v>43</v>
      </c>
      <c r="H357" s="4">
        <v>8</v>
      </c>
      <c r="I357" s="4">
        <v>7</v>
      </c>
      <c r="J357" s="4">
        <v>3</v>
      </c>
      <c r="K357" s="4">
        <v>3</v>
      </c>
      <c r="L357" s="4" t="str">
        <f t="shared" si="8"/>
        <v>NORMAL</v>
      </c>
      <c r="M357" s="4" t="str">
        <f t="shared" si="9"/>
        <v>HIGH</v>
      </c>
      <c r="N357" s="4" t="str">
        <f t="shared" si="10"/>
        <v>SENIOR</v>
      </c>
      <c r="O357" s="4" t="str">
        <f t="shared" si="11"/>
        <v>STAGNANT</v>
      </c>
      <c r="P357" s="5" t="str">
        <f t="shared" si="12"/>
        <v>Medium_Pressure</v>
      </c>
      <c r="Q357" s="4" t="str">
        <f t="shared" si="13"/>
        <v>HIGHLY_ENGAGED</v>
      </c>
      <c r="R357" s="4" t="str">
        <f t="shared" si="14"/>
        <v>LOW</v>
      </c>
      <c r="S357" s="2"/>
      <c r="T357" s="2"/>
      <c r="U357" s="2"/>
      <c r="V357" s="2"/>
      <c r="W357" s="2"/>
      <c r="X357" s="2"/>
      <c r="Y357" s="2"/>
      <c r="Z357" s="2"/>
    </row>
    <row r="358" spans="1:26" ht="16.8" x14ac:dyDescent="0.3">
      <c r="A358" s="4">
        <v>477</v>
      </c>
      <c r="B358" s="4" t="s">
        <v>43</v>
      </c>
      <c r="C358" s="4">
        <v>42</v>
      </c>
      <c r="D358" s="4" t="s">
        <v>45</v>
      </c>
      <c r="E358" s="4" t="s">
        <v>54</v>
      </c>
      <c r="F358" s="4">
        <v>6781</v>
      </c>
      <c r="G358" s="4" t="s">
        <v>43</v>
      </c>
      <c r="H358" s="4">
        <v>1</v>
      </c>
      <c r="I358" s="4">
        <v>0</v>
      </c>
      <c r="J358" s="4">
        <v>4</v>
      </c>
      <c r="K358" s="4">
        <v>3</v>
      </c>
      <c r="L358" s="4" t="str">
        <f t="shared" si="8"/>
        <v>NORMAL</v>
      </c>
      <c r="M358" s="4" t="str">
        <f t="shared" si="9"/>
        <v>HIGH</v>
      </c>
      <c r="N358" s="4" t="str">
        <f t="shared" si="10"/>
        <v>NEW</v>
      </c>
      <c r="O358" s="4" t="str">
        <f t="shared" si="11"/>
        <v>RECENTLY PROMOTED</v>
      </c>
      <c r="P358" s="5" t="str">
        <f t="shared" si="12"/>
        <v>Medium_Pressure</v>
      </c>
      <c r="Q358" s="4" t="str">
        <f t="shared" si="13"/>
        <v>HIGHLY_ENGAGED</v>
      </c>
      <c r="R358" s="4" t="str">
        <f t="shared" si="14"/>
        <v>LOW</v>
      </c>
      <c r="S358" s="2"/>
      <c r="T358" s="2"/>
      <c r="U358" s="2"/>
      <c r="V358" s="2"/>
      <c r="W358" s="2"/>
      <c r="X358" s="2"/>
      <c r="Y358" s="2"/>
      <c r="Z358" s="2"/>
    </row>
    <row r="359" spans="1:26" ht="16.8" x14ac:dyDescent="0.3">
      <c r="A359" s="4">
        <v>478</v>
      </c>
      <c r="B359" s="4" t="s">
        <v>35</v>
      </c>
      <c r="C359" s="4">
        <v>21</v>
      </c>
      <c r="D359" s="4" t="s">
        <v>37</v>
      </c>
      <c r="E359" s="4" t="s">
        <v>57</v>
      </c>
      <c r="F359" s="4">
        <v>2174</v>
      </c>
      <c r="G359" s="4" t="s">
        <v>35</v>
      </c>
      <c r="H359" s="4">
        <v>3</v>
      </c>
      <c r="I359" s="4">
        <v>1</v>
      </c>
      <c r="J359" s="4">
        <v>2</v>
      </c>
      <c r="K359" s="4">
        <v>3</v>
      </c>
      <c r="L359" s="4" t="str">
        <f t="shared" si="8"/>
        <v>NORMAL</v>
      </c>
      <c r="M359" s="4" t="str">
        <f t="shared" si="9"/>
        <v>LOW</v>
      </c>
      <c r="N359" s="4" t="str">
        <f t="shared" si="10"/>
        <v>MID</v>
      </c>
      <c r="O359" s="4" t="str">
        <f t="shared" si="11"/>
        <v>RECENTLY PROMOTED</v>
      </c>
      <c r="P359" s="5" t="str">
        <f t="shared" si="12"/>
        <v>Medium_Pressure</v>
      </c>
      <c r="Q359" s="4" t="str">
        <f t="shared" si="13"/>
        <v>DISENGAGED</v>
      </c>
      <c r="R359" s="4" t="str">
        <f t="shared" si="14"/>
        <v>LOW</v>
      </c>
      <c r="S359" s="2"/>
      <c r="T359" s="2"/>
      <c r="U359" s="2"/>
      <c r="V359" s="2"/>
      <c r="W359" s="2"/>
      <c r="X359" s="2"/>
      <c r="Y359" s="2"/>
      <c r="Z359" s="2"/>
    </row>
    <row r="360" spans="1:26" ht="16.8" x14ac:dyDescent="0.3">
      <c r="A360" s="4">
        <v>479</v>
      </c>
      <c r="B360" s="4" t="s">
        <v>43</v>
      </c>
      <c r="C360" s="4">
        <v>36</v>
      </c>
      <c r="D360" s="4" t="s">
        <v>37</v>
      </c>
      <c r="E360" s="4" t="s">
        <v>40</v>
      </c>
      <c r="F360" s="4">
        <v>6653</v>
      </c>
      <c r="G360" s="4" t="s">
        <v>43</v>
      </c>
      <c r="H360" s="4">
        <v>1</v>
      </c>
      <c r="I360" s="4">
        <v>0</v>
      </c>
      <c r="J360" s="4">
        <v>4</v>
      </c>
      <c r="K360" s="4">
        <v>3</v>
      </c>
      <c r="L360" s="4" t="str">
        <f t="shared" si="8"/>
        <v>NORMAL</v>
      </c>
      <c r="M360" s="4" t="str">
        <f t="shared" si="9"/>
        <v>HIGH</v>
      </c>
      <c r="N360" s="4" t="str">
        <f t="shared" si="10"/>
        <v>NEW</v>
      </c>
      <c r="O360" s="4" t="str">
        <f t="shared" si="11"/>
        <v>RECENTLY PROMOTED</v>
      </c>
      <c r="P360" s="5" t="str">
        <f t="shared" si="12"/>
        <v>Medium_Pressure</v>
      </c>
      <c r="Q360" s="4" t="str">
        <f t="shared" si="13"/>
        <v>HIGHLY_ENGAGED</v>
      </c>
      <c r="R360" s="4" t="str">
        <f t="shared" si="14"/>
        <v>LOW</v>
      </c>
      <c r="S360" s="2"/>
      <c r="T360" s="2"/>
      <c r="U360" s="2"/>
      <c r="V360" s="2"/>
      <c r="W360" s="2"/>
      <c r="X360" s="2"/>
      <c r="Y360" s="2"/>
      <c r="Z360" s="2"/>
    </row>
    <row r="361" spans="1:26" ht="16.8" x14ac:dyDescent="0.3">
      <c r="A361" s="4">
        <v>481</v>
      </c>
      <c r="B361" s="4" t="s">
        <v>43</v>
      </c>
      <c r="C361" s="4">
        <v>36</v>
      </c>
      <c r="D361" s="4" t="s">
        <v>37</v>
      </c>
      <c r="E361" s="4" t="s">
        <v>40</v>
      </c>
      <c r="F361" s="4">
        <v>9699</v>
      </c>
      <c r="G361" s="4" t="s">
        <v>43</v>
      </c>
      <c r="H361" s="4">
        <v>13</v>
      </c>
      <c r="I361" s="4">
        <v>1</v>
      </c>
      <c r="J361" s="4">
        <v>4</v>
      </c>
      <c r="K361" s="4">
        <v>3</v>
      </c>
      <c r="L361" s="4" t="str">
        <f t="shared" si="8"/>
        <v>NORMAL</v>
      </c>
      <c r="M361" s="4" t="str">
        <f t="shared" si="9"/>
        <v>MEDIUM</v>
      </c>
      <c r="N361" s="4" t="str">
        <f t="shared" si="10"/>
        <v>SENIOR</v>
      </c>
      <c r="O361" s="4" t="str">
        <f t="shared" si="11"/>
        <v>RECENTLY PROMOTED</v>
      </c>
      <c r="P361" s="5" t="str">
        <f t="shared" si="12"/>
        <v>Medium_Pressure</v>
      </c>
      <c r="Q361" s="4" t="str">
        <f t="shared" si="13"/>
        <v>HIGHLY_ENGAGED</v>
      </c>
      <c r="R361" s="4" t="str">
        <f t="shared" si="14"/>
        <v>LOW</v>
      </c>
      <c r="S361" s="2"/>
      <c r="T361" s="2"/>
      <c r="U361" s="2"/>
      <c r="V361" s="2"/>
      <c r="W361" s="2"/>
      <c r="X361" s="2"/>
      <c r="Y361" s="2"/>
      <c r="Z361" s="2"/>
    </row>
    <row r="362" spans="1:26" ht="16.8" x14ac:dyDescent="0.3">
      <c r="A362" s="4">
        <v>482</v>
      </c>
      <c r="B362" s="4" t="s">
        <v>43</v>
      </c>
      <c r="C362" s="4">
        <v>57</v>
      </c>
      <c r="D362" s="4" t="s">
        <v>45</v>
      </c>
      <c r="E362" s="4" t="s">
        <v>54</v>
      </c>
      <c r="F362" s="4">
        <v>6755</v>
      </c>
      <c r="G362" s="4" t="s">
        <v>43</v>
      </c>
      <c r="H362" s="4">
        <v>3</v>
      </c>
      <c r="I362" s="4">
        <v>1</v>
      </c>
      <c r="J362" s="4">
        <v>3</v>
      </c>
      <c r="K362" s="4">
        <v>3</v>
      </c>
      <c r="L362" s="4" t="str">
        <f t="shared" si="8"/>
        <v>NORMAL</v>
      </c>
      <c r="M362" s="4" t="str">
        <f t="shared" si="9"/>
        <v>HIGH</v>
      </c>
      <c r="N362" s="4" t="str">
        <f t="shared" si="10"/>
        <v>MID</v>
      </c>
      <c r="O362" s="4" t="str">
        <f t="shared" si="11"/>
        <v>RECENTLY PROMOTED</v>
      </c>
      <c r="P362" s="5" t="str">
        <f t="shared" si="12"/>
        <v>Medium_Pressure</v>
      </c>
      <c r="Q362" s="4" t="str">
        <f t="shared" si="13"/>
        <v>HIGHLY_ENGAGED</v>
      </c>
      <c r="R362" s="4" t="str">
        <f t="shared" si="14"/>
        <v>LOW</v>
      </c>
      <c r="S362" s="2"/>
      <c r="T362" s="2"/>
      <c r="U362" s="2"/>
      <c r="V362" s="2"/>
      <c r="W362" s="2"/>
      <c r="X362" s="2"/>
      <c r="Y362" s="2"/>
      <c r="Z362" s="2"/>
    </row>
    <row r="363" spans="1:26" ht="16.8" x14ac:dyDescent="0.3">
      <c r="A363" s="4">
        <v>483</v>
      </c>
      <c r="B363" s="4" t="s">
        <v>43</v>
      </c>
      <c r="C363" s="4">
        <v>40</v>
      </c>
      <c r="D363" s="4" t="s">
        <v>45</v>
      </c>
      <c r="E363" s="4" t="s">
        <v>50</v>
      </c>
      <c r="F363" s="4">
        <v>2213</v>
      </c>
      <c r="G363" s="4" t="s">
        <v>35</v>
      </c>
      <c r="H363" s="4">
        <v>7</v>
      </c>
      <c r="I363" s="4">
        <v>1</v>
      </c>
      <c r="J363" s="4">
        <v>3</v>
      </c>
      <c r="K363" s="4">
        <v>3</v>
      </c>
      <c r="L363" s="4" t="str">
        <f t="shared" si="8"/>
        <v>NORMAL</v>
      </c>
      <c r="M363" s="4" t="str">
        <f t="shared" si="9"/>
        <v>LOW</v>
      </c>
      <c r="N363" s="4" t="str">
        <f t="shared" si="10"/>
        <v>SENIOR</v>
      </c>
      <c r="O363" s="4" t="str">
        <f t="shared" si="11"/>
        <v>RECENTLY PROMOTED</v>
      </c>
      <c r="P363" s="5" t="str">
        <f t="shared" si="12"/>
        <v>Medium_Pressure</v>
      </c>
      <c r="Q363" s="4" t="str">
        <f t="shared" si="13"/>
        <v>HIGHLY_ENGAGED</v>
      </c>
      <c r="R363" s="4" t="str">
        <f t="shared" si="14"/>
        <v>LOW</v>
      </c>
      <c r="S363" s="2"/>
      <c r="T363" s="2"/>
      <c r="U363" s="2"/>
      <c r="V363" s="2"/>
      <c r="W363" s="2"/>
      <c r="X363" s="2"/>
      <c r="Y363" s="2"/>
      <c r="Z363" s="2"/>
    </row>
    <row r="364" spans="1:26" ht="16.8" x14ac:dyDescent="0.3">
      <c r="A364" s="4">
        <v>484</v>
      </c>
      <c r="B364" s="4" t="s">
        <v>43</v>
      </c>
      <c r="C364" s="4">
        <v>21</v>
      </c>
      <c r="D364" s="4" t="s">
        <v>37</v>
      </c>
      <c r="E364" s="4" t="s">
        <v>57</v>
      </c>
      <c r="F364" s="4">
        <v>2610</v>
      </c>
      <c r="G364" s="4" t="s">
        <v>43</v>
      </c>
      <c r="H364" s="4">
        <v>3</v>
      </c>
      <c r="I364" s="4">
        <v>2</v>
      </c>
      <c r="J364" s="4">
        <v>4</v>
      </c>
      <c r="K364" s="4">
        <v>2</v>
      </c>
      <c r="L364" s="4" t="str">
        <f t="shared" si="8"/>
        <v>NORMAL</v>
      </c>
      <c r="M364" s="4" t="str">
        <f t="shared" si="9"/>
        <v>LOW</v>
      </c>
      <c r="N364" s="4" t="str">
        <f t="shared" si="10"/>
        <v>MID</v>
      </c>
      <c r="O364" s="4" t="str">
        <f t="shared" si="11"/>
        <v>MODERATE-WAIT</v>
      </c>
      <c r="P364" s="5" t="str">
        <f t="shared" si="12"/>
        <v>Low_Pressure</v>
      </c>
      <c r="Q364" s="4" t="str">
        <f t="shared" si="13"/>
        <v>DISENGAGED</v>
      </c>
      <c r="R364" s="4" t="str">
        <f t="shared" si="14"/>
        <v>LOW</v>
      </c>
      <c r="S364" s="2"/>
      <c r="T364" s="2"/>
      <c r="U364" s="2"/>
      <c r="V364" s="2"/>
      <c r="W364" s="2"/>
      <c r="X364" s="2"/>
      <c r="Y364" s="2"/>
      <c r="Z364" s="2"/>
    </row>
    <row r="365" spans="1:26" ht="16.8" x14ac:dyDescent="0.3">
      <c r="A365" s="4">
        <v>485</v>
      </c>
      <c r="B365" s="4" t="s">
        <v>35</v>
      </c>
      <c r="C365" s="4">
        <v>33</v>
      </c>
      <c r="D365" s="4" t="s">
        <v>37</v>
      </c>
      <c r="E365" s="4" t="s">
        <v>57</v>
      </c>
      <c r="F365" s="4">
        <v>2851</v>
      </c>
      <c r="G365" s="4" t="s">
        <v>35</v>
      </c>
      <c r="H365" s="4">
        <v>1</v>
      </c>
      <c r="I365" s="4">
        <v>0</v>
      </c>
      <c r="J365" s="4">
        <v>3</v>
      </c>
      <c r="K365" s="4">
        <v>3</v>
      </c>
      <c r="L365" s="4" t="str">
        <f t="shared" si="8"/>
        <v>NORMAL</v>
      </c>
      <c r="M365" s="4" t="str">
        <f t="shared" si="9"/>
        <v>LOW</v>
      </c>
      <c r="N365" s="4" t="str">
        <f t="shared" si="10"/>
        <v>NEW</v>
      </c>
      <c r="O365" s="4" t="str">
        <f t="shared" si="11"/>
        <v>RECENTLY PROMOTED</v>
      </c>
      <c r="P365" s="5" t="str">
        <f t="shared" si="12"/>
        <v>Medium_Pressure</v>
      </c>
      <c r="Q365" s="4" t="str">
        <f t="shared" si="13"/>
        <v>HIGHLY_ENGAGED</v>
      </c>
      <c r="R365" s="4" t="str">
        <f t="shared" si="14"/>
        <v>LOW</v>
      </c>
      <c r="S365" s="2"/>
      <c r="T365" s="2"/>
      <c r="U365" s="2"/>
      <c r="V365" s="2"/>
      <c r="W365" s="2"/>
      <c r="X365" s="2"/>
      <c r="Y365" s="2"/>
      <c r="Z365" s="2"/>
    </row>
    <row r="366" spans="1:26" ht="16.8" x14ac:dyDescent="0.3">
      <c r="A366" s="4">
        <v>486</v>
      </c>
      <c r="B366" s="4" t="s">
        <v>43</v>
      </c>
      <c r="C366" s="4">
        <v>37</v>
      </c>
      <c r="D366" s="4" t="s">
        <v>45</v>
      </c>
      <c r="E366" s="4" t="s">
        <v>50</v>
      </c>
      <c r="F366" s="4">
        <v>3452</v>
      </c>
      <c r="G366" s="4" t="s">
        <v>43</v>
      </c>
      <c r="H366" s="4">
        <v>5</v>
      </c>
      <c r="I366" s="4">
        <v>0</v>
      </c>
      <c r="J366" s="4">
        <v>1</v>
      </c>
      <c r="K366" s="4">
        <v>3</v>
      </c>
      <c r="L366" s="4" t="str">
        <f t="shared" si="8"/>
        <v>NORMAL</v>
      </c>
      <c r="M366" s="4" t="str">
        <f t="shared" si="9"/>
        <v>LOW</v>
      </c>
      <c r="N366" s="4" t="str">
        <f t="shared" si="10"/>
        <v>MID</v>
      </c>
      <c r="O366" s="4" t="str">
        <f t="shared" si="11"/>
        <v>RECENTLY PROMOTED</v>
      </c>
      <c r="P366" s="5" t="str">
        <f t="shared" si="12"/>
        <v>Medium_Pressure</v>
      </c>
      <c r="Q366" s="4" t="str">
        <f t="shared" si="13"/>
        <v>DISENGAGED</v>
      </c>
      <c r="R366" s="4" t="str">
        <f t="shared" si="14"/>
        <v>LOW</v>
      </c>
      <c r="S366" s="2"/>
      <c r="T366" s="2"/>
      <c r="U366" s="2"/>
      <c r="V366" s="2"/>
      <c r="W366" s="2"/>
      <c r="X366" s="2"/>
      <c r="Y366" s="2"/>
      <c r="Z366" s="2"/>
    </row>
    <row r="367" spans="1:26" ht="16.8" x14ac:dyDescent="0.3">
      <c r="A367" s="4">
        <v>487</v>
      </c>
      <c r="B367" s="4" t="s">
        <v>43</v>
      </c>
      <c r="C367" s="4">
        <v>46</v>
      </c>
      <c r="D367" s="4" t="s">
        <v>45</v>
      </c>
      <c r="E367" s="4" t="s">
        <v>53</v>
      </c>
      <c r="F367" s="4">
        <v>5258</v>
      </c>
      <c r="G367" s="4" t="s">
        <v>43</v>
      </c>
      <c r="H367" s="4">
        <v>1</v>
      </c>
      <c r="I367" s="4">
        <v>0</v>
      </c>
      <c r="J367" s="4">
        <v>3</v>
      </c>
      <c r="K367" s="4">
        <v>4</v>
      </c>
      <c r="L367" s="4" t="str">
        <f t="shared" si="8"/>
        <v>NORMAL</v>
      </c>
      <c r="M367" s="4" t="str">
        <f t="shared" si="9"/>
        <v>HIGH</v>
      </c>
      <c r="N367" s="4" t="str">
        <f t="shared" si="10"/>
        <v>NEW</v>
      </c>
      <c r="O367" s="4" t="str">
        <f t="shared" si="11"/>
        <v>RECENTLY PROMOTED</v>
      </c>
      <c r="P367" s="5" t="str">
        <f t="shared" si="12"/>
        <v>Low_Pressure</v>
      </c>
      <c r="Q367" s="4" t="str">
        <f t="shared" si="13"/>
        <v>HIGHLY_ENGAGED</v>
      </c>
      <c r="R367" s="4" t="str">
        <f t="shared" si="14"/>
        <v>LOW</v>
      </c>
      <c r="S367" s="2"/>
      <c r="T367" s="2"/>
      <c r="U367" s="2"/>
      <c r="V367" s="2"/>
      <c r="W367" s="2"/>
      <c r="X367" s="2"/>
      <c r="Y367" s="2"/>
      <c r="Z367" s="2"/>
    </row>
    <row r="368" spans="1:26" ht="16.8" x14ac:dyDescent="0.3">
      <c r="A368" s="4">
        <v>488</v>
      </c>
      <c r="B368" s="4" t="s">
        <v>35</v>
      </c>
      <c r="C368" s="4">
        <v>41</v>
      </c>
      <c r="D368" s="4" t="s">
        <v>37</v>
      </c>
      <c r="E368" s="4" t="s">
        <v>40</v>
      </c>
      <c r="F368" s="4">
        <v>9355</v>
      </c>
      <c r="G368" s="4" t="s">
        <v>43</v>
      </c>
      <c r="H368" s="4">
        <v>8</v>
      </c>
      <c r="I368" s="4">
        <v>7</v>
      </c>
      <c r="J368" s="4">
        <v>2</v>
      </c>
      <c r="K368" s="4">
        <v>3</v>
      </c>
      <c r="L368" s="4" t="str">
        <f t="shared" si="8"/>
        <v>NORMAL</v>
      </c>
      <c r="M368" s="4" t="str">
        <f t="shared" si="9"/>
        <v>MEDIUM</v>
      </c>
      <c r="N368" s="4" t="str">
        <f t="shared" si="10"/>
        <v>SENIOR</v>
      </c>
      <c r="O368" s="4" t="str">
        <f t="shared" si="11"/>
        <v>STAGNANT</v>
      </c>
      <c r="P368" s="5" t="str">
        <f t="shared" si="12"/>
        <v>Medium_Pressure</v>
      </c>
      <c r="Q368" s="4" t="str">
        <f t="shared" si="13"/>
        <v>DISENGAGED</v>
      </c>
      <c r="R368" s="4" t="str">
        <f t="shared" si="14"/>
        <v>LOW</v>
      </c>
      <c r="S368" s="2"/>
      <c r="T368" s="2"/>
      <c r="U368" s="2"/>
      <c r="V368" s="2"/>
      <c r="W368" s="2"/>
      <c r="X368" s="2"/>
      <c r="Y368" s="2"/>
      <c r="Z368" s="2"/>
    </row>
    <row r="369" spans="1:26" ht="16.8" x14ac:dyDescent="0.3">
      <c r="A369" s="4">
        <v>491</v>
      </c>
      <c r="B369" s="4" t="s">
        <v>43</v>
      </c>
      <c r="C369" s="4">
        <v>50</v>
      </c>
      <c r="D369" s="4" t="s">
        <v>45</v>
      </c>
      <c r="E369" s="4" t="s">
        <v>54</v>
      </c>
      <c r="F369" s="4">
        <v>10496</v>
      </c>
      <c r="G369" s="4" t="s">
        <v>43</v>
      </c>
      <c r="H369" s="4">
        <v>4</v>
      </c>
      <c r="I369" s="4">
        <v>1</v>
      </c>
      <c r="J369" s="4">
        <v>4</v>
      </c>
      <c r="K369" s="4">
        <v>3</v>
      </c>
      <c r="L369" s="4" t="str">
        <f t="shared" si="8"/>
        <v>NORMAL</v>
      </c>
      <c r="M369" s="4" t="str">
        <f t="shared" si="9"/>
        <v>MEDIUM</v>
      </c>
      <c r="N369" s="4" t="str">
        <f t="shared" si="10"/>
        <v>MID</v>
      </c>
      <c r="O369" s="4" t="str">
        <f t="shared" si="11"/>
        <v>RECENTLY PROMOTED</v>
      </c>
      <c r="P369" s="5" t="str">
        <f t="shared" si="12"/>
        <v>Medium_Pressure</v>
      </c>
      <c r="Q369" s="4" t="str">
        <f t="shared" si="13"/>
        <v>HIGHLY_ENGAGED</v>
      </c>
      <c r="R369" s="4" t="str">
        <f t="shared" si="14"/>
        <v>LOW</v>
      </c>
      <c r="S369" s="2"/>
      <c r="T369" s="2"/>
      <c r="U369" s="2"/>
      <c r="V369" s="2"/>
      <c r="W369" s="2"/>
      <c r="X369" s="2"/>
      <c r="Y369" s="2"/>
      <c r="Z369" s="2"/>
    </row>
    <row r="370" spans="1:26" ht="16.8" x14ac:dyDescent="0.3">
      <c r="A370" s="4">
        <v>492</v>
      </c>
      <c r="B370" s="4" t="s">
        <v>35</v>
      </c>
      <c r="C370" s="4">
        <v>40</v>
      </c>
      <c r="D370" s="4" t="s">
        <v>37</v>
      </c>
      <c r="E370" s="4" t="s">
        <v>40</v>
      </c>
      <c r="F370" s="4">
        <v>6380</v>
      </c>
      <c r="G370" s="4" t="s">
        <v>35</v>
      </c>
      <c r="H370" s="4">
        <v>6</v>
      </c>
      <c r="I370" s="4">
        <v>1</v>
      </c>
      <c r="J370" s="4">
        <v>3</v>
      </c>
      <c r="K370" s="4">
        <v>3</v>
      </c>
      <c r="L370" s="4" t="str">
        <f t="shared" si="8"/>
        <v>NORMAL</v>
      </c>
      <c r="M370" s="4" t="str">
        <f t="shared" si="9"/>
        <v>HIGH</v>
      </c>
      <c r="N370" s="4" t="str">
        <f t="shared" si="10"/>
        <v>MID</v>
      </c>
      <c r="O370" s="4" t="str">
        <f t="shared" si="11"/>
        <v>RECENTLY PROMOTED</v>
      </c>
      <c r="P370" s="5" t="str">
        <f t="shared" si="12"/>
        <v>Medium_Pressure</v>
      </c>
      <c r="Q370" s="4" t="str">
        <f t="shared" si="13"/>
        <v>HIGHLY_ENGAGED</v>
      </c>
      <c r="R370" s="4" t="str">
        <f t="shared" si="14"/>
        <v>LOW</v>
      </c>
      <c r="S370" s="2"/>
      <c r="T370" s="2"/>
      <c r="U370" s="2"/>
      <c r="V370" s="2"/>
      <c r="W370" s="2"/>
      <c r="X370" s="2"/>
      <c r="Y370" s="2"/>
      <c r="Z370" s="2"/>
    </row>
    <row r="371" spans="1:26" ht="16.8" x14ac:dyDescent="0.3">
      <c r="A371" s="4">
        <v>493</v>
      </c>
      <c r="B371" s="4" t="s">
        <v>43</v>
      </c>
      <c r="C371" s="4">
        <v>31</v>
      </c>
      <c r="D371" s="4" t="s">
        <v>45</v>
      </c>
      <c r="E371" s="4" t="s">
        <v>47</v>
      </c>
      <c r="F371" s="4">
        <v>2657</v>
      </c>
      <c r="G371" s="4" t="s">
        <v>35</v>
      </c>
      <c r="H371" s="4">
        <v>2</v>
      </c>
      <c r="I371" s="4">
        <v>2</v>
      </c>
      <c r="J371" s="4">
        <v>2</v>
      </c>
      <c r="K371" s="4">
        <v>3</v>
      </c>
      <c r="L371" s="4" t="str">
        <f t="shared" si="8"/>
        <v>NORMAL</v>
      </c>
      <c r="M371" s="4" t="str">
        <f t="shared" si="9"/>
        <v>LOW</v>
      </c>
      <c r="N371" s="4" t="str">
        <f t="shared" si="10"/>
        <v>NEW</v>
      </c>
      <c r="O371" s="4" t="str">
        <f t="shared" si="11"/>
        <v>MODERATE-WAIT</v>
      </c>
      <c r="P371" s="5" t="str">
        <f t="shared" si="12"/>
        <v>Medium_Pressure</v>
      </c>
      <c r="Q371" s="4" t="str">
        <f t="shared" si="13"/>
        <v>DISENGAGED</v>
      </c>
      <c r="R371" s="4" t="str">
        <f t="shared" si="14"/>
        <v>LOW</v>
      </c>
      <c r="S371" s="2"/>
      <c r="T371" s="2"/>
      <c r="U371" s="2"/>
      <c r="V371" s="2"/>
      <c r="W371" s="2"/>
      <c r="X371" s="2"/>
      <c r="Y371" s="2"/>
      <c r="Z371" s="2"/>
    </row>
    <row r="372" spans="1:26" ht="16.8" x14ac:dyDescent="0.3">
      <c r="A372" s="4">
        <v>494</v>
      </c>
      <c r="B372" s="4" t="s">
        <v>35</v>
      </c>
      <c r="C372" s="4">
        <v>21</v>
      </c>
      <c r="D372" s="4" t="s">
        <v>37</v>
      </c>
      <c r="E372" s="4" t="s">
        <v>57</v>
      </c>
      <c r="F372" s="4">
        <v>2716</v>
      </c>
      <c r="G372" s="4" t="s">
        <v>43</v>
      </c>
      <c r="H372" s="4">
        <v>1</v>
      </c>
      <c r="I372" s="4">
        <v>0</v>
      </c>
      <c r="J372" s="4">
        <v>2</v>
      </c>
      <c r="K372" s="4">
        <v>3</v>
      </c>
      <c r="L372" s="4" t="str">
        <f t="shared" si="8"/>
        <v>NORMAL</v>
      </c>
      <c r="M372" s="4" t="str">
        <f t="shared" si="9"/>
        <v>LOW</v>
      </c>
      <c r="N372" s="4" t="str">
        <f t="shared" si="10"/>
        <v>NEW</v>
      </c>
      <c r="O372" s="4" t="str">
        <f t="shared" si="11"/>
        <v>RECENTLY PROMOTED</v>
      </c>
      <c r="P372" s="5" t="str">
        <f t="shared" si="12"/>
        <v>Medium_Pressure</v>
      </c>
      <c r="Q372" s="4" t="str">
        <f t="shared" si="13"/>
        <v>DISENGAGED</v>
      </c>
      <c r="R372" s="4" t="str">
        <f t="shared" si="14"/>
        <v>LOW</v>
      </c>
      <c r="S372" s="2"/>
      <c r="T372" s="2"/>
      <c r="U372" s="2"/>
      <c r="V372" s="2"/>
      <c r="W372" s="2"/>
      <c r="X372" s="2"/>
      <c r="Y372" s="2"/>
      <c r="Z372" s="2"/>
    </row>
    <row r="373" spans="1:26" ht="16.8" x14ac:dyDescent="0.3">
      <c r="A373" s="4">
        <v>495</v>
      </c>
      <c r="B373" s="4" t="s">
        <v>43</v>
      </c>
      <c r="C373" s="4">
        <v>29</v>
      </c>
      <c r="D373" s="4" t="s">
        <v>45</v>
      </c>
      <c r="E373" s="4" t="s">
        <v>47</v>
      </c>
      <c r="F373" s="4">
        <v>2201</v>
      </c>
      <c r="G373" s="4" t="s">
        <v>43</v>
      </c>
      <c r="H373" s="4">
        <v>3</v>
      </c>
      <c r="I373" s="4">
        <v>1</v>
      </c>
      <c r="J373" s="4">
        <v>4</v>
      </c>
      <c r="K373" s="4">
        <v>3</v>
      </c>
      <c r="L373" s="4" t="str">
        <f t="shared" si="8"/>
        <v>NORMAL</v>
      </c>
      <c r="M373" s="4" t="str">
        <f t="shared" si="9"/>
        <v>LOW</v>
      </c>
      <c r="N373" s="4" t="str">
        <f t="shared" si="10"/>
        <v>MID</v>
      </c>
      <c r="O373" s="4" t="str">
        <f t="shared" si="11"/>
        <v>RECENTLY PROMOTED</v>
      </c>
      <c r="P373" s="5" t="str">
        <f t="shared" si="12"/>
        <v>Medium_Pressure</v>
      </c>
      <c r="Q373" s="4" t="str">
        <f t="shared" si="13"/>
        <v>HIGHLY_ENGAGED</v>
      </c>
      <c r="R373" s="4" t="str">
        <f t="shared" si="14"/>
        <v>LOW</v>
      </c>
      <c r="S373" s="2"/>
      <c r="T373" s="2"/>
      <c r="U373" s="2"/>
      <c r="V373" s="2"/>
      <c r="W373" s="2"/>
      <c r="X373" s="2"/>
      <c r="Y373" s="2"/>
      <c r="Z373" s="2"/>
    </row>
    <row r="374" spans="1:26" ht="16.8" x14ac:dyDescent="0.3">
      <c r="A374" s="4">
        <v>496</v>
      </c>
      <c r="B374" s="4" t="s">
        <v>43</v>
      </c>
      <c r="C374" s="4">
        <v>35</v>
      </c>
      <c r="D374" s="4" t="s">
        <v>45</v>
      </c>
      <c r="E374" s="4" t="s">
        <v>54</v>
      </c>
      <c r="F374" s="4">
        <v>6540</v>
      </c>
      <c r="G374" s="4" t="s">
        <v>43</v>
      </c>
      <c r="H374" s="4">
        <v>1</v>
      </c>
      <c r="I374" s="4">
        <v>0</v>
      </c>
      <c r="J374" s="4">
        <v>2</v>
      </c>
      <c r="K374" s="4">
        <v>3</v>
      </c>
      <c r="L374" s="4" t="str">
        <f t="shared" si="8"/>
        <v>NORMAL</v>
      </c>
      <c r="M374" s="4" t="str">
        <f t="shared" si="9"/>
        <v>HIGH</v>
      </c>
      <c r="N374" s="4" t="str">
        <f t="shared" si="10"/>
        <v>NEW</v>
      </c>
      <c r="O374" s="4" t="str">
        <f t="shared" si="11"/>
        <v>RECENTLY PROMOTED</v>
      </c>
      <c r="P374" s="5" t="str">
        <f t="shared" si="12"/>
        <v>Medium_Pressure</v>
      </c>
      <c r="Q374" s="4" t="str">
        <f t="shared" si="13"/>
        <v>DISENGAGED</v>
      </c>
      <c r="R374" s="4" t="str">
        <f t="shared" si="14"/>
        <v>LOW</v>
      </c>
      <c r="S374" s="2"/>
      <c r="T374" s="2"/>
      <c r="U374" s="2"/>
      <c r="V374" s="2"/>
      <c r="W374" s="2"/>
      <c r="X374" s="2"/>
      <c r="Y374" s="2"/>
      <c r="Z374" s="2"/>
    </row>
    <row r="375" spans="1:26" ht="16.8" x14ac:dyDescent="0.3">
      <c r="A375" s="4">
        <v>497</v>
      </c>
      <c r="B375" s="4" t="s">
        <v>43</v>
      </c>
      <c r="C375" s="4">
        <v>27</v>
      </c>
      <c r="D375" s="4" t="s">
        <v>45</v>
      </c>
      <c r="E375" s="4" t="s">
        <v>50</v>
      </c>
      <c r="F375" s="4">
        <v>3816</v>
      </c>
      <c r="G375" s="4" t="s">
        <v>43</v>
      </c>
      <c r="H375" s="4">
        <v>5</v>
      </c>
      <c r="I375" s="4">
        <v>0</v>
      </c>
      <c r="J375" s="4">
        <v>2</v>
      </c>
      <c r="K375" s="4">
        <v>3</v>
      </c>
      <c r="L375" s="4" t="str">
        <f t="shared" si="8"/>
        <v>NORMAL</v>
      </c>
      <c r="M375" s="4" t="str">
        <f t="shared" si="9"/>
        <v>LOW</v>
      </c>
      <c r="N375" s="4" t="str">
        <f t="shared" si="10"/>
        <v>MID</v>
      </c>
      <c r="O375" s="4" t="str">
        <f t="shared" si="11"/>
        <v>RECENTLY PROMOTED</v>
      </c>
      <c r="P375" s="5" t="str">
        <f t="shared" si="12"/>
        <v>Medium_Pressure</v>
      </c>
      <c r="Q375" s="4" t="str">
        <f t="shared" si="13"/>
        <v>DISENGAGED</v>
      </c>
      <c r="R375" s="4" t="str">
        <f t="shared" si="14"/>
        <v>LOW</v>
      </c>
      <c r="S375" s="2"/>
      <c r="T375" s="2"/>
      <c r="U375" s="2"/>
      <c r="V375" s="2"/>
      <c r="W375" s="2"/>
      <c r="X375" s="2"/>
      <c r="Y375" s="2"/>
      <c r="Z375" s="2"/>
    </row>
    <row r="376" spans="1:26" ht="16.8" x14ac:dyDescent="0.3">
      <c r="A376" s="4">
        <v>498</v>
      </c>
      <c r="B376" s="4" t="s">
        <v>43</v>
      </c>
      <c r="C376" s="4">
        <v>28</v>
      </c>
      <c r="D376" s="4" t="s">
        <v>37</v>
      </c>
      <c r="E376" s="4" t="s">
        <v>40</v>
      </c>
      <c r="F376" s="4">
        <v>5253</v>
      </c>
      <c r="G376" s="4" t="s">
        <v>43</v>
      </c>
      <c r="H376" s="4">
        <v>7</v>
      </c>
      <c r="I376" s="4">
        <v>0</v>
      </c>
      <c r="J376" s="4">
        <v>4</v>
      </c>
      <c r="K376" s="4">
        <v>3</v>
      </c>
      <c r="L376" s="4" t="str">
        <f t="shared" si="8"/>
        <v>NORMAL</v>
      </c>
      <c r="M376" s="4" t="str">
        <f t="shared" si="9"/>
        <v>HIGH</v>
      </c>
      <c r="N376" s="4" t="str">
        <f t="shared" si="10"/>
        <v>SENIOR</v>
      </c>
      <c r="O376" s="4" t="str">
        <f t="shared" si="11"/>
        <v>RECENTLY PROMOTED</v>
      </c>
      <c r="P376" s="5" t="str">
        <f t="shared" si="12"/>
        <v>Medium_Pressure</v>
      </c>
      <c r="Q376" s="4" t="str">
        <f t="shared" si="13"/>
        <v>HIGHLY_ENGAGED</v>
      </c>
      <c r="R376" s="4" t="str">
        <f t="shared" si="14"/>
        <v>LOW</v>
      </c>
      <c r="S376" s="2"/>
      <c r="T376" s="2"/>
      <c r="U376" s="2"/>
      <c r="V376" s="2"/>
      <c r="W376" s="2"/>
      <c r="X376" s="2"/>
      <c r="Y376" s="2"/>
      <c r="Z376" s="2"/>
    </row>
    <row r="377" spans="1:26" ht="16.8" x14ac:dyDescent="0.3">
      <c r="A377" s="4">
        <v>499</v>
      </c>
      <c r="B377" s="4" t="s">
        <v>43</v>
      </c>
      <c r="C377" s="4">
        <v>49</v>
      </c>
      <c r="D377" s="4" t="s">
        <v>45</v>
      </c>
      <c r="E377" s="4" t="s">
        <v>54</v>
      </c>
      <c r="F377" s="4">
        <v>10965</v>
      </c>
      <c r="G377" s="4" t="s">
        <v>43</v>
      </c>
      <c r="H377" s="4">
        <v>5</v>
      </c>
      <c r="I377" s="4">
        <v>0</v>
      </c>
      <c r="J377" s="4">
        <v>3</v>
      </c>
      <c r="K377" s="4">
        <v>3</v>
      </c>
      <c r="L377" s="4" t="str">
        <f t="shared" si="8"/>
        <v>NORMAL</v>
      </c>
      <c r="M377" s="4" t="str">
        <f t="shared" si="9"/>
        <v>MEDIUM</v>
      </c>
      <c r="N377" s="4" t="str">
        <f t="shared" si="10"/>
        <v>MID</v>
      </c>
      <c r="O377" s="4" t="str">
        <f t="shared" si="11"/>
        <v>RECENTLY PROMOTED</v>
      </c>
      <c r="P377" s="5" t="str">
        <f t="shared" si="12"/>
        <v>Medium_Pressure</v>
      </c>
      <c r="Q377" s="4" t="str">
        <f t="shared" si="13"/>
        <v>HIGHLY_ENGAGED</v>
      </c>
      <c r="R377" s="4" t="str">
        <f t="shared" si="14"/>
        <v>LOW</v>
      </c>
      <c r="S377" s="2"/>
      <c r="T377" s="2"/>
      <c r="U377" s="2"/>
      <c r="V377" s="2"/>
      <c r="W377" s="2"/>
      <c r="X377" s="2"/>
      <c r="Y377" s="2"/>
      <c r="Z377" s="2"/>
    </row>
    <row r="378" spans="1:26" ht="16.8" x14ac:dyDescent="0.3">
      <c r="A378" s="4">
        <v>500</v>
      </c>
      <c r="B378" s="4" t="s">
        <v>43</v>
      </c>
      <c r="C378" s="4">
        <v>51</v>
      </c>
      <c r="D378" s="4" t="s">
        <v>37</v>
      </c>
      <c r="E378" s="4" t="s">
        <v>40</v>
      </c>
      <c r="F378" s="4">
        <v>4936</v>
      </c>
      <c r="G378" s="4" t="s">
        <v>43</v>
      </c>
      <c r="H378" s="4">
        <v>7</v>
      </c>
      <c r="I378" s="4">
        <v>0</v>
      </c>
      <c r="J378" s="4">
        <v>4</v>
      </c>
      <c r="K378" s="4">
        <v>2</v>
      </c>
      <c r="L378" s="4" t="str">
        <f t="shared" si="8"/>
        <v>NORMAL</v>
      </c>
      <c r="M378" s="4" t="str">
        <f t="shared" si="9"/>
        <v>HIGH</v>
      </c>
      <c r="N378" s="4" t="str">
        <f t="shared" si="10"/>
        <v>SENIOR</v>
      </c>
      <c r="O378" s="4" t="str">
        <f t="shared" si="11"/>
        <v>RECENTLY PROMOTED</v>
      </c>
      <c r="P378" s="5" t="str">
        <f t="shared" si="12"/>
        <v>Low_Pressure</v>
      </c>
      <c r="Q378" s="4" t="str">
        <f t="shared" si="13"/>
        <v>DISENGAGED</v>
      </c>
      <c r="R378" s="4" t="str">
        <f t="shared" si="14"/>
        <v>LOW</v>
      </c>
      <c r="S378" s="2"/>
      <c r="T378" s="2"/>
      <c r="U378" s="2"/>
      <c r="V378" s="2"/>
      <c r="W378" s="2"/>
      <c r="X378" s="2"/>
      <c r="Y378" s="2"/>
      <c r="Z378" s="2"/>
    </row>
    <row r="379" spans="1:26" ht="16.8" x14ac:dyDescent="0.3">
      <c r="A379" s="4">
        <v>501</v>
      </c>
      <c r="B379" s="4" t="s">
        <v>43</v>
      </c>
      <c r="C379" s="4">
        <v>36</v>
      </c>
      <c r="D379" s="4" t="s">
        <v>45</v>
      </c>
      <c r="E379" s="4" t="s">
        <v>47</v>
      </c>
      <c r="F379" s="4">
        <v>2543</v>
      </c>
      <c r="G379" s="4" t="s">
        <v>43</v>
      </c>
      <c r="H379" s="4">
        <v>2</v>
      </c>
      <c r="I379" s="4">
        <v>2</v>
      </c>
      <c r="J379" s="4">
        <v>3</v>
      </c>
      <c r="K379" s="4">
        <v>3</v>
      </c>
      <c r="L379" s="4" t="str">
        <f t="shared" si="8"/>
        <v>NORMAL</v>
      </c>
      <c r="M379" s="4" t="str">
        <f t="shared" si="9"/>
        <v>LOW</v>
      </c>
      <c r="N379" s="4" t="str">
        <f t="shared" si="10"/>
        <v>NEW</v>
      </c>
      <c r="O379" s="4" t="str">
        <f t="shared" si="11"/>
        <v>MODERATE-WAIT</v>
      </c>
      <c r="P379" s="5" t="str">
        <f t="shared" si="12"/>
        <v>Medium_Pressure</v>
      </c>
      <c r="Q379" s="4" t="str">
        <f t="shared" si="13"/>
        <v>HIGHLY_ENGAGED</v>
      </c>
      <c r="R379" s="4" t="str">
        <f t="shared" si="14"/>
        <v>LOW</v>
      </c>
      <c r="S379" s="2"/>
      <c r="T379" s="2"/>
      <c r="U379" s="2"/>
      <c r="V379" s="2"/>
      <c r="W379" s="2"/>
      <c r="X379" s="2"/>
      <c r="Y379" s="2"/>
      <c r="Z379" s="2"/>
    </row>
    <row r="380" spans="1:26" ht="16.8" x14ac:dyDescent="0.3">
      <c r="A380" s="4">
        <v>502</v>
      </c>
      <c r="B380" s="4" t="s">
        <v>35</v>
      </c>
      <c r="C380" s="4">
        <v>34</v>
      </c>
      <c r="D380" s="4" t="s">
        <v>37</v>
      </c>
      <c r="E380" s="4" t="s">
        <v>40</v>
      </c>
      <c r="F380" s="4">
        <v>5304</v>
      </c>
      <c r="G380" s="4" t="s">
        <v>35</v>
      </c>
      <c r="H380" s="4">
        <v>5</v>
      </c>
      <c r="I380" s="4">
        <v>0</v>
      </c>
      <c r="J380" s="4">
        <v>4</v>
      </c>
      <c r="K380" s="4">
        <v>2</v>
      </c>
      <c r="L380" s="4" t="str">
        <f t="shared" si="8"/>
        <v>NORMAL</v>
      </c>
      <c r="M380" s="4" t="str">
        <f t="shared" si="9"/>
        <v>HIGH</v>
      </c>
      <c r="N380" s="4" t="str">
        <f t="shared" si="10"/>
        <v>MID</v>
      </c>
      <c r="O380" s="4" t="str">
        <f t="shared" si="11"/>
        <v>RECENTLY PROMOTED</v>
      </c>
      <c r="P380" s="5" t="str">
        <f t="shared" si="12"/>
        <v>High_Pressure</v>
      </c>
      <c r="Q380" s="4" t="str">
        <f t="shared" si="13"/>
        <v>DISENGAGED</v>
      </c>
      <c r="R380" s="4" t="str">
        <f t="shared" si="14"/>
        <v>LOW</v>
      </c>
      <c r="S380" s="2"/>
      <c r="T380" s="2"/>
      <c r="U380" s="2"/>
      <c r="V380" s="2"/>
      <c r="W380" s="2"/>
      <c r="X380" s="2"/>
      <c r="Y380" s="2"/>
      <c r="Z380" s="2"/>
    </row>
    <row r="381" spans="1:26" ht="16.8" x14ac:dyDescent="0.3">
      <c r="A381" s="4">
        <v>505</v>
      </c>
      <c r="B381" s="4" t="s">
        <v>43</v>
      </c>
      <c r="C381" s="4">
        <v>55</v>
      </c>
      <c r="D381" s="4" t="s">
        <v>45</v>
      </c>
      <c r="E381" s="4" t="s">
        <v>56</v>
      </c>
      <c r="F381" s="4">
        <v>16659</v>
      </c>
      <c r="G381" s="4" t="s">
        <v>35</v>
      </c>
      <c r="H381" s="4">
        <v>5</v>
      </c>
      <c r="I381" s="4">
        <v>1</v>
      </c>
      <c r="J381" s="4">
        <v>4</v>
      </c>
      <c r="K381" s="4">
        <v>3</v>
      </c>
      <c r="L381" s="4" t="str">
        <f t="shared" si="8"/>
        <v>NORMAL</v>
      </c>
      <c r="M381" s="4" t="str">
        <f t="shared" si="9"/>
        <v>MEDIUM</v>
      </c>
      <c r="N381" s="4" t="str">
        <f t="shared" si="10"/>
        <v>MID</v>
      </c>
      <c r="O381" s="4" t="str">
        <f t="shared" si="11"/>
        <v>RECENTLY PROMOTED</v>
      </c>
      <c r="P381" s="5" t="str">
        <f t="shared" si="12"/>
        <v>Medium_Pressure</v>
      </c>
      <c r="Q381" s="4" t="str">
        <f t="shared" si="13"/>
        <v>HIGHLY_ENGAGED</v>
      </c>
      <c r="R381" s="4" t="str">
        <f t="shared" si="14"/>
        <v>LOW</v>
      </c>
      <c r="S381" s="2"/>
      <c r="T381" s="2"/>
      <c r="U381" s="2"/>
      <c r="V381" s="2"/>
      <c r="W381" s="2"/>
      <c r="X381" s="2"/>
      <c r="Y381" s="2"/>
      <c r="Z381" s="2"/>
    </row>
    <row r="382" spans="1:26" ht="16.8" x14ac:dyDescent="0.3">
      <c r="A382" s="4">
        <v>507</v>
      </c>
      <c r="B382" s="4" t="s">
        <v>43</v>
      </c>
      <c r="C382" s="4">
        <v>24</v>
      </c>
      <c r="D382" s="4" t="s">
        <v>37</v>
      </c>
      <c r="E382" s="4" t="s">
        <v>40</v>
      </c>
      <c r="F382" s="4">
        <v>4260</v>
      </c>
      <c r="G382" s="4" t="s">
        <v>35</v>
      </c>
      <c r="H382" s="4">
        <v>5</v>
      </c>
      <c r="I382" s="4">
        <v>0</v>
      </c>
      <c r="J382" s="4">
        <v>3</v>
      </c>
      <c r="K382" s="4">
        <v>4</v>
      </c>
      <c r="L382" s="4" t="str">
        <f t="shared" si="8"/>
        <v>NORMAL</v>
      </c>
      <c r="M382" s="4" t="str">
        <f t="shared" si="9"/>
        <v>HIGH</v>
      </c>
      <c r="N382" s="4" t="str">
        <f t="shared" si="10"/>
        <v>MID</v>
      </c>
      <c r="O382" s="4" t="str">
        <f t="shared" si="11"/>
        <v>RECENTLY PROMOTED</v>
      </c>
      <c r="P382" s="5" t="str">
        <f t="shared" si="12"/>
        <v>Medium_Pressure</v>
      </c>
      <c r="Q382" s="4" t="str">
        <f t="shared" si="13"/>
        <v>HIGHLY_ENGAGED</v>
      </c>
      <c r="R382" s="4" t="str">
        <f t="shared" si="14"/>
        <v>LOW</v>
      </c>
      <c r="S382" s="2"/>
      <c r="T382" s="2"/>
      <c r="U382" s="2"/>
      <c r="V382" s="2"/>
      <c r="W382" s="2"/>
      <c r="X382" s="2"/>
      <c r="Y382" s="2"/>
      <c r="Z382" s="2"/>
    </row>
    <row r="383" spans="1:26" ht="16.8" x14ac:dyDescent="0.3">
      <c r="A383" s="4">
        <v>508</v>
      </c>
      <c r="B383" s="4" t="s">
        <v>43</v>
      </c>
      <c r="C383" s="4">
        <v>30</v>
      </c>
      <c r="D383" s="4" t="s">
        <v>37</v>
      </c>
      <c r="E383" s="4" t="s">
        <v>57</v>
      </c>
      <c r="F383" s="4">
        <v>2476</v>
      </c>
      <c r="G383" s="4" t="s">
        <v>43</v>
      </c>
      <c r="H383" s="4">
        <v>1</v>
      </c>
      <c r="I383" s="4">
        <v>0</v>
      </c>
      <c r="J383" s="4">
        <v>2</v>
      </c>
      <c r="K383" s="4">
        <v>3</v>
      </c>
      <c r="L383" s="4" t="str">
        <f t="shared" si="8"/>
        <v>NORMAL</v>
      </c>
      <c r="M383" s="4" t="str">
        <f t="shared" si="9"/>
        <v>LOW</v>
      </c>
      <c r="N383" s="4" t="str">
        <f t="shared" si="10"/>
        <v>NEW</v>
      </c>
      <c r="O383" s="4" t="str">
        <f t="shared" si="11"/>
        <v>RECENTLY PROMOTED</v>
      </c>
      <c r="P383" s="5" t="str">
        <f t="shared" si="12"/>
        <v>Medium_Pressure</v>
      </c>
      <c r="Q383" s="4" t="str">
        <f t="shared" si="13"/>
        <v>DISENGAGED</v>
      </c>
      <c r="R383" s="4" t="str">
        <f t="shared" si="14"/>
        <v>LOW</v>
      </c>
      <c r="S383" s="2"/>
      <c r="T383" s="2"/>
      <c r="U383" s="2"/>
      <c r="V383" s="2"/>
      <c r="W383" s="2"/>
      <c r="X383" s="2"/>
      <c r="Y383" s="2"/>
      <c r="Z383" s="2"/>
    </row>
    <row r="384" spans="1:26" ht="16.8" x14ac:dyDescent="0.3">
      <c r="A384" s="4">
        <v>510</v>
      </c>
      <c r="B384" s="4" t="s">
        <v>35</v>
      </c>
      <c r="C384" s="4">
        <v>26</v>
      </c>
      <c r="D384" s="4" t="s">
        <v>45</v>
      </c>
      <c r="E384" s="4" t="s">
        <v>47</v>
      </c>
      <c r="F384" s="4">
        <v>3102</v>
      </c>
      <c r="G384" s="4" t="s">
        <v>43</v>
      </c>
      <c r="H384" s="4">
        <v>6</v>
      </c>
      <c r="I384" s="4">
        <v>0</v>
      </c>
      <c r="J384" s="4">
        <v>1</v>
      </c>
      <c r="K384" s="4">
        <v>3</v>
      </c>
      <c r="L384" s="4" t="str">
        <f t="shared" si="8"/>
        <v>NORMAL</v>
      </c>
      <c r="M384" s="4" t="str">
        <f t="shared" si="9"/>
        <v>LOW</v>
      </c>
      <c r="N384" s="4" t="str">
        <f t="shared" si="10"/>
        <v>MID</v>
      </c>
      <c r="O384" s="4" t="str">
        <f t="shared" si="11"/>
        <v>RECENTLY PROMOTED</v>
      </c>
      <c r="P384" s="5" t="str">
        <f t="shared" si="12"/>
        <v>Medium_Pressure</v>
      </c>
      <c r="Q384" s="4" t="str">
        <f t="shared" si="13"/>
        <v>DISENGAGED</v>
      </c>
      <c r="R384" s="4" t="str">
        <f t="shared" si="14"/>
        <v>LOW</v>
      </c>
      <c r="S384" s="2"/>
      <c r="T384" s="2"/>
      <c r="U384" s="2"/>
      <c r="V384" s="2"/>
      <c r="W384" s="2"/>
      <c r="X384" s="2"/>
      <c r="Y384" s="2"/>
      <c r="Z384" s="2"/>
    </row>
    <row r="385" spans="1:26" ht="16.8" x14ac:dyDescent="0.3">
      <c r="A385" s="4">
        <v>511</v>
      </c>
      <c r="B385" s="4" t="s">
        <v>43</v>
      </c>
      <c r="C385" s="4">
        <v>22</v>
      </c>
      <c r="D385" s="4" t="s">
        <v>45</v>
      </c>
      <c r="E385" s="4" t="s">
        <v>47</v>
      </c>
      <c r="F385" s="4">
        <v>2244</v>
      </c>
      <c r="G385" s="4" t="s">
        <v>43</v>
      </c>
      <c r="H385" s="4">
        <v>2</v>
      </c>
      <c r="I385" s="4">
        <v>1</v>
      </c>
      <c r="J385" s="4">
        <v>2</v>
      </c>
      <c r="K385" s="4">
        <v>3</v>
      </c>
      <c r="L385" s="4" t="str">
        <f t="shared" si="8"/>
        <v>NORMAL</v>
      </c>
      <c r="M385" s="4" t="str">
        <f t="shared" si="9"/>
        <v>LOW</v>
      </c>
      <c r="N385" s="4" t="str">
        <f t="shared" si="10"/>
        <v>NEW</v>
      </c>
      <c r="O385" s="4" t="str">
        <f t="shared" si="11"/>
        <v>RECENTLY PROMOTED</v>
      </c>
      <c r="P385" s="5" t="str">
        <f t="shared" si="12"/>
        <v>Medium_Pressure</v>
      </c>
      <c r="Q385" s="4" t="str">
        <f t="shared" si="13"/>
        <v>DISENGAGED</v>
      </c>
      <c r="R385" s="4" t="str">
        <f t="shared" si="14"/>
        <v>LOW</v>
      </c>
      <c r="S385" s="2"/>
      <c r="T385" s="2"/>
      <c r="U385" s="2"/>
      <c r="V385" s="2"/>
      <c r="W385" s="2"/>
      <c r="X385" s="2"/>
      <c r="Y385" s="2"/>
      <c r="Z385" s="2"/>
    </row>
    <row r="386" spans="1:26" ht="16.8" x14ac:dyDescent="0.3">
      <c r="A386" s="4">
        <v>513</v>
      </c>
      <c r="B386" s="4" t="s">
        <v>43</v>
      </c>
      <c r="C386" s="4">
        <v>36</v>
      </c>
      <c r="D386" s="4" t="s">
        <v>37</v>
      </c>
      <c r="E386" s="4" t="s">
        <v>40</v>
      </c>
      <c r="F386" s="4">
        <v>7596</v>
      </c>
      <c r="G386" s="4" t="s">
        <v>43</v>
      </c>
      <c r="H386" s="4">
        <v>10</v>
      </c>
      <c r="I386" s="4">
        <v>9</v>
      </c>
      <c r="J386" s="4">
        <v>3</v>
      </c>
      <c r="K386" s="4">
        <v>3</v>
      </c>
      <c r="L386" s="4" t="str">
        <f t="shared" si="8"/>
        <v>NORMAL</v>
      </c>
      <c r="M386" s="4" t="str">
        <f t="shared" si="9"/>
        <v>HIGH</v>
      </c>
      <c r="N386" s="4" t="str">
        <f t="shared" si="10"/>
        <v>SENIOR</v>
      </c>
      <c r="O386" s="4" t="str">
        <f t="shared" si="11"/>
        <v>STAGNANT</v>
      </c>
      <c r="P386" s="5" t="str">
        <f t="shared" si="12"/>
        <v>Medium_Pressure</v>
      </c>
      <c r="Q386" s="4" t="str">
        <f t="shared" si="13"/>
        <v>HIGHLY_ENGAGED</v>
      </c>
      <c r="R386" s="4" t="str">
        <f t="shared" si="14"/>
        <v>LOW</v>
      </c>
      <c r="S386" s="2"/>
      <c r="T386" s="2"/>
      <c r="U386" s="2"/>
      <c r="V386" s="2"/>
      <c r="W386" s="2"/>
      <c r="X386" s="2"/>
      <c r="Y386" s="2"/>
      <c r="Z386" s="2"/>
    </row>
    <row r="387" spans="1:26" ht="16.8" x14ac:dyDescent="0.3">
      <c r="A387" s="4">
        <v>514</v>
      </c>
      <c r="B387" s="4" t="s">
        <v>35</v>
      </c>
      <c r="C387" s="4">
        <v>30</v>
      </c>
      <c r="D387" s="4" t="s">
        <v>45</v>
      </c>
      <c r="E387" s="4" t="s">
        <v>47</v>
      </c>
      <c r="F387" s="4">
        <v>2285</v>
      </c>
      <c r="G387" s="4" t="s">
        <v>35</v>
      </c>
      <c r="H387" s="4">
        <v>1</v>
      </c>
      <c r="I387" s="4">
        <v>0</v>
      </c>
      <c r="J387" s="4">
        <v>4</v>
      </c>
      <c r="K387" s="4">
        <v>3</v>
      </c>
      <c r="L387" s="4" t="str">
        <f t="shared" si="8"/>
        <v>NORMAL</v>
      </c>
      <c r="M387" s="4" t="str">
        <f t="shared" si="9"/>
        <v>LOW</v>
      </c>
      <c r="N387" s="4" t="str">
        <f t="shared" si="10"/>
        <v>NEW</v>
      </c>
      <c r="O387" s="4" t="str">
        <f t="shared" si="11"/>
        <v>RECENTLY PROMOTED</v>
      </c>
      <c r="P387" s="5" t="str">
        <f t="shared" si="12"/>
        <v>Medium_Pressure</v>
      </c>
      <c r="Q387" s="4" t="str">
        <f t="shared" si="13"/>
        <v>HIGHLY_ENGAGED</v>
      </c>
      <c r="R387" s="4" t="str">
        <f t="shared" si="14"/>
        <v>LOW</v>
      </c>
      <c r="S387" s="2"/>
      <c r="T387" s="2"/>
      <c r="U387" s="2"/>
      <c r="V387" s="2"/>
      <c r="W387" s="2"/>
      <c r="X387" s="2"/>
      <c r="Y387" s="2"/>
      <c r="Z387" s="2"/>
    </row>
    <row r="388" spans="1:26" ht="16.8" x14ac:dyDescent="0.3">
      <c r="A388" s="4">
        <v>515</v>
      </c>
      <c r="B388" s="4" t="s">
        <v>43</v>
      </c>
      <c r="C388" s="4">
        <v>37</v>
      </c>
      <c r="D388" s="4" t="s">
        <v>45</v>
      </c>
      <c r="E388" s="4" t="s">
        <v>50</v>
      </c>
      <c r="F388" s="4">
        <v>3034</v>
      </c>
      <c r="G388" s="4" t="s">
        <v>43</v>
      </c>
      <c r="H388" s="4">
        <v>18</v>
      </c>
      <c r="I388" s="4">
        <v>12</v>
      </c>
      <c r="J388" s="4">
        <v>1</v>
      </c>
      <c r="K388" s="4">
        <v>2</v>
      </c>
      <c r="L388" s="4" t="str">
        <f t="shared" si="8"/>
        <v>NORMAL</v>
      </c>
      <c r="M388" s="4" t="str">
        <f t="shared" si="9"/>
        <v>LOW</v>
      </c>
      <c r="N388" s="4" t="str">
        <f t="shared" si="10"/>
        <v>SENIOR</v>
      </c>
      <c r="O388" s="4" t="str">
        <f t="shared" si="11"/>
        <v>STAGNANT</v>
      </c>
      <c r="P388" s="5" t="str">
        <f t="shared" si="12"/>
        <v>Low_Pressure</v>
      </c>
      <c r="Q388" s="4" t="str">
        <f t="shared" si="13"/>
        <v>DISENGAGED</v>
      </c>
      <c r="R388" s="4" t="str">
        <f t="shared" si="14"/>
        <v>LOW</v>
      </c>
      <c r="S388" s="2"/>
      <c r="T388" s="2"/>
      <c r="U388" s="2"/>
      <c r="V388" s="2"/>
      <c r="W388" s="2"/>
      <c r="X388" s="2"/>
      <c r="Y388" s="2"/>
      <c r="Z388" s="2"/>
    </row>
    <row r="389" spans="1:26" ht="16.8" x14ac:dyDescent="0.3">
      <c r="A389" s="4">
        <v>516</v>
      </c>
      <c r="B389" s="4" t="s">
        <v>43</v>
      </c>
      <c r="C389" s="4">
        <v>40</v>
      </c>
      <c r="D389" s="4" t="s">
        <v>37</v>
      </c>
      <c r="E389" s="4" t="s">
        <v>40</v>
      </c>
      <c r="F389" s="4">
        <v>5715</v>
      </c>
      <c r="G389" s="4" t="s">
        <v>43</v>
      </c>
      <c r="H389" s="4">
        <v>5</v>
      </c>
      <c r="I389" s="4">
        <v>1</v>
      </c>
      <c r="J389" s="4">
        <v>2</v>
      </c>
      <c r="K389" s="4">
        <v>3</v>
      </c>
      <c r="L389" s="4" t="str">
        <f t="shared" si="8"/>
        <v>NORMAL</v>
      </c>
      <c r="M389" s="4" t="str">
        <f t="shared" si="9"/>
        <v>HIGH</v>
      </c>
      <c r="N389" s="4" t="str">
        <f t="shared" si="10"/>
        <v>MID</v>
      </c>
      <c r="O389" s="4" t="str">
        <f t="shared" si="11"/>
        <v>RECENTLY PROMOTED</v>
      </c>
      <c r="P389" s="5" t="str">
        <f t="shared" si="12"/>
        <v>Medium_Pressure</v>
      </c>
      <c r="Q389" s="4" t="str">
        <f t="shared" si="13"/>
        <v>DISENGAGED</v>
      </c>
      <c r="R389" s="4" t="str">
        <f t="shared" si="14"/>
        <v>LOW</v>
      </c>
      <c r="S389" s="2"/>
      <c r="T389" s="2"/>
      <c r="U389" s="2"/>
      <c r="V389" s="2"/>
      <c r="W389" s="2"/>
      <c r="X389" s="2"/>
      <c r="Y389" s="2"/>
      <c r="Z389" s="2"/>
    </row>
    <row r="390" spans="1:26" ht="16.8" x14ac:dyDescent="0.3">
      <c r="A390" s="4">
        <v>517</v>
      </c>
      <c r="B390" s="4" t="s">
        <v>43</v>
      </c>
      <c r="C390" s="4">
        <v>42</v>
      </c>
      <c r="D390" s="4" t="s">
        <v>45</v>
      </c>
      <c r="E390" s="4" t="s">
        <v>50</v>
      </c>
      <c r="F390" s="4">
        <v>2576</v>
      </c>
      <c r="G390" s="4" t="s">
        <v>43</v>
      </c>
      <c r="H390" s="4">
        <v>5</v>
      </c>
      <c r="I390" s="4">
        <v>1</v>
      </c>
      <c r="J390" s="4">
        <v>1</v>
      </c>
      <c r="K390" s="4">
        <v>3</v>
      </c>
      <c r="L390" s="4" t="str">
        <f t="shared" si="8"/>
        <v>NORMAL</v>
      </c>
      <c r="M390" s="4" t="str">
        <f t="shared" si="9"/>
        <v>LOW</v>
      </c>
      <c r="N390" s="4" t="str">
        <f t="shared" si="10"/>
        <v>MID</v>
      </c>
      <c r="O390" s="4" t="str">
        <f t="shared" si="11"/>
        <v>RECENTLY PROMOTED</v>
      </c>
      <c r="P390" s="5" t="str">
        <f t="shared" si="12"/>
        <v>Medium_Pressure</v>
      </c>
      <c r="Q390" s="4" t="str">
        <f t="shared" si="13"/>
        <v>DISENGAGED</v>
      </c>
      <c r="R390" s="4" t="str">
        <f t="shared" si="14"/>
        <v>LOW</v>
      </c>
      <c r="S390" s="2"/>
      <c r="T390" s="2"/>
      <c r="U390" s="2"/>
      <c r="V390" s="2"/>
      <c r="W390" s="2"/>
      <c r="X390" s="2"/>
      <c r="Y390" s="2"/>
      <c r="Z390" s="2"/>
    </row>
    <row r="391" spans="1:26" ht="16.8" x14ac:dyDescent="0.3">
      <c r="A391" s="4">
        <v>518</v>
      </c>
      <c r="B391" s="4" t="s">
        <v>43</v>
      </c>
      <c r="C391" s="4">
        <v>37</v>
      </c>
      <c r="D391" s="4" t="s">
        <v>45</v>
      </c>
      <c r="E391" s="4" t="s">
        <v>53</v>
      </c>
      <c r="F391" s="4">
        <v>4197</v>
      </c>
      <c r="G391" s="4" t="s">
        <v>35</v>
      </c>
      <c r="H391" s="4">
        <v>1</v>
      </c>
      <c r="I391" s="4">
        <v>0</v>
      </c>
      <c r="J391" s="4">
        <v>2</v>
      </c>
      <c r="K391" s="4">
        <v>2</v>
      </c>
      <c r="L391" s="4" t="str">
        <f t="shared" si="8"/>
        <v>NORMAL</v>
      </c>
      <c r="M391" s="4" t="str">
        <f t="shared" si="9"/>
        <v>HIGH</v>
      </c>
      <c r="N391" s="4" t="str">
        <f t="shared" si="10"/>
        <v>NEW</v>
      </c>
      <c r="O391" s="4" t="str">
        <f t="shared" si="11"/>
        <v>RECENTLY PROMOTED</v>
      </c>
      <c r="P391" s="5" t="str">
        <f t="shared" si="12"/>
        <v>High_Pressure</v>
      </c>
      <c r="Q391" s="4" t="str">
        <f t="shared" si="13"/>
        <v>DISENGAGED</v>
      </c>
      <c r="R391" s="4" t="str">
        <f t="shared" si="14"/>
        <v>LOW</v>
      </c>
      <c r="S391" s="2"/>
      <c r="T391" s="2"/>
      <c r="U391" s="2"/>
      <c r="V391" s="2"/>
      <c r="W391" s="2"/>
      <c r="X391" s="2"/>
      <c r="Y391" s="2"/>
      <c r="Z391" s="2"/>
    </row>
    <row r="392" spans="1:26" ht="16.8" x14ac:dyDescent="0.3">
      <c r="A392" s="4">
        <v>520</v>
      </c>
      <c r="B392" s="4" t="s">
        <v>43</v>
      </c>
      <c r="C392" s="4">
        <v>43</v>
      </c>
      <c r="D392" s="4" t="s">
        <v>45</v>
      </c>
      <c r="E392" s="4" t="s">
        <v>58</v>
      </c>
      <c r="F392" s="4">
        <v>14336</v>
      </c>
      <c r="G392" s="4" t="s">
        <v>43</v>
      </c>
      <c r="H392" s="4">
        <v>25</v>
      </c>
      <c r="I392" s="4">
        <v>3</v>
      </c>
      <c r="J392" s="4">
        <v>2</v>
      </c>
      <c r="K392" s="4">
        <v>3</v>
      </c>
      <c r="L392" s="4" t="str">
        <f t="shared" si="8"/>
        <v>NORMAL</v>
      </c>
      <c r="M392" s="4" t="str">
        <f t="shared" si="9"/>
        <v>MEDIUM</v>
      </c>
      <c r="N392" s="4" t="str">
        <f t="shared" si="10"/>
        <v>SENIOR</v>
      </c>
      <c r="O392" s="4" t="str">
        <f t="shared" si="11"/>
        <v>MODERATE-WAIT</v>
      </c>
      <c r="P392" s="5" t="str">
        <f t="shared" si="12"/>
        <v>Medium_Pressure</v>
      </c>
      <c r="Q392" s="4" t="str">
        <f t="shared" si="13"/>
        <v>DISENGAGED</v>
      </c>
      <c r="R392" s="4" t="str">
        <f t="shared" si="14"/>
        <v>LOW</v>
      </c>
      <c r="S392" s="2"/>
      <c r="T392" s="2"/>
      <c r="U392" s="2"/>
      <c r="V392" s="2"/>
      <c r="W392" s="2"/>
      <c r="X392" s="2"/>
      <c r="Y392" s="2"/>
      <c r="Z392" s="2"/>
    </row>
    <row r="393" spans="1:26" ht="16.8" x14ac:dyDescent="0.3">
      <c r="A393" s="4">
        <v>521</v>
      </c>
      <c r="B393" s="4" t="s">
        <v>43</v>
      </c>
      <c r="C393" s="4">
        <v>40</v>
      </c>
      <c r="D393" s="4" t="s">
        <v>45</v>
      </c>
      <c r="E393" s="4" t="s">
        <v>50</v>
      </c>
      <c r="F393" s="4">
        <v>3448</v>
      </c>
      <c r="G393" s="4" t="s">
        <v>43</v>
      </c>
      <c r="H393" s="4">
        <v>1</v>
      </c>
      <c r="I393" s="4">
        <v>0</v>
      </c>
      <c r="J393" s="4">
        <v>3</v>
      </c>
      <c r="K393" s="4">
        <v>3</v>
      </c>
      <c r="L393" s="4" t="str">
        <f t="shared" si="8"/>
        <v>NORMAL</v>
      </c>
      <c r="M393" s="4" t="str">
        <f t="shared" si="9"/>
        <v>LOW</v>
      </c>
      <c r="N393" s="4" t="str">
        <f t="shared" si="10"/>
        <v>NEW</v>
      </c>
      <c r="O393" s="4" t="str">
        <f t="shared" si="11"/>
        <v>RECENTLY PROMOTED</v>
      </c>
      <c r="P393" s="5" t="str">
        <f t="shared" si="12"/>
        <v>Medium_Pressure</v>
      </c>
      <c r="Q393" s="4" t="str">
        <f t="shared" si="13"/>
        <v>HIGHLY_ENGAGED</v>
      </c>
      <c r="R393" s="4" t="str">
        <f t="shared" si="14"/>
        <v>LOW</v>
      </c>
      <c r="S393" s="2"/>
      <c r="T393" s="2"/>
      <c r="U393" s="2"/>
      <c r="V393" s="2"/>
      <c r="W393" s="2"/>
      <c r="X393" s="2"/>
      <c r="Y393" s="2"/>
      <c r="Z393" s="2"/>
    </row>
    <row r="394" spans="1:26" ht="16.8" x14ac:dyDescent="0.3">
      <c r="A394" s="4">
        <v>522</v>
      </c>
      <c r="B394" s="4" t="s">
        <v>43</v>
      </c>
      <c r="C394" s="4">
        <v>54</v>
      </c>
      <c r="D394" s="4" t="s">
        <v>45</v>
      </c>
      <c r="E394" s="4" t="s">
        <v>58</v>
      </c>
      <c r="F394" s="4">
        <v>19406</v>
      </c>
      <c r="G394" s="4" t="s">
        <v>43</v>
      </c>
      <c r="H394" s="4">
        <v>4</v>
      </c>
      <c r="I394" s="4">
        <v>1</v>
      </c>
      <c r="J394" s="4">
        <v>1</v>
      </c>
      <c r="K394" s="4">
        <v>2</v>
      </c>
      <c r="L394" s="4" t="str">
        <f t="shared" si="8"/>
        <v>NORMAL</v>
      </c>
      <c r="M394" s="4" t="str">
        <f t="shared" si="9"/>
        <v>MEDIUM</v>
      </c>
      <c r="N394" s="4" t="str">
        <f t="shared" si="10"/>
        <v>MID</v>
      </c>
      <c r="O394" s="4" t="str">
        <f t="shared" si="11"/>
        <v>RECENTLY PROMOTED</v>
      </c>
      <c r="P394" s="5" t="str">
        <f t="shared" si="12"/>
        <v>Low_Pressure</v>
      </c>
      <c r="Q394" s="4" t="str">
        <f t="shared" si="13"/>
        <v>DISENGAGED</v>
      </c>
      <c r="R394" s="4" t="str">
        <f t="shared" si="14"/>
        <v>LOW</v>
      </c>
      <c r="S394" s="2"/>
      <c r="T394" s="2"/>
      <c r="U394" s="2"/>
      <c r="V394" s="2"/>
      <c r="W394" s="2"/>
      <c r="X394" s="2"/>
      <c r="Y394" s="2"/>
      <c r="Z394" s="2"/>
    </row>
    <row r="395" spans="1:26" ht="16.8" x14ac:dyDescent="0.3">
      <c r="A395" s="4">
        <v>523</v>
      </c>
      <c r="B395" s="4" t="s">
        <v>43</v>
      </c>
      <c r="C395" s="4">
        <v>34</v>
      </c>
      <c r="D395" s="4" t="s">
        <v>37</v>
      </c>
      <c r="E395" s="4" t="s">
        <v>40</v>
      </c>
      <c r="F395" s="4">
        <v>6538</v>
      </c>
      <c r="G395" s="4" t="s">
        <v>43</v>
      </c>
      <c r="H395" s="4">
        <v>3</v>
      </c>
      <c r="I395" s="4">
        <v>1</v>
      </c>
      <c r="J395" s="4">
        <v>3</v>
      </c>
      <c r="K395" s="4">
        <v>3</v>
      </c>
      <c r="L395" s="4" t="str">
        <f t="shared" si="8"/>
        <v>NORMAL</v>
      </c>
      <c r="M395" s="4" t="str">
        <f t="shared" si="9"/>
        <v>HIGH</v>
      </c>
      <c r="N395" s="4" t="str">
        <f t="shared" si="10"/>
        <v>MID</v>
      </c>
      <c r="O395" s="4" t="str">
        <f t="shared" si="11"/>
        <v>RECENTLY PROMOTED</v>
      </c>
      <c r="P395" s="5" t="str">
        <f t="shared" si="12"/>
        <v>Medium_Pressure</v>
      </c>
      <c r="Q395" s="4" t="str">
        <f t="shared" si="13"/>
        <v>HIGHLY_ENGAGED</v>
      </c>
      <c r="R395" s="4" t="str">
        <f t="shared" si="14"/>
        <v>LOW</v>
      </c>
      <c r="S395" s="2"/>
      <c r="T395" s="2"/>
      <c r="U395" s="2"/>
      <c r="V395" s="2"/>
      <c r="W395" s="2"/>
      <c r="X395" s="2"/>
      <c r="Y395" s="2"/>
      <c r="Z395" s="2"/>
    </row>
    <row r="396" spans="1:26" ht="16.8" x14ac:dyDescent="0.3">
      <c r="A396" s="4">
        <v>524</v>
      </c>
      <c r="B396" s="4" t="s">
        <v>43</v>
      </c>
      <c r="C396" s="4">
        <v>31</v>
      </c>
      <c r="D396" s="4" t="s">
        <v>45</v>
      </c>
      <c r="E396" s="4" t="s">
        <v>53</v>
      </c>
      <c r="F396" s="4">
        <v>4306</v>
      </c>
      <c r="G396" s="4" t="s">
        <v>43</v>
      </c>
      <c r="H396" s="4">
        <v>13</v>
      </c>
      <c r="I396" s="4">
        <v>3</v>
      </c>
      <c r="J396" s="4">
        <v>1</v>
      </c>
      <c r="K396" s="4">
        <v>1</v>
      </c>
      <c r="L396" s="4" t="str">
        <f t="shared" si="8"/>
        <v>NORMAL</v>
      </c>
      <c r="M396" s="4" t="str">
        <f t="shared" si="9"/>
        <v>HIGH</v>
      </c>
      <c r="N396" s="4" t="str">
        <f t="shared" si="10"/>
        <v>SENIOR</v>
      </c>
      <c r="O396" s="4" t="str">
        <f t="shared" si="11"/>
        <v>MODERATE-WAIT</v>
      </c>
      <c r="P396" s="5" t="str">
        <f t="shared" si="12"/>
        <v>Low_Pressure</v>
      </c>
      <c r="Q396" s="4" t="str">
        <f t="shared" si="13"/>
        <v>DISENGAGED</v>
      </c>
      <c r="R396" s="4" t="str">
        <f t="shared" si="14"/>
        <v>LOW</v>
      </c>
      <c r="S396" s="2"/>
      <c r="T396" s="2"/>
      <c r="U396" s="2"/>
      <c r="V396" s="2"/>
      <c r="W396" s="2"/>
      <c r="X396" s="2"/>
      <c r="Y396" s="2"/>
      <c r="Z396" s="2"/>
    </row>
    <row r="397" spans="1:26" ht="16.8" x14ac:dyDescent="0.3">
      <c r="A397" s="4">
        <v>525</v>
      </c>
      <c r="B397" s="4" t="s">
        <v>43</v>
      </c>
      <c r="C397" s="4">
        <v>43</v>
      </c>
      <c r="D397" s="4" t="s">
        <v>45</v>
      </c>
      <c r="E397" s="4" t="s">
        <v>50</v>
      </c>
      <c r="F397" s="4">
        <v>2258</v>
      </c>
      <c r="G397" s="4" t="s">
        <v>43</v>
      </c>
      <c r="H397" s="4">
        <v>3</v>
      </c>
      <c r="I397" s="4">
        <v>1</v>
      </c>
      <c r="J397" s="4">
        <v>4</v>
      </c>
      <c r="K397" s="4">
        <v>3</v>
      </c>
      <c r="L397" s="4" t="str">
        <f t="shared" si="8"/>
        <v>NORMAL</v>
      </c>
      <c r="M397" s="4" t="str">
        <f t="shared" si="9"/>
        <v>LOW</v>
      </c>
      <c r="N397" s="4" t="str">
        <f t="shared" si="10"/>
        <v>MID</v>
      </c>
      <c r="O397" s="4" t="str">
        <f t="shared" si="11"/>
        <v>RECENTLY PROMOTED</v>
      </c>
      <c r="P397" s="5" t="str">
        <f t="shared" si="12"/>
        <v>Medium_Pressure</v>
      </c>
      <c r="Q397" s="4" t="str">
        <f t="shared" si="13"/>
        <v>HIGHLY_ENGAGED</v>
      </c>
      <c r="R397" s="4" t="str">
        <f t="shared" si="14"/>
        <v>LOW</v>
      </c>
      <c r="S397" s="2"/>
      <c r="T397" s="2"/>
      <c r="U397" s="2"/>
      <c r="V397" s="2"/>
      <c r="W397" s="2"/>
      <c r="X397" s="2"/>
      <c r="Y397" s="2"/>
      <c r="Z397" s="2"/>
    </row>
    <row r="398" spans="1:26" ht="16.8" x14ac:dyDescent="0.3">
      <c r="A398" s="4">
        <v>526</v>
      </c>
      <c r="B398" s="4" t="s">
        <v>43</v>
      </c>
      <c r="C398" s="4">
        <v>43</v>
      </c>
      <c r="D398" s="4" t="s">
        <v>45</v>
      </c>
      <c r="E398" s="4" t="s">
        <v>54</v>
      </c>
      <c r="F398" s="4">
        <v>4522</v>
      </c>
      <c r="G398" s="4" t="s">
        <v>35</v>
      </c>
      <c r="H398" s="4">
        <v>5</v>
      </c>
      <c r="I398" s="4">
        <v>0</v>
      </c>
      <c r="J398" s="4">
        <v>3</v>
      </c>
      <c r="K398" s="4">
        <v>3</v>
      </c>
      <c r="L398" s="4" t="str">
        <f t="shared" si="8"/>
        <v>NORMAL</v>
      </c>
      <c r="M398" s="4" t="str">
        <f t="shared" si="9"/>
        <v>HIGH</v>
      </c>
      <c r="N398" s="4" t="str">
        <f t="shared" si="10"/>
        <v>MID</v>
      </c>
      <c r="O398" s="4" t="str">
        <f t="shared" si="11"/>
        <v>RECENTLY PROMOTED</v>
      </c>
      <c r="P398" s="5" t="str">
        <f t="shared" si="12"/>
        <v>Medium_Pressure</v>
      </c>
      <c r="Q398" s="4" t="str">
        <f t="shared" si="13"/>
        <v>HIGHLY_ENGAGED</v>
      </c>
      <c r="R398" s="4" t="str">
        <f t="shared" si="14"/>
        <v>LOW</v>
      </c>
      <c r="S398" s="2"/>
      <c r="T398" s="2"/>
      <c r="U398" s="2"/>
      <c r="V398" s="2"/>
      <c r="W398" s="2"/>
      <c r="X398" s="2"/>
      <c r="Y398" s="2"/>
      <c r="Z398" s="2"/>
    </row>
    <row r="399" spans="1:26" ht="16.8" x14ac:dyDescent="0.3">
      <c r="A399" s="4">
        <v>527</v>
      </c>
      <c r="B399" s="4" t="s">
        <v>43</v>
      </c>
      <c r="C399" s="4">
        <v>25</v>
      </c>
      <c r="D399" s="4" t="s">
        <v>37</v>
      </c>
      <c r="E399" s="4" t="s">
        <v>40</v>
      </c>
      <c r="F399" s="4">
        <v>4487</v>
      </c>
      <c r="G399" s="4" t="s">
        <v>35</v>
      </c>
      <c r="H399" s="4">
        <v>5</v>
      </c>
      <c r="I399" s="4">
        <v>1</v>
      </c>
      <c r="J399" s="4">
        <v>4</v>
      </c>
      <c r="K399" s="4">
        <v>3</v>
      </c>
      <c r="L399" s="4" t="str">
        <f t="shared" si="8"/>
        <v>NORMAL</v>
      </c>
      <c r="M399" s="4" t="str">
        <f t="shared" si="9"/>
        <v>HIGH</v>
      </c>
      <c r="N399" s="4" t="str">
        <f t="shared" si="10"/>
        <v>MID</v>
      </c>
      <c r="O399" s="4" t="str">
        <f t="shared" si="11"/>
        <v>RECENTLY PROMOTED</v>
      </c>
      <c r="P399" s="5" t="str">
        <f t="shared" si="12"/>
        <v>Medium_Pressure</v>
      </c>
      <c r="Q399" s="4" t="str">
        <f t="shared" si="13"/>
        <v>HIGHLY_ENGAGED</v>
      </c>
      <c r="R399" s="4" t="str">
        <f t="shared" si="14"/>
        <v>LOW</v>
      </c>
      <c r="S399" s="2"/>
      <c r="T399" s="2"/>
      <c r="U399" s="2"/>
      <c r="V399" s="2"/>
      <c r="W399" s="2"/>
      <c r="X399" s="2"/>
      <c r="Y399" s="2"/>
      <c r="Z399" s="2"/>
    </row>
    <row r="400" spans="1:26" ht="16.8" x14ac:dyDescent="0.3">
      <c r="A400" s="4">
        <v>529</v>
      </c>
      <c r="B400" s="4" t="s">
        <v>43</v>
      </c>
      <c r="C400" s="4">
        <v>37</v>
      </c>
      <c r="D400" s="4" t="s">
        <v>45</v>
      </c>
      <c r="E400" s="4" t="s">
        <v>47</v>
      </c>
      <c r="F400" s="4">
        <v>4449</v>
      </c>
      <c r="G400" s="4" t="s">
        <v>35</v>
      </c>
      <c r="H400" s="4">
        <v>13</v>
      </c>
      <c r="I400" s="4">
        <v>10</v>
      </c>
      <c r="J400" s="4">
        <v>3</v>
      </c>
      <c r="K400" s="4">
        <v>3</v>
      </c>
      <c r="L400" s="4" t="str">
        <f t="shared" si="8"/>
        <v>NORMAL</v>
      </c>
      <c r="M400" s="4" t="str">
        <f t="shared" si="9"/>
        <v>HIGH</v>
      </c>
      <c r="N400" s="4" t="str">
        <f t="shared" si="10"/>
        <v>SENIOR</v>
      </c>
      <c r="O400" s="4" t="str">
        <f t="shared" si="11"/>
        <v>STAGNANT</v>
      </c>
      <c r="P400" s="5" t="str">
        <f t="shared" si="12"/>
        <v>Medium_Pressure</v>
      </c>
      <c r="Q400" s="4" t="str">
        <f t="shared" si="13"/>
        <v>HIGHLY_ENGAGED</v>
      </c>
      <c r="R400" s="4" t="str">
        <f t="shared" si="14"/>
        <v>LOW</v>
      </c>
      <c r="S400" s="2"/>
      <c r="T400" s="2"/>
      <c r="U400" s="2"/>
      <c r="V400" s="2"/>
      <c r="W400" s="2"/>
      <c r="X400" s="2"/>
      <c r="Y400" s="2"/>
      <c r="Z400" s="2"/>
    </row>
    <row r="401" spans="1:26" ht="16.8" x14ac:dyDescent="0.3">
      <c r="A401" s="4">
        <v>530</v>
      </c>
      <c r="B401" s="4" t="s">
        <v>43</v>
      </c>
      <c r="C401" s="4">
        <v>31</v>
      </c>
      <c r="D401" s="4" t="s">
        <v>45</v>
      </c>
      <c r="E401" s="4" t="s">
        <v>50</v>
      </c>
      <c r="F401" s="4">
        <v>2218</v>
      </c>
      <c r="G401" s="4" t="s">
        <v>43</v>
      </c>
      <c r="H401" s="4">
        <v>4</v>
      </c>
      <c r="I401" s="4">
        <v>3</v>
      </c>
      <c r="J401" s="4">
        <v>1</v>
      </c>
      <c r="K401" s="4">
        <v>3</v>
      </c>
      <c r="L401" s="4" t="str">
        <f t="shared" si="8"/>
        <v>NORMAL</v>
      </c>
      <c r="M401" s="4" t="str">
        <f t="shared" si="9"/>
        <v>LOW</v>
      </c>
      <c r="N401" s="4" t="str">
        <f t="shared" si="10"/>
        <v>MID</v>
      </c>
      <c r="O401" s="4" t="str">
        <f t="shared" si="11"/>
        <v>MODERATE-WAIT</v>
      </c>
      <c r="P401" s="5" t="str">
        <f t="shared" si="12"/>
        <v>Medium_Pressure</v>
      </c>
      <c r="Q401" s="4" t="str">
        <f t="shared" si="13"/>
        <v>DISENGAGED</v>
      </c>
      <c r="R401" s="4" t="str">
        <f t="shared" si="14"/>
        <v>LOW</v>
      </c>
      <c r="S401" s="2"/>
      <c r="T401" s="2"/>
      <c r="U401" s="2"/>
      <c r="V401" s="2"/>
      <c r="W401" s="2"/>
      <c r="X401" s="2"/>
      <c r="Y401" s="2"/>
      <c r="Z401" s="2"/>
    </row>
    <row r="402" spans="1:26" ht="16.8" x14ac:dyDescent="0.3">
      <c r="A402" s="4">
        <v>531</v>
      </c>
      <c r="B402" s="4" t="s">
        <v>43</v>
      </c>
      <c r="C402" s="4">
        <v>39</v>
      </c>
      <c r="D402" s="4" t="s">
        <v>45</v>
      </c>
      <c r="E402" s="4" t="s">
        <v>56</v>
      </c>
      <c r="F402" s="4">
        <v>19197</v>
      </c>
      <c r="G402" s="4" t="s">
        <v>35</v>
      </c>
      <c r="H402" s="4">
        <v>21</v>
      </c>
      <c r="I402" s="4">
        <v>1</v>
      </c>
      <c r="J402" s="4">
        <v>3</v>
      </c>
      <c r="K402" s="4">
        <v>3</v>
      </c>
      <c r="L402" s="4" t="str">
        <f t="shared" si="8"/>
        <v>NORMAL</v>
      </c>
      <c r="M402" s="4" t="str">
        <f t="shared" si="9"/>
        <v>MEDIUM</v>
      </c>
      <c r="N402" s="4" t="str">
        <f t="shared" si="10"/>
        <v>SENIOR</v>
      </c>
      <c r="O402" s="4" t="str">
        <f t="shared" si="11"/>
        <v>RECENTLY PROMOTED</v>
      </c>
      <c r="P402" s="5" t="str">
        <f t="shared" si="12"/>
        <v>Medium_Pressure</v>
      </c>
      <c r="Q402" s="4" t="str">
        <f t="shared" si="13"/>
        <v>HIGHLY_ENGAGED</v>
      </c>
      <c r="R402" s="4" t="str">
        <f t="shared" si="14"/>
        <v>LOW</v>
      </c>
      <c r="S402" s="2"/>
      <c r="T402" s="2"/>
      <c r="U402" s="2"/>
      <c r="V402" s="2"/>
      <c r="W402" s="2"/>
      <c r="X402" s="2"/>
      <c r="Y402" s="2"/>
      <c r="Z402" s="2"/>
    </row>
    <row r="403" spans="1:26" ht="16.8" x14ac:dyDescent="0.3">
      <c r="A403" s="4">
        <v>532</v>
      </c>
      <c r="B403" s="4" t="s">
        <v>43</v>
      </c>
      <c r="C403" s="4">
        <v>56</v>
      </c>
      <c r="D403" s="4" t="s">
        <v>37</v>
      </c>
      <c r="E403" s="4" t="s">
        <v>40</v>
      </c>
      <c r="F403" s="4">
        <v>13212</v>
      </c>
      <c r="G403" s="4" t="s">
        <v>43</v>
      </c>
      <c r="H403" s="4">
        <v>7</v>
      </c>
      <c r="I403" s="4">
        <v>7</v>
      </c>
      <c r="J403" s="4">
        <v>1</v>
      </c>
      <c r="K403" s="4">
        <v>2</v>
      </c>
      <c r="L403" s="4" t="str">
        <f t="shared" si="8"/>
        <v>NORMAL</v>
      </c>
      <c r="M403" s="4" t="str">
        <f t="shared" si="9"/>
        <v>MEDIUM</v>
      </c>
      <c r="N403" s="4" t="str">
        <f t="shared" si="10"/>
        <v>SENIOR</v>
      </c>
      <c r="O403" s="4" t="str">
        <f t="shared" si="11"/>
        <v>STAGNANT</v>
      </c>
      <c r="P403" s="5" t="str">
        <f t="shared" si="12"/>
        <v>Low_Pressure</v>
      </c>
      <c r="Q403" s="4" t="str">
        <f t="shared" si="13"/>
        <v>DISENGAGED</v>
      </c>
      <c r="R403" s="4" t="str">
        <f t="shared" si="14"/>
        <v>LOW</v>
      </c>
      <c r="S403" s="2"/>
      <c r="T403" s="2"/>
      <c r="U403" s="2"/>
      <c r="V403" s="2"/>
      <c r="W403" s="2"/>
      <c r="X403" s="2"/>
      <c r="Y403" s="2"/>
      <c r="Z403" s="2"/>
    </row>
    <row r="404" spans="1:26" ht="16.8" x14ac:dyDescent="0.3">
      <c r="A404" s="4">
        <v>533</v>
      </c>
      <c r="B404" s="4" t="s">
        <v>43</v>
      </c>
      <c r="C404" s="4">
        <v>30</v>
      </c>
      <c r="D404" s="4" t="s">
        <v>37</v>
      </c>
      <c r="E404" s="4" t="s">
        <v>40</v>
      </c>
      <c r="F404" s="4">
        <v>6577</v>
      </c>
      <c r="G404" s="4" t="s">
        <v>43</v>
      </c>
      <c r="H404" s="4">
        <v>5</v>
      </c>
      <c r="I404" s="4">
        <v>4</v>
      </c>
      <c r="J404" s="4">
        <v>3</v>
      </c>
      <c r="K404" s="4">
        <v>3</v>
      </c>
      <c r="L404" s="4" t="str">
        <f t="shared" si="8"/>
        <v>NORMAL</v>
      </c>
      <c r="M404" s="4" t="str">
        <f t="shared" si="9"/>
        <v>HIGH</v>
      </c>
      <c r="N404" s="4" t="str">
        <f t="shared" si="10"/>
        <v>MID</v>
      </c>
      <c r="O404" s="4" t="str">
        <f t="shared" si="11"/>
        <v>STAGNANT</v>
      </c>
      <c r="P404" s="5" t="str">
        <f t="shared" si="12"/>
        <v>Medium_Pressure</v>
      </c>
      <c r="Q404" s="4" t="str">
        <f t="shared" si="13"/>
        <v>HIGHLY_ENGAGED</v>
      </c>
      <c r="R404" s="4" t="str">
        <f t="shared" si="14"/>
        <v>LOW</v>
      </c>
      <c r="S404" s="2"/>
      <c r="T404" s="2"/>
      <c r="U404" s="2"/>
      <c r="V404" s="2"/>
      <c r="W404" s="2"/>
      <c r="X404" s="2"/>
      <c r="Y404" s="2"/>
      <c r="Z404" s="2"/>
    </row>
    <row r="405" spans="1:26" ht="16.8" x14ac:dyDescent="0.3">
      <c r="A405" s="4">
        <v>534</v>
      </c>
      <c r="B405" s="4" t="s">
        <v>43</v>
      </c>
      <c r="C405" s="4">
        <v>41</v>
      </c>
      <c r="D405" s="4" t="s">
        <v>37</v>
      </c>
      <c r="E405" s="4" t="s">
        <v>40</v>
      </c>
      <c r="F405" s="4">
        <v>8392</v>
      </c>
      <c r="G405" s="4" t="s">
        <v>43</v>
      </c>
      <c r="H405" s="4">
        <v>10</v>
      </c>
      <c r="I405" s="4">
        <v>0</v>
      </c>
      <c r="J405" s="4">
        <v>1</v>
      </c>
      <c r="K405" s="4">
        <v>3</v>
      </c>
      <c r="L405" s="4" t="str">
        <f t="shared" si="8"/>
        <v>NORMAL</v>
      </c>
      <c r="M405" s="4" t="str">
        <f t="shared" si="9"/>
        <v>HIGH</v>
      </c>
      <c r="N405" s="4" t="str">
        <f t="shared" si="10"/>
        <v>SENIOR</v>
      </c>
      <c r="O405" s="4" t="str">
        <f t="shared" si="11"/>
        <v>RECENTLY PROMOTED</v>
      </c>
      <c r="P405" s="5" t="str">
        <f t="shared" si="12"/>
        <v>Medium_Pressure</v>
      </c>
      <c r="Q405" s="4" t="str">
        <f t="shared" si="13"/>
        <v>DISENGAGED</v>
      </c>
      <c r="R405" s="4" t="str">
        <f t="shared" si="14"/>
        <v>LOW</v>
      </c>
      <c r="S405" s="2"/>
      <c r="T405" s="2"/>
      <c r="U405" s="2"/>
      <c r="V405" s="2"/>
      <c r="W405" s="2"/>
      <c r="X405" s="2"/>
      <c r="Y405" s="2"/>
      <c r="Z405" s="2"/>
    </row>
    <row r="406" spans="1:26" ht="16.8" x14ac:dyDescent="0.3">
      <c r="A406" s="4">
        <v>536</v>
      </c>
      <c r="B406" s="4" t="s">
        <v>43</v>
      </c>
      <c r="C406" s="4">
        <v>28</v>
      </c>
      <c r="D406" s="4" t="s">
        <v>45</v>
      </c>
      <c r="E406" s="4" t="s">
        <v>50</v>
      </c>
      <c r="F406" s="4">
        <v>4558</v>
      </c>
      <c r="G406" s="4" t="s">
        <v>43</v>
      </c>
      <c r="H406" s="4">
        <v>10</v>
      </c>
      <c r="I406" s="4">
        <v>1</v>
      </c>
      <c r="J406" s="4">
        <v>1</v>
      </c>
      <c r="K406" s="4">
        <v>3</v>
      </c>
      <c r="L406" s="4" t="str">
        <f t="shared" si="8"/>
        <v>NORMAL</v>
      </c>
      <c r="M406" s="4" t="str">
        <f t="shared" si="9"/>
        <v>HIGH</v>
      </c>
      <c r="N406" s="4" t="str">
        <f t="shared" si="10"/>
        <v>SENIOR</v>
      </c>
      <c r="O406" s="4" t="str">
        <f t="shared" si="11"/>
        <v>RECENTLY PROMOTED</v>
      </c>
      <c r="P406" s="5" t="str">
        <f t="shared" si="12"/>
        <v>Medium_Pressure</v>
      </c>
      <c r="Q406" s="4" t="str">
        <f t="shared" si="13"/>
        <v>DISENGAGED</v>
      </c>
      <c r="R406" s="4" t="str">
        <f t="shared" si="14"/>
        <v>LOW</v>
      </c>
      <c r="S406" s="2"/>
      <c r="T406" s="2"/>
      <c r="U406" s="2"/>
      <c r="V406" s="2"/>
      <c r="W406" s="2"/>
      <c r="X406" s="2"/>
      <c r="Y406" s="2"/>
      <c r="Z406" s="2"/>
    </row>
    <row r="407" spans="1:26" ht="16.8" x14ac:dyDescent="0.3">
      <c r="A407" s="4">
        <v>538</v>
      </c>
      <c r="B407" s="4" t="s">
        <v>35</v>
      </c>
      <c r="C407" s="4">
        <v>25</v>
      </c>
      <c r="D407" s="4" t="s">
        <v>45</v>
      </c>
      <c r="E407" s="4" t="s">
        <v>50</v>
      </c>
      <c r="F407" s="4">
        <v>4031</v>
      </c>
      <c r="G407" s="4" t="s">
        <v>43</v>
      </c>
      <c r="H407" s="4">
        <v>2</v>
      </c>
      <c r="I407" s="4">
        <v>0</v>
      </c>
      <c r="J407" s="4">
        <v>1</v>
      </c>
      <c r="K407" s="4">
        <v>3</v>
      </c>
      <c r="L407" s="4" t="str">
        <f t="shared" si="8"/>
        <v>NORMAL</v>
      </c>
      <c r="M407" s="4" t="str">
        <f t="shared" si="9"/>
        <v>HIGH</v>
      </c>
      <c r="N407" s="4" t="str">
        <f t="shared" si="10"/>
        <v>NEW</v>
      </c>
      <c r="O407" s="4" t="str">
        <f t="shared" si="11"/>
        <v>RECENTLY PROMOTED</v>
      </c>
      <c r="P407" s="5" t="str">
        <f t="shared" si="12"/>
        <v>Medium_Pressure</v>
      </c>
      <c r="Q407" s="4" t="str">
        <f t="shared" si="13"/>
        <v>DISENGAGED</v>
      </c>
      <c r="R407" s="4" t="str">
        <f t="shared" si="14"/>
        <v>LOW</v>
      </c>
      <c r="S407" s="2"/>
      <c r="T407" s="2"/>
      <c r="U407" s="2"/>
      <c r="V407" s="2"/>
      <c r="W407" s="2"/>
      <c r="X407" s="2"/>
      <c r="Y407" s="2"/>
      <c r="Z407" s="2"/>
    </row>
    <row r="408" spans="1:26" ht="16.8" x14ac:dyDescent="0.3">
      <c r="A408" s="4">
        <v>543</v>
      </c>
      <c r="B408" s="4" t="s">
        <v>43</v>
      </c>
      <c r="C408" s="4">
        <v>52</v>
      </c>
      <c r="D408" s="4" t="s">
        <v>45</v>
      </c>
      <c r="E408" s="4" t="s">
        <v>53</v>
      </c>
      <c r="F408" s="4">
        <v>7969</v>
      </c>
      <c r="G408" s="4" t="s">
        <v>35</v>
      </c>
      <c r="H408" s="4">
        <v>5</v>
      </c>
      <c r="I408" s="4">
        <v>0</v>
      </c>
      <c r="J408" s="4">
        <v>3</v>
      </c>
      <c r="K408" s="4">
        <v>3</v>
      </c>
      <c r="L408" s="4" t="str">
        <f t="shared" si="8"/>
        <v>NORMAL</v>
      </c>
      <c r="M408" s="4" t="str">
        <f t="shared" si="9"/>
        <v>HIGH</v>
      </c>
      <c r="N408" s="4" t="str">
        <f t="shared" si="10"/>
        <v>MID</v>
      </c>
      <c r="O408" s="4" t="str">
        <f t="shared" si="11"/>
        <v>RECENTLY PROMOTED</v>
      </c>
      <c r="P408" s="5" t="str">
        <f t="shared" si="12"/>
        <v>Medium_Pressure</v>
      </c>
      <c r="Q408" s="4" t="str">
        <f t="shared" si="13"/>
        <v>HIGHLY_ENGAGED</v>
      </c>
      <c r="R408" s="4" t="str">
        <f t="shared" si="14"/>
        <v>LOW</v>
      </c>
      <c r="S408" s="2"/>
      <c r="T408" s="2"/>
      <c r="U408" s="2"/>
      <c r="V408" s="2"/>
      <c r="W408" s="2"/>
      <c r="X408" s="2"/>
      <c r="Y408" s="2"/>
      <c r="Z408" s="2"/>
    </row>
    <row r="409" spans="1:26" ht="16.8" x14ac:dyDescent="0.3">
      <c r="A409" s="4">
        <v>544</v>
      </c>
      <c r="B409" s="4" t="s">
        <v>43</v>
      </c>
      <c r="C409" s="4">
        <v>45</v>
      </c>
      <c r="D409" s="4" t="s">
        <v>45</v>
      </c>
      <c r="E409" s="4" t="s">
        <v>47</v>
      </c>
      <c r="F409" s="4">
        <v>2654</v>
      </c>
      <c r="G409" s="4" t="s">
        <v>43</v>
      </c>
      <c r="H409" s="4">
        <v>2</v>
      </c>
      <c r="I409" s="4">
        <v>0</v>
      </c>
      <c r="J409" s="4">
        <v>4</v>
      </c>
      <c r="K409" s="4">
        <v>2</v>
      </c>
      <c r="L409" s="4" t="str">
        <f t="shared" si="8"/>
        <v>NORMAL</v>
      </c>
      <c r="M409" s="4" t="str">
        <f t="shared" si="9"/>
        <v>LOW</v>
      </c>
      <c r="N409" s="4" t="str">
        <f t="shared" si="10"/>
        <v>NEW</v>
      </c>
      <c r="O409" s="4" t="str">
        <f t="shared" si="11"/>
        <v>RECENTLY PROMOTED</v>
      </c>
      <c r="P409" s="5" t="str">
        <f t="shared" si="12"/>
        <v>Low_Pressure</v>
      </c>
      <c r="Q409" s="4" t="str">
        <f t="shared" si="13"/>
        <v>DISENGAGED</v>
      </c>
      <c r="R409" s="4" t="str">
        <f t="shared" si="14"/>
        <v>LOW</v>
      </c>
      <c r="S409" s="2"/>
      <c r="T409" s="2"/>
      <c r="U409" s="2"/>
      <c r="V409" s="2"/>
      <c r="W409" s="2"/>
      <c r="X409" s="2"/>
      <c r="Y409" s="2"/>
      <c r="Z409" s="2"/>
    </row>
    <row r="410" spans="1:26" ht="16.8" x14ac:dyDescent="0.3">
      <c r="A410" s="4">
        <v>546</v>
      </c>
      <c r="B410" s="4" t="s">
        <v>43</v>
      </c>
      <c r="C410" s="4">
        <v>52</v>
      </c>
      <c r="D410" s="4" t="s">
        <v>45</v>
      </c>
      <c r="E410" s="4" t="s">
        <v>56</v>
      </c>
      <c r="F410" s="4">
        <v>16555</v>
      </c>
      <c r="G410" s="4" t="s">
        <v>43</v>
      </c>
      <c r="H410" s="4">
        <v>5</v>
      </c>
      <c r="I410" s="4">
        <v>1</v>
      </c>
      <c r="J410" s="4">
        <v>4</v>
      </c>
      <c r="K410" s="4">
        <v>1</v>
      </c>
      <c r="L410" s="4" t="str">
        <f t="shared" si="8"/>
        <v>NORMAL</v>
      </c>
      <c r="M410" s="4" t="str">
        <f t="shared" si="9"/>
        <v>MEDIUM</v>
      </c>
      <c r="N410" s="4" t="str">
        <f t="shared" si="10"/>
        <v>MID</v>
      </c>
      <c r="O410" s="4" t="str">
        <f t="shared" si="11"/>
        <v>RECENTLY PROMOTED</v>
      </c>
      <c r="P410" s="5" t="str">
        <f t="shared" si="12"/>
        <v>Low_Pressure</v>
      </c>
      <c r="Q410" s="4" t="str">
        <f t="shared" si="13"/>
        <v>DISENGAGED</v>
      </c>
      <c r="R410" s="4" t="str">
        <f t="shared" si="14"/>
        <v>LOW</v>
      </c>
      <c r="S410" s="2"/>
      <c r="T410" s="2"/>
      <c r="U410" s="2"/>
      <c r="V410" s="2"/>
      <c r="W410" s="2"/>
      <c r="X410" s="2"/>
      <c r="Y410" s="2"/>
      <c r="Z410" s="2"/>
    </row>
    <row r="411" spans="1:26" ht="16.8" x14ac:dyDescent="0.3">
      <c r="A411" s="4">
        <v>547</v>
      </c>
      <c r="B411" s="4" t="s">
        <v>43</v>
      </c>
      <c r="C411" s="4">
        <v>42</v>
      </c>
      <c r="D411" s="4" t="s">
        <v>45</v>
      </c>
      <c r="E411" s="4" t="s">
        <v>47</v>
      </c>
      <c r="F411" s="4">
        <v>4556</v>
      </c>
      <c r="G411" s="4" t="s">
        <v>43</v>
      </c>
      <c r="H411" s="4">
        <v>5</v>
      </c>
      <c r="I411" s="4">
        <v>0</v>
      </c>
      <c r="J411" s="4">
        <v>3</v>
      </c>
      <c r="K411" s="4">
        <v>3</v>
      </c>
      <c r="L411" s="4" t="str">
        <f t="shared" si="8"/>
        <v>NORMAL</v>
      </c>
      <c r="M411" s="4" t="str">
        <f t="shared" si="9"/>
        <v>HIGH</v>
      </c>
      <c r="N411" s="4" t="str">
        <f t="shared" si="10"/>
        <v>MID</v>
      </c>
      <c r="O411" s="4" t="str">
        <f t="shared" si="11"/>
        <v>RECENTLY PROMOTED</v>
      </c>
      <c r="P411" s="5" t="str">
        <f t="shared" si="12"/>
        <v>Medium_Pressure</v>
      </c>
      <c r="Q411" s="4" t="str">
        <f t="shared" si="13"/>
        <v>HIGHLY_ENGAGED</v>
      </c>
      <c r="R411" s="4" t="str">
        <f t="shared" si="14"/>
        <v>LOW</v>
      </c>
      <c r="S411" s="2"/>
      <c r="T411" s="2"/>
      <c r="U411" s="2"/>
      <c r="V411" s="2"/>
      <c r="W411" s="2"/>
      <c r="X411" s="2"/>
      <c r="Y411" s="2"/>
      <c r="Z411" s="2"/>
    </row>
    <row r="412" spans="1:26" ht="16.8" x14ac:dyDescent="0.3">
      <c r="A412" s="4">
        <v>548</v>
      </c>
      <c r="B412" s="4" t="s">
        <v>43</v>
      </c>
      <c r="C412" s="4">
        <v>30</v>
      </c>
      <c r="D412" s="4" t="s">
        <v>45</v>
      </c>
      <c r="E412" s="4" t="s">
        <v>53</v>
      </c>
      <c r="F412" s="4">
        <v>6091</v>
      </c>
      <c r="G412" s="4" t="s">
        <v>43</v>
      </c>
      <c r="H412" s="4">
        <v>5</v>
      </c>
      <c r="I412" s="4">
        <v>0</v>
      </c>
      <c r="J412" s="4">
        <v>4</v>
      </c>
      <c r="K412" s="4">
        <v>3</v>
      </c>
      <c r="L412" s="4" t="str">
        <f t="shared" si="8"/>
        <v>NORMAL</v>
      </c>
      <c r="M412" s="4" t="str">
        <f t="shared" si="9"/>
        <v>HIGH</v>
      </c>
      <c r="N412" s="4" t="str">
        <f t="shared" si="10"/>
        <v>MID</v>
      </c>
      <c r="O412" s="4" t="str">
        <f t="shared" si="11"/>
        <v>RECENTLY PROMOTED</v>
      </c>
      <c r="P412" s="5" t="str">
        <f t="shared" si="12"/>
        <v>Medium_Pressure</v>
      </c>
      <c r="Q412" s="4" t="str">
        <f t="shared" si="13"/>
        <v>HIGHLY_ENGAGED</v>
      </c>
      <c r="R412" s="4" t="str">
        <f t="shared" si="14"/>
        <v>LOW</v>
      </c>
      <c r="S412" s="2"/>
      <c r="T412" s="2"/>
      <c r="U412" s="2"/>
      <c r="V412" s="2"/>
      <c r="W412" s="2"/>
      <c r="X412" s="2"/>
      <c r="Y412" s="2"/>
      <c r="Z412" s="2"/>
    </row>
    <row r="413" spans="1:26" ht="16.8" x14ac:dyDescent="0.3">
      <c r="A413" s="4">
        <v>549</v>
      </c>
      <c r="B413" s="4" t="s">
        <v>43</v>
      </c>
      <c r="C413" s="4">
        <v>60</v>
      </c>
      <c r="D413" s="4" t="s">
        <v>45</v>
      </c>
      <c r="E413" s="4" t="s">
        <v>56</v>
      </c>
      <c r="F413" s="4">
        <v>19566</v>
      </c>
      <c r="G413" s="4" t="s">
        <v>43</v>
      </c>
      <c r="H413" s="4">
        <v>29</v>
      </c>
      <c r="I413" s="4">
        <v>11</v>
      </c>
      <c r="J413" s="4">
        <v>1</v>
      </c>
      <c r="K413" s="4">
        <v>1</v>
      </c>
      <c r="L413" s="4" t="str">
        <f t="shared" si="8"/>
        <v>NORMAL</v>
      </c>
      <c r="M413" s="4" t="str">
        <f t="shared" si="9"/>
        <v>MEDIUM</v>
      </c>
      <c r="N413" s="4" t="str">
        <f t="shared" si="10"/>
        <v>SENIOR</v>
      </c>
      <c r="O413" s="4" t="str">
        <f t="shared" si="11"/>
        <v>STAGNANT</v>
      </c>
      <c r="P413" s="5" t="str">
        <f t="shared" si="12"/>
        <v>Low_Pressure</v>
      </c>
      <c r="Q413" s="4" t="str">
        <f t="shared" si="13"/>
        <v>DISENGAGED</v>
      </c>
      <c r="R413" s="4" t="str">
        <f t="shared" si="14"/>
        <v>LOW</v>
      </c>
      <c r="S413" s="2"/>
      <c r="T413" s="2"/>
      <c r="U413" s="2"/>
      <c r="V413" s="2"/>
      <c r="W413" s="2"/>
      <c r="X413" s="2"/>
      <c r="Y413" s="2"/>
      <c r="Z413" s="2"/>
    </row>
    <row r="414" spans="1:26" ht="16.8" x14ac:dyDescent="0.3">
      <c r="A414" s="4">
        <v>550</v>
      </c>
      <c r="B414" s="4" t="s">
        <v>43</v>
      </c>
      <c r="C414" s="4">
        <v>46</v>
      </c>
      <c r="D414" s="4" t="s">
        <v>45</v>
      </c>
      <c r="E414" s="4" t="s">
        <v>53</v>
      </c>
      <c r="F414" s="4">
        <v>4810</v>
      </c>
      <c r="G414" s="4" t="s">
        <v>43</v>
      </c>
      <c r="H414" s="4">
        <v>10</v>
      </c>
      <c r="I414" s="4">
        <v>0</v>
      </c>
      <c r="J414" s="4">
        <v>3</v>
      </c>
      <c r="K414" s="4">
        <v>2</v>
      </c>
      <c r="L414" s="4" t="str">
        <f t="shared" si="8"/>
        <v>NORMAL</v>
      </c>
      <c r="M414" s="4" t="str">
        <f t="shared" si="9"/>
        <v>HIGH</v>
      </c>
      <c r="N414" s="4" t="str">
        <f t="shared" si="10"/>
        <v>SENIOR</v>
      </c>
      <c r="O414" s="4" t="str">
        <f t="shared" si="11"/>
        <v>RECENTLY PROMOTED</v>
      </c>
      <c r="P414" s="5" t="str">
        <f t="shared" si="12"/>
        <v>Low_Pressure</v>
      </c>
      <c r="Q414" s="4" t="str">
        <f t="shared" si="13"/>
        <v>DISENGAGED</v>
      </c>
      <c r="R414" s="4" t="str">
        <f t="shared" si="14"/>
        <v>LOW</v>
      </c>
      <c r="S414" s="2"/>
      <c r="T414" s="2"/>
      <c r="U414" s="2"/>
      <c r="V414" s="2"/>
      <c r="W414" s="2"/>
      <c r="X414" s="2"/>
      <c r="Y414" s="2"/>
      <c r="Z414" s="2"/>
    </row>
    <row r="415" spans="1:26" ht="16.8" x14ac:dyDescent="0.3">
      <c r="A415" s="4">
        <v>551</v>
      </c>
      <c r="B415" s="4" t="s">
        <v>43</v>
      </c>
      <c r="C415" s="4">
        <v>42</v>
      </c>
      <c r="D415" s="4" t="s">
        <v>45</v>
      </c>
      <c r="E415" s="4" t="s">
        <v>54</v>
      </c>
      <c r="F415" s="4">
        <v>4523</v>
      </c>
      <c r="G415" s="4" t="s">
        <v>43</v>
      </c>
      <c r="H415" s="4">
        <v>6</v>
      </c>
      <c r="I415" s="4">
        <v>0</v>
      </c>
      <c r="J415" s="4">
        <v>4</v>
      </c>
      <c r="K415" s="4">
        <v>4</v>
      </c>
      <c r="L415" s="4" t="str">
        <f t="shared" si="8"/>
        <v>NORMAL</v>
      </c>
      <c r="M415" s="4" t="str">
        <f t="shared" si="9"/>
        <v>HIGH</v>
      </c>
      <c r="N415" s="4" t="str">
        <f t="shared" si="10"/>
        <v>MID</v>
      </c>
      <c r="O415" s="4" t="str">
        <f t="shared" si="11"/>
        <v>RECENTLY PROMOTED</v>
      </c>
      <c r="P415" s="5" t="str">
        <f t="shared" si="12"/>
        <v>Low_Pressure</v>
      </c>
      <c r="Q415" s="4" t="str">
        <f t="shared" si="13"/>
        <v>HIGHLY_ENGAGED</v>
      </c>
      <c r="R415" s="4" t="str">
        <f t="shared" si="14"/>
        <v>LOW</v>
      </c>
      <c r="S415" s="2"/>
      <c r="T415" s="2"/>
      <c r="U415" s="2"/>
      <c r="V415" s="2"/>
      <c r="W415" s="2"/>
      <c r="X415" s="2"/>
      <c r="Y415" s="2"/>
      <c r="Z415" s="2"/>
    </row>
    <row r="416" spans="1:26" ht="16.8" x14ac:dyDescent="0.3">
      <c r="A416" s="4">
        <v>554</v>
      </c>
      <c r="B416" s="4" t="s">
        <v>35</v>
      </c>
      <c r="C416" s="4">
        <v>24</v>
      </c>
      <c r="D416" s="4" t="s">
        <v>37</v>
      </c>
      <c r="E416" s="4" t="s">
        <v>57</v>
      </c>
      <c r="F416" s="4">
        <v>3202</v>
      </c>
      <c r="G416" s="4" t="s">
        <v>35</v>
      </c>
      <c r="H416" s="4">
        <v>5</v>
      </c>
      <c r="I416" s="4">
        <v>1</v>
      </c>
      <c r="J416" s="4">
        <v>2</v>
      </c>
      <c r="K416" s="4">
        <v>3</v>
      </c>
      <c r="L416" s="4" t="str">
        <f t="shared" si="8"/>
        <v>NORMAL</v>
      </c>
      <c r="M416" s="4" t="str">
        <f t="shared" si="9"/>
        <v>LOW</v>
      </c>
      <c r="N416" s="4" t="str">
        <f t="shared" si="10"/>
        <v>MID</v>
      </c>
      <c r="O416" s="4" t="str">
        <f t="shared" si="11"/>
        <v>RECENTLY PROMOTED</v>
      </c>
      <c r="P416" s="5" t="str">
        <f t="shared" si="12"/>
        <v>Medium_Pressure</v>
      </c>
      <c r="Q416" s="4" t="str">
        <f t="shared" si="13"/>
        <v>DISENGAGED</v>
      </c>
      <c r="R416" s="4" t="str">
        <f t="shared" si="14"/>
        <v>LOW</v>
      </c>
      <c r="S416" s="2"/>
      <c r="T416" s="2"/>
      <c r="U416" s="2"/>
      <c r="V416" s="2"/>
      <c r="W416" s="2"/>
      <c r="X416" s="2"/>
      <c r="Y416" s="2"/>
      <c r="Z416" s="2"/>
    </row>
    <row r="417" spans="1:26" ht="16.8" x14ac:dyDescent="0.3">
      <c r="A417" s="4">
        <v>555</v>
      </c>
      <c r="B417" s="4" t="s">
        <v>35</v>
      </c>
      <c r="C417" s="4">
        <v>34</v>
      </c>
      <c r="D417" s="4" t="s">
        <v>37</v>
      </c>
      <c r="E417" s="4" t="s">
        <v>57</v>
      </c>
      <c r="F417" s="4">
        <v>2351</v>
      </c>
      <c r="G417" s="4" t="s">
        <v>43</v>
      </c>
      <c r="H417" s="4">
        <v>2</v>
      </c>
      <c r="I417" s="4">
        <v>1</v>
      </c>
      <c r="J417" s="4">
        <v>3</v>
      </c>
      <c r="K417" s="4">
        <v>2</v>
      </c>
      <c r="L417" s="4" t="str">
        <f t="shared" si="8"/>
        <v>NORMAL</v>
      </c>
      <c r="M417" s="4" t="str">
        <f t="shared" si="9"/>
        <v>LOW</v>
      </c>
      <c r="N417" s="4" t="str">
        <f t="shared" si="10"/>
        <v>NEW</v>
      </c>
      <c r="O417" s="4" t="str">
        <f t="shared" si="11"/>
        <v>RECENTLY PROMOTED</v>
      </c>
      <c r="P417" s="5" t="str">
        <f t="shared" si="12"/>
        <v>Low_Pressure</v>
      </c>
      <c r="Q417" s="4" t="str">
        <f t="shared" si="13"/>
        <v>DISENGAGED</v>
      </c>
      <c r="R417" s="4" t="str">
        <f t="shared" si="14"/>
        <v>LOW</v>
      </c>
      <c r="S417" s="2"/>
      <c r="T417" s="2"/>
      <c r="U417" s="2"/>
      <c r="V417" s="2"/>
      <c r="W417" s="2"/>
      <c r="X417" s="2"/>
      <c r="Y417" s="2"/>
      <c r="Z417" s="2"/>
    </row>
    <row r="418" spans="1:26" ht="16.8" x14ac:dyDescent="0.3">
      <c r="A418" s="4">
        <v>556</v>
      </c>
      <c r="B418" s="4" t="s">
        <v>43</v>
      </c>
      <c r="C418" s="4">
        <v>38</v>
      </c>
      <c r="D418" s="4" t="s">
        <v>45</v>
      </c>
      <c r="E418" s="4" t="s">
        <v>50</v>
      </c>
      <c r="F418" s="4">
        <v>1702</v>
      </c>
      <c r="G418" s="4" t="s">
        <v>35</v>
      </c>
      <c r="H418" s="4">
        <v>1</v>
      </c>
      <c r="I418" s="4">
        <v>0</v>
      </c>
      <c r="J418" s="4">
        <v>4</v>
      </c>
      <c r="K418" s="4">
        <v>3</v>
      </c>
      <c r="L418" s="4" t="str">
        <f t="shared" si="8"/>
        <v>NORMAL</v>
      </c>
      <c r="M418" s="4" t="str">
        <f t="shared" si="9"/>
        <v>LOW</v>
      </c>
      <c r="N418" s="4" t="str">
        <f t="shared" si="10"/>
        <v>NEW</v>
      </c>
      <c r="O418" s="4" t="str">
        <f t="shared" si="11"/>
        <v>RECENTLY PROMOTED</v>
      </c>
      <c r="P418" s="5" t="str">
        <f t="shared" si="12"/>
        <v>Medium_Pressure</v>
      </c>
      <c r="Q418" s="4" t="str">
        <f t="shared" si="13"/>
        <v>HIGHLY_ENGAGED</v>
      </c>
      <c r="R418" s="4" t="str">
        <f t="shared" si="14"/>
        <v>LOW</v>
      </c>
      <c r="S418" s="2"/>
      <c r="T418" s="2"/>
      <c r="U418" s="2"/>
      <c r="V418" s="2"/>
      <c r="W418" s="2"/>
      <c r="X418" s="2"/>
      <c r="Y418" s="2"/>
      <c r="Z418" s="2"/>
    </row>
    <row r="419" spans="1:26" ht="16.8" x14ac:dyDescent="0.3">
      <c r="A419" s="4">
        <v>558</v>
      </c>
      <c r="B419" s="4" t="s">
        <v>43</v>
      </c>
      <c r="C419" s="4">
        <v>40</v>
      </c>
      <c r="D419" s="4" t="s">
        <v>37</v>
      </c>
      <c r="E419" s="4" t="s">
        <v>56</v>
      </c>
      <c r="F419" s="4">
        <v>18041</v>
      </c>
      <c r="G419" s="4" t="s">
        <v>43</v>
      </c>
      <c r="H419" s="4">
        <v>20</v>
      </c>
      <c r="I419" s="4">
        <v>1</v>
      </c>
      <c r="J419" s="4">
        <v>3</v>
      </c>
      <c r="K419" s="4">
        <v>3</v>
      </c>
      <c r="L419" s="4" t="str">
        <f t="shared" si="8"/>
        <v>NORMAL</v>
      </c>
      <c r="M419" s="4" t="str">
        <f t="shared" si="9"/>
        <v>MEDIUM</v>
      </c>
      <c r="N419" s="4" t="str">
        <f t="shared" si="10"/>
        <v>SENIOR</v>
      </c>
      <c r="O419" s="4" t="str">
        <f t="shared" si="11"/>
        <v>RECENTLY PROMOTED</v>
      </c>
      <c r="P419" s="5" t="str">
        <f t="shared" si="12"/>
        <v>Medium_Pressure</v>
      </c>
      <c r="Q419" s="4" t="str">
        <f t="shared" si="13"/>
        <v>HIGHLY_ENGAGED</v>
      </c>
      <c r="R419" s="4" t="str">
        <f t="shared" si="14"/>
        <v>LOW</v>
      </c>
      <c r="S419" s="2"/>
      <c r="T419" s="2"/>
      <c r="U419" s="2"/>
      <c r="V419" s="2"/>
      <c r="W419" s="2"/>
      <c r="X419" s="2"/>
      <c r="Y419" s="2"/>
      <c r="Z419" s="2"/>
    </row>
    <row r="420" spans="1:26" ht="16.8" x14ac:dyDescent="0.3">
      <c r="A420" s="4">
        <v>560</v>
      </c>
      <c r="B420" s="4" t="s">
        <v>43</v>
      </c>
      <c r="C420" s="4">
        <v>26</v>
      </c>
      <c r="D420" s="4" t="s">
        <v>45</v>
      </c>
      <c r="E420" s="4" t="s">
        <v>47</v>
      </c>
      <c r="F420" s="4">
        <v>2886</v>
      </c>
      <c r="G420" s="4" t="s">
        <v>43</v>
      </c>
      <c r="H420" s="4">
        <v>3</v>
      </c>
      <c r="I420" s="4">
        <v>0</v>
      </c>
      <c r="J420" s="4">
        <v>4</v>
      </c>
      <c r="K420" s="4">
        <v>1</v>
      </c>
      <c r="L420" s="4" t="str">
        <f t="shared" si="8"/>
        <v>NORMAL</v>
      </c>
      <c r="M420" s="4" t="str">
        <f t="shared" si="9"/>
        <v>LOW</v>
      </c>
      <c r="N420" s="4" t="str">
        <f t="shared" si="10"/>
        <v>MID</v>
      </c>
      <c r="O420" s="4" t="str">
        <f t="shared" si="11"/>
        <v>RECENTLY PROMOTED</v>
      </c>
      <c r="P420" s="5" t="str">
        <f t="shared" si="12"/>
        <v>Low_Pressure</v>
      </c>
      <c r="Q420" s="4" t="str">
        <f t="shared" si="13"/>
        <v>DISENGAGED</v>
      </c>
      <c r="R420" s="4" t="str">
        <f t="shared" si="14"/>
        <v>LOW</v>
      </c>
      <c r="S420" s="2"/>
      <c r="T420" s="2"/>
      <c r="U420" s="2"/>
      <c r="V420" s="2"/>
      <c r="W420" s="2"/>
      <c r="X420" s="2"/>
      <c r="Y420" s="2"/>
      <c r="Z420" s="2"/>
    </row>
    <row r="421" spans="1:26" ht="16.8" x14ac:dyDescent="0.3">
      <c r="A421" s="4">
        <v>562</v>
      </c>
      <c r="B421" s="4" t="s">
        <v>43</v>
      </c>
      <c r="C421" s="4">
        <v>30</v>
      </c>
      <c r="D421" s="4" t="s">
        <v>45</v>
      </c>
      <c r="E421" s="4" t="s">
        <v>50</v>
      </c>
      <c r="F421" s="4">
        <v>2097</v>
      </c>
      <c r="G421" s="4" t="s">
        <v>43</v>
      </c>
      <c r="H421" s="4">
        <v>5</v>
      </c>
      <c r="I421" s="4">
        <v>1</v>
      </c>
      <c r="J421" s="4">
        <v>4</v>
      </c>
      <c r="K421" s="4">
        <v>1</v>
      </c>
      <c r="L421" s="4" t="str">
        <f t="shared" si="8"/>
        <v>NORMAL</v>
      </c>
      <c r="M421" s="4" t="str">
        <f t="shared" si="9"/>
        <v>LOW</v>
      </c>
      <c r="N421" s="4" t="str">
        <f t="shared" si="10"/>
        <v>MID</v>
      </c>
      <c r="O421" s="4" t="str">
        <f t="shared" si="11"/>
        <v>RECENTLY PROMOTED</v>
      </c>
      <c r="P421" s="5" t="str">
        <f t="shared" si="12"/>
        <v>Low_Pressure</v>
      </c>
      <c r="Q421" s="4" t="str">
        <f t="shared" si="13"/>
        <v>DISENGAGED</v>
      </c>
      <c r="R421" s="4" t="str">
        <f t="shared" si="14"/>
        <v>LOW</v>
      </c>
      <c r="S421" s="2"/>
      <c r="T421" s="2"/>
      <c r="U421" s="2"/>
      <c r="V421" s="2"/>
      <c r="W421" s="2"/>
      <c r="X421" s="2"/>
      <c r="Y421" s="2"/>
      <c r="Z421" s="2"/>
    </row>
    <row r="422" spans="1:26" ht="16.8" x14ac:dyDescent="0.3">
      <c r="A422" s="4">
        <v>564</v>
      </c>
      <c r="B422" s="4" t="s">
        <v>43</v>
      </c>
      <c r="C422" s="4">
        <v>29</v>
      </c>
      <c r="D422" s="4" t="s">
        <v>45</v>
      </c>
      <c r="E422" s="4" t="s">
        <v>58</v>
      </c>
      <c r="F422" s="4">
        <v>11935</v>
      </c>
      <c r="G422" s="4" t="s">
        <v>43</v>
      </c>
      <c r="H422" s="4">
        <v>10</v>
      </c>
      <c r="I422" s="4">
        <v>0</v>
      </c>
      <c r="J422" s="4">
        <v>3</v>
      </c>
      <c r="K422" s="4">
        <v>3</v>
      </c>
      <c r="L422" s="4" t="str">
        <f t="shared" si="8"/>
        <v>NORMAL</v>
      </c>
      <c r="M422" s="4" t="str">
        <f t="shared" si="9"/>
        <v>MEDIUM</v>
      </c>
      <c r="N422" s="4" t="str">
        <f t="shared" si="10"/>
        <v>SENIOR</v>
      </c>
      <c r="O422" s="4" t="str">
        <f t="shared" si="11"/>
        <v>RECENTLY PROMOTED</v>
      </c>
      <c r="P422" s="5" t="str">
        <f t="shared" si="12"/>
        <v>Medium_Pressure</v>
      </c>
      <c r="Q422" s="4" t="str">
        <f t="shared" si="13"/>
        <v>HIGHLY_ENGAGED</v>
      </c>
      <c r="R422" s="4" t="str">
        <f t="shared" si="14"/>
        <v>LOW</v>
      </c>
      <c r="S422" s="2"/>
      <c r="T422" s="2"/>
      <c r="U422" s="2"/>
      <c r="V422" s="2"/>
      <c r="W422" s="2"/>
      <c r="X422" s="2"/>
      <c r="Y422" s="2"/>
      <c r="Z422" s="2"/>
    </row>
    <row r="423" spans="1:26" ht="16.8" x14ac:dyDescent="0.3">
      <c r="A423" s="4">
        <v>565</v>
      </c>
      <c r="B423" s="4" t="s">
        <v>35</v>
      </c>
      <c r="C423" s="4">
        <v>29</v>
      </c>
      <c r="D423" s="4" t="s">
        <v>45</v>
      </c>
      <c r="E423" s="4" t="s">
        <v>47</v>
      </c>
      <c r="F423" s="4">
        <v>2546</v>
      </c>
      <c r="G423" s="4" t="s">
        <v>43</v>
      </c>
      <c r="H423" s="4">
        <v>2</v>
      </c>
      <c r="I423" s="4">
        <v>1</v>
      </c>
      <c r="J423" s="4">
        <v>2</v>
      </c>
      <c r="K423" s="4">
        <v>4</v>
      </c>
      <c r="L423" s="4" t="str">
        <f t="shared" si="8"/>
        <v>NORMAL</v>
      </c>
      <c r="M423" s="4" t="str">
        <f t="shared" si="9"/>
        <v>LOW</v>
      </c>
      <c r="N423" s="4" t="str">
        <f t="shared" si="10"/>
        <v>NEW</v>
      </c>
      <c r="O423" s="4" t="str">
        <f t="shared" si="11"/>
        <v>RECENTLY PROMOTED</v>
      </c>
      <c r="P423" s="5" t="str">
        <f t="shared" si="12"/>
        <v>Low_Pressure</v>
      </c>
      <c r="Q423" s="4" t="str">
        <f t="shared" si="13"/>
        <v>DISENGAGED</v>
      </c>
      <c r="R423" s="4" t="str">
        <f t="shared" si="14"/>
        <v>LOW</v>
      </c>
      <c r="S423" s="2"/>
      <c r="T423" s="2"/>
      <c r="U423" s="2"/>
      <c r="V423" s="2"/>
      <c r="W423" s="2"/>
      <c r="X423" s="2"/>
      <c r="Y423" s="2"/>
      <c r="Z423" s="2"/>
    </row>
    <row r="424" spans="1:26" ht="16.8" x14ac:dyDescent="0.3">
      <c r="A424" s="4">
        <v>566</v>
      </c>
      <c r="B424" s="4" t="s">
        <v>35</v>
      </c>
      <c r="C424" s="4">
        <v>19</v>
      </c>
      <c r="D424" s="4" t="s">
        <v>61</v>
      </c>
      <c r="E424" s="4" t="s">
        <v>61</v>
      </c>
      <c r="F424" s="4">
        <v>2564</v>
      </c>
      <c r="G424" s="4" t="s">
        <v>43</v>
      </c>
      <c r="H424" s="4">
        <v>1</v>
      </c>
      <c r="I424" s="4">
        <v>0</v>
      </c>
      <c r="J424" s="4">
        <v>4</v>
      </c>
      <c r="K424" s="4">
        <v>4</v>
      </c>
      <c r="L424" s="4" t="str">
        <f t="shared" si="8"/>
        <v>NORMAL</v>
      </c>
      <c r="M424" s="4" t="str">
        <f t="shared" si="9"/>
        <v>LOW</v>
      </c>
      <c r="N424" s="4" t="str">
        <f t="shared" si="10"/>
        <v>NEW</v>
      </c>
      <c r="O424" s="4" t="str">
        <f t="shared" si="11"/>
        <v>RECENTLY PROMOTED</v>
      </c>
      <c r="P424" s="5" t="str">
        <f t="shared" si="12"/>
        <v>Low_Pressure</v>
      </c>
      <c r="Q424" s="4" t="str">
        <f t="shared" si="13"/>
        <v>HIGHLY_ENGAGED</v>
      </c>
      <c r="R424" s="4" t="str">
        <f t="shared" si="14"/>
        <v>LOW</v>
      </c>
      <c r="S424" s="2"/>
      <c r="T424" s="2"/>
      <c r="U424" s="2"/>
      <c r="V424" s="2"/>
      <c r="W424" s="2"/>
      <c r="X424" s="2"/>
      <c r="Y424" s="2"/>
      <c r="Z424" s="2"/>
    </row>
    <row r="425" spans="1:26" ht="16.8" x14ac:dyDescent="0.3">
      <c r="A425" s="4">
        <v>567</v>
      </c>
      <c r="B425" s="4" t="s">
        <v>43</v>
      </c>
      <c r="C425" s="4">
        <v>30</v>
      </c>
      <c r="D425" s="4" t="s">
        <v>37</v>
      </c>
      <c r="E425" s="4" t="s">
        <v>40</v>
      </c>
      <c r="F425" s="4">
        <v>8412</v>
      </c>
      <c r="G425" s="4" t="s">
        <v>43</v>
      </c>
      <c r="H425" s="4">
        <v>9</v>
      </c>
      <c r="I425" s="4">
        <v>7</v>
      </c>
      <c r="J425" s="4">
        <v>1</v>
      </c>
      <c r="K425" s="4">
        <v>3</v>
      </c>
      <c r="L425" s="4" t="str">
        <f t="shared" si="8"/>
        <v>NORMAL</v>
      </c>
      <c r="M425" s="4" t="str">
        <f t="shared" si="9"/>
        <v>HIGH</v>
      </c>
      <c r="N425" s="4" t="str">
        <f t="shared" si="10"/>
        <v>SENIOR</v>
      </c>
      <c r="O425" s="4" t="str">
        <f t="shared" si="11"/>
        <v>STAGNANT</v>
      </c>
      <c r="P425" s="5" t="str">
        <f t="shared" si="12"/>
        <v>Medium_Pressure</v>
      </c>
      <c r="Q425" s="4" t="str">
        <f t="shared" si="13"/>
        <v>DISENGAGED</v>
      </c>
      <c r="R425" s="4" t="str">
        <f t="shared" si="14"/>
        <v>LOW</v>
      </c>
      <c r="S425" s="2"/>
      <c r="T425" s="2"/>
      <c r="U425" s="2"/>
      <c r="V425" s="2"/>
      <c r="W425" s="2"/>
      <c r="X425" s="2"/>
      <c r="Y425" s="2"/>
      <c r="Z425" s="2"/>
    </row>
    <row r="426" spans="1:26" ht="16.8" x14ac:dyDescent="0.3">
      <c r="A426" s="4">
        <v>568</v>
      </c>
      <c r="B426" s="4" t="s">
        <v>43</v>
      </c>
      <c r="C426" s="4">
        <v>57</v>
      </c>
      <c r="D426" s="4" t="s">
        <v>37</v>
      </c>
      <c r="E426" s="4" t="s">
        <v>56</v>
      </c>
      <c r="F426" s="4">
        <v>14118</v>
      </c>
      <c r="G426" s="4" t="s">
        <v>43</v>
      </c>
      <c r="H426" s="4">
        <v>1</v>
      </c>
      <c r="I426" s="4">
        <v>0</v>
      </c>
      <c r="J426" s="4">
        <v>4</v>
      </c>
      <c r="K426" s="4">
        <v>2</v>
      </c>
      <c r="L426" s="4" t="str">
        <f t="shared" si="8"/>
        <v>NORMAL</v>
      </c>
      <c r="M426" s="4" t="str">
        <f t="shared" si="9"/>
        <v>MEDIUM</v>
      </c>
      <c r="N426" s="4" t="str">
        <f t="shared" si="10"/>
        <v>NEW</v>
      </c>
      <c r="O426" s="4" t="str">
        <f t="shared" si="11"/>
        <v>RECENTLY PROMOTED</v>
      </c>
      <c r="P426" s="5" t="str">
        <f t="shared" si="12"/>
        <v>Low_Pressure</v>
      </c>
      <c r="Q426" s="4" t="str">
        <f t="shared" si="13"/>
        <v>DISENGAGED</v>
      </c>
      <c r="R426" s="4" t="str">
        <f t="shared" si="14"/>
        <v>LOW</v>
      </c>
      <c r="S426" s="2"/>
      <c r="T426" s="2"/>
      <c r="U426" s="2"/>
      <c r="V426" s="2"/>
      <c r="W426" s="2"/>
      <c r="X426" s="2"/>
      <c r="Y426" s="2"/>
      <c r="Z426" s="2"/>
    </row>
    <row r="427" spans="1:26" ht="16.8" x14ac:dyDescent="0.3">
      <c r="A427" s="4">
        <v>569</v>
      </c>
      <c r="B427" s="4" t="s">
        <v>43</v>
      </c>
      <c r="C427" s="4">
        <v>50</v>
      </c>
      <c r="D427" s="4" t="s">
        <v>45</v>
      </c>
      <c r="E427" s="4" t="s">
        <v>56</v>
      </c>
      <c r="F427" s="4">
        <v>17046</v>
      </c>
      <c r="G427" s="4" t="s">
        <v>43</v>
      </c>
      <c r="H427" s="4">
        <v>27</v>
      </c>
      <c r="I427" s="4">
        <v>15</v>
      </c>
      <c r="J427" s="4">
        <v>3</v>
      </c>
      <c r="K427" s="4">
        <v>3</v>
      </c>
      <c r="L427" s="4" t="str">
        <f t="shared" si="8"/>
        <v>NORMAL</v>
      </c>
      <c r="M427" s="4" t="str">
        <f t="shared" si="9"/>
        <v>MEDIUM</v>
      </c>
      <c r="N427" s="4" t="str">
        <f t="shared" si="10"/>
        <v>SENIOR</v>
      </c>
      <c r="O427" s="4" t="str">
        <f t="shared" si="11"/>
        <v>STAGNANT</v>
      </c>
      <c r="P427" s="5" t="str">
        <f t="shared" si="12"/>
        <v>Medium_Pressure</v>
      </c>
      <c r="Q427" s="4" t="str">
        <f t="shared" si="13"/>
        <v>HIGHLY_ENGAGED</v>
      </c>
      <c r="R427" s="4" t="str">
        <f t="shared" si="14"/>
        <v>LOW</v>
      </c>
      <c r="S427" s="2"/>
      <c r="T427" s="2"/>
      <c r="U427" s="2"/>
      <c r="V427" s="2"/>
      <c r="W427" s="2"/>
      <c r="X427" s="2"/>
      <c r="Y427" s="2"/>
      <c r="Z427" s="2"/>
    </row>
    <row r="428" spans="1:26" ht="16.8" x14ac:dyDescent="0.3">
      <c r="A428" s="4">
        <v>571</v>
      </c>
      <c r="B428" s="4" t="s">
        <v>43</v>
      </c>
      <c r="C428" s="4">
        <v>30</v>
      </c>
      <c r="D428" s="4" t="s">
        <v>45</v>
      </c>
      <c r="E428" s="4" t="s">
        <v>50</v>
      </c>
      <c r="F428" s="4">
        <v>2564</v>
      </c>
      <c r="G428" s="4" t="s">
        <v>43</v>
      </c>
      <c r="H428" s="4">
        <v>11</v>
      </c>
      <c r="I428" s="4">
        <v>6</v>
      </c>
      <c r="J428" s="4">
        <v>4</v>
      </c>
      <c r="K428" s="4">
        <v>2</v>
      </c>
      <c r="L428" s="4" t="str">
        <f t="shared" si="8"/>
        <v>NORMAL</v>
      </c>
      <c r="M428" s="4" t="str">
        <f t="shared" si="9"/>
        <v>LOW</v>
      </c>
      <c r="N428" s="4" t="str">
        <f t="shared" si="10"/>
        <v>SENIOR</v>
      </c>
      <c r="O428" s="4" t="str">
        <f t="shared" si="11"/>
        <v>STAGNANT</v>
      </c>
      <c r="P428" s="5" t="str">
        <f t="shared" si="12"/>
        <v>Low_Pressure</v>
      </c>
      <c r="Q428" s="4" t="str">
        <f t="shared" si="13"/>
        <v>DISENGAGED</v>
      </c>
      <c r="R428" s="4" t="str">
        <f t="shared" si="14"/>
        <v>LOW</v>
      </c>
      <c r="S428" s="2"/>
      <c r="T428" s="2"/>
      <c r="U428" s="2"/>
      <c r="V428" s="2"/>
      <c r="W428" s="2"/>
      <c r="X428" s="2"/>
      <c r="Y428" s="2"/>
      <c r="Z428" s="2"/>
    </row>
    <row r="429" spans="1:26" ht="16.8" x14ac:dyDescent="0.3">
      <c r="A429" s="4">
        <v>573</v>
      </c>
      <c r="B429" s="4" t="s">
        <v>43</v>
      </c>
      <c r="C429" s="4">
        <v>60</v>
      </c>
      <c r="D429" s="4" t="s">
        <v>37</v>
      </c>
      <c r="E429" s="4" t="s">
        <v>40</v>
      </c>
      <c r="F429" s="4">
        <v>10266</v>
      </c>
      <c r="G429" s="4" t="s">
        <v>43</v>
      </c>
      <c r="H429" s="4">
        <v>18</v>
      </c>
      <c r="I429" s="4">
        <v>13</v>
      </c>
      <c r="J429" s="4">
        <v>1</v>
      </c>
      <c r="K429" s="4">
        <v>4</v>
      </c>
      <c r="L429" s="4" t="str">
        <f t="shared" si="8"/>
        <v>NORMAL</v>
      </c>
      <c r="M429" s="4" t="str">
        <f t="shared" si="9"/>
        <v>MEDIUM</v>
      </c>
      <c r="N429" s="4" t="str">
        <f t="shared" si="10"/>
        <v>SENIOR</v>
      </c>
      <c r="O429" s="4" t="str">
        <f t="shared" si="11"/>
        <v>STAGNANT</v>
      </c>
      <c r="P429" s="5" t="str">
        <f t="shared" si="12"/>
        <v>Low_Pressure</v>
      </c>
      <c r="Q429" s="4" t="str">
        <f t="shared" si="13"/>
        <v>DISENGAGED</v>
      </c>
      <c r="R429" s="4" t="str">
        <f t="shared" si="14"/>
        <v>LOW</v>
      </c>
      <c r="S429" s="2"/>
      <c r="T429" s="2"/>
      <c r="U429" s="2"/>
      <c r="V429" s="2"/>
      <c r="W429" s="2"/>
      <c r="X429" s="2"/>
      <c r="Y429" s="2"/>
      <c r="Z429" s="2"/>
    </row>
    <row r="430" spans="1:26" ht="16.8" x14ac:dyDescent="0.3">
      <c r="A430" s="4">
        <v>574</v>
      </c>
      <c r="B430" s="4" t="s">
        <v>43</v>
      </c>
      <c r="C430" s="4">
        <v>47</v>
      </c>
      <c r="D430" s="4" t="s">
        <v>45</v>
      </c>
      <c r="E430" s="4" t="s">
        <v>53</v>
      </c>
      <c r="F430" s="4">
        <v>5070</v>
      </c>
      <c r="G430" s="4" t="s">
        <v>43</v>
      </c>
      <c r="H430" s="4">
        <v>5</v>
      </c>
      <c r="I430" s="4">
        <v>0</v>
      </c>
      <c r="J430" s="4">
        <v>4</v>
      </c>
      <c r="K430" s="4">
        <v>3</v>
      </c>
      <c r="L430" s="4" t="str">
        <f t="shared" si="8"/>
        <v>NORMAL</v>
      </c>
      <c r="M430" s="4" t="str">
        <f t="shared" si="9"/>
        <v>HIGH</v>
      </c>
      <c r="N430" s="4" t="str">
        <f t="shared" si="10"/>
        <v>MID</v>
      </c>
      <c r="O430" s="4" t="str">
        <f t="shared" si="11"/>
        <v>RECENTLY PROMOTED</v>
      </c>
      <c r="P430" s="5" t="str">
        <f t="shared" si="12"/>
        <v>Medium_Pressure</v>
      </c>
      <c r="Q430" s="4" t="str">
        <f t="shared" si="13"/>
        <v>HIGHLY_ENGAGED</v>
      </c>
      <c r="R430" s="4" t="str">
        <f t="shared" si="14"/>
        <v>LOW</v>
      </c>
      <c r="S430" s="2"/>
      <c r="T430" s="2"/>
      <c r="U430" s="2"/>
      <c r="V430" s="2"/>
      <c r="W430" s="2"/>
      <c r="X430" s="2"/>
      <c r="Y430" s="2"/>
      <c r="Z430" s="2"/>
    </row>
    <row r="431" spans="1:26" ht="16.8" x14ac:dyDescent="0.3">
      <c r="A431" s="4">
        <v>575</v>
      </c>
      <c r="B431" s="4" t="s">
        <v>43</v>
      </c>
      <c r="C431" s="4">
        <v>46</v>
      </c>
      <c r="D431" s="4" t="s">
        <v>45</v>
      </c>
      <c r="E431" s="4" t="s">
        <v>58</v>
      </c>
      <c r="F431" s="4">
        <v>17861</v>
      </c>
      <c r="G431" s="4" t="s">
        <v>43</v>
      </c>
      <c r="H431" s="4">
        <v>3</v>
      </c>
      <c r="I431" s="4">
        <v>0</v>
      </c>
      <c r="J431" s="4">
        <v>3</v>
      </c>
      <c r="K431" s="4">
        <v>1</v>
      </c>
      <c r="L431" s="4" t="str">
        <f t="shared" si="8"/>
        <v>NORMAL</v>
      </c>
      <c r="M431" s="4" t="str">
        <f t="shared" si="9"/>
        <v>MEDIUM</v>
      </c>
      <c r="N431" s="4" t="str">
        <f t="shared" si="10"/>
        <v>MID</v>
      </c>
      <c r="O431" s="4" t="str">
        <f t="shared" si="11"/>
        <v>RECENTLY PROMOTED</v>
      </c>
      <c r="P431" s="5" t="str">
        <f t="shared" si="12"/>
        <v>Low_Pressure</v>
      </c>
      <c r="Q431" s="4" t="str">
        <f t="shared" si="13"/>
        <v>DISENGAGED</v>
      </c>
      <c r="R431" s="4" t="str">
        <f t="shared" si="14"/>
        <v>LOW</v>
      </c>
      <c r="S431" s="2"/>
      <c r="T431" s="2"/>
      <c r="U431" s="2"/>
      <c r="V431" s="2"/>
      <c r="W431" s="2"/>
      <c r="X431" s="2"/>
      <c r="Y431" s="2"/>
      <c r="Z431" s="2"/>
    </row>
    <row r="432" spans="1:26" ht="16.8" x14ac:dyDescent="0.3">
      <c r="A432" s="4">
        <v>577</v>
      </c>
      <c r="B432" s="4" t="s">
        <v>43</v>
      </c>
      <c r="C432" s="4">
        <v>35</v>
      </c>
      <c r="D432" s="4" t="s">
        <v>45</v>
      </c>
      <c r="E432" s="4" t="s">
        <v>50</v>
      </c>
      <c r="F432" s="4">
        <v>4230</v>
      </c>
      <c r="G432" s="4" t="s">
        <v>43</v>
      </c>
      <c r="H432" s="4">
        <v>5</v>
      </c>
      <c r="I432" s="4">
        <v>4</v>
      </c>
      <c r="J432" s="4">
        <v>3</v>
      </c>
      <c r="K432" s="4">
        <v>3</v>
      </c>
      <c r="L432" s="4" t="str">
        <f t="shared" si="8"/>
        <v>NORMAL</v>
      </c>
      <c r="M432" s="4" t="str">
        <f t="shared" si="9"/>
        <v>HIGH</v>
      </c>
      <c r="N432" s="4" t="str">
        <f t="shared" si="10"/>
        <v>MID</v>
      </c>
      <c r="O432" s="4" t="str">
        <f t="shared" si="11"/>
        <v>STAGNANT</v>
      </c>
      <c r="P432" s="5" t="str">
        <f t="shared" si="12"/>
        <v>Medium_Pressure</v>
      </c>
      <c r="Q432" s="4" t="str">
        <f t="shared" si="13"/>
        <v>HIGHLY_ENGAGED</v>
      </c>
      <c r="R432" s="4" t="str">
        <f t="shared" si="14"/>
        <v>LOW</v>
      </c>
      <c r="S432" s="2"/>
      <c r="T432" s="2"/>
      <c r="U432" s="2"/>
      <c r="V432" s="2"/>
      <c r="W432" s="2"/>
      <c r="X432" s="2"/>
      <c r="Y432" s="2"/>
      <c r="Z432" s="2"/>
    </row>
    <row r="433" spans="1:26" ht="16.8" x14ac:dyDescent="0.3">
      <c r="A433" s="4">
        <v>578</v>
      </c>
      <c r="B433" s="4" t="s">
        <v>43</v>
      </c>
      <c r="C433" s="4">
        <v>54</v>
      </c>
      <c r="D433" s="4" t="s">
        <v>45</v>
      </c>
      <c r="E433" s="4" t="s">
        <v>50</v>
      </c>
      <c r="F433" s="4">
        <v>3780</v>
      </c>
      <c r="G433" s="4" t="s">
        <v>43</v>
      </c>
      <c r="H433" s="4">
        <v>1</v>
      </c>
      <c r="I433" s="4">
        <v>0</v>
      </c>
      <c r="J433" s="4">
        <v>3</v>
      </c>
      <c r="K433" s="4">
        <v>3</v>
      </c>
      <c r="L433" s="4" t="str">
        <f t="shared" si="8"/>
        <v>NORMAL</v>
      </c>
      <c r="M433" s="4" t="str">
        <f t="shared" si="9"/>
        <v>LOW</v>
      </c>
      <c r="N433" s="4" t="str">
        <f t="shared" si="10"/>
        <v>NEW</v>
      </c>
      <c r="O433" s="4" t="str">
        <f t="shared" si="11"/>
        <v>RECENTLY PROMOTED</v>
      </c>
      <c r="P433" s="5" t="str">
        <f t="shared" si="12"/>
        <v>Medium_Pressure</v>
      </c>
      <c r="Q433" s="4" t="str">
        <f t="shared" si="13"/>
        <v>HIGHLY_ENGAGED</v>
      </c>
      <c r="R433" s="4" t="str">
        <f t="shared" si="14"/>
        <v>LOW</v>
      </c>
      <c r="S433" s="2"/>
      <c r="T433" s="2"/>
      <c r="U433" s="2"/>
      <c r="V433" s="2"/>
      <c r="W433" s="2"/>
      <c r="X433" s="2"/>
      <c r="Y433" s="2"/>
      <c r="Z433" s="2"/>
    </row>
    <row r="434" spans="1:26" ht="16.8" x14ac:dyDescent="0.3">
      <c r="A434" s="4">
        <v>579</v>
      </c>
      <c r="B434" s="4" t="s">
        <v>43</v>
      </c>
      <c r="C434" s="4">
        <v>34</v>
      </c>
      <c r="D434" s="4" t="s">
        <v>45</v>
      </c>
      <c r="E434" s="4" t="s">
        <v>47</v>
      </c>
      <c r="F434" s="4">
        <v>2768</v>
      </c>
      <c r="G434" s="4" t="s">
        <v>43</v>
      </c>
      <c r="H434" s="4">
        <v>7</v>
      </c>
      <c r="I434" s="4">
        <v>5</v>
      </c>
      <c r="J434" s="4">
        <v>3</v>
      </c>
      <c r="K434" s="4">
        <v>3</v>
      </c>
      <c r="L434" s="4" t="str">
        <f t="shared" si="8"/>
        <v>NORMAL</v>
      </c>
      <c r="M434" s="4" t="str">
        <f t="shared" si="9"/>
        <v>LOW</v>
      </c>
      <c r="N434" s="4" t="str">
        <f t="shared" si="10"/>
        <v>SENIOR</v>
      </c>
      <c r="O434" s="4" t="str">
        <f t="shared" si="11"/>
        <v>STAGNANT</v>
      </c>
      <c r="P434" s="5" t="str">
        <f t="shared" si="12"/>
        <v>Medium_Pressure</v>
      </c>
      <c r="Q434" s="4" t="str">
        <f t="shared" si="13"/>
        <v>HIGHLY_ENGAGED</v>
      </c>
      <c r="R434" s="4" t="str">
        <f t="shared" si="14"/>
        <v>LOW</v>
      </c>
      <c r="S434" s="2"/>
      <c r="T434" s="2"/>
      <c r="U434" s="2"/>
      <c r="V434" s="2"/>
      <c r="W434" s="2"/>
      <c r="X434" s="2"/>
      <c r="Y434" s="2"/>
      <c r="Z434" s="2"/>
    </row>
    <row r="435" spans="1:26" ht="16.8" x14ac:dyDescent="0.3">
      <c r="A435" s="4">
        <v>580</v>
      </c>
      <c r="B435" s="4" t="s">
        <v>43</v>
      </c>
      <c r="C435" s="4">
        <v>46</v>
      </c>
      <c r="D435" s="4" t="s">
        <v>37</v>
      </c>
      <c r="E435" s="4" t="s">
        <v>40</v>
      </c>
      <c r="F435" s="4">
        <v>9071</v>
      </c>
      <c r="G435" s="4" t="s">
        <v>35</v>
      </c>
      <c r="H435" s="4">
        <v>3</v>
      </c>
      <c r="I435" s="4">
        <v>1</v>
      </c>
      <c r="J435" s="4">
        <v>4</v>
      </c>
      <c r="K435" s="4">
        <v>3</v>
      </c>
      <c r="L435" s="4" t="str">
        <f t="shared" si="8"/>
        <v>NORMAL</v>
      </c>
      <c r="M435" s="4" t="str">
        <f t="shared" si="9"/>
        <v>MEDIUM</v>
      </c>
      <c r="N435" s="4" t="str">
        <f t="shared" si="10"/>
        <v>MID</v>
      </c>
      <c r="O435" s="4" t="str">
        <f t="shared" si="11"/>
        <v>RECENTLY PROMOTED</v>
      </c>
      <c r="P435" s="5" t="str">
        <f t="shared" si="12"/>
        <v>Medium_Pressure</v>
      </c>
      <c r="Q435" s="4" t="str">
        <f t="shared" si="13"/>
        <v>HIGHLY_ENGAGED</v>
      </c>
      <c r="R435" s="4" t="str">
        <f t="shared" si="14"/>
        <v>LOW</v>
      </c>
      <c r="S435" s="2"/>
      <c r="T435" s="2"/>
      <c r="U435" s="2"/>
      <c r="V435" s="2"/>
      <c r="W435" s="2"/>
      <c r="X435" s="2"/>
      <c r="Y435" s="2"/>
      <c r="Z435" s="2"/>
    </row>
    <row r="436" spans="1:26" ht="16.8" x14ac:dyDescent="0.3">
      <c r="A436" s="4">
        <v>581</v>
      </c>
      <c r="B436" s="4" t="s">
        <v>43</v>
      </c>
      <c r="C436" s="4">
        <v>31</v>
      </c>
      <c r="D436" s="4" t="s">
        <v>45</v>
      </c>
      <c r="E436" s="4" t="s">
        <v>53</v>
      </c>
      <c r="F436" s="4">
        <v>10648</v>
      </c>
      <c r="G436" s="4" t="s">
        <v>43</v>
      </c>
      <c r="H436" s="4">
        <v>13</v>
      </c>
      <c r="I436" s="4">
        <v>0</v>
      </c>
      <c r="J436" s="4">
        <v>2</v>
      </c>
      <c r="K436" s="4">
        <v>4</v>
      </c>
      <c r="L436" s="4" t="str">
        <f t="shared" si="8"/>
        <v>NORMAL</v>
      </c>
      <c r="M436" s="4" t="str">
        <f t="shared" si="9"/>
        <v>MEDIUM</v>
      </c>
      <c r="N436" s="4" t="str">
        <f t="shared" si="10"/>
        <v>SENIOR</v>
      </c>
      <c r="O436" s="4" t="str">
        <f t="shared" si="11"/>
        <v>RECENTLY PROMOTED</v>
      </c>
      <c r="P436" s="5" t="str">
        <f t="shared" si="12"/>
        <v>Low_Pressure</v>
      </c>
      <c r="Q436" s="4" t="str">
        <f t="shared" si="13"/>
        <v>DISENGAGED</v>
      </c>
      <c r="R436" s="4" t="str">
        <f t="shared" si="14"/>
        <v>LOW</v>
      </c>
      <c r="S436" s="2"/>
      <c r="T436" s="2"/>
      <c r="U436" s="2"/>
      <c r="V436" s="2"/>
      <c r="W436" s="2"/>
      <c r="X436" s="2"/>
      <c r="Y436" s="2"/>
      <c r="Z436" s="2"/>
    </row>
    <row r="437" spans="1:26" ht="16.8" x14ac:dyDescent="0.3">
      <c r="A437" s="4">
        <v>582</v>
      </c>
      <c r="B437" s="4" t="s">
        <v>35</v>
      </c>
      <c r="C437" s="4">
        <v>33</v>
      </c>
      <c r="D437" s="4" t="s">
        <v>45</v>
      </c>
      <c r="E437" s="4" t="s">
        <v>56</v>
      </c>
      <c r="F437" s="4">
        <v>13610</v>
      </c>
      <c r="G437" s="4" t="s">
        <v>35</v>
      </c>
      <c r="H437" s="4">
        <v>7</v>
      </c>
      <c r="I437" s="4">
        <v>7</v>
      </c>
      <c r="J437" s="4">
        <v>3</v>
      </c>
      <c r="K437" s="4">
        <v>4</v>
      </c>
      <c r="L437" s="4" t="str">
        <f t="shared" si="8"/>
        <v>NORMAL</v>
      </c>
      <c r="M437" s="4" t="str">
        <f t="shared" si="9"/>
        <v>MEDIUM</v>
      </c>
      <c r="N437" s="4" t="str">
        <f t="shared" si="10"/>
        <v>SENIOR</v>
      </c>
      <c r="O437" s="4" t="str">
        <f t="shared" si="11"/>
        <v>STAGNANT</v>
      </c>
      <c r="P437" s="5" t="str">
        <f t="shared" si="12"/>
        <v>Medium_Pressure</v>
      </c>
      <c r="Q437" s="4" t="str">
        <f t="shared" si="13"/>
        <v>HIGHLY_ENGAGED</v>
      </c>
      <c r="R437" s="4" t="str">
        <f t="shared" si="14"/>
        <v>LOW</v>
      </c>
      <c r="S437" s="2"/>
      <c r="T437" s="2"/>
      <c r="U437" s="2"/>
      <c r="V437" s="2"/>
      <c r="W437" s="2"/>
      <c r="X437" s="2"/>
      <c r="Y437" s="2"/>
      <c r="Z437" s="2"/>
    </row>
    <row r="438" spans="1:26" ht="16.8" x14ac:dyDescent="0.3">
      <c r="A438" s="4">
        <v>584</v>
      </c>
      <c r="B438" s="4" t="s">
        <v>35</v>
      </c>
      <c r="C438" s="4">
        <v>33</v>
      </c>
      <c r="D438" s="4" t="s">
        <v>45</v>
      </c>
      <c r="E438" s="4" t="s">
        <v>50</v>
      </c>
      <c r="F438" s="4">
        <v>3408</v>
      </c>
      <c r="G438" s="4" t="s">
        <v>43</v>
      </c>
      <c r="H438" s="4">
        <v>4</v>
      </c>
      <c r="I438" s="4">
        <v>1</v>
      </c>
      <c r="J438" s="4">
        <v>4</v>
      </c>
      <c r="K438" s="4">
        <v>3</v>
      </c>
      <c r="L438" s="4" t="str">
        <f t="shared" si="8"/>
        <v>NORMAL</v>
      </c>
      <c r="M438" s="4" t="str">
        <f t="shared" si="9"/>
        <v>LOW</v>
      </c>
      <c r="N438" s="4" t="str">
        <f t="shared" si="10"/>
        <v>MID</v>
      </c>
      <c r="O438" s="4" t="str">
        <f t="shared" si="11"/>
        <v>RECENTLY PROMOTED</v>
      </c>
      <c r="P438" s="5" t="str">
        <f t="shared" si="12"/>
        <v>Medium_Pressure</v>
      </c>
      <c r="Q438" s="4" t="str">
        <f t="shared" si="13"/>
        <v>HIGHLY_ENGAGED</v>
      </c>
      <c r="R438" s="4" t="str">
        <f t="shared" si="14"/>
        <v>LOW</v>
      </c>
      <c r="S438" s="2"/>
      <c r="T438" s="2"/>
      <c r="U438" s="2"/>
      <c r="V438" s="2"/>
      <c r="W438" s="2"/>
      <c r="X438" s="2"/>
      <c r="Y438" s="2"/>
      <c r="Z438" s="2"/>
    </row>
    <row r="439" spans="1:26" ht="16.8" x14ac:dyDescent="0.3">
      <c r="A439" s="4">
        <v>585</v>
      </c>
      <c r="B439" s="4" t="s">
        <v>43</v>
      </c>
      <c r="C439" s="4">
        <v>30</v>
      </c>
      <c r="D439" s="4" t="s">
        <v>37</v>
      </c>
      <c r="E439" s="4" t="s">
        <v>57</v>
      </c>
      <c r="F439" s="4">
        <v>2983</v>
      </c>
      <c r="G439" s="4" t="s">
        <v>43</v>
      </c>
      <c r="H439" s="4">
        <v>3</v>
      </c>
      <c r="I439" s="4">
        <v>1</v>
      </c>
      <c r="J439" s="4">
        <v>2</v>
      </c>
      <c r="K439" s="4">
        <v>3</v>
      </c>
      <c r="L439" s="4" t="str">
        <f t="shared" si="8"/>
        <v>NORMAL</v>
      </c>
      <c r="M439" s="4" t="str">
        <f t="shared" si="9"/>
        <v>LOW</v>
      </c>
      <c r="N439" s="4" t="str">
        <f t="shared" si="10"/>
        <v>MID</v>
      </c>
      <c r="O439" s="4" t="str">
        <f t="shared" si="11"/>
        <v>RECENTLY PROMOTED</v>
      </c>
      <c r="P439" s="5" t="str">
        <f t="shared" si="12"/>
        <v>Medium_Pressure</v>
      </c>
      <c r="Q439" s="4" t="str">
        <f t="shared" si="13"/>
        <v>DISENGAGED</v>
      </c>
      <c r="R439" s="4" t="str">
        <f t="shared" si="14"/>
        <v>LOW</v>
      </c>
      <c r="S439" s="2"/>
      <c r="T439" s="2"/>
      <c r="U439" s="2"/>
      <c r="V439" s="2"/>
      <c r="W439" s="2"/>
      <c r="X439" s="2"/>
      <c r="Y439" s="2"/>
      <c r="Z439" s="2"/>
    </row>
    <row r="440" spans="1:26" ht="16.8" x14ac:dyDescent="0.3">
      <c r="A440" s="4">
        <v>586</v>
      </c>
      <c r="B440" s="4" t="s">
        <v>43</v>
      </c>
      <c r="C440" s="4">
        <v>35</v>
      </c>
      <c r="D440" s="4" t="s">
        <v>45</v>
      </c>
      <c r="E440" s="4" t="s">
        <v>54</v>
      </c>
      <c r="F440" s="4">
        <v>7632</v>
      </c>
      <c r="G440" s="4" t="s">
        <v>35</v>
      </c>
      <c r="H440" s="4">
        <v>8</v>
      </c>
      <c r="I440" s="4">
        <v>0</v>
      </c>
      <c r="J440" s="4">
        <v>3</v>
      </c>
      <c r="K440" s="4">
        <v>3</v>
      </c>
      <c r="L440" s="4" t="str">
        <f t="shared" si="8"/>
        <v>NORMAL</v>
      </c>
      <c r="M440" s="4" t="str">
        <f t="shared" si="9"/>
        <v>HIGH</v>
      </c>
      <c r="N440" s="4" t="str">
        <f t="shared" si="10"/>
        <v>SENIOR</v>
      </c>
      <c r="O440" s="4" t="str">
        <f t="shared" si="11"/>
        <v>RECENTLY PROMOTED</v>
      </c>
      <c r="P440" s="5" t="str">
        <f t="shared" si="12"/>
        <v>Medium_Pressure</v>
      </c>
      <c r="Q440" s="4" t="str">
        <f t="shared" si="13"/>
        <v>HIGHLY_ENGAGED</v>
      </c>
      <c r="R440" s="4" t="str">
        <f t="shared" si="14"/>
        <v>LOW</v>
      </c>
      <c r="S440" s="2"/>
      <c r="T440" s="2"/>
      <c r="U440" s="2"/>
      <c r="V440" s="2"/>
      <c r="W440" s="2"/>
      <c r="X440" s="2"/>
      <c r="Y440" s="2"/>
      <c r="Z440" s="2"/>
    </row>
    <row r="441" spans="1:26" ht="16.8" x14ac:dyDescent="0.3">
      <c r="A441" s="4">
        <v>587</v>
      </c>
      <c r="B441" s="4" t="s">
        <v>35</v>
      </c>
      <c r="C441" s="4">
        <v>31</v>
      </c>
      <c r="D441" s="4" t="s">
        <v>45</v>
      </c>
      <c r="E441" s="4" t="s">
        <v>54</v>
      </c>
      <c r="F441" s="4">
        <v>9824</v>
      </c>
      <c r="G441" s="4" t="s">
        <v>43</v>
      </c>
      <c r="H441" s="4">
        <v>1</v>
      </c>
      <c r="I441" s="4">
        <v>0</v>
      </c>
      <c r="J441" s="4">
        <v>3</v>
      </c>
      <c r="K441" s="4">
        <v>3</v>
      </c>
      <c r="L441" s="4" t="str">
        <f t="shared" si="8"/>
        <v>NORMAL</v>
      </c>
      <c r="M441" s="4" t="str">
        <f t="shared" si="9"/>
        <v>MEDIUM</v>
      </c>
      <c r="N441" s="4" t="str">
        <f t="shared" si="10"/>
        <v>NEW</v>
      </c>
      <c r="O441" s="4" t="str">
        <f t="shared" si="11"/>
        <v>RECENTLY PROMOTED</v>
      </c>
      <c r="P441" s="5" t="str">
        <f t="shared" si="12"/>
        <v>Medium_Pressure</v>
      </c>
      <c r="Q441" s="4" t="str">
        <f t="shared" si="13"/>
        <v>HIGHLY_ENGAGED</v>
      </c>
      <c r="R441" s="4" t="str">
        <f t="shared" si="14"/>
        <v>LOW</v>
      </c>
      <c r="S441" s="2"/>
      <c r="T441" s="2"/>
      <c r="U441" s="2"/>
      <c r="V441" s="2"/>
      <c r="W441" s="2"/>
      <c r="X441" s="2"/>
      <c r="Y441" s="2"/>
      <c r="Z441" s="2"/>
    </row>
    <row r="442" spans="1:26" ht="16.8" x14ac:dyDescent="0.3">
      <c r="A442" s="4">
        <v>590</v>
      </c>
      <c r="B442" s="4" t="s">
        <v>35</v>
      </c>
      <c r="C442" s="4">
        <v>34</v>
      </c>
      <c r="D442" s="4" t="s">
        <v>61</v>
      </c>
      <c r="E442" s="4" t="s">
        <v>61</v>
      </c>
      <c r="F442" s="4">
        <v>9950</v>
      </c>
      <c r="G442" s="4" t="s">
        <v>35</v>
      </c>
      <c r="H442" s="4">
        <v>3</v>
      </c>
      <c r="I442" s="4">
        <v>0</v>
      </c>
      <c r="J442" s="4">
        <v>1</v>
      </c>
      <c r="K442" s="4">
        <v>3</v>
      </c>
      <c r="L442" s="4" t="str">
        <f t="shared" si="8"/>
        <v>NORMAL</v>
      </c>
      <c r="M442" s="4" t="str">
        <f t="shared" si="9"/>
        <v>MEDIUM</v>
      </c>
      <c r="N442" s="4" t="str">
        <f t="shared" si="10"/>
        <v>MID</v>
      </c>
      <c r="O442" s="4" t="str">
        <f t="shared" si="11"/>
        <v>RECENTLY PROMOTED</v>
      </c>
      <c r="P442" s="5" t="str">
        <f t="shared" si="12"/>
        <v>Medium_Pressure</v>
      </c>
      <c r="Q442" s="4" t="str">
        <f t="shared" si="13"/>
        <v>DISENGAGED</v>
      </c>
      <c r="R442" s="4" t="str">
        <f t="shared" si="14"/>
        <v>LOW</v>
      </c>
      <c r="S442" s="2"/>
      <c r="T442" s="2"/>
      <c r="U442" s="2"/>
      <c r="V442" s="2"/>
      <c r="W442" s="2"/>
      <c r="X442" s="2"/>
      <c r="Y442" s="2"/>
      <c r="Z442" s="2"/>
    </row>
    <row r="443" spans="1:26" ht="16.8" x14ac:dyDescent="0.3">
      <c r="A443" s="4">
        <v>591</v>
      </c>
      <c r="B443" s="4" t="s">
        <v>43</v>
      </c>
      <c r="C443" s="4">
        <v>42</v>
      </c>
      <c r="D443" s="4" t="s">
        <v>45</v>
      </c>
      <c r="E443" s="4" t="s">
        <v>50</v>
      </c>
      <c r="F443" s="4">
        <v>2093</v>
      </c>
      <c r="G443" s="4" t="s">
        <v>43</v>
      </c>
      <c r="H443" s="4">
        <v>2</v>
      </c>
      <c r="I443" s="4">
        <v>2</v>
      </c>
      <c r="J443" s="4">
        <v>3</v>
      </c>
      <c r="K443" s="4">
        <v>3</v>
      </c>
      <c r="L443" s="4" t="str">
        <f t="shared" si="8"/>
        <v>NORMAL</v>
      </c>
      <c r="M443" s="4" t="str">
        <f t="shared" si="9"/>
        <v>LOW</v>
      </c>
      <c r="N443" s="4" t="str">
        <f t="shared" si="10"/>
        <v>NEW</v>
      </c>
      <c r="O443" s="4" t="str">
        <f t="shared" si="11"/>
        <v>MODERATE-WAIT</v>
      </c>
      <c r="P443" s="5" t="str">
        <f t="shared" si="12"/>
        <v>Medium_Pressure</v>
      </c>
      <c r="Q443" s="4" t="str">
        <f t="shared" si="13"/>
        <v>HIGHLY_ENGAGED</v>
      </c>
      <c r="R443" s="4" t="str">
        <f t="shared" si="14"/>
        <v>LOW</v>
      </c>
      <c r="S443" s="2"/>
      <c r="T443" s="2"/>
      <c r="U443" s="2"/>
      <c r="V443" s="2"/>
      <c r="W443" s="2"/>
      <c r="X443" s="2"/>
      <c r="Y443" s="2"/>
      <c r="Z443" s="2"/>
    </row>
    <row r="444" spans="1:26" ht="16.8" x14ac:dyDescent="0.3">
      <c r="A444" s="4">
        <v>592</v>
      </c>
      <c r="B444" s="4" t="s">
        <v>43</v>
      </c>
      <c r="C444" s="4">
        <v>36</v>
      </c>
      <c r="D444" s="4" t="s">
        <v>37</v>
      </c>
      <c r="E444" s="4" t="s">
        <v>40</v>
      </c>
      <c r="F444" s="4">
        <v>9980</v>
      </c>
      <c r="G444" s="4" t="s">
        <v>43</v>
      </c>
      <c r="H444" s="4">
        <v>10</v>
      </c>
      <c r="I444" s="4">
        <v>9</v>
      </c>
      <c r="J444" s="4">
        <v>4</v>
      </c>
      <c r="K444" s="4">
        <v>2</v>
      </c>
      <c r="L444" s="4" t="str">
        <f t="shared" si="8"/>
        <v>NORMAL</v>
      </c>
      <c r="M444" s="4" t="str">
        <f t="shared" si="9"/>
        <v>MEDIUM</v>
      </c>
      <c r="N444" s="4" t="str">
        <f t="shared" si="10"/>
        <v>SENIOR</v>
      </c>
      <c r="O444" s="4" t="str">
        <f t="shared" si="11"/>
        <v>STAGNANT</v>
      </c>
      <c r="P444" s="5" t="str">
        <f t="shared" si="12"/>
        <v>Low_Pressure</v>
      </c>
      <c r="Q444" s="4" t="str">
        <f t="shared" si="13"/>
        <v>DISENGAGED</v>
      </c>
      <c r="R444" s="4" t="str">
        <f t="shared" si="14"/>
        <v>LOW</v>
      </c>
      <c r="S444" s="2"/>
      <c r="T444" s="2"/>
      <c r="U444" s="2"/>
      <c r="V444" s="2"/>
      <c r="W444" s="2"/>
      <c r="X444" s="2"/>
      <c r="Y444" s="2"/>
      <c r="Z444" s="2"/>
    </row>
    <row r="445" spans="1:26" ht="16.8" x14ac:dyDescent="0.3">
      <c r="A445" s="4">
        <v>593</v>
      </c>
      <c r="B445" s="4" t="s">
        <v>35</v>
      </c>
      <c r="C445" s="4">
        <v>22</v>
      </c>
      <c r="D445" s="4" t="s">
        <v>45</v>
      </c>
      <c r="E445" s="4" t="s">
        <v>50</v>
      </c>
      <c r="F445" s="4">
        <v>3894</v>
      </c>
      <c r="G445" s="4" t="s">
        <v>43</v>
      </c>
      <c r="H445" s="4">
        <v>2</v>
      </c>
      <c r="I445" s="4">
        <v>1</v>
      </c>
      <c r="J445" s="4">
        <v>3</v>
      </c>
      <c r="K445" s="4">
        <v>3</v>
      </c>
      <c r="L445" s="4" t="str">
        <f t="shared" si="8"/>
        <v>NORMAL</v>
      </c>
      <c r="M445" s="4" t="str">
        <f t="shared" si="9"/>
        <v>LOW</v>
      </c>
      <c r="N445" s="4" t="str">
        <f t="shared" si="10"/>
        <v>NEW</v>
      </c>
      <c r="O445" s="4" t="str">
        <f t="shared" si="11"/>
        <v>RECENTLY PROMOTED</v>
      </c>
      <c r="P445" s="5" t="str">
        <f t="shared" si="12"/>
        <v>Medium_Pressure</v>
      </c>
      <c r="Q445" s="4" t="str">
        <f t="shared" si="13"/>
        <v>HIGHLY_ENGAGED</v>
      </c>
      <c r="R445" s="4" t="str">
        <f t="shared" si="14"/>
        <v>LOW</v>
      </c>
      <c r="S445" s="2"/>
      <c r="T445" s="2"/>
      <c r="U445" s="2"/>
      <c r="V445" s="2"/>
      <c r="W445" s="2"/>
      <c r="X445" s="2"/>
      <c r="Y445" s="2"/>
      <c r="Z445" s="2"/>
    </row>
    <row r="446" spans="1:26" ht="16.8" x14ac:dyDescent="0.3">
      <c r="A446" s="4">
        <v>595</v>
      </c>
      <c r="B446" s="4" t="s">
        <v>43</v>
      </c>
      <c r="C446" s="4">
        <v>48</v>
      </c>
      <c r="D446" s="4" t="s">
        <v>37</v>
      </c>
      <c r="E446" s="4" t="s">
        <v>40</v>
      </c>
      <c r="F446" s="4">
        <v>4051</v>
      </c>
      <c r="G446" s="4" t="s">
        <v>43</v>
      </c>
      <c r="H446" s="4">
        <v>9</v>
      </c>
      <c r="I446" s="4">
        <v>6</v>
      </c>
      <c r="J446" s="4">
        <v>4</v>
      </c>
      <c r="K446" s="4">
        <v>3</v>
      </c>
      <c r="L446" s="4" t="str">
        <f t="shared" si="8"/>
        <v>NORMAL</v>
      </c>
      <c r="M446" s="4" t="str">
        <f t="shared" si="9"/>
        <v>HIGH</v>
      </c>
      <c r="N446" s="4" t="str">
        <f t="shared" si="10"/>
        <v>SENIOR</v>
      </c>
      <c r="O446" s="4" t="str">
        <f t="shared" si="11"/>
        <v>STAGNANT</v>
      </c>
      <c r="P446" s="5" t="str">
        <f t="shared" si="12"/>
        <v>Medium_Pressure</v>
      </c>
      <c r="Q446" s="4" t="str">
        <f t="shared" si="13"/>
        <v>HIGHLY_ENGAGED</v>
      </c>
      <c r="R446" s="4" t="str">
        <f t="shared" si="14"/>
        <v>LOW</v>
      </c>
      <c r="S446" s="2"/>
      <c r="T446" s="2"/>
      <c r="U446" s="2"/>
      <c r="V446" s="2"/>
      <c r="W446" s="2"/>
      <c r="X446" s="2"/>
      <c r="Y446" s="2"/>
      <c r="Z446" s="2"/>
    </row>
    <row r="447" spans="1:26" ht="16.8" x14ac:dyDescent="0.3">
      <c r="A447" s="4">
        <v>597</v>
      </c>
      <c r="B447" s="4" t="s">
        <v>43</v>
      </c>
      <c r="C447" s="4">
        <v>55</v>
      </c>
      <c r="D447" s="4" t="s">
        <v>37</v>
      </c>
      <c r="E447" s="4" t="s">
        <v>56</v>
      </c>
      <c r="F447" s="4">
        <v>16835</v>
      </c>
      <c r="G447" s="4" t="s">
        <v>43</v>
      </c>
      <c r="H447" s="4">
        <v>10</v>
      </c>
      <c r="I447" s="4">
        <v>7</v>
      </c>
      <c r="J447" s="4">
        <v>2</v>
      </c>
      <c r="K447" s="4">
        <v>3</v>
      </c>
      <c r="L447" s="4" t="str">
        <f t="shared" si="8"/>
        <v>NORMAL</v>
      </c>
      <c r="M447" s="4" t="str">
        <f t="shared" si="9"/>
        <v>MEDIUM</v>
      </c>
      <c r="N447" s="4" t="str">
        <f t="shared" si="10"/>
        <v>SENIOR</v>
      </c>
      <c r="O447" s="4" t="str">
        <f t="shared" si="11"/>
        <v>STAGNANT</v>
      </c>
      <c r="P447" s="5" t="str">
        <f t="shared" si="12"/>
        <v>Medium_Pressure</v>
      </c>
      <c r="Q447" s="4" t="str">
        <f t="shared" si="13"/>
        <v>DISENGAGED</v>
      </c>
      <c r="R447" s="4" t="str">
        <f t="shared" si="14"/>
        <v>LOW</v>
      </c>
      <c r="S447" s="2"/>
      <c r="T447" s="2"/>
      <c r="U447" s="2"/>
      <c r="V447" s="2"/>
      <c r="W447" s="2"/>
      <c r="X447" s="2"/>
      <c r="Y447" s="2"/>
      <c r="Z447" s="2"/>
    </row>
    <row r="448" spans="1:26" ht="16.8" x14ac:dyDescent="0.3">
      <c r="A448" s="4">
        <v>599</v>
      </c>
      <c r="B448" s="4" t="s">
        <v>43</v>
      </c>
      <c r="C448" s="4">
        <v>41</v>
      </c>
      <c r="D448" s="4" t="s">
        <v>37</v>
      </c>
      <c r="E448" s="4" t="s">
        <v>40</v>
      </c>
      <c r="F448" s="4">
        <v>6230</v>
      </c>
      <c r="G448" s="4" t="s">
        <v>43</v>
      </c>
      <c r="H448" s="4">
        <v>14</v>
      </c>
      <c r="I448" s="4">
        <v>1</v>
      </c>
      <c r="J448" s="4">
        <v>4</v>
      </c>
      <c r="K448" s="4">
        <v>3</v>
      </c>
      <c r="L448" s="4" t="str">
        <f t="shared" si="8"/>
        <v>NORMAL</v>
      </c>
      <c r="M448" s="4" t="str">
        <f t="shared" si="9"/>
        <v>HIGH</v>
      </c>
      <c r="N448" s="4" t="str">
        <f t="shared" si="10"/>
        <v>SENIOR</v>
      </c>
      <c r="O448" s="4" t="str">
        <f t="shared" si="11"/>
        <v>RECENTLY PROMOTED</v>
      </c>
      <c r="P448" s="5" t="str">
        <f t="shared" si="12"/>
        <v>Medium_Pressure</v>
      </c>
      <c r="Q448" s="4" t="str">
        <f t="shared" si="13"/>
        <v>HIGHLY_ENGAGED</v>
      </c>
      <c r="R448" s="4" t="str">
        <f t="shared" si="14"/>
        <v>LOW</v>
      </c>
      <c r="S448" s="2"/>
      <c r="T448" s="2"/>
      <c r="U448" s="2"/>
      <c r="V448" s="2"/>
      <c r="W448" s="2"/>
      <c r="X448" s="2"/>
      <c r="Y448" s="2"/>
      <c r="Z448" s="2"/>
    </row>
    <row r="449" spans="1:26" ht="16.8" x14ac:dyDescent="0.3">
      <c r="A449" s="4">
        <v>600</v>
      </c>
      <c r="B449" s="4" t="s">
        <v>43</v>
      </c>
      <c r="C449" s="4">
        <v>35</v>
      </c>
      <c r="D449" s="4" t="s">
        <v>37</v>
      </c>
      <c r="E449" s="4" t="s">
        <v>40</v>
      </c>
      <c r="F449" s="4">
        <v>4717</v>
      </c>
      <c r="G449" s="4" t="s">
        <v>43</v>
      </c>
      <c r="H449" s="4">
        <v>11</v>
      </c>
      <c r="I449" s="4">
        <v>6</v>
      </c>
      <c r="J449" s="4">
        <v>3</v>
      </c>
      <c r="K449" s="4">
        <v>3</v>
      </c>
      <c r="L449" s="4" t="str">
        <f t="shared" si="8"/>
        <v>NORMAL</v>
      </c>
      <c r="M449" s="4" t="str">
        <f t="shared" si="9"/>
        <v>HIGH</v>
      </c>
      <c r="N449" s="4" t="str">
        <f t="shared" si="10"/>
        <v>SENIOR</v>
      </c>
      <c r="O449" s="4" t="str">
        <f t="shared" si="11"/>
        <v>STAGNANT</v>
      </c>
      <c r="P449" s="5" t="str">
        <f t="shared" si="12"/>
        <v>Medium_Pressure</v>
      </c>
      <c r="Q449" s="4" t="str">
        <f t="shared" si="13"/>
        <v>HIGHLY_ENGAGED</v>
      </c>
      <c r="R449" s="4" t="str">
        <f t="shared" si="14"/>
        <v>LOW</v>
      </c>
      <c r="S449" s="2"/>
      <c r="T449" s="2"/>
      <c r="U449" s="2"/>
      <c r="V449" s="2"/>
      <c r="W449" s="2"/>
      <c r="X449" s="2"/>
      <c r="Y449" s="2"/>
      <c r="Z449" s="2"/>
    </row>
    <row r="450" spans="1:26" ht="16.8" x14ac:dyDescent="0.3">
      <c r="A450" s="4">
        <v>601</v>
      </c>
      <c r="B450" s="4" t="s">
        <v>43</v>
      </c>
      <c r="C450" s="4">
        <v>40</v>
      </c>
      <c r="D450" s="4" t="s">
        <v>45</v>
      </c>
      <c r="E450" s="4" t="s">
        <v>53</v>
      </c>
      <c r="F450" s="4">
        <v>13237</v>
      </c>
      <c r="G450" s="4" t="s">
        <v>43</v>
      </c>
      <c r="H450" s="4">
        <v>20</v>
      </c>
      <c r="I450" s="4">
        <v>5</v>
      </c>
      <c r="J450" s="4">
        <v>3</v>
      </c>
      <c r="K450" s="4">
        <v>3</v>
      </c>
      <c r="L450" s="4" t="str">
        <f t="shared" si="8"/>
        <v>NORMAL</v>
      </c>
      <c r="M450" s="4" t="str">
        <f t="shared" si="9"/>
        <v>MEDIUM</v>
      </c>
      <c r="N450" s="4" t="str">
        <f t="shared" si="10"/>
        <v>SENIOR</v>
      </c>
      <c r="O450" s="4" t="str">
        <f t="shared" si="11"/>
        <v>STAGNANT</v>
      </c>
      <c r="P450" s="5" t="str">
        <f t="shared" si="12"/>
        <v>Medium_Pressure</v>
      </c>
      <c r="Q450" s="4" t="str">
        <f t="shared" si="13"/>
        <v>HIGHLY_ENGAGED</v>
      </c>
      <c r="R450" s="4" t="str">
        <f t="shared" si="14"/>
        <v>LOW</v>
      </c>
      <c r="S450" s="2"/>
      <c r="T450" s="2"/>
      <c r="U450" s="2"/>
      <c r="V450" s="2"/>
      <c r="W450" s="2"/>
      <c r="X450" s="2"/>
      <c r="Y450" s="2"/>
      <c r="Z450" s="2"/>
    </row>
    <row r="451" spans="1:26" ht="16.8" x14ac:dyDescent="0.3">
      <c r="A451" s="4">
        <v>602</v>
      </c>
      <c r="B451" s="4" t="s">
        <v>43</v>
      </c>
      <c r="C451" s="4">
        <v>39</v>
      </c>
      <c r="D451" s="4" t="s">
        <v>45</v>
      </c>
      <c r="E451" s="4" t="s">
        <v>50</v>
      </c>
      <c r="F451" s="4">
        <v>3755</v>
      </c>
      <c r="G451" s="4" t="s">
        <v>43</v>
      </c>
      <c r="H451" s="4">
        <v>8</v>
      </c>
      <c r="I451" s="4">
        <v>0</v>
      </c>
      <c r="J451" s="4">
        <v>3</v>
      </c>
      <c r="K451" s="4">
        <v>3</v>
      </c>
      <c r="L451" s="4" t="str">
        <f t="shared" si="8"/>
        <v>NORMAL</v>
      </c>
      <c r="M451" s="4" t="str">
        <f t="shared" si="9"/>
        <v>LOW</v>
      </c>
      <c r="N451" s="4" t="str">
        <f t="shared" si="10"/>
        <v>SENIOR</v>
      </c>
      <c r="O451" s="4" t="str">
        <f t="shared" si="11"/>
        <v>RECENTLY PROMOTED</v>
      </c>
      <c r="P451" s="5" t="str">
        <f t="shared" si="12"/>
        <v>Medium_Pressure</v>
      </c>
      <c r="Q451" s="4" t="str">
        <f t="shared" si="13"/>
        <v>HIGHLY_ENGAGED</v>
      </c>
      <c r="R451" s="4" t="str">
        <f t="shared" si="14"/>
        <v>LOW</v>
      </c>
      <c r="S451" s="2"/>
      <c r="T451" s="2"/>
      <c r="U451" s="2"/>
      <c r="V451" s="2"/>
      <c r="W451" s="2"/>
      <c r="X451" s="2"/>
      <c r="Y451" s="2"/>
      <c r="Z451" s="2"/>
    </row>
    <row r="452" spans="1:26" ht="16.8" x14ac:dyDescent="0.3">
      <c r="A452" s="4">
        <v>604</v>
      </c>
      <c r="B452" s="4" t="s">
        <v>43</v>
      </c>
      <c r="C452" s="4">
        <v>31</v>
      </c>
      <c r="D452" s="4" t="s">
        <v>37</v>
      </c>
      <c r="E452" s="4" t="s">
        <v>40</v>
      </c>
      <c r="F452" s="4">
        <v>6582</v>
      </c>
      <c r="G452" s="4" t="s">
        <v>35</v>
      </c>
      <c r="H452" s="4">
        <v>6</v>
      </c>
      <c r="I452" s="4">
        <v>0</v>
      </c>
      <c r="J452" s="4">
        <v>4</v>
      </c>
      <c r="K452" s="4">
        <v>4</v>
      </c>
      <c r="L452" s="4" t="str">
        <f t="shared" si="8"/>
        <v>NORMAL</v>
      </c>
      <c r="M452" s="4" t="str">
        <f t="shared" si="9"/>
        <v>HIGH</v>
      </c>
      <c r="N452" s="4" t="str">
        <f t="shared" si="10"/>
        <v>MID</v>
      </c>
      <c r="O452" s="4" t="str">
        <f t="shared" si="11"/>
        <v>RECENTLY PROMOTED</v>
      </c>
      <c r="P452" s="5" t="str">
        <f t="shared" si="12"/>
        <v>Medium_Pressure</v>
      </c>
      <c r="Q452" s="4" t="str">
        <f t="shared" si="13"/>
        <v>HIGHLY_ENGAGED</v>
      </c>
      <c r="R452" s="4" t="str">
        <f t="shared" si="14"/>
        <v>LOW</v>
      </c>
      <c r="S452" s="2"/>
      <c r="T452" s="2"/>
      <c r="U452" s="2"/>
      <c r="V452" s="2"/>
      <c r="W452" s="2"/>
      <c r="X452" s="2"/>
      <c r="Y452" s="2"/>
      <c r="Z452" s="2"/>
    </row>
    <row r="453" spans="1:26" ht="16.8" x14ac:dyDescent="0.3">
      <c r="A453" s="4">
        <v>605</v>
      </c>
      <c r="B453" s="4" t="s">
        <v>43</v>
      </c>
      <c r="C453" s="4">
        <v>42</v>
      </c>
      <c r="D453" s="4" t="s">
        <v>45</v>
      </c>
      <c r="E453" s="4" t="s">
        <v>53</v>
      </c>
      <c r="F453" s="4">
        <v>7406</v>
      </c>
      <c r="G453" s="4" t="s">
        <v>35</v>
      </c>
      <c r="H453" s="4">
        <v>10</v>
      </c>
      <c r="I453" s="4">
        <v>5</v>
      </c>
      <c r="J453" s="4">
        <v>1</v>
      </c>
      <c r="K453" s="4">
        <v>2</v>
      </c>
      <c r="L453" s="4" t="str">
        <f t="shared" si="8"/>
        <v>HIGH RISK</v>
      </c>
      <c r="M453" s="4" t="str">
        <f t="shared" si="9"/>
        <v>HIGH</v>
      </c>
      <c r="N453" s="4" t="str">
        <f t="shared" si="10"/>
        <v>SENIOR</v>
      </c>
      <c r="O453" s="4" t="str">
        <f t="shared" si="11"/>
        <v>STAGNANT</v>
      </c>
      <c r="P453" s="5" t="str">
        <f t="shared" si="12"/>
        <v>High_Pressure</v>
      </c>
      <c r="Q453" s="4" t="str">
        <f t="shared" si="13"/>
        <v>DISENGAGED</v>
      </c>
      <c r="R453" s="4" t="str">
        <f t="shared" si="14"/>
        <v>LOW</v>
      </c>
      <c r="S453" s="2"/>
      <c r="T453" s="2"/>
      <c r="U453" s="2"/>
      <c r="V453" s="2"/>
      <c r="W453" s="2"/>
      <c r="X453" s="2"/>
      <c r="Y453" s="2"/>
      <c r="Z453" s="2"/>
    </row>
    <row r="454" spans="1:26" ht="16.8" x14ac:dyDescent="0.3">
      <c r="A454" s="4">
        <v>606</v>
      </c>
      <c r="B454" s="4" t="s">
        <v>43</v>
      </c>
      <c r="C454" s="4">
        <v>45</v>
      </c>
      <c r="D454" s="4" t="s">
        <v>37</v>
      </c>
      <c r="E454" s="4" t="s">
        <v>40</v>
      </c>
      <c r="F454" s="4">
        <v>4805</v>
      </c>
      <c r="G454" s="4" t="s">
        <v>43</v>
      </c>
      <c r="H454" s="4">
        <v>8</v>
      </c>
      <c r="I454" s="4">
        <v>3</v>
      </c>
      <c r="J454" s="4">
        <v>2</v>
      </c>
      <c r="K454" s="4">
        <v>4</v>
      </c>
      <c r="L454" s="4" t="str">
        <f t="shared" si="8"/>
        <v>NORMAL</v>
      </c>
      <c r="M454" s="4" t="str">
        <f t="shared" si="9"/>
        <v>HIGH</v>
      </c>
      <c r="N454" s="4" t="str">
        <f t="shared" si="10"/>
        <v>SENIOR</v>
      </c>
      <c r="O454" s="4" t="str">
        <f t="shared" si="11"/>
        <v>MODERATE-WAIT</v>
      </c>
      <c r="P454" s="5" t="str">
        <f t="shared" si="12"/>
        <v>Low_Pressure</v>
      </c>
      <c r="Q454" s="4" t="str">
        <f t="shared" si="13"/>
        <v>DISENGAGED</v>
      </c>
      <c r="R454" s="4" t="str">
        <f t="shared" si="14"/>
        <v>LOW</v>
      </c>
      <c r="S454" s="2"/>
      <c r="T454" s="2"/>
      <c r="U454" s="2"/>
      <c r="V454" s="2"/>
      <c r="W454" s="2"/>
      <c r="X454" s="2"/>
      <c r="Y454" s="2"/>
      <c r="Z454" s="2"/>
    </row>
    <row r="455" spans="1:26" ht="16.8" x14ac:dyDescent="0.3">
      <c r="A455" s="4">
        <v>608</v>
      </c>
      <c r="B455" s="4" t="s">
        <v>35</v>
      </c>
      <c r="C455" s="4">
        <v>26</v>
      </c>
      <c r="D455" s="4" t="s">
        <v>61</v>
      </c>
      <c r="E455" s="4" t="s">
        <v>61</v>
      </c>
      <c r="F455" s="4">
        <v>2741</v>
      </c>
      <c r="G455" s="4" t="s">
        <v>35</v>
      </c>
      <c r="H455" s="4">
        <v>7</v>
      </c>
      <c r="I455" s="4">
        <v>1</v>
      </c>
      <c r="J455" s="4">
        <v>3</v>
      </c>
      <c r="K455" s="4">
        <v>2</v>
      </c>
      <c r="L455" s="4" t="str">
        <f t="shared" si="8"/>
        <v>NORMAL</v>
      </c>
      <c r="M455" s="4" t="str">
        <f t="shared" si="9"/>
        <v>LOW</v>
      </c>
      <c r="N455" s="4" t="str">
        <f t="shared" si="10"/>
        <v>SENIOR</v>
      </c>
      <c r="O455" s="4" t="str">
        <f t="shared" si="11"/>
        <v>RECENTLY PROMOTED</v>
      </c>
      <c r="P455" s="5" t="str">
        <f t="shared" si="12"/>
        <v>High_Pressure</v>
      </c>
      <c r="Q455" s="4" t="str">
        <f t="shared" si="13"/>
        <v>DISENGAGED</v>
      </c>
      <c r="R455" s="4" t="str">
        <f t="shared" si="14"/>
        <v>LOW</v>
      </c>
      <c r="S455" s="2"/>
      <c r="T455" s="2"/>
      <c r="U455" s="2"/>
      <c r="V455" s="2"/>
      <c r="W455" s="2"/>
      <c r="X455" s="2"/>
      <c r="Y455" s="2"/>
      <c r="Z455" s="2"/>
    </row>
    <row r="456" spans="1:26" ht="16.8" x14ac:dyDescent="0.3">
      <c r="A456" s="4">
        <v>611</v>
      </c>
      <c r="B456" s="4" t="s">
        <v>43</v>
      </c>
      <c r="C456" s="4">
        <v>29</v>
      </c>
      <c r="D456" s="4" t="s">
        <v>45</v>
      </c>
      <c r="E456" s="4" t="s">
        <v>53</v>
      </c>
      <c r="F456" s="4">
        <v>4262</v>
      </c>
      <c r="G456" s="4" t="s">
        <v>43</v>
      </c>
      <c r="H456" s="4">
        <v>3</v>
      </c>
      <c r="I456" s="4">
        <v>1</v>
      </c>
      <c r="J456" s="4">
        <v>4</v>
      </c>
      <c r="K456" s="4">
        <v>4</v>
      </c>
      <c r="L456" s="4" t="str">
        <f t="shared" si="8"/>
        <v>NORMAL</v>
      </c>
      <c r="M456" s="4" t="str">
        <f t="shared" si="9"/>
        <v>HIGH</v>
      </c>
      <c r="N456" s="4" t="str">
        <f t="shared" si="10"/>
        <v>MID</v>
      </c>
      <c r="O456" s="4" t="str">
        <f t="shared" si="11"/>
        <v>RECENTLY PROMOTED</v>
      </c>
      <c r="P456" s="5" t="str">
        <f t="shared" si="12"/>
        <v>Low_Pressure</v>
      </c>
      <c r="Q456" s="4" t="str">
        <f t="shared" si="13"/>
        <v>HIGHLY_ENGAGED</v>
      </c>
      <c r="R456" s="4" t="str">
        <f t="shared" si="14"/>
        <v>LOW</v>
      </c>
      <c r="S456" s="2"/>
      <c r="T456" s="2"/>
      <c r="U456" s="2"/>
      <c r="V456" s="2"/>
      <c r="W456" s="2"/>
      <c r="X456" s="2"/>
      <c r="Y456" s="2"/>
      <c r="Z456" s="2"/>
    </row>
    <row r="457" spans="1:26" ht="16.8" x14ac:dyDescent="0.3">
      <c r="A457" s="4">
        <v>612</v>
      </c>
      <c r="B457" s="4" t="s">
        <v>43</v>
      </c>
      <c r="C457" s="4">
        <v>33</v>
      </c>
      <c r="D457" s="4" t="s">
        <v>45</v>
      </c>
      <c r="E457" s="4" t="s">
        <v>58</v>
      </c>
      <c r="F457" s="4">
        <v>16184</v>
      </c>
      <c r="G457" s="4" t="s">
        <v>43</v>
      </c>
      <c r="H457" s="4">
        <v>6</v>
      </c>
      <c r="I457" s="4">
        <v>0</v>
      </c>
      <c r="J457" s="4">
        <v>3</v>
      </c>
      <c r="K457" s="4">
        <v>3</v>
      </c>
      <c r="L457" s="4" t="str">
        <f t="shared" si="8"/>
        <v>NORMAL</v>
      </c>
      <c r="M457" s="4" t="str">
        <f t="shared" si="9"/>
        <v>MEDIUM</v>
      </c>
      <c r="N457" s="4" t="str">
        <f t="shared" si="10"/>
        <v>MID</v>
      </c>
      <c r="O457" s="4" t="str">
        <f t="shared" si="11"/>
        <v>RECENTLY PROMOTED</v>
      </c>
      <c r="P457" s="5" t="str">
        <f t="shared" si="12"/>
        <v>Medium_Pressure</v>
      </c>
      <c r="Q457" s="4" t="str">
        <f t="shared" si="13"/>
        <v>HIGHLY_ENGAGED</v>
      </c>
      <c r="R457" s="4" t="str">
        <f t="shared" si="14"/>
        <v>LOW</v>
      </c>
      <c r="S457" s="2"/>
      <c r="T457" s="2"/>
      <c r="U457" s="2"/>
      <c r="V457" s="2"/>
      <c r="W457" s="2"/>
      <c r="X457" s="2"/>
      <c r="Y457" s="2"/>
      <c r="Z457" s="2"/>
    </row>
    <row r="458" spans="1:26" ht="16.8" x14ac:dyDescent="0.3">
      <c r="A458" s="4">
        <v>613</v>
      </c>
      <c r="B458" s="4" t="s">
        <v>43</v>
      </c>
      <c r="C458" s="4">
        <v>31</v>
      </c>
      <c r="D458" s="4" t="s">
        <v>37</v>
      </c>
      <c r="E458" s="4" t="s">
        <v>56</v>
      </c>
      <c r="F458" s="4">
        <v>11557</v>
      </c>
      <c r="G458" s="4" t="s">
        <v>43</v>
      </c>
      <c r="H458" s="4">
        <v>5</v>
      </c>
      <c r="I458" s="4">
        <v>0</v>
      </c>
      <c r="J458" s="4">
        <v>4</v>
      </c>
      <c r="K458" s="4">
        <v>2</v>
      </c>
      <c r="L458" s="4" t="str">
        <f t="shared" si="8"/>
        <v>NORMAL</v>
      </c>
      <c r="M458" s="4" t="str">
        <f t="shared" si="9"/>
        <v>MEDIUM</v>
      </c>
      <c r="N458" s="4" t="str">
        <f t="shared" si="10"/>
        <v>MID</v>
      </c>
      <c r="O458" s="4" t="str">
        <f t="shared" si="11"/>
        <v>RECENTLY PROMOTED</v>
      </c>
      <c r="P458" s="5" t="str">
        <f t="shared" si="12"/>
        <v>Low_Pressure</v>
      </c>
      <c r="Q458" s="4" t="str">
        <f t="shared" si="13"/>
        <v>DISENGAGED</v>
      </c>
      <c r="R458" s="4" t="str">
        <f t="shared" si="14"/>
        <v>LOW</v>
      </c>
      <c r="S458" s="2"/>
      <c r="T458" s="2"/>
      <c r="U458" s="2"/>
      <c r="V458" s="2"/>
      <c r="W458" s="2"/>
      <c r="X458" s="2"/>
      <c r="Y458" s="2"/>
      <c r="Z458" s="2"/>
    </row>
    <row r="459" spans="1:26" ht="16.8" x14ac:dyDescent="0.3">
      <c r="A459" s="4">
        <v>614</v>
      </c>
      <c r="B459" s="4" t="s">
        <v>35</v>
      </c>
      <c r="C459" s="4">
        <v>18</v>
      </c>
      <c r="D459" s="4" t="s">
        <v>37</v>
      </c>
      <c r="E459" s="4" t="s">
        <v>57</v>
      </c>
      <c r="F459" s="4">
        <v>1878</v>
      </c>
      <c r="G459" s="4" t="s">
        <v>35</v>
      </c>
      <c r="H459" s="4">
        <v>0</v>
      </c>
      <c r="I459" s="4">
        <v>0</v>
      </c>
      <c r="J459" s="4">
        <v>2</v>
      </c>
      <c r="K459" s="4">
        <v>3</v>
      </c>
      <c r="L459" s="4" t="str">
        <f t="shared" si="8"/>
        <v>NORMAL</v>
      </c>
      <c r="M459" s="4" t="str">
        <f t="shared" si="9"/>
        <v>LOW</v>
      </c>
      <c r="N459" s="4" t="str">
        <f t="shared" si="10"/>
        <v>NEW</v>
      </c>
      <c r="O459" s="4" t="str">
        <f t="shared" si="11"/>
        <v>RECENTLY PROMOTED</v>
      </c>
      <c r="P459" s="5" t="str">
        <f t="shared" si="12"/>
        <v>Medium_Pressure</v>
      </c>
      <c r="Q459" s="4" t="str">
        <f t="shared" si="13"/>
        <v>DISENGAGED</v>
      </c>
      <c r="R459" s="4" t="str">
        <f t="shared" si="14"/>
        <v>LOW</v>
      </c>
      <c r="S459" s="2"/>
      <c r="T459" s="2"/>
      <c r="U459" s="2"/>
      <c r="V459" s="2"/>
      <c r="W459" s="2"/>
      <c r="X459" s="2"/>
      <c r="Y459" s="2"/>
      <c r="Z459" s="2"/>
    </row>
    <row r="460" spans="1:26" ht="16.8" x14ac:dyDescent="0.3">
      <c r="A460" s="4">
        <v>615</v>
      </c>
      <c r="B460" s="4" t="s">
        <v>43</v>
      </c>
      <c r="C460" s="4">
        <v>40</v>
      </c>
      <c r="D460" s="4" t="s">
        <v>37</v>
      </c>
      <c r="E460" s="4" t="s">
        <v>40</v>
      </c>
      <c r="F460" s="4">
        <v>10932</v>
      </c>
      <c r="G460" s="4" t="s">
        <v>43</v>
      </c>
      <c r="H460" s="4">
        <v>1</v>
      </c>
      <c r="I460" s="4">
        <v>0</v>
      </c>
      <c r="J460" s="4">
        <v>1</v>
      </c>
      <c r="K460" s="4">
        <v>3</v>
      </c>
      <c r="L460" s="4" t="str">
        <f t="shared" si="8"/>
        <v>NORMAL</v>
      </c>
      <c r="M460" s="4" t="str">
        <f t="shared" si="9"/>
        <v>MEDIUM</v>
      </c>
      <c r="N460" s="4" t="str">
        <f t="shared" si="10"/>
        <v>NEW</v>
      </c>
      <c r="O460" s="4" t="str">
        <f t="shared" si="11"/>
        <v>RECENTLY PROMOTED</v>
      </c>
      <c r="P460" s="5" t="str">
        <f t="shared" si="12"/>
        <v>Medium_Pressure</v>
      </c>
      <c r="Q460" s="4" t="str">
        <f t="shared" si="13"/>
        <v>DISENGAGED</v>
      </c>
      <c r="R460" s="4" t="str">
        <f t="shared" si="14"/>
        <v>LOW</v>
      </c>
      <c r="S460" s="2"/>
      <c r="T460" s="2"/>
      <c r="U460" s="2"/>
      <c r="V460" s="2"/>
      <c r="W460" s="2"/>
      <c r="X460" s="2"/>
      <c r="Y460" s="2"/>
      <c r="Z460" s="2"/>
    </row>
    <row r="461" spans="1:26" ht="16.8" x14ac:dyDescent="0.3">
      <c r="A461" s="4">
        <v>616</v>
      </c>
      <c r="B461" s="4" t="s">
        <v>43</v>
      </c>
      <c r="C461" s="4">
        <v>41</v>
      </c>
      <c r="D461" s="4" t="s">
        <v>45</v>
      </c>
      <c r="E461" s="4" t="s">
        <v>54</v>
      </c>
      <c r="F461" s="4">
        <v>6811</v>
      </c>
      <c r="G461" s="4" t="s">
        <v>35</v>
      </c>
      <c r="H461" s="4">
        <v>8</v>
      </c>
      <c r="I461" s="4">
        <v>0</v>
      </c>
      <c r="J461" s="4">
        <v>3</v>
      </c>
      <c r="K461" s="4">
        <v>3</v>
      </c>
      <c r="L461" s="4" t="str">
        <f t="shared" si="8"/>
        <v>NORMAL</v>
      </c>
      <c r="M461" s="4" t="str">
        <f t="shared" si="9"/>
        <v>HIGH</v>
      </c>
      <c r="N461" s="4" t="str">
        <f t="shared" si="10"/>
        <v>SENIOR</v>
      </c>
      <c r="O461" s="4" t="str">
        <f t="shared" si="11"/>
        <v>RECENTLY PROMOTED</v>
      </c>
      <c r="P461" s="5" t="str">
        <f t="shared" si="12"/>
        <v>Medium_Pressure</v>
      </c>
      <c r="Q461" s="4" t="str">
        <f t="shared" si="13"/>
        <v>HIGHLY_ENGAGED</v>
      </c>
      <c r="R461" s="4" t="str">
        <f t="shared" si="14"/>
        <v>LOW</v>
      </c>
      <c r="S461" s="2"/>
      <c r="T461" s="2"/>
      <c r="U461" s="2"/>
      <c r="V461" s="2"/>
      <c r="W461" s="2"/>
      <c r="X461" s="2"/>
      <c r="Y461" s="2"/>
      <c r="Z461" s="2"/>
    </row>
    <row r="462" spans="1:26" ht="16.8" x14ac:dyDescent="0.3">
      <c r="A462" s="4">
        <v>618</v>
      </c>
      <c r="B462" s="4" t="s">
        <v>43</v>
      </c>
      <c r="C462" s="4">
        <v>26</v>
      </c>
      <c r="D462" s="4" t="s">
        <v>37</v>
      </c>
      <c r="E462" s="4" t="s">
        <v>40</v>
      </c>
      <c r="F462" s="4">
        <v>4306</v>
      </c>
      <c r="G462" s="4" t="s">
        <v>43</v>
      </c>
      <c r="H462" s="4">
        <v>0</v>
      </c>
      <c r="I462" s="4">
        <v>0</v>
      </c>
      <c r="J462" s="4">
        <v>3</v>
      </c>
      <c r="K462" s="4">
        <v>3</v>
      </c>
      <c r="L462" s="4" t="str">
        <f t="shared" si="8"/>
        <v>NORMAL</v>
      </c>
      <c r="M462" s="4" t="str">
        <f t="shared" si="9"/>
        <v>HIGH</v>
      </c>
      <c r="N462" s="4" t="str">
        <f t="shared" si="10"/>
        <v>NEW</v>
      </c>
      <c r="O462" s="4" t="str">
        <f t="shared" si="11"/>
        <v>RECENTLY PROMOTED</v>
      </c>
      <c r="P462" s="5" t="str">
        <f t="shared" si="12"/>
        <v>Medium_Pressure</v>
      </c>
      <c r="Q462" s="4" t="str">
        <f t="shared" si="13"/>
        <v>HIGHLY_ENGAGED</v>
      </c>
      <c r="R462" s="4" t="str">
        <f t="shared" si="14"/>
        <v>LOW</v>
      </c>
      <c r="S462" s="2"/>
      <c r="T462" s="2"/>
      <c r="U462" s="2"/>
      <c r="V462" s="2"/>
      <c r="W462" s="2"/>
      <c r="X462" s="2"/>
      <c r="Y462" s="2"/>
      <c r="Z462" s="2"/>
    </row>
    <row r="463" spans="1:26" ht="16.8" x14ac:dyDescent="0.3">
      <c r="A463" s="4">
        <v>620</v>
      </c>
      <c r="B463" s="4" t="s">
        <v>43</v>
      </c>
      <c r="C463" s="4">
        <v>35</v>
      </c>
      <c r="D463" s="4" t="s">
        <v>37</v>
      </c>
      <c r="E463" s="4" t="s">
        <v>40</v>
      </c>
      <c r="F463" s="4">
        <v>4859</v>
      </c>
      <c r="G463" s="4" t="s">
        <v>43</v>
      </c>
      <c r="H463" s="4">
        <v>5</v>
      </c>
      <c r="I463" s="4">
        <v>0</v>
      </c>
      <c r="J463" s="4">
        <v>3</v>
      </c>
      <c r="K463" s="4">
        <v>3</v>
      </c>
      <c r="L463" s="4" t="str">
        <f t="shared" si="8"/>
        <v>NORMAL</v>
      </c>
      <c r="M463" s="4" t="str">
        <f t="shared" si="9"/>
        <v>HIGH</v>
      </c>
      <c r="N463" s="4" t="str">
        <f t="shared" si="10"/>
        <v>MID</v>
      </c>
      <c r="O463" s="4" t="str">
        <f t="shared" si="11"/>
        <v>RECENTLY PROMOTED</v>
      </c>
      <c r="P463" s="5" t="str">
        <f t="shared" si="12"/>
        <v>Medium_Pressure</v>
      </c>
      <c r="Q463" s="4" t="str">
        <f t="shared" si="13"/>
        <v>HIGHLY_ENGAGED</v>
      </c>
      <c r="R463" s="4" t="str">
        <f t="shared" si="14"/>
        <v>LOW</v>
      </c>
      <c r="S463" s="2"/>
      <c r="T463" s="2"/>
      <c r="U463" s="2"/>
      <c r="V463" s="2"/>
      <c r="W463" s="2"/>
      <c r="X463" s="2"/>
      <c r="Y463" s="2"/>
      <c r="Z463" s="2"/>
    </row>
    <row r="464" spans="1:26" ht="16.8" x14ac:dyDescent="0.3">
      <c r="A464" s="4">
        <v>621</v>
      </c>
      <c r="B464" s="4" t="s">
        <v>43</v>
      </c>
      <c r="C464" s="4">
        <v>34</v>
      </c>
      <c r="D464" s="4" t="s">
        <v>37</v>
      </c>
      <c r="E464" s="4" t="s">
        <v>40</v>
      </c>
      <c r="F464" s="4">
        <v>5337</v>
      </c>
      <c r="G464" s="4" t="s">
        <v>43</v>
      </c>
      <c r="H464" s="4">
        <v>10</v>
      </c>
      <c r="I464" s="4">
        <v>5</v>
      </c>
      <c r="J464" s="4">
        <v>4</v>
      </c>
      <c r="K464" s="4">
        <v>3</v>
      </c>
      <c r="L464" s="4" t="str">
        <f t="shared" si="8"/>
        <v>NORMAL</v>
      </c>
      <c r="M464" s="4" t="str">
        <f t="shared" si="9"/>
        <v>HIGH</v>
      </c>
      <c r="N464" s="4" t="str">
        <f t="shared" si="10"/>
        <v>SENIOR</v>
      </c>
      <c r="O464" s="4" t="str">
        <f t="shared" si="11"/>
        <v>STAGNANT</v>
      </c>
      <c r="P464" s="5" t="str">
        <f t="shared" si="12"/>
        <v>Medium_Pressure</v>
      </c>
      <c r="Q464" s="4" t="str">
        <f t="shared" si="13"/>
        <v>HIGHLY_ENGAGED</v>
      </c>
      <c r="R464" s="4" t="str">
        <f t="shared" si="14"/>
        <v>LOW</v>
      </c>
      <c r="S464" s="2"/>
      <c r="T464" s="2"/>
      <c r="U464" s="2"/>
      <c r="V464" s="2"/>
      <c r="W464" s="2"/>
      <c r="X464" s="2"/>
      <c r="Y464" s="2"/>
      <c r="Z464" s="2"/>
    </row>
    <row r="465" spans="1:26" ht="16.8" x14ac:dyDescent="0.3">
      <c r="A465" s="4">
        <v>622</v>
      </c>
      <c r="B465" s="4" t="s">
        <v>35</v>
      </c>
      <c r="C465" s="4">
        <v>26</v>
      </c>
      <c r="D465" s="4" t="s">
        <v>45</v>
      </c>
      <c r="E465" s="4" t="s">
        <v>50</v>
      </c>
      <c r="F465" s="4">
        <v>2340</v>
      </c>
      <c r="G465" s="4" t="s">
        <v>35</v>
      </c>
      <c r="H465" s="4">
        <v>1</v>
      </c>
      <c r="I465" s="4">
        <v>0</v>
      </c>
      <c r="J465" s="4">
        <v>4</v>
      </c>
      <c r="K465" s="4">
        <v>1</v>
      </c>
      <c r="L465" s="4" t="str">
        <f t="shared" si="8"/>
        <v>NORMAL</v>
      </c>
      <c r="M465" s="4" t="str">
        <f t="shared" si="9"/>
        <v>LOW</v>
      </c>
      <c r="N465" s="4" t="str">
        <f t="shared" si="10"/>
        <v>NEW</v>
      </c>
      <c r="O465" s="4" t="str">
        <f t="shared" si="11"/>
        <v>RECENTLY PROMOTED</v>
      </c>
      <c r="P465" s="5" t="str">
        <f t="shared" si="12"/>
        <v>High_Pressure</v>
      </c>
      <c r="Q465" s="4" t="str">
        <f t="shared" si="13"/>
        <v>DISENGAGED</v>
      </c>
      <c r="R465" s="4" t="str">
        <f t="shared" si="14"/>
        <v>LOW</v>
      </c>
      <c r="S465" s="2"/>
      <c r="T465" s="2"/>
      <c r="U465" s="2"/>
      <c r="V465" s="2"/>
      <c r="W465" s="2"/>
      <c r="X465" s="2"/>
      <c r="Y465" s="2"/>
      <c r="Z465" s="2"/>
    </row>
    <row r="466" spans="1:26" ht="16.8" x14ac:dyDescent="0.3">
      <c r="A466" s="4">
        <v>623</v>
      </c>
      <c r="B466" s="4" t="s">
        <v>43</v>
      </c>
      <c r="C466" s="4">
        <v>37</v>
      </c>
      <c r="D466" s="4" t="s">
        <v>45</v>
      </c>
      <c r="E466" s="4" t="s">
        <v>53</v>
      </c>
      <c r="F466" s="4">
        <v>7491</v>
      </c>
      <c r="G466" s="4" t="s">
        <v>43</v>
      </c>
      <c r="H466" s="4">
        <v>6</v>
      </c>
      <c r="I466" s="4">
        <v>1</v>
      </c>
      <c r="J466" s="4">
        <v>4</v>
      </c>
      <c r="K466" s="4">
        <v>4</v>
      </c>
      <c r="L466" s="4" t="str">
        <f t="shared" si="8"/>
        <v>NORMAL</v>
      </c>
      <c r="M466" s="4" t="str">
        <f t="shared" si="9"/>
        <v>HIGH</v>
      </c>
      <c r="N466" s="4" t="str">
        <f t="shared" si="10"/>
        <v>MID</v>
      </c>
      <c r="O466" s="4" t="str">
        <f t="shared" si="11"/>
        <v>RECENTLY PROMOTED</v>
      </c>
      <c r="P466" s="5" t="str">
        <f t="shared" si="12"/>
        <v>Low_Pressure</v>
      </c>
      <c r="Q466" s="4" t="str">
        <f t="shared" si="13"/>
        <v>HIGHLY_ENGAGED</v>
      </c>
      <c r="R466" s="4" t="str">
        <f t="shared" si="14"/>
        <v>LOW</v>
      </c>
      <c r="S466" s="2"/>
      <c r="T466" s="2"/>
      <c r="U466" s="2"/>
      <c r="V466" s="2"/>
      <c r="W466" s="2"/>
      <c r="X466" s="2"/>
      <c r="Y466" s="2"/>
      <c r="Z466" s="2"/>
    </row>
    <row r="467" spans="1:26" ht="16.8" x14ac:dyDescent="0.3">
      <c r="A467" s="4">
        <v>624</v>
      </c>
      <c r="B467" s="4" t="s">
        <v>43</v>
      </c>
      <c r="C467" s="4">
        <v>46</v>
      </c>
      <c r="D467" s="4" t="s">
        <v>45</v>
      </c>
      <c r="E467" s="4" t="s">
        <v>54</v>
      </c>
      <c r="F467" s="4">
        <v>10527</v>
      </c>
      <c r="G467" s="4" t="s">
        <v>43</v>
      </c>
      <c r="H467" s="4">
        <v>2</v>
      </c>
      <c r="I467" s="4">
        <v>1</v>
      </c>
      <c r="J467" s="4">
        <v>3</v>
      </c>
      <c r="K467" s="4">
        <v>2</v>
      </c>
      <c r="L467" s="4" t="str">
        <f t="shared" si="8"/>
        <v>NORMAL</v>
      </c>
      <c r="M467" s="4" t="str">
        <f t="shared" si="9"/>
        <v>MEDIUM</v>
      </c>
      <c r="N467" s="4" t="str">
        <f t="shared" si="10"/>
        <v>NEW</v>
      </c>
      <c r="O467" s="4" t="str">
        <f t="shared" si="11"/>
        <v>RECENTLY PROMOTED</v>
      </c>
      <c r="P467" s="5" t="str">
        <f t="shared" si="12"/>
        <v>Low_Pressure</v>
      </c>
      <c r="Q467" s="4" t="str">
        <f t="shared" si="13"/>
        <v>DISENGAGED</v>
      </c>
      <c r="R467" s="4" t="str">
        <f t="shared" si="14"/>
        <v>LOW</v>
      </c>
      <c r="S467" s="2"/>
      <c r="T467" s="2"/>
      <c r="U467" s="2"/>
      <c r="V467" s="2"/>
      <c r="W467" s="2"/>
      <c r="X467" s="2"/>
      <c r="Y467" s="2"/>
      <c r="Z467" s="2"/>
    </row>
    <row r="468" spans="1:26" ht="16.8" x14ac:dyDescent="0.3">
      <c r="A468" s="4">
        <v>625</v>
      </c>
      <c r="B468" s="4" t="s">
        <v>43</v>
      </c>
      <c r="C468" s="4">
        <v>41</v>
      </c>
      <c r="D468" s="4" t="s">
        <v>37</v>
      </c>
      <c r="E468" s="4" t="s">
        <v>56</v>
      </c>
      <c r="F468" s="4">
        <v>16595</v>
      </c>
      <c r="G468" s="4" t="s">
        <v>43</v>
      </c>
      <c r="H468" s="4">
        <v>18</v>
      </c>
      <c r="I468" s="4">
        <v>11</v>
      </c>
      <c r="J468" s="4">
        <v>1</v>
      </c>
      <c r="K468" s="4">
        <v>3</v>
      </c>
      <c r="L468" s="4" t="str">
        <f t="shared" si="8"/>
        <v>NORMAL</v>
      </c>
      <c r="M468" s="4" t="str">
        <f t="shared" si="9"/>
        <v>MEDIUM</v>
      </c>
      <c r="N468" s="4" t="str">
        <f t="shared" si="10"/>
        <v>SENIOR</v>
      </c>
      <c r="O468" s="4" t="str">
        <f t="shared" si="11"/>
        <v>STAGNANT</v>
      </c>
      <c r="P468" s="5" t="str">
        <f t="shared" si="12"/>
        <v>Medium_Pressure</v>
      </c>
      <c r="Q468" s="4" t="str">
        <f t="shared" si="13"/>
        <v>DISENGAGED</v>
      </c>
      <c r="R468" s="4" t="str">
        <f t="shared" si="14"/>
        <v>LOW</v>
      </c>
      <c r="S468" s="2"/>
      <c r="T468" s="2"/>
      <c r="U468" s="2"/>
      <c r="V468" s="2"/>
      <c r="W468" s="2"/>
      <c r="X468" s="2"/>
      <c r="Y468" s="2"/>
      <c r="Z468" s="2"/>
    </row>
    <row r="469" spans="1:26" ht="16.8" x14ac:dyDescent="0.3">
      <c r="A469" s="4">
        <v>626</v>
      </c>
      <c r="B469" s="4" t="s">
        <v>43</v>
      </c>
      <c r="C469" s="4">
        <v>37</v>
      </c>
      <c r="D469" s="4" t="s">
        <v>37</v>
      </c>
      <c r="E469" s="4" t="s">
        <v>40</v>
      </c>
      <c r="F469" s="4">
        <v>8834</v>
      </c>
      <c r="G469" s="4" t="s">
        <v>43</v>
      </c>
      <c r="H469" s="4">
        <v>9</v>
      </c>
      <c r="I469" s="4">
        <v>7</v>
      </c>
      <c r="J469" s="4">
        <v>2</v>
      </c>
      <c r="K469" s="4">
        <v>3</v>
      </c>
      <c r="L469" s="4" t="str">
        <f t="shared" si="8"/>
        <v>NORMAL</v>
      </c>
      <c r="M469" s="4" t="str">
        <f t="shared" si="9"/>
        <v>HIGH</v>
      </c>
      <c r="N469" s="4" t="str">
        <f t="shared" si="10"/>
        <v>SENIOR</v>
      </c>
      <c r="O469" s="4" t="str">
        <f t="shared" si="11"/>
        <v>STAGNANT</v>
      </c>
      <c r="P469" s="5" t="str">
        <f t="shared" si="12"/>
        <v>Medium_Pressure</v>
      </c>
      <c r="Q469" s="4" t="str">
        <f t="shared" si="13"/>
        <v>DISENGAGED</v>
      </c>
      <c r="R469" s="4" t="str">
        <f t="shared" si="14"/>
        <v>LOW</v>
      </c>
      <c r="S469" s="2"/>
      <c r="T469" s="2"/>
      <c r="U469" s="2"/>
      <c r="V469" s="2"/>
      <c r="W469" s="2"/>
      <c r="X469" s="2"/>
      <c r="Y469" s="2"/>
      <c r="Z469" s="2"/>
    </row>
    <row r="470" spans="1:26" ht="16.8" x14ac:dyDescent="0.3">
      <c r="A470" s="4">
        <v>630</v>
      </c>
      <c r="B470" s="4" t="s">
        <v>43</v>
      </c>
      <c r="C470" s="4">
        <v>52</v>
      </c>
      <c r="D470" s="4" t="s">
        <v>45</v>
      </c>
      <c r="E470" s="4" t="s">
        <v>47</v>
      </c>
      <c r="F470" s="4">
        <v>5577</v>
      </c>
      <c r="G470" s="4" t="s">
        <v>35</v>
      </c>
      <c r="H470" s="4">
        <v>10</v>
      </c>
      <c r="I470" s="4">
        <v>6</v>
      </c>
      <c r="J470" s="4">
        <v>1</v>
      </c>
      <c r="K470" s="4">
        <v>3</v>
      </c>
      <c r="L470" s="4" t="str">
        <f t="shared" si="8"/>
        <v>HIGH RISK</v>
      </c>
      <c r="M470" s="4" t="str">
        <f t="shared" si="9"/>
        <v>HIGH</v>
      </c>
      <c r="N470" s="4" t="str">
        <f t="shared" si="10"/>
        <v>SENIOR</v>
      </c>
      <c r="O470" s="4" t="str">
        <f t="shared" si="11"/>
        <v>STAGNANT</v>
      </c>
      <c r="P470" s="5" t="str">
        <f t="shared" si="12"/>
        <v>Medium_Pressure</v>
      </c>
      <c r="Q470" s="4" t="str">
        <f t="shared" si="13"/>
        <v>DISENGAGED</v>
      </c>
      <c r="R470" s="4" t="str">
        <f t="shared" si="14"/>
        <v>LOW</v>
      </c>
      <c r="S470" s="2"/>
      <c r="T470" s="2"/>
      <c r="U470" s="2"/>
      <c r="V470" s="2"/>
      <c r="W470" s="2"/>
      <c r="X470" s="2"/>
      <c r="Y470" s="2"/>
      <c r="Z470" s="2"/>
    </row>
    <row r="471" spans="1:26" ht="16.8" x14ac:dyDescent="0.3">
      <c r="A471" s="4">
        <v>631</v>
      </c>
      <c r="B471" s="4" t="s">
        <v>35</v>
      </c>
      <c r="C471" s="4">
        <v>32</v>
      </c>
      <c r="D471" s="4" t="s">
        <v>37</v>
      </c>
      <c r="E471" s="4" t="s">
        <v>40</v>
      </c>
      <c r="F471" s="4">
        <v>4707</v>
      </c>
      <c r="G471" s="4" t="s">
        <v>43</v>
      </c>
      <c r="H471" s="4">
        <v>4</v>
      </c>
      <c r="I471" s="4">
        <v>1</v>
      </c>
      <c r="J471" s="4">
        <v>3</v>
      </c>
      <c r="K471" s="4">
        <v>3</v>
      </c>
      <c r="L471" s="4" t="str">
        <f t="shared" si="8"/>
        <v>NORMAL</v>
      </c>
      <c r="M471" s="4" t="str">
        <f t="shared" si="9"/>
        <v>HIGH</v>
      </c>
      <c r="N471" s="4" t="str">
        <f t="shared" si="10"/>
        <v>MID</v>
      </c>
      <c r="O471" s="4" t="str">
        <f t="shared" si="11"/>
        <v>RECENTLY PROMOTED</v>
      </c>
      <c r="P471" s="5" t="str">
        <f t="shared" si="12"/>
        <v>Medium_Pressure</v>
      </c>
      <c r="Q471" s="4" t="str">
        <f t="shared" si="13"/>
        <v>HIGHLY_ENGAGED</v>
      </c>
      <c r="R471" s="4" t="str">
        <f t="shared" si="14"/>
        <v>LOW</v>
      </c>
      <c r="S471" s="2"/>
      <c r="T471" s="2"/>
      <c r="U471" s="2"/>
      <c r="V471" s="2"/>
      <c r="W471" s="2"/>
      <c r="X471" s="2"/>
      <c r="Y471" s="2"/>
      <c r="Z471" s="2"/>
    </row>
    <row r="472" spans="1:26" ht="16.8" x14ac:dyDescent="0.3">
      <c r="A472" s="4">
        <v>632</v>
      </c>
      <c r="B472" s="4" t="s">
        <v>43</v>
      </c>
      <c r="C472" s="4">
        <v>24</v>
      </c>
      <c r="D472" s="4" t="s">
        <v>37</v>
      </c>
      <c r="E472" s="4" t="s">
        <v>57</v>
      </c>
      <c r="F472" s="4">
        <v>2400</v>
      </c>
      <c r="G472" s="4" t="s">
        <v>43</v>
      </c>
      <c r="H472" s="4">
        <v>2</v>
      </c>
      <c r="I472" s="4">
        <v>2</v>
      </c>
      <c r="J472" s="4">
        <v>4</v>
      </c>
      <c r="K472" s="4">
        <v>3</v>
      </c>
      <c r="L472" s="4" t="str">
        <f t="shared" si="8"/>
        <v>NORMAL</v>
      </c>
      <c r="M472" s="4" t="str">
        <f t="shared" si="9"/>
        <v>LOW</v>
      </c>
      <c r="N472" s="4" t="str">
        <f t="shared" si="10"/>
        <v>NEW</v>
      </c>
      <c r="O472" s="4" t="str">
        <f t="shared" si="11"/>
        <v>MODERATE-WAIT</v>
      </c>
      <c r="P472" s="5" t="str">
        <f t="shared" si="12"/>
        <v>Medium_Pressure</v>
      </c>
      <c r="Q472" s="4" t="str">
        <f t="shared" si="13"/>
        <v>HIGHLY_ENGAGED</v>
      </c>
      <c r="R472" s="4" t="str">
        <f t="shared" si="14"/>
        <v>LOW</v>
      </c>
      <c r="S472" s="2"/>
      <c r="T472" s="2"/>
      <c r="U472" s="2"/>
      <c r="V472" s="2"/>
      <c r="W472" s="2"/>
      <c r="X472" s="2"/>
      <c r="Y472" s="2"/>
      <c r="Z472" s="2"/>
    </row>
    <row r="473" spans="1:26" ht="16.8" x14ac:dyDescent="0.3">
      <c r="A473" s="4">
        <v>634</v>
      </c>
      <c r="B473" s="4" t="s">
        <v>43</v>
      </c>
      <c r="C473" s="4">
        <v>38</v>
      </c>
      <c r="D473" s="4" t="s">
        <v>45</v>
      </c>
      <c r="E473" s="4" t="s">
        <v>54</v>
      </c>
      <c r="F473" s="4">
        <v>9824</v>
      </c>
      <c r="G473" s="4" t="s">
        <v>43</v>
      </c>
      <c r="H473" s="4">
        <v>1</v>
      </c>
      <c r="I473" s="4">
        <v>0</v>
      </c>
      <c r="J473" s="4">
        <v>3</v>
      </c>
      <c r="K473" s="4">
        <v>3</v>
      </c>
      <c r="L473" s="4" t="str">
        <f t="shared" si="8"/>
        <v>NORMAL</v>
      </c>
      <c r="M473" s="4" t="str">
        <f t="shared" si="9"/>
        <v>MEDIUM</v>
      </c>
      <c r="N473" s="4" t="str">
        <f t="shared" si="10"/>
        <v>NEW</v>
      </c>
      <c r="O473" s="4" t="str">
        <f t="shared" si="11"/>
        <v>RECENTLY PROMOTED</v>
      </c>
      <c r="P473" s="5" t="str">
        <f t="shared" si="12"/>
        <v>Medium_Pressure</v>
      </c>
      <c r="Q473" s="4" t="str">
        <f t="shared" si="13"/>
        <v>HIGHLY_ENGAGED</v>
      </c>
      <c r="R473" s="4" t="str">
        <f t="shared" si="14"/>
        <v>LOW</v>
      </c>
      <c r="S473" s="2"/>
      <c r="T473" s="2"/>
      <c r="U473" s="2"/>
      <c r="V473" s="2"/>
      <c r="W473" s="2"/>
      <c r="X473" s="2"/>
      <c r="Y473" s="2"/>
      <c r="Z473" s="2"/>
    </row>
    <row r="474" spans="1:26" ht="16.8" x14ac:dyDescent="0.3">
      <c r="A474" s="4">
        <v>635</v>
      </c>
      <c r="B474" s="4" t="s">
        <v>43</v>
      </c>
      <c r="C474" s="4">
        <v>37</v>
      </c>
      <c r="D474" s="4" t="s">
        <v>45</v>
      </c>
      <c r="E474" s="4" t="s">
        <v>53</v>
      </c>
      <c r="F474" s="4">
        <v>6447</v>
      </c>
      <c r="G474" s="4" t="s">
        <v>43</v>
      </c>
      <c r="H474" s="4">
        <v>6</v>
      </c>
      <c r="I474" s="4">
        <v>4</v>
      </c>
      <c r="J474" s="4">
        <v>2</v>
      </c>
      <c r="K474" s="4">
        <v>2</v>
      </c>
      <c r="L474" s="4" t="str">
        <f t="shared" si="8"/>
        <v>NORMAL</v>
      </c>
      <c r="M474" s="4" t="str">
        <f t="shared" si="9"/>
        <v>HIGH</v>
      </c>
      <c r="N474" s="4" t="str">
        <f t="shared" si="10"/>
        <v>MID</v>
      </c>
      <c r="O474" s="4" t="str">
        <f t="shared" si="11"/>
        <v>STAGNANT</v>
      </c>
      <c r="P474" s="5" t="str">
        <f t="shared" si="12"/>
        <v>Low_Pressure</v>
      </c>
      <c r="Q474" s="4" t="str">
        <f t="shared" si="13"/>
        <v>DISENGAGED</v>
      </c>
      <c r="R474" s="4" t="str">
        <f t="shared" si="14"/>
        <v>LOW</v>
      </c>
      <c r="S474" s="2"/>
      <c r="T474" s="2"/>
      <c r="U474" s="2"/>
      <c r="V474" s="2"/>
      <c r="W474" s="2"/>
      <c r="X474" s="2"/>
      <c r="Y474" s="2"/>
      <c r="Z474" s="2"/>
    </row>
    <row r="475" spans="1:26" ht="16.8" x14ac:dyDescent="0.3">
      <c r="A475" s="4">
        <v>638</v>
      </c>
      <c r="B475" s="4" t="s">
        <v>43</v>
      </c>
      <c r="C475" s="4">
        <v>49</v>
      </c>
      <c r="D475" s="4" t="s">
        <v>45</v>
      </c>
      <c r="E475" s="4" t="s">
        <v>58</v>
      </c>
      <c r="F475" s="4">
        <v>19502</v>
      </c>
      <c r="G475" s="4" t="s">
        <v>35</v>
      </c>
      <c r="H475" s="4">
        <v>31</v>
      </c>
      <c r="I475" s="4">
        <v>0</v>
      </c>
      <c r="J475" s="4">
        <v>3</v>
      </c>
      <c r="K475" s="4">
        <v>3</v>
      </c>
      <c r="L475" s="4" t="str">
        <f t="shared" si="8"/>
        <v>NORMAL</v>
      </c>
      <c r="M475" s="4" t="str">
        <f t="shared" si="9"/>
        <v>MEDIUM</v>
      </c>
      <c r="N475" s="4" t="str">
        <f t="shared" si="10"/>
        <v>SENIOR</v>
      </c>
      <c r="O475" s="4" t="str">
        <f t="shared" si="11"/>
        <v>RECENTLY PROMOTED</v>
      </c>
      <c r="P475" s="5" t="str">
        <f t="shared" si="12"/>
        <v>Medium_Pressure</v>
      </c>
      <c r="Q475" s="4" t="str">
        <f t="shared" si="13"/>
        <v>HIGHLY_ENGAGED</v>
      </c>
      <c r="R475" s="4" t="str">
        <f t="shared" si="14"/>
        <v>LOW</v>
      </c>
      <c r="S475" s="2"/>
      <c r="T475" s="2"/>
      <c r="U475" s="2"/>
      <c r="V475" s="2"/>
      <c r="W475" s="2"/>
      <c r="X475" s="2"/>
      <c r="Y475" s="2"/>
      <c r="Z475" s="2"/>
    </row>
    <row r="476" spans="1:26" ht="16.8" x14ac:dyDescent="0.3">
      <c r="A476" s="4">
        <v>639</v>
      </c>
      <c r="B476" s="4" t="s">
        <v>43</v>
      </c>
      <c r="C476" s="4">
        <v>24</v>
      </c>
      <c r="D476" s="4" t="s">
        <v>45</v>
      </c>
      <c r="E476" s="4" t="s">
        <v>47</v>
      </c>
      <c r="F476" s="4">
        <v>2725</v>
      </c>
      <c r="G476" s="4" t="s">
        <v>35</v>
      </c>
      <c r="H476" s="4">
        <v>6</v>
      </c>
      <c r="I476" s="4">
        <v>1</v>
      </c>
      <c r="J476" s="4">
        <v>4</v>
      </c>
      <c r="K476" s="4">
        <v>3</v>
      </c>
      <c r="L476" s="4" t="str">
        <f t="shared" si="8"/>
        <v>NORMAL</v>
      </c>
      <c r="M476" s="4" t="str">
        <f t="shared" si="9"/>
        <v>LOW</v>
      </c>
      <c r="N476" s="4" t="str">
        <f t="shared" si="10"/>
        <v>MID</v>
      </c>
      <c r="O476" s="4" t="str">
        <f t="shared" si="11"/>
        <v>RECENTLY PROMOTED</v>
      </c>
      <c r="P476" s="5" t="str">
        <f t="shared" si="12"/>
        <v>Medium_Pressure</v>
      </c>
      <c r="Q476" s="4" t="str">
        <f t="shared" si="13"/>
        <v>HIGHLY_ENGAGED</v>
      </c>
      <c r="R476" s="4" t="str">
        <f t="shared" si="14"/>
        <v>LOW</v>
      </c>
      <c r="S476" s="2"/>
      <c r="T476" s="2"/>
      <c r="U476" s="2"/>
      <c r="V476" s="2"/>
      <c r="W476" s="2"/>
      <c r="X476" s="2"/>
      <c r="Y476" s="2"/>
      <c r="Z476" s="2"/>
    </row>
    <row r="477" spans="1:26" ht="16.8" x14ac:dyDescent="0.3">
      <c r="A477" s="4">
        <v>641</v>
      </c>
      <c r="B477" s="4" t="s">
        <v>43</v>
      </c>
      <c r="C477" s="4">
        <v>26</v>
      </c>
      <c r="D477" s="4" t="s">
        <v>37</v>
      </c>
      <c r="E477" s="4" t="s">
        <v>40</v>
      </c>
      <c r="F477" s="4">
        <v>6272</v>
      </c>
      <c r="G477" s="4" t="s">
        <v>43</v>
      </c>
      <c r="H477" s="4">
        <v>5</v>
      </c>
      <c r="I477" s="4">
        <v>1</v>
      </c>
      <c r="J477" s="4">
        <v>2</v>
      </c>
      <c r="K477" s="4">
        <v>4</v>
      </c>
      <c r="L477" s="4" t="str">
        <f t="shared" si="8"/>
        <v>NORMAL</v>
      </c>
      <c r="M477" s="4" t="str">
        <f t="shared" si="9"/>
        <v>HIGH</v>
      </c>
      <c r="N477" s="4" t="str">
        <f t="shared" si="10"/>
        <v>MID</v>
      </c>
      <c r="O477" s="4" t="str">
        <f t="shared" si="11"/>
        <v>RECENTLY PROMOTED</v>
      </c>
      <c r="P477" s="5" t="str">
        <f t="shared" si="12"/>
        <v>Low_Pressure</v>
      </c>
      <c r="Q477" s="4" t="str">
        <f t="shared" si="13"/>
        <v>DISENGAGED</v>
      </c>
      <c r="R477" s="4" t="str">
        <f t="shared" si="14"/>
        <v>LOW</v>
      </c>
      <c r="S477" s="2"/>
      <c r="T477" s="2"/>
      <c r="U477" s="2"/>
      <c r="V477" s="2"/>
      <c r="W477" s="2"/>
      <c r="X477" s="2"/>
      <c r="Y477" s="2"/>
      <c r="Z477" s="2"/>
    </row>
    <row r="478" spans="1:26" ht="16.8" x14ac:dyDescent="0.3">
      <c r="A478" s="4">
        <v>643</v>
      </c>
      <c r="B478" s="4" t="s">
        <v>43</v>
      </c>
      <c r="C478" s="4">
        <v>24</v>
      </c>
      <c r="D478" s="4" t="s">
        <v>45</v>
      </c>
      <c r="E478" s="4" t="s">
        <v>50</v>
      </c>
      <c r="F478" s="4">
        <v>2127</v>
      </c>
      <c r="G478" s="4" t="s">
        <v>43</v>
      </c>
      <c r="H478" s="4">
        <v>1</v>
      </c>
      <c r="I478" s="4">
        <v>0</v>
      </c>
      <c r="J478" s="4">
        <v>2</v>
      </c>
      <c r="K478" s="4">
        <v>3</v>
      </c>
      <c r="L478" s="4" t="str">
        <f t="shared" si="8"/>
        <v>NORMAL</v>
      </c>
      <c r="M478" s="4" t="str">
        <f t="shared" si="9"/>
        <v>LOW</v>
      </c>
      <c r="N478" s="4" t="str">
        <f t="shared" si="10"/>
        <v>NEW</v>
      </c>
      <c r="O478" s="4" t="str">
        <f t="shared" si="11"/>
        <v>RECENTLY PROMOTED</v>
      </c>
      <c r="P478" s="5" t="str">
        <f t="shared" si="12"/>
        <v>Medium_Pressure</v>
      </c>
      <c r="Q478" s="4" t="str">
        <f t="shared" si="13"/>
        <v>DISENGAGED</v>
      </c>
      <c r="R478" s="4" t="str">
        <f t="shared" si="14"/>
        <v>LOW</v>
      </c>
      <c r="S478" s="2"/>
      <c r="T478" s="2"/>
      <c r="U478" s="2"/>
      <c r="V478" s="2"/>
      <c r="W478" s="2"/>
      <c r="X478" s="2"/>
      <c r="Y478" s="2"/>
      <c r="Z478" s="2"/>
    </row>
    <row r="479" spans="1:26" ht="16.8" x14ac:dyDescent="0.3">
      <c r="A479" s="4">
        <v>644</v>
      </c>
      <c r="B479" s="4" t="s">
        <v>43</v>
      </c>
      <c r="C479" s="4">
        <v>50</v>
      </c>
      <c r="D479" s="4" t="s">
        <v>61</v>
      </c>
      <c r="E479" s="4" t="s">
        <v>56</v>
      </c>
      <c r="F479" s="4">
        <v>18200</v>
      </c>
      <c r="G479" s="4" t="s">
        <v>43</v>
      </c>
      <c r="H479" s="4">
        <v>32</v>
      </c>
      <c r="I479" s="4">
        <v>10</v>
      </c>
      <c r="J479" s="4">
        <v>2</v>
      </c>
      <c r="K479" s="4">
        <v>3</v>
      </c>
      <c r="L479" s="4" t="str">
        <f t="shared" si="8"/>
        <v>NORMAL</v>
      </c>
      <c r="M479" s="4" t="str">
        <f t="shared" si="9"/>
        <v>MEDIUM</v>
      </c>
      <c r="N479" s="4" t="str">
        <f t="shared" si="10"/>
        <v>SENIOR</v>
      </c>
      <c r="O479" s="4" t="str">
        <f t="shared" si="11"/>
        <v>STAGNANT</v>
      </c>
      <c r="P479" s="5" t="str">
        <f t="shared" si="12"/>
        <v>Medium_Pressure</v>
      </c>
      <c r="Q479" s="4" t="str">
        <f t="shared" si="13"/>
        <v>DISENGAGED</v>
      </c>
      <c r="R479" s="4" t="str">
        <f t="shared" si="14"/>
        <v>LOW</v>
      </c>
      <c r="S479" s="2"/>
      <c r="T479" s="2"/>
      <c r="U479" s="2"/>
      <c r="V479" s="2"/>
      <c r="W479" s="2"/>
      <c r="X479" s="2"/>
      <c r="Y479" s="2"/>
      <c r="Z479" s="2"/>
    </row>
    <row r="480" spans="1:26" ht="16.8" x14ac:dyDescent="0.3">
      <c r="A480" s="4">
        <v>645</v>
      </c>
      <c r="B480" s="4" t="s">
        <v>43</v>
      </c>
      <c r="C480" s="4">
        <v>25</v>
      </c>
      <c r="D480" s="4" t="s">
        <v>37</v>
      </c>
      <c r="E480" s="4" t="s">
        <v>57</v>
      </c>
      <c r="F480" s="4">
        <v>2096</v>
      </c>
      <c r="G480" s="4" t="s">
        <v>43</v>
      </c>
      <c r="H480" s="4">
        <v>7</v>
      </c>
      <c r="I480" s="4">
        <v>0</v>
      </c>
      <c r="J480" s="4">
        <v>3</v>
      </c>
      <c r="K480" s="4">
        <v>3</v>
      </c>
      <c r="L480" s="4" t="str">
        <f t="shared" si="8"/>
        <v>NORMAL</v>
      </c>
      <c r="M480" s="4" t="str">
        <f t="shared" si="9"/>
        <v>LOW</v>
      </c>
      <c r="N480" s="4" t="str">
        <f t="shared" si="10"/>
        <v>SENIOR</v>
      </c>
      <c r="O480" s="4" t="str">
        <f t="shared" si="11"/>
        <v>RECENTLY PROMOTED</v>
      </c>
      <c r="P480" s="5" t="str">
        <f t="shared" si="12"/>
        <v>Medium_Pressure</v>
      </c>
      <c r="Q480" s="4" t="str">
        <f t="shared" si="13"/>
        <v>HIGHLY_ENGAGED</v>
      </c>
      <c r="R480" s="4" t="str">
        <f t="shared" si="14"/>
        <v>LOW</v>
      </c>
      <c r="S480" s="2"/>
      <c r="T480" s="2"/>
      <c r="U480" s="2"/>
      <c r="V480" s="2"/>
      <c r="W480" s="2"/>
      <c r="X480" s="2"/>
      <c r="Y480" s="2"/>
      <c r="Z480" s="2"/>
    </row>
    <row r="481" spans="1:26" ht="16.8" x14ac:dyDescent="0.3">
      <c r="A481" s="4">
        <v>647</v>
      </c>
      <c r="B481" s="4" t="s">
        <v>35</v>
      </c>
      <c r="C481" s="4">
        <v>24</v>
      </c>
      <c r="D481" s="4" t="s">
        <v>45</v>
      </c>
      <c r="E481" s="4" t="s">
        <v>50</v>
      </c>
      <c r="F481" s="4">
        <v>2886</v>
      </c>
      <c r="G481" s="4" t="s">
        <v>35</v>
      </c>
      <c r="H481" s="4">
        <v>6</v>
      </c>
      <c r="I481" s="4">
        <v>1</v>
      </c>
      <c r="J481" s="4">
        <v>3</v>
      </c>
      <c r="K481" s="4">
        <v>3</v>
      </c>
      <c r="L481" s="4" t="str">
        <f t="shared" si="8"/>
        <v>NORMAL</v>
      </c>
      <c r="M481" s="4" t="str">
        <f t="shared" si="9"/>
        <v>LOW</v>
      </c>
      <c r="N481" s="4" t="str">
        <f t="shared" si="10"/>
        <v>MID</v>
      </c>
      <c r="O481" s="4" t="str">
        <f t="shared" si="11"/>
        <v>RECENTLY PROMOTED</v>
      </c>
      <c r="P481" s="5" t="str">
        <f t="shared" si="12"/>
        <v>Medium_Pressure</v>
      </c>
      <c r="Q481" s="4" t="str">
        <f t="shared" si="13"/>
        <v>HIGHLY_ENGAGED</v>
      </c>
      <c r="R481" s="4" t="str">
        <f t="shared" si="14"/>
        <v>LOW</v>
      </c>
      <c r="S481" s="2"/>
      <c r="T481" s="2"/>
      <c r="U481" s="2"/>
      <c r="V481" s="2"/>
      <c r="W481" s="2"/>
      <c r="X481" s="2"/>
      <c r="Y481" s="2"/>
      <c r="Z481" s="2"/>
    </row>
    <row r="482" spans="1:26" ht="16.8" x14ac:dyDescent="0.3">
      <c r="A482" s="4">
        <v>648</v>
      </c>
      <c r="B482" s="4" t="s">
        <v>35</v>
      </c>
      <c r="C482" s="4">
        <v>30</v>
      </c>
      <c r="D482" s="4" t="s">
        <v>37</v>
      </c>
      <c r="E482" s="4" t="s">
        <v>57</v>
      </c>
      <c r="F482" s="4">
        <v>2033</v>
      </c>
      <c r="G482" s="4" t="s">
        <v>43</v>
      </c>
      <c r="H482" s="4">
        <v>1</v>
      </c>
      <c r="I482" s="4">
        <v>0</v>
      </c>
      <c r="J482" s="4">
        <v>1</v>
      </c>
      <c r="K482" s="4">
        <v>4</v>
      </c>
      <c r="L482" s="4" t="str">
        <f t="shared" si="8"/>
        <v>NORMAL</v>
      </c>
      <c r="M482" s="4" t="str">
        <f t="shared" si="9"/>
        <v>LOW</v>
      </c>
      <c r="N482" s="4" t="str">
        <f t="shared" si="10"/>
        <v>NEW</v>
      </c>
      <c r="O482" s="4" t="str">
        <f t="shared" si="11"/>
        <v>RECENTLY PROMOTED</v>
      </c>
      <c r="P482" s="5" t="str">
        <f t="shared" si="12"/>
        <v>Low_Pressure</v>
      </c>
      <c r="Q482" s="4" t="str">
        <f t="shared" si="13"/>
        <v>DISENGAGED</v>
      </c>
      <c r="R482" s="4" t="str">
        <f t="shared" si="14"/>
        <v>LOW</v>
      </c>
      <c r="S482" s="2"/>
      <c r="T482" s="2"/>
      <c r="U482" s="2"/>
      <c r="V482" s="2"/>
      <c r="W482" s="2"/>
      <c r="X482" s="2"/>
      <c r="Y482" s="2"/>
      <c r="Z482" s="2"/>
    </row>
    <row r="483" spans="1:26" ht="16.8" x14ac:dyDescent="0.3">
      <c r="A483" s="4">
        <v>649</v>
      </c>
      <c r="B483" s="4" t="s">
        <v>43</v>
      </c>
      <c r="C483" s="4">
        <v>34</v>
      </c>
      <c r="D483" s="4" t="s">
        <v>45</v>
      </c>
      <c r="E483" s="4" t="s">
        <v>47</v>
      </c>
      <c r="F483" s="4">
        <v>3622</v>
      </c>
      <c r="G483" s="4" t="s">
        <v>35</v>
      </c>
      <c r="H483" s="4">
        <v>6</v>
      </c>
      <c r="I483" s="4">
        <v>1</v>
      </c>
      <c r="J483" s="4">
        <v>4</v>
      </c>
      <c r="K483" s="4">
        <v>3</v>
      </c>
      <c r="L483" s="4" t="str">
        <f t="shared" si="8"/>
        <v>NORMAL</v>
      </c>
      <c r="M483" s="4" t="str">
        <f t="shared" si="9"/>
        <v>LOW</v>
      </c>
      <c r="N483" s="4" t="str">
        <f t="shared" si="10"/>
        <v>MID</v>
      </c>
      <c r="O483" s="4" t="str">
        <f t="shared" si="11"/>
        <v>RECENTLY PROMOTED</v>
      </c>
      <c r="P483" s="5" t="str">
        <f t="shared" si="12"/>
        <v>Medium_Pressure</v>
      </c>
      <c r="Q483" s="4" t="str">
        <f t="shared" si="13"/>
        <v>HIGHLY_ENGAGED</v>
      </c>
      <c r="R483" s="4" t="str">
        <f t="shared" si="14"/>
        <v>LOW</v>
      </c>
      <c r="S483" s="2"/>
      <c r="T483" s="2"/>
      <c r="U483" s="2"/>
      <c r="V483" s="2"/>
      <c r="W483" s="2"/>
      <c r="X483" s="2"/>
      <c r="Y483" s="2"/>
      <c r="Z483" s="2"/>
    </row>
    <row r="484" spans="1:26" ht="16.8" x14ac:dyDescent="0.3">
      <c r="A484" s="4">
        <v>650</v>
      </c>
      <c r="B484" s="4" t="s">
        <v>35</v>
      </c>
      <c r="C484" s="4">
        <v>31</v>
      </c>
      <c r="D484" s="4" t="s">
        <v>37</v>
      </c>
      <c r="E484" s="4" t="s">
        <v>40</v>
      </c>
      <c r="F484" s="4">
        <v>4233</v>
      </c>
      <c r="G484" s="4" t="s">
        <v>43</v>
      </c>
      <c r="H484" s="4">
        <v>3</v>
      </c>
      <c r="I484" s="4">
        <v>1</v>
      </c>
      <c r="J484" s="4">
        <v>1</v>
      </c>
      <c r="K484" s="4">
        <v>1</v>
      </c>
      <c r="L484" s="4" t="str">
        <f t="shared" si="8"/>
        <v>NORMAL</v>
      </c>
      <c r="M484" s="4" t="str">
        <f t="shared" si="9"/>
        <v>HIGH</v>
      </c>
      <c r="N484" s="4" t="str">
        <f t="shared" si="10"/>
        <v>MID</v>
      </c>
      <c r="O484" s="4" t="str">
        <f t="shared" si="11"/>
        <v>RECENTLY PROMOTED</v>
      </c>
      <c r="P484" s="5" t="str">
        <f t="shared" si="12"/>
        <v>Low_Pressure</v>
      </c>
      <c r="Q484" s="4" t="str">
        <f t="shared" si="13"/>
        <v>DISENGAGED</v>
      </c>
      <c r="R484" s="4" t="str">
        <f t="shared" si="14"/>
        <v>LOW</v>
      </c>
      <c r="S484" s="2"/>
      <c r="T484" s="2"/>
      <c r="U484" s="2"/>
      <c r="V484" s="2"/>
      <c r="W484" s="2"/>
      <c r="X484" s="2"/>
      <c r="Y484" s="2"/>
      <c r="Z484" s="2"/>
    </row>
    <row r="485" spans="1:26" ht="16.8" x14ac:dyDescent="0.3">
      <c r="A485" s="4">
        <v>652</v>
      </c>
      <c r="B485" s="4" t="s">
        <v>43</v>
      </c>
      <c r="C485" s="4">
        <v>35</v>
      </c>
      <c r="D485" s="4" t="s">
        <v>45</v>
      </c>
      <c r="E485" s="4" t="s">
        <v>50</v>
      </c>
      <c r="F485" s="4">
        <v>3681</v>
      </c>
      <c r="G485" s="4" t="s">
        <v>43</v>
      </c>
      <c r="H485" s="4">
        <v>3</v>
      </c>
      <c r="I485" s="4">
        <v>0</v>
      </c>
      <c r="J485" s="4">
        <v>4</v>
      </c>
      <c r="K485" s="4">
        <v>3</v>
      </c>
      <c r="L485" s="4" t="str">
        <f t="shared" si="8"/>
        <v>NORMAL</v>
      </c>
      <c r="M485" s="4" t="str">
        <f t="shared" si="9"/>
        <v>LOW</v>
      </c>
      <c r="N485" s="4" t="str">
        <f t="shared" si="10"/>
        <v>MID</v>
      </c>
      <c r="O485" s="4" t="str">
        <f t="shared" si="11"/>
        <v>RECENTLY PROMOTED</v>
      </c>
      <c r="P485" s="5" t="str">
        <f t="shared" si="12"/>
        <v>Medium_Pressure</v>
      </c>
      <c r="Q485" s="4" t="str">
        <f t="shared" si="13"/>
        <v>HIGHLY_ENGAGED</v>
      </c>
      <c r="R485" s="4" t="str">
        <f t="shared" si="14"/>
        <v>LOW</v>
      </c>
      <c r="S485" s="2"/>
      <c r="T485" s="2"/>
      <c r="U485" s="2"/>
      <c r="V485" s="2"/>
      <c r="W485" s="2"/>
      <c r="X485" s="2"/>
      <c r="Y485" s="2"/>
      <c r="Z485" s="2"/>
    </row>
    <row r="486" spans="1:26" ht="16.8" x14ac:dyDescent="0.3">
      <c r="A486" s="4">
        <v>653</v>
      </c>
      <c r="B486" s="4" t="s">
        <v>43</v>
      </c>
      <c r="C486" s="4">
        <v>31</v>
      </c>
      <c r="D486" s="4" t="s">
        <v>37</v>
      </c>
      <c r="E486" s="4" t="s">
        <v>40</v>
      </c>
      <c r="F486" s="4">
        <v>5460</v>
      </c>
      <c r="G486" s="4" t="s">
        <v>43</v>
      </c>
      <c r="H486" s="4">
        <v>7</v>
      </c>
      <c r="I486" s="4">
        <v>5</v>
      </c>
      <c r="J486" s="4">
        <v>4</v>
      </c>
      <c r="K486" s="4">
        <v>4</v>
      </c>
      <c r="L486" s="4" t="str">
        <f t="shared" si="8"/>
        <v>NORMAL</v>
      </c>
      <c r="M486" s="4" t="str">
        <f t="shared" si="9"/>
        <v>HIGH</v>
      </c>
      <c r="N486" s="4" t="str">
        <f t="shared" si="10"/>
        <v>SENIOR</v>
      </c>
      <c r="O486" s="4" t="str">
        <f t="shared" si="11"/>
        <v>STAGNANT</v>
      </c>
      <c r="P486" s="5" t="str">
        <f t="shared" si="12"/>
        <v>Low_Pressure</v>
      </c>
      <c r="Q486" s="4" t="str">
        <f t="shared" si="13"/>
        <v>HIGHLY_ENGAGED</v>
      </c>
      <c r="R486" s="4" t="str">
        <f t="shared" si="14"/>
        <v>LOW</v>
      </c>
      <c r="S486" s="2"/>
      <c r="T486" s="2"/>
      <c r="U486" s="2"/>
      <c r="V486" s="2"/>
      <c r="W486" s="2"/>
      <c r="X486" s="2"/>
      <c r="Y486" s="2"/>
      <c r="Z486" s="2"/>
    </row>
    <row r="487" spans="1:26" ht="16.8" x14ac:dyDescent="0.3">
      <c r="A487" s="4">
        <v>655</v>
      </c>
      <c r="B487" s="4" t="s">
        <v>43</v>
      </c>
      <c r="C487" s="4">
        <v>27</v>
      </c>
      <c r="D487" s="4" t="s">
        <v>45</v>
      </c>
      <c r="E487" s="4" t="s">
        <v>47</v>
      </c>
      <c r="F487" s="4">
        <v>2187</v>
      </c>
      <c r="G487" s="4" t="s">
        <v>43</v>
      </c>
      <c r="H487" s="4">
        <v>5</v>
      </c>
      <c r="I487" s="4">
        <v>0</v>
      </c>
      <c r="J487" s="4">
        <v>3</v>
      </c>
      <c r="K487" s="4">
        <v>2</v>
      </c>
      <c r="L487" s="4" t="str">
        <f t="shared" si="8"/>
        <v>NORMAL</v>
      </c>
      <c r="M487" s="4" t="str">
        <f t="shared" si="9"/>
        <v>LOW</v>
      </c>
      <c r="N487" s="4" t="str">
        <f t="shared" si="10"/>
        <v>MID</v>
      </c>
      <c r="O487" s="4" t="str">
        <f t="shared" si="11"/>
        <v>RECENTLY PROMOTED</v>
      </c>
      <c r="P487" s="5" t="str">
        <f t="shared" si="12"/>
        <v>Low_Pressure</v>
      </c>
      <c r="Q487" s="4" t="str">
        <f t="shared" si="13"/>
        <v>DISENGAGED</v>
      </c>
      <c r="R487" s="4" t="str">
        <f t="shared" si="14"/>
        <v>LOW</v>
      </c>
      <c r="S487" s="2"/>
      <c r="T487" s="2"/>
      <c r="U487" s="2"/>
      <c r="V487" s="2"/>
      <c r="W487" s="2"/>
      <c r="X487" s="2"/>
      <c r="Y487" s="2"/>
      <c r="Z487" s="2"/>
    </row>
    <row r="488" spans="1:26" ht="16.8" x14ac:dyDescent="0.3">
      <c r="A488" s="4">
        <v>656</v>
      </c>
      <c r="B488" s="4" t="s">
        <v>43</v>
      </c>
      <c r="C488" s="4">
        <v>37</v>
      </c>
      <c r="D488" s="4" t="s">
        <v>37</v>
      </c>
      <c r="E488" s="4" t="s">
        <v>40</v>
      </c>
      <c r="F488" s="4">
        <v>9602</v>
      </c>
      <c r="G488" s="4" t="s">
        <v>35</v>
      </c>
      <c r="H488" s="4">
        <v>3</v>
      </c>
      <c r="I488" s="4">
        <v>1</v>
      </c>
      <c r="J488" s="4">
        <v>3</v>
      </c>
      <c r="K488" s="4">
        <v>2</v>
      </c>
      <c r="L488" s="4" t="str">
        <f t="shared" si="8"/>
        <v>NORMAL</v>
      </c>
      <c r="M488" s="4" t="str">
        <f t="shared" si="9"/>
        <v>MEDIUM</v>
      </c>
      <c r="N488" s="4" t="str">
        <f t="shared" si="10"/>
        <v>MID</v>
      </c>
      <c r="O488" s="4" t="str">
        <f t="shared" si="11"/>
        <v>RECENTLY PROMOTED</v>
      </c>
      <c r="P488" s="5" t="str">
        <f t="shared" si="12"/>
        <v>High_Pressure</v>
      </c>
      <c r="Q488" s="4" t="str">
        <f t="shared" si="13"/>
        <v>DISENGAGED</v>
      </c>
      <c r="R488" s="4" t="str">
        <f t="shared" si="14"/>
        <v>LOW</v>
      </c>
      <c r="S488" s="2"/>
      <c r="T488" s="2"/>
      <c r="U488" s="2"/>
      <c r="V488" s="2"/>
      <c r="W488" s="2"/>
      <c r="X488" s="2"/>
      <c r="Y488" s="2"/>
      <c r="Z488" s="2"/>
    </row>
    <row r="489" spans="1:26" ht="16.8" x14ac:dyDescent="0.3">
      <c r="A489" s="4">
        <v>657</v>
      </c>
      <c r="B489" s="4" t="s">
        <v>43</v>
      </c>
      <c r="C489" s="4">
        <v>20</v>
      </c>
      <c r="D489" s="4" t="s">
        <v>45</v>
      </c>
      <c r="E489" s="4" t="s">
        <v>47</v>
      </c>
      <c r="F489" s="4">
        <v>2836</v>
      </c>
      <c r="G489" s="4" t="s">
        <v>43</v>
      </c>
      <c r="H489" s="4">
        <v>1</v>
      </c>
      <c r="I489" s="4">
        <v>0</v>
      </c>
      <c r="J489" s="4">
        <v>2</v>
      </c>
      <c r="K489" s="4">
        <v>4</v>
      </c>
      <c r="L489" s="4" t="str">
        <f t="shared" si="8"/>
        <v>NORMAL</v>
      </c>
      <c r="M489" s="4" t="str">
        <f t="shared" si="9"/>
        <v>LOW</v>
      </c>
      <c r="N489" s="4" t="str">
        <f t="shared" si="10"/>
        <v>NEW</v>
      </c>
      <c r="O489" s="4" t="str">
        <f t="shared" si="11"/>
        <v>RECENTLY PROMOTED</v>
      </c>
      <c r="P489" s="5" t="str">
        <f t="shared" si="12"/>
        <v>Low_Pressure</v>
      </c>
      <c r="Q489" s="4" t="str">
        <f t="shared" si="13"/>
        <v>DISENGAGED</v>
      </c>
      <c r="R489" s="4" t="str">
        <f t="shared" si="14"/>
        <v>LOW</v>
      </c>
      <c r="S489" s="2"/>
      <c r="T489" s="2"/>
      <c r="U489" s="2"/>
      <c r="V489" s="2"/>
      <c r="W489" s="2"/>
      <c r="X489" s="2"/>
      <c r="Y489" s="2"/>
      <c r="Z489" s="2"/>
    </row>
    <row r="490" spans="1:26" ht="16.8" x14ac:dyDescent="0.3">
      <c r="A490" s="4">
        <v>659</v>
      </c>
      <c r="B490" s="4" t="s">
        <v>43</v>
      </c>
      <c r="C490" s="4">
        <v>42</v>
      </c>
      <c r="D490" s="4" t="s">
        <v>45</v>
      </c>
      <c r="E490" s="4" t="s">
        <v>54</v>
      </c>
      <c r="F490" s="4">
        <v>4089</v>
      </c>
      <c r="G490" s="4" t="s">
        <v>43</v>
      </c>
      <c r="H490" s="4">
        <v>10</v>
      </c>
      <c r="I490" s="4">
        <v>2</v>
      </c>
      <c r="J490" s="4">
        <v>4</v>
      </c>
      <c r="K490" s="4">
        <v>3</v>
      </c>
      <c r="L490" s="4" t="str">
        <f t="shared" si="8"/>
        <v>NORMAL</v>
      </c>
      <c r="M490" s="4" t="str">
        <f t="shared" si="9"/>
        <v>HIGH</v>
      </c>
      <c r="N490" s="4" t="str">
        <f t="shared" si="10"/>
        <v>SENIOR</v>
      </c>
      <c r="O490" s="4" t="str">
        <f t="shared" si="11"/>
        <v>MODERATE-WAIT</v>
      </c>
      <c r="P490" s="5" t="str">
        <f t="shared" si="12"/>
        <v>Medium_Pressure</v>
      </c>
      <c r="Q490" s="4" t="str">
        <f t="shared" si="13"/>
        <v>HIGHLY_ENGAGED</v>
      </c>
      <c r="R490" s="4" t="str">
        <f t="shared" si="14"/>
        <v>LOW</v>
      </c>
      <c r="S490" s="2"/>
      <c r="T490" s="2"/>
      <c r="U490" s="2"/>
      <c r="V490" s="2"/>
      <c r="W490" s="2"/>
      <c r="X490" s="2"/>
      <c r="Y490" s="2"/>
      <c r="Z490" s="2"/>
    </row>
    <row r="491" spans="1:26" ht="16.8" x14ac:dyDescent="0.3">
      <c r="A491" s="4">
        <v>661</v>
      </c>
      <c r="B491" s="4" t="s">
        <v>43</v>
      </c>
      <c r="C491" s="4">
        <v>43</v>
      </c>
      <c r="D491" s="4" t="s">
        <v>45</v>
      </c>
      <c r="E491" s="4" t="s">
        <v>58</v>
      </c>
      <c r="F491" s="4">
        <v>16627</v>
      </c>
      <c r="G491" s="4" t="s">
        <v>35</v>
      </c>
      <c r="H491" s="4">
        <v>1</v>
      </c>
      <c r="I491" s="4">
        <v>0</v>
      </c>
      <c r="J491" s="4">
        <v>4</v>
      </c>
      <c r="K491" s="4">
        <v>2</v>
      </c>
      <c r="L491" s="4" t="str">
        <f t="shared" si="8"/>
        <v>NORMAL</v>
      </c>
      <c r="M491" s="4" t="str">
        <f t="shared" si="9"/>
        <v>MEDIUM</v>
      </c>
      <c r="N491" s="4" t="str">
        <f t="shared" si="10"/>
        <v>NEW</v>
      </c>
      <c r="O491" s="4" t="str">
        <f t="shared" si="11"/>
        <v>RECENTLY PROMOTED</v>
      </c>
      <c r="P491" s="5" t="str">
        <f t="shared" si="12"/>
        <v>High_Pressure</v>
      </c>
      <c r="Q491" s="4" t="str">
        <f t="shared" si="13"/>
        <v>DISENGAGED</v>
      </c>
      <c r="R491" s="4" t="str">
        <f t="shared" si="14"/>
        <v>LOW</v>
      </c>
      <c r="S491" s="2"/>
      <c r="T491" s="2"/>
      <c r="U491" s="2"/>
      <c r="V491" s="2"/>
      <c r="W491" s="2"/>
      <c r="X491" s="2"/>
      <c r="Y491" s="2"/>
      <c r="Z491" s="2"/>
    </row>
    <row r="492" spans="1:26" ht="16.8" x14ac:dyDescent="0.3">
      <c r="A492" s="4">
        <v>662</v>
      </c>
      <c r="B492" s="4" t="s">
        <v>43</v>
      </c>
      <c r="C492" s="4">
        <v>38</v>
      </c>
      <c r="D492" s="4" t="s">
        <v>45</v>
      </c>
      <c r="E492" s="4" t="s">
        <v>47</v>
      </c>
      <c r="F492" s="4">
        <v>2619</v>
      </c>
      <c r="G492" s="4" t="s">
        <v>43</v>
      </c>
      <c r="H492" s="4">
        <v>0</v>
      </c>
      <c r="I492" s="4">
        <v>0</v>
      </c>
      <c r="J492" s="4">
        <v>1</v>
      </c>
      <c r="K492" s="4">
        <v>2</v>
      </c>
      <c r="L492" s="4" t="str">
        <f t="shared" si="8"/>
        <v>NORMAL</v>
      </c>
      <c r="M492" s="4" t="str">
        <f t="shared" si="9"/>
        <v>LOW</v>
      </c>
      <c r="N492" s="4" t="str">
        <f t="shared" si="10"/>
        <v>NEW</v>
      </c>
      <c r="O492" s="4" t="str">
        <f t="shared" si="11"/>
        <v>RECENTLY PROMOTED</v>
      </c>
      <c r="P492" s="5" t="str">
        <f t="shared" si="12"/>
        <v>Low_Pressure</v>
      </c>
      <c r="Q492" s="4" t="str">
        <f t="shared" si="13"/>
        <v>DISENGAGED</v>
      </c>
      <c r="R492" s="4" t="str">
        <f t="shared" si="14"/>
        <v>LOW</v>
      </c>
      <c r="S492" s="2"/>
      <c r="T492" s="2"/>
      <c r="U492" s="2"/>
      <c r="V492" s="2"/>
      <c r="W492" s="2"/>
      <c r="X492" s="2"/>
      <c r="Y492" s="2"/>
      <c r="Z492" s="2"/>
    </row>
    <row r="493" spans="1:26" ht="16.8" x14ac:dyDescent="0.3">
      <c r="A493" s="4">
        <v>663</v>
      </c>
      <c r="B493" s="4" t="s">
        <v>43</v>
      </c>
      <c r="C493" s="4">
        <v>43</v>
      </c>
      <c r="D493" s="4" t="s">
        <v>45</v>
      </c>
      <c r="E493" s="4" t="s">
        <v>50</v>
      </c>
      <c r="F493" s="4">
        <v>5679</v>
      </c>
      <c r="G493" s="4" t="s">
        <v>35</v>
      </c>
      <c r="H493" s="4">
        <v>8</v>
      </c>
      <c r="I493" s="4">
        <v>4</v>
      </c>
      <c r="J493" s="4">
        <v>3</v>
      </c>
      <c r="K493" s="4">
        <v>3</v>
      </c>
      <c r="L493" s="4" t="str">
        <f t="shared" si="8"/>
        <v>NORMAL</v>
      </c>
      <c r="M493" s="4" t="str">
        <f t="shared" si="9"/>
        <v>HIGH</v>
      </c>
      <c r="N493" s="4" t="str">
        <f t="shared" si="10"/>
        <v>SENIOR</v>
      </c>
      <c r="O493" s="4" t="str">
        <f t="shared" si="11"/>
        <v>STAGNANT</v>
      </c>
      <c r="P493" s="5" t="str">
        <f t="shared" si="12"/>
        <v>Medium_Pressure</v>
      </c>
      <c r="Q493" s="4" t="str">
        <f t="shared" si="13"/>
        <v>HIGHLY_ENGAGED</v>
      </c>
      <c r="R493" s="4" t="str">
        <f t="shared" si="14"/>
        <v>LOW</v>
      </c>
      <c r="S493" s="2"/>
      <c r="T493" s="2"/>
      <c r="U493" s="2"/>
      <c r="V493" s="2"/>
      <c r="W493" s="2"/>
      <c r="X493" s="2"/>
      <c r="Y493" s="2"/>
      <c r="Z493" s="2"/>
    </row>
    <row r="494" spans="1:26" ht="16.8" x14ac:dyDescent="0.3">
      <c r="A494" s="4">
        <v>664</v>
      </c>
      <c r="B494" s="4" t="s">
        <v>43</v>
      </c>
      <c r="C494" s="4">
        <v>48</v>
      </c>
      <c r="D494" s="4" t="s">
        <v>45</v>
      </c>
      <c r="E494" s="4" t="s">
        <v>56</v>
      </c>
      <c r="F494" s="4">
        <v>15402</v>
      </c>
      <c r="G494" s="4" t="s">
        <v>43</v>
      </c>
      <c r="H494" s="4">
        <v>3</v>
      </c>
      <c r="I494" s="4">
        <v>0</v>
      </c>
      <c r="J494" s="4">
        <v>1</v>
      </c>
      <c r="K494" s="4">
        <v>1</v>
      </c>
      <c r="L494" s="4" t="str">
        <f t="shared" si="8"/>
        <v>NORMAL</v>
      </c>
      <c r="M494" s="4" t="str">
        <f t="shared" si="9"/>
        <v>MEDIUM</v>
      </c>
      <c r="N494" s="4" t="str">
        <f t="shared" si="10"/>
        <v>MID</v>
      </c>
      <c r="O494" s="4" t="str">
        <f t="shared" si="11"/>
        <v>RECENTLY PROMOTED</v>
      </c>
      <c r="P494" s="5" t="str">
        <f t="shared" si="12"/>
        <v>Low_Pressure</v>
      </c>
      <c r="Q494" s="4" t="str">
        <f t="shared" si="13"/>
        <v>DISENGAGED</v>
      </c>
      <c r="R494" s="4" t="str">
        <f t="shared" si="14"/>
        <v>LOW</v>
      </c>
      <c r="S494" s="2"/>
      <c r="T494" s="2"/>
      <c r="U494" s="2"/>
      <c r="V494" s="2"/>
      <c r="W494" s="2"/>
      <c r="X494" s="2"/>
      <c r="Y494" s="2"/>
      <c r="Z494" s="2"/>
    </row>
    <row r="495" spans="1:26" ht="16.8" x14ac:dyDescent="0.3">
      <c r="A495" s="4">
        <v>665</v>
      </c>
      <c r="B495" s="4" t="s">
        <v>43</v>
      </c>
      <c r="C495" s="4">
        <v>44</v>
      </c>
      <c r="D495" s="4" t="s">
        <v>61</v>
      </c>
      <c r="E495" s="4" t="s">
        <v>61</v>
      </c>
      <c r="F495" s="4">
        <v>5985</v>
      </c>
      <c r="G495" s="4" t="s">
        <v>43</v>
      </c>
      <c r="H495" s="4">
        <v>2</v>
      </c>
      <c r="I495" s="4">
        <v>0</v>
      </c>
      <c r="J495" s="4">
        <v>3</v>
      </c>
      <c r="K495" s="4">
        <v>4</v>
      </c>
      <c r="L495" s="4" t="str">
        <f t="shared" si="8"/>
        <v>NORMAL</v>
      </c>
      <c r="M495" s="4" t="str">
        <f t="shared" si="9"/>
        <v>HIGH</v>
      </c>
      <c r="N495" s="4" t="str">
        <f t="shared" si="10"/>
        <v>NEW</v>
      </c>
      <c r="O495" s="4" t="str">
        <f t="shared" si="11"/>
        <v>RECENTLY PROMOTED</v>
      </c>
      <c r="P495" s="5" t="str">
        <f t="shared" si="12"/>
        <v>Low_Pressure</v>
      </c>
      <c r="Q495" s="4" t="str">
        <f t="shared" si="13"/>
        <v>HIGHLY_ENGAGED</v>
      </c>
      <c r="R495" s="4" t="str">
        <f t="shared" si="14"/>
        <v>LOW</v>
      </c>
      <c r="S495" s="2"/>
      <c r="T495" s="2"/>
      <c r="U495" s="2"/>
      <c r="V495" s="2"/>
      <c r="W495" s="2"/>
      <c r="X495" s="2"/>
      <c r="Y495" s="2"/>
      <c r="Z495" s="2"/>
    </row>
    <row r="496" spans="1:26" ht="16.8" x14ac:dyDescent="0.3">
      <c r="A496" s="4">
        <v>666</v>
      </c>
      <c r="B496" s="4" t="s">
        <v>43</v>
      </c>
      <c r="C496" s="4">
        <v>34</v>
      </c>
      <c r="D496" s="4" t="s">
        <v>37</v>
      </c>
      <c r="E496" s="4" t="s">
        <v>57</v>
      </c>
      <c r="F496" s="4">
        <v>2579</v>
      </c>
      <c r="G496" s="4" t="s">
        <v>35</v>
      </c>
      <c r="H496" s="4">
        <v>8</v>
      </c>
      <c r="I496" s="4">
        <v>0</v>
      </c>
      <c r="J496" s="4">
        <v>3</v>
      </c>
      <c r="K496" s="4">
        <v>3</v>
      </c>
      <c r="L496" s="4" t="str">
        <f t="shared" si="8"/>
        <v>NORMAL</v>
      </c>
      <c r="M496" s="4" t="str">
        <f t="shared" si="9"/>
        <v>LOW</v>
      </c>
      <c r="N496" s="4" t="str">
        <f t="shared" si="10"/>
        <v>SENIOR</v>
      </c>
      <c r="O496" s="4" t="str">
        <f t="shared" si="11"/>
        <v>RECENTLY PROMOTED</v>
      </c>
      <c r="P496" s="5" t="str">
        <f t="shared" si="12"/>
        <v>Medium_Pressure</v>
      </c>
      <c r="Q496" s="4" t="str">
        <f t="shared" si="13"/>
        <v>HIGHLY_ENGAGED</v>
      </c>
      <c r="R496" s="4" t="str">
        <f t="shared" si="14"/>
        <v>LOW</v>
      </c>
      <c r="S496" s="2"/>
      <c r="T496" s="2"/>
      <c r="U496" s="2"/>
      <c r="V496" s="2"/>
      <c r="W496" s="2"/>
      <c r="X496" s="2"/>
      <c r="Y496" s="2"/>
      <c r="Z496" s="2"/>
    </row>
    <row r="497" spans="1:26" ht="16.8" x14ac:dyDescent="0.3">
      <c r="A497" s="4">
        <v>667</v>
      </c>
      <c r="B497" s="4" t="s">
        <v>35</v>
      </c>
      <c r="C497" s="4">
        <v>27</v>
      </c>
      <c r="D497" s="4" t="s">
        <v>37</v>
      </c>
      <c r="E497" s="4" t="s">
        <v>57</v>
      </c>
      <c r="F497" s="4">
        <v>3041</v>
      </c>
      <c r="G497" s="4" t="s">
        <v>43</v>
      </c>
      <c r="H497" s="4">
        <v>4</v>
      </c>
      <c r="I497" s="4">
        <v>0</v>
      </c>
      <c r="J497" s="4">
        <v>1</v>
      </c>
      <c r="K497" s="4">
        <v>3</v>
      </c>
      <c r="L497" s="4" t="str">
        <f t="shared" si="8"/>
        <v>NORMAL</v>
      </c>
      <c r="M497" s="4" t="str">
        <f t="shared" si="9"/>
        <v>LOW</v>
      </c>
      <c r="N497" s="4" t="str">
        <f t="shared" si="10"/>
        <v>MID</v>
      </c>
      <c r="O497" s="4" t="str">
        <f t="shared" si="11"/>
        <v>RECENTLY PROMOTED</v>
      </c>
      <c r="P497" s="5" t="str">
        <f t="shared" si="12"/>
        <v>Medium_Pressure</v>
      </c>
      <c r="Q497" s="4" t="str">
        <f t="shared" si="13"/>
        <v>DISENGAGED</v>
      </c>
      <c r="R497" s="4" t="str">
        <f t="shared" si="14"/>
        <v>LOW</v>
      </c>
      <c r="S497" s="2"/>
      <c r="T497" s="2"/>
      <c r="U497" s="2"/>
      <c r="V497" s="2"/>
      <c r="W497" s="2"/>
      <c r="X497" s="2"/>
      <c r="Y497" s="2"/>
      <c r="Z497" s="2"/>
    </row>
    <row r="498" spans="1:26" ht="16.8" x14ac:dyDescent="0.3">
      <c r="A498" s="4">
        <v>669</v>
      </c>
      <c r="B498" s="4" t="s">
        <v>43</v>
      </c>
      <c r="C498" s="4">
        <v>21</v>
      </c>
      <c r="D498" s="4" t="s">
        <v>37</v>
      </c>
      <c r="E498" s="4" t="s">
        <v>57</v>
      </c>
      <c r="F498" s="4">
        <v>3447</v>
      </c>
      <c r="G498" s="4" t="s">
        <v>43</v>
      </c>
      <c r="H498" s="4">
        <v>3</v>
      </c>
      <c r="I498" s="4">
        <v>1</v>
      </c>
      <c r="J498" s="4">
        <v>3</v>
      </c>
      <c r="K498" s="4">
        <v>3</v>
      </c>
      <c r="L498" s="4" t="str">
        <f t="shared" si="8"/>
        <v>NORMAL</v>
      </c>
      <c r="M498" s="4" t="str">
        <f t="shared" si="9"/>
        <v>LOW</v>
      </c>
      <c r="N498" s="4" t="str">
        <f t="shared" si="10"/>
        <v>MID</v>
      </c>
      <c r="O498" s="4" t="str">
        <f t="shared" si="11"/>
        <v>RECENTLY PROMOTED</v>
      </c>
      <c r="P498" s="5" t="str">
        <f t="shared" si="12"/>
        <v>Medium_Pressure</v>
      </c>
      <c r="Q498" s="4" t="str">
        <f t="shared" si="13"/>
        <v>HIGHLY_ENGAGED</v>
      </c>
      <c r="R498" s="4" t="str">
        <f t="shared" si="14"/>
        <v>LOW</v>
      </c>
      <c r="S498" s="2"/>
      <c r="T498" s="2"/>
      <c r="U498" s="2"/>
      <c r="V498" s="2"/>
      <c r="W498" s="2"/>
      <c r="X498" s="2"/>
      <c r="Y498" s="2"/>
      <c r="Z498" s="2"/>
    </row>
    <row r="499" spans="1:26" ht="16.8" x14ac:dyDescent="0.3">
      <c r="A499" s="4">
        <v>671</v>
      </c>
      <c r="B499" s="4" t="s">
        <v>43</v>
      </c>
      <c r="C499" s="4">
        <v>44</v>
      </c>
      <c r="D499" s="4" t="s">
        <v>45</v>
      </c>
      <c r="E499" s="4" t="s">
        <v>56</v>
      </c>
      <c r="F499" s="4">
        <v>19513</v>
      </c>
      <c r="G499" s="4" t="s">
        <v>35</v>
      </c>
      <c r="H499" s="4">
        <v>2</v>
      </c>
      <c r="I499" s="4">
        <v>0</v>
      </c>
      <c r="J499" s="4">
        <v>4</v>
      </c>
      <c r="K499" s="4">
        <v>4</v>
      </c>
      <c r="L499" s="4" t="str">
        <f t="shared" si="8"/>
        <v>NORMAL</v>
      </c>
      <c r="M499" s="4" t="str">
        <f t="shared" si="9"/>
        <v>MEDIUM</v>
      </c>
      <c r="N499" s="4" t="str">
        <f t="shared" si="10"/>
        <v>NEW</v>
      </c>
      <c r="O499" s="4" t="str">
        <f t="shared" si="11"/>
        <v>RECENTLY PROMOTED</v>
      </c>
      <c r="P499" s="5" t="str">
        <f t="shared" si="12"/>
        <v>Medium_Pressure</v>
      </c>
      <c r="Q499" s="4" t="str">
        <f t="shared" si="13"/>
        <v>HIGHLY_ENGAGED</v>
      </c>
      <c r="R499" s="4" t="str">
        <f t="shared" si="14"/>
        <v>LOW</v>
      </c>
      <c r="S499" s="2"/>
      <c r="T499" s="2"/>
      <c r="U499" s="2"/>
      <c r="V499" s="2"/>
      <c r="W499" s="2"/>
      <c r="X499" s="2"/>
      <c r="Y499" s="2"/>
      <c r="Z499" s="2"/>
    </row>
    <row r="500" spans="1:26" ht="16.8" x14ac:dyDescent="0.3">
      <c r="A500" s="4">
        <v>675</v>
      </c>
      <c r="B500" s="4" t="s">
        <v>43</v>
      </c>
      <c r="C500" s="4">
        <v>22</v>
      </c>
      <c r="D500" s="4" t="s">
        <v>45</v>
      </c>
      <c r="E500" s="4" t="s">
        <v>47</v>
      </c>
      <c r="F500" s="4">
        <v>2773</v>
      </c>
      <c r="G500" s="4" t="s">
        <v>43</v>
      </c>
      <c r="H500" s="4">
        <v>2</v>
      </c>
      <c r="I500" s="4">
        <v>2</v>
      </c>
      <c r="J500" s="4">
        <v>3</v>
      </c>
      <c r="K500" s="4">
        <v>3</v>
      </c>
      <c r="L500" s="4" t="str">
        <f t="shared" si="8"/>
        <v>NORMAL</v>
      </c>
      <c r="M500" s="4" t="str">
        <f t="shared" si="9"/>
        <v>LOW</v>
      </c>
      <c r="N500" s="4" t="str">
        <f t="shared" si="10"/>
        <v>NEW</v>
      </c>
      <c r="O500" s="4" t="str">
        <f t="shared" si="11"/>
        <v>MODERATE-WAIT</v>
      </c>
      <c r="P500" s="5" t="str">
        <f t="shared" si="12"/>
        <v>Medium_Pressure</v>
      </c>
      <c r="Q500" s="4" t="str">
        <f t="shared" si="13"/>
        <v>HIGHLY_ENGAGED</v>
      </c>
      <c r="R500" s="4" t="str">
        <f t="shared" si="14"/>
        <v>LOW</v>
      </c>
      <c r="S500" s="2"/>
      <c r="T500" s="2"/>
      <c r="U500" s="2"/>
      <c r="V500" s="2"/>
      <c r="W500" s="2"/>
      <c r="X500" s="2"/>
      <c r="Y500" s="2"/>
      <c r="Z500" s="2"/>
    </row>
    <row r="501" spans="1:26" ht="16.8" x14ac:dyDescent="0.3">
      <c r="A501" s="4">
        <v>677</v>
      </c>
      <c r="B501" s="4" t="s">
        <v>43</v>
      </c>
      <c r="C501" s="4">
        <v>33</v>
      </c>
      <c r="D501" s="4" t="s">
        <v>37</v>
      </c>
      <c r="E501" s="4" t="s">
        <v>40</v>
      </c>
      <c r="F501" s="4">
        <v>7104</v>
      </c>
      <c r="G501" s="4" t="s">
        <v>43</v>
      </c>
      <c r="H501" s="4">
        <v>5</v>
      </c>
      <c r="I501" s="4">
        <v>1</v>
      </c>
      <c r="J501" s="4">
        <v>3</v>
      </c>
      <c r="K501" s="4">
        <v>3</v>
      </c>
      <c r="L501" s="4" t="str">
        <f t="shared" si="8"/>
        <v>NORMAL</v>
      </c>
      <c r="M501" s="4" t="str">
        <f t="shared" si="9"/>
        <v>HIGH</v>
      </c>
      <c r="N501" s="4" t="str">
        <f t="shared" si="10"/>
        <v>MID</v>
      </c>
      <c r="O501" s="4" t="str">
        <f t="shared" si="11"/>
        <v>RECENTLY PROMOTED</v>
      </c>
      <c r="P501" s="5" t="str">
        <f t="shared" si="12"/>
        <v>Medium_Pressure</v>
      </c>
      <c r="Q501" s="4" t="str">
        <f t="shared" si="13"/>
        <v>HIGHLY_ENGAGED</v>
      </c>
      <c r="R501" s="4" t="str">
        <f t="shared" si="14"/>
        <v>LOW</v>
      </c>
      <c r="S501" s="2"/>
      <c r="T501" s="2"/>
      <c r="U501" s="2"/>
      <c r="V501" s="2"/>
      <c r="W501" s="2"/>
      <c r="X501" s="2"/>
      <c r="Y501" s="2"/>
      <c r="Z501" s="2"/>
    </row>
    <row r="502" spans="1:26" ht="16.8" x14ac:dyDescent="0.3">
      <c r="A502" s="4">
        <v>679</v>
      </c>
      <c r="B502" s="4" t="s">
        <v>43</v>
      </c>
      <c r="C502" s="4">
        <v>32</v>
      </c>
      <c r="D502" s="4" t="s">
        <v>45</v>
      </c>
      <c r="E502" s="4" t="s">
        <v>47</v>
      </c>
      <c r="F502" s="4">
        <v>6322</v>
      </c>
      <c r="G502" s="4" t="s">
        <v>35</v>
      </c>
      <c r="H502" s="4">
        <v>6</v>
      </c>
      <c r="I502" s="4">
        <v>0</v>
      </c>
      <c r="J502" s="4">
        <v>4</v>
      </c>
      <c r="K502" s="4">
        <v>2</v>
      </c>
      <c r="L502" s="4" t="str">
        <f t="shared" si="8"/>
        <v>NORMAL</v>
      </c>
      <c r="M502" s="4" t="str">
        <f t="shared" si="9"/>
        <v>HIGH</v>
      </c>
      <c r="N502" s="4" t="str">
        <f t="shared" si="10"/>
        <v>MID</v>
      </c>
      <c r="O502" s="4" t="str">
        <f t="shared" si="11"/>
        <v>RECENTLY PROMOTED</v>
      </c>
      <c r="P502" s="5" t="str">
        <f t="shared" si="12"/>
        <v>High_Pressure</v>
      </c>
      <c r="Q502" s="4" t="str">
        <f t="shared" si="13"/>
        <v>DISENGAGED</v>
      </c>
      <c r="R502" s="4" t="str">
        <f t="shared" si="14"/>
        <v>LOW</v>
      </c>
      <c r="S502" s="2"/>
      <c r="T502" s="2"/>
      <c r="U502" s="2"/>
      <c r="V502" s="2"/>
      <c r="W502" s="2"/>
      <c r="X502" s="2"/>
      <c r="Y502" s="2"/>
      <c r="Z502" s="2"/>
    </row>
    <row r="503" spans="1:26" ht="16.8" x14ac:dyDescent="0.3">
      <c r="A503" s="4">
        <v>680</v>
      </c>
      <c r="B503" s="4" t="s">
        <v>43</v>
      </c>
      <c r="C503" s="4">
        <v>30</v>
      </c>
      <c r="D503" s="4" t="s">
        <v>45</v>
      </c>
      <c r="E503" s="4" t="s">
        <v>47</v>
      </c>
      <c r="F503" s="4">
        <v>2083</v>
      </c>
      <c r="G503" s="4" t="s">
        <v>43</v>
      </c>
      <c r="H503" s="4">
        <v>1</v>
      </c>
      <c r="I503" s="4">
        <v>0</v>
      </c>
      <c r="J503" s="4">
        <v>3</v>
      </c>
      <c r="K503" s="4">
        <v>3</v>
      </c>
      <c r="L503" s="4" t="str">
        <f t="shared" si="8"/>
        <v>NORMAL</v>
      </c>
      <c r="M503" s="4" t="str">
        <f t="shared" si="9"/>
        <v>LOW</v>
      </c>
      <c r="N503" s="4" t="str">
        <f t="shared" si="10"/>
        <v>NEW</v>
      </c>
      <c r="O503" s="4" t="str">
        <f t="shared" si="11"/>
        <v>RECENTLY PROMOTED</v>
      </c>
      <c r="P503" s="5" t="str">
        <f t="shared" si="12"/>
        <v>Medium_Pressure</v>
      </c>
      <c r="Q503" s="4" t="str">
        <f t="shared" si="13"/>
        <v>HIGHLY_ENGAGED</v>
      </c>
      <c r="R503" s="4" t="str">
        <f t="shared" si="14"/>
        <v>LOW</v>
      </c>
      <c r="S503" s="2"/>
      <c r="T503" s="2"/>
      <c r="U503" s="2"/>
      <c r="V503" s="2"/>
      <c r="W503" s="2"/>
      <c r="X503" s="2"/>
      <c r="Y503" s="2"/>
      <c r="Z503" s="2"/>
    </row>
    <row r="504" spans="1:26" ht="16.8" x14ac:dyDescent="0.3">
      <c r="A504" s="4">
        <v>682</v>
      </c>
      <c r="B504" s="4" t="s">
        <v>43</v>
      </c>
      <c r="C504" s="4">
        <v>53</v>
      </c>
      <c r="D504" s="4" t="s">
        <v>37</v>
      </c>
      <c r="E504" s="4" t="s">
        <v>40</v>
      </c>
      <c r="F504" s="4">
        <v>8381</v>
      </c>
      <c r="G504" s="4" t="s">
        <v>43</v>
      </c>
      <c r="H504" s="4">
        <v>14</v>
      </c>
      <c r="I504" s="4">
        <v>8</v>
      </c>
      <c r="J504" s="4">
        <v>1</v>
      </c>
      <c r="K504" s="4">
        <v>4</v>
      </c>
      <c r="L504" s="4" t="str">
        <f t="shared" si="8"/>
        <v>NORMAL</v>
      </c>
      <c r="M504" s="4" t="str">
        <f t="shared" si="9"/>
        <v>HIGH</v>
      </c>
      <c r="N504" s="4" t="str">
        <f t="shared" si="10"/>
        <v>SENIOR</v>
      </c>
      <c r="O504" s="4" t="str">
        <f t="shared" si="11"/>
        <v>STAGNANT</v>
      </c>
      <c r="P504" s="5" t="str">
        <f t="shared" si="12"/>
        <v>Low_Pressure</v>
      </c>
      <c r="Q504" s="4" t="str">
        <f t="shared" si="13"/>
        <v>DISENGAGED</v>
      </c>
      <c r="R504" s="4" t="str">
        <f t="shared" si="14"/>
        <v>LOW</v>
      </c>
      <c r="S504" s="2"/>
      <c r="T504" s="2"/>
      <c r="U504" s="2"/>
      <c r="V504" s="2"/>
      <c r="W504" s="2"/>
      <c r="X504" s="2"/>
      <c r="Y504" s="2"/>
      <c r="Z504" s="2"/>
    </row>
    <row r="505" spans="1:26" ht="16.8" x14ac:dyDescent="0.3">
      <c r="A505" s="4">
        <v>683</v>
      </c>
      <c r="B505" s="4" t="s">
        <v>43</v>
      </c>
      <c r="C505" s="4">
        <v>34</v>
      </c>
      <c r="D505" s="4" t="s">
        <v>45</v>
      </c>
      <c r="E505" s="4" t="s">
        <v>47</v>
      </c>
      <c r="F505" s="4">
        <v>2691</v>
      </c>
      <c r="G505" s="4" t="s">
        <v>43</v>
      </c>
      <c r="H505" s="4">
        <v>10</v>
      </c>
      <c r="I505" s="4">
        <v>8</v>
      </c>
      <c r="J505" s="4">
        <v>4</v>
      </c>
      <c r="K505" s="4">
        <v>2</v>
      </c>
      <c r="L505" s="4" t="str">
        <f t="shared" si="8"/>
        <v>NORMAL</v>
      </c>
      <c r="M505" s="4" t="str">
        <f t="shared" si="9"/>
        <v>LOW</v>
      </c>
      <c r="N505" s="4" t="str">
        <f t="shared" si="10"/>
        <v>SENIOR</v>
      </c>
      <c r="O505" s="4" t="str">
        <f t="shared" si="11"/>
        <v>STAGNANT</v>
      </c>
      <c r="P505" s="5" t="str">
        <f t="shared" si="12"/>
        <v>Low_Pressure</v>
      </c>
      <c r="Q505" s="4" t="str">
        <f t="shared" si="13"/>
        <v>DISENGAGED</v>
      </c>
      <c r="R505" s="4" t="str">
        <f t="shared" si="14"/>
        <v>LOW</v>
      </c>
      <c r="S505" s="2"/>
      <c r="T505" s="2"/>
      <c r="U505" s="2"/>
      <c r="V505" s="2"/>
      <c r="W505" s="2"/>
      <c r="X505" s="2"/>
      <c r="Y505" s="2"/>
      <c r="Z505" s="2"/>
    </row>
    <row r="506" spans="1:26" ht="16.8" x14ac:dyDescent="0.3">
      <c r="A506" s="4">
        <v>684</v>
      </c>
      <c r="B506" s="4" t="s">
        <v>35</v>
      </c>
      <c r="C506" s="4">
        <v>45</v>
      </c>
      <c r="D506" s="4" t="s">
        <v>37</v>
      </c>
      <c r="E506" s="4" t="s">
        <v>40</v>
      </c>
      <c r="F506" s="4">
        <v>4286</v>
      </c>
      <c r="G506" s="4" t="s">
        <v>43</v>
      </c>
      <c r="H506" s="4">
        <v>1</v>
      </c>
      <c r="I506" s="4">
        <v>0</v>
      </c>
      <c r="J506" s="4">
        <v>1</v>
      </c>
      <c r="K506" s="4">
        <v>3</v>
      </c>
      <c r="L506" s="4" t="str">
        <f t="shared" si="8"/>
        <v>NORMAL</v>
      </c>
      <c r="M506" s="4" t="str">
        <f t="shared" si="9"/>
        <v>HIGH</v>
      </c>
      <c r="N506" s="4" t="str">
        <f t="shared" si="10"/>
        <v>NEW</v>
      </c>
      <c r="O506" s="4" t="str">
        <f t="shared" si="11"/>
        <v>RECENTLY PROMOTED</v>
      </c>
      <c r="P506" s="5" t="str">
        <f t="shared" si="12"/>
        <v>Medium_Pressure</v>
      </c>
      <c r="Q506" s="4" t="str">
        <f t="shared" si="13"/>
        <v>DISENGAGED</v>
      </c>
      <c r="R506" s="4" t="str">
        <f t="shared" si="14"/>
        <v>LOW</v>
      </c>
      <c r="S506" s="2"/>
      <c r="T506" s="2"/>
      <c r="U506" s="2"/>
      <c r="V506" s="2"/>
      <c r="W506" s="2"/>
      <c r="X506" s="2"/>
      <c r="Y506" s="2"/>
      <c r="Z506" s="2"/>
    </row>
    <row r="507" spans="1:26" ht="16.8" x14ac:dyDescent="0.3">
      <c r="A507" s="4">
        <v>686</v>
      </c>
      <c r="B507" s="4" t="s">
        <v>43</v>
      </c>
      <c r="C507" s="4">
        <v>26</v>
      </c>
      <c r="D507" s="4" t="s">
        <v>45</v>
      </c>
      <c r="E507" s="4" t="s">
        <v>50</v>
      </c>
      <c r="F507" s="4">
        <v>2659</v>
      </c>
      <c r="G507" s="4" t="s">
        <v>35</v>
      </c>
      <c r="H507" s="4">
        <v>3</v>
      </c>
      <c r="I507" s="4">
        <v>0</v>
      </c>
      <c r="J507" s="4">
        <v>4</v>
      </c>
      <c r="K507" s="4">
        <v>3</v>
      </c>
      <c r="L507" s="4" t="str">
        <f t="shared" si="8"/>
        <v>NORMAL</v>
      </c>
      <c r="M507" s="4" t="str">
        <f t="shared" si="9"/>
        <v>LOW</v>
      </c>
      <c r="N507" s="4" t="str">
        <f t="shared" si="10"/>
        <v>MID</v>
      </c>
      <c r="O507" s="4" t="str">
        <f t="shared" si="11"/>
        <v>RECENTLY PROMOTED</v>
      </c>
      <c r="P507" s="5" t="str">
        <f t="shared" si="12"/>
        <v>Medium_Pressure</v>
      </c>
      <c r="Q507" s="4" t="str">
        <f t="shared" si="13"/>
        <v>HIGHLY_ENGAGED</v>
      </c>
      <c r="R507" s="4" t="str">
        <f t="shared" si="14"/>
        <v>LOW</v>
      </c>
      <c r="S507" s="2"/>
      <c r="T507" s="2"/>
      <c r="U507" s="2"/>
      <c r="V507" s="2"/>
      <c r="W507" s="2"/>
      <c r="X507" s="2"/>
      <c r="Y507" s="2"/>
      <c r="Z507" s="2"/>
    </row>
    <row r="508" spans="1:26" ht="16.8" x14ac:dyDescent="0.3">
      <c r="A508" s="4">
        <v>689</v>
      </c>
      <c r="B508" s="4" t="s">
        <v>43</v>
      </c>
      <c r="C508" s="4">
        <v>37</v>
      </c>
      <c r="D508" s="4" t="s">
        <v>45</v>
      </c>
      <c r="E508" s="4" t="s">
        <v>53</v>
      </c>
      <c r="F508" s="4">
        <v>9434</v>
      </c>
      <c r="G508" s="4" t="s">
        <v>43</v>
      </c>
      <c r="H508" s="4">
        <v>10</v>
      </c>
      <c r="I508" s="4">
        <v>7</v>
      </c>
      <c r="J508" s="4">
        <v>3</v>
      </c>
      <c r="K508" s="4">
        <v>3</v>
      </c>
      <c r="L508" s="4" t="str">
        <f t="shared" si="8"/>
        <v>NORMAL</v>
      </c>
      <c r="M508" s="4" t="str">
        <f t="shared" si="9"/>
        <v>MEDIUM</v>
      </c>
      <c r="N508" s="4" t="str">
        <f t="shared" si="10"/>
        <v>SENIOR</v>
      </c>
      <c r="O508" s="4" t="str">
        <f t="shared" si="11"/>
        <v>STAGNANT</v>
      </c>
      <c r="P508" s="5" t="str">
        <f t="shared" si="12"/>
        <v>Medium_Pressure</v>
      </c>
      <c r="Q508" s="4" t="str">
        <f t="shared" si="13"/>
        <v>HIGHLY_ENGAGED</v>
      </c>
      <c r="R508" s="4" t="str">
        <f t="shared" si="14"/>
        <v>LOW</v>
      </c>
      <c r="S508" s="2"/>
      <c r="T508" s="2"/>
      <c r="U508" s="2"/>
      <c r="V508" s="2"/>
      <c r="W508" s="2"/>
      <c r="X508" s="2"/>
      <c r="Y508" s="2"/>
      <c r="Z508" s="2"/>
    </row>
    <row r="509" spans="1:26" ht="16.8" x14ac:dyDescent="0.3">
      <c r="A509" s="4">
        <v>690</v>
      </c>
      <c r="B509" s="4" t="s">
        <v>43</v>
      </c>
      <c r="C509" s="4">
        <v>29</v>
      </c>
      <c r="D509" s="4" t="s">
        <v>37</v>
      </c>
      <c r="E509" s="4" t="s">
        <v>40</v>
      </c>
      <c r="F509" s="4">
        <v>5561</v>
      </c>
      <c r="G509" s="4" t="s">
        <v>43</v>
      </c>
      <c r="H509" s="4">
        <v>6</v>
      </c>
      <c r="I509" s="4">
        <v>1</v>
      </c>
      <c r="J509" s="4">
        <v>3</v>
      </c>
      <c r="K509" s="4">
        <v>2</v>
      </c>
      <c r="L509" s="4" t="str">
        <f t="shared" si="8"/>
        <v>NORMAL</v>
      </c>
      <c r="M509" s="4" t="str">
        <f t="shared" si="9"/>
        <v>HIGH</v>
      </c>
      <c r="N509" s="4" t="str">
        <f t="shared" si="10"/>
        <v>MID</v>
      </c>
      <c r="O509" s="4" t="str">
        <f t="shared" si="11"/>
        <v>RECENTLY PROMOTED</v>
      </c>
      <c r="P509" s="5" t="str">
        <f t="shared" si="12"/>
        <v>Low_Pressure</v>
      </c>
      <c r="Q509" s="4" t="str">
        <f t="shared" si="13"/>
        <v>DISENGAGED</v>
      </c>
      <c r="R509" s="4" t="str">
        <f t="shared" si="14"/>
        <v>LOW</v>
      </c>
      <c r="S509" s="2"/>
      <c r="T509" s="2"/>
      <c r="U509" s="2"/>
      <c r="V509" s="2"/>
      <c r="W509" s="2"/>
      <c r="X509" s="2"/>
      <c r="Y509" s="2"/>
      <c r="Z509" s="2"/>
    </row>
    <row r="510" spans="1:26" ht="16.8" x14ac:dyDescent="0.3">
      <c r="A510" s="4">
        <v>691</v>
      </c>
      <c r="B510" s="4" t="s">
        <v>43</v>
      </c>
      <c r="C510" s="4">
        <v>35</v>
      </c>
      <c r="D510" s="4" t="s">
        <v>45</v>
      </c>
      <c r="E510" s="4" t="s">
        <v>47</v>
      </c>
      <c r="F510" s="4">
        <v>6646</v>
      </c>
      <c r="G510" s="4" t="s">
        <v>43</v>
      </c>
      <c r="H510" s="4">
        <v>17</v>
      </c>
      <c r="I510" s="4">
        <v>11</v>
      </c>
      <c r="J510" s="4">
        <v>4</v>
      </c>
      <c r="K510" s="4">
        <v>3</v>
      </c>
      <c r="L510" s="4" t="str">
        <f t="shared" si="8"/>
        <v>NORMAL</v>
      </c>
      <c r="M510" s="4" t="str">
        <f t="shared" si="9"/>
        <v>HIGH</v>
      </c>
      <c r="N510" s="4" t="str">
        <f t="shared" si="10"/>
        <v>SENIOR</v>
      </c>
      <c r="O510" s="4" t="str">
        <f t="shared" si="11"/>
        <v>STAGNANT</v>
      </c>
      <c r="P510" s="5" t="str">
        <f t="shared" si="12"/>
        <v>Medium_Pressure</v>
      </c>
      <c r="Q510" s="4" t="str">
        <f t="shared" si="13"/>
        <v>HIGHLY_ENGAGED</v>
      </c>
      <c r="R510" s="4" t="str">
        <f t="shared" si="14"/>
        <v>LOW</v>
      </c>
      <c r="S510" s="2"/>
      <c r="T510" s="2"/>
      <c r="U510" s="2"/>
      <c r="V510" s="2"/>
      <c r="W510" s="2"/>
      <c r="X510" s="2"/>
      <c r="Y510" s="2"/>
      <c r="Z510" s="2"/>
    </row>
    <row r="511" spans="1:26" ht="16.8" x14ac:dyDescent="0.3">
      <c r="A511" s="4">
        <v>692</v>
      </c>
      <c r="B511" s="4" t="s">
        <v>43</v>
      </c>
      <c r="C511" s="4">
        <v>33</v>
      </c>
      <c r="D511" s="4" t="s">
        <v>45</v>
      </c>
      <c r="E511" s="4" t="s">
        <v>54</v>
      </c>
      <c r="F511" s="4">
        <v>7725</v>
      </c>
      <c r="G511" s="4" t="s">
        <v>43</v>
      </c>
      <c r="H511" s="4">
        <v>13</v>
      </c>
      <c r="I511" s="4">
        <v>4</v>
      </c>
      <c r="J511" s="4">
        <v>4</v>
      </c>
      <c r="K511" s="4">
        <v>1</v>
      </c>
      <c r="L511" s="4" t="str">
        <f t="shared" si="8"/>
        <v>NORMAL</v>
      </c>
      <c r="M511" s="4" t="str">
        <f t="shared" si="9"/>
        <v>HIGH</v>
      </c>
      <c r="N511" s="4" t="str">
        <f t="shared" si="10"/>
        <v>SENIOR</v>
      </c>
      <c r="O511" s="4" t="str">
        <f t="shared" si="11"/>
        <v>STAGNANT</v>
      </c>
      <c r="P511" s="5" t="str">
        <f t="shared" si="12"/>
        <v>Low_Pressure</v>
      </c>
      <c r="Q511" s="4" t="str">
        <f t="shared" si="13"/>
        <v>DISENGAGED</v>
      </c>
      <c r="R511" s="4" t="str">
        <f t="shared" si="14"/>
        <v>LOW</v>
      </c>
      <c r="S511" s="2"/>
      <c r="T511" s="2"/>
      <c r="U511" s="2"/>
      <c r="V511" s="2"/>
      <c r="W511" s="2"/>
      <c r="X511" s="2"/>
      <c r="Y511" s="2"/>
      <c r="Z511" s="2"/>
    </row>
    <row r="512" spans="1:26" ht="16.8" x14ac:dyDescent="0.3">
      <c r="A512" s="4">
        <v>698</v>
      </c>
      <c r="B512" s="4" t="s">
        <v>43</v>
      </c>
      <c r="C512" s="4">
        <v>54</v>
      </c>
      <c r="D512" s="4" t="s">
        <v>61</v>
      </c>
      <c r="E512" s="4" t="s">
        <v>61</v>
      </c>
      <c r="F512" s="4">
        <v>10725</v>
      </c>
      <c r="G512" s="4" t="s">
        <v>43</v>
      </c>
      <c r="H512" s="4">
        <v>9</v>
      </c>
      <c r="I512" s="4">
        <v>7</v>
      </c>
      <c r="J512" s="4">
        <v>2</v>
      </c>
      <c r="K512" s="4">
        <v>4</v>
      </c>
      <c r="L512" s="4" t="str">
        <f t="shared" ref="L512:L766" si="15">IF(AND(G512="YES",J512&lt;=2,I512&gt;=3),"HIGH RISK","NORMAL")</f>
        <v>NORMAL</v>
      </c>
      <c r="M512" s="4" t="str">
        <f t="shared" ref="M512:M766" si="16">IF(F512&lt;=4000,"LOW",IF(F512&gt;9000,"MEDIUM","HIGH"))</f>
        <v>MEDIUM</v>
      </c>
      <c r="N512" s="4" t="str">
        <f t="shared" ref="N512:N766" si="17">IF(H512&lt;=2,"NEW",IF(H512&lt;=6,"MID","SENIOR"))</f>
        <v>SENIOR</v>
      </c>
      <c r="O512" s="4" t="str">
        <f t="shared" ref="O512:O766" si="18">IF(I512&lt;=1,"RECENTLY PROMOTED",IF(I512&lt;=3,"MODERATE-WAIT","STAGNANT"))</f>
        <v>STAGNANT</v>
      </c>
      <c r="P512" s="5" t="str">
        <f t="shared" ref="P512:P766" si="19">IF(AND(G512="Yes",K512&lt;=2),"High_Pressure",
 IF(OR(G512="Yes",K512=3),"Medium_Pressure",
 "Low_Pressure"))</f>
        <v>Low_Pressure</v>
      </c>
      <c r="Q512" s="4" t="str">
        <f t="shared" ref="Q512:Q766" si="20">IF(AND(J512&gt;=3,K512&gt;=3,L512&gt;=3),
"HIGHLY_ENGAGED",
IF(OR(J512&lt;=2,K512&lt;=2,L512&lt;=2),
"DISENGAGED",
"MODERATELY_ENGAGED"))</f>
        <v>DISENGAGED</v>
      </c>
      <c r="R512" s="4" t="str">
        <f t="shared" si="14"/>
        <v>LOW</v>
      </c>
      <c r="S512" s="2"/>
      <c r="T512" s="2"/>
      <c r="U512" s="2"/>
      <c r="V512" s="2"/>
      <c r="W512" s="2"/>
      <c r="X512" s="2"/>
      <c r="Y512" s="2"/>
      <c r="Z512" s="2"/>
    </row>
    <row r="513" spans="1:26" ht="16.8" x14ac:dyDescent="0.3">
      <c r="A513" s="4">
        <v>699</v>
      </c>
      <c r="B513" s="4" t="s">
        <v>43</v>
      </c>
      <c r="C513" s="4">
        <v>36</v>
      </c>
      <c r="D513" s="4" t="s">
        <v>45</v>
      </c>
      <c r="E513" s="4" t="s">
        <v>53</v>
      </c>
      <c r="F513" s="4">
        <v>8847</v>
      </c>
      <c r="G513" s="4" t="s">
        <v>35</v>
      </c>
      <c r="H513" s="4">
        <v>3</v>
      </c>
      <c r="I513" s="4">
        <v>0</v>
      </c>
      <c r="J513" s="4">
        <v>2</v>
      </c>
      <c r="K513" s="4">
        <v>3</v>
      </c>
      <c r="L513" s="4" t="str">
        <f t="shared" si="15"/>
        <v>NORMAL</v>
      </c>
      <c r="M513" s="4" t="str">
        <f t="shared" si="16"/>
        <v>HIGH</v>
      </c>
      <c r="N513" s="4" t="str">
        <f t="shared" si="17"/>
        <v>MID</v>
      </c>
      <c r="O513" s="4" t="str">
        <f t="shared" si="18"/>
        <v>RECENTLY PROMOTED</v>
      </c>
      <c r="P513" s="5" t="str">
        <f t="shared" si="19"/>
        <v>Medium_Pressure</v>
      </c>
      <c r="Q513" s="4" t="str">
        <f t="shared" si="20"/>
        <v>DISENGAGED</v>
      </c>
      <c r="R513" s="4" t="str">
        <f t="shared" si="14"/>
        <v>LOW</v>
      </c>
      <c r="S513" s="2"/>
      <c r="T513" s="2"/>
      <c r="U513" s="2"/>
      <c r="V513" s="2"/>
      <c r="W513" s="2"/>
      <c r="X513" s="2"/>
      <c r="Y513" s="2"/>
      <c r="Z513" s="2"/>
    </row>
    <row r="514" spans="1:26" ht="16.8" x14ac:dyDescent="0.3">
      <c r="A514" s="4">
        <v>700</v>
      </c>
      <c r="B514" s="4" t="s">
        <v>43</v>
      </c>
      <c r="C514" s="4">
        <v>27</v>
      </c>
      <c r="D514" s="4" t="s">
        <v>45</v>
      </c>
      <c r="E514" s="4" t="s">
        <v>47</v>
      </c>
      <c r="F514" s="4">
        <v>2045</v>
      </c>
      <c r="G514" s="4" t="s">
        <v>43</v>
      </c>
      <c r="H514" s="4">
        <v>4</v>
      </c>
      <c r="I514" s="4">
        <v>1</v>
      </c>
      <c r="J514" s="4">
        <v>4</v>
      </c>
      <c r="K514" s="4">
        <v>3</v>
      </c>
      <c r="L514" s="4" t="str">
        <f t="shared" si="15"/>
        <v>NORMAL</v>
      </c>
      <c r="M514" s="4" t="str">
        <f t="shared" si="16"/>
        <v>LOW</v>
      </c>
      <c r="N514" s="4" t="str">
        <f t="shared" si="17"/>
        <v>MID</v>
      </c>
      <c r="O514" s="4" t="str">
        <f t="shared" si="18"/>
        <v>RECENTLY PROMOTED</v>
      </c>
      <c r="P514" s="5" t="str">
        <f t="shared" si="19"/>
        <v>Medium_Pressure</v>
      </c>
      <c r="Q514" s="4" t="str">
        <f t="shared" si="20"/>
        <v>HIGHLY_ENGAGED</v>
      </c>
      <c r="R514" s="4" t="str">
        <f t="shared" si="14"/>
        <v>LOW</v>
      </c>
      <c r="S514" s="2"/>
      <c r="T514" s="2"/>
      <c r="U514" s="2"/>
      <c r="V514" s="2"/>
      <c r="W514" s="2"/>
      <c r="X514" s="2"/>
      <c r="Y514" s="2"/>
      <c r="Z514" s="2"/>
    </row>
    <row r="515" spans="1:26" ht="16.8" x14ac:dyDescent="0.3">
      <c r="A515" s="4">
        <v>701</v>
      </c>
      <c r="B515" s="4" t="s">
        <v>35</v>
      </c>
      <c r="C515" s="4">
        <v>20</v>
      </c>
      <c r="D515" s="4" t="s">
        <v>45</v>
      </c>
      <c r="E515" s="4" t="s">
        <v>47</v>
      </c>
      <c r="F515" s="4">
        <v>1009</v>
      </c>
      <c r="G515" s="4" t="s">
        <v>35</v>
      </c>
      <c r="H515" s="4">
        <v>1</v>
      </c>
      <c r="I515" s="4">
        <v>1</v>
      </c>
      <c r="J515" s="4">
        <v>3</v>
      </c>
      <c r="K515" s="4">
        <v>3</v>
      </c>
      <c r="L515" s="4" t="str">
        <f t="shared" si="15"/>
        <v>NORMAL</v>
      </c>
      <c r="M515" s="4" t="str">
        <f t="shared" si="16"/>
        <v>LOW</v>
      </c>
      <c r="N515" s="4" t="str">
        <f t="shared" si="17"/>
        <v>NEW</v>
      </c>
      <c r="O515" s="4" t="str">
        <f t="shared" si="18"/>
        <v>RECENTLY PROMOTED</v>
      </c>
      <c r="P515" s="5" t="str">
        <f t="shared" si="19"/>
        <v>Medium_Pressure</v>
      </c>
      <c r="Q515" s="4" t="str">
        <f t="shared" si="20"/>
        <v>HIGHLY_ENGAGED</v>
      </c>
      <c r="R515" s="4" t="str">
        <f t="shared" si="14"/>
        <v>LOW</v>
      </c>
      <c r="S515" s="2"/>
      <c r="T515" s="2"/>
      <c r="U515" s="2"/>
      <c r="V515" s="2"/>
      <c r="W515" s="2"/>
      <c r="X515" s="2"/>
      <c r="Y515" s="2"/>
      <c r="Z515" s="2"/>
    </row>
    <row r="516" spans="1:26" ht="16.8" x14ac:dyDescent="0.3">
      <c r="A516" s="4">
        <v>702</v>
      </c>
      <c r="B516" s="4" t="s">
        <v>35</v>
      </c>
      <c r="C516" s="4">
        <v>33</v>
      </c>
      <c r="D516" s="4" t="s">
        <v>45</v>
      </c>
      <c r="E516" s="4" t="s">
        <v>47</v>
      </c>
      <c r="F516" s="4">
        <v>3348</v>
      </c>
      <c r="G516" s="4" t="s">
        <v>35</v>
      </c>
      <c r="H516" s="4">
        <v>10</v>
      </c>
      <c r="I516" s="4">
        <v>9</v>
      </c>
      <c r="J516" s="4">
        <v>1</v>
      </c>
      <c r="K516" s="4">
        <v>3</v>
      </c>
      <c r="L516" s="4" t="str">
        <f t="shared" si="15"/>
        <v>HIGH RISK</v>
      </c>
      <c r="M516" s="4" t="str">
        <f t="shared" si="16"/>
        <v>LOW</v>
      </c>
      <c r="N516" s="4" t="str">
        <f t="shared" si="17"/>
        <v>SENIOR</v>
      </c>
      <c r="O516" s="4" t="str">
        <f t="shared" si="18"/>
        <v>STAGNANT</v>
      </c>
      <c r="P516" s="5" t="str">
        <f t="shared" si="19"/>
        <v>Medium_Pressure</v>
      </c>
      <c r="Q516" s="4" t="str">
        <f t="shared" si="20"/>
        <v>DISENGAGED</v>
      </c>
      <c r="R516" s="4" t="str">
        <f t="shared" si="14"/>
        <v>LOW</v>
      </c>
      <c r="S516" s="2"/>
      <c r="T516" s="2"/>
      <c r="U516" s="2"/>
      <c r="V516" s="2"/>
      <c r="W516" s="2"/>
      <c r="X516" s="2"/>
      <c r="Y516" s="2"/>
      <c r="Z516" s="2"/>
    </row>
    <row r="517" spans="1:26" ht="16.8" x14ac:dyDescent="0.3">
      <c r="A517" s="4">
        <v>704</v>
      </c>
      <c r="B517" s="4" t="s">
        <v>43</v>
      </c>
      <c r="C517" s="4">
        <v>35</v>
      </c>
      <c r="D517" s="4" t="s">
        <v>45</v>
      </c>
      <c r="E517" s="4" t="s">
        <v>50</v>
      </c>
      <c r="F517" s="4">
        <v>1281</v>
      </c>
      <c r="G517" s="4" t="s">
        <v>43</v>
      </c>
      <c r="H517" s="4">
        <v>1</v>
      </c>
      <c r="I517" s="4">
        <v>0</v>
      </c>
      <c r="J517" s="4">
        <v>3</v>
      </c>
      <c r="K517" s="4">
        <v>3</v>
      </c>
      <c r="L517" s="4" t="str">
        <f t="shared" si="15"/>
        <v>NORMAL</v>
      </c>
      <c r="M517" s="4" t="str">
        <f t="shared" si="16"/>
        <v>LOW</v>
      </c>
      <c r="N517" s="4" t="str">
        <f t="shared" si="17"/>
        <v>NEW</v>
      </c>
      <c r="O517" s="4" t="str">
        <f t="shared" si="18"/>
        <v>RECENTLY PROMOTED</v>
      </c>
      <c r="P517" s="5" t="str">
        <f t="shared" si="19"/>
        <v>Medium_Pressure</v>
      </c>
      <c r="Q517" s="4" t="str">
        <f t="shared" si="20"/>
        <v>HIGHLY_ENGAGED</v>
      </c>
      <c r="R517" s="4" t="str">
        <f t="shared" si="14"/>
        <v>LOW</v>
      </c>
      <c r="S517" s="2"/>
      <c r="T517" s="2"/>
      <c r="U517" s="2"/>
      <c r="V517" s="2"/>
      <c r="W517" s="2"/>
      <c r="X517" s="2"/>
      <c r="Y517" s="2"/>
      <c r="Z517" s="2"/>
    </row>
    <row r="518" spans="1:26" ht="16.8" x14ac:dyDescent="0.3">
      <c r="A518" s="4">
        <v>705</v>
      </c>
      <c r="B518" s="4" t="s">
        <v>43</v>
      </c>
      <c r="C518" s="4">
        <v>23</v>
      </c>
      <c r="D518" s="4" t="s">
        <v>45</v>
      </c>
      <c r="E518" s="4" t="s">
        <v>47</v>
      </c>
      <c r="F518" s="4">
        <v>2819</v>
      </c>
      <c r="G518" s="4" t="s">
        <v>43</v>
      </c>
      <c r="H518" s="4">
        <v>3</v>
      </c>
      <c r="I518" s="4">
        <v>0</v>
      </c>
      <c r="J518" s="4">
        <v>1</v>
      </c>
      <c r="K518" s="4">
        <v>4</v>
      </c>
      <c r="L518" s="4" t="str">
        <f t="shared" si="15"/>
        <v>NORMAL</v>
      </c>
      <c r="M518" s="4" t="str">
        <f t="shared" si="16"/>
        <v>LOW</v>
      </c>
      <c r="N518" s="4" t="str">
        <f t="shared" si="17"/>
        <v>MID</v>
      </c>
      <c r="O518" s="4" t="str">
        <f t="shared" si="18"/>
        <v>RECENTLY PROMOTED</v>
      </c>
      <c r="P518" s="5" t="str">
        <f t="shared" si="19"/>
        <v>Low_Pressure</v>
      </c>
      <c r="Q518" s="4" t="str">
        <f t="shared" si="20"/>
        <v>DISENGAGED</v>
      </c>
      <c r="R518" s="4" t="str">
        <f t="shared" si="14"/>
        <v>LOW</v>
      </c>
      <c r="S518" s="2"/>
      <c r="T518" s="2"/>
      <c r="U518" s="2"/>
      <c r="V518" s="2"/>
      <c r="W518" s="2"/>
      <c r="X518" s="2"/>
      <c r="Y518" s="2"/>
      <c r="Z518" s="2"/>
    </row>
    <row r="519" spans="1:26" ht="16.8" x14ac:dyDescent="0.3">
      <c r="A519" s="4">
        <v>707</v>
      </c>
      <c r="B519" s="4" t="s">
        <v>43</v>
      </c>
      <c r="C519" s="4">
        <v>25</v>
      </c>
      <c r="D519" s="4" t="s">
        <v>37</v>
      </c>
      <c r="E519" s="4" t="s">
        <v>40</v>
      </c>
      <c r="F519" s="4">
        <v>4851</v>
      </c>
      <c r="G519" s="4" t="s">
        <v>43</v>
      </c>
      <c r="H519" s="4">
        <v>3</v>
      </c>
      <c r="I519" s="4">
        <v>1</v>
      </c>
      <c r="J519" s="4">
        <v>2</v>
      </c>
      <c r="K519" s="4">
        <v>3</v>
      </c>
      <c r="L519" s="4" t="str">
        <f t="shared" si="15"/>
        <v>NORMAL</v>
      </c>
      <c r="M519" s="4" t="str">
        <f t="shared" si="16"/>
        <v>HIGH</v>
      </c>
      <c r="N519" s="4" t="str">
        <f t="shared" si="17"/>
        <v>MID</v>
      </c>
      <c r="O519" s="4" t="str">
        <f t="shared" si="18"/>
        <v>RECENTLY PROMOTED</v>
      </c>
      <c r="P519" s="5" t="str">
        <f t="shared" si="19"/>
        <v>Medium_Pressure</v>
      </c>
      <c r="Q519" s="4" t="str">
        <f t="shared" si="20"/>
        <v>DISENGAGED</v>
      </c>
      <c r="R519" s="4" t="str">
        <f t="shared" si="14"/>
        <v>LOW</v>
      </c>
      <c r="S519" s="2"/>
      <c r="T519" s="2"/>
      <c r="U519" s="2"/>
      <c r="V519" s="2"/>
      <c r="W519" s="2"/>
      <c r="X519" s="2"/>
      <c r="Y519" s="2"/>
      <c r="Z519" s="2"/>
    </row>
    <row r="520" spans="1:26" ht="16.8" x14ac:dyDescent="0.3">
      <c r="A520" s="4">
        <v>709</v>
      </c>
      <c r="B520" s="4" t="s">
        <v>43</v>
      </c>
      <c r="C520" s="4">
        <v>38</v>
      </c>
      <c r="D520" s="4" t="s">
        <v>37</v>
      </c>
      <c r="E520" s="4" t="s">
        <v>40</v>
      </c>
      <c r="F520" s="4">
        <v>4028</v>
      </c>
      <c r="G520" s="4" t="s">
        <v>43</v>
      </c>
      <c r="H520" s="4">
        <v>7</v>
      </c>
      <c r="I520" s="4">
        <v>0</v>
      </c>
      <c r="J520" s="4">
        <v>4</v>
      </c>
      <c r="K520" s="4">
        <v>3</v>
      </c>
      <c r="L520" s="4" t="str">
        <f t="shared" si="15"/>
        <v>NORMAL</v>
      </c>
      <c r="M520" s="4" t="str">
        <f t="shared" si="16"/>
        <v>HIGH</v>
      </c>
      <c r="N520" s="4" t="str">
        <f t="shared" si="17"/>
        <v>SENIOR</v>
      </c>
      <c r="O520" s="4" t="str">
        <f t="shared" si="18"/>
        <v>RECENTLY PROMOTED</v>
      </c>
      <c r="P520" s="5" t="str">
        <f t="shared" si="19"/>
        <v>Medium_Pressure</v>
      </c>
      <c r="Q520" s="4" t="str">
        <f t="shared" si="20"/>
        <v>HIGHLY_ENGAGED</v>
      </c>
      <c r="R520" s="4" t="str">
        <f t="shared" si="14"/>
        <v>LOW</v>
      </c>
      <c r="S520" s="2"/>
      <c r="T520" s="2"/>
      <c r="U520" s="2"/>
      <c r="V520" s="2"/>
      <c r="W520" s="2"/>
      <c r="X520" s="2"/>
      <c r="Y520" s="2"/>
      <c r="Z520" s="2"/>
    </row>
    <row r="521" spans="1:26" ht="16.8" x14ac:dyDescent="0.3">
      <c r="A521" s="4">
        <v>710</v>
      </c>
      <c r="B521" s="4" t="s">
        <v>43</v>
      </c>
      <c r="C521" s="4">
        <v>29</v>
      </c>
      <c r="D521" s="4" t="s">
        <v>45</v>
      </c>
      <c r="E521" s="4" t="s">
        <v>47</v>
      </c>
      <c r="F521" s="4">
        <v>2720</v>
      </c>
      <c r="G521" s="4" t="s">
        <v>43</v>
      </c>
      <c r="H521" s="4">
        <v>10</v>
      </c>
      <c r="I521" s="4">
        <v>2</v>
      </c>
      <c r="J521" s="4">
        <v>4</v>
      </c>
      <c r="K521" s="4">
        <v>3</v>
      </c>
      <c r="L521" s="4" t="str">
        <f t="shared" si="15"/>
        <v>NORMAL</v>
      </c>
      <c r="M521" s="4" t="str">
        <f t="shared" si="16"/>
        <v>LOW</v>
      </c>
      <c r="N521" s="4" t="str">
        <f t="shared" si="17"/>
        <v>SENIOR</v>
      </c>
      <c r="O521" s="4" t="str">
        <f t="shared" si="18"/>
        <v>MODERATE-WAIT</v>
      </c>
      <c r="P521" s="5" t="str">
        <f t="shared" si="19"/>
        <v>Medium_Pressure</v>
      </c>
      <c r="Q521" s="4" t="str">
        <f t="shared" si="20"/>
        <v>HIGHLY_ENGAGED</v>
      </c>
      <c r="R521" s="4" t="str">
        <f t="shared" si="14"/>
        <v>LOW</v>
      </c>
      <c r="S521" s="2"/>
      <c r="T521" s="2"/>
      <c r="U521" s="2"/>
      <c r="V521" s="2"/>
      <c r="W521" s="2"/>
      <c r="X521" s="2"/>
      <c r="Y521" s="2"/>
      <c r="Z521" s="2"/>
    </row>
    <row r="522" spans="1:26" ht="16.8" x14ac:dyDescent="0.3">
      <c r="A522" s="4">
        <v>712</v>
      </c>
      <c r="B522" s="4" t="s">
        <v>43</v>
      </c>
      <c r="C522" s="4">
        <v>48</v>
      </c>
      <c r="D522" s="4" t="s">
        <v>37</v>
      </c>
      <c r="E522" s="4" t="s">
        <v>40</v>
      </c>
      <c r="F522" s="4">
        <v>8120</v>
      </c>
      <c r="G522" s="4" t="s">
        <v>43</v>
      </c>
      <c r="H522" s="4">
        <v>2</v>
      </c>
      <c r="I522" s="4">
        <v>2</v>
      </c>
      <c r="J522" s="4">
        <v>2</v>
      </c>
      <c r="K522" s="4">
        <v>3</v>
      </c>
      <c r="L522" s="4" t="str">
        <f t="shared" si="15"/>
        <v>NORMAL</v>
      </c>
      <c r="M522" s="4" t="str">
        <f t="shared" si="16"/>
        <v>HIGH</v>
      </c>
      <c r="N522" s="4" t="str">
        <f t="shared" si="17"/>
        <v>NEW</v>
      </c>
      <c r="O522" s="4" t="str">
        <f t="shared" si="18"/>
        <v>MODERATE-WAIT</v>
      </c>
      <c r="P522" s="5" t="str">
        <f t="shared" si="19"/>
        <v>Medium_Pressure</v>
      </c>
      <c r="Q522" s="4" t="str">
        <f t="shared" si="20"/>
        <v>DISENGAGED</v>
      </c>
      <c r="R522" s="4" t="str">
        <f t="shared" si="14"/>
        <v>LOW</v>
      </c>
      <c r="S522" s="2"/>
      <c r="T522" s="2"/>
      <c r="U522" s="2"/>
      <c r="V522" s="2"/>
      <c r="W522" s="2"/>
      <c r="X522" s="2"/>
      <c r="Y522" s="2"/>
      <c r="Z522" s="2"/>
    </row>
    <row r="523" spans="1:26" ht="16.8" x14ac:dyDescent="0.3">
      <c r="A523" s="4">
        <v>714</v>
      </c>
      <c r="B523" s="4" t="s">
        <v>43</v>
      </c>
      <c r="C523" s="4">
        <v>27</v>
      </c>
      <c r="D523" s="4" t="s">
        <v>37</v>
      </c>
      <c r="E523" s="4" t="s">
        <v>40</v>
      </c>
      <c r="F523" s="4">
        <v>4647</v>
      </c>
      <c r="G523" s="4" t="s">
        <v>35</v>
      </c>
      <c r="H523" s="4">
        <v>6</v>
      </c>
      <c r="I523" s="4">
        <v>0</v>
      </c>
      <c r="J523" s="4">
        <v>4</v>
      </c>
      <c r="K523" s="4">
        <v>3</v>
      </c>
      <c r="L523" s="4" t="str">
        <f t="shared" si="15"/>
        <v>NORMAL</v>
      </c>
      <c r="M523" s="4" t="str">
        <f t="shared" si="16"/>
        <v>HIGH</v>
      </c>
      <c r="N523" s="4" t="str">
        <f t="shared" si="17"/>
        <v>MID</v>
      </c>
      <c r="O523" s="4" t="str">
        <f t="shared" si="18"/>
        <v>RECENTLY PROMOTED</v>
      </c>
      <c r="P523" s="5" t="str">
        <f t="shared" si="19"/>
        <v>Medium_Pressure</v>
      </c>
      <c r="Q523" s="4" t="str">
        <f t="shared" si="20"/>
        <v>HIGHLY_ENGAGED</v>
      </c>
      <c r="R523" s="4" t="str">
        <f t="shared" si="14"/>
        <v>LOW</v>
      </c>
      <c r="S523" s="2"/>
      <c r="T523" s="2"/>
      <c r="U523" s="2"/>
      <c r="V523" s="2"/>
      <c r="W523" s="2"/>
      <c r="X523" s="2"/>
      <c r="Y523" s="2"/>
      <c r="Z523" s="2"/>
    </row>
    <row r="524" spans="1:26" ht="16.8" x14ac:dyDescent="0.3">
      <c r="A524" s="4">
        <v>715</v>
      </c>
      <c r="B524" s="4" t="s">
        <v>43</v>
      </c>
      <c r="C524" s="4">
        <v>37</v>
      </c>
      <c r="D524" s="4" t="s">
        <v>45</v>
      </c>
      <c r="E524" s="4" t="s">
        <v>47</v>
      </c>
      <c r="F524" s="4">
        <v>4680</v>
      </c>
      <c r="G524" s="4" t="s">
        <v>43</v>
      </c>
      <c r="H524" s="4">
        <v>1</v>
      </c>
      <c r="I524" s="4">
        <v>0</v>
      </c>
      <c r="J524" s="4">
        <v>4</v>
      </c>
      <c r="K524" s="4">
        <v>3</v>
      </c>
      <c r="L524" s="4" t="str">
        <f t="shared" si="15"/>
        <v>NORMAL</v>
      </c>
      <c r="M524" s="4" t="str">
        <f t="shared" si="16"/>
        <v>HIGH</v>
      </c>
      <c r="N524" s="4" t="str">
        <f t="shared" si="17"/>
        <v>NEW</v>
      </c>
      <c r="O524" s="4" t="str">
        <f t="shared" si="18"/>
        <v>RECENTLY PROMOTED</v>
      </c>
      <c r="P524" s="5" t="str">
        <f t="shared" si="19"/>
        <v>Medium_Pressure</v>
      </c>
      <c r="Q524" s="4" t="str">
        <f t="shared" si="20"/>
        <v>HIGHLY_ENGAGED</v>
      </c>
      <c r="R524" s="4" t="str">
        <f t="shared" si="14"/>
        <v>LOW</v>
      </c>
      <c r="S524" s="2"/>
      <c r="T524" s="2"/>
      <c r="U524" s="2"/>
      <c r="V524" s="2"/>
      <c r="W524" s="2"/>
      <c r="X524" s="2"/>
      <c r="Y524" s="2"/>
      <c r="Z524" s="2"/>
    </row>
    <row r="525" spans="1:26" ht="16.8" x14ac:dyDescent="0.3">
      <c r="A525" s="4">
        <v>716</v>
      </c>
      <c r="B525" s="4" t="s">
        <v>43</v>
      </c>
      <c r="C525" s="4">
        <v>50</v>
      </c>
      <c r="D525" s="4" t="s">
        <v>45</v>
      </c>
      <c r="E525" s="4" t="s">
        <v>50</v>
      </c>
      <c r="F525" s="4">
        <v>3221</v>
      </c>
      <c r="G525" s="4" t="s">
        <v>35</v>
      </c>
      <c r="H525" s="4">
        <v>20</v>
      </c>
      <c r="I525" s="4">
        <v>3</v>
      </c>
      <c r="J525" s="4">
        <v>3</v>
      </c>
      <c r="K525" s="4">
        <v>3</v>
      </c>
      <c r="L525" s="4" t="str">
        <f t="shared" si="15"/>
        <v>NORMAL</v>
      </c>
      <c r="M525" s="4" t="str">
        <f t="shared" si="16"/>
        <v>LOW</v>
      </c>
      <c r="N525" s="4" t="str">
        <f t="shared" si="17"/>
        <v>SENIOR</v>
      </c>
      <c r="O525" s="4" t="str">
        <f t="shared" si="18"/>
        <v>MODERATE-WAIT</v>
      </c>
      <c r="P525" s="5" t="str">
        <f t="shared" si="19"/>
        <v>Medium_Pressure</v>
      </c>
      <c r="Q525" s="4" t="str">
        <f t="shared" si="20"/>
        <v>HIGHLY_ENGAGED</v>
      </c>
      <c r="R525" s="4" t="str">
        <f t="shared" si="14"/>
        <v>LOW</v>
      </c>
      <c r="S525" s="2"/>
      <c r="T525" s="2"/>
      <c r="U525" s="2"/>
      <c r="V525" s="2"/>
      <c r="W525" s="2"/>
      <c r="X525" s="2"/>
      <c r="Y525" s="2"/>
      <c r="Z525" s="2"/>
    </row>
    <row r="526" spans="1:26" ht="16.8" x14ac:dyDescent="0.3">
      <c r="A526" s="4">
        <v>717</v>
      </c>
      <c r="B526" s="4" t="s">
        <v>43</v>
      </c>
      <c r="C526" s="4">
        <v>34</v>
      </c>
      <c r="D526" s="4" t="s">
        <v>45</v>
      </c>
      <c r="E526" s="4" t="s">
        <v>54</v>
      </c>
      <c r="F526" s="4">
        <v>8621</v>
      </c>
      <c r="G526" s="4" t="s">
        <v>43</v>
      </c>
      <c r="H526" s="4">
        <v>8</v>
      </c>
      <c r="I526" s="4">
        <v>7</v>
      </c>
      <c r="J526" s="4">
        <v>2</v>
      </c>
      <c r="K526" s="4">
        <v>4</v>
      </c>
      <c r="L526" s="4" t="str">
        <f t="shared" si="15"/>
        <v>NORMAL</v>
      </c>
      <c r="M526" s="4" t="str">
        <f t="shared" si="16"/>
        <v>HIGH</v>
      </c>
      <c r="N526" s="4" t="str">
        <f t="shared" si="17"/>
        <v>SENIOR</v>
      </c>
      <c r="O526" s="4" t="str">
        <f t="shared" si="18"/>
        <v>STAGNANT</v>
      </c>
      <c r="P526" s="5" t="str">
        <f t="shared" si="19"/>
        <v>Low_Pressure</v>
      </c>
      <c r="Q526" s="4" t="str">
        <f t="shared" si="20"/>
        <v>DISENGAGED</v>
      </c>
      <c r="R526" s="4" t="str">
        <f t="shared" si="14"/>
        <v>LOW</v>
      </c>
      <c r="S526" s="2"/>
      <c r="T526" s="2"/>
      <c r="U526" s="2"/>
      <c r="V526" s="2"/>
      <c r="W526" s="2"/>
      <c r="X526" s="2"/>
      <c r="Y526" s="2"/>
      <c r="Z526" s="2"/>
    </row>
    <row r="527" spans="1:26" ht="16.8" x14ac:dyDescent="0.3">
      <c r="A527" s="4">
        <v>720</v>
      </c>
      <c r="B527" s="4" t="s">
        <v>35</v>
      </c>
      <c r="C527" s="4">
        <v>24</v>
      </c>
      <c r="D527" s="4" t="s">
        <v>37</v>
      </c>
      <c r="E527" s="4" t="s">
        <v>40</v>
      </c>
      <c r="F527" s="4">
        <v>4577</v>
      </c>
      <c r="G527" s="4" t="s">
        <v>43</v>
      </c>
      <c r="H527" s="4">
        <v>2</v>
      </c>
      <c r="I527" s="4">
        <v>2</v>
      </c>
      <c r="J527" s="4">
        <v>3</v>
      </c>
      <c r="K527" s="4">
        <v>3</v>
      </c>
      <c r="L527" s="4" t="str">
        <f t="shared" si="15"/>
        <v>NORMAL</v>
      </c>
      <c r="M527" s="4" t="str">
        <f t="shared" si="16"/>
        <v>HIGH</v>
      </c>
      <c r="N527" s="4" t="str">
        <f t="shared" si="17"/>
        <v>NEW</v>
      </c>
      <c r="O527" s="4" t="str">
        <f t="shared" si="18"/>
        <v>MODERATE-WAIT</v>
      </c>
      <c r="P527" s="5" t="str">
        <f t="shared" si="19"/>
        <v>Medium_Pressure</v>
      </c>
      <c r="Q527" s="4" t="str">
        <f t="shared" si="20"/>
        <v>HIGHLY_ENGAGED</v>
      </c>
      <c r="R527" s="4" t="str">
        <f t="shared" si="14"/>
        <v>LOW</v>
      </c>
      <c r="S527" s="2"/>
      <c r="T527" s="2"/>
      <c r="U527" s="2"/>
      <c r="V527" s="2"/>
      <c r="W527" s="2"/>
      <c r="X527" s="2"/>
      <c r="Y527" s="2"/>
      <c r="Z527" s="2"/>
    </row>
    <row r="528" spans="1:26" ht="16.8" x14ac:dyDescent="0.3">
      <c r="A528" s="4">
        <v>721</v>
      </c>
      <c r="B528" s="4" t="s">
        <v>43</v>
      </c>
      <c r="C528" s="4">
        <v>39</v>
      </c>
      <c r="D528" s="4" t="s">
        <v>45</v>
      </c>
      <c r="E528" s="4" t="s">
        <v>54</v>
      </c>
      <c r="F528" s="4">
        <v>4553</v>
      </c>
      <c r="G528" s="4" t="s">
        <v>43</v>
      </c>
      <c r="H528" s="4">
        <v>20</v>
      </c>
      <c r="I528" s="4">
        <v>11</v>
      </c>
      <c r="J528" s="4">
        <v>3</v>
      </c>
      <c r="K528" s="4">
        <v>3</v>
      </c>
      <c r="L528" s="4" t="str">
        <f t="shared" si="15"/>
        <v>NORMAL</v>
      </c>
      <c r="M528" s="4" t="str">
        <f t="shared" si="16"/>
        <v>HIGH</v>
      </c>
      <c r="N528" s="4" t="str">
        <f t="shared" si="17"/>
        <v>SENIOR</v>
      </c>
      <c r="O528" s="4" t="str">
        <f t="shared" si="18"/>
        <v>STAGNANT</v>
      </c>
      <c r="P528" s="5" t="str">
        <f t="shared" si="19"/>
        <v>Medium_Pressure</v>
      </c>
      <c r="Q528" s="4" t="str">
        <f t="shared" si="20"/>
        <v>HIGHLY_ENGAGED</v>
      </c>
      <c r="R528" s="4" t="str">
        <f t="shared" si="14"/>
        <v>LOW</v>
      </c>
      <c r="S528" s="2"/>
      <c r="T528" s="2"/>
      <c r="U528" s="2"/>
      <c r="V528" s="2"/>
      <c r="W528" s="2"/>
      <c r="X528" s="2"/>
      <c r="Y528" s="2"/>
      <c r="Z528" s="2"/>
    </row>
    <row r="529" spans="1:26" ht="16.8" x14ac:dyDescent="0.3">
      <c r="A529" s="4">
        <v>722</v>
      </c>
      <c r="B529" s="4" t="s">
        <v>43</v>
      </c>
      <c r="C529" s="4">
        <v>32</v>
      </c>
      <c r="D529" s="4" t="s">
        <v>37</v>
      </c>
      <c r="E529" s="4" t="s">
        <v>40</v>
      </c>
      <c r="F529" s="4">
        <v>5396</v>
      </c>
      <c r="G529" s="4" t="s">
        <v>43</v>
      </c>
      <c r="H529" s="4">
        <v>10</v>
      </c>
      <c r="I529" s="4">
        <v>0</v>
      </c>
      <c r="J529" s="4">
        <v>4</v>
      </c>
      <c r="K529" s="4">
        <v>2</v>
      </c>
      <c r="L529" s="4" t="str">
        <f t="shared" si="15"/>
        <v>NORMAL</v>
      </c>
      <c r="M529" s="4" t="str">
        <f t="shared" si="16"/>
        <v>HIGH</v>
      </c>
      <c r="N529" s="4" t="str">
        <f t="shared" si="17"/>
        <v>SENIOR</v>
      </c>
      <c r="O529" s="4" t="str">
        <f t="shared" si="18"/>
        <v>RECENTLY PROMOTED</v>
      </c>
      <c r="P529" s="5" t="str">
        <f t="shared" si="19"/>
        <v>Low_Pressure</v>
      </c>
      <c r="Q529" s="4" t="str">
        <f t="shared" si="20"/>
        <v>DISENGAGED</v>
      </c>
      <c r="R529" s="4" t="str">
        <f t="shared" si="14"/>
        <v>LOW</v>
      </c>
      <c r="S529" s="2"/>
      <c r="T529" s="2"/>
      <c r="U529" s="2"/>
      <c r="V529" s="2"/>
      <c r="W529" s="2"/>
      <c r="X529" s="2"/>
      <c r="Y529" s="2"/>
      <c r="Z529" s="2"/>
    </row>
    <row r="530" spans="1:26" ht="16.8" x14ac:dyDescent="0.3">
      <c r="A530" s="4">
        <v>723</v>
      </c>
      <c r="B530" s="4" t="s">
        <v>35</v>
      </c>
      <c r="C530" s="4">
        <v>50</v>
      </c>
      <c r="D530" s="4" t="s">
        <v>37</v>
      </c>
      <c r="E530" s="4" t="s">
        <v>40</v>
      </c>
      <c r="F530" s="4">
        <v>6796</v>
      </c>
      <c r="G530" s="4" t="s">
        <v>35</v>
      </c>
      <c r="H530" s="4">
        <v>4</v>
      </c>
      <c r="I530" s="4">
        <v>1</v>
      </c>
      <c r="J530" s="4">
        <v>3</v>
      </c>
      <c r="K530" s="4">
        <v>3</v>
      </c>
      <c r="L530" s="4" t="str">
        <f t="shared" si="15"/>
        <v>NORMAL</v>
      </c>
      <c r="M530" s="4" t="str">
        <f t="shared" si="16"/>
        <v>HIGH</v>
      </c>
      <c r="N530" s="4" t="str">
        <f t="shared" si="17"/>
        <v>MID</v>
      </c>
      <c r="O530" s="4" t="str">
        <f t="shared" si="18"/>
        <v>RECENTLY PROMOTED</v>
      </c>
      <c r="P530" s="5" t="str">
        <f t="shared" si="19"/>
        <v>Medium_Pressure</v>
      </c>
      <c r="Q530" s="4" t="str">
        <f t="shared" si="20"/>
        <v>HIGHLY_ENGAGED</v>
      </c>
      <c r="R530" s="4" t="str">
        <f t="shared" si="14"/>
        <v>LOW</v>
      </c>
      <c r="S530" s="2"/>
      <c r="T530" s="2"/>
      <c r="U530" s="2"/>
      <c r="V530" s="2"/>
      <c r="W530" s="2"/>
      <c r="X530" s="2"/>
      <c r="Y530" s="2"/>
      <c r="Z530" s="2"/>
    </row>
    <row r="531" spans="1:26" ht="16.8" x14ac:dyDescent="0.3">
      <c r="A531" s="4">
        <v>724</v>
      </c>
      <c r="B531" s="4" t="s">
        <v>43</v>
      </c>
      <c r="C531" s="4">
        <v>38</v>
      </c>
      <c r="D531" s="4" t="s">
        <v>45</v>
      </c>
      <c r="E531" s="4" t="s">
        <v>54</v>
      </c>
      <c r="F531" s="4">
        <v>7625</v>
      </c>
      <c r="G531" s="4" t="s">
        <v>43</v>
      </c>
      <c r="H531" s="4">
        <v>9</v>
      </c>
      <c r="I531" s="4">
        <v>1</v>
      </c>
      <c r="J531" s="4">
        <v>4</v>
      </c>
      <c r="K531" s="4">
        <v>2</v>
      </c>
      <c r="L531" s="4" t="str">
        <f t="shared" si="15"/>
        <v>NORMAL</v>
      </c>
      <c r="M531" s="4" t="str">
        <f t="shared" si="16"/>
        <v>HIGH</v>
      </c>
      <c r="N531" s="4" t="str">
        <f t="shared" si="17"/>
        <v>SENIOR</v>
      </c>
      <c r="O531" s="4" t="str">
        <f t="shared" si="18"/>
        <v>RECENTLY PROMOTED</v>
      </c>
      <c r="P531" s="5" t="str">
        <f t="shared" si="19"/>
        <v>Low_Pressure</v>
      </c>
      <c r="Q531" s="4" t="str">
        <f t="shared" si="20"/>
        <v>DISENGAGED</v>
      </c>
      <c r="R531" s="4" t="str">
        <f t="shared" si="14"/>
        <v>LOW</v>
      </c>
      <c r="S531" s="2"/>
      <c r="T531" s="2"/>
      <c r="U531" s="2"/>
      <c r="V531" s="2"/>
      <c r="W531" s="2"/>
      <c r="X531" s="2"/>
      <c r="Y531" s="2"/>
      <c r="Z531" s="2"/>
    </row>
    <row r="532" spans="1:26" ht="16.8" x14ac:dyDescent="0.3">
      <c r="A532" s="4">
        <v>725</v>
      </c>
      <c r="B532" s="4" t="s">
        <v>43</v>
      </c>
      <c r="C532" s="4">
        <v>27</v>
      </c>
      <c r="D532" s="4" t="s">
        <v>45</v>
      </c>
      <c r="E532" s="4" t="s">
        <v>53</v>
      </c>
      <c r="F532" s="4">
        <v>7412</v>
      </c>
      <c r="G532" s="4" t="s">
        <v>43</v>
      </c>
      <c r="H532" s="4">
        <v>9</v>
      </c>
      <c r="I532" s="4">
        <v>0</v>
      </c>
      <c r="J532" s="4">
        <v>1</v>
      </c>
      <c r="K532" s="4">
        <v>3</v>
      </c>
      <c r="L532" s="4" t="str">
        <f t="shared" si="15"/>
        <v>NORMAL</v>
      </c>
      <c r="M532" s="4" t="str">
        <f t="shared" si="16"/>
        <v>HIGH</v>
      </c>
      <c r="N532" s="4" t="str">
        <f t="shared" si="17"/>
        <v>SENIOR</v>
      </c>
      <c r="O532" s="4" t="str">
        <f t="shared" si="18"/>
        <v>RECENTLY PROMOTED</v>
      </c>
      <c r="P532" s="5" t="str">
        <f t="shared" si="19"/>
        <v>Medium_Pressure</v>
      </c>
      <c r="Q532" s="4" t="str">
        <f t="shared" si="20"/>
        <v>DISENGAGED</v>
      </c>
      <c r="R532" s="4" t="str">
        <f t="shared" si="14"/>
        <v>LOW</v>
      </c>
      <c r="S532" s="2"/>
      <c r="T532" s="2"/>
      <c r="U532" s="2"/>
      <c r="V532" s="2"/>
      <c r="W532" s="2"/>
      <c r="X532" s="2"/>
      <c r="Y532" s="2"/>
      <c r="Z532" s="2"/>
    </row>
    <row r="533" spans="1:26" ht="16.8" x14ac:dyDescent="0.3">
      <c r="A533" s="4">
        <v>727</v>
      </c>
      <c r="B533" s="4" t="s">
        <v>43</v>
      </c>
      <c r="C533" s="4">
        <v>32</v>
      </c>
      <c r="D533" s="4" t="s">
        <v>45</v>
      </c>
      <c r="E533" s="4" t="s">
        <v>58</v>
      </c>
      <c r="F533" s="4">
        <v>11159</v>
      </c>
      <c r="G533" s="4" t="s">
        <v>43</v>
      </c>
      <c r="H533" s="4">
        <v>7</v>
      </c>
      <c r="I533" s="4">
        <v>7</v>
      </c>
      <c r="J533" s="4">
        <v>4</v>
      </c>
      <c r="K533" s="4">
        <v>3</v>
      </c>
      <c r="L533" s="4" t="str">
        <f t="shared" si="15"/>
        <v>NORMAL</v>
      </c>
      <c r="M533" s="4" t="str">
        <f t="shared" si="16"/>
        <v>MEDIUM</v>
      </c>
      <c r="N533" s="4" t="str">
        <f t="shared" si="17"/>
        <v>SENIOR</v>
      </c>
      <c r="O533" s="4" t="str">
        <f t="shared" si="18"/>
        <v>STAGNANT</v>
      </c>
      <c r="P533" s="5" t="str">
        <f t="shared" si="19"/>
        <v>Medium_Pressure</v>
      </c>
      <c r="Q533" s="4" t="str">
        <f t="shared" si="20"/>
        <v>HIGHLY_ENGAGED</v>
      </c>
      <c r="R533" s="4" t="str">
        <f t="shared" si="14"/>
        <v>LOW</v>
      </c>
      <c r="S533" s="2"/>
      <c r="T533" s="2"/>
      <c r="U533" s="2"/>
      <c r="V533" s="2"/>
      <c r="W533" s="2"/>
      <c r="X533" s="2"/>
      <c r="Y533" s="2"/>
      <c r="Z533" s="2"/>
    </row>
    <row r="534" spans="1:26" ht="16.8" x14ac:dyDescent="0.3">
      <c r="A534" s="4">
        <v>728</v>
      </c>
      <c r="B534" s="4" t="s">
        <v>43</v>
      </c>
      <c r="C534" s="4">
        <v>47</v>
      </c>
      <c r="D534" s="4" t="s">
        <v>37</v>
      </c>
      <c r="E534" s="4" t="s">
        <v>40</v>
      </c>
      <c r="F534" s="4">
        <v>4960</v>
      </c>
      <c r="G534" s="4" t="s">
        <v>43</v>
      </c>
      <c r="H534" s="4">
        <v>7</v>
      </c>
      <c r="I534" s="4">
        <v>1</v>
      </c>
      <c r="J534" s="4">
        <v>1</v>
      </c>
      <c r="K534" s="4">
        <v>3</v>
      </c>
      <c r="L534" s="4" t="str">
        <f t="shared" si="15"/>
        <v>NORMAL</v>
      </c>
      <c r="M534" s="4" t="str">
        <f t="shared" si="16"/>
        <v>HIGH</v>
      </c>
      <c r="N534" s="4" t="str">
        <f t="shared" si="17"/>
        <v>SENIOR</v>
      </c>
      <c r="O534" s="4" t="str">
        <f t="shared" si="18"/>
        <v>RECENTLY PROMOTED</v>
      </c>
      <c r="P534" s="5" t="str">
        <f t="shared" si="19"/>
        <v>Medium_Pressure</v>
      </c>
      <c r="Q534" s="4" t="str">
        <f t="shared" si="20"/>
        <v>DISENGAGED</v>
      </c>
      <c r="R534" s="4" t="str">
        <f t="shared" si="14"/>
        <v>LOW</v>
      </c>
      <c r="S534" s="2"/>
      <c r="T534" s="2"/>
      <c r="U534" s="2"/>
      <c r="V534" s="2"/>
      <c r="W534" s="2"/>
      <c r="X534" s="2"/>
      <c r="Y534" s="2"/>
      <c r="Z534" s="2"/>
    </row>
    <row r="535" spans="1:26" ht="16.8" x14ac:dyDescent="0.3">
      <c r="A535" s="4">
        <v>729</v>
      </c>
      <c r="B535" s="4" t="s">
        <v>43</v>
      </c>
      <c r="C535" s="4">
        <v>40</v>
      </c>
      <c r="D535" s="4" t="s">
        <v>37</v>
      </c>
      <c r="E535" s="4" t="s">
        <v>40</v>
      </c>
      <c r="F535" s="4">
        <v>10475</v>
      </c>
      <c r="G535" s="4" t="s">
        <v>35</v>
      </c>
      <c r="H535" s="4">
        <v>18</v>
      </c>
      <c r="I535" s="4">
        <v>1</v>
      </c>
      <c r="J535" s="4">
        <v>1</v>
      </c>
      <c r="K535" s="4">
        <v>3</v>
      </c>
      <c r="L535" s="4" t="str">
        <f t="shared" si="15"/>
        <v>NORMAL</v>
      </c>
      <c r="M535" s="4" t="str">
        <f t="shared" si="16"/>
        <v>MEDIUM</v>
      </c>
      <c r="N535" s="4" t="str">
        <f t="shared" si="17"/>
        <v>SENIOR</v>
      </c>
      <c r="O535" s="4" t="str">
        <f t="shared" si="18"/>
        <v>RECENTLY PROMOTED</v>
      </c>
      <c r="P535" s="5" t="str">
        <f t="shared" si="19"/>
        <v>Medium_Pressure</v>
      </c>
      <c r="Q535" s="4" t="str">
        <f t="shared" si="20"/>
        <v>DISENGAGED</v>
      </c>
      <c r="R535" s="4" t="str">
        <f t="shared" si="14"/>
        <v>LOW</v>
      </c>
      <c r="S535" s="2"/>
      <c r="T535" s="2"/>
      <c r="U535" s="2"/>
      <c r="V535" s="2"/>
      <c r="W535" s="2"/>
      <c r="X535" s="2"/>
      <c r="Y535" s="2"/>
      <c r="Z535" s="2"/>
    </row>
    <row r="536" spans="1:26" ht="16.8" x14ac:dyDescent="0.3">
      <c r="A536" s="4">
        <v>730</v>
      </c>
      <c r="B536" s="4" t="s">
        <v>43</v>
      </c>
      <c r="C536" s="4">
        <v>53</v>
      </c>
      <c r="D536" s="4" t="s">
        <v>45</v>
      </c>
      <c r="E536" s="4" t="s">
        <v>58</v>
      </c>
      <c r="F536" s="4">
        <v>14814</v>
      </c>
      <c r="G536" s="4" t="s">
        <v>43</v>
      </c>
      <c r="H536" s="4">
        <v>5</v>
      </c>
      <c r="I536" s="4">
        <v>1</v>
      </c>
      <c r="J536" s="4">
        <v>3</v>
      </c>
      <c r="K536" s="4">
        <v>3</v>
      </c>
      <c r="L536" s="4" t="str">
        <f t="shared" si="15"/>
        <v>NORMAL</v>
      </c>
      <c r="M536" s="4" t="str">
        <f t="shared" si="16"/>
        <v>MEDIUM</v>
      </c>
      <c r="N536" s="4" t="str">
        <f t="shared" si="17"/>
        <v>MID</v>
      </c>
      <c r="O536" s="4" t="str">
        <f t="shared" si="18"/>
        <v>RECENTLY PROMOTED</v>
      </c>
      <c r="P536" s="5" t="str">
        <f t="shared" si="19"/>
        <v>Medium_Pressure</v>
      </c>
      <c r="Q536" s="4" t="str">
        <f t="shared" si="20"/>
        <v>HIGHLY_ENGAGED</v>
      </c>
      <c r="R536" s="4" t="str">
        <f t="shared" si="14"/>
        <v>LOW</v>
      </c>
      <c r="S536" s="2"/>
      <c r="T536" s="2"/>
      <c r="U536" s="2"/>
      <c r="V536" s="2"/>
      <c r="W536" s="2"/>
      <c r="X536" s="2"/>
      <c r="Y536" s="2"/>
      <c r="Z536" s="2"/>
    </row>
    <row r="537" spans="1:26" ht="16.8" x14ac:dyDescent="0.3">
      <c r="A537" s="4">
        <v>731</v>
      </c>
      <c r="B537" s="4" t="s">
        <v>43</v>
      </c>
      <c r="C537" s="4">
        <v>41</v>
      </c>
      <c r="D537" s="4" t="s">
        <v>61</v>
      </c>
      <c r="E537" s="4" t="s">
        <v>56</v>
      </c>
      <c r="F537" s="4">
        <v>19141</v>
      </c>
      <c r="G537" s="4" t="s">
        <v>43</v>
      </c>
      <c r="H537" s="4">
        <v>21</v>
      </c>
      <c r="I537" s="4">
        <v>12</v>
      </c>
      <c r="J537" s="4">
        <v>4</v>
      </c>
      <c r="K537" s="4">
        <v>2</v>
      </c>
      <c r="L537" s="4" t="str">
        <f t="shared" si="15"/>
        <v>NORMAL</v>
      </c>
      <c r="M537" s="4" t="str">
        <f t="shared" si="16"/>
        <v>MEDIUM</v>
      </c>
      <c r="N537" s="4" t="str">
        <f t="shared" si="17"/>
        <v>SENIOR</v>
      </c>
      <c r="O537" s="4" t="str">
        <f t="shared" si="18"/>
        <v>STAGNANT</v>
      </c>
      <c r="P537" s="5" t="str">
        <f t="shared" si="19"/>
        <v>Low_Pressure</v>
      </c>
      <c r="Q537" s="4" t="str">
        <f t="shared" si="20"/>
        <v>DISENGAGED</v>
      </c>
      <c r="R537" s="4" t="str">
        <f t="shared" si="14"/>
        <v>LOW</v>
      </c>
      <c r="S537" s="2"/>
      <c r="T537" s="2"/>
      <c r="U537" s="2"/>
      <c r="V537" s="2"/>
      <c r="W537" s="2"/>
      <c r="X537" s="2"/>
      <c r="Y537" s="2"/>
      <c r="Z537" s="2"/>
    </row>
    <row r="538" spans="1:26" ht="16.8" x14ac:dyDescent="0.3">
      <c r="A538" s="4">
        <v>732</v>
      </c>
      <c r="B538" s="4" t="s">
        <v>43</v>
      </c>
      <c r="C538" s="4">
        <v>60</v>
      </c>
      <c r="D538" s="4" t="s">
        <v>37</v>
      </c>
      <c r="E538" s="4" t="s">
        <v>40</v>
      </c>
      <c r="F538" s="4">
        <v>5405</v>
      </c>
      <c r="G538" s="4" t="s">
        <v>43</v>
      </c>
      <c r="H538" s="4">
        <v>2</v>
      </c>
      <c r="I538" s="4">
        <v>2</v>
      </c>
      <c r="J538" s="4">
        <v>1</v>
      </c>
      <c r="K538" s="4">
        <v>3</v>
      </c>
      <c r="L538" s="4" t="str">
        <f t="shared" si="15"/>
        <v>NORMAL</v>
      </c>
      <c r="M538" s="4" t="str">
        <f t="shared" si="16"/>
        <v>HIGH</v>
      </c>
      <c r="N538" s="4" t="str">
        <f t="shared" si="17"/>
        <v>NEW</v>
      </c>
      <c r="O538" s="4" t="str">
        <f t="shared" si="18"/>
        <v>MODERATE-WAIT</v>
      </c>
      <c r="P538" s="5" t="str">
        <f t="shared" si="19"/>
        <v>Medium_Pressure</v>
      </c>
      <c r="Q538" s="4" t="str">
        <f t="shared" si="20"/>
        <v>DISENGAGED</v>
      </c>
      <c r="R538" s="4" t="str">
        <f t="shared" si="14"/>
        <v>LOW</v>
      </c>
      <c r="S538" s="2"/>
      <c r="T538" s="2"/>
      <c r="U538" s="2"/>
      <c r="V538" s="2"/>
      <c r="W538" s="2"/>
      <c r="X538" s="2"/>
      <c r="Y538" s="2"/>
      <c r="Z538" s="2"/>
    </row>
    <row r="539" spans="1:26" ht="16.8" x14ac:dyDescent="0.3">
      <c r="A539" s="4">
        <v>733</v>
      </c>
      <c r="B539" s="4" t="s">
        <v>43</v>
      </c>
      <c r="C539" s="4">
        <v>27</v>
      </c>
      <c r="D539" s="4" t="s">
        <v>45</v>
      </c>
      <c r="E539" s="4" t="s">
        <v>53</v>
      </c>
      <c r="F539" s="4">
        <v>8793</v>
      </c>
      <c r="G539" s="4" t="s">
        <v>43</v>
      </c>
      <c r="H539" s="4">
        <v>9</v>
      </c>
      <c r="I539" s="4">
        <v>1</v>
      </c>
      <c r="J539" s="4">
        <v>1</v>
      </c>
      <c r="K539" s="4">
        <v>2</v>
      </c>
      <c r="L539" s="4" t="str">
        <f t="shared" si="15"/>
        <v>NORMAL</v>
      </c>
      <c r="M539" s="4" t="str">
        <f t="shared" si="16"/>
        <v>HIGH</v>
      </c>
      <c r="N539" s="4" t="str">
        <f t="shared" si="17"/>
        <v>SENIOR</v>
      </c>
      <c r="O539" s="4" t="str">
        <f t="shared" si="18"/>
        <v>RECENTLY PROMOTED</v>
      </c>
      <c r="P539" s="5" t="str">
        <f t="shared" si="19"/>
        <v>Low_Pressure</v>
      </c>
      <c r="Q539" s="4" t="str">
        <f t="shared" si="20"/>
        <v>DISENGAGED</v>
      </c>
      <c r="R539" s="4" t="str">
        <f t="shared" si="14"/>
        <v>LOW</v>
      </c>
      <c r="S539" s="2"/>
      <c r="T539" s="2"/>
      <c r="U539" s="2"/>
      <c r="V539" s="2"/>
      <c r="W539" s="2"/>
      <c r="X539" s="2"/>
      <c r="Y539" s="2"/>
      <c r="Z539" s="2"/>
    </row>
    <row r="540" spans="1:26" ht="16.8" x14ac:dyDescent="0.3">
      <c r="A540" s="4">
        <v>734</v>
      </c>
      <c r="B540" s="4" t="s">
        <v>43</v>
      </c>
      <c r="C540" s="4">
        <v>41</v>
      </c>
      <c r="D540" s="4" t="s">
        <v>61</v>
      </c>
      <c r="E540" s="4" t="s">
        <v>56</v>
      </c>
      <c r="F540" s="4">
        <v>19189</v>
      </c>
      <c r="G540" s="4" t="s">
        <v>43</v>
      </c>
      <c r="H540" s="4">
        <v>22</v>
      </c>
      <c r="I540" s="4">
        <v>2</v>
      </c>
      <c r="J540" s="4">
        <v>3</v>
      </c>
      <c r="K540" s="4">
        <v>3</v>
      </c>
      <c r="L540" s="4" t="str">
        <f t="shared" si="15"/>
        <v>NORMAL</v>
      </c>
      <c r="M540" s="4" t="str">
        <f t="shared" si="16"/>
        <v>MEDIUM</v>
      </c>
      <c r="N540" s="4" t="str">
        <f t="shared" si="17"/>
        <v>SENIOR</v>
      </c>
      <c r="O540" s="4" t="str">
        <f t="shared" si="18"/>
        <v>MODERATE-WAIT</v>
      </c>
      <c r="P540" s="5" t="str">
        <f t="shared" si="19"/>
        <v>Medium_Pressure</v>
      </c>
      <c r="Q540" s="4" t="str">
        <f t="shared" si="20"/>
        <v>HIGHLY_ENGAGED</v>
      </c>
      <c r="R540" s="4" t="str">
        <f t="shared" si="14"/>
        <v>LOW</v>
      </c>
      <c r="S540" s="2"/>
      <c r="T540" s="2"/>
      <c r="U540" s="2"/>
      <c r="V540" s="2"/>
      <c r="W540" s="2"/>
      <c r="X540" s="2"/>
      <c r="Y540" s="2"/>
      <c r="Z540" s="2"/>
    </row>
    <row r="541" spans="1:26" ht="16.8" x14ac:dyDescent="0.3">
      <c r="A541" s="4">
        <v>738</v>
      </c>
      <c r="B541" s="4" t="s">
        <v>43</v>
      </c>
      <c r="C541" s="4">
        <v>50</v>
      </c>
      <c r="D541" s="4" t="s">
        <v>37</v>
      </c>
      <c r="E541" s="4" t="s">
        <v>57</v>
      </c>
      <c r="F541" s="4">
        <v>3875</v>
      </c>
      <c r="G541" s="4" t="s">
        <v>43</v>
      </c>
      <c r="H541" s="4">
        <v>2</v>
      </c>
      <c r="I541" s="4">
        <v>2</v>
      </c>
      <c r="J541" s="4">
        <v>2</v>
      </c>
      <c r="K541" s="4">
        <v>3</v>
      </c>
      <c r="L541" s="4" t="str">
        <f t="shared" si="15"/>
        <v>NORMAL</v>
      </c>
      <c r="M541" s="4" t="str">
        <f t="shared" si="16"/>
        <v>LOW</v>
      </c>
      <c r="N541" s="4" t="str">
        <f t="shared" si="17"/>
        <v>NEW</v>
      </c>
      <c r="O541" s="4" t="str">
        <f t="shared" si="18"/>
        <v>MODERATE-WAIT</v>
      </c>
      <c r="P541" s="5" t="str">
        <f t="shared" si="19"/>
        <v>Medium_Pressure</v>
      </c>
      <c r="Q541" s="4" t="str">
        <f t="shared" si="20"/>
        <v>DISENGAGED</v>
      </c>
      <c r="R541" s="4" t="str">
        <f t="shared" si="14"/>
        <v>LOW</v>
      </c>
      <c r="S541" s="2"/>
      <c r="T541" s="2"/>
      <c r="U541" s="2"/>
      <c r="V541" s="2"/>
      <c r="W541" s="2"/>
      <c r="X541" s="2"/>
      <c r="Y541" s="2"/>
      <c r="Z541" s="2"/>
    </row>
    <row r="542" spans="1:26" ht="16.8" x14ac:dyDescent="0.3">
      <c r="A542" s="4">
        <v>741</v>
      </c>
      <c r="B542" s="4" t="s">
        <v>35</v>
      </c>
      <c r="C542" s="4">
        <v>28</v>
      </c>
      <c r="D542" s="4" t="s">
        <v>45</v>
      </c>
      <c r="E542" s="4" t="s">
        <v>47</v>
      </c>
      <c r="F542" s="4">
        <v>2216</v>
      </c>
      <c r="G542" s="4" t="s">
        <v>35</v>
      </c>
      <c r="H542" s="4">
        <v>7</v>
      </c>
      <c r="I542" s="4">
        <v>3</v>
      </c>
      <c r="J542" s="4">
        <v>2</v>
      </c>
      <c r="K542" s="4">
        <v>3</v>
      </c>
      <c r="L542" s="4" t="str">
        <f t="shared" si="15"/>
        <v>HIGH RISK</v>
      </c>
      <c r="M542" s="4" t="str">
        <f t="shared" si="16"/>
        <v>LOW</v>
      </c>
      <c r="N542" s="4" t="str">
        <f t="shared" si="17"/>
        <v>SENIOR</v>
      </c>
      <c r="O542" s="4" t="str">
        <f t="shared" si="18"/>
        <v>MODERATE-WAIT</v>
      </c>
      <c r="P542" s="5" t="str">
        <f t="shared" si="19"/>
        <v>Medium_Pressure</v>
      </c>
      <c r="Q542" s="4" t="str">
        <f t="shared" si="20"/>
        <v>DISENGAGED</v>
      </c>
      <c r="R542" s="4" t="str">
        <f t="shared" si="14"/>
        <v>LOW</v>
      </c>
      <c r="S542" s="2"/>
      <c r="T542" s="2"/>
      <c r="U542" s="2"/>
      <c r="V542" s="2"/>
      <c r="W542" s="2"/>
      <c r="X542" s="2"/>
      <c r="Y542" s="2"/>
      <c r="Z542" s="2"/>
    </row>
    <row r="543" spans="1:26" ht="16.8" x14ac:dyDescent="0.3">
      <c r="A543" s="4">
        <v>742</v>
      </c>
      <c r="B543" s="4" t="s">
        <v>43</v>
      </c>
      <c r="C543" s="4">
        <v>36</v>
      </c>
      <c r="D543" s="4" t="s">
        <v>45</v>
      </c>
      <c r="E543" s="4" t="s">
        <v>58</v>
      </c>
      <c r="F543" s="4">
        <v>11713</v>
      </c>
      <c r="G543" s="4" t="s">
        <v>43</v>
      </c>
      <c r="H543" s="4">
        <v>8</v>
      </c>
      <c r="I543" s="4">
        <v>0</v>
      </c>
      <c r="J543" s="4">
        <v>1</v>
      </c>
      <c r="K543" s="4">
        <v>3</v>
      </c>
      <c r="L543" s="4" t="str">
        <f t="shared" si="15"/>
        <v>NORMAL</v>
      </c>
      <c r="M543" s="4" t="str">
        <f t="shared" si="16"/>
        <v>MEDIUM</v>
      </c>
      <c r="N543" s="4" t="str">
        <f t="shared" si="17"/>
        <v>SENIOR</v>
      </c>
      <c r="O543" s="4" t="str">
        <f t="shared" si="18"/>
        <v>RECENTLY PROMOTED</v>
      </c>
      <c r="P543" s="5" t="str">
        <f t="shared" si="19"/>
        <v>Medium_Pressure</v>
      </c>
      <c r="Q543" s="4" t="str">
        <f t="shared" si="20"/>
        <v>DISENGAGED</v>
      </c>
      <c r="R543" s="4" t="str">
        <f t="shared" si="14"/>
        <v>LOW</v>
      </c>
      <c r="S543" s="2"/>
      <c r="T543" s="2"/>
      <c r="U543" s="2"/>
      <c r="V543" s="2"/>
      <c r="W543" s="2"/>
      <c r="X543" s="2"/>
      <c r="Y543" s="2"/>
      <c r="Z543" s="2"/>
    </row>
    <row r="544" spans="1:26" ht="16.8" x14ac:dyDescent="0.3">
      <c r="A544" s="4">
        <v>743</v>
      </c>
      <c r="B544" s="4" t="s">
        <v>43</v>
      </c>
      <c r="C544" s="4">
        <v>38</v>
      </c>
      <c r="D544" s="4" t="s">
        <v>45</v>
      </c>
      <c r="E544" s="4" t="s">
        <v>53</v>
      </c>
      <c r="F544" s="4">
        <v>7861</v>
      </c>
      <c r="G544" s="4" t="s">
        <v>35</v>
      </c>
      <c r="H544" s="4">
        <v>1</v>
      </c>
      <c r="I544" s="4">
        <v>0</v>
      </c>
      <c r="J544" s="4">
        <v>3</v>
      </c>
      <c r="K544" s="4">
        <v>4</v>
      </c>
      <c r="L544" s="4" t="str">
        <f t="shared" si="15"/>
        <v>NORMAL</v>
      </c>
      <c r="M544" s="4" t="str">
        <f t="shared" si="16"/>
        <v>HIGH</v>
      </c>
      <c r="N544" s="4" t="str">
        <f t="shared" si="17"/>
        <v>NEW</v>
      </c>
      <c r="O544" s="4" t="str">
        <f t="shared" si="18"/>
        <v>RECENTLY PROMOTED</v>
      </c>
      <c r="P544" s="5" t="str">
        <f t="shared" si="19"/>
        <v>Medium_Pressure</v>
      </c>
      <c r="Q544" s="4" t="str">
        <f t="shared" si="20"/>
        <v>HIGHLY_ENGAGED</v>
      </c>
      <c r="R544" s="4" t="str">
        <f t="shared" si="14"/>
        <v>LOW</v>
      </c>
      <c r="S544" s="2"/>
      <c r="T544" s="2"/>
      <c r="U544" s="2"/>
      <c r="V544" s="2"/>
      <c r="W544" s="2"/>
      <c r="X544" s="2"/>
      <c r="Y544" s="2"/>
      <c r="Z544" s="2"/>
    </row>
    <row r="545" spans="1:26" ht="16.8" x14ac:dyDescent="0.3">
      <c r="A545" s="4">
        <v>744</v>
      </c>
      <c r="B545" s="4" t="s">
        <v>43</v>
      </c>
      <c r="C545" s="4">
        <v>44</v>
      </c>
      <c r="D545" s="4" t="s">
        <v>45</v>
      </c>
      <c r="E545" s="4" t="s">
        <v>50</v>
      </c>
      <c r="F545" s="4">
        <v>3708</v>
      </c>
      <c r="G545" s="4" t="s">
        <v>43</v>
      </c>
      <c r="H545" s="4">
        <v>5</v>
      </c>
      <c r="I545" s="4">
        <v>1</v>
      </c>
      <c r="J545" s="4">
        <v>3</v>
      </c>
      <c r="K545" s="4">
        <v>3</v>
      </c>
      <c r="L545" s="4" t="str">
        <f t="shared" si="15"/>
        <v>NORMAL</v>
      </c>
      <c r="M545" s="4" t="str">
        <f t="shared" si="16"/>
        <v>LOW</v>
      </c>
      <c r="N545" s="4" t="str">
        <f t="shared" si="17"/>
        <v>MID</v>
      </c>
      <c r="O545" s="4" t="str">
        <f t="shared" si="18"/>
        <v>RECENTLY PROMOTED</v>
      </c>
      <c r="P545" s="5" t="str">
        <f t="shared" si="19"/>
        <v>Medium_Pressure</v>
      </c>
      <c r="Q545" s="4" t="str">
        <f t="shared" si="20"/>
        <v>HIGHLY_ENGAGED</v>
      </c>
      <c r="R545" s="4" t="str">
        <f t="shared" si="14"/>
        <v>LOW</v>
      </c>
      <c r="S545" s="2"/>
      <c r="T545" s="2"/>
      <c r="U545" s="2"/>
      <c r="V545" s="2"/>
      <c r="W545" s="2"/>
      <c r="X545" s="2"/>
      <c r="Y545" s="2"/>
      <c r="Z545" s="2"/>
    </row>
    <row r="546" spans="1:26" ht="16.8" x14ac:dyDescent="0.3">
      <c r="A546" s="4">
        <v>746</v>
      </c>
      <c r="B546" s="4" t="s">
        <v>43</v>
      </c>
      <c r="C546" s="4">
        <v>47</v>
      </c>
      <c r="D546" s="4" t="s">
        <v>37</v>
      </c>
      <c r="E546" s="4" t="s">
        <v>40</v>
      </c>
      <c r="F546" s="4">
        <v>13770</v>
      </c>
      <c r="G546" s="4" t="s">
        <v>35</v>
      </c>
      <c r="H546" s="4">
        <v>22</v>
      </c>
      <c r="I546" s="4">
        <v>11</v>
      </c>
      <c r="J546" s="4">
        <v>3</v>
      </c>
      <c r="K546" s="4">
        <v>2</v>
      </c>
      <c r="L546" s="4" t="str">
        <f t="shared" si="15"/>
        <v>NORMAL</v>
      </c>
      <c r="M546" s="4" t="str">
        <f t="shared" si="16"/>
        <v>MEDIUM</v>
      </c>
      <c r="N546" s="4" t="str">
        <f t="shared" si="17"/>
        <v>SENIOR</v>
      </c>
      <c r="O546" s="4" t="str">
        <f t="shared" si="18"/>
        <v>STAGNANT</v>
      </c>
      <c r="P546" s="5" t="str">
        <f t="shared" si="19"/>
        <v>High_Pressure</v>
      </c>
      <c r="Q546" s="4" t="str">
        <f t="shared" si="20"/>
        <v>DISENGAGED</v>
      </c>
      <c r="R546" s="4" t="str">
        <f t="shared" si="14"/>
        <v>LOW</v>
      </c>
      <c r="S546" s="2"/>
      <c r="T546" s="2"/>
      <c r="U546" s="2"/>
      <c r="V546" s="2"/>
      <c r="W546" s="2"/>
      <c r="X546" s="2"/>
      <c r="Y546" s="2"/>
      <c r="Z546" s="2"/>
    </row>
    <row r="547" spans="1:26" ht="16.8" x14ac:dyDescent="0.3">
      <c r="A547" s="4">
        <v>747</v>
      </c>
      <c r="B547" s="4" t="s">
        <v>43</v>
      </c>
      <c r="C547" s="4">
        <v>30</v>
      </c>
      <c r="D547" s="4" t="s">
        <v>37</v>
      </c>
      <c r="E547" s="4" t="s">
        <v>40</v>
      </c>
      <c r="F547" s="4">
        <v>5304</v>
      </c>
      <c r="G547" s="4" t="s">
        <v>43</v>
      </c>
      <c r="H547" s="4">
        <v>8</v>
      </c>
      <c r="I547" s="4">
        <v>7</v>
      </c>
      <c r="J547" s="4">
        <v>4</v>
      </c>
      <c r="K547" s="4">
        <v>2</v>
      </c>
      <c r="L547" s="4" t="str">
        <f t="shared" si="15"/>
        <v>NORMAL</v>
      </c>
      <c r="M547" s="4" t="str">
        <f t="shared" si="16"/>
        <v>HIGH</v>
      </c>
      <c r="N547" s="4" t="str">
        <f t="shared" si="17"/>
        <v>SENIOR</v>
      </c>
      <c r="O547" s="4" t="str">
        <f t="shared" si="18"/>
        <v>STAGNANT</v>
      </c>
      <c r="P547" s="5" t="str">
        <f t="shared" si="19"/>
        <v>Low_Pressure</v>
      </c>
      <c r="Q547" s="4" t="str">
        <f t="shared" si="20"/>
        <v>DISENGAGED</v>
      </c>
      <c r="R547" s="4" t="str">
        <f t="shared" si="14"/>
        <v>LOW</v>
      </c>
      <c r="S547" s="2"/>
      <c r="T547" s="2"/>
      <c r="U547" s="2"/>
      <c r="V547" s="2"/>
      <c r="W547" s="2"/>
      <c r="X547" s="2"/>
      <c r="Y547" s="2"/>
      <c r="Z547" s="2"/>
    </row>
    <row r="548" spans="1:26" ht="16.8" x14ac:dyDescent="0.3">
      <c r="A548" s="4">
        <v>749</v>
      </c>
      <c r="B548" s="4" t="s">
        <v>43</v>
      </c>
      <c r="C548" s="4">
        <v>29</v>
      </c>
      <c r="D548" s="4" t="s">
        <v>37</v>
      </c>
      <c r="E548" s="4" t="s">
        <v>57</v>
      </c>
      <c r="F548" s="4">
        <v>2642</v>
      </c>
      <c r="G548" s="4" t="s">
        <v>43</v>
      </c>
      <c r="H548" s="4">
        <v>1</v>
      </c>
      <c r="I548" s="4">
        <v>0</v>
      </c>
      <c r="J548" s="4">
        <v>3</v>
      </c>
      <c r="K548" s="4">
        <v>3</v>
      </c>
      <c r="L548" s="4" t="str">
        <f t="shared" si="15"/>
        <v>NORMAL</v>
      </c>
      <c r="M548" s="4" t="str">
        <f t="shared" si="16"/>
        <v>LOW</v>
      </c>
      <c r="N548" s="4" t="str">
        <f t="shared" si="17"/>
        <v>NEW</v>
      </c>
      <c r="O548" s="4" t="str">
        <f t="shared" si="18"/>
        <v>RECENTLY PROMOTED</v>
      </c>
      <c r="P548" s="5" t="str">
        <f t="shared" si="19"/>
        <v>Medium_Pressure</v>
      </c>
      <c r="Q548" s="4" t="str">
        <f t="shared" si="20"/>
        <v>HIGHLY_ENGAGED</v>
      </c>
      <c r="R548" s="4" t="str">
        <f t="shared" si="14"/>
        <v>LOW</v>
      </c>
      <c r="S548" s="2"/>
      <c r="T548" s="2"/>
      <c r="U548" s="2"/>
      <c r="V548" s="2"/>
      <c r="W548" s="2"/>
      <c r="X548" s="2"/>
      <c r="Y548" s="2"/>
      <c r="Z548" s="2"/>
    </row>
    <row r="549" spans="1:26" ht="16.8" x14ac:dyDescent="0.3">
      <c r="A549" s="4">
        <v>752</v>
      </c>
      <c r="B549" s="4" t="s">
        <v>35</v>
      </c>
      <c r="C549" s="4">
        <v>42</v>
      </c>
      <c r="D549" s="4" t="s">
        <v>45</v>
      </c>
      <c r="E549" s="4" t="s">
        <v>47</v>
      </c>
      <c r="F549" s="4">
        <v>2759</v>
      </c>
      <c r="G549" s="4" t="s">
        <v>35</v>
      </c>
      <c r="H549" s="4">
        <v>2</v>
      </c>
      <c r="I549" s="4">
        <v>2</v>
      </c>
      <c r="J549" s="4">
        <v>3</v>
      </c>
      <c r="K549" s="4">
        <v>3</v>
      </c>
      <c r="L549" s="4" t="str">
        <f t="shared" si="15"/>
        <v>NORMAL</v>
      </c>
      <c r="M549" s="4" t="str">
        <f t="shared" si="16"/>
        <v>LOW</v>
      </c>
      <c r="N549" s="4" t="str">
        <f t="shared" si="17"/>
        <v>NEW</v>
      </c>
      <c r="O549" s="4" t="str">
        <f t="shared" si="18"/>
        <v>MODERATE-WAIT</v>
      </c>
      <c r="P549" s="5" t="str">
        <f t="shared" si="19"/>
        <v>Medium_Pressure</v>
      </c>
      <c r="Q549" s="4" t="str">
        <f t="shared" si="20"/>
        <v>HIGHLY_ENGAGED</v>
      </c>
      <c r="R549" s="4" t="str">
        <f t="shared" si="14"/>
        <v>LOW</v>
      </c>
      <c r="S549" s="2"/>
      <c r="T549" s="2"/>
      <c r="U549" s="2"/>
      <c r="V549" s="2"/>
      <c r="W549" s="2"/>
      <c r="X549" s="2"/>
      <c r="Y549" s="2"/>
      <c r="Z549" s="2"/>
    </row>
    <row r="550" spans="1:26" ht="16.8" x14ac:dyDescent="0.3">
      <c r="A550" s="4">
        <v>754</v>
      </c>
      <c r="B550" s="4" t="s">
        <v>43</v>
      </c>
      <c r="C550" s="4">
        <v>43</v>
      </c>
      <c r="D550" s="4" t="s">
        <v>37</v>
      </c>
      <c r="E550" s="4" t="s">
        <v>40</v>
      </c>
      <c r="F550" s="4">
        <v>6804</v>
      </c>
      <c r="G550" s="4" t="s">
        <v>43</v>
      </c>
      <c r="H550" s="4">
        <v>2</v>
      </c>
      <c r="I550" s="4">
        <v>2</v>
      </c>
      <c r="J550" s="4">
        <v>4</v>
      </c>
      <c r="K550" s="4">
        <v>3</v>
      </c>
      <c r="L550" s="4" t="str">
        <f t="shared" si="15"/>
        <v>NORMAL</v>
      </c>
      <c r="M550" s="4" t="str">
        <f t="shared" si="16"/>
        <v>HIGH</v>
      </c>
      <c r="N550" s="4" t="str">
        <f t="shared" si="17"/>
        <v>NEW</v>
      </c>
      <c r="O550" s="4" t="str">
        <f t="shared" si="18"/>
        <v>MODERATE-WAIT</v>
      </c>
      <c r="P550" s="5" t="str">
        <f t="shared" si="19"/>
        <v>Medium_Pressure</v>
      </c>
      <c r="Q550" s="4" t="str">
        <f t="shared" si="20"/>
        <v>HIGHLY_ENGAGED</v>
      </c>
      <c r="R550" s="4" t="str">
        <f t="shared" si="14"/>
        <v>LOW</v>
      </c>
      <c r="S550" s="2"/>
      <c r="T550" s="2"/>
      <c r="U550" s="2"/>
      <c r="V550" s="2"/>
      <c r="W550" s="2"/>
      <c r="X550" s="2"/>
      <c r="Y550" s="2"/>
      <c r="Z550" s="2"/>
    </row>
    <row r="551" spans="1:26" ht="16.8" x14ac:dyDescent="0.3">
      <c r="A551" s="4">
        <v>757</v>
      </c>
      <c r="B551" s="4" t="s">
        <v>43</v>
      </c>
      <c r="C551" s="4">
        <v>34</v>
      </c>
      <c r="D551" s="4" t="s">
        <v>45</v>
      </c>
      <c r="E551" s="4" t="s">
        <v>54</v>
      </c>
      <c r="F551" s="4">
        <v>6142</v>
      </c>
      <c r="G551" s="4" t="s">
        <v>43</v>
      </c>
      <c r="H551" s="4">
        <v>5</v>
      </c>
      <c r="I551" s="4">
        <v>4</v>
      </c>
      <c r="J551" s="4">
        <v>3</v>
      </c>
      <c r="K551" s="4">
        <v>3</v>
      </c>
      <c r="L551" s="4" t="str">
        <f t="shared" si="15"/>
        <v>NORMAL</v>
      </c>
      <c r="M551" s="4" t="str">
        <f t="shared" si="16"/>
        <v>HIGH</v>
      </c>
      <c r="N551" s="4" t="str">
        <f t="shared" si="17"/>
        <v>MID</v>
      </c>
      <c r="O551" s="4" t="str">
        <f t="shared" si="18"/>
        <v>STAGNANT</v>
      </c>
      <c r="P551" s="5" t="str">
        <f t="shared" si="19"/>
        <v>Medium_Pressure</v>
      </c>
      <c r="Q551" s="4" t="str">
        <f t="shared" si="20"/>
        <v>HIGHLY_ENGAGED</v>
      </c>
      <c r="R551" s="4" t="str">
        <f t="shared" si="14"/>
        <v>LOW</v>
      </c>
      <c r="S551" s="2"/>
      <c r="T551" s="2"/>
      <c r="U551" s="2"/>
      <c r="V551" s="2"/>
      <c r="W551" s="2"/>
      <c r="X551" s="2"/>
      <c r="Y551" s="2"/>
      <c r="Z551" s="2"/>
    </row>
    <row r="552" spans="1:26" ht="16.8" x14ac:dyDescent="0.3">
      <c r="A552" s="4">
        <v>758</v>
      </c>
      <c r="B552" s="4" t="s">
        <v>43</v>
      </c>
      <c r="C552" s="4">
        <v>23</v>
      </c>
      <c r="D552" s="4" t="s">
        <v>45</v>
      </c>
      <c r="E552" s="4" t="s">
        <v>50</v>
      </c>
      <c r="F552" s="4">
        <v>2500</v>
      </c>
      <c r="G552" s="4" t="s">
        <v>43</v>
      </c>
      <c r="H552" s="4">
        <v>4</v>
      </c>
      <c r="I552" s="4">
        <v>0</v>
      </c>
      <c r="J552" s="4">
        <v>1</v>
      </c>
      <c r="K552" s="4">
        <v>4</v>
      </c>
      <c r="L552" s="4" t="str">
        <f t="shared" si="15"/>
        <v>NORMAL</v>
      </c>
      <c r="M552" s="4" t="str">
        <f t="shared" si="16"/>
        <v>LOW</v>
      </c>
      <c r="N552" s="4" t="str">
        <f t="shared" si="17"/>
        <v>MID</v>
      </c>
      <c r="O552" s="4" t="str">
        <f t="shared" si="18"/>
        <v>RECENTLY PROMOTED</v>
      </c>
      <c r="P552" s="5" t="str">
        <f t="shared" si="19"/>
        <v>Low_Pressure</v>
      </c>
      <c r="Q552" s="4" t="str">
        <f t="shared" si="20"/>
        <v>DISENGAGED</v>
      </c>
      <c r="R552" s="4" t="str">
        <f t="shared" si="14"/>
        <v>LOW</v>
      </c>
      <c r="S552" s="2"/>
      <c r="T552" s="2"/>
      <c r="U552" s="2"/>
      <c r="V552" s="2"/>
      <c r="W552" s="2"/>
      <c r="X552" s="2"/>
      <c r="Y552" s="2"/>
      <c r="Z552" s="2"/>
    </row>
    <row r="553" spans="1:26" ht="16.8" x14ac:dyDescent="0.3">
      <c r="A553" s="4">
        <v>760</v>
      </c>
      <c r="B553" s="4" t="s">
        <v>43</v>
      </c>
      <c r="C553" s="4">
        <v>39</v>
      </c>
      <c r="D553" s="4" t="s">
        <v>61</v>
      </c>
      <c r="E553" s="4" t="s">
        <v>61</v>
      </c>
      <c r="F553" s="4">
        <v>6389</v>
      </c>
      <c r="G553" s="4" t="s">
        <v>43</v>
      </c>
      <c r="H553" s="4">
        <v>8</v>
      </c>
      <c r="I553" s="4">
        <v>3</v>
      </c>
      <c r="J553" s="4">
        <v>2</v>
      </c>
      <c r="K553" s="4">
        <v>1</v>
      </c>
      <c r="L553" s="4" t="str">
        <f t="shared" si="15"/>
        <v>NORMAL</v>
      </c>
      <c r="M553" s="4" t="str">
        <f t="shared" si="16"/>
        <v>HIGH</v>
      </c>
      <c r="N553" s="4" t="str">
        <f t="shared" si="17"/>
        <v>SENIOR</v>
      </c>
      <c r="O553" s="4" t="str">
        <f t="shared" si="18"/>
        <v>MODERATE-WAIT</v>
      </c>
      <c r="P553" s="5" t="str">
        <f t="shared" si="19"/>
        <v>Low_Pressure</v>
      </c>
      <c r="Q553" s="4" t="str">
        <f t="shared" si="20"/>
        <v>DISENGAGED</v>
      </c>
      <c r="R553" s="4" t="str">
        <f t="shared" si="14"/>
        <v>LOW</v>
      </c>
      <c r="S553" s="2"/>
      <c r="T553" s="2"/>
      <c r="U553" s="2"/>
      <c r="V553" s="2"/>
      <c r="W553" s="2"/>
      <c r="X553" s="2"/>
      <c r="Y553" s="2"/>
      <c r="Z553" s="2"/>
    </row>
    <row r="554" spans="1:26" ht="16.8" x14ac:dyDescent="0.3">
      <c r="A554" s="4">
        <v>762</v>
      </c>
      <c r="B554" s="4" t="s">
        <v>43</v>
      </c>
      <c r="C554" s="4">
        <v>56</v>
      </c>
      <c r="D554" s="4" t="s">
        <v>45</v>
      </c>
      <c r="E554" s="4" t="s">
        <v>54</v>
      </c>
      <c r="F554" s="4">
        <v>11103</v>
      </c>
      <c r="G554" s="4" t="s">
        <v>43</v>
      </c>
      <c r="H554" s="4">
        <v>10</v>
      </c>
      <c r="I554" s="4">
        <v>1</v>
      </c>
      <c r="J554" s="4">
        <v>4</v>
      </c>
      <c r="K554" s="4">
        <v>2</v>
      </c>
      <c r="L554" s="4" t="str">
        <f t="shared" si="15"/>
        <v>NORMAL</v>
      </c>
      <c r="M554" s="4" t="str">
        <f t="shared" si="16"/>
        <v>MEDIUM</v>
      </c>
      <c r="N554" s="4" t="str">
        <f t="shared" si="17"/>
        <v>SENIOR</v>
      </c>
      <c r="O554" s="4" t="str">
        <f t="shared" si="18"/>
        <v>RECENTLY PROMOTED</v>
      </c>
      <c r="P554" s="5" t="str">
        <f t="shared" si="19"/>
        <v>Low_Pressure</v>
      </c>
      <c r="Q554" s="4" t="str">
        <f t="shared" si="20"/>
        <v>DISENGAGED</v>
      </c>
      <c r="R554" s="4" t="str">
        <f t="shared" si="14"/>
        <v>LOW</v>
      </c>
      <c r="S554" s="2"/>
      <c r="T554" s="2"/>
      <c r="U554" s="2"/>
      <c r="V554" s="2"/>
      <c r="W554" s="2"/>
      <c r="X554" s="2"/>
      <c r="Y554" s="2"/>
      <c r="Z554" s="2"/>
    </row>
    <row r="555" spans="1:26" ht="16.8" x14ac:dyDescent="0.3">
      <c r="A555" s="4">
        <v>763</v>
      </c>
      <c r="B555" s="4" t="s">
        <v>43</v>
      </c>
      <c r="C555" s="4">
        <v>40</v>
      </c>
      <c r="D555" s="4" t="s">
        <v>45</v>
      </c>
      <c r="E555" s="4" t="s">
        <v>47</v>
      </c>
      <c r="F555" s="4">
        <v>2342</v>
      </c>
      <c r="G555" s="4" t="s">
        <v>35</v>
      </c>
      <c r="H555" s="4">
        <v>4</v>
      </c>
      <c r="I555" s="4">
        <v>2</v>
      </c>
      <c r="J555" s="4">
        <v>4</v>
      </c>
      <c r="K555" s="4">
        <v>2</v>
      </c>
      <c r="L555" s="4" t="str">
        <f t="shared" si="15"/>
        <v>NORMAL</v>
      </c>
      <c r="M555" s="4" t="str">
        <f t="shared" si="16"/>
        <v>LOW</v>
      </c>
      <c r="N555" s="4" t="str">
        <f t="shared" si="17"/>
        <v>MID</v>
      </c>
      <c r="O555" s="4" t="str">
        <f t="shared" si="18"/>
        <v>MODERATE-WAIT</v>
      </c>
      <c r="P555" s="5" t="str">
        <f t="shared" si="19"/>
        <v>High_Pressure</v>
      </c>
      <c r="Q555" s="4" t="str">
        <f t="shared" si="20"/>
        <v>DISENGAGED</v>
      </c>
      <c r="R555" s="4" t="str">
        <f t="shared" si="14"/>
        <v>LOW</v>
      </c>
      <c r="S555" s="2"/>
      <c r="T555" s="2"/>
      <c r="U555" s="2"/>
      <c r="V555" s="2"/>
      <c r="W555" s="2"/>
      <c r="X555" s="2"/>
      <c r="Y555" s="2"/>
      <c r="Z555" s="2"/>
    </row>
    <row r="556" spans="1:26" ht="16.8" x14ac:dyDescent="0.3">
      <c r="A556" s="4">
        <v>764</v>
      </c>
      <c r="B556" s="4" t="s">
        <v>43</v>
      </c>
      <c r="C556" s="4">
        <v>27</v>
      </c>
      <c r="D556" s="4" t="s">
        <v>45</v>
      </c>
      <c r="E556" s="4" t="s">
        <v>54</v>
      </c>
      <c r="F556" s="4">
        <v>6811</v>
      </c>
      <c r="G556" s="4" t="s">
        <v>43</v>
      </c>
      <c r="H556" s="4">
        <v>7</v>
      </c>
      <c r="I556" s="4">
        <v>0</v>
      </c>
      <c r="J556" s="4">
        <v>1</v>
      </c>
      <c r="K556" s="4">
        <v>1</v>
      </c>
      <c r="L556" s="4" t="str">
        <f t="shared" si="15"/>
        <v>NORMAL</v>
      </c>
      <c r="M556" s="4" t="str">
        <f t="shared" si="16"/>
        <v>HIGH</v>
      </c>
      <c r="N556" s="4" t="str">
        <f t="shared" si="17"/>
        <v>SENIOR</v>
      </c>
      <c r="O556" s="4" t="str">
        <f t="shared" si="18"/>
        <v>RECENTLY PROMOTED</v>
      </c>
      <c r="P556" s="5" t="str">
        <f t="shared" si="19"/>
        <v>Low_Pressure</v>
      </c>
      <c r="Q556" s="4" t="str">
        <f t="shared" si="20"/>
        <v>DISENGAGED</v>
      </c>
      <c r="R556" s="4" t="str">
        <f t="shared" si="14"/>
        <v>LOW</v>
      </c>
      <c r="S556" s="2"/>
      <c r="T556" s="2"/>
      <c r="U556" s="2"/>
      <c r="V556" s="2"/>
      <c r="W556" s="2"/>
      <c r="X556" s="2"/>
      <c r="Y556" s="2"/>
      <c r="Z556" s="2"/>
    </row>
    <row r="557" spans="1:26" ht="16.8" x14ac:dyDescent="0.3">
      <c r="A557" s="4">
        <v>766</v>
      </c>
      <c r="B557" s="4" t="s">
        <v>43</v>
      </c>
      <c r="C557" s="4">
        <v>29</v>
      </c>
      <c r="D557" s="4" t="s">
        <v>37</v>
      </c>
      <c r="E557" s="4" t="s">
        <v>57</v>
      </c>
      <c r="F557" s="4">
        <v>2297</v>
      </c>
      <c r="G557" s="4" t="s">
        <v>43</v>
      </c>
      <c r="H557" s="4">
        <v>2</v>
      </c>
      <c r="I557" s="4">
        <v>2</v>
      </c>
      <c r="J557" s="4">
        <v>2</v>
      </c>
      <c r="K557" s="4">
        <v>3</v>
      </c>
      <c r="L557" s="4" t="str">
        <f t="shared" si="15"/>
        <v>NORMAL</v>
      </c>
      <c r="M557" s="4" t="str">
        <f t="shared" si="16"/>
        <v>LOW</v>
      </c>
      <c r="N557" s="4" t="str">
        <f t="shared" si="17"/>
        <v>NEW</v>
      </c>
      <c r="O557" s="4" t="str">
        <f t="shared" si="18"/>
        <v>MODERATE-WAIT</v>
      </c>
      <c r="P557" s="5" t="str">
        <f t="shared" si="19"/>
        <v>Medium_Pressure</v>
      </c>
      <c r="Q557" s="4" t="str">
        <f t="shared" si="20"/>
        <v>DISENGAGED</v>
      </c>
      <c r="R557" s="4" t="str">
        <f t="shared" si="14"/>
        <v>LOW</v>
      </c>
      <c r="S557" s="2"/>
      <c r="T557" s="2"/>
      <c r="U557" s="2"/>
      <c r="V557" s="2"/>
      <c r="W557" s="2"/>
      <c r="X557" s="2"/>
      <c r="Y557" s="2"/>
      <c r="Z557" s="2"/>
    </row>
    <row r="558" spans="1:26" ht="16.8" x14ac:dyDescent="0.3">
      <c r="A558" s="4">
        <v>769</v>
      </c>
      <c r="B558" s="4" t="s">
        <v>43</v>
      </c>
      <c r="C558" s="4">
        <v>53</v>
      </c>
      <c r="D558" s="4" t="s">
        <v>45</v>
      </c>
      <c r="E558" s="4" t="s">
        <v>50</v>
      </c>
      <c r="F558" s="4">
        <v>2450</v>
      </c>
      <c r="G558" s="4" t="s">
        <v>43</v>
      </c>
      <c r="H558" s="4">
        <v>2</v>
      </c>
      <c r="I558" s="4">
        <v>2</v>
      </c>
      <c r="J558" s="4">
        <v>4</v>
      </c>
      <c r="K558" s="4">
        <v>3</v>
      </c>
      <c r="L558" s="4" t="str">
        <f t="shared" si="15"/>
        <v>NORMAL</v>
      </c>
      <c r="M558" s="4" t="str">
        <f t="shared" si="16"/>
        <v>LOW</v>
      </c>
      <c r="N558" s="4" t="str">
        <f t="shared" si="17"/>
        <v>NEW</v>
      </c>
      <c r="O558" s="4" t="str">
        <f t="shared" si="18"/>
        <v>MODERATE-WAIT</v>
      </c>
      <c r="P558" s="5" t="str">
        <f t="shared" si="19"/>
        <v>Medium_Pressure</v>
      </c>
      <c r="Q558" s="4" t="str">
        <f t="shared" si="20"/>
        <v>HIGHLY_ENGAGED</v>
      </c>
      <c r="R558" s="4" t="str">
        <f t="shared" si="14"/>
        <v>LOW</v>
      </c>
      <c r="S558" s="2"/>
      <c r="T558" s="2"/>
      <c r="U558" s="2"/>
      <c r="V558" s="2"/>
      <c r="W558" s="2"/>
      <c r="X558" s="2"/>
      <c r="Y558" s="2"/>
      <c r="Z558" s="2"/>
    </row>
    <row r="559" spans="1:26" ht="16.8" x14ac:dyDescent="0.3">
      <c r="A559" s="4">
        <v>771</v>
      </c>
      <c r="B559" s="4" t="s">
        <v>43</v>
      </c>
      <c r="C559" s="4">
        <v>35</v>
      </c>
      <c r="D559" s="4" t="s">
        <v>45</v>
      </c>
      <c r="E559" s="4" t="s">
        <v>54</v>
      </c>
      <c r="F559" s="4">
        <v>5093</v>
      </c>
      <c r="G559" s="4" t="s">
        <v>43</v>
      </c>
      <c r="H559" s="4">
        <v>1</v>
      </c>
      <c r="I559" s="4">
        <v>0</v>
      </c>
      <c r="J559" s="4">
        <v>1</v>
      </c>
      <c r="K559" s="4">
        <v>4</v>
      </c>
      <c r="L559" s="4" t="str">
        <f t="shared" si="15"/>
        <v>NORMAL</v>
      </c>
      <c r="M559" s="4" t="str">
        <f t="shared" si="16"/>
        <v>HIGH</v>
      </c>
      <c r="N559" s="4" t="str">
        <f t="shared" si="17"/>
        <v>NEW</v>
      </c>
      <c r="O559" s="4" t="str">
        <f t="shared" si="18"/>
        <v>RECENTLY PROMOTED</v>
      </c>
      <c r="P559" s="5" t="str">
        <f t="shared" si="19"/>
        <v>Low_Pressure</v>
      </c>
      <c r="Q559" s="4" t="str">
        <f t="shared" si="20"/>
        <v>DISENGAGED</v>
      </c>
      <c r="R559" s="4" t="str">
        <f t="shared" si="14"/>
        <v>LOW</v>
      </c>
      <c r="S559" s="2"/>
      <c r="T559" s="2"/>
      <c r="U559" s="2"/>
      <c r="V559" s="2"/>
      <c r="W559" s="2"/>
      <c r="X559" s="2"/>
      <c r="Y559" s="2"/>
      <c r="Z559" s="2"/>
    </row>
    <row r="560" spans="1:26" ht="16.8" x14ac:dyDescent="0.3">
      <c r="A560" s="4">
        <v>772</v>
      </c>
      <c r="B560" s="4" t="s">
        <v>43</v>
      </c>
      <c r="C560" s="4">
        <v>32</v>
      </c>
      <c r="D560" s="4" t="s">
        <v>45</v>
      </c>
      <c r="E560" s="4" t="s">
        <v>50</v>
      </c>
      <c r="F560" s="4">
        <v>5309</v>
      </c>
      <c r="G560" s="4" t="s">
        <v>43</v>
      </c>
      <c r="H560" s="4">
        <v>10</v>
      </c>
      <c r="I560" s="4">
        <v>4</v>
      </c>
      <c r="J560" s="4">
        <v>4</v>
      </c>
      <c r="K560" s="4">
        <v>3</v>
      </c>
      <c r="L560" s="4" t="str">
        <f t="shared" si="15"/>
        <v>NORMAL</v>
      </c>
      <c r="M560" s="4" t="str">
        <f t="shared" si="16"/>
        <v>HIGH</v>
      </c>
      <c r="N560" s="4" t="str">
        <f t="shared" si="17"/>
        <v>SENIOR</v>
      </c>
      <c r="O560" s="4" t="str">
        <f t="shared" si="18"/>
        <v>STAGNANT</v>
      </c>
      <c r="P560" s="5" t="str">
        <f t="shared" si="19"/>
        <v>Medium_Pressure</v>
      </c>
      <c r="Q560" s="4" t="str">
        <f t="shared" si="20"/>
        <v>HIGHLY_ENGAGED</v>
      </c>
      <c r="R560" s="4" t="str">
        <f t="shared" si="14"/>
        <v>LOW</v>
      </c>
      <c r="S560" s="2"/>
      <c r="T560" s="2"/>
      <c r="U560" s="2"/>
      <c r="V560" s="2"/>
      <c r="W560" s="2"/>
      <c r="X560" s="2"/>
      <c r="Y560" s="2"/>
      <c r="Z560" s="2"/>
    </row>
    <row r="561" spans="1:26" ht="16.8" x14ac:dyDescent="0.3">
      <c r="A561" s="4">
        <v>773</v>
      </c>
      <c r="B561" s="4" t="s">
        <v>43</v>
      </c>
      <c r="C561" s="4">
        <v>38</v>
      </c>
      <c r="D561" s="4" t="s">
        <v>45</v>
      </c>
      <c r="E561" s="4" t="s">
        <v>47</v>
      </c>
      <c r="F561" s="4">
        <v>3057</v>
      </c>
      <c r="G561" s="4" t="s">
        <v>35</v>
      </c>
      <c r="H561" s="4">
        <v>1</v>
      </c>
      <c r="I561" s="4">
        <v>0</v>
      </c>
      <c r="J561" s="4">
        <v>3</v>
      </c>
      <c r="K561" s="4">
        <v>1</v>
      </c>
      <c r="L561" s="4" t="str">
        <f t="shared" si="15"/>
        <v>NORMAL</v>
      </c>
      <c r="M561" s="4" t="str">
        <f t="shared" si="16"/>
        <v>LOW</v>
      </c>
      <c r="N561" s="4" t="str">
        <f t="shared" si="17"/>
        <v>NEW</v>
      </c>
      <c r="O561" s="4" t="str">
        <f t="shared" si="18"/>
        <v>RECENTLY PROMOTED</v>
      </c>
      <c r="P561" s="5" t="str">
        <f t="shared" si="19"/>
        <v>High_Pressure</v>
      </c>
      <c r="Q561" s="4" t="str">
        <f t="shared" si="20"/>
        <v>DISENGAGED</v>
      </c>
      <c r="R561" s="4" t="str">
        <f t="shared" si="14"/>
        <v>LOW</v>
      </c>
      <c r="S561" s="2"/>
      <c r="T561" s="2"/>
      <c r="U561" s="2"/>
      <c r="V561" s="2"/>
      <c r="W561" s="2"/>
      <c r="X561" s="2"/>
      <c r="Y561" s="2"/>
      <c r="Z561" s="2"/>
    </row>
    <row r="562" spans="1:26" ht="16.8" x14ac:dyDescent="0.3">
      <c r="A562" s="4">
        <v>775</v>
      </c>
      <c r="B562" s="4" t="s">
        <v>43</v>
      </c>
      <c r="C562" s="4">
        <v>34</v>
      </c>
      <c r="D562" s="4" t="s">
        <v>45</v>
      </c>
      <c r="E562" s="4" t="s">
        <v>53</v>
      </c>
      <c r="F562" s="4">
        <v>5121</v>
      </c>
      <c r="G562" s="4" t="s">
        <v>43</v>
      </c>
      <c r="H562" s="4">
        <v>0</v>
      </c>
      <c r="I562" s="4">
        <v>0</v>
      </c>
      <c r="J562" s="4">
        <v>1</v>
      </c>
      <c r="K562" s="4">
        <v>3</v>
      </c>
      <c r="L562" s="4" t="str">
        <f t="shared" si="15"/>
        <v>NORMAL</v>
      </c>
      <c r="M562" s="4" t="str">
        <f t="shared" si="16"/>
        <v>HIGH</v>
      </c>
      <c r="N562" s="4" t="str">
        <f t="shared" si="17"/>
        <v>NEW</v>
      </c>
      <c r="O562" s="4" t="str">
        <f t="shared" si="18"/>
        <v>RECENTLY PROMOTED</v>
      </c>
      <c r="P562" s="5" t="str">
        <f t="shared" si="19"/>
        <v>Medium_Pressure</v>
      </c>
      <c r="Q562" s="4" t="str">
        <f t="shared" si="20"/>
        <v>DISENGAGED</v>
      </c>
      <c r="R562" s="4" t="str">
        <f t="shared" si="14"/>
        <v>LOW</v>
      </c>
      <c r="S562" s="2"/>
      <c r="T562" s="2"/>
      <c r="U562" s="2"/>
      <c r="V562" s="2"/>
      <c r="W562" s="2"/>
      <c r="X562" s="2"/>
      <c r="Y562" s="2"/>
      <c r="Z562" s="2"/>
    </row>
    <row r="563" spans="1:26" ht="16.8" x14ac:dyDescent="0.3">
      <c r="A563" s="4">
        <v>776</v>
      </c>
      <c r="B563" s="4" t="s">
        <v>43</v>
      </c>
      <c r="C563" s="4">
        <v>52</v>
      </c>
      <c r="D563" s="4" t="s">
        <v>37</v>
      </c>
      <c r="E563" s="4" t="s">
        <v>56</v>
      </c>
      <c r="F563" s="4">
        <v>16856</v>
      </c>
      <c r="G563" s="4" t="s">
        <v>43</v>
      </c>
      <c r="H563" s="4">
        <v>34</v>
      </c>
      <c r="I563" s="4">
        <v>1</v>
      </c>
      <c r="J563" s="4">
        <v>1</v>
      </c>
      <c r="K563" s="4">
        <v>4</v>
      </c>
      <c r="L563" s="4" t="str">
        <f t="shared" si="15"/>
        <v>NORMAL</v>
      </c>
      <c r="M563" s="4" t="str">
        <f t="shared" si="16"/>
        <v>MEDIUM</v>
      </c>
      <c r="N563" s="4" t="str">
        <f t="shared" si="17"/>
        <v>SENIOR</v>
      </c>
      <c r="O563" s="4" t="str">
        <f t="shared" si="18"/>
        <v>RECENTLY PROMOTED</v>
      </c>
      <c r="P563" s="5" t="str">
        <f t="shared" si="19"/>
        <v>Low_Pressure</v>
      </c>
      <c r="Q563" s="4" t="str">
        <f t="shared" si="20"/>
        <v>DISENGAGED</v>
      </c>
      <c r="R563" s="4" t="str">
        <f t="shared" si="14"/>
        <v>LOW</v>
      </c>
      <c r="S563" s="2"/>
      <c r="T563" s="2"/>
      <c r="U563" s="2"/>
      <c r="V563" s="2"/>
      <c r="W563" s="2"/>
      <c r="X563" s="2"/>
      <c r="Y563" s="2"/>
      <c r="Z563" s="2"/>
    </row>
    <row r="564" spans="1:26" ht="16.8" x14ac:dyDescent="0.3">
      <c r="A564" s="4">
        <v>780</v>
      </c>
      <c r="B564" s="4" t="s">
        <v>35</v>
      </c>
      <c r="C564" s="4">
        <v>33</v>
      </c>
      <c r="D564" s="4" t="s">
        <v>45</v>
      </c>
      <c r="E564" s="4" t="s">
        <v>47</v>
      </c>
      <c r="F564" s="4">
        <v>2686</v>
      </c>
      <c r="G564" s="4" t="s">
        <v>35</v>
      </c>
      <c r="H564" s="4">
        <v>10</v>
      </c>
      <c r="I564" s="4">
        <v>7</v>
      </c>
      <c r="J564" s="4">
        <v>4</v>
      </c>
      <c r="K564" s="4">
        <v>2</v>
      </c>
      <c r="L564" s="4" t="str">
        <f t="shared" si="15"/>
        <v>NORMAL</v>
      </c>
      <c r="M564" s="4" t="str">
        <f t="shared" si="16"/>
        <v>LOW</v>
      </c>
      <c r="N564" s="4" t="str">
        <f t="shared" si="17"/>
        <v>SENIOR</v>
      </c>
      <c r="O564" s="4" t="str">
        <f t="shared" si="18"/>
        <v>STAGNANT</v>
      </c>
      <c r="P564" s="5" t="str">
        <f t="shared" si="19"/>
        <v>High_Pressure</v>
      </c>
      <c r="Q564" s="4" t="str">
        <f t="shared" si="20"/>
        <v>DISENGAGED</v>
      </c>
      <c r="R564" s="4" t="str">
        <f t="shared" si="14"/>
        <v>LOW</v>
      </c>
      <c r="S564" s="2"/>
      <c r="T564" s="2"/>
      <c r="U564" s="2"/>
      <c r="V564" s="2"/>
      <c r="W564" s="2"/>
      <c r="X564" s="2"/>
      <c r="Y564" s="2"/>
      <c r="Z564" s="2"/>
    </row>
    <row r="565" spans="1:26" ht="16.8" x14ac:dyDescent="0.3">
      <c r="A565" s="4">
        <v>781</v>
      </c>
      <c r="B565" s="4" t="s">
        <v>43</v>
      </c>
      <c r="C565" s="4">
        <v>25</v>
      </c>
      <c r="D565" s="4" t="s">
        <v>37</v>
      </c>
      <c r="E565" s="4" t="s">
        <v>40</v>
      </c>
      <c r="F565" s="4">
        <v>6180</v>
      </c>
      <c r="G565" s="4" t="s">
        <v>43</v>
      </c>
      <c r="H565" s="4">
        <v>6</v>
      </c>
      <c r="I565" s="4">
        <v>1</v>
      </c>
      <c r="J565" s="4">
        <v>4</v>
      </c>
      <c r="K565" s="4">
        <v>2</v>
      </c>
      <c r="L565" s="4" t="str">
        <f t="shared" si="15"/>
        <v>NORMAL</v>
      </c>
      <c r="M565" s="4" t="str">
        <f t="shared" si="16"/>
        <v>HIGH</v>
      </c>
      <c r="N565" s="4" t="str">
        <f t="shared" si="17"/>
        <v>MID</v>
      </c>
      <c r="O565" s="4" t="str">
        <f t="shared" si="18"/>
        <v>RECENTLY PROMOTED</v>
      </c>
      <c r="P565" s="5" t="str">
        <f t="shared" si="19"/>
        <v>Low_Pressure</v>
      </c>
      <c r="Q565" s="4" t="str">
        <f t="shared" si="20"/>
        <v>DISENGAGED</v>
      </c>
      <c r="R565" s="4" t="str">
        <f t="shared" si="14"/>
        <v>LOW</v>
      </c>
      <c r="S565" s="2"/>
      <c r="T565" s="2"/>
      <c r="U565" s="2"/>
      <c r="V565" s="2"/>
      <c r="W565" s="2"/>
      <c r="X565" s="2"/>
      <c r="Y565" s="2"/>
      <c r="Z565" s="2"/>
    </row>
    <row r="566" spans="1:26" ht="16.8" x14ac:dyDescent="0.3">
      <c r="A566" s="4">
        <v>783</v>
      </c>
      <c r="B566" s="4" t="s">
        <v>43</v>
      </c>
      <c r="C566" s="4">
        <v>45</v>
      </c>
      <c r="D566" s="4" t="s">
        <v>37</v>
      </c>
      <c r="E566" s="4" t="s">
        <v>57</v>
      </c>
      <c r="F566" s="4">
        <v>6632</v>
      </c>
      <c r="G566" s="4" t="s">
        <v>43</v>
      </c>
      <c r="H566" s="4">
        <v>8</v>
      </c>
      <c r="I566" s="4">
        <v>3</v>
      </c>
      <c r="J566" s="4">
        <v>3</v>
      </c>
      <c r="K566" s="4">
        <v>3</v>
      </c>
      <c r="L566" s="4" t="str">
        <f t="shared" si="15"/>
        <v>NORMAL</v>
      </c>
      <c r="M566" s="4" t="str">
        <f t="shared" si="16"/>
        <v>HIGH</v>
      </c>
      <c r="N566" s="4" t="str">
        <f t="shared" si="17"/>
        <v>SENIOR</v>
      </c>
      <c r="O566" s="4" t="str">
        <f t="shared" si="18"/>
        <v>MODERATE-WAIT</v>
      </c>
      <c r="P566" s="5" t="str">
        <f t="shared" si="19"/>
        <v>Medium_Pressure</v>
      </c>
      <c r="Q566" s="4" t="str">
        <f t="shared" si="20"/>
        <v>HIGHLY_ENGAGED</v>
      </c>
      <c r="R566" s="4" t="str">
        <f t="shared" si="14"/>
        <v>LOW</v>
      </c>
      <c r="S566" s="2"/>
      <c r="T566" s="2"/>
      <c r="U566" s="2"/>
      <c r="V566" s="2"/>
      <c r="W566" s="2"/>
      <c r="X566" s="2"/>
      <c r="Y566" s="2"/>
      <c r="Z566" s="2"/>
    </row>
    <row r="567" spans="1:26" ht="16.8" x14ac:dyDescent="0.3">
      <c r="A567" s="4">
        <v>784</v>
      </c>
      <c r="B567" s="4" t="s">
        <v>43</v>
      </c>
      <c r="C567" s="4">
        <v>23</v>
      </c>
      <c r="D567" s="4" t="s">
        <v>45</v>
      </c>
      <c r="E567" s="4" t="s">
        <v>47</v>
      </c>
      <c r="F567" s="4">
        <v>3505</v>
      </c>
      <c r="G567" s="4" t="s">
        <v>43</v>
      </c>
      <c r="H567" s="4">
        <v>2</v>
      </c>
      <c r="I567" s="4">
        <v>0</v>
      </c>
      <c r="J567" s="4">
        <v>3</v>
      </c>
      <c r="K567" s="4">
        <v>3</v>
      </c>
      <c r="L567" s="4" t="str">
        <f t="shared" si="15"/>
        <v>NORMAL</v>
      </c>
      <c r="M567" s="4" t="str">
        <f t="shared" si="16"/>
        <v>LOW</v>
      </c>
      <c r="N567" s="4" t="str">
        <f t="shared" si="17"/>
        <v>NEW</v>
      </c>
      <c r="O567" s="4" t="str">
        <f t="shared" si="18"/>
        <v>RECENTLY PROMOTED</v>
      </c>
      <c r="P567" s="5" t="str">
        <f t="shared" si="19"/>
        <v>Medium_Pressure</v>
      </c>
      <c r="Q567" s="4" t="str">
        <f t="shared" si="20"/>
        <v>HIGHLY_ENGAGED</v>
      </c>
      <c r="R567" s="4" t="str">
        <f t="shared" si="14"/>
        <v>LOW</v>
      </c>
      <c r="S567" s="2"/>
      <c r="T567" s="2"/>
      <c r="U567" s="2"/>
      <c r="V567" s="2"/>
      <c r="W567" s="2"/>
      <c r="X567" s="2"/>
      <c r="Y567" s="2"/>
      <c r="Z567" s="2"/>
    </row>
    <row r="568" spans="1:26" ht="16.8" x14ac:dyDescent="0.3">
      <c r="A568" s="4">
        <v>785</v>
      </c>
      <c r="B568" s="4" t="s">
        <v>35</v>
      </c>
      <c r="C568" s="4">
        <v>47</v>
      </c>
      <c r="D568" s="4" t="s">
        <v>37</v>
      </c>
      <c r="E568" s="4" t="s">
        <v>40</v>
      </c>
      <c r="F568" s="4">
        <v>6397</v>
      </c>
      <c r="G568" s="4" t="s">
        <v>35</v>
      </c>
      <c r="H568" s="4">
        <v>5</v>
      </c>
      <c r="I568" s="4">
        <v>1</v>
      </c>
      <c r="J568" s="4">
        <v>3</v>
      </c>
      <c r="K568" s="4">
        <v>3</v>
      </c>
      <c r="L568" s="4" t="str">
        <f t="shared" si="15"/>
        <v>NORMAL</v>
      </c>
      <c r="M568" s="4" t="str">
        <f t="shared" si="16"/>
        <v>HIGH</v>
      </c>
      <c r="N568" s="4" t="str">
        <f t="shared" si="17"/>
        <v>MID</v>
      </c>
      <c r="O568" s="4" t="str">
        <f t="shared" si="18"/>
        <v>RECENTLY PROMOTED</v>
      </c>
      <c r="P568" s="5" t="str">
        <f t="shared" si="19"/>
        <v>Medium_Pressure</v>
      </c>
      <c r="Q568" s="4" t="str">
        <f t="shared" si="20"/>
        <v>HIGHLY_ENGAGED</v>
      </c>
      <c r="R568" s="4" t="str">
        <f t="shared" si="14"/>
        <v>LOW</v>
      </c>
      <c r="S568" s="2"/>
      <c r="T568" s="2"/>
      <c r="U568" s="2"/>
      <c r="V568" s="2"/>
      <c r="W568" s="2"/>
      <c r="X568" s="2"/>
      <c r="Y568" s="2"/>
      <c r="Z568" s="2"/>
    </row>
    <row r="569" spans="1:26" ht="16.8" x14ac:dyDescent="0.3">
      <c r="A569" s="4">
        <v>786</v>
      </c>
      <c r="B569" s="4" t="s">
        <v>43</v>
      </c>
      <c r="C569" s="4">
        <v>34</v>
      </c>
      <c r="D569" s="4" t="s">
        <v>37</v>
      </c>
      <c r="E569" s="4" t="s">
        <v>40</v>
      </c>
      <c r="F569" s="4">
        <v>6274</v>
      </c>
      <c r="G569" s="4" t="s">
        <v>43</v>
      </c>
      <c r="H569" s="4">
        <v>6</v>
      </c>
      <c r="I569" s="4">
        <v>1</v>
      </c>
      <c r="J569" s="4">
        <v>4</v>
      </c>
      <c r="K569" s="4">
        <v>3</v>
      </c>
      <c r="L569" s="4" t="str">
        <f t="shared" si="15"/>
        <v>NORMAL</v>
      </c>
      <c r="M569" s="4" t="str">
        <f t="shared" si="16"/>
        <v>HIGH</v>
      </c>
      <c r="N569" s="4" t="str">
        <f t="shared" si="17"/>
        <v>MID</v>
      </c>
      <c r="O569" s="4" t="str">
        <f t="shared" si="18"/>
        <v>RECENTLY PROMOTED</v>
      </c>
      <c r="P569" s="5" t="str">
        <f t="shared" si="19"/>
        <v>Medium_Pressure</v>
      </c>
      <c r="Q569" s="4" t="str">
        <f t="shared" si="20"/>
        <v>HIGHLY_ENGAGED</v>
      </c>
      <c r="R569" s="4" t="str">
        <f t="shared" si="14"/>
        <v>LOW</v>
      </c>
      <c r="S569" s="2"/>
      <c r="T569" s="2"/>
      <c r="U569" s="2"/>
      <c r="V569" s="2"/>
      <c r="W569" s="2"/>
      <c r="X569" s="2"/>
      <c r="Y569" s="2"/>
      <c r="Z569" s="2"/>
    </row>
    <row r="570" spans="1:26" ht="16.8" x14ac:dyDescent="0.3">
      <c r="A570" s="4">
        <v>787</v>
      </c>
      <c r="B570" s="4" t="s">
        <v>35</v>
      </c>
      <c r="C570" s="4">
        <v>55</v>
      </c>
      <c r="D570" s="4" t="s">
        <v>45</v>
      </c>
      <c r="E570" s="4" t="s">
        <v>56</v>
      </c>
      <c r="F570" s="4">
        <v>19859</v>
      </c>
      <c r="G570" s="4" t="s">
        <v>35</v>
      </c>
      <c r="H570" s="4">
        <v>5</v>
      </c>
      <c r="I570" s="4">
        <v>1</v>
      </c>
      <c r="J570" s="4">
        <v>1</v>
      </c>
      <c r="K570" s="4">
        <v>3</v>
      </c>
      <c r="L570" s="4" t="str">
        <f t="shared" si="15"/>
        <v>NORMAL</v>
      </c>
      <c r="M570" s="4" t="str">
        <f t="shared" si="16"/>
        <v>MEDIUM</v>
      </c>
      <c r="N570" s="4" t="str">
        <f t="shared" si="17"/>
        <v>MID</v>
      </c>
      <c r="O570" s="4" t="str">
        <f t="shared" si="18"/>
        <v>RECENTLY PROMOTED</v>
      </c>
      <c r="P570" s="5" t="str">
        <f t="shared" si="19"/>
        <v>Medium_Pressure</v>
      </c>
      <c r="Q570" s="4" t="str">
        <f t="shared" si="20"/>
        <v>DISENGAGED</v>
      </c>
      <c r="R570" s="4" t="str">
        <f t="shared" si="14"/>
        <v>LOW</v>
      </c>
      <c r="S570" s="2"/>
      <c r="T570" s="2"/>
      <c r="U570" s="2"/>
      <c r="V570" s="2"/>
      <c r="W570" s="2"/>
      <c r="X570" s="2"/>
      <c r="Y570" s="2"/>
      <c r="Z570" s="2"/>
    </row>
    <row r="571" spans="1:26" ht="16.8" x14ac:dyDescent="0.3">
      <c r="A571" s="4">
        <v>789</v>
      </c>
      <c r="B571" s="4" t="s">
        <v>43</v>
      </c>
      <c r="C571" s="4">
        <v>36</v>
      </c>
      <c r="D571" s="4" t="s">
        <v>37</v>
      </c>
      <c r="E571" s="4" t="s">
        <v>40</v>
      </c>
      <c r="F571" s="4">
        <v>7587</v>
      </c>
      <c r="G571" s="4" t="s">
        <v>43</v>
      </c>
      <c r="H571" s="4">
        <v>10</v>
      </c>
      <c r="I571" s="4">
        <v>0</v>
      </c>
      <c r="J571" s="4">
        <v>1</v>
      </c>
      <c r="K571" s="4">
        <v>3</v>
      </c>
      <c r="L571" s="4" t="str">
        <f t="shared" si="15"/>
        <v>NORMAL</v>
      </c>
      <c r="M571" s="4" t="str">
        <f t="shared" si="16"/>
        <v>HIGH</v>
      </c>
      <c r="N571" s="4" t="str">
        <f t="shared" si="17"/>
        <v>SENIOR</v>
      </c>
      <c r="O571" s="4" t="str">
        <f t="shared" si="18"/>
        <v>RECENTLY PROMOTED</v>
      </c>
      <c r="P571" s="5" t="str">
        <f t="shared" si="19"/>
        <v>Medium_Pressure</v>
      </c>
      <c r="Q571" s="4" t="str">
        <f t="shared" si="20"/>
        <v>DISENGAGED</v>
      </c>
      <c r="R571" s="4" t="str">
        <f t="shared" si="14"/>
        <v>LOW</v>
      </c>
      <c r="S571" s="2"/>
      <c r="T571" s="2"/>
      <c r="U571" s="2"/>
      <c r="V571" s="2"/>
      <c r="W571" s="2"/>
      <c r="X571" s="2"/>
      <c r="Y571" s="2"/>
      <c r="Z571" s="2"/>
    </row>
    <row r="572" spans="1:26" ht="16.8" x14ac:dyDescent="0.3">
      <c r="A572" s="4">
        <v>791</v>
      </c>
      <c r="B572" s="4" t="s">
        <v>43</v>
      </c>
      <c r="C572" s="4">
        <v>52</v>
      </c>
      <c r="D572" s="4" t="s">
        <v>45</v>
      </c>
      <c r="E572" s="4" t="s">
        <v>47</v>
      </c>
      <c r="F572" s="4">
        <v>4258</v>
      </c>
      <c r="G572" s="4" t="s">
        <v>43</v>
      </c>
      <c r="H572" s="4">
        <v>4</v>
      </c>
      <c r="I572" s="4">
        <v>1</v>
      </c>
      <c r="J572" s="4">
        <v>4</v>
      </c>
      <c r="K572" s="4">
        <v>3</v>
      </c>
      <c r="L572" s="4" t="str">
        <f t="shared" si="15"/>
        <v>NORMAL</v>
      </c>
      <c r="M572" s="4" t="str">
        <f t="shared" si="16"/>
        <v>HIGH</v>
      </c>
      <c r="N572" s="4" t="str">
        <f t="shared" si="17"/>
        <v>MID</v>
      </c>
      <c r="O572" s="4" t="str">
        <f t="shared" si="18"/>
        <v>RECENTLY PROMOTED</v>
      </c>
      <c r="P572" s="5" t="str">
        <f t="shared" si="19"/>
        <v>Medium_Pressure</v>
      </c>
      <c r="Q572" s="4" t="str">
        <f t="shared" si="20"/>
        <v>HIGHLY_ENGAGED</v>
      </c>
      <c r="R572" s="4" t="str">
        <f t="shared" si="14"/>
        <v>LOW</v>
      </c>
      <c r="S572" s="2"/>
      <c r="T572" s="2"/>
      <c r="U572" s="2"/>
      <c r="V572" s="2"/>
      <c r="W572" s="2"/>
      <c r="X572" s="2"/>
      <c r="Y572" s="2"/>
      <c r="Z572" s="2"/>
    </row>
    <row r="573" spans="1:26" ht="16.8" x14ac:dyDescent="0.3">
      <c r="A573" s="4">
        <v>792</v>
      </c>
      <c r="B573" s="4" t="s">
        <v>43</v>
      </c>
      <c r="C573" s="4">
        <v>26</v>
      </c>
      <c r="D573" s="4" t="s">
        <v>45</v>
      </c>
      <c r="E573" s="4" t="s">
        <v>50</v>
      </c>
      <c r="F573" s="4">
        <v>4364</v>
      </c>
      <c r="G573" s="4" t="s">
        <v>43</v>
      </c>
      <c r="H573" s="4">
        <v>2</v>
      </c>
      <c r="I573" s="4">
        <v>2</v>
      </c>
      <c r="J573" s="4">
        <v>4</v>
      </c>
      <c r="K573" s="4">
        <v>3</v>
      </c>
      <c r="L573" s="4" t="str">
        <f t="shared" si="15"/>
        <v>NORMAL</v>
      </c>
      <c r="M573" s="4" t="str">
        <f t="shared" si="16"/>
        <v>HIGH</v>
      </c>
      <c r="N573" s="4" t="str">
        <f t="shared" si="17"/>
        <v>NEW</v>
      </c>
      <c r="O573" s="4" t="str">
        <f t="shared" si="18"/>
        <v>MODERATE-WAIT</v>
      </c>
      <c r="P573" s="5" t="str">
        <f t="shared" si="19"/>
        <v>Medium_Pressure</v>
      </c>
      <c r="Q573" s="4" t="str">
        <f t="shared" si="20"/>
        <v>HIGHLY_ENGAGED</v>
      </c>
      <c r="R573" s="4" t="str">
        <f t="shared" si="14"/>
        <v>LOW</v>
      </c>
      <c r="S573" s="2"/>
      <c r="T573" s="2"/>
      <c r="U573" s="2"/>
      <c r="V573" s="2"/>
      <c r="W573" s="2"/>
      <c r="X573" s="2"/>
      <c r="Y573" s="2"/>
      <c r="Z573" s="2"/>
    </row>
    <row r="574" spans="1:26" ht="16.8" x14ac:dyDescent="0.3">
      <c r="A574" s="4">
        <v>793</v>
      </c>
      <c r="B574" s="4" t="s">
        <v>43</v>
      </c>
      <c r="C574" s="4">
        <v>29</v>
      </c>
      <c r="D574" s="4" t="s">
        <v>45</v>
      </c>
      <c r="E574" s="4" t="s">
        <v>54</v>
      </c>
      <c r="F574" s="4">
        <v>4335</v>
      </c>
      <c r="G574" s="4" t="s">
        <v>43</v>
      </c>
      <c r="H574" s="4">
        <v>8</v>
      </c>
      <c r="I574" s="4">
        <v>1</v>
      </c>
      <c r="J574" s="4">
        <v>3</v>
      </c>
      <c r="K574" s="4">
        <v>2</v>
      </c>
      <c r="L574" s="4" t="str">
        <f t="shared" si="15"/>
        <v>NORMAL</v>
      </c>
      <c r="M574" s="4" t="str">
        <f t="shared" si="16"/>
        <v>HIGH</v>
      </c>
      <c r="N574" s="4" t="str">
        <f t="shared" si="17"/>
        <v>SENIOR</v>
      </c>
      <c r="O574" s="4" t="str">
        <f t="shared" si="18"/>
        <v>RECENTLY PROMOTED</v>
      </c>
      <c r="P574" s="5" t="str">
        <f t="shared" si="19"/>
        <v>Low_Pressure</v>
      </c>
      <c r="Q574" s="4" t="str">
        <f t="shared" si="20"/>
        <v>DISENGAGED</v>
      </c>
      <c r="R574" s="4" t="str">
        <f t="shared" si="14"/>
        <v>LOW</v>
      </c>
      <c r="S574" s="2"/>
      <c r="T574" s="2"/>
      <c r="U574" s="2"/>
      <c r="V574" s="2"/>
      <c r="W574" s="2"/>
      <c r="X574" s="2"/>
      <c r="Y574" s="2"/>
      <c r="Z574" s="2"/>
    </row>
    <row r="575" spans="1:26" ht="16.8" x14ac:dyDescent="0.3">
      <c r="A575" s="4">
        <v>796</v>
      </c>
      <c r="B575" s="4" t="s">
        <v>35</v>
      </c>
      <c r="C575" s="4">
        <v>26</v>
      </c>
      <c r="D575" s="4" t="s">
        <v>37</v>
      </c>
      <c r="E575" s="4" t="s">
        <v>40</v>
      </c>
      <c r="F575" s="4">
        <v>5326</v>
      </c>
      <c r="G575" s="4" t="s">
        <v>43</v>
      </c>
      <c r="H575" s="4">
        <v>4</v>
      </c>
      <c r="I575" s="4">
        <v>1</v>
      </c>
      <c r="J575" s="4">
        <v>1</v>
      </c>
      <c r="K575" s="4">
        <v>2</v>
      </c>
      <c r="L575" s="4" t="str">
        <f t="shared" si="15"/>
        <v>NORMAL</v>
      </c>
      <c r="M575" s="4" t="str">
        <f t="shared" si="16"/>
        <v>HIGH</v>
      </c>
      <c r="N575" s="4" t="str">
        <f t="shared" si="17"/>
        <v>MID</v>
      </c>
      <c r="O575" s="4" t="str">
        <f t="shared" si="18"/>
        <v>RECENTLY PROMOTED</v>
      </c>
      <c r="P575" s="5" t="str">
        <f t="shared" si="19"/>
        <v>Low_Pressure</v>
      </c>
      <c r="Q575" s="4" t="str">
        <f t="shared" si="20"/>
        <v>DISENGAGED</v>
      </c>
      <c r="R575" s="4" t="str">
        <f t="shared" si="14"/>
        <v>LOW</v>
      </c>
      <c r="S575" s="2"/>
      <c r="T575" s="2"/>
      <c r="U575" s="2"/>
      <c r="V575" s="2"/>
      <c r="W575" s="2"/>
      <c r="X575" s="2"/>
      <c r="Y575" s="2"/>
      <c r="Z575" s="2"/>
    </row>
    <row r="576" spans="1:26" ht="16.8" x14ac:dyDescent="0.3">
      <c r="A576" s="4">
        <v>797</v>
      </c>
      <c r="B576" s="4" t="s">
        <v>43</v>
      </c>
      <c r="C576" s="4">
        <v>34</v>
      </c>
      <c r="D576" s="4" t="s">
        <v>45</v>
      </c>
      <c r="E576" s="4" t="s">
        <v>47</v>
      </c>
      <c r="F576" s="4">
        <v>3280</v>
      </c>
      <c r="G576" s="4" t="s">
        <v>43</v>
      </c>
      <c r="H576" s="4">
        <v>4</v>
      </c>
      <c r="I576" s="4">
        <v>1</v>
      </c>
      <c r="J576" s="4">
        <v>4</v>
      </c>
      <c r="K576" s="4">
        <v>3</v>
      </c>
      <c r="L576" s="4" t="str">
        <f t="shared" si="15"/>
        <v>NORMAL</v>
      </c>
      <c r="M576" s="4" t="str">
        <f t="shared" si="16"/>
        <v>LOW</v>
      </c>
      <c r="N576" s="4" t="str">
        <f t="shared" si="17"/>
        <v>MID</v>
      </c>
      <c r="O576" s="4" t="str">
        <f t="shared" si="18"/>
        <v>RECENTLY PROMOTED</v>
      </c>
      <c r="P576" s="5" t="str">
        <f t="shared" si="19"/>
        <v>Medium_Pressure</v>
      </c>
      <c r="Q576" s="4" t="str">
        <f t="shared" si="20"/>
        <v>HIGHLY_ENGAGED</v>
      </c>
      <c r="R576" s="4" t="str">
        <f t="shared" si="14"/>
        <v>LOW</v>
      </c>
      <c r="S576" s="2"/>
      <c r="T576" s="2"/>
      <c r="U576" s="2"/>
      <c r="V576" s="2"/>
      <c r="W576" s="2"/>
      <c r="X576" s="2"/>
      <c r="Y576" s="2"/>
      <c r="Z576" s="2"/>
    </row>
    <row r="577" spans="1:26" ht="16.8" x14ac:dyDescent="0.3">
      <c r="A577" s="4">
        <v>799</v>
      </c>
      <c r="B577" s="4" t="s">
        <v>43</v>
      </c>
      <c r="C577" s="4">
        <v>54</v>
      </c>
      <c r="D577" s="4" t="s">
        <v>45</v>
      </c>
      <c r="E577" s="4" t="s">
        <v>53</v>
      </c>
      <c r="F577" s="4">
        <v>5485</v>
      </c>
      <c r="G577" s="4" t="s">
        <v>35</v>
      </c>
      <c r="H577" s="4">
        <v>5</v>
      </c>
      <c r="I577" s="4">
        <v>1</v>
      </c>
      <c r="J577" s="4">
        <v>1</v>
      </c>
      <c r="K577" s="4">
        <v>3</v>
      </c>
      <c r="L577" s="4" t="str">
        <f t="shared" si="15"/>
        <v>NORMAL</v>
      </c>
      <c r="M577" s="4" t="str">
        <f t="shared" si="16"/>
        <v>HIGH</v>
      </c>
      <c r="N577" s="4" t="str">
        <f t="shared" si="17"/>
        <v>MID</v>
      </c>
      <c r="O577" s="4" t="str">
        <f t="shared" si="18"/>
        <v>RECENTLY PROMOTED</v>
      </c>
      <c r="P577" s="5" t="str">
        <f t="shared" si="19"/>
        <v>Medium_Pressure</v>
      </c>
      <c r="Q577" s="4" t="str">
        <f t="shared" si="20"/>
        <v>DISENGAGED</v>
      </c>
      <c r="R577" s="4" t="str">
        <f t="shared" si="14"/>
        <v>LOW</v>
      </c>
      <c r="S577" s="2"/>
      <c r="T577" s="2"/>
      <c r="U577" s="2"/>
      <c r="V577" s="2"/>
      <c r="W577" s="2"/>
      <c r="X577" s="2"/>
      <c r="Y577" s="2"/>
      <c r="Z577" s="2"/>
    </row>
    <row r="578" spans="1:26" ht="16.8" x14ac:dyDescent="0.3">
      <c r="A578" s="4">
        <v>800</v>
      </c>
      <c r="B578" s="4" t="s">
        <v>43</v>
      </c>
      <c r="C578" s="4">
        <v>27</v>
      </c>
      <c r="D578" s="4" t="s">
        <v>37</v>
      </c>
      <c r="E578" s="4" t="s">
        <v>40</v>
      </c>
      <c r="F578" s="4">
        <v>4342</v>
      </c>
      <c r="G578" s="4" t="s">
        <v>43</v>
      </c>
      <c r="H578" s="4">
        <v>4</v>
      </c>
      <c r="I578" s="4">
        <v>1</v>
      </c>
      <c r="J578" s="4">
        <v>4</v>
      </c>
      <c r="K578" s="4">
        <v>3</v>
      </c>
      <c r="L578" s="4" t="str">
        <f t="shared" si="15"/>
        <v>NORMAL</v>
      </c>
      <c r="M578" s="4" t="str">
        <f t="shared" si="16"/>
        <v>HIGH</v>
      </c>
      <c r="N578" s="4" t="str">
        <f t="shared" si="17"/>
        <v>MID</v>
      </c>
      <c r="O578" s="4" t="str">
        <f t="shared" si="18"/>
        <v>RECENTLY PROMOTED</v>
      </c>
      <c r="P578" s="5" t="str">
        <f t="shared" si="19"/>
        <v>Medium_Pressure</v>
      </c>
      <c r="Q578" s="4" t="str">
        <f t="shared" si="20"/>
        <v>HIGHLY_ENGAGED</v>
      </c>
      <c r="R578" s="4" t="str">
        <f t="shared" si="14"/>
        <v>LOW</v>
      </c>
      <c r="S578" s="2"/>
      <c r="T578" s="2"/>
      <c r="U578" s="2"/>
      <c r="V578" s="2"/>
      <c r="W578" s="2"/>
      <c r="X578" s="2"/>
      <c r="Y578" s="2"/>
      <c r="Z578" s="2"/>
    </row>
    <row r="579" spans="1:26" ht="16.8" x14ac:dyDescent="0.3">
      <c r="A579" s="4">
        <v>802</v>
      </c>
      <c r="B579" s="4" t="s">
        <v>43</v>
      </c>
      <c r="C579" s="4">
        <v>37</v>
      </c>
      <c r="D579" s="4" t="s">
        <v>45</v>
      </c>
      <c r="E579" s="4" t="s">
        <v>47</v>
      </c>
      <c r="F579" s="4">
        <v>2782</v>
      </c>
      <c r="G579" s="4" t="s">
        <v>35</v>
      </c>
      <c r="H579" s="4">
        <v>5</v>
      </c>
      <c r="I579" s="4">
        <v>4</v>
      </c>
      <c r="J579" s="4">
        <v>1</v>
      </c>
      <c r="K579" s="4">
        <v>2</v>
      </c>
      <c r="L579" s="4" t="str">
        <f t="shared" si="15"/>
        <v>HIGH RISK</v>
      </c>
      <c r="M579" s="4" t="str">
        <f t="shared" si="16"/>
        <v>LOW</v>
      </c>
      <c r="N579" s="4" t="str">
        <f t="shared" si="17"/>
        <v>MID</v>
      </c>
      <c r="O579" s="4" t="str">
        <f t="shared" si="18"/>
        <v>STAGNANT</v>
      </c>
      <c r="P579" s="5" t="str">
        <f t="shared" si="19"/>
        <v>High_Pressure</v>
      </c>
      <c r="Q579" s="4" t="str">
        <f t="shared" si="20"/>
        <v>DISENGAGED</v>
      </c>
      <c r="R579" s="4" t="str">
        <f t="shared" si="14"/>
        <v>LOW</v>
      </c>
      <c r="S579" s="2"/>
      <c r="T579" s="2"/>
      <c r="U579" s="2"/>
      <c r="V579" s="2"/>
      <c r="W579" s="2"/>
      <c r="X579" s="2"/>
      <c r="Y579" s="2"/>
      <c r="Z579" s="2"/>
    </row>
    <row r="580" spans="1:26" ht="16.8" x14ac:dyDescent="0.3">
      <c r="A580" s="4">
        <v>803</v>
      </c>
      <c r="B580" s="4" t="s">
        <v>43</v>
      </c>
      <c r="C580" s="4">
        <v>38</v>
      </c>
      <c r="D580" s="4" t="s">
        <v>45</v>
      </c>
      <c r="E580" s="4" t="s">
        <v>53</v>
      </c>
      <c r="F580" s="4">
        <v>5980</v>
      </c>
      <c r="G580" s="4" t="s">
        <v>35</v>
      </c>
      <c r="H580" s="4">
        <v>15</v>
      </c>
      <c r="I580" s="4">
        <v>4</v>
      </c>
      <c r="J580" s="4">
        <v>1</v>
      </c>
      <c r="K580" s="4">
        <v>3</v>
      </c>
      <c r="L580" s="4" t="str">
        <f t="shared" si="15"/>
        <v>HIGH RISK</v>
      </c>
      <c r="M580" s="4" t="str">
        <f t="shared" si="16"/>
        <v>HIGH</v>
      </c>
      <c r="N580" s="4" t="str">
        <f t="shared" si="17"/>
        <v>SENIOR</v>
      </c>
      <c r="O580" s="4" t="str">
        <f t="shared" si="18"/>
        <v>STAGNANT</v>
      </c>
      <c r="P580" s="5" t="str">
        <f t="shared" si="19"/>
        <v>Medium_Pressure</v>
      </c>
      <c r="Q580" s="4" t="str">
        <f t="shared" si="20"/>
        <v>DISENGAGED</v>
      </c>
      <c r="R580" s="4" t="str">
        <f t="shared" si="14"/>
        <v>LOW</v>
      </c>
      <c r="S580" s="2"/>
      <c r="T580" s="2"/>
      <c r="U580" s="2"/>
      <c r="V580" s="2"/>
      <c r="W580" s="2"/>
      <c r="X580" s="2"/>
      <c r="Y580" s="2"/>
      <c r="Z580" s="2"/>
    </row>
    <row r="581" spans="1:26" ht="16.8" x14ac:dyDescent="0.3">
      <c r="A581" s="4">
        <v>804</v>
      </c>
      <c r="B581" s="4" t="s">
        <v>43</v>
      </c>
      <c r="C581" s="4">
        <v>34</v>
      </c>
      <c r="D581" s="4" t="s">
        <v>45</v>
      </c>
      <c r="E581" s="4" t="s">
        <v>47</v>
      </c>
      <c r="F581" s="4">
        <v>4381</v>
      </c>
      <c r="G581" s="4" t="s">
        <v>43</v>
      </c>
      <c r="H581" s="4">
        <v>6</v>
      </c>
      <c r="I581" s="4">
        <v>1</v>
      </c>
      <c r="J581" s="4">
        <v>1</v>
      </c>
      <c r="K581" s="4">
        <v>3</v>
      </c>
      <c r="L581" s="4" t="str">
        <f t="shared" si="15"/>
        <v>NORMAL</v>
      </c>
      <c r="M581" s="4" t="str">
        <f t="shared" si="16"/>
        <v>HIGH</v>
      </c>
      <c r="N581" s="4" t="str">
        <f t="shared" si="17"/>
        <v>MID</v>
      </c>
      <c r="O581" s="4" t="str">
        <f t="shared" si="18"/>
        <v>RECENTLY PROMOTED</v>
      </c>
      <c r="P581" s="5" t="str">
        <f t="shared" si="19"/>
        <v>Medium_Pressure</v>
      </c>
      <c r="Q581" s="4" t="str">
        <f t="shared" si="20"/>
        <v>DISENGAGED</v>
      </c>
      <c r="R581" s="4" t="str">
        <f t="shared" si="14"/>
        <v>LOW</v>
      </c>
      <c r="S581" s="2"/>
      <c r="T581" s="2"/>
      <c r="U581" s="2"/>
      <c r="V581" s="2"/>
      <c r="W581" s="2"/>
      <c r="X581" s="2"/>
      <c r="Y581" s="2"/>
      <c r="Z581" s="2"/>
    </row>
    <row r="582" spans="1:26" ht="16.8" x14ac:dyDescent="0.3">
      <c r="A582" s="4">
        <v>805</v>
      </c>
      <c r="B582" s="4" t="s">
        <v>43</v>
      </c>
      <c r="C582" s="4">
        <v>35</v>
      </c>
      <c r="D582" s="4" t="s">
        <v>37</v>
      </c>
      <c r="E582" s="4" t="s">
        <v>57</v>
      </c>
      <c r="F582" s="4">
        <v>2572</v>
      </c>
      <c r="G582" s="4" t="s">
        <v>43</v>
      </c>
      <c r="H582" s="4">
        <v>3</v>
      </c>
      <c r="I582" s="4">
        <v>0</v>
      </c>
      <c r="J582" s="4">
        <v>4</v>
      </c>
      <c r="K582" s="4">
        <v>2</v>
      </c>
      <c r="L582" s="4" t="str">
        <f t="shared" si="15"/>
        <v>NORMAL</v>
      </c>
      <c r="M582" s="4" t="str">
        <f t="shared" si="16"/>
        <v>LOW</v>
      </c>
      <c r="N582" s="4" t="str">
        <f t="shared" si="17"/>
        <v>MID</v>
      </c>
      <c r="O582" s="4" t="str">
        <f t="shared" si="18"/>
        <v>RECENTLY PROMOTED</v>
      </c>
      <c r="P582" s="5" t="str">
        <f t="shared" si="19"/>
        <v>Low_Pressure</v>
      </c>
      <c r="Q582" s="4" t="str">
        <f t="shared" si="20"/>
        <v>DISENGAGED</v>
      </c>
      <c r="R582" s="4" t="str">
        <f t="shared" si="14"/>
        <v>LOW</v>
      </c>
      <c r="S582" s="2"/>
      <c r="T582" s="2"/>
      <c r="U582" s="2"/>
      <c r="V582" s="2"/>
      <c r="W582" s="2"/>
      <c r="X582" s="2"/>
      <c r="Y582" s="2"/>
      <c r="Z582" s="2"/>
    </row>
    <row r="583" spans="1:26" ht="16.8" x14ac:dyDescent="0.3">
      <c r="A583" s="4">
        <v>806</v>
      </c>
      <c r="B583" s="4" t="s">
        <v>43</v>
      </c>
      <c r="C583" s="4">
        <v>30</v>
      </c>
      <c r="D583" s="4" t="s">
        <v>45</v>
      </c>
      <c r="E583" s="4" t="s">
        <v>50</v>
      </c>
      <c r="F583" s="4">
        <v>3833</v>
      </c>
      <c r="G583" s="4" t="s">
        <v>43</v>
      </c>
      <c r="H583" s="4">
        <v>2</v>
      </c>
      <c r="I583" s="4">
        <v>0</v>
      </c>
      <c r="J583" s="4">
        <v>3</v>
      </c>
      <c r="K583" s="4">
        <v>3</v>
      </c>
      <c r="L583" s="4" t="str">
        <f t="shared" si="15"/>
        <v>NORMAL</v>
      </c>
      <c r="M583" s="4" t="str">
        <f t="shared" si="16"/>
        <v>LOW</v>
      </c>
      <c r="N583" s="4" t="str">
        <f t="shared" si="17"/>
        <v>NEW</v>
      </c>
      <c r="O583" s="4" t="str">
        <f t="shared" si="18"/>
        <v>RECENTLY PROMOTED</v>
      </c>
      <c r="P583" s="5" t="str">
        <f t="shared" si="19"/>
        <v>Medium_Pressure</v>
      </c>
      <c r="Q583" s="4" t="str">
        <f t="shared" si="20"/>
        <v>HIGHLY_ENGAGED</v>
      </c>
      <c r="R583" s="4" t="str">
        <f t="shared" si="14"/>
        <v>LOW</v>
      </c>
      <c r="S583" s="2"/>
      <c r="T583" s="2"/>
      <c r="U583" s="2"/>
      <c r="V583" s="2"/>
      <c r="W583" s="2"/>
      <c r="X583" s="2"/>
      <c r="Y583" s="2"/>
      <c r="Z583" s="2"/>
    </row>
    <row r="584" spans="1:26" ht="16.8" x14ac:dyDescent="0.3">
      <c r="A584" s="4">
        <v>807</v>
      </c>
      <c r="B584" s="4" t="s">
        <v>43</v>
      </c>
      <c r="C584" s="4">
        <v>40</v>
      </c>
      <c r="D584" s="4" t="s">
        <v>45</v>
      </c>
      <c r="E584" s="4" t="s">
        <v>54</v>
      </c>
      <c r="F584" s="4">
        <v>4244</v>
      </c>
      <c r="G584" s="4" t="s">
        <v>43</v>
      </c>
      <c r="H584" s="4">
        <v>8</v>
      </c>
      <c r="I584" s="4">
        <v>3</v>
      </c>
      <c r="J584" s="4">
        <v>2</v>
      </c>
      <c r="K584" s="4">
        <v>3</v>
      </c>
      <c r="L584" s="4" t="str">
        <f t="shared" si="15"/>
        <v>NORMAL</v>
      </c>
      <c r="M584" s="4" t="str">
        <f t="shared" si="16"/>
        <v>HIGH</v>
      </c>
      <c r="N584" s="4" t="str">
        <f t="shared" si="17"/>
        <v>SENIOR</v>
      </c>
      <c r="O584" s="4" t="str">
        <f t="shared" si="18"/>
        <v>MODERATE-WAIT</v>
      </c>
      <c r="P584" s="5" t="str">
        <f t="shared" si="19"/>
        <v>Medium_Pressure</v>
      </c>
      <c r="Q584" s="4" t="str">
        <f t="shared" si="20"/>
        <v>DISENGAGED</v>
      </c>
      <c r="R584" s="4" t="str">
        <f t="shared" si="14"/>
        <v>LOW</v>
      </c>
      <c r="S584" s="2"/>
      <c r="T584" s="2"/>
      <c r="U584" s="2"/>
      <c r="V584" s="2"/>
      <c r="W584" s="2"/>
      <c r="X584" s="2"/>
      <c r="Y584" s="2"/>
      <c r="Z584" s="2"/>
    </row>
    <row r="585" spans="1:26" ht="16.8" x14ac:dyDescent="0.3">
      <c r="A585" s="4">
        <v>808</v>
      </c>
      <c r="B585" s="4" t="s">
        <v>43</v>
      </c>
      <c r="C585" s="4">
        <v>34</v>
      </c>
      <c r="D585" s="4" t="s">
        <v>37</v>
      </c>
      <c r="E585" s="4" t="s">
        <v>40</v>
      </c>
      <c r="F585" s="4">
        <v>6500</v>
      </c>
      <c r="G585" s="4" t="s">
        <v>43</v>
      </c>
      <c r="H585" s="4">
        <v>3</v>
      </c>
      <c r="I585" s="4">
        <v>1</v>
      </c>
      <c r="J585" s="4">
        <v>1</v>
      </c>
      <c r="K585" s="4">
        <v>3</v>
      </c>
      <c r="L585" s="4" t="str">
        <f t="shared" si="15"/>
        <v>NORMAL</v>
      </c>
      <c r="M585" s="4" t="str">
        <f t="shared" si="16"/>
        <v>HIGH</v>
      </c>
      <c r="N585" s="4" t="str">
        <f t="shared" si="17"/>
        <v>MID</v>
      </c>
      <c r="O585" s="4" t="str">
        <f t="shared" si="18"/>
        <v>RECENTLY PROMOTED</v>
      </c>
      <c r="P585" s="5" t="str">
        <f t="shared" si="19"/>
        <v>Medium_Pressure</v>
      </c>
      <c r="Q585" s="4" t="str">
        <f t="shared" si="20"/>
        <v>DISENGAGED</v>
      </c>
      <c r="R585" s="4" t="str">
        <f t="shared" ref="R585:R839" si="21">IF(AND(L585="HIGH",O585="STAGNANT",P585="HIGH_PRESSURE",Q585="DISENGAGED"),
"CRITICAL",
IF(AND(L585="HIGH",M585="LOW",P585="HIGH_PRESSURE",Q585="MODERATELY_ENGAGED"),
"HIGH",
IF(AND(L585="NORMAL",M585="MEDIUM",O585="MODERATE-WAIT",P585="MEDIUM_PRESSURE",Q585="MODERATELY_ENGAGED"),
"MEDIUM",
"LOW")))</f>
        <v>LOW</v>
      </c>
      <c r="S585" s="2"/>
      <c r="T585" s="2"/>
      <c r="U585" s="2"/>
      <c r="V585" s="2"/>
      <c r="W585" s="2"/>
      <c r="X585" s="2"/>
      <c r="Y585" s="2"/>
      <c r="Z585" s="2"/>
    </row>
    <row r="586" spans="1:26" ht="16.8" x14ac:dyDescent="0.3">
      <c r="A586" s="4">
        <v>809</v>
      </c>
      <c r="B586" s="4" t="s">
        <v>43</v>
      </c>
      <c r="C586" s="4">
        <v>42</v>
      </c>
      <c r="D586" s="4" t="s">
        <v>45</v>
      </c>
      <c r="E586" s="4" t="s">
        <v>56</v>
      </c>
      <c r="F586" s="4">
        <v>18430</v>
      </c>
      <c r="G586" s="4" t="s">
        <v>43</v>
      </c>
      <c r="H586" s="4">
        <v>24</v>
      </c>
      <c r="I586" s="4">
        <v>14</v>
      </c>
      <c r="J586" s="4">
        <v>4</v>
      </c>
      <c r="K586" s="4">
        <v>2</v>
      </c>
      <c r="L586" s="4" t="str">
        <f t="shared" si="15"/>
        <v>NORMAL</v>
      </c>
      <c r="M586" s="4" t="str">
        <f t="shared" si="16"/>
        <v>MEDIUM</v>
      </c>
      <c r="N586" s="4" t="str">
        <f t="shared" si="17"/>
        <v>SENIOR</v>
      </c>
      <c r="O586" s="4" t="str">
        <f t="shared" si="18"/>
        <v>STAGNANT</v>
      </c>
      <c r="P586" s="5" t="str">
        <f t="shared" si="19"/>
        <v>Low_Pressure</v>
      </c>
      <c r="Q586" s="4" t="str">
        <f t="shared" si="20"/>
        <v>DISENGAGED</v>
      </c>
      <c r="R586" s="4" t="str">
        <f t="shared" si="21"/>
        <v>LOW</v>
      </c>
      <c r="S586" s="2"/>
      <c r="T586" s="2"/>
      <c r="U586" s="2"/>
      <c r="V586" s="2"/>
      <c r="W586" s="2"/>
      <c r="X586" s="2"/>
      <c r="Y586" s="2"/>
      <c r="Z586" s="2"/>
    </row>
    <row r="587" spans="1:26" ht="16.8" x14ac:dyDescent="0.3">
      <c r="A587" s="4">
        <v>811</v>
      </c>
      <c r="B587" s="4" t="s">
        <v>35</v>
      </c>
      <c r="C587" s="4">
        <v>23</v>
      </c>
      <c r="D587" s="4" t="s">
        <v>45</v>
      </c>
      <c r="E587" s="4" t="s">
        <v>50</v>
      </c>
      <c r="F587" s="4">
        <v>1601</v>
      </c>
      <c r="G587" s="4" t="s">
        <v>35</v>
      </c>
      <c r="H587" s="4">
        <v>0</v>
      </c>
      <c r="I587" s="4">
        <v>0</v>
      </c>
      <c r="J587" s="4">
        <v>1</v>
      </c>
      <c r="K587" s="4">
        <v>3</v>
      </c>
      <c r="L587" s="4" t="str">
        <f t="shared" si="15"/>
        <v>NORMAL</v>
      </c>
      <c r="M587" s="4" t="str">
        <f t="shared" si="16"/>
        <v>LOW</v>
      </c>
      <c r="N587" s="4" t="str">
        <f t="shared" si="17"/>
        <v>NEW</v>
      </c>
      <c r="O587" s="4" t="str">
        <f t="shared" si="18"/>
        <v>RECENTLY PROMOTED</v>
      </c>
      <c r="P587" s="5" t="str">
        <f t="shared" si="19"/>
        <v>Medium_Pressure</v>
      </c>
      <c r="Q587" s="4" t="str">
        <f t="shared" si="20"/>
        <v>DISENGAGED</v>
      </c>
      <c r="R587" s="4" t="str">
        <f t="shared" si="21"/>
        <v>LOW</v>
      </c>
      <c r="S587" s="2"/>
      <c r="T587" s="2"/>
      <c r="U587" s="2"/>
      <c r="V587" s="2"/>
      <c r="W587" s="2"/>
      <c r="X587" s="2"/>
      <c r="Y587" s="2"/>
      <c r="Z587" s="2"/>
    </row>
    <row r="588" spans="1:26" ht="16.8" x14ac:dyDescent="0.3">
      <c r="A588" s="4">
        <v>812</v>
      </c>
      <c r="B588" s="4" t="s">
        <v>43</v>
      </c>
      <c r="C588" s="4">
        <v>24</v>
      </c>
      <c r="D588" s="4" t="s">
        <v>45</v>
      </c>
      <c r="E588" s="4" t="s">
        <v>50</v>
      </c>
      <c r="F588" s="4">
        <v>2694</v>
      </c>
      <c r="G588" s="4" t="s">
        <v>43</v>
      </c>
      <c r="H588" s="4">
        <v>1</v>
      </c>
      <c r="I588" s="4">
        <v>0</v>
      </c>
      <c r="J588" s="4">
        <v>2</v>
      </c>
      <c r="K588" s="4">
        <v>3</v>
      </c>
      <c r="L588" s="4" t="str">
        <f t="shared" si="15"/>
        <v>NORMAL</v>
      </c>
      <c r="M588" s="4" t="str">
        <f t="shared" si="16"/>
        <v>LOW</v>
      </c>
      <c r="N588" s="4" t="str">
        <f t="shared" si="17"/>
        <v>NEW</v>
      </c>
      <c r="O588" s="4" t="str">
        <f t="shared" si="18"/>
        <v>RECENTLY PROMOTED</v>
      </c>
      <c r="P588" s="5" t="str">
        <f t="shared" si="19"/>
        <v>Medium_Pressure</v>
      </c>
      <c r="Q588" s="4" t="str">
        <f t="shared" si="20"/>
        <v>DISENGAGED</v>
      </c>
      <c r="R588" s="4" t="str">
        <f t="shared" si="21"/>
        <v>LOW</v>
      </c>
      <c r="S588" s="2"/>
      <c r="T588" s="2"/>
      <c r="U588" s="2"/>
      <c r="V588" s="2"/>
      <c r="W588" s="2"/>
      <c r="X588" s="2"/>
      <c r="Y588" s="2"/>
      <c r="Z588" s="2"/>
    </row>
    <row r="589" spans="1:26" ht="16.8" x14ac:dyDescent="0.3">
      <c r="A589" s="4">
        <v>813</v>
      </c>
      <c r="B589" s="4" t="s">
        <v>43</v>
      </c>
      <c r="C589" s="4">
        <v>52</v>
      </c>
      <c r="D589" s="4" t="s">
        <v>45</v>
      </c>
      <c r="E589" s="4" t="s">
        <v>50</v>
      </c>
      <c r="F589" s="4">
        <v>3149</v>
      </c>
      <c r="G589" s="4" t="s">
        <v>43</v>
      </c>
      <c r="H589" s="4">
        <v>5</v>
      </c>
      <c r="I589" s="4">
        <v>1</v>
      </c>
      <c r="J589" s="4">
        <v>3</v>
      </c>
      <c r="K589" s="4">
        <v>3</v>
      </c>
      <c r="L589" s="4" t="str">
        <f t="shared" si="15"/>
        <v>NORMAL</v>
      </c>
      <c r="M589" s="4" t="str">
        <f t="shared" si="16"/>
        <v>LOW</v>
      </c>
      <c r="N589" s="4" t="str">
        <f t="shared" si="17"/>
        <v>MID</v>
      </c>
      <c r="O589" s="4" t="str">
        <f t="shared" si="18"/>
        <v>RECENTLY PROMOTED</v>
      </c>
      <c r="P589" s="5" t="str">
        <f t="shared" si="19"/>
        <v>Medium_Pressure</v>
      </c>
      <c r="Q589" s="4" t="str">
        <f t="shared" si="20"/>
        <v>HIGHLY_ENGAGED</v>
      </c>
      <c r="R589" s="4" t="str">
        <f t="shared" si="21"/>
        <v>LOW</v>
      </c>
      <c r="S589" s="2"/>
      <c r="T589" s="2"/>
      <c r="U589" s="2"/>
      <c r="V589" s="2"/>
      <c r="W589" s="2"/>
      <c r="X589" s="2"/>
      <c r="Y589" s="2"/>
      <c r="Z589" s="2"/>
    </row>
    <row r="590" spans="1:26" ht="16.8" x14ac:dyDescent="0.3">
      <c r="A590" s="4">
        <v>815</v>
      </c>
      <c r="B590" s="4" t="s">
        <v>43</v>
      </c>
      <c r="C590" s="4">
        <v>50</v>
      </c>
      <c r="D590" s="4" t="s">
        <v>45</v>
      </c>
      <c r="E590" s="4" t="s">
        <v>58</v>
      </c>
      <c r="F590" s="4">
        <v>17639</v>
      </c>
      <c r="G590" s="4" t="s">
        <v>43</v>
      </c>
      <c r="H590" s="4">
        <v>4</v>
      </c>
      <c r="I590" s="4">
        <v>0</v>
      </c>
      <c r="J590" s="4">
        <v>3</v>
      </c>
      <c r="K590" s="4">
        <v>3</v>
      </c>
      <c r="L590" s="4" t="str">
        <f t="shared" si="15"/>
        <v>NORMAL</v>
      </c>
      <c r="M590" s="4" t="str">
        <f t="shared" si="16"/>
        <v>MEDIUM</v>
      </c>
      <c r="N590" s="4" t="str">
        <f t="shared" si="17"/>
        <v>MID</v>
      </c>
      <c r="O590" s="4" t="str">
        <f t="shared" si="18"/>
        <v>RECENTLY PROMOTED</v>
      </c>
      <c r="P590" s="5" t="str">
        <f t="shared" si="19"/>
        <v>Medium_Pressure</v>
      </c>
      <c r="Q590" s="4" t="str">
        <f t="shared" si="20"/>
        <v>HIGHLY_ENGAGED</v>
      </c>
      <c r="R590" s="4" t="str">
        <f t="shared" si="21"/>
        <v>LOW</v>
      </c>
      <c r="S590" s="2"/>
      <c r="T590" s="2"/>
      <c r="U590" s="2"/>
      <c r="V590" s="2"/>
      <c r="W590" s="2"/>
      <c r="X590" s="2"/>
      <c r="Y590" s="2"/>
      <c r="Z590" s="2"/>
    </row>
    <row r="591" spans="1:26" ht="16.8" x14ac:dyDescent="0.3">
      <c r="A591" s="4">
        <v>816</v>
      </c>
      <c r="B591" s="4" t="s">
        <v>35</v>
      </c>
      <c r="C591" s="4">
        <v>29</v>
      </c>
      <c r="D591" s="4" t="s">
        <v>45</v>
      </c>
      <c r="E591" s="4" t="s">
        <v>50</v>
      </c>
      <c r="F591" s="4">
        <v>2319</v>
      </c>
      <c r="G591" s="4" t="s">
        <v>35</v>
      </c>
      <c r="H591" s="4">
        <v>1</v>
      </c>
      <c r="I591" s="4">
        <v>0</v>
      </c>
      <c r="J591" s="4">
        <v>1</v>
      </c>
      <c r="K591" s="4">
        <v>3</v>
      </c>
      <c r="L591" s="4" t="str">
        <f t="shared" si="15"/>
        <v>NORMAL</v>
      </c>
      <c r="M591" s="4" t="str">
        <f t="shared" si="16"/>
        <v>LOW</v>
      </c>
      <c r="N591" s="4" t="str">
        <f t="shared" si="17"/>
        <v>NEW</v>
      </c>
      <c r="O591" s="4" t="str">
        <f t="shared" si="18"/>
        <v>RECENTLY PROMOTED</v>
      </c>
      <c r="P591" s="5" t="str">
        <f t="shared" si="19"/>
        <v>Medium_Pressure</v>
      </c>
      <c r="Q591" s="4" t="str">
        <f t="shared" si="20"/>
        <v>DISENGAGED</v>
      </c>
      <c r="R591" s="4" t="str">
        <f t="shared" si="21"/>
        <v>LOW</v>
      </c>
      <c r="S591" s="2"/>
      <c r="T591" s="2"/>
      <c r="U591" s="2"/>
      <c r="V591" s="2"/>
      <c r="W591" s="2"/>
      <c r="X591" s="2"/>
      <c r="Y591" s="2"/>
      <c r="Z591" s="2"/>
    </row>
    <row r="592" spans="1:26" ht="16.8" x14ac:dyDescent="0.3">
      <c r="A592" s="4">
        <v>817</v>
      </c>
      <c r="B592" s="4" t="s">
        <v>43</v>
      </c>
      <c r="C592" s="4">
        <v>33</v>
      </c>
      <c r="D592" s="4" t="s">
        <v>45</v>
      </c>
      <c r="E592" s="4" t="s">
        <v>58</v>
      </c>
      <c r="F592" s="4">
        <v>11691</v>
      </c>
      <c r="G592" s="4" t="s">
        <v>43</v>
      </c>
      <c r="H592" s="4">
        <v>13</v>
      </c>
      <c r="I592" s="4">
        <v>3</v>
      </c>
      <c r="J592" s="4">
        <v>3</v>
      </c>
      <c r="K592" s="4">
        <v>4</v>
      </c>
      <c r="L592" s="4" t="str">
        <f t="shared" si="15"/>
        <v>NORMAL</v>
      </c>
      <c r="M592" s="4" t="str">
        <f t="shared" si="16"/>
        <v>MEDIUM</v>
      </c>
      <c r="N592" s="4" t="str">
        <f t="shared" si="17"/>
        <v>SENIOR</v>
      </c>
      <c r="O592" s="4" t="str">
        <f t="shared" si="18"/>
        <v>MODERATE-WAIT</v>
      </c>
      <c r="P592" s="5" t="str">
        <f t="shared" si="19"/>
        <v>Low_Pressure</v>
      </c>
      <c r="Q592" s="4" t="str">
        <f t="shared" si="20"/>
        <v>HIGHLY_ENGAGED</v>
      </c>
      <c r="R592" s="4" t="str">
        <f t="shared" si="21"/>
        <v>LOW</v>
      </c>
      <c r="S592" s="2"/>
      <c r="T592" s="2"/>
      <c r="U592" s="2"/>
      <c r="V592" s="2"/>
      <c r="W592" s="2"/>
      <c r="X592" s="2"/>
      <c r="Y592" s="2"/>
      <c r="Z592" s="2"/>
    </row>
    <row r="593" spans="1:26" ht="16.8" x14ac:dyDescent="0.3">
      <c r="A593" s="4">
        <v>819</v>
      </c>
      <c r="B593" s="4" t="s">
        <v>35</v>
      </c>
      <c r="C593" s="4">
        <v>33</v>
      </c>
      <c r="D593" s="4" t="s">
        <v>37</v>
      </c>
      <c r="E593" s="4" t="s">
        <v>40</v>
      </c>
      <c r="F593" s="4">
        <v>5324</v>
      </c>
      <c r="G593" s="4" t="s">
        <v>43</v>
      </c>
      <c r="H593" s="4">
        <v>3</v>
      </c>
      <c r="I593" s="4">
        <v>0</v>
      </c>
      <c r="J593" s="4">
        <v>1</v>
      </c>
      <c r="K593" s="4">
        <v>3</v>
      </c>
      <c r="L593" s="4" t="str">
        <f t="shared" si="15"/>
        <v>NORMAL</v>
      </c>
      <c r="M593" s="4" t="str">
        <f t="shared" si="16"/>
        <v>HIGH</v>
      </c>
      <c r="N593" s="4" t="str">
        <f t="shared" si="17"/>
        <v>MID</v>
      </c>
      <c r="O593" s="4" t="str">
        <f t="shared" si="18"/>
        <v>RECENTLY PROMOTED</v>
      </c>
      <c r="P593" s="5" t="str">
        <f t="shared" si="19"/>
        <v>Medium_Pressure</v>
      </c>
      <c r="Q593" s="4" t="str">
        <f t="shared" si="20"/>
        <v>DISENGAGED</v>
      </c>
      <c r="R593" s="4" t="str">
        <f t="shared" si="21"/>
        <v>LOW</v>
      </c>
      <c r="S593" s="2"/>
      <c r="T593" s="2"/>
      <c r="U593" s="2"/>
      <c r="V593" s="2"/>
      <c r="W593" s="2"/>
      <c r="X593" s="2"/>
      <c r="Y593" s="2"/>
      <c r="Z593" s="2"/>
    </row>
    <row r="594" spans="1:26" ht="16.8" x14ac:dyDescent="0.3">
      <c r="A594" s="4">
        <v>820</v>
      </c>
      <c r="B594" s="4" t="s">
        <v>43</v>
      </c>
      <c r="C594" s="4">
        <v>47</v>
      </c>
      <c r="D594" s="4" t="s">
        <v>45</v>
      </c>
      <c r="E594" s="4" t="s">
        <v>56</v>
      </c>
      <c r="F594" s="4">
        <v>16752</v>
      </c>
      <c r="G594" s="4" t="s">
        <v>35</v>
      </c>
      <c r="H594" s="4">
        <v>26</v>
      </c>
      <c r="I594" s="4">
        <v>3</v>
      </c>
      <c r="J594" s="4">
        <v>4</v>
      </c>
      <c r="K594" s="4">
        <v>2</v>
      </c>
      <c r="L594" s="4" t="str">
        <f t="shared" si="15"/>
        <v>NORMAL</v>
      </c>
      <c r="M594" s="4" t="str">
        <f t="shared" si="16"/>
        <v>MEDIUM</v>
      </c>
      <c r="N594" s="4" t="str">
        <f t="shared" si="17"/>
        <v>SENIOR</v>
      </c>
      <c r="O594" s="4" t="str">
        <f t="shared" si="18"/>
        <v>MODERATE-WAIT</v>
      </c>
      <c r="P594" s="5" t="str">
        <f t="shared" si="19"/>
        <v>High_Pressure</v>
      </c>
      <c r="Q594" s="4" t="str">
        <f t="shared" si="20"/>
        <v>DISENGAGED</v>
      </c>
      <c r="R594" s="4" t="str">
        <f t="shared" si="21"/>
        <v>LOW</v>
      </c>
      <c r="S594" s="2"/>
      <c r="T594" s="2"/>
      <c r="U594" s="2"/>
      <c r="V594" s="2"/>
      <c r="W594" s="2"/>
      <c r="X594" s="2"/>
      <c r="Y594" s="2"/>
      <c r="Z594" s="2"/>
    </row>
    <row r="595" spans="1:26" ht="16.8" x14ac:dyDescent="0.3">
      <c r="A595" s="4">
        <v>823</v>
      </c>
      <c r="B595" s="4" t="s">
        <v>43</v>
      </c>
      <c r="C595" s="4">
        <v>36</v>
      </c>
      <c r="D595" s="4" t="s">
        <v>45</v>
      </c>
      <c r="E595" s="4" t="s">
        <v>53</v>
      </c>
      <c r="F595" s="4">
        <v>5228</v>
      </c>
      <c r="G595" s="4" t="s">
        <v>43</v>
      </c>
      <c r="H595" s="4">
        <v>9</v>
      </c>
      <c r="I595" s="4">
        <v>0</v>
      </c>
      <c r="J595" s="4">
        <v>2</v>
      </c>
      <c r="K595" s="4">
        <v>3</v>
      </c>
      <c r="L595" s="4" t="str">
        <f t="shared" si="15"/>
        <v>NORMAL</v>
      </c>
      <c r="M595" s="4" t="str">
        <f t="shared" si="16"/>
        <v>HIGH</v>
      </c>
      <c r="N595" s="4" t="str">
        <f t="shared" si="17"/>
        <v>SENIOR</v>
      </c>
      <c r="O595" s="4" t="str">
        <f t="shared" si="18"/>
        <v>RECENTLY PROMOTED</v>
      </c>
      <c r="P595" s="5" t="str">
        <f t="shared" si="19"/>
        <v>Medium_Pressure</v>
      </c>
      <c r="Q595" s="4" t="str">
        <f t="shared" si="20"/>
        <v>DISENGAGED</v>
      </c>
      <c r="R595" s="4" t="str">
        <f t="shared" si="21"/>
        <v>LOW</v>
      </c>
      <c r="S595" s="2"/>
      <c r="T595" s="2"/>
      <c r="U595" s="2"/>
      <c r="V595" s="2"/>
      <c r="W595" s="2"/>
      <c r="X595" s="2"/>
      <c r="Y595" s="2"/>
      <c r="Z595" s="2"/>
    </row>
    <row r="596" spans="1:26" ht="16.8" x14ac:dyDescent="0.3">
      <c r="A596" s="4">
        <v>824</v>
      </c>
      <c r="B596" s="4" t="s">
        <v>43</v>
      </c>
      <c r="C596" s="4">
        <v>29</v>
      </c>
      <c r="D596" s="4" t="s">
        <v>45</v>
      </c>
      <c r="E596" s="4" t="s">
        <v>47</v>
      </c>
      <c r="F596" s="4">
        <v>2700</v>
      </c>
      <c r="G596" s="4" t="s">
        <v>43</v>
      </c>
      <c r="H596" s="4">
        <v>10</v>
      </c>
      <c r="I596" s="4">
        <v>0</v>
      </c>
      <c r="J596" s="4">
        <v>3</v>
      </c>
      <c r="K596" s="4">
        <v>3</v>
      </c>
      <c r="L596" s="4" t="str">
        <f t="shared" si="15"/>
        <v>NORMAL</v>
      </c>
      <c r="M596" s="4" t="str">
        <f t="shared" si="16"/>
        <v>LOW</v>
      </c>
      <c r="N596" s="4" t="str">
        <f t="shared" si="17"/>
        <v>SENIOR</v>
      </c>
      <c r="O596" s="4" t="str">
        <f t="shared" si="18"/>
        <v>RECENTLY PROMOTED</v>
      </c>
      <c r="P596" s="5" t="str">
        <f t="shared" si="19"/>
        <v>Medium_Pressure</v>
      </c>
      <c r="Q596" s="4" t="str">
        <f t="shared" si="20"/>
        <v>HIGHLY_ENGAGED</v>
      </c>
      <c r="R596" s="4" t="str">
        <f t="shared" si="21"/>
        <v>LOW</v>
      </c>
      <c r="S596" s="2"/>
      <c r="T596" s="2"/>
      <c r="U596" s="2"/>
      <c r="V596" s="2"/>
      <c r="W596" s="2"/>
      <c r="X596" s="2"/>
      <c r="Y596" s="2"/>
      <c r="Z596" s="2"/>
    </row>
    <row r="597" spans="1:26" ht="16.8" x14ac:dyDescent="0.3">
      <c r="A597" s="4">
        <v>825</v>
      </c>
      <c r="B597" s="4" t="s">
        <v>35</v>
      </c>
      <c r="C597" s="4">
        <v>58</v>
      </c>
      <c r="D597" s="4" t="s">
        <v>45</v>
      </c>
      <c r="E597" s="4" t="s">
        <v>58</v>
      </c>
      <c r="F597" s="4">
        <v>19246</v>
      </c>
      <c r="G597" s="4" t="s">
        <v>35</v>
      </c>
      <c r="H597" s="4">
        <v>31</v>
      </c>
      <c r="I597" s="4">
        <v>13</v>
      </c>
      <c r="J597" s="4">
        <v>2</v>
      </c>
      <c r="K597" s="4">
        <v>3</v>
      </c>
      <c r="L597" s="4" t="str">
        <f t="shared" si="15"/>
        <v>HIGH RISK</v>
      </c>
      <c r="M597" s="4" t="str">
        <f t="shared" si="16"/>
        <v>MEDIUM</v>
      </c>
      <c r="N597" s="4" t="str">
        <f t="shared" si="17"/>
        <v>SENIOR</v>
      </c>
      <c r="O597" s="4" t="str">
        <f t="shared" si="18"/>
        <v>STAGNANT</v>
      </c>
      <c r="P597" s="5" t="str">
        <f t="shared" si="19"/>
        <v>Medium_Pressure</v>
      </c>
      <c r="Q597" s="4" t="str">
        <f t="shared" si="20"/>
        <v>DISENGAGED</v>
      </c>
      <c r="R597" s="4" t="str">
        <f t="shared" si="21"/>
        <v>LOW</v>
      </c>
      <c r="S597" s="2"/>
      <c r="T597" s="2"/>
      <c r="U597" s="2"/>
      <c r="V597" s="2"/>
      <c r="W597" s="2"/>
      <c r="X597" s="2"/>
      <c r="Y597" s="2"/>
      <c r="Z597" s="2"/>
    </row>
    <row r="598" spans="1:26" ht="16.8" x14ac:dyDescent="0.3">
      <c r="A598" s="4">
        <v>826</v>
      </c>
      <c r="B598" s="4" t="s">
        <v>43</v>
      </c>
      <c r="C598" s="4">
        <v>35</v>
      </c>
      <c r="D598" s="4" t="s">
        <v>45</v>
      </c>
      <c r="E598" s="4" t="s">
        <v>47</v>
      </c>
      <c r="F598" s="4">
        <v>2506</v>
      </c>
      <c r="G598" s="4" t="s">
        <v>43</v>
      </c>
      <c r="H598" s="4">
        <v>2</v>
      </c>
      <c r="I598" s="4">
        <v>2</v>
      </c>
      <c r="J598" s="4">
        <v>3</v>
      </c>
      <c r="K598" s="4">
        <v>3</v>
      </c>
      <c r="L598" s="4" t="str">
        <f t="shared" si="15"/>
        <v>NORMAL</v>
      </c>
      <c r="M598" s="4" t="str">
        <f t="shared" si="16"/>
        <v>LOW</v>
      </c>
      <c r="N598" s="4" t="str">
        <f t="shared" si="17"/>
        <v>NEW</v>
      </c>
      <c r="O598" s="4" t="str">
        <f t="shared" si="18"/>
        <v>MODERATE-WAIT</v>
      </c>
      <c r="P598" s="5" t="str">
        <f t="shared" si="19"/>
        <v>Medium_Pressure</v>
      </c>
      <c r="Q598" s="4" t="str">
        <f t="shared" si="20"/>
        <v>HIGHLY_ENGAGED</v>
      </c>
      <c r="R598" s="4" t="str">
        <f t="shared" si="21"/>
        <v>LOW</v>
      </c>
      <c r="S598" s="2"/>
      <c r="T598" s="2"/>
      <c r="U598" s="2"/>
      <c r="V598" s="2"/>
      <c r="W598" s="2"/>
      <c r="X598" s="2"/>
      <c r="Y598" s="2"/>
      <c r="Z598" s="2"/>
    </row>
    <row r="599" spans="1:26" ht="16.8" x14ac:dyDescent="0.3">
      <c r="A599" s="4">
        <v>827</v>
      </c>
      <c r="B599" s="4" t="s">
        <v>43</v>
      </c>
      <c r="C599" s="4">
        <v>42</v>
      </c>
      <c r="D599" s="4" t="s">
        <v>45</v>
      </c>
      <c r="E599" s="4" t="s">
        <v>53</v>
      </c>
      <c r="F599" s="4">
        <v>6062</v>
      </c>
      <c r="G599" s="4" t="s">
        <v>35</v>
      </c>
      <c r="H599" s="4">
        <v>4</v>
      </c>
      <c r="I599" s="4">
        <v>0</v>
      </c>
      <c r="J599" s="4">
        <v>4</v>
      </c>
      <c r="K599" s="4">
        <v>3</v>
      </c>
      <c r="L599" s="4" t="str">
        <f t="shared" si="15"/>
        <v>NORMAL</v>
      </c>
      <c r="M599" s="4" t="str">
        <f t="shared" si="16"/>
        <v>HIGH</v>
      </c>
      <c r="N599" s="4" t="str">
        <f t="shared" si="17"/>
        <v>MID</v>
      </c>
      <c r="O599" s="4" t="str">
        <f t="shared" si="18"/>
        <v>RECENTLY PROMOTED</v>
      </c>
      <c r="P599" s="5" t="str">
        <f t="shared" si="19"/>
        <v>Medium_Pressure</v>
      </c>
      <c r="Q599" s="4" t="str">
        <f t="shared" si="20"/>
        <v>HIGHLY_ENGAGED</v>
      </c>
      <c r="R599" s="4" t="str">
        <f t="shared" si="21"/>
        <v>LOW</v>
      </c>
      <c r="S599" s="2"/>
      <c r="T599" s="2"/>
      <c r="U599" s="2"/>
      <c r="V599" s="2"/>
      <c r="W599" s="2"/>
      <c r="X599" s="2"/>
      <c r="Y599" s="2"/>
      <c r="Z599" s="2"/>
    </row>
    <row r="600" spans="1:26" ht="16.8" x14ac:dyDescent="0.3">
      <c r="A600" s="4">
        <v>828</v>
      </c>
      <c r="B600" s="4" t="s">
        <v>35</v>
      </c>
      <c r="C600" s="4">
        <v>28</v>
      </c>
      <c r="D600" s="4" t="s">
        <v>45</v>
      </c>
      <c r="E600" s="4" t="s">
        <v>47</v>
      </c>
      <c r="F600" s="4">
        <v>4382</v>
      </c>
      <c r="G600" s="4" t="s">
        <v>43</v>
      </c>
      <c r="H600" s="4">
        <v>2</v>
      </c>
      <c r="I600" s="4">
        <v>2</v>
      </c>
      <c r="J600" s="4">
        <v>3</v>
      </c>
      <c r="K600" s="4">
        <v>2</v>
      </c>
      <c r="L600" s="4" t="str">
        <f t="shared" si="15"/>
        <v>NORMAL</v>
      </c>
      <c r="M600" s="4" t="str">
        <f t="shared" si="16"/>
        <v>HIGH</v>
      </c>
      <c r="N600" s="4" t="str">
        <f t="shared" si="17"/>
        <v>NEW</v>
      </c>
      <c r="O600" s="4" t="str">
        <f t="shared" si="18"/>
        <v>MODERATE-WAIT</v>
      </c>
      <c r="P600" s="5" t="str">
        <f t="shared" si="19"/>
        <v>Low_Pressure</v>
      </c>
      <c r="Q600" s="4" t="str">
        <f t="shared" si="20"/>
        <v>DISENGAGED</v>
      </c>
      <c r="R600" s="4" t="str">
        <f t="shared" si="21"/>
        <v>LOW</v>
      </c>
      <c r="S600" s="2"/>
      <c r="T600" s="2"/>
      <c r="U600" s="2"/>
      <c r="V600" s="2"/>
      <c r="W600" s="2"/>
      <c r="X600" s="2"/>
      <c r="Y600" s="2"/>
      <c r="Z600" s="2"/>
    </row>
    <row r="601" spans="1:26" ht="16.8" x14ac:dyDescent="0.3">
      <c r="A601" s="4">
        <v>829</v>
      </c>
      <c r="B601" s="4" t="s">
        <v>43</v>
      </c>
      <c r="C601" s="4">
        <v>36</v>
      </c>
      <c r="D601" s="4" t="s">
        <v>61</v>
      </c>
      <c r="E601" s="4" t="s">
        <v>61</v>
      </c>
      <c r="F601" s="4">
        <v>2143</v>
      </c>
      <c r="G601" s="4" t="s">
        <v>43</v>
      </c>
      <c r="H601" s="4">
        <v>5</v>
      </c>
      <c r="I601" s="4">
        <v>0</v>
      </c>
      <c r="J601" s="4">
        <v>2</v>
      </c>
      <c r="K601" s="4">
        <v>3</v>
      </c>
      <c r="L601" s="4" t="str">
        <f t="shared" si="15"/>
        <v>NORMAL</v>
      </c>
      <c r="M601" s="4" t="str">
        <f t="shared" si="16"/>
        <v>LOW</v>
      </c>
      <c r="N601" s="4" t="str">
        <f t="shared" si="17"/>
        <v>MID</v>
      </c>
      <c r="O601" s="4" t="str">
        <f t="shared" si="18"/>
        <v>RECENTLY PROMOTED</v>
      </c>
      <c r="P601" s="5" t="str">
        <f t="shared" si="19"/>
        <v>Medium_Pressure</v>
      </c>
      <c r="Q601" s="4" t="str">
        <f t="shared" si="20"/>
        <v>DISENGAGED</v>
      </c>
      <c r="R601" s="4" t="str">
        <f t="shared" si="21"/>
        <v>LOW</v>
      </c>
      <c r="S601" s="2"/>
      <c r="T601" s="2"/>
      <c r="U601" s="2"/>
      <c r="V601" s="2"/>
      <c r="W601" s="2"/>
      <c r="X601" s="2"/>
      <c r="Y601" s="2"/>
      <c r="Z601" s="2"/>
    </row>
    <row r="602" spans="1:26" ht="16.8" x14ac:dyDescent="0.3">
      <c r="A602" s="4">
        <v>830</v>
      </c>
      <c r="B602" s="4" t="s">
        <v>43</v>
      </c>
      <c r="C602" s="4">
        <v>32</v>
      </c>
      <c r="D602" s="4" t="s">
        <v>45</v>
      </c>
      <c r="E602" s="4" t="s">
        <v>53</v>
      </c>
      <c r="F602" s="4">
        <v>6162</v>
      </c>
      <c r="G602" s="4" t="s">
        <v>43</v>
      </c>
      <c r="H602" s="4">
        <v>14</v>
      </c>
      <c r="I602" s="4">
        <v>6</v>
      </c>
      <c r="J602" s="4">
        <v>3</v>
      </c>
      <c r="K602" s="4">
        <v>3</v>
      </c>
      <c r="L602" s="4" t="str">
        <f t="shared" si="15"/>
        <v>NORMAL</v>
      </c>
      <c r="M602" s="4" t="str">
        <f t="shared" si="16"/>
        <v>HIGH</v>
      </c>
      <c r="N602" s="4" t="str">
        <f t="shared" si="17"/>
        <v>SENIOR</v>
      </c>
      <c r="O602" s="4" t="str">
        <f t="shared" si="18"/>
        <v>STAGNANT</v>
      </c>
      <c r="P602" s="5" t="str">
        <f t="shared" si="19"/>
        <v>Medium_Pressure</v>
      </c>
      <c r="Q602" s="4" t="str">
        <f t="shared" si="20"/>
        <v>HIGHLY_ENGAGED</v>
      </c>
      <c r="R602" s="4" t="str">
        <f t="shared" si="21"/>
        <v>LOW</v>
      </c>
      <c r="S602" s="2"/>
      <c r="T602" s="2"/>
      <c r="U602" s="2"/>
      <c r="V602" s="2"/>
      <c r="W602" s="2"/>
      <c r="X602" s="2"/>
      <c r="Y602" s="2"/>
      <c r="Z602" s="2"/>
    </row>
    <row r="603" spans="1:26" ht="16.8" x14ac:dyDescent="0.3">
      <c r="A603" s="4">
        <v>832</v>
      </c>
      <c r="B603" s="4" t="s">
        <v>43</v>
      </c>
      <c r="C603" s="4">
        <v>40</v>
      </c>
      <c r="D603" s="4" t="s">
        <v>45</v>
      </c>
      <c r="E603" s="4" t="s">
        <v>50</v>
      </c>
      <c r="F603" s="4">
        <v>5094</v>
      </c>
      <c r="G603" s="4" t="s">
        <v>43</v>
      </c>
      <c r="H603" s="4">
        <v>1</v>
      </c>
      <c r="I603" s="4">
        <v>0</v>
      </c>
      <c r="J603" s="4">
        <v>3</v>
      </c>
      <c r="K603" s="4">
        <v>3</v>
      </c>
      <c r="L603" s="4" t="str">
        <f t="shared" si="15"/>
        <v>NORMAL</v>
      </c>
      <c r="M603" s="4" t="str">
        <f t="shared" si="16"/>
        <v>HIGH</v>
      </c>
      <c r="N603" s="4" t="str">
        <f t="shared" si="17"/>
        <v>NEW</v>
      </c>
      <c r="O603" s="4" t="str">
        <f t="shared" si="18"/>
        <v>RECENTLY PROMOTED</v>
      </c>
      <c r="P603" s="5" t="str">
        <f t="shared" si="19"/>
        <v>Medium_Pressure</v>
      </c>
      <c r="Q603" s="4" t="str">
        <f t="shared" si="20"/>
        <v>HIGHLY_ENGAGED</v>
      </c>
      <c r="R603" s="4" t="str">
        <f t="shared" si="21"/>
        <v>LOW</v>
      </c>
      <c r="S603" s="2"/>
      <c r="T603" s="2"/>
      <c r="U603" s="2"/>
      <c r="V603" s="2"/>
      <c r="W603" s="2"/>
      <c r="X603" s="2"/>
      <c r="Y603" s="2"/>
      <c r="Z603" s="2"/>
    </row>
    <row r="604" spans="1:26" ht="16.8" x14ac:dyDescent="0.3">
      <c r="A604" s="4">
        <v>833</v>
      </c>
      <c r="B604" s="4" t="s">
        <v>43</v>
      </c>
      <c r="C604" s="4">
        <v>30</v>
      </c>
      <c r="D604" s="4" t="s">
        <v>45</v>
      </c>
      <c r="E604" s="4" t="s">
        <v>53</v>
      </c>
      <c r="F604" s="4">
        <v>6877</v>
      </c>
      <c r="G604" s="4" t="s">
        <v>35</v>
      </c>
      <c r="H604" s="4">
        <v>0</v>
      </c>
      <c r="I604" s="4">
        <v>0</v>
      </c>
      <c r="J604" s="4">
        <v>4</v>
      </c>
      <c r="K604" s="4">
        <v>2</v>
      </c>
      <c r="L604" s="4" t="str">
        <f t="shared" si="15"/>
        <v>NORMAL</v>
      </c>
      <c r="M604" s="4" t="str">
        <f t="shared" si="16"/>
        <v>HIGH</v>
      </c>
      <c r="N604" s="4" t="str">
        <f t="shared" si="17"/>
        <v>NEW</v>
      </c>
      <c r="O604" s="4" t="str">
        <f t="shared" si="18"/>
        <v>RECENTLY PROMOTED</v>
      </c>
      <c r="P604" s="5" t="str">
        <f t="shared" si="19"/>
        <v>High_Pressure</v>
      </c>
      <c r="Q604" s="4" t="str">
        <f t="shared" si="20"/>
        <v>DISENGAGED</v>
      </c>
      <c r="R604" s="4" t="str">
        <f t="shared" si="21"/>
        <v>LOW</v>
      </c>
      <c r="S604" s="2"/>
      <c r="T604" s="2"/>
      <c r="U604" s="2"/>
      <c r="V604" s="2"/>
      <c r="W604" s="2"/>
      <c r="X604" s="2"/>
      <c r="Y604" s="2"/>
      <c r="Z604" s="2"/>
    </row>
    <row r="605" spans="1:26" ht="16.8" x14ac:dyDescent="0.3">
      <c r="A605" s="4">
        <v>834</v>
      </c>
      <c r="B605" s="4" t="s">
        <v>43</v>
      </c>
      <c r="C605" s="4">
        <v>45</v>
      </c>
      <c r="D605" s="4" t="s">
        <v>45</v>
      </c>
      <c r="E605" s="4" t="s">
        <v>47</v>
      </c>
      <c r="F605" s="4">
        <v>2274</v>
      </c>
      <c r="G605" s="4" t="s">
        <v>43</v>
      </c>
      <c r="H605" s="4">
        <v>1</v>
      </c>
      <c r="I605" s="4">
        <v>0</v>
      </c>
      <c r="J605" s="4">
        <v>3</v>
      </c>
      <c r="K605" s="4">
        <v>3</v>
      </c>
      <c r="L605" s="4" t="str">
        <f t="shared" si="15"/>
        <v>NORMAL</v>
      </c>
      <c r="M605" s="4" t="str">
        <f t="shared" si="16"/>
        <v>LOW</v>
      </c>
      <c r="N605" s="4" t="str">
        <f t="shared" si="17"/>
        <v>NEW</v>
      </c>
      <c r="O605" s="4" t="str">
        <f t="shared" si="18"/>
        <v>RECENTLY PROMOTED</v>
      </c>
      <c r="P605" s="5" t="str">
        <f t="shared" si="19"/>
        <v>Medium_Pressure</v>
      </c>
      <c r="Q605" s="4" t="str">
        <f t="shared" si="20"/>
        <v>HIGHLY_ENGAGED</v>
      </c>
      <c r="R605" s="4" t="str">
        <f t="shared" si="21"/>
        <v>LOW</v>
      </c>
      <c r="S605" s="2"/>
      <c r="T605" s="2"/>
      <c r="U605" s="2"/>
      <c r="V605" s="2"/>
      <c r="W605" s="2"/>
      <c r="X605" s="2"/>
      <c r="Y605" s="2"/>
      <c r="Z605" s="2"/>
    </row>
    <row r="606" spans="1:26" ht="16.8" x14ac:dyDescent="0.3">
      <c r="A606" s="4">
        <v>836</v>
      </c>
      <c r="B606" s="4" t="s">
        <v>43</v>
      </c>
      <c r="C606" s="4">
        <v>42</v>
      </c>
      <c r="D606" s="4" t="s">
        <v>45</v>
      </c>
      <c r="E606" s="4" t="s">
        <v>53</v>
      </c>
      <c r="F606" s="4">
        <v>4434</v>
      </c>
      <c r="G606" s="4" t="s">
        <v>43</v>
      </c>
      <c r="H606" s="4">
        <v>9</v>
      </c>
      <c r="I606" s="4">
        <v>7</v>
      </c>
      <c r="J606" s="4">
        <v>2</v>
      </c>
      <c r="K606" s="4">
        <v>2</v>
      </c>
      <c r="L606" s="4" t="str">
        <f t="shared" si="15"/>
        <v>NORMAL</v>
      </c>
      <c r="M606" s="4" t="str">
        <f t="shared" si="16"/>
        <v>HIGH</v>
      </c>
      <c r="N606" s="4" t="str">
        <f t="shared" si="17"/>
        <v>SENIOR</v>
      </c>
      <c r="O606" s="4" t="str">
        <f t="shared" si="18"/>
        <v>STAGNANT</v>
      </c>
      <c r="P606" s="5" t="str">
        <f t="shared" si="19"/>
        <v>Low_Pressure</v>
      </c>
      <c r="Q606" s="4" t="str">
        <f t="shared" si="20"/>
        <v>DISENGAGED</v>
      </c>
      <c r="R606" s="4" t="str">
        <f t="shared" si="21"/>
        <v>LOW</v>
      </c>
      <c r="S606" s="2"/>
      <c r="T606" s="2"/>
      <c r="U606" s="2"/>
      <c r="V606" s="2"/>
      <c r="W606" s="2"/>
      <c r="X606" s="2"/>
      <c r="Y606" s="2"/>
      <c r="Z606" s="2"/>
    </row>
    <row r="607" spans="1:26" ht="16.8" x14ac:dyDescent="0.3">
      <c r="A607" s="4">
        <v>837</v>
      </c>
      <c r="B607" s="4" t="s">
        <v>43</v>
      </c>
      <c r="C607" s="4">
        <v>38</v>
      </c>
      <c r="D607" s="4" t="s">
        <v>45</v>
      </c>
      <c r="E607" s="4" t="s">
        <v>54</v>
      </c>
      <c r="F607" s="4">
        <v>6288</v>
      </c>
      <c r="G607" s="4" t="s">
        <v>43</v>
      </c>
      <c r="H607" s="4">
        <v>4</v>
      </c>
      <c r="I607" s="4">
        <v>1</v>
      </c>
      <c r="J607" s="4">
        <v>1</v>
      </c>
      <c r="K607" s="4">
        <v>2</v>
      </c>
      <c r="L607" s="4" t="str">
        <f t="shared" si="15"/>
        <v>NORMAL</v>
      </c>
      <c r="M607" s="4" t="str">
        <f t="shared" si="16"/>
        <v>HIGH</v>
      </c>
      <c r="N607" s="4" t="str">
        <f t="shared" si="17"/>
        <v>MID</v>
      </c>
      <c r="O607" s="4" t="str">
        <f t="shared" si="18"/>
        <v>RECENTLY PROMOTED</v>
      </c>
      <c r="P607" s="5" t="str">
        <f t="shared" si="19"/>
        <v>Low_Pressure</v>
      </c>
      <c r="Q607" s="4" t="str">
        <f t="shared" si="20"/>
        <v>DISENGAGED</v>
      </c>
      <c r="R607" s="4" t="str">
        <f t="shared" si="21"/>
        <v>LOW</v>
      </c>
      <c r="S607" s="2"/>
      <c r="T607" s="2"/>
      <c r="U607" s="2"/>
      <c r="V607" s="2"/>
      <c r="W607" s="2"/>
      <c r="X607" s="2"/>
      <c r="Y607" s="2"/>
      <c r="Z607" s="2"/>
    </row>
    <row r="608" spans="1:26" ht="16.8" x14ac:dyDescent="0.3">
      <c r="A608" s="4">
        <v>838</v>
      </c>
      <c r="B608" s="4" t="s">
        <v>43</v>
      </c>
      <c r="C608" s="4">
        <v>34</v>
      </c>
      <c r="D608" s="4" t="s">
        <v>45</v>
      </c>
      <c r="E608" s="4" t="s">
        <v>47</v>
      </c>
      <c r="F608" s="4">
        <v>2553</v>
      </c>
      <c r="G608" s="4" t="s">
        <v>43</v>
      </c>
      <c r="H608" s="4">
        <v>5</v>
      </c>
      <c r="I608" s="4">
        <v>1</v>
      </c>
      <c r="J608" s="4">
        <v>4</v>
      </c>
      <c r="K608" s="4">
        <v>3</v>
      </c>
      <c r="L608" s="4" t="str">
        <f t="shared" si="15"/>
        <v>NORMAL</v>
      </c>
      <c r="M608" s="4" t="str">
        <f t="shared" si="16"/>
        <v>LOW</v>
      </c>
      <c r="N608" s="4" t="str">
        <f t="shared" si="17"/>
        <v>MID</v>
      </c>
      <c r="O608" s="4" t="str">
        <f t="shared" si="18"/>
        <v>RECENTLY PROMOTED</v>
      </c>
      <c r="P608" s="5" t="str">
        <f t="shared" si="19"/>
        <v>Medium_Pressure</v>
      </c>
      <c r="Q608" s="4" t="str">
        <f t="shared" si="20"/>
        <v>HIGHLY_ENGAGED</v>
      </c>
      <c r="R608" s="4" t="str">
        <f t="shared" si="21"/>
        <v>LOW</v>
      </c>
      <c r="S608" s="2"/>
      <c r="T608" s="2"/>
      <c r="U608" s="2"/>
      <c r="V608" s="2"/>
      <c r="W608" s="2"/>
      <c r="X608" s="2"/>
      <c r="Y608" s="2"/>
      <c r="Z608" s="2"/>
    </row>
    <row r="609" spans="1:26" ht="16.8" x14ac:dyDescent="0.3">
      <c r="A609" s="4">
        <v>840</v>
      </c>
      <c r="B609" s="4" t="s">
        <v>35</v>
      </c>
      <c r="C609" s="4">
        <v>49</v>
      </c>
      <c r="D609" s="4" t="s">
        <v>37</v>
      </c>
      <c r="E609" s="4" t="s">
        <v>40</v>
      </c>
      <c r="F609" s="4">
        <v>7654</v>
      </c>
      <c r="G609" s="4" t="s">
        <v>43</v>
      </c>
      <c r="H609" s="4">
        <v>9</v>
      </c>
      <c r="I609" s="4">
        <v>7</v>
      </c>
      <c r="J609" s="4">
        <v>4</v>
      </c>
      <c r="K609" s="4">
        <v>4</v>
      </c>
      <c r="L609" s="4" t="str">
        <f t="shared" si="15"/>
        <v>NORMAL</v>
      </c>
      <c r="M609" s="4" t="str">
        <f t="shared" si="16"/>
        <v>HIGH</v>
      </c>
      <c r="N609" s="4" t="str">
        <f t="shared" si="17"/>
        <v>SENIOR</v>
      </c>
      <c r="O609" s="4" t="str">
        <f t="shared" si="18"/>
        <v>STAGNANT</v>
      </c>
      <c r="P609" s="5" t="str">
        <f t="shared" si="19"/>
        <v>Low_Pressure</v>
      </c>
      <c r="Q609" s="4" t="str">
        <f t="shared" si="20"/>
        <v>HIGHLY_ENGAGED</v>
      </c>
      <c r="R609" s="4" t="str">
        <f t="shared" si="21"/>
        <v>LOW</v>
      </c>
      <c r="S609" s="2"/>
      <c r="T609" s="2"/>
      <c r="U609" s="2"/>
      <c r="V609" s="2"/>
      <c r="W609" s="2"/>
      <c r="X609" s="2"/>
      <c r="Y609" s="2"/>
      <c r="Z609" s="2"/>
    </row>
    <row r="610" spans="1:26" ht="16.8" x14ac:dyDescent="0.3">
      <c r="A610" s="4">
        <v>842</v>
      </c>
      <c r="B610" s="4" t="s">
        <v>35</v>
      </c>
      <c r="C610" s="4">
        <v>55</v>
      </c>
      <c r="D610" s="4" t="s">
        <v>37</v>
      </c>
      <c r="E610" s="4" t="s">
        <v>40</v>
      </c>
      <c r="F610" s="4">
        <v>5160</v>
      </c>
      <c r="G610" s="4" t="s">
        <v>43</v>
      </c>
      <c r="H610" s="4">
        <v>9</v>
      </c>
      <c r="I610" s="4">
        <v>7</v>
      </c>
      <c r="J610" s="4">
        <v>4</v>
      </c>
      <c r="K610" s="4">
        <v>2</v>
      </c>
      <c r="L610" s="4" t="str">
        <f t="shared" si="15"/>
        <v>NORMAL</v>
      </c>
      <c r="M610" s="4" t="str">
        <f t="shared" si="16"/>
        <v>HIGH</v>
      </c>
      <c r="N610" s="4" t="str">
        <f t="shared" si="17"/>
        <v>SENIOR</v>
      </c>
      <c r="O610" s="4" t="str">
        <f t="shared" si="18"/>
        <v>STAGNANT</v>
      </c>
      <c r="P610" s="5" t="str">
        <f t="shared" si="19"/>
        <v>Low_Pressure</v>
      </c>
      <c r="Q610" s="4" t="str">
        <f t="shared" si="20"/>
        <v>DISENGAGED</v>
      </c>
      <c r="R610" s="4" t="str">
        <f t="shared" si="21"/>
        <v>LOW</v>
      </c>
      <c r="S610" s="2"/>
      <c r="T610" s="2"/>
      <c r="U610" s="2"/>
      <c r="V610" s="2"/>
      <c r="W610" s="2"/>
      <c r="X610" s="2"/>
      <c r="Y610" s="2"/>
      <c r="Z610" s="2"/>
    </row>
    <row r="611" spans="1:26" ht="16.8" x14ac:dyDescent="0.3">
      <c r="A611" s="4">
        <v>843</v>
      </c>
      <c r="B611" s="4" t="s">
        <v>43</v>
      </c>
      <c r="C611" s="4">
        <v>43</v>
      </c>
      <c r="D611" s="4" t="s">
        <v>45</v>
      </c>
      <c r="E611" s="4" t="s">
        <v>58</v>
      </c>
      <c r="F611" s="4">
        <v>17159</v>
      </c>
      <c r="G611" s="4" t="s">
        <v>43</v>
      </c>
      <c r="H611" s="4">
        <v>4</v>
      </c>
      <c r="I611" s="4">
        <v>1</v>
      </c>
      <c r="J611" s="4">
        <v>1</v>
      </c>
      <c r="K611" s="4">
        <v>3</v>
      </c>
      <c r="L611" s="4" t="str">
        <f t="shared" si="15"/>
        <v>NORMAL</v>
      </c>
      <c r="M611" s="4" t="str">
        <f t="shared" si="16"/>
        <v>MEDIUM</v>
      </c>
      <c r="N611" s="4" t="str">
        <f t="shared" si="17"/>
        <v>MID</v>
      </c>
      <c r="O611" s="4" t="str">
        <f t="shared" si="18"/>
        <v>RECENTLY PROMOTED</v>
      </c>
      <c r="P611" s="5" t="str">
        <f t="shared" si="19"/>
        <v>Medium_Pressure</v>
      </c>
      <c r="Q611" s="4" t="str">
        <f t="shared" si="20"/>
        <v>DISENGAGED</v>
      </c>
      <c r="R611" s="4" t="str">
        <f t="shared" si="21"/>
        <v>LOW</v>
      </c>
      <c r="S611" s="2"/>
      <c r="T611" s="2"/>
      <c r="U611" s="2"/>
      <c r="V611" s="2"/>
      <c r="W611" s="2"/>
      <c r="X611" s="2"/>
      <c r="Y611" s="2"/>
      <c r="Z611" s="2"/>
    </row>
    <row r="612" spans="1:26" ht="16.8" x14ac:dyDescent="0.3">
      <c r="A612" s="4">
        <v>844</v>
      </c>
      <c r="B612" s="4" t="s">
        <v>43</v>
      </c>
      <c r="C612" s="4">
        <v>27</v>
      </c>
      <c r="D612" s="4" t="s">
        <v>45</v>
      </c>
      <c r="E612" s="4" t="s">
        <v>58</v>
      </c>
      <c r="F612" s="4">
        <v>12808</v>
      </c>
      <c r="G612" s="4" t="s">
        <v>35</v>
      </c>
      <c r="H612" s="4">
        <v>9</v>
      </c>
      <c r="I612" s="4">
        <v>0</v>
      </c>
      <c r="J612" s="4">
        <v>4</v>
      </c>
      <c r="K612" s="4">
        <v>3</v>
      </c>
      <c r="L612" s="4" t="str">
        <f t="shared" si="15"/>
        <v>NORMAL</v>
      </c>
      <c r="M612" s="4" t="str">
        <f t="shared" si="16"/>
        <v>MEDIUM</v>
      </c>
      <c r="N612" s="4" t="str">
        <f t="shared" si="17"/>
        <v>SENIOR</v>
      </c>
      <c r="O612" s="4" t="str">
        <f t="shared" si="18"/>
        <v>RECENTLY PROMOTED</v>
      </c>
      <c r="P612" s="5" t="str">
        <f t="shared" si="19"/>
        <v>Medium_Pressure</v>
      </c>
      <c r="Q612" s="4" t="str">
        <f t="shared" si="20"/>
        <v>HIGHLY_ENGAGED</v>
      </c>
      <c r="R612" s="4" t="str">
        <f t="shared" si="21"/>
        <v>LOW</v>
      </c>
      <c r="S612" s="2"/>
      <c r="T612" s="2"/>
      <c r="U612" s="2"/>
      <c r="V612" s="2"/>
      <c r="W612" s="2"/>
      <c r="X612" s="2"/>
      <c r="Y612" s="2"/>
      <c r="Z612" s="2"/>
    </row>
    <row r="613" spans="1:26" ht="16.8" x14ac:dyDescent="0.3">
      <c r="A613" s="4">
        <v>845</v>
      </c>
      <c r="B613" s="4" t="s">
        <v>43</v>
      </c>
      <c r="C613" s="4">
        <v>35</v>
      </c>
      <c r="D613" s="4" t="s">
        <v>45</v>
      </c>
      <c r="E613" s="4" t="s">
        <v>53</v>
      </c>
      <c r="F613" s="4">
        <v>10221</v>
      </c>
      <c r="G613" s="4" t="s">
        <v>43</v>
      </c>
      <c r="H613" s="4">
        <v>8</v>
      </c>
      <c r="I613" s="4">
        <v>1</v>
      </c>
      <c r="J613" s="4">
        <v>3</v>
      </c>
      <c r="K613" s="4">
        <v>4</v>
      </c>
      <c r="L613" s="4" t="str">
        <f t="shared" si="15"/>
        <v>NORMAL</v>
      </c>
      <c r="M613" s="4" t="str">
        <f t="shared" si="16"/>
        <v>MEDIUM</v>
      </c>
      <c r="N613" s="4" t="str">
        <f t="shared" si="17"/>
        <v>SENIOR</v>
      </c>
      <c r="O613" s="4" t="str">
        <f t="shared" si="18"/>
        <v>RECENTLY PROMOTED</v>
      </c>
      <c r="P613" s="5" t="str">
        <f t="shared" si="19"/>
        <v>Low_Pressure</v>
      </c>
      <c r="Q613" s="4" t="str">
        <f t="shared" si="20"/>
        <v>HIGHLY_ENGAGED</v>
      </c>
      <c r="R613" s="4" t="str">
        <f t="shared" si="21"/>
        <v>LOW</v>
      </c>
      <c r="S613" s="2"/>
      <c r="T613" s="2"/>
      <c r="U613" s="2"/>
      <c r="V613" s="2"/>
      <c r="W613" s="2"/>
      <c r="X613" s="2"/>
      <c r="Y613" s="2"/>
      <c r="Z613" s="2"/>
    </row>
    <row r="614" spans="1:26" ht="16.8" x14ac:dyDescent="0.3">
      <c r="A614" s="4">
        <v>846</v>
      </c>
      <c r="B614" s="4" t="s">
        <v>43</v>
      </c>
      <c r="C614" s="4">
        <v>28</v>
      </c>
      <c r="D614" s="4" t="s">
        <v>37</v>
      </c>
      <c r="E614" s="4" t="s">
        <v>40</v>
      </c>
      <c r="F614" s="4">
        <v>4779</v>
      </c>
      <c r="G614" s="4" t="s">
        <v>35</v>
      </c>
      <c r="H614" s="4">
        <v>8</v>
      </c>
      <c r="I614" s="4">
        <v>7</v>
      </c>
      <c r="J614" s="4">
        <v>2</v>
      </c>
      <c r="K614" s="4">
        <v>3</v>
      </c>
      <c r="L614" s="4" t="str">
        <f t="shared" si="15"/>
        <v>HIGH RISK</v>
      </c>
      <c r="M614" s="4" t="str">
        <f t="shared" si="16"/>
        <v>HIGH</v>
      </c>
      <c r="N614" s="4" t="str">
        <f t="shared" si="17"/>
        <v>SENIOR</v>
      </c>
      <c r="O614" s="4" t="str">
        <f t="shared" si="18"/>
        <v>STAGNANT</v>
      </c>
      <c r="P614" s="5" t="str">
        <f t="shared" si="19"/>
        <v>Medium_Pressure</v>
      </c>
      <c r="Q614" s="4" t="str">
        <f t="shared" si="20"/>
        <v>DISENGAGED</v>
      </c>
      <c r="R614" s="4" t="str">
        <f t="shared" si="21"/>
        <v>LOW</v>
      </c>
      <c r="S614" s="2"/>
      <c r="T614" s="2"/>
      <c r="U614" s="2"/>
      <c r="V614" s="2"/>
      <c r="W614" s="2"/>
      <c r="X614" s="2"/>
      <c r="Y614" s="2"/>
      <c r="Z614" s="2"/>
    </row>
    <row r="615" spans="1:26" ht="16.8" x14ac:dyDescent="0.3">
      <c r="A615" s="4">
        <v>847</v>
      </c>
      <c r="B615" s="4" t="s">
        <v>43</v>
      </c>
      <c r="C615" s="4">
        <v>34</v>
      </c>
      <c r="D615" s="4" t="s">
        <v>61</v>
      </c>
      <c r="E615" s="4" t="s">
        <v>61</v>
      </c>
      <c r="F615" s="4">
        <v>3737</v>
      </c>
      <c r="G615" s="4" t="s">
        <v>43</v>
      </c>
      <c r="H615" s="4">
        <v>3</v>
      </c>
      <c r="I615" s="4">
        <v>0</v>
      </c>
      <c r="J615" s="4">
        <v>4</v>
      </c>
      <c r="K615" s="4">
        <v>1</v>
      </c>
      <c r="L615" s="4" t="str">
        <f t="shared" si="15"/>
        <v>NORMAL</v>
      </c>
      <c r="M615" s="4" t="str">
        <f t="shared" si="16"/>
        <v>LOW</v>
      </c>
      <c r="N615" s="4" t="str">
        <f t="shared" si="17"/>
        <v>MID</v>
      </c>
      <c r="O615" s="4" t="str">
        <f t="shared" si="18"/>
        <v>RECENTLY PROMOTED</v>
      </c>
      <c r="P615" s="5" t="str">
        <f t="shared" si="19"/>
        <v>Low_Pressure</v>
      </c>
      <c r="Q615" s="4" t="str">
        <f t="shared" si="20"/>
        <v>DISENGAGED</v>
      </c>
      <c r="R615" s="4" t="str">
        <f t="shared" si="21"/>
        <v>LOW</v>
      </c>
      <c r="S615" s="2"/>
      <c r="T615" s="2"/>
      <c r="U615" s="2"/>
      <c r="V615" s="2"/>
      <c r="W615" s="2"/>
      <c r="X615" s="2"/>
      <c r="Y615" s="2"/>
      <c r="Z615" s="2"/>
    </row>
    <row r="616" spans="1:26" ht="16.8" x14ac:dyDescent="0.3">
      <c r="A616" s="4">
        <v>848</v>
      </c>
      <c r="B616" s="4" t="s">
        <v>35</v>
      </c>
      <c r="C616" s="4">
        <v>26</v>
      </c>
      <c r="D616" s="4" t="s">
        <v>45</v>
      </c>
      <c r="E616" s="4" t="s">
        <v>47</v>
      </c>
      <c r="F616" s="4">
        <v>2366</v>
      </c>
      <c r="G616" s="4" t="s">
        <v>35</v>
      </c>
      <c r="H616" s="4">
        <v>8</v>
      </c>
      <c r="I616" s="4">
        <v>1</v>
      </c>
      <c r="J616" s="4">
        <v>3</v>
      </c>
      <c r="K616" s="4">
        <v>3</v>
      </c>
      <c r="L616" s="4" t="str">
        <f t="shared" si="15"/>
        <v>NORMAL</v>
      </c>
      <c r="M616" s="4" t="str">
        <f t="shared" si="16"/>
        <v>LOW</v>
      </c>
      <c r="N616" s="4" t="str">
        <f t="shared" si="17"/>
        <v>SENIOR</v>
      </c>
      <c r="O616" s="4" t="str">
        <f t="shared" si="18"/>
        <v>RECENTLY PROMOTED</v>
      </c>
      <c r="P616" s="5" t="str">
        <f t="shared" si="19"/>
        <v>Medium_Pressure</v>
      </c>
      <c r="Q616" s="4" t="str">
        <f t="shared" si="20"/>
        <v>HIGHLY_ENGAGED</v>
      </c>
      <c r="R616" s="4" t="str">
        <f t="shared" si="21"/>
        <v>LOW</v>
      </c>
      <c r="S616" s="2"/>
      <c r="T616" s="2"/>
      <c r="U616" s="2"/>
      <c r="V616" s="2"/>
      <c r="W616" s="2"/>
      <c r="X616" s="2"/>
      <c r="Y616" s="2"/>
      <c r="Z616" s="2"/>
    </row>
    <row r="617" spans="1:26" ht="16.8" x14ac:dyDescent="0.3">
      <c r="A617" s="4">
        <v>850</v>
      </c>
      <c r="B617" s="4" t="s">
        <v>43</v>
      </c>
      <c r="C617" s="4">
        <v>27</v>
      </c>
      <c r="D617" s="4" t="s">
        <v>45</v>
      </c>
      <c r="E617" s="4" t="s">
        <v>47</v>
      </c>
      <c r="F617" s="4">
        <v>1706</v>
      </c>
      <c r="G617" s="4" t="s">
        <v>43</v>
      </c>
      <c r="H617" s="4">
        <v>0</v>
      </c>
      <c r="I617" s="4">
        <v>0</v>
      </c>
      <c r="J617" s="4">
        <v>4</v>
      </c>
      <c r="K617" s="4">
        <v>2</v>
      </c>
      <c r="L617" s="4" t="str">
        <f t="shared" si="15"/>
        <v>NORMAL</v>
      </c>
      <c r="M617" s="4" t="str">
        <f t="shared" si="16"/>
        <v>LOW</v>
      </c>
      <c r="N617" s="4" t="str">
        <f t="shared" si="17"/>
        <v>NEW</v>
      </c>
      <c r="O617" s="4" t="str">
        <f t="shared" si="18"/>
        <v>RECENTLY PROMOTED</v>
      </c>
      <c r="P617" s="5" t="str">
        <f t="shared" si="19"/>
        <v>Low_Pressure</v>
      </c>
      <c r="Q617" s="4" t="str">
        <f t="shared" si="20"/>
        <v>DISENGAGED</v>
      </c>
      <c r="R617" s="4" t="str">
        <f t="shared" si="21"/>
        <v>LOW</v>
      </c>
      <c r="S617" s="2"/>
      <c r="T617" s="2"/>
      <c r="U617" s="2"/>
      <c r="V617" s="2"/>
      <c r="W617" s="2"/>
      <c r="X617" s="2"/>
      <c r="Y617" s="2"/>
      <c r="Z617" s="2"/>
    </row>
    <row r="618" spans="1:26" ht="16.8" x14ac:dyDescent="0.3">
      <c r="A618" s="4">
        <v>851</v>
      </c>
      <c r="B618" s="4" t="s">
        <v>43</v>
      </c>
      <c r="C618" s="4">
        <v>51</v>
      </c>
      <c r="D618" s="4" t="s">
        <v>37</v>
      </c>
      <c r="E618" s="4" t="s">
        <v>56</v>
      </c>
      <c r="F618" s="4">
        <v>16307</v>
      </c>
      <c r="G618" s="4" t="s">
        <v>43</v>
      </c>
      <c r="H618" s="4">
        <v>20</v>
      </c>
      <c r="I618" s="4">
        <v>4</v>
      </c>
      <c r="J618" s="4">
        <v>3</v>
      </c>
      <c r="K618" s="4">
        <v>2</v>
      </c>
      <c r="L618" s="4" t="str">
        <f t="shared" si="15"/>
        <v>NORMAL</v>
      </c>
      <c r="M618" s="4" t="str">
        <f t="shared" si="16"/>
        <v>MEDIUM</v>
      </c>
      <c r="N618" s="4" t="str">
        <f t="shared" si="17"/>
        <v>SENIOR</v>
      </c>
      <c r="O618" s="4" t="str">
        <f t="shared" si="18"/>
        <v>STAGNANT</v>
      </c>
      <c r="P618" s="5" t="str">
        <f t="shared" si="19"/>
        <v>Low_Pressure</v>
      </c>
      <c r="Q618" s="4" t="str">
        <f t="shared" si="20"/>
        <v>DISENGAGED</v>
      </c>
      <c r="R618" s="4" t="str">
        <f t="shared" si="21"/>
        <v>LOW</v>
      </c>
      <c r="S618" s="2"/>
      <c r="T618" s="2"/>
      <c r="U618" s="2"/>
      <c r="V618" s="2"/>
      <c r="W618" s="2"/>
      <c r="X618" s="2"/>
      <c r="Y618" s="2"/>
      <c r="Z618" s="2"/>
    </row>
    <row r="619" spans="1:26" ht="16.8" x14ac:dyDescent="0.3">
      <c r="A619" s="4">
        <v>852</v>
      </c>
      <c r="B619" s="4" t="s">
        <v>43</v>
      </c>
      <c r="C619" s="4">
        <v>44</v>
      </c>
      <c r="D619" s="4" t="s">
        <v>45</v>
      </c>
      <c r="E619" s="4" t="s">
        <v>54</v>
      </c>
      <c r="F619" s="4">
        <v>5933</v>
      </c>
      <c r="G619" s="4" t="s">
        <v>43</v>
      </c>
      <c r="H619" s="4">
        <v>5</v>
      </c>
      <c r="I619" s="4">
        <v>2</v>
      </c>
      <c r="J619" s="4">
        <v>2</v>
      </c>
      <c r="K619" s="4">
        <v>2</v>
      </c>
      <c r="L619" s="4" t="str">
        <f t="shared" si="15"/>
        <v>NORMAL</v>
      </c>
      <c r="M619" s="4" t="str">
        <f t="shared" si="16"/>
        <v>HIGH</v>
      </c>
      <c r="N619" s="4" t="str">
        <f t="shared" si="17"/>
        <v>MID</v>
      </c>
      <c r="O619" s="4" t="str">
        <f t="shared" si="18"/>
        <v>MODERATE-WAIT</v>
      </c>
      <c r="P619" s="5" t="str">
        <f t="shared" si="19"/>
        <v>Low_Pressure</v>
      </c>
      <c r="Q619" s="4" t="str">
        <f t="shared" si="20"/>
        <v>DISENGAGED</v>
      </c>
      <c r="R619" s="4" t="str">
        <f t="shared" si="21"/>
        <v>LOW</v>
      </c>
      <c r="S619" s="2"/>
      <c r="T619" s="2"/>
      <c r="U619" s="2"/>
      <c r="V619" s="2"/>
      <c r="W619" s="2"/>
      <c r="X619" s="2"/>
      <c r="Y619" s="2"/>
      <c r="Z619" s="2"/>
    </row>
    <row r="620" spans="1:26" ht="16.8" x14ac:dyDescent="0.3">
      <c r="A620" s="4">
        <v>854</v>
      </c>
      <c r="B620" s="4" t="s">
        <v>43</v>
      </c>
      <c r="C620" s="4">
        <v>25</v>
      </c>
      <c r="D620" s="4" t="s">
        <v>45</v>
      </c>
      <c r="E620" s="4" t="s">
        <v>47</v>
      </c>
      <c r="F620" s="4">
        <v>3424</v>
      </c>
      <c r="G620" s="4" t="s">
        <v>43</v>
      </c>
      <c r="H620" s="4">
        <v>4</v>
      </c>
      <c r="I620" s="4">
        <v>0</v>
      </c>
      <c r="J620" s="4">
        <v>1</v>
      </c>
      <c r="K620" s="4">
        <v>2</v>
      </c>
      <c r="L620" s="4" t="str">
        <f t="shared" si="15"/>
        <v>NORMAL</v>
      </c>
      <c r="M620" s="4" t="str">
        <f t="shared" si="16"/>
        <v>LOW</v>
      </c>
      <c r="N620" s="4" t="str">
        <f t="shared" si="17"/>
        <v>MID</v>
      </c>
      <c r="O620" s="4" t="str">
        <f t="shared" si="18"/>
        <v>RECENTLY PROMOTED</v>
      </c>
      <c r="P620" s="5" t="str">
        <f t="shared" si="19"/>
        <v>Low_Pressure</v>
      </c>
      <c r="Q620" s="4" t="str">
        <f t="shared" si="20"/>
        <v>DISENGAGED</v>
      </c>
      <c r="R620" s="4" t="str">
        <f t="shared" si="21"/>
        <v>LOW</v>
      </c>
      <c r="S620" s="2"/>
      <c r="T620" s="2"/>
      <c r="U620" s="2"/>
      <c r="V620" s="2"/>
      <c r="W620" s="2"/>
      <c r="X620" s="2"/>
      <c r="Y620" s="2"/>
      <c r="Z620" s="2"/>
    </row>
    <row r="621" spans="1:26" ht="16.8" x14ac:dyDescent="0.3">
      <c r="A621" s="4">
        <v>855</v>
      </c>
      <c r="B621" s="4" t="s">
        <v>43</v>
      </c>
      <c r="C621" s="4">
        <v>33</v>
      </c>
      <c r="D621" s="4" t="s">
        <v>37</v>
      </c>
      <c r="E621" s="4" t="s">
        <v>40</v>
      </c>
      <c r="F621" s="4">
        <v>4037</v>
      </c>
      <c r="G621" s="4" t="s">
        <v>43</v>
      </c>
      <c r="H621" s="4">
        <v>9</v>
      </c>
      <c r="I621" s="4">
        <v>0</v>
      </c>
      <c r="J621" s="4">
        <v>1</v>
      </c>
      <c r="K621" s="4">
        <v>3</v>
      </c>
      <c r="L621" s="4" t="str">
        <f t="shared" si="15"/>
        <v>NORMAL</v>
      </c>
      <c r="M621" s="4" t="str">
        <f t="shared" si="16"/>
        <v>HIGH</v>
      </c>
      <c r="N621" s="4" t="str">
        <f t="shared" si="17"/>
        <v>SENIOR</v>
      </c>
      <c r="O621" s="4" t="str">
        <f t="shared" si="18"/>
        <v>RECENTLY PROMOTED</v>
      </c>
      <c r="P621" s="5" t="str">
        <f t="shared" si="19"/>
        <v>Medium_Pressure</v>
      </c>
      <c r="Q621" s="4" t="str">
        <f t="shared" si="20"/>
        <v>DISENGAGED</v>
      </c>
      <c r="R621" s="4" t="str">
        <f t="shared" si="21"/>
        <v>LOW</v>
      </c>
      <c r="S621" s="2"/>
      <c r="T621" s="2"/>
      <c r="U621" s="2"/>
      <c r="V621" s="2"/>
      <c r="W621" s="2"/>
      <c r="X621" s="2"/>
      <c r="Y621" s="2"/>
      <c r="Z621" s="2"/>
    </row>
    <row r="622" spans="1:26" ht="16.8" x14ac:dyDescent="0.3">
      <c r="A622" s="4">
        <v>856</v>
      </c>
      <c r="B622" s="4" t="s">
        <v>43</v>
      </c>
      <c r="C622" s="4">
        <v>35</v>
      </c>
      <c r="D622" s="4" t="s">
        <v>45</v>
      </c>
      <c r="E622" s="4" t="s">
        <v>47</v>
      </c>
      <c r="F622" s="4">
        <v>2559</v>
      </c>
      <c r="G622" s="4" t="s">
        <v>43</v>
      </c>
      <c r="H622" s="4">
        <v>6</v>
      </c>
      <c r="I622" s="4">
        <v>1</v>
      </c>
      <c r="J622" s="4">
        <v>1</v>
      </c>
      <c r="K622" s="4">
        <v>2</v>
      </c>
      <c r="L622" s="4" t="str">
        <f t="shared" si="15"/>
        <v>NORMAL</v>
      </c>
      <c r="M622" s="4" t="str">
        <f t="shared" si="16"/>
        <v>LOW</v>
      </c>
      <c r="N622" s="4" t="str">
        <f t="shared" si="17"/>
        <v>MID</v>
      </c>
      <c r="O622" s="4" t="str">
        <f t="shared" si="18"/>
        <v>RECENTLY PROMOTED</v>
      </c>
      <c r="P622" s="5" t="str">
        <f t="shared" si="19"/>
        <v>Low_Pressure</v>
      </c>
      <c r="Q622" s="4" t="str">
        <f t="shared" si="20"/>
        <v>DISENGAGED</v>
      </c>
      <c r="R622" s="4" t="str">
        <f t="shared" si="21"/>
        <v>LOW</v>
      </c>
      <c r="S622" s="2"/>
      <c r="T622" s="2"/>
      <c r="U622" s="2"/>
      <c r="V622" s="2"/>
      <c r="W622" s="2"/>
      <c r="X622" s="2"/>
      <c r="Y622" s="2"/>
      <c r="Z622" s="2"/>
    </row>
    <row r="623" spans="1:26" ht="16.8" x14ac:dyDescent="0.3">
      <c r="A623" s="4">
        <v>857</v>
      </c>
      <c r="B623" s="4" t="s">
        <v>43</v>
      </c>
      <c r="C623" s="4">
        <v>36</v>
      </c>
      <c r="D623" s="4" t="s">
        <v>37</v>
      </c>
      <c r="E623" s="4" t="s">
        <v>40</v>
      </c>
      <c r="F623" s="4">
        <v>6201</v>
      </c>
      <c r="G623" s="4" t="s">
        <v>35</v>
      </c>
      <c r="H623" s="4">
        <v>18</v>
      </c>
      <c r="I623" s="4">
        <v>4</v>
      </c>
      <c r="J623" s="4">
        <v>4</v>
      </c>
      <c r="K623" s="4">
        <v>2</v>
      </c>
      <c r="L623" s="4" t="str">
        <f t="shared" si="15"/>
        <v>NORMAL</v>
      </c>
      <c r="M623" s="4" t="str">
        <f t="shared" si="16"/>
        <v>HIGH</v>
      </c>
      <c r="N623" s="4" t="str">
        <f t="shared" si="17"/>
        <v>SENIOR</v>
      </c>
      <c r="O623" s="4" t="str">
        <f t="shared" si="18"/>
        <v>STAGNANT</v>
      </c>
      <c r="P623" s="5" t="str">
        <f t="shared" si="19"/>
        <v>High_Pressure</v>
      </c>
      <c r="Q623" s="4" t="str">
        <f t="shared" si="20"/>
        <v>DISENGAGED</v>
      </c>
      <c r="R623" s="4" t="str">
        <f t="shared" si="21"/>
        <v>LOW</v>
      </c>
      <c r="S623" s="2"/>
      <c r="T623" s="2"/>
      <c r="U623" s="2"/>
      <c r="V623" s="2"/>
      <c r="W623" s="2"/>
      <c r="X623" s="2"/>
      <c r="Y623" s="2"/>
      <c r="Z623" s="2"/>
    </row>
    <row r="624" spans="1:26" ht="16.8" x14ac:dyDescent="0.3">
      <c r="A624" s="4">
        <v>859</v>
      </c>
      <c r="B624" s="4" t="s">
        <v>43</v>
      </c>
      <c r="C624" s="4">
        <v>32</v>
      </c>
      <c r="D624" s="4" t="s">
        <v>37</v>
      </c>
      <c r="E624" s="4" t="s">
        <v>40</v>
      </c>
      <c r="F624" s="4">
        <v>4403</v>
      </c>
      <c r="G624" s="4" t="s">
        <v>43</v>
      </c>
      <c r="H624" s="4">
        <v>5</v>
      </c>
      <c r="I624" s="4">
        <v>0</v>
      </c>
      <c r="J624" s="4">
        <v>4</v>
      </c>
      <c r="K624" s="4">
        <v>2</v>
      </c>
      <c r="L624" s="4" t="str">
        <f t="shared" si="15"/>
        <v>NORMAL</v>
      </c>
      <c r="M624" s="4" t="str">
        <f t="shared" si="16"/>
        <v>HIGH</v>
      </c>
      <c r="N624" s="4" t="str">
        <f t="shared" si="17"/>
        <v>MID</v>
      </c>
      <c r="O624" s="4" t="str">
        <f t="shared" si="18"/>
        <v>RECENTLY PROMOTED</v>
      </c>
      <c r="P624" s="5" t="str">
        <f t="shared" si="19"/>
        <v>Low_Pressure</v>
      </c>
      <c r="Q624" s="4" t="str">
        <f t="shared" si="20"/>
        <v>DISENGAGED</v>
      </c>
      <c r="R624" s="4" t="str">
        <f t="shared" si="21"/>
        <v>LOW</v>
      </c>
      <c r="S624" s="2"/>
      <c r="T624" s="2"/>
      <c r="U624" s="2"/>
      <c r="V624" s="2"/>
      <c r="W624" s="2"/>
      <c r="X624" s="2"/>
      <c r="Y624" s="2"/>
      <c r="Z624" s="2"/>
    </row>
    <row r="625" spans="1:26" ht="16.8" x14ac:dyDescent="0.3">
      <c r="A625" s="4">
        <v>861</v>
      </c>
      <c r="B625" s="4" t="s">
        <v>43</v>
      </c>
      <c r="C625" s="4">
        <v>30</v>
      </c>
      <c r="D625" s="4" t="s">
        <v>45</v>
      </c>
      <c r="E625" s="4" t="s">
        <v>47</v>
      </c>
      <c r="F625" s="4">
        <v>3761</v>
      </c>
      <c r="G625" s="4" t="s">
        <v>43</v>
      </c>
      <c r="H625" s="4">
        <v>5</v>
      </c>
      <c r="I625" s="4">
        <v>0</v>
      </c>
      <c r="J625" s="4">
        <v>4</v>
      </c>
      <c r="K625" s="4">
        <v>2</v>
      </c>
      <c r="L625" s="4" t="str">
        <f t="shared" si="15"/>
        <v>NORMAL</v>
      </c>
      <c r="M625" s="4" t="str">
        <f t="shared" si="16"/>
        <v>LOW</v>
      </c>
      <c r="N625" s="4" t="str">
        <f t="shared" si="17"/>
        <v>MID</v>
      </c>
      <c r="O625" s="4" t="str">
        <f t="shared" si="18"/>
        <v>RECENTLY PROMOTED</v>
      </c>
      <c r="P625" s="5" t="str">
        <f t="shared" si="19"/>
        <v>Low_Pressure</v>
      </c>
      <c r="Q625" s="4" t="str">
        <f t="shared" si="20"/>
        <v>DISENGAGED</v>
      </c>
      <c r="R625" s="4" t="str">
        <f t="shared" si="21"/>
        <v>LOW</v>
      </c>
      <c r="S625" s="2"/>
      <c r="T625" s="2"/>
      <c r="U625" s="2"/>
      <c r="V625" s="2"/>
      <c r="W625" s="2"/>
      <c r="X625" s="2"/>
      <c r="Y625" s="2"/>
      <c r="Z625" s="2"/>
    </row>
    <row r="626" spans="1:26" ht="16.8" x14ac:dyDescent="0.3">
      <c r="A626" s="4">
        <v>862</v>
      </c>
      <c r="B626" s="4" t="s">
        <v>43</v>
      </c>
      <c r="C626" s="4">
        <v>53</v>
      </c>
      <c r="D626" s="4" t="s">
        <v>37</v>
      </c>
      <c r="E626" s="4" t="s">
        <v>40</v>
      </c>
      <c r="F626" s="4">
        <v>10934</v>
      </c>
      <c r="G626" s="4" t="s">
        <v>35</v>
      </c>
      <c r="H626" s="4">
        <v>5</v>
      </c>
      <c r="I626" s="4">
        <v>0</v>
      </c>
      <c r="J626" s="4">
        <v>4</v>
      </c>
      <c r="K626" s="4">
        <v>3</v>
      </c>
      <c r="L626" s="4" t="str">
        <f t="shared" si="15"/>
        <v>NORMAL</v>
      </c>
      <c r="M626" s="4" t="str">
        <f t="shared" si="16"/>
        <v>MEDIUM</v>
      </c>
      <c r="N626" s="4" t="str">
        <f t="shared" si="17"/>
        <v>MID</v>
      </c>
      <c r="O626" s="4" t="str">
        <f t="shared" si="18"/>
        <v>RECENTLY PROMOTED</v>
      </c>
      <c r="P626" s="5" t="str">
        <f t="shared" si="19"/>
        <v>Medium_Pressure</v>
      </c>
      <c r="Q626" s="4" t="str">
        <f t="shared" si="20"/>
        <v>HIGHLY_ENGAGED</v>
      </c>
      <c r="R626" s="4" t="str">
        <f t="shared" si="21"/>
        <v>LOW</v>
      </c>
      <c r="S626" s="2"/>
      <c r="T626" s="2"/>
      <c r="U626" s="2"/>
      <c r="V626" s="2"/>
      <c r="W626" s="2"/>
      <c r="X626" s="2"/>
      <c r="Y626" s="2"/>
      <c r="Z626" s="2"/>
    </row>
    <row r="627" spans="1:26" ht="16.8" x14ac:dyDescent="0.3">
      <c r="A627" s="4">
        <v>864</v>
      </c>
      <c r="B627" s="4" t="s">
        <v>43</v>
      </c>
      <c r="C627" s="4">
        <v>45</v>
      </c>
      <c r="D627" s="4" t="s">
        <v>37</v>
      </c>
      <c r="E627" s="4" t="s">
        <v>40</v>
      </c>
      <c r="F627" s="4">
        <v>10761</v>
      </c>
      <c r="G627" s="4" t="s">
        <v>35</v>
      </c>
      <c r="H627" s="4">
        <v>5</v>
      </c>
      <c r="I627" s="4">
        <v>0</v>
      </c>
      <c r="J627" s="4">
        <v>1</v>
      </c>
      <c r="K627" s="4">
        <v>3</v>
      </c>
      <c r="L627" s="4" t="str">
        <f t="shared" si="15"/>
        <v>NORMAL</v>
      </c>
      <c r="M627" s="4" t="str">
        <f t="shared" si="16"/>
        <v>MEDIUM</v>
      </c>
      <c r="N627" s="4" t="str">
        <f t="shared" si="17"/>
        <v>MID</v>
      </c>
      <c r="O627" s="4" t="str">
        <f t="shared" si="18"/>
        <v>RECENTLY PROMOTED</v>
      </c>
      <c r="P627" s="5" t="str">
        <f t="shared" si="19"/>
        <v>Medium_Pressure</v>
      </c>
      <c r="Q627" s="4" t="str">
        <f t="shared" si="20"/>
        <v>DISENGAGED</v>
      </c>
      <c r="R627" s="4" t="str">
        <f t="shared" si="21"/>
        <v>LOW</v>
      </c>
      <c r="S627" s="2"/>
      <c r="T627" s="2"/>
      <c r="U627" s="2"/>
      <c r="V627" s="2"/>
      <c r="W627" s="2"/>
      <c r="X627" s="2"/>
      <c r="Y627" s="2"/>
      <c r="Z627" s="2"/>
    </row>
    <row r="628" spans="1:26" ht="16.8" x14ac:dyDescent="0.3">
      <c r="A628" s="4">
        <v>865</v>
      </c>
      <c r="B628" s="4" t="s">
        <v>43</v>
      </c>
      <c r="C628" s="4">
        <v>32</v>
      </c>
      <c r="D628" s="4" t="s">
        <v>45</v>
      </c>
      <c r="E628" s="4" t="s">
        <v>47</v>
      </c>
      <c r="F628" s="4">
        <v>5175</v>
      </c>
      <c r="G628" s="4" t="s">
        <v>43</v>
      </c>
      <c r="H628" s="4">
        <v>5</v>
      </c>
      <c r="I628" s="4">
        <v>1</v>
      </c>
      <c r="J628" s="4">
        <v>3</v>
      </c>
      <c r="K628" s="4">
        <v>2</v>
      </c>
      <c r="L628" s="4" t="str">
        <f t="shared" si="15"/>
        <v>NORMAL</v>
      </c>
      <c r="M628" s="4" t="str">
        <f t="shared" si="16"/>
        <v>HIGH</v>
      </c>
      <c r="N628" s="4" t="str">
        <f t="shared" si="17"/>
        <v>MID</v>
      </c>
      <c r="O628" s="4" t="str">
        <f t="shared" si="18"/>
        <v>RECENTLY PROMOTED</v>
      </c>
      <c r="P628" s="5" t="str">
        <f t="shared" si="19"/>
        <v>Low_Pressure</v>
      </c>
      <c r="Q628" s="4" t="str">
        <f t="shared" si="20"/>
        <v>DISENGAGED</v>
      </c>
      <c r="R628" s="4" t="str">
        <f t="shared" si="21"/>
        <v>LOW</v>
      </c>
      <c r="S628" s="2"/>
      <c r="T628" s="2"/>
      <c r="U628" s="2"/>
      <c r="V628" s="2"/>
      <c r="W628" s="2"/>
      <c r="X628" s="2"/>
      <c r="Y628" s="2"/>
      <c r="Z628" s="2"/>
    </row>
    <row r="629" spans="1:26" ht="16.8" x14ac:dyDescent="0.3">
      <c r="A629" s="4">
        <v>867</v>
      </c>
      <c r="B629" s="4" t="s">
        <v>43</v>
      </c>
      <c r="C629" s="4">
        <v>52</v>
      </c>
      <c r="D629" s="4" t="s">
        <v>45</v>
      </c>
      <c r="E629" s="4" t="s">
        <v>53</v>
      </c>
      <c r="F629" s="4">
        <v>13826</v>
      </c>
      <c r="G629" s="4" t="s">
        <v>43</v>
      </c>
      <c r="H629" s="4">
        <v>9</v>
      </c>
      <c r="I629" s="4">
        <v>0</v>
      </c>
      <c r="J629" s="4">
        <v>4</v>
      </c>
      <c r="K629" s="4">
        <v>3</v>
      </c>
      <c r="L629" s="4" t="str">
        <f t="shared" si="15"/>
        <v>NORMAL</v>
      </c>
      <c r="M629" s="4" t="str">
        <f t="shared" si="16"/>
        <v>MEDIUM</v>
      </c>
      <c r="N629" s="4" t="str">
        <f t="shared" si="17"/>
        <v>SENIOR</v>
      </c>
      <c r="O629" s="4" t="str">
        <f t="shared" si="18"/>
        <v>RECENTLY PROMOTED</v>
      </c>
      <c r="P629" s="5" t="str">
        <f t="shared" si="19"/>
        <v>Medium_Pressure</v>
      </c>
      <c r="Q629" s="4" t="str">
        <f t="shared" si="20"/>
        <v>HIGHLY_ENGAGED</v>
      </c>
      <c r="R629" s="4" t="str">
        <f t="shared" si="21"/>
        <v>LOW</v>
      </c>
      <c r="S629" s="2"/>
      <c r="T629" s="2"/>
      <c r="U629" s="2"/>
      <c r="V629" s="2"/>
      <c r="W629" s="2"/>
      <c r="X629" s="2"/>
      <c r="Y629" s="2"/>
      <c r="Z629" s="2"/>
    </row>
    <row r="630" spans="1:26" ht="16.8" x14ac:dyDescent="0.3">
      <c r="A630" s="4">
        <v>868</v>
      </c>
      <c r="B630" s="4" t="s">
        <v>43</v>
      </c>
      <c r="C630" s="4">
        <v>37</v>
      </c>
      <c r="D630" s="4" t="s">
        <v>37</v>
      </c>
      <c r="E630" s="4" t="s">
        <v>40</v>
      </c>
      <c r="F630" s="4">
        <v>6334</v>
      </c>
      <c r="G630" s="4" t="s">
        <v>43</v>
      </c>
      <c r="H630" s="4">
        <v>1</v>
      </c>
      <c r="I630" s="4">
        <v>0</v>
      </c>
      <c r="J630" s="4">
        <v>3</v>
      </c>
      <c r="K630" s="4">
        <v>3</v>
      </c>
      <c r="L630" s="4" t="str">
        <f t="shared" si="15"/>
        <v>NORMAL</v>
      </c>
      <c r="M630" s="4" t="str">
        <f t="shared" si="16"/>
        <v>HIGH</v>
      </c>
      <c r="N630" s="4" t="str">
        <f t="shared" si="17"/>
        <v>NEW</v>
      </c>
      <c r="O630" s="4" t="str">
        <f t="shared" si="18"/>
        <v>RECENTLY PROMOTED</v>
      </c>
      <c r="P630" s="5" t="str">
        <f t="shared" si="19"/>
        <v>Medium_Pressure</v>
      </c>
      <c r="Q630" s="4" t="str">
        <f t="shared" si="20"/>
        <v>HIGHLY_ENGAGED</v>
      </c>
      <c r="R630" s="4" t="str">
        <f t="shared" si="21"/>
        <v>LOW</v>
      </c>
      <c r="S630" s="2"/>
      <c r="T630" s="2"/>
      <c r="U630" s="2"/>
      <c r="V630" s="2"/>
      <c r="W630" s="2"/>
      <c r="X630" s="2"/>
      <c r="Y630" s="2"/>
      <c r="Z630" s="2"/>
    </row>
    <row r="631" spans="1:26" ht="16.8" x14ac:dyDescent="0.3">
      <c r="A631" s="4">
        <v>869</v>
      </c>
      <c r="B631" s="4" t="s">
        <v>43</v>
      </c>
      <c r="C631" s="4">
        <v>28</v>
      </c>
      <c r="D631" s="4" t="s">
        <v>61</v>
      </c>
      <c r="E631" s="4" t="s">
        <v>61</v>
      </c>
      <c r="F631" s="4">
        <v>4936</v>
      </c>
      <c r="G631" s="4" t="s">
        <v>43</v>
      </c>
      <c r="H631" s="4">
        <v>5</v>
      </c>
      <c r="I631" s="4">
        <v>0</v>
      </c>
      <c r="J631" s="4">
        <v>4</v>
      </c>
      <c r="K631" s="4">
        <v>3</v>
      </c>
      <c r="L631" s="4" t="str">
        <f t="shared" si="15"/>
        <v>NORMAL</v>
      </c>
      <c r="M631" s="4" t="str">
        <f t="shared" si="16"/>
        <v>HIGH</v>
      </c>
      <c r="N631" s="4" t="str">
        <f t="shared" si="17"/>
        <v>MID</v>
      </c>
      <c r="O631" s="4" t="str">
        <f t="shared" si="18"/>
        <v>RECENTLY PROMOTED</v>
      </c>
      <c r="P631" s="5" t="str">
        <f t="shared" si="19"/>
        <v>Medium_Pressure</v>
      </c>
      <c r="Q631" s="4" t="str">
        <f t="shared" si="20"/>
        <v>HIGHLY_ENGAGED</v>
      </c>
      <c r="R631" s="4" t="str">
        <f t="shared" si="21"/>
        <v>LOW</v>
      </c>
      <c r="S631" s="2"/>
      <c r="T631" s="2"/>
      <c r="U631" s="2"/>
      <c r="V631" s="2"/>
      <c r="W631" s="2"/>
      <c r="X631" s="2"/>
      <c r="Y631" s="2"/>
      <c r="Z631" s="2"/>
    </row>
    <row r="632" spans="1:26" ht="16.8" x14ac:dyDescent="0.3">
      <c r="A632" s="4">
        <v>872</v>
      </c>
      <c r="B632" s="4" t="s">
        <v>43</v>
      </c>
      <c r="C632" s="4">
        <v>22</v>
      </c>
      <c r="D632" s="4" t="s">
        <v>45</v>
      </c>
      <c r="E632" s="4" t="s">
        <v>53</v>
      </c>
      <c r="F632" s="4">
        <v>4775</v>
      </c>
      <c r="G632" s="4" t="s">
        <v>43</v>
      </c>
      <c r="H632" s="4">
        <v>2</v>
      </c>
      <c r="I632" s="4">
        <v>2</v>
      </c>
      <c r="J632" s="4">
        <v>4</v>
      </c>
      <c r="K632" s="4">
        <v>1</v>
      </c>
      <c r="L632" s="4" t="str">
        <f t="shared" si="15"/>
        <v>NORMAL</v>
      </c>
      <c r="M632" s="4" t="str">
        <f t="shared" si="16"/>
        <v>HIGH</v>
      </c>
      <c r="N632" s="4" t="str">
        <f t="shared" si="17"/>
        <v>NEW</v>
      </c>
      <c r="O632" s="4" t="str">
        <f t="shared" si="18"/>
        <v>MODERATE-WAIT</v>
      </c>
      <c r="P632" s="5" t="str">
        <f t="shared" si="19"/>
        <v>Low_Pressure</v>
      </c>
      <c r="Q632" s="4" t="str">
        <f t="shared" si="20"/>
        <v>DISENGAGED</v>
      </c>
      <c r="R632" s="4" t="str">
        <f t="shared" si="21"/>
        <v>LOW</v>
      </c>
      <c r="S632" s="2"/>
      <c r="T632" s="2"/>
      <c r="U632" s="2"/>
      <c r="V632" s="2"/>
      <c r="W632" s="2"/>
      <c r="X632" s="2"/>
      <c r="Y632" s="2"/>
      <c r="Z632" s="2"/>
    </row>
    <row r="633" spans="1:26" ht="16.8" x14ac:dyDescent="0.3">
      <c r="A633" s="4">
        <v>874</v>
      </c>
      <c r="B633" s="4" t="s">
        <v>43</v>
      </c>
      <c r="C633" s="4">
        <v>44</v>
      </c>
      <c r="D633" s="4" t="s">
        <v>45</v>
      </c>
      <c r="E633" s="4" t="s">
        <v>50</v>
      </c>
      <c r="F633" s="4">
        <v>2818</v>
      </c>
      <c r="G633" s="4" t="s">
        <v>35</v>
      </c>
      <c r="H633" s="4">
        <v>3</v>
      </c>
      <c r="I633" s="4">
        <v>0</v>
      </c>
      <c r="J633" s="4">
        <v>4</v>
      </c>
      <c r="K633" s="4">
        <v>2</v>
      </c>
      <c r="L633" s="4" t="str">
        <f t="shared" si="15"/>
        <v>NORMAL</v>
      </c>
      <c r="M633" s="4" t="str">
        <f t="shared" si="16"/>
        <v>LOW</v>
      </c>
      <c r="N633" s="4" t="str">
        <f t="shared" si="17"/>
        <v>MID</v>
      </c>
      <c r="O633" s="4" t="str">
        <f t="shared" si="18"/>
        <v>RECENTLY PROMOTED</v>
      </c>
      <c r="P633" s="5" t="str">
        <f t="shared" si="19"/>
        <v>High_Pressure</v>
      </c>
      <c r="Q633" s="4" t="str">
        <f t="shared" si="20"/>
        <v>DISENGAGED</v>
      </c>
      <c r="R633" s="4" t="str">
        <f t="shared" si="21"/>
        <v>LOW</v>
      </c>
      <c r="S633" s="2"/>
      <c r="T633" s="2"/>
      <c r="U633" s="2"/>
      <c r="V633" s="2"/>
      <c r="W633" s="2"/>
      <c r="X633" s="2"/>
      <c r="Y633" s="2"/>
      <c r="Z633" s="2"/>
    </row>
    <row r="634" spans="1:26" ht="16.8" x14ac:dyDescent="0.3">
      <c r="A634" s="4">
        <v>875</v>
      </c>
      <c r="B634" s="4" t="s">
        <v>43</v>
      </c>
      <c r="C634" s="4">
        <v>42</v>
      </c>
      <c r="D634" s="4" t="s">
        <v>45</v>
      </c>
      <c r="E634" s="4" t="s">
        <v>47</v>
      </c>
      <c r="F634" s="4">
        <v>2515</v>
      </c>
      <c r="G634" s="4" t="s">
        <v>35</v>
      </c>
      <c r="H634" s="4">
        <v>2</v>
      </c>
      <c r="I634" s="4">
        <v>2</v>
      </c>
      <c r="J634" s="4">
        <v>4</v>
      </c>
      <c r="K634" s="4">
        <v>3</v>
      </c>
      <c r="L634" s="4" t="str">
        <f t="shared" si="15"/>
        <v>NORMAL</v>
      </c>
      <c r="M634" s="4" t="str">
        <f t="shared" si="16"/>
        <v>LOW</v>
      </c>
      <c r="N634" s="4" t="str">
        <f t="shared" si="17"/>
        <v>NEW</v>
      </c>
      <c r="O634" s="4" t="str">
        <f t="shared" si="18"/>
        <v>MODERATE-WAIT</v>
      </c>
      <c r="P634" s="5" t="str">
        <f t="shared" si="19"/>
        <v>Medium_Pressure</v>
      </c>
      <c r="Q634" s="4" t="str">
        <f t="shared" si="20"/>
        <v>HIGHLY_ENGAGED</v>
      </c>
      <c r="R634" s="4" t="str">
        <f t="shared" si="21"/>
        <v>LOW</v>
      </c>
      <c r="S634" s="2"/>
      <c r="T634" s="2"/>
      <c r="U634" s="2"/>
      <c r="V634" s="2"/>
      <c r="W634" s="2"/>
      <c r="X634" s="2"/>
      <c r="Y634" s="2"/>
      <c r="Z634" s="2"/>
    </row>
    <row r="635" spans="1:26" ht="16.8" x14ac:dyDescent="0.3">
      <c r="A635" s="4">
        <v>878</v>
      </c>
      <c r="B635" s="4" t="s">
        <v>43</v>
      </c>
      <c r="C635" s="4">
        <v>36</v>
      </c>
      <c r="D635" s="4" t="s">
        <v>61</v>
      </c>
      <c r="E635" s="4" t="s">
        <v>61</v>
      </c>
      <c r="F635" s="4">
        <v>2342</v>
      </c>
      <c r="G635" s="4" t="s">
        <v>43</v>
      </c>
      <c r="H635" s="4">
        <v>5</v>
      </c>
      <c r="I635" s="4">
        <v>0</v>
      </c>
      <c r="J635" s="4">
        <v>1</v>
      </c>
      <c r="K635" s="4">
        <v>3</v>
      </c>
      <c r="L635" s="4" t="str">
        <f t="shared" si="15"/>
        <v>NORMAL</v>
      </c>
      <c r="M635" s="4" t="str">
        <f t="shared" si="16"/>
        <v>LOW</v>
      </c>
      <c r="N635" s="4" t="str">
        <f t="shared" si="17"/>
        <v>MID</v>
      </c>
      <c r="O635" s="4" t="str">
        <f t="shared" si="18"/>
        <v>RECENTLY PROMOTED</v>
      </c>
      <c r="P635" s="5" t="str">
        <f t="shared" si="19"/>
        <v>Medium_Pressure</v>
      </c>
      <c r="Q635" s="4" t="str">
        <f t="shared" si="20"/>
        <v>DISENGAGED</v>
      </c>
      <c r="R635" s="4" t="str">
        <f t="shared" si="21"/>
        <v>LOW</v>
      </c>
      <c r="S635" s="2"/>
      <c r="T635" s="2"/>
      <c r="U635" s="2"/>
      <c r="V635" s="2"/>
      <c r="W635" s="2"/>
      <c r="X635" s="2"/>
      <c r="Y635" s="2"/>
      <c r="Z635" s="2"/>
    </row>
    <row r="636" spans="1:26" ht="16.8" x14ac:dyDescent="0.3">
      <c r="A636" s="4">
        <v>879</v>
      </c>
      <c r="B636" s="4" t="s">
        <v>43</v>
      </c>
      <c r="C636" s="4">
        <v>25</v>
      </c>
      <c r="D636" s="4" t="s">
        <v>37</v>
      </c>
      <c r="E636" s="4" t="s">
        <v>40</v>
      </c>
      <c r="F636" s="4">
        <v>4194</v>
      </c>
      <c r="G636" s="4" t="s">
        <v>35</v>
      </c>
      <c r="H636" s="4">
        <v>5</v>
      </c>
      <c r="I636" s="4">
        <v>0</v>
      </c>
      <c r="J636" s="4">
        <v>1</v>
      </c>
      <c r="K636" s="4">
        <v>3</v>
      </c>
      <c r="L636" s="4" t="str">
        <f t="shared" si="15"/>
        <v>NORMAL</v>
      </c>
      <c r="M636" s="4" t="str">
        <f t="shared" si="16"/>
        <v>HIGH</v>
      </c>
      <c r="N636" s="4" t="str">
        <f t="shared" si="17"/>
        <v>MID</v>
      </c>
      <c r="O636" s="4" t="str">
        <f t="shared" si="18"/>
        <v>RECENTLY PROMOTED</v>
      </c>
      <c r="P636" s="5" t="str">
        <f t="shared" si="19"/>
        <v>Medium_Pressure</v>
      </c>
      <c r="Q636" s="4" t="str">
        <f t="shared" si="20"/>
        <v>DISENGAGED</v>
      </c>
      <c r="R636" s="4" t="str">
        <f t="shared" si="21"/>
        <v>LOW</v>
      </c>
      <c r="S636" s="2"/>
      <c r="T636" s="2"/>
      <c r="U636" s="2"/>
      <c r="V636" s="2"/>
      <c r="W636" s="2"/>
      <c r="X636" s="2"/>
      <c r="Y636" s="2"/>
      <c r="Z636" s="2"/>
    </row>
    <row r="637" spans="1:26" ht="16.8" x14ac:dyDescent="0.3">
      <c r="A637" s="4">
        <v>880</v>
      </c>
      <c r="B637" s="4" t="s">
        <v>43</v>
      </c>
      <c r="C637" s="4">
        <v>35</v>
      </c>
      <c r="D637" s="4" t="s">
        <v>45</v>
      </c>
      <c r="E637" s="4" t="s">
        <v>53</v>
      </c>
      <c r="F637" s="4">
        <v>10685</v>
      </c>
      <c r="G637" s="4" t="s">
        <v>35</v>
      </c>
      <c r="H637" s="4">
        <v>17</v>
      </c>
      <c r="I637" s="4">
        <v>5</v>
      </c>
      <c r="J637" s="4">
        <v>3</v>
      </c>
      <c r="K637" s="4">
        <v>3</v>
      </c>
      <c r="L637" s="4" t="str">
        <f t="shared" si="15"/>
        <v>NORMAL</v>
      </c>
      <c r="M637" s="4" t="str">
        <f t="shared" si="16"/>
        <v>MEDIUM</v>
      </c>
      <c r="N637" s="4" t="str">
        <f t="shared" si="17"/>
        <v>SENIOR</v>
      </c>
      <c r="O637" s="4" t="str">
        <f t="shared" si="18"/>
        <v>STAGNANT</v>
      </c>
      <c r="P637" s="5" t="str">
        <f t="shared" si="19"/>
        <v>Medium_Pressure</v>
      </c>
      <c r="Q637" s="4" t="str">
        <f t="shared" si="20"/>
        <v>HIGHLY_ENGAGED</v>
      </c>
      <c r="R637" s="4" t="str">
        <f t="shared" si="21"/>
        <v>LOW</v>
      </c>
      <c r="S637" s="2"/>
      <c r="T637" s="2"/>
      <c r="U637" s="2"/>
      <c r="V637" s="2"/>
      <c r="W637" s="2"/>
      <c r="X637" s="2"/>
      <c r="Y637" s="2"/>
      <c r="Z637" s="2"/>
    </row>
    <row r="638" spans="1:26" ht="16.8" x14ac:dyDescent="0.3">
      <c r="A638" s="4">
        <v>881</v>
      </c>
      <c r="B638" s="4" t="s">
        <v>35</v>
      </c>
      <c r="C638" s="4">
        <v>35</v>
      </c>
      <c r="D638" s="4" t="s">
        <v>45</v>
      </c>
      <c r="E638" s="4" t="s">
        <v>47</v>
      </c>
      <c r="F638" s="4">
        <v>2022</v>
      </c>
      <c r="G638" s="4" t="s">
        <v>35</v>
      </c>
      <c r="H638" s="4">
        <v>10</v>
      </c>
      <c r="I638" s="4">
        <v>7</v>
      </c>
      <c r="J638" s="4">
        <v>2</v>
      </c>
      <c r="K638" s="4">
        <v>2</v>
      </c>
      <c r="L638" s="4" t="str">
        <f t="shared" si="15"/>
        <v>HIGH RISK</v>
      </c>
      <c r="M638" s="4" t="str">
        <f t="shared" si="16"/>
        <v>LOW</v>
      </c>
      <c r="N638" s="4" t="str">
        <f t="shared" si="17"/>
        <v>SENIOR</v>
      </c>
      <c r="O638" s="4" t="str">
        <f t="shared" si="18"/>
        <v>STAGNANT</v>
      </c>
      <c r="P638" s="5" t="str">
        <f t="shared" si="19"/>
        <v>High_Pressure</v>
      </c>
      <c r="Q638" s="4" t="str">
        <f t="shared" si="20"/>
        <v>DISENGAGED</v>
      </c>
      <c r="R638" s="4" t="str">
        <f t="shared" si="21"/>
        <v>LOW</v>
      </c>
      <c r="S638" s="2"/>
      <c r="T638" s="2"/>
      <c r="U638" s="2"/>
      <c r="V638" s="2"/>
      <c r="W638" s="2"/>
      <c r="X638" s="2"/>
      <c r="Y638" s="2"/>
      <c r="Z638" s="2"/>
    </row>
    <row r="639" spans="1:26" ht="16.8" x14ac:dyDescent="0.3">
      <c r="A639" s="4">
        <v>882</v>
      </c>
      <c r="B639" s="4" t="s">
        <v>43</v>
      </c>
      <c r="C639" s="4">
        <v>32</v>
      </c>
      <c r="D639" s="4" t="s">
        <v>45</v>
      </c>
      <c r="E639" s="4" t="s">
        <v>50</v>
      </c>
      <c r="F639" s="4">
        <v>2314</v>
      </c>
      <c r="G639" s="4" t="s">
        <v>43</v>
      </c>
      <c r="H639" s="4">
        <v>3</v>
      </c>
      <c r="I639" s="4">
        <v>0</v>
      </c>
      <c r="J639" s="4">
        <v>4</v>
      </c>
      <c r="K639" s="4">
        <v>3</v>
      </c>
      <c r="L639" s="4" t="str">
        <f t="shared" si="15"/>
        <v>NORMAL</v>
      </c>
      <c r="M639" s="4" t="str">
        <f t="shared" si="16"/>
        <v>LOW</v>
      </c>
      <c r="N639" s="4" t="str">
        <f t="shared" si="17"/>
        <v>MID</v>
      </c>
      <c r="O639" s="4" t="str">
        <f t="shared" si="18"/>
        <v>RECENTLY PROMOTED</v>
      </c>
      <c r="P639" s="5" t="str">
        <f t="shared" si="19"/>
        <v>Medium_Pressure</v>
      </c>
      <c r="Q639" s="4" t="str">
        <f t="shared" si="20"/>
        <v>HIGHLY_ENGAGED</v>
      </c>
      <c r="R639" s="4" t="str">
        <f t="shared" si="21"/>
        <v>LOW</v>
      </c>
      <c r="S639" s="2"/>
      <c r="T639" s="2"/>
      <c r="U639" s="2"/>
      <c r="V639" s="2"/>
      <c r="W639" s="2"/>
      <c r="X639" s="2"/>
      <c r="Y639" s="2"/>
      <c r="Z639" s="2"/>
    </row>
    <row r="640" spans="1:26" ht="16.8" x14ac:dyDescent="0.3">
      <c r="A640" s="4">
        <v>885</v>
      </c>
      <c r="B640" s="4" t="s">
        <v>43</v>
      </c>
      <c r="C640" s="4">
        <v>25</v>
      </c>
      <c r="D640" s="4" t="s">
        <v>37</v>
      </c>
      <c r="E640" s="4" t="s">
        <v>40</v>
      </c>
      <c r="F640" s="4">
        <v>4256</v>
      </c>
      <c r="G640" s="4" t="s">
        <v>43</v>
      </c>
      <c r="H640" s="4">
        <v>5</v>
      </c>
      <c r="I640" s="4">
        <v>0</v>
      </c>
      <c r="J640" s="4">
        <v>1</v>
      </c>
      <c r="K640" s="4">
        <v>4</v>
      </c>
      <c r="L640" s="4" t="str">
        <f t="shared" si="15"/>
        <v>NORMAL</v>
      </c>
      <c r="M640" s="4" t="str">
        <f t="shared" si="16"/>
        <v>HIGH</v>
      </c>
      <c r="N640" s="4" t="str">
        <f t="shared" si="17"/>
        <v>MID</v>
      </c>
      <c r="O640" s="4" t="str">
        <f t="shared" si="18"/>
        <v>RECENTLY PROMOTED</v>
      </c>
      <c r="P640" s="5" t="str">
        <f t="shared" si="19"/>
        <v>Low_Pressure</v>
      </c>
      <c r="Q640" s="4" t="str">
        <f t="shared" si="20"/>
        <v>DISENGAGED</v>
      </c>
      <c r="R640" s="4" t="str">
        <f t="shared" si="21"/>
        <v>LOW</v>
      </c>
      <c r="S640" s="2"/>
      <c r="T640" s="2"/>
      <c r="U640" s="2"/>
      <c r="V640" s="2"/>
      <c r="W640" s="2"/>
      <c r="X640" s="2"/>
      <c r="Y640" s="2"/>
      <c r="Z640" s="2"/>
    </row>
    <row r="641" spans="1:26" ht="16.8" x14ac:dyDescent="0.3">
      <c r="A641" s="4">
        <v>887</v>
      </c>
      <c r="B641" s="4" t="s">
        <v>43</v>
      </c>
      <c r="C641" s="4">
        <v>49</v>
      </c>
      <c r="D641" s="4" t="s">
        <v>45</v>
      </c>
      <c r="E641" s="4" t="s">
        <v>47</v>
      </c>
      <c r="F641" s="4">
        <v>3580</v>
      </c>
      <c r="G641" s="4" t="s">
        <v>43</v>
      </c>
      <c r="H641" s="4">
        <v>4</v>
      </c>
      <c r="I641" s="4">
        <v>0</v>
      </c>
      <c r="J641" s="4">
        <v>1</v>
      </c>
      <c r="K641" s="4">
        <v>3</v>
      </c>
      <c r="L641" s="4" t="str">
        <f t="shared" si="15"/>
        <v>NORMAL</v>
      </c>
      <c r="M641" s="4" t="str">
        <f t="shared" si="16"/>
        <v>LOW</v>
      </c>
      <c r="N641" s="4" t="str">
        <f t="shared" si="17"/>
        <v>MID</v>
      </c>
      <c r="O641" s="4" t="str">
        <f t="shared" si="18"/>
        <v>RECENTLY PROMOTED</v>
      </c>
      <c r="P641" s="5" t="str">
        <f t="shared" si="19"/>
        <v>Medium_Pressure</v>
      </c>
      <c r="Q641" s="4" t="str">
        <f t="shared" si="20"/>
        <v>DISENGAGED</v>
      </c>
      <c r="R641" s="4" t="str">
        <f t="shared" si="21"/>
        <v>LOW</v>
      </c>
      <c r="S641" s="2"/>
      <c r="T641" s="2"/>
      <c r="U641" s="2"/>
      <c r="V641" s="2"/>
      <c r="W641" s="2"/>
      <c r="X641" s="2"/>
      <c r="Y641" s="2"/>
      <c r="Z641" s="2"/>
    </row>
    <row r="642" spans="1:26" ht="16.8" x14ac:dyDescent="0.3">
      <c r="A642" s="4">
        <v>888</v>
      </c>
      <c r="B642" s="4" t="s">
        <v>43</v>
      </c>
      <c r="C642" s="4">
        <v>24</v>
      </c>
      <c r="D642" s="4" t="s">
        <v>45</v>
      </c>
      <c r="E642" s="4" t="s">
        <v>50</v>
      </c>
      <c r="F642" s="4">
        <v>3162</v>
      </c>
      <c r="G642" s="4" t="s">
        <v>43</v>
      </c>
      <c r="H642" s="4">
        <v>5</v>
      </c>
      <c r="I642" s="4">
        <v>3</v>
      </c>
      <c r="J642" s="4">
        <v>4</v>
      </c>
      <c r="K642" s="4">
        <v>2</v>
      </c>
      <c r="L642" s="4" t="str">
        <f t="shared" si="15"/>
        <v>NORMAL</v>
      </c>
      <c r="M642" s="4" t="str">
        <f t="shared" si="16"/>
        <v>LOW</v>
      </c>
      <c r="N642" s="4" t="str">
        <f t="shared" si="17"/>
        <v>MID</v>
      </c>
      <c r="O642" s="4" t="str">
        <f t="shared" si="18"/>
        <v>MODERATE-WAIT</v>
      </c>
      <c r="P642" s="5" t="str">
        <f t="shared" si="19"/>
        <v>Low_Pressure</v>
      </c>
      <c r="Q642" s="4" t="str">
        <f t="shared" si="20"/>
        <v>DISENGAGED</v>
      </c>
      <c r="R642" s="4" t="str">
        <f t="shared" si="21"/>
        <v>LOW</v>
      </c>
      <c r="S642" s="2"/>
      <c r="T642" s="2"/>
      <c r="U642" s="2"/>
      <c r="V642" s="2"/>
      <c r="W642" s="2"/>
      <c r="X642" s="2"/>
      <c r="Y642" s="2"/>
      <c r="Z642" s="2"/>
    </row>
    <row r="643" spans="1:26" ht="16.8" x14ac:dyDescent="0.3">
      <c r="A643" s="4">
        <v>889</v>
      </c>
      <c r="B643" s="4" t="s">
        <v>43</v>
      </c>
      <c r="C643" s="4">
        <v>32</v>
      </c>
      <c r="D643" s="4" t="s">
        <v>37</v>
      </c>
      <c r="E643" s="4" t="s">
        <v>40</v>
      </c>
      <c r="F643" s="4">
        <v>6524</v>
      </c>
      <c r="G643" s="4" t="s">
        <v>43</v>
      </c>
      <c r="H643" s="4">
        <v>10</v>
      </c>
      <c r="I643" s="4">
        <v>5</v>
      </c>
      <c r="J643" s="4">
        <v>2</v>
      </c>
      <c r="K643" s="4">
        <v>3</v>
      </c>
      <c r="L643" s="4" t="str">
        <f t="shared" si="15"/>
        <v>NORMAL</v>
      </c>
      <c r="M643" s="4" t="str">
        <f t="shared" si="16"/>
        <v>HIGH</v>
      </c>
      <c r="N643" s="4" t="str">
        <f t="shared" si="17"/>
        <v>SENIOR</v>
      </c>
      <c r="O643" s="4" t="str">
        <f t="shared" si="18"/>
        <v>STAGNANT</v>
      </c>
      <c r="P643" s="5" t="str">
        <f t="shared" si="19"/>
        <v>Medium_Pressure</v>
      </c>
      <c r="Q643" s="4" t="str">
        <f t="shared" si="20"/>
        <v>DISENGAGED</v>
      </c>
      <c r="R643" s="4" t="str">
        <f t="shared" si="21"/>
        <v>LOW</v>
      </c>
      <c r="S643" s="2"/>
      <c r="T643" s="2"/>
      <c r="U643" s="2"/>
      <c r="V643" s="2"/>
      <c r="W643" s="2"/>
      <c r="X643" s="2"/>
      <c r="Y643" s="2"/>
      <c r="Z643" s="2"/>
    </row>
    <row r="644" spans="1:26" ht="16.8" x14ac:dyDescent="0.3">
      <c r="A644" s="4">
        <v>893</v>
      </c>
      <c r="B644" s="4" t="s">
        <v>43</v>
      </c>
      <c r="C644" s="4">
        <v>38</v>
      </c>
      <c r="D644" s="4" t="s">
        <v>37</v>
      </c>
      <c r="E644" s="4" t="s">
        <v>57</v>
      </c>
      <c r="F644" s="4">
        <v>2899</v>
      </c>
      <c r="G644" s="4" t="s">
        <v>43</v>
      </c>
      <c r="H644" s="4">
        <v>2</v>
      </c>
      <c r="I644" s="4">
        <v>1</v>
      </c>
      <c r="J644" s="4">
        <v>2</v>
      </c>
      <c r="K644" s="4">
        <v>3</v>
      </c>
      <c r="L644" s="4" t="str">
        <f t="shared" si="15"/>
        <v>NORMAL</v>
      </c>
      <c r="M644" s="4" t="str">
        <f t="shared" si="16"/>
        <v>LOW</v>
      </c>
      <c r="N644" s="4" t="str">
        <f t="shared" si="17"/>
        <v>NEW</v>
      </c>
      <c r="O644" s="4" t="str">
        <f t="shared" si="18"/>
        <v>RECENTLY PROMOTED</v>
      </c>
      <c r="P644" s="5" t="str">
        <f t="shared" si="19"/>
        <v>Medium_Pressure</v>
      </c>
      <c r="Q644" s="4" t="str">
        <f t="shared" si="20"/>
        <v>DISENGAGED</v>
      </c>
      <c r="R644" s="4" t="str">
        <f t="shared" si="21"/>
        <v>LOW</v>
      </c>
      <c r="S644" s="2"/>
      <c r="T644" s="2"/>
      <c r="U644" s="2"/>
      <c r="V644" s="2"/>
      <c r="W644" s="2"/>
      <c r="X644" s="2"/>
      <c r="Y644" s="2"/>
      <c r="Z644" s="2"/>
    </row>
    <row r="645" spans="1:26" ht="16.8" x14ac:dyDescent="0.3">
      <c r="A645" s="4">
        <v>894</v>
      </c>
      <c r="B645" s="4" t="s">
        <v>43</v>
      </c>
      <c r="C645" s="4">
        <v>42</v>
      </c>
      <c r="D645" s="4" t="s">
        <v>45</v>
      </c>
      <c r="E645" s="4" t="s">
        <v>50</v>
      </c>
      <c r="F645" s="4">
        <v>5231</v>
      </c>
      <c r="G645" s="4" t="s">
        <v>35</v>
      </c>
      <c r="H645" s="4">
        <v>5</v>
      </c>
      <c r="I645" s="4">
        <v>1</v>
      </c>
      <c r="J645" s="4">
        <v>4</v>
      </c>
      <c r="K645" s="4">
        <v>2</v>
      </c>
      <c r="L645" s="4" t="str">
        <f t="shared" si="15"/>
        <v>NORMAL</v>
      </c>
      <c r="M645" s="4" t="str">
        <f t="shared" si="16"/>
        <v>HIGH</v>
      </c>
      <c r="N645" s="4" t="str">
        <f t="shared" si="17"/>
        <v>MID</v>
      </c>
      <c r="O645" s="4" t="str">
        <f t="shared" si="18"/>
        <v>RECENTLY PROMOTED</v>
      </c>
      <c r="P645" s="5" t="str">
        <f t="shared" si="19"/>
        <v>High_Pressure</v>
      </c>
      <c r="Q645" s="4" t="str">
        <f t="shared" si="20"/>
        <v>DISENGAGED</v>
      </c>
      <c r="R645" s="4" t="str">
        <f t="shared" si="21"/>
        <v>LOW</v>
      </c>
      <c r="S645" s="2"/>
      <c r="T645" s="2"/>
      <c r="U645" s="2"/>
      <c r="V645" s="2"/>
      <c r="W645" s="2"/>
      <c r="X645" s="2"/>
      <c r="Y645" s="2"/>
      <c r="Z645" s="2"/>
    </row>
    <row r="646" spans="1:26" ht="16.8" x14ac:dyDescent="0.3">
      <c r="A646" s="4">
        <v>895</v>
      </c>
      <c r="B646" s="4" t="s">
        <v>43</v>
      </c>
      <c r="C646" s="4">
        <v>31</v>
      </c>
      <c r="D646" s="4" t="s">
        <v>45</v>
      </c>
      <c r="E646" s="4" t="s">
        <v>47</v>
      </c>
      <c r="F646" s="4">
        <v>2356</v>
      </c>
      <c r="G646" s="4" t="s">
        <v>35</v>
      </c>
      <c r="H646" s="4">
        <v>6</v>
      </c>
      <c r="I646" s="4">
        <v>0</v>
      </c>
      <c r="J646" s="4">
        <v>4</v>
      </c>
      <c r="K646" s="4">
        <v>3</v>
      </c>
      <c r="L646" s="4" t="str">
        <f t="shared" si="15"/>
        <v>NORMAL</v>
      </c>
      <c r="M646" s="4" t="str">
        <f t="shared" si="16"/>
        <v>LOW</v>
      </c>
      <c r="N646" s="4" t="str">
        <f t="shared" si="17"/>
        <v>MID</v>
      </c>
      <c r="O646" s="4" t="str">
        <f t="shared" si="18"/>
        <v>RECENTLY PROMOTED</v>
      </c>
      <c r="P646" s="5" t="str">
        <f t="shared" si="19"/>
        <v>Medium_Pressure</v>
      </c>
      <c r="Q646" s="4" t="str">
        <f t="shared" si="20"/>
        <v>HIGHLY_ENGAGED</v>
      </c>
      <c r="R646" s="4" t="str">
        <f t="shared" si="21"/>
        <v>LOW</v>
      </c>
      <c r="S646" s="2"/>
      <c r="T646" s="2"/>
      <c r="U646" s="2"/>
      <c r="V646" s="2"/>
      <c r="W646" s="2"/>
      <c r="X646" s="2"/>
      <c r="Y646" s="2"/>
      <c r="Z646" s="2"/>
    </row>
    <row r="647" spans="1:26" ht="16.8" x14ac:dyDescent="0.3">
      <c r="A647" s="4">
        <v>896</v>
      </c>
      <c r="B647" s="4" t="s">
        <v>35</v>
      </c>
      <c r="C647" s="4">
        <v>29</v>
      </c>
      <c r="D647" s="4" t="s">
        <v>37</v>
      </c>
      <c r="E647" s="4" t="s">
        <v>57</v>
      </c>
      <c r="F647" s="4">
        <v>2800</v>
      </c>
      <c r="G647" s="4" t="s">
        <v>35</v>
      </c>
      <c r="H647" s="4">
        <v>3</v>
      </c>
      <c r="I647" s="4">
        <v>0</v>
      </c>
      <c r="J647" s="4">
        <v>3</v>
      </c>
      <c r="K647" s="4">
        <v>3</v>
      </c>
      <c r="L647" s="4" t="str">
        <f t="shared" si="15"/>
        <v>NORMAL</v>
      </c>
      <c r="M647" s="4" t="str">
        <f t="shared" si="16"/>
        <v>LOW</v>
      </c>
      <c r="N647" s="4" t="str">
        <f t="shared" si="17"/>
        <v>MID</v>
      </c>
      <c r="O647" s="4" t="str">
        <f t="shared" si="18"/>
        <v>RECENTLY PROMOTED</v>
      </c>
      <c r="P647" s="5" t="str">
        <f t="shared" si="19"/>
        <v>Medium_Pressure</v>
      </c>
      <c r="Q647" s="4" t="str">
        <f t="shared" si="20"/>
        <v>HIGHLY_ENGAGED</v>
      </c>
      <c r="R647" s="4" t="str">
        <f t="shared" si="21"/>
        <v>LOW</v>
      </c>
      <c r="S647" s="2"/>
      <c r="T647" s="2"/>
      <c r="U647" s="2"/>
      <c r="V647" s="2"/>
      <c r="W647" s="2"/>
      <c r="X647" s="2"/>
      <c r="Y647" s="2"/>
      <c r="Z647" s="2"/>
    </row>
    <row r="648" spans="1:26" ht="16.8" x14ac:dyDescent="0.3">
      <c r="A648" s="4">
        <v>897</v>
      </c>
      <c r="B648" s="4" t="s">
        <v>43</v>
      </c>
      <c r="C648" s="4">
        <v>53</v>
      </c>
      <c r="D648" s="4" t="s">
        <v>37</v>
      </c>
      <c r="E648" s="4" t="s">
        <v>40</v>
      </c>
      <c r="F648" s="4">
        <v>11836</v>
      </c>
      <c r="G648" s="4" t="s">
        <v>43</v>
      </c>
      <c r="H648" s="4">
        <v>2</v>
      </c>
      <c r="I648" s="4">
        <v>2</v>
      </c>
      <c r="J648" s="4">
        <v>4</v>
      </c>
      <c r="K648" s="4">
        <v>3</v>
      </c>
      <c r="L648" s="4" t="str">
        <f t="shared" si="15"/>
        <v>NORMAL</v>
      </c>
      <c r="M648" s="4" t="str">
        <f t="shared" si="16"/>
        <v>MEDIUM</v>
      </c>
      <c r="N648" s="4" t="str">
        <f t="shared" si="17"/>
        <v>NEW</v>
      </c>
      <c r="O648" s="4" t="str">
        <f t="shared" si="18"/>
        <v>MODERATE-WAIT</v>
      </c>
      <c r="P648" s="5" t="str">
        <f t="shared" si="19"/>
        <v>Medium_Pressure</v>
      </c>
      <c r="Q648" s="4" t="str">
        <f t="shared" si="20"/>
        <v>HIGHLY_ENGAGED</v>
      </c>
      <c r="R648" s="4" t="str">
        <f t="shared" si="21"/>
        <v>LOW</v>
      </c>
      <c r="S648" s="2"/>
      <c r="T648" s="2"/>
      <c r="U648" s="2"/>
      <c r="V648" s="2"/>
      <c r="W648" s="2"/>
      <c r="X648" s="2"/>
      <c r="Y648" s="2"/>
      <c r="Z648" s="2"/>
    </row>
    <row r="649" spans="1:26" ht="16.8" x14ac:dyDescent="0.3">
      <c r="A649" s="4">
        <v>899</v>
      </c>
      <c r="B649" s="4" t="s">
        <v>43</v>
      </c>
      <c r="C649" s="4">
        <v>35</v>
      </c>
      <c r="D649" s="4" t="s">
        <v>45</v>
      </c>
      <c r="E649" s="4" t="s">
        <v>53</v>
      </c>
      <c r="F649" s="4">
        <v>10903</v>
      </c>
      <c r="G649" s="4" t="s">
        <v>43</v>
      </c>
      <c r="H649" s="4">
        <v>13</v>
      </c>
      <c r="I649" s="4">
        <v>4</v>
      </c>
      <c r="J649" s="4">
        <v>2</v>
      </c>
      <c r="K649" s="4">
        <v>3</v>
      </c>
      <c r="L649" s="4" t="str">
        <f t="shared" si="15"/>
        <v>NORMAL</v>
      </c>
      <c r="M649" s="4" t="str">
        <f t="shared" si="16"/>
        <v>MEDIUM</v>
      </c>
      <c r="N649" s="4" t="str">
        <f t="shared" si="17"/>
        <v>SENIOR</v>
      </c>
      <c r="O649" s="4" t="str">
        <f t="shared" si="18"/>
        <v>STAGNANT</v>
      </c>
      <c r="P649" s="5" t="str">
        <f t="shared" si="19"/>
        <v>Medium_Pressure</v>
      </c>
      <c r="Q649" s="4" t="str">
        <f t="shared" si="20"/>
        <v>DISENGAGED</v>
      </c>
      <c r="R649" s="4" t="str">
        <f t="shared" si="21"/>
        <v>LOW</v>
      </c>
      <c r="S649" s="2"/>
      <c r="T649" s="2"/>
      <c r="U649" s="2"/>
      <c r="V649" s="2"/>
      <c r="W649" s="2"/>
      <c r="X649" s="2"/>
      <c r="Y649" s="2"/>
      <c r="Z649" s="2"/>
    </row>
    <row r="650" spans="1:26" ht="16.8" x14ac:dyDescent="0.3">
      <c r="A650" s="4">
        <v>900</v>
      </c>
      <c r="B650" s="4" t="s">
        <v>43</v>
      </c>
      <c r="C650" s="4">
        <v>37</v>
      </c>
      <c r="D650" s="4" t="s">
        <v>37</v>
      </c>
      <c r="E650" s="4" t="s">
        <v>57</v>
      </c>
      <c r="F650" s="4">
        <v>2973</v>
      </c>
      <c r="G650" s="4" t="s">
        <v>43</v>
      </c>
      <c r="H650" s="4">
        <v>5</v>
      </c>
      <c r="I650" s="4">
        <v>0</v>
      </c>
      <c r="J650" s="4">
        <v>4</v>
      </c>
      <c r="K650" s="4">
        <v>3</v>
      </c>
      <c r="L650" s="4" t="str">
        <f t="shared" si="15"/>
        <v>NORMAL</v>
      </c>
      <c r="M650" s="4" t="str">
        <f t="shared" si="16"/>
        <v>LOW</v>
      </c>
      <c r="N650" s="4" t="str">
        <f t="shared" si="17"/>
        <v>MID</v>
      </c>
      <c r="O650" s="4" t="str">
        <f t="shared" si="18"/>
        <v>RECENTLY PROMOTED</v>
      </c>
      <c r="P650" s="5" t="str">
        <f t="shared" si="19"/>
        <v>Medium_Pressure</v>
      </c>
      <c r="Q650" s="4" t="str">
        <f t="shared" si="20"/>
        <v>HIGHLY_ENGAGED</v>
      </c>
      <c r="R650" s="4" t="str">
        <f t="shared" si="21"/>
        <v>LOW</v>
      </c>
      <c r="S650" s="2"/>
      <c r="T650" s="2"/>
      <c r="U650" s="2"/>
      <c r="V650" s="2"/>
      <c r="W650" s="2"/>
      <c r="X650" s="2"/>
      <c r="Y650" s="2"/>
      <c r="Z650" s="2"/>
    </row>
    <row r="651" spans="1:26" ht="16.8" x14ac:dyDescent="0.3">
      <c r="A651" s="4">
        <v>901</v>
      </c>
      <c r="B651" s="4" t="s">
        <v>43</v>
      </c>
      <c r="C651" s="4">
        <v>53</v>
      </c>
      <c r="D651" s="4" t="s">
        <v>45</v>
      </c>
      <c r="E651" s="4" t="s">
        <v>58</v>
      </c>
      <c r="F651" s="4">
        <v>14275</v>
      </c>
      <c r="G651" s="4" t="s">
        <v>43</v>
      </c>
      <c r="H651" s="4">
        <v>12</v>
      </c>
      <c r="I651" s="4">
        <v>3</v>
      </c>
      <c r="J651" s="4">
        <v>4</v>
      </c>
      <c r="K651" s="4">
        <v>3</v>
      </c>
      <c r="L651" s="4" t="str">
        <f t="shared" si="15"/>
        <v>NORMAL</v>
      </c>
      <c r="M651" s="4" t="str">
        <f t="shared" si="16"/>
        <v>MEDIUM</v>
      </c>
      <c r="N651" s="4" t="str">
        <f t="shared" si="17"/>
        <v>SENIOR</v>
      </c>
      <c r="O651" s="4" t="str">
        <f t="shared" si="18"/>
        <v>MODERATE-WAIT</v>
      </c>
      <c r="P651" s="5" t="str">
        <f t="shared" si="19"/>
        <v>Medium_Pressure</v>
      </c>
      <c r="Q651" s="4" t="str">
        <f t="shared" si="20"/>
        <v>HIGHLY_ENGAGED</v>
      </c>
      <c r="R651" s="4" t="str">
        <f t="shared" si="21"/>
        <v>LOW</v>
      </c>
      <c r="S651" s="2"/>
      <c r="T651" s="2"/>
      <c r="U651" s="2"/>
      <c r="V651" s="2"/>
      <c r="W651" s="2"/>
      <c r="X651" s="2"/>
      <c r="Y651" s="2"/>
      <c r="Z651" s="2"/>
    </row>
    <row r="652" spans="1:26" ht="16.8" x14ac:dyDescent="0.3">
      <c r="A652" s="4">
        <v>902</v>
      </c>
      <c r="B652" s="4" t="s">
        <v>43</v>
      </c>
      <c r="C652" s="4">
        <v>43</v>
      </c>
      <c r="D652" s="4" t="s">
        <v>45</v>
      </c>
      <c r="E652" s="4" t="s">
        <v>54</v>
      </c>
      <c r="F652" s="4">
        <v>5562</v>
      </c>
      <c r="G652" s="4" t="s">
        <v>43</v>
      </c>
      <c r="H652" s="4">
        <v>5</v>
      </c>
      <c r="I652" s="4">
        <v>2</v>
      </c>
      <c r="J652" s="4">
        <v>4</v>
      </c>
      <c r="K652" s="4">
        <v>2</v>
      </c>
      <c r="L652" s="4" t="str">
        <f t="shared" si="15"/>
        <v>NORMAL</v>
      </c>
      <c r="M652" s="4" t="str">
        <f t="shared" si="16"/>
        <v>HIGH</v>
      </c>
      <c r="N652" s="4" t="str">
        <f t="shared" si="17"/>
        <v>MID</v>
      </c>
      <c r="O652" s="4" t="str">
        <f t="shared" si="18"/>
        <v>MODERATE-WAIT</v>
      </c>
      <c r="P652" s="5" t="str">
        <f t="shared" si="19"/>
        <v>Low_Pressure</v>
      </c>
      <c r="Q652" s="4" t="str">
        <f t="shared" si="20"/>
        <v>DISENGAGED</v>
      </c>
      <c r="R652" s="4" t="str">
        <f t="shared" si="21"/>
        <v>LOW</v>
      </c>
      <c r="S652" s="2"/>
      <c r="T652" s="2"/>
      <c r="U652" s="2"/>
      <c r="V652" s="2"/>
      <c r="W652" s="2"/>
      <c r="X652" s="2"/>
      <c r="Y652" s="2"/>
      <c r="Z652" s="2"/>
    </row>
    <row r="653" spans="1:26" ht="16.8" x14ac:dyDescent="0.3">
      <c r="A653" s="4">
        <v>903</v>
      </c>
      <c r="B653" s="4" t="s">
        <v>43</v>
      </c>
      <c r="C653" s="4">
        <v>47</v>
      </c>
      <c r="D653" s="4" t="s">
        <v>37</v>
      </c>
      <c r="E653" s="4" t="s">
        <v>40</v>
      </c>
      <c r="F653" s="4">
        <v>4537</v>
      </c>
      <c r="G653" s="4" t="s">
        <v>35</v>
      </c>
      <c r="H653" s="4">
        <v>7</v>
      </c>
      <c r="I653" s="4">
        <v>7</v>
      </c>
      <c r="J653" s="4">
        <v>4</v>
      </c>
      <c r="K653" s="4">
        <v>3</v>
      </c>
      <c r="L653" s="4" t="str">
        <f t="shared" si="15"/>
        <v>NORMAL</v>
      </c>
      <c r="M653" s="4" t="str">
        <f t="shared" si="16"/>
        <v>HIGH</v>
      </c>
      <c r="N653" s="4" t="str">
        <f t="shared" si="17"/>
        <v>SENIOR</v>
      </c>
      <c r="O653" s="4" t="str">
        <f t="shared" si="18"/>
        <v>STAGNANT</v>
      </c>
      <c r="P653" s="5" t="str">
        <f t="shared" si="19"/>
        <v>Medium_Pressure</v>
      </c>
      <c r="Q653" s="4" t="str">
        <f t="shared" si="20"/>
        <v>HIGHLY_ENGAGED</v>
      </c>
      <c r="R653" s="4" t="str">
        <f t="shared" si="21"/>
        <v>LOW</v>
      </c>
      <c r="S653" s="2"/>
      <c r="T653" s="2"/>
      <c r="U653" s="2"/>
      <c r="V653" s="2"/>
      <c r="W653" s="2"/>
      <c r="X653" s="2"/>
      <c r="Y653" s="2"/>
      <c r="Z653" s="2"/>
    </row>
    <row r="654" spans="1:26" ht="16.8" x14ac:dyDescent="0.3">
      <c r="A654" s="4">
        <v>904</v>
      </c>
      <c r="B654" s="4" t="s">
        <v>43</v>
      </c>
      <c r="C654" s="4">
        <v>37</v>
      </c>
      <c r="D654" s="4" t="s">
        <v>37</v>
      </c>
      <c r="E654" s="4" t="s">
        <v>40</v>
      </c>
      <c r="F654" s="4">
        <v>7642</v>
      </c>
      <c r="G654" s="4" t="s">
        <v>35</v>
      </c>
      <c r="H654" s="4">
        <v>10</v>
      </c>
      <c r="I654" s="4">
        <v>0</v>
      </c>
      <c r="J654" s="4">
        <v>2</v>
      </c>
      <c r="K654" s="4">
        <v>3</v>
      </c>
      <c r="L654" s="4" t="str">
        <f t="shared" si="15"/>
        <v>NORMAL</v>
      </c>
      <c r="M654" s="4" t="str">
        <f t="shared" si="16"/>
        <v>HIGH</v>
      </c>
      <c r="N654" s="4" t="str">
        <f t="shared" si="17"/>
        <v>SENIOR</v>
      </c>
      <c r="O654" s="4" t="str">
        <f t="shared" si="18"/>
        <v>RECENTLY PROMOTED</v>
      </c>
      <c r="P654" s="5" t="str">
        <f t="shared" si="19"/>
        <v>Medium_Pressure</v>
      </c>
      <c r="Q654" s="4" t="str">
        <f t="shared" si="20"/>
        <v>DISENGAGED</v>
      </c>
      <c r="R654" s="4" t="str">
        <f t="shared" si="21"/>
        <v>LOW</v>
      </c>
      <c r="S654" s="2"/>
      <c r="T654" s="2"/>
      <c r="U654" s="2"/>
      <c r="V654" s="2"/>
      <c r="W654" s="2"/>
      <c r="X654" s="2"/>
      <c r="Y654" s="2"/>
      <c r="Z654" s="2"/>
    </row>
    <row r="655" spans="1:26" ht="16.8" x14ac:dyDescent="0.3">
      <c r="A655" s="4">
        <v>905</v>
      </c>
      <c r="B655" s="4" t="s">
        <v>43</v>
      </c>
      <c r="C655" s="4">
        <v>50</v>
      </c>
      <c r="D655" s="4" t="s">
        <v>45</v>
      </c>
      <c r="E655" s="4" t="s">
        <v>56</v>
      </c>
      <c r="F655" s="4">
        <v>17924</v>
      </c>
      <c r="G655" s="4" t="s">
        <v>43</v>
      </c>
      <c r="H655" s="4">
        <v>31</v>
      </c>
      <c r="I655" s="4">
        <v>14</v>
      </c>
      <c r="J655" s="4">
        <v>1</v>
      </c>
      <c r="K655" s="4">
        <v>3</v>
      </c>
      <c r="L655" s="4" t="str">
        <f t="shared" si="15"/>
        <v>NORMAL</v>
      </c>
      <c r="M655" s="4" t="str">
        <f t="shared" si="16"/>
        <v>MEDIUM</v>
      </c>
      <c r="N655" s="4" t="str">
        <f t="shared" si="17"/>
        <v>SENIOR</v>
      </c>
      <c r="O655" s="4" t="str">
        <f t="shared" si="18"/>
        <v>STAGNANT</v>
      </c>
      <c r="P655" s="5" t="str">
        <f t="shared" si="19"/>
        <v>Medium_Pressure</v>
      </c>
      <c r="Q655" s="4" t="str">
        <f t="shared" si="20"/>
        <v>DISENGAGED</v>
      </c>
      <c r="R655" s="4" t="str">
        <f t="shared" si="21"/>
        <v>LOW</v>
      </c>
      <c r="S655" s="2"/>
      <c r="T655" s="2"/>
      <c r="U655" s="2"/>
      <c r="V655" s="2"/>
      <c r="W655" s="2"/>
      <c r="X655" s="2"/>
      <c r="Y655" s="2"/>
      <c r="Z655" s="2"/>
    </row>
    <row r="656" spans="1:26" ht="16.8" x14ac:dyDescent="0.3">
      <c r="A656" s="4">
        <v>909</v>
      </c>
      <c r="B656" s="4" t="s">
        <v>43</v>
      </c>
      <c r="C656" s="4">
        <v>39</v>
      </c>
      <c r="D656" s="4" t="s">
        <v>61</v>
      </c>
      <c r="E656" s="4" t="s">
        <v>61</v>
      </c>
      <c r="F656" s="4">
        <v>5204</v>
      </c>
      <c r="G656" s="4" t="s">
        <v>43</v>
      </c>
      <c r="H656" s="4">
        <v>5</v>
      </c>
      <c r="I656" s="4">
        <v>0</v>
      </c>
      <c r="J656" s="4">
        <v>4</v>
      </c>
      <c r="K656" s="4">
        <v>3</v>
      </c>
      <c r="L656" s="4" t="str">
        <f t="shared" si="15"/>
        <v>NORMAL</v>
      </c>
      <c r="M656" s="4" t="str">
        <f t="shared" si="16"/>
        <v>HIGH</v>
      </c>
      <c r="N656" s="4" t="str">
        <f t="shared" si="17"/>
        <v>MID</v>
      </c>
      <c r="O656" s="4" t="str">
        <f t="shared" si="18"/>
        <v>RECENTLY PROMOTED</v>
      </c>
      <c r="P656" s="5" t="str">
        <f t="shared" si="19"/>
        <v>Medium_Pressure</v>
      </c>
      <c r="Q656" s="4" t="str">
        <f t="shared" si="20"/>
        <v>HIGHLY_ENGAGED</v>
      </c>
      <c r="R656" s="4" t="str">
        <f t="shared" si="21"/>
        <v>LOW</v>
      </c>
      <c r="S656" s="2"/>
      <c r="T656" s="2"/>
      <c r="U656" s="2"/>
      <c r="V656" s="2"/>
      <c r="W656" s="2"/>
      <c r="X656" s="2"/>
      <c r="Y656" s="2"/>
      <c r="Z656" s="2"/>
    </row>
    <row r="657" spans="1:26" ht="16.8" x14ac:dyDescent="0.3">
      <c r="A657" s="4">
        <v>910</v>
      </c>
      <c r="B657" s="4" t="s">
        <v>43</v>
      </c>
      <c r="C657" s="4">
        <v>33</v>
      </c>
      <c r="D657" s="4" t="s">
        <v>61</v>
      </c>
      <c r="E657" s="4" t="s">
        <v>61</v>
      </c>
      <c r="F657" s="4">
        <v>2277</v>
      </c>
      <c r="G657" s="4" t="s">
        <v>35</v>
      </c>
      <c r="H657" s="4">
        <v>4</v>
      </c>
      <c r="I657" s="4">
        <v>0</v>
      </c>
      <c r="J657" s="4">
        <v>2</v>
      </c>
      <c r="K657" s="4">
        <v>4</v>
      </c>
      <c r="L657" s="4" t="str">
        <f t="shared" si="15"/>
        <v>NORMAL</v>
      </c>
      <c r="M657" s="4" t="str">
        <f t="shared" si="16"/>
        <v>LOW</v>
      </c>
      <c r="N657" s="4" t="str">
        <f t="shared" si="17"/>
        <v>MID</v>
      </c>
      <c r="O657" s="4" t="str">
        <f t="shared" si="18"/>
        <v>RECENTLY PROMOTED</v>
      </c>
      <c r="P657" s="5" t="str">
        <f t="shared" si="19"/>
        <v>Medium_Pressure</v>
      </c>
      <c r="Q657" s="4" t="str">
        <f t="shared" si="20"/>
        <v>DISENGAGED</v>
      </c>
      <c r="R657" s="4" t="str">
        <f t="shared" si="21"/>
        <v>LOW</v>
      </c>
      <c r="S657" s="2"/>
      <c r="T657" s="2"/>
      <c r="U657" s="2"/>
      <c r="V657" s="2"/>
      <c r="W657" s="2"/>
      <c r="X657" s="2"/>
      <c r="Y657" s="2"/>
      <c r="Z657" s="2"/>
    </row>
    <row r="658" spans="1:26" ht="16.8" x14ac:dyDescent="0.3">
      <c r="A658" s="4">
        <v>911</v>
      </c>
      <c r="B658" s="4" t="s">
        <v>35</v>
      </c>
      <c r="C658" s="4">
        <v>32</v>
      </c>
      <c r="D658" s="4" t="s">
        <v>45</v>
      </c>
      <c r="E658" s="4" t="s">
        <v>50</v>
      </c>
      <c r="F658" s="4">
        <v>2795</v>
      </c>
      <c r="G658" s="4" t="s">
        <v>35</v>
      </c>
      <c r="H658" s="4">
        <v>1</v>
      </c>
      <c r="I658" s="4">
        <v>0</v>
      </c>
      <c r="J658" s="4">
        <v>4</v>
      </c>
      <c r="K658" s="4">
        <v>1</v>
      </c>
      <c r="L658" s="4" t="str">
        <f t="shared" si="15"/>
        <v>NORMAL</v>
      </c>
      <c r="M658" s="4" t="str">
        <f t="shared" si="16"/>
        <v>LOW</v>
      </c>
      <c r="N658" s="4" t="str">
        <f t="shared" si="17"/>
        <v>NEW</v>
      </c>
      <c r="O658" s="4" t="str">
        <f t="shared" si="18"/>
        <v>RECENTLY PROMOTED</v>
      </c>
      <c r="P658" s="5" t="str">
        <f t="shared" si="19"/>
        <v>High_Pressure</v>
      </c>
      <c r="Q658" s="4" t="str">
        <f t="shared" si="20"/>
        <v>DISENGAGED</v>
      </c>
      <c r="R658" s="4" t="str">
        <f t="shared" si="21"/>
        <v>LOW</v>
      </c>
      <c r="S658" s="2"/>
      <c r="T658" s="2"/>
      <c r="U658" s="2"/>
      <c r="V658" s="2"/>
      <c r="W658" s="2"/>
      <c r="X658" s="2"/>
      <c r="Y658" s="2"/>
      <c r="Z658" s="2"/>
    </row>
    <row r="659" spans="1:26" ht="16.8" x14ac:dyDescent="0.3">
      <c r="A659" s="4">
        <v>912</v>
      </c>
      <c r="B659" s="4" t="s">
        <v>43</v>
      </c>
      <c r="C659" s="4">
        <v>29</v>
      </c>
      <c r="D659" s="4" t="s">
        <v>45</v>
      </c>
      <c r="E659" s="4" t="s">
        <v>50</v>
      </c>
      <c r="F659" s="4">
        <v>2532</v>
      </c>
      <c r="G659" s="4" t="s">
        <v>43</v>
      </c>
      <c r="H659" s="4">
        <v>4</v>
      </c>
      <c r="I659" s="4">
        <v>0</v>
      </c>
      <c r="J659" s="4">
        <v>4</v>
      </c>
      <c r="K659" s="4">
        <v>3</v>
      </c>
      <c r="L659" s="4" t="str">
        <f t="shared" si="15"/>
        <v>NORMAL</v>
      </c>
      <c r="M659" s="4" t="str">
        <f t="shared" si="16"/>
        <v>LOW</v>
      </c>
      <c r="N659" s="4" t="str">
        <f t="shared" si="17"/>
        <v>MID</v>
      </c>
      <c r="O659" s="4" t="str">
        <f t="shared" si="18"/>
        <v>RECENTLY PROMOTED</v>
      </c>
      <c r="P659" s="5" t="str">
        <f t="shared" si="19"/>
        <v>Medium_Pressure</v>
      </c>
      <c r="Q659" s="4" t="str">
        <f t="shared" si="20"/>
        <v>HIGHLY_ENGAGED</v>
      </c>
      <c r="R659" s="4" t="str">
        <f t="shared" si="21"/>
        <v>LOW</v>
      </c>
      <c r="S659" s="2"/>
      <c r="T659" s="2"/>
      <c r="U659" s="2"/>
      <c r="V659" s="2"/>
      <c r="W659" s="2"/>
      <c r="X659" s="2"/>
      <c r="Y659" s="2"/>
      <c r="Z659" s="2"/>
    </row>
    <row r="660" spans="1:26" ht="16.8" x14ac:dyDescent="0.3">
      <c r="A660" s="4">
        <v>913</v>
      </c>
      <c r="B660" s="4" t="s">
        <v>43</v>
      </c>
      <c r="C660" s="4">
        <v>44</v>
      </c>
      <c r="D660" s="4" t="s">
        <v>45</v>
      </c>
      <c r="E660" s="4" t="s">
        <v>47</v>
      </c>
      <c r="F660" s="4">
        <v>2559</v>
      </c>
      <c r="G660" s="4" t="s">
        <v>35</v>
      </c>
      <c r="H660" s="4">
        <v>8</v>
      </c>
      <c r="I660" s="4">
        <v>7</v>
      </c>
      <c r="J660" s="4">
        <v>1</v>
      </c>
      <c r="K660" s="4">
        <v>3</v>
      </c>
      <c r="L660" s="4" t="str">
        <f t="shared" si="15"/>
        <v>HIGH RISK</v>
      </c>
      <c r="M660" s="4" t="str">
        <f t="shared" si="16"/>
        <v>LOW</v>
      </c>
      <c r="N660" s="4" t="str">
        <f t="shared" si="17"/>
        <v>SENIOR</v>
      </c>
      <c r="O660" s="4" t="str">
        <f t="shared" si="18"/>
        <v>STAGNANT</v>
      </c>
      <c r="P660" s="5" t="str">
        <f t="shared" si="19"/>
        <v>Medium_Pressure</v>
      </c>
      <c r="Q660" s="4" t="str">
        <f t="shared" si="20"/>
        <v>DISENGAGED</v>
      </c>
      <c r="R660" s="4" t="str">
        <f t="shared" si="21"/>
        <v>LOW</v>
      </c>
      <c r="S660" s="2"/>
      <c r="T660" s="2"/>
      <c r="U660" s="2"/>
      <c r="V660" s="2"/>
      <c r="W660" s="2"/>
      <c r="X660" s="2"/>
      <c r="Y660" s="2"/>
      <c r="Z660" s="2"/>
    </row>
    <row r="661" spans="1:26" ht="16.8" x14ac:dyDescent="0.3">
      <c r="A661" s="4">
        <v>916</v>
      </c>
      <c r="B661" s="4" t="s">
        <v>43</v>
      </c>
      <c r="C661" s="4">
        <v>28</v>
      </c>
      <c r="D661" s="4" t="s">
        <v>37</v>
      </c>
      <c r="E661" s="4" t="s">
        <v>40</v>
      </c>
      <c r="F661" s="4">
        <v>4908</v>
      </c>
      <c r="G661" s="4" t="s">
        <v>43</v>
      </c>
      <c r="H661" s="4">
        <v>4</v>
      </c>
      <c r="I661" s="4">
        <v>0</v>
      </c>
      <c r="J661" s="4">
        <v>4</v>
      </c>
      <c r="K661" s="4">
        <v>3</v>
      </c>
      <c r="L661" s="4" t="str">
        <f t="shared" si="15"/>
        <v>NORMAL</v>
      </c>
      <c r="M661" s="4" t="str">
        <f t="shared" si="16"/>
        <v>HIGH</v>
      </c>
      <c r="N661" s="4" t="str">
        <f t="shared" si="17"/>
        <v>MID</v>
      </c>
      <c r="O661" s="4" t="str">
        <f t="shared" si="18"/>
        <v>RECENTLY PROMOTED</v>
      </c>
      <c r="P661" s="5" t="str">
        <f t="shared" si="19"/>
        <v>Medium_Pressure</v>
      </c>
      <c r="Q661" s="4" t="str">
        <f t="shared" si="20"/>
        <v>HIGHLY_ENGAGED</v>
      </c>
      <c r="R661" s="4" t="str">
        <f t="shared" si="21"/>
        <v>LOW</v>
      </c>
      <c r="S661" s="2"/>
      <c r="T661" s="2"/>
      <c r="U661" s="2"/>
      <c r="V661" s="2"/>
      <c r="W661" s="2"/>
      <c r="X661" s="2"/>
      <c r="Y661" s="2"/>
      <c r="Z661" s="2"/>
    </row>
    <row r="662" spans="1:26" ht="16.8" x14ac:dyDescent="0.3">
      <c r="A662" s="4">
        <v>918</v>
      </c>
      <c r="B662" s="4" t="s">
        <v>35</v>
      </c>
      <c r="C662" s="4">
        <v>58</v>
      </c>
      <c r="D662" s="4" t="s">
        <v>45</v>
      </c>
      <c r="E662" s="4" t="s">
        <v>50</v>
      </c>
      <c r="F662" s="4">
        <v>2380</v>
      </c>
      <c r="G662" s="4" t="s">
        <v>35</v>
      </c>
      <c r="H662" s="4">
        <v>1</v>
      </c>
      <c r="I662" s="4">
        <v>0</v>
      </c>
      <c r="J662" s="4">
        <v>4</v>
      </c>
      <c r="K662" s="4">
        <v>2</v>
      </c>
      <c r="L662" s="4" t="str">
        <f t="shared" si="15"/>
        <v>NORMAL</v>
      </c>
      <c r="M662" s="4" t="str">
        <f t="shared" si="16"/>
        <v>LOW</v>
      </c>
      <c r="N662" s="4" t="str">
        <f t="shared" si="17"/>
        <v>NEW</v>
      </c>
      <c r="O662" s="4" t="str">
        <f t="shared" si="18"/>
        <v>RECENTLY PROMOTED</v>
      </c>
      <c r="P662" s="5" t="str">
        <f t="shared" si="19"/>
        <v>High_Pressure</v>
      </c>
      <c r="Q662" s="4" t="str">
        <f t="shared" si="20"/>
        <v>DISENGAGED</v>
      </c>
      <c r="R662" s="4" t="str">
        <f t="shared" si="21"/>
        <v>LOW</v>
      </c>
      <c r="S662" s="2"/>
      <c r="T662" s="2"/>
      <c r="U662" s="2"/>
      <c r="V662" s="2"/>
      <c r="W662" s="2"/>
      <c r="X662" s="2"/>
      <c r="Y662" s="2"/>
      <c r="Z662" s="2"/>
    </row>
    <row r="663" spans="1:26" ht="16.8" x14ac:dyDescent="0.3">
      <c r="A663" s="4">
        <v>920</v>
      </c>
      <c r="B663" s="4" t="s">
        <v>43</v>
      </c>
      <c r="C663" s="4">
        <v>43</v>
      </c>
      <c r="D663" s="4" t="s">
        <v>45</v>
      </c>
      <c r="E663" s="4" t="s">
        <v>53</v>
      </c>
      <c r="F663" s="4">
        <v>4765</v>
      </c>
      <c r="G663" s="4" t="s">
        <v>43</v>
      </c>
      <c r="H663" s="4">
        <v>1</v>
      </c>
      <c r="I663" s="4">
        <v>0</v>
      </c>
      <c r="J663" s="4">
        <v>2</v>
      </c>
      <c r="K663" s="4">
        <v>4</v>
      </c>
      <c r="L663" s="4" t="str">
        <f t="shared" si="15"/>
        <v>NORMAL</v>
      </c>
      <c r="M663" s="4" t="str">
        <f t="shared" si="16"/>
        <v>HIGH</v>
      </c>
      <c r="N663" s="4" t="str">
        <f t="shared" si="17"/>
        <v>NEW</v>
      </c>
      <c r="O663" s="4" t="str">
        <f t="shared" si="18"/>
        <v>RECENTLY PROMOTED</v>
      </c>
      <c r="P663" s="5" t="str">
        <f t="shared" si="19"/>
        <v>Low_Pressure</v>
      </c>
      <c r="Q663" s="4" t="str">
        <f t="shared" si="20"/>
        <v>DISENGAGED</v>
      </c>
      <c r="R663" s="4" t="str">
        <f t="shared" si="21"/>
        <v>LOW</v>
      </c>
      <c r="S663" s="2"/>
      <c r="T663" s="2"/>
      <c r="U663" s="2"/>
      <c r="V663" s="2"/>
      <c r="W663" s="2"/>
      <c r="X663" s="2"/>
      <c r="Y663" s="2"/>
      <c r="Z663" s="2"/>
    </row>
    <row r="664" spans="1:26" ht="16.8" x14ac:dyDescent="0.3">
      <c r="A664" s="4">
        <v>922</v>
      </c>
      <c r="B664" s="4" t="s">
        <v>35</v>
      </c>
      <c r="C664" s="4">
        <v>20</v>
      </c>
      <c r="D664" s="4" t="s">
        <v>37</v>
      </c>
      <c r="E664" s="4" t="s">
        <v>57</v>
      </c>
      <c r="F664" s="4">
        <v>2044</v>
      </c>
      <c r="G664" s="4" t="s">
        <v>43</v>
      </c>
      <c r="H664" s="4">
        <v>2</v>
      </c>
      <c r="I664" s="4">
        <v>0</v>
      </c>
      <c r="J664" s="4">
        <v>3</v>
      </c>
      <c r="K664" s="4">
        <v>2</v>
      </c>
      <c r="L664" s="4" t="str">
        <f t="shared" si="15"/>
        <v>NORMAL</v>
      </c>
      <c r="M664" s="4" t="str">
        <f t="shared" si="16"/>
        <v>LOW</v>
      </c>
      <c r="N664" s="4" t="str">
        <f t="shared" si="17"/>
        <v>NEW</v>
      </c>
      <c r="O664" s="4" t="str">
        <f t="shared" si="18"/>
        <v>RECENTLY PROMOTED</v>
      </c>
      <c r="P664" s="5" t="str">
        <f t="shared" si="19"/>
        <v>Low_Pressure</v>
      </c>
      <c r="Q664" s="4" t="str">
        <f t="shared" si="20"/>
        <v>DISENGAGED</v>
      </c>
      <c r="R664" s="4" t="str">
        <f t="shared" si="21"/>
        <v>LOW</v>
      </c>
      <c r="S664" s="2"/>
      <c r="T664" s="2"/>
      <c r="U664" s="2"/>
      <c r="V664" s="2"/>
      <c r="W664" s="2"/>
      <c r="X664" s="2"/>
      <c r="Y664" s="2"/>
      <c r="Z664" s="2"/>
    </row>
    <row r="665" spans="1:26" ht="16.8" x14ac:dyDescent="0.3">
      <c r="A665" s="4">
        <v>923</v>
      </c>
      <c r="B665" s="4" t="s">
        <v>35</v>
      </c>
      <c r="C665" s="4">
        <v>21</v>
      </c>
      <c r="D665" s="4" t="s">
        <v>45</v>
      </c>
      <c r="E665" s="4" t="s">
        <v>47</v>
      </c>
      <c r="F665" s="4">
        <v>2693</v>
      </c>
      <c r="G665" s="4" t="s">
        <v>43</v>
      </c>
      <c r="H665" s="4">
        <v>1</v>
      </c>
      <c r="I665" s="4">
        <v>0</v>
      </c>
      <c r="J665" s="4">
        <v>4</v>
      </c>
      <c r="K665" s="4">
        <v>2</v>
      </c>
      <c r="L665" s="4" t="str">
        <f t="shared" si="15"/>
        <v>NORMAL</v>
      </c>
      <c r="M665" s="4" t="str">
        <f t="shared" si="16"/>
        <v>LOW</v>
      </c>
      <c r="N665" s="4" t="str">
        <f t="shared" si="17"/>
        <v>NEW</v>
      </c>
      <c r="O665" s="4" t="str">
        <f t="shared" si="18"/>
        <v>RECENTLY PROMOTED</v>
      </c>
      <c r="P665" s="5" t="str">
        <f t="shared" si="19"/>
        <v>Low_Pressure</v>
      </c>
      <c r="Q665" s="4" t="str">
        <f t="shared" si="20"/>
        <v>DISENGAGED</v>
      </c>
      <c r="R665" s="4" t="str">
        <f t="shared" si="21"/>
        <v>LOW</v>
      </c>
      <c r="S665" s="2"/>
      <c r="T665" s="2"/>
      <c r="U665" s="2"/>
      <c r="V665" s="2"/>
      <c r="W665" s="2"/>
      <c r="X665" s="2"/>
      <c r="Y665" s="2"/>
      <c r="Z665" s="2"/>
    </row>
    <row r="666" spans="1:26" ht="16.8" x14ac:dyDescent="0.3">
      <c r="A666" s="4">
        <v>924</v>
      </c>
      <c r="B666" s="4" t="s">
        <v>43</v>
      </c>
      <c r="C666" s="4">
        <v>36</v>
      </c>
      <c r="D666" s="4" t="s">
        <v>45</v>
      </c>
      <c r="E666" s="4" t="s">
        <v>54</v>
      </c>
      <c r="F666" s="4">
        <v>6586</v>
      </c>
      <c r="G666" s="4" t="s">
        <v>35</v>
      </c>
      <c r="H666" s="4">
        <v>16</v>
      </c>
      <c r="I666" s="4">
        <v>4</v>
      </c>
      <c r="J666" s="4">
        <v>4</v>
      </c>
      <c r="K666" s="4">
        <v>2</v>
      </c>
      <c r="L666" s="4" t="str">
        <f t="shared" si="15"/>
        <v>NORMAL</v>
      </c>
      <c r="M666" s="4" t="str">
        <f t="shared" si="16"/>
        <v>HIGH</v>
      </c>
      <c r="N666" s="4" t="str">
        <f t="shared" si="17"/>
        <v>SENIOR</v>
      </c>
      <c r="O666" s="4" t="str">
        <f t="shared" si="18"/>
        <v>STAGNANT</v>
      </c>
      <c r="P666" s="5" t="str">
        <f t="shared" si="19"/>
        <v>High_Pressure</v>
      </c>
      <c r="Q666" s="4" t="str">
        <f t="shared" si="20"/>
        <v>DISENGAGED</v>
      </c>
      <c r="R666" s="4" t="str">
        <f t="shared" si="21"/>
        <v>LOW</v>
      </c>
      <c r="S666" s="2"/>
      <c r="T666" s="2"/>
      <c r="U666" s="2"/>
      <c r="V666" s="2"/>
      <c r="W666" s="2"/>
      <c r="X666" s="2"/>
      <c r="Y666" s="2"/>
      <c r="Z666" s="2"/>
    </row>
    <row r="667" spans="1:26" ht="16.8" x14ac:dyDescent="0.3">
      <c r="A667" s="4">
        <v>925</v>
      </c>
      <c r="B667" s="4" t="s">
        <v>43</v>
      </c>
      <c r="C667" s="4">
        <v>47</v>
      </c>
      <c r="D667" s="4" t="s">
        <v>37</v>
      </c>
      <c r="E667" s="4" t="s">
        <v>57</v>
      </c>
      <c r="F667" s="4">
        <v>3294</v>
      </c>
      <c r="G667" s="4" t="s">
        <v>35</v>
      </c>
      <c r="H667" s="4">
        <v>3</v>
      </c>
      <c r="I667" s="4">
        <v>1</v>
      </c>
      <c r="J667" s="4">
        <v>4</v>
      </c>
      <c r="K667" s="4">
        <v>2</v>
      </c>
      <c r="L667" s="4" t="str">
        <f t="shared" si="15"/>
        <v>NORMAL</v>
      </c>
      <c r="M667" s="4" t="str">
        <f t="shared" si="16"/>
        <v>LOW</v>
      </c>
      <c r="N667" s="4" t="str">
        <f t="shared" si="17"/>
        <v>MID</v>
      </c>
      <c r="O667" s="4" t="str">
        <f t="shared" si="18"/>
        <v>RECENTLY PROMOTED</v>
      </c>
      <c r="P667" s="5" t="str">
        <f t="shared" si="19"/>
        <v>High_Pressure</v>
      </c>
      <c r="Q667" s="4" t="str">
        <f t="shared" si="20"/>
        <v>DISENGAGED</v>
      </c>
      <c r="R667" s="4" t="str">
        <f t="shared" si="21"/>
        <v>LOW</v>
      </c>
      <c r="S667" s="2"/>
      <c r="T667" s="2"/>
      <c r="U667" s="2"/>
      <c r="V667" s="2"/>
      <c r="W667" s="2"/>
      <c r="X667" s="2"/>
      <c r="Y667" s="2"/>
      <c r="Z667" s="2"/>
    </row>
    <row r="668" spans="1:26" ht="16.8" x14ac:dyDescent="0.3">
      <c r="A668" s="4">
        <v>926</v>
      </c>
      <c r="B668" s="4" t="s">
        <v>35</v>
      </c>
      <c r="C668" s="4">
        <v>22</v>
      </c>
      <c r="D668" s="4" t="s">
        <v>45</v>
      </c>
      <c r="E668" s="4" t="s">
        <v>53</v>
      </c>
      <c r="F668" s="4">
        <v>4171</v>
      </c>
      <c r="G668" s="4" t="s">
        <v>35</v>
      </c>
      <c r="H668" s="4">
        <v>3</v>
      </c>
      <c r="I668" s="4">
        <v>0</v>
      </c>
      <c r="J668" s="4">
        <v>3</v>
      </c>
      <c r="K668" s="4">
        <v>4</v>
      </c>
      <c r="L668" s="4" t="str">
        <f t="shared" si="15"/>
        <v>NORMAL</v>
      </c>
      <c r="M668" s="4" t="str">
        <f t="shared" si="16"/>
        <v>HIGH</v>
      </c>
      <c r="N668" s="4" t="str">
        <f t="shared" si="17"/>
        <v>MID</v>
      </c>
      <c r="O668" s="4" t="str">
        <f t="shared" si="18"/>
        <v>RECENTLY PROMOTED</v>
      </c>
      <c r="P668" s="5" t="str">
        <f t="shared" si="19"/>
        <v>Medium_Pressure</v>
      </c>
      <c r="Q668" s="4" t="str">
        <f t="shared" si="20"/>
        <v>HIGHLY_ENGAGED</v>
      </c>
      <c r="R668" s="4" t="str">
        <f t="shared" si="21"/>
        <v>LOW</v>
      </c>
      <c r="S668" s="2"/>
      <c r="T668" s="2"/>
      <c r="U668" s="2"/>
      <c r="V668" s="2"/>
      <c r="W668" s="2"/>
      <c r="X668" s="2"/>
      <c r="Y668" s="2"/>
      <c r="Z668" s="2"/>
    </row>
    <row r="669" spans="1:26" ht="16.8" x14ac:dyDescent="0.3">
      <c r="A669" s="4">
        <v>927</v>
      </c>
      <c r="B669" s="4" t="s">
        <v>35</v>
      </c>
      <c r="C669" s="4">
        <v>41</v>
      </c>
      <c r="D669" s="4" t="s">
        <v>45</v>
      </c>
      <c r="E669" s="4" t="s">
        <v>50</v>
      </c>
      <c r="F669" s="4">
        <v>2778</v>
      </c>
      <c r="G669" s="4" t="s">
        <v>35</v>
      </c>
      <c r="H669" s="4">
        <v>7</v>
      </c>
      <c r="I669" s="4">
        <v>1</v>
      </c>
      <c r="J669" s="4">
        <v>4</v>
      </c>
      <c r="K669" s="4">
        <v>2</v>
      </c>
      <c r="L669" s="4" t="str">
        <f t="shared" si="15"/>
        <v>NORMAL</v>
      </c>
      <c r="M669" s="4" t="str">
        <f t="shared" si="16"/>
        <v>LOW</v>
      </c>
      <c r="N669" s="4" t="str">
        <f t="shared" si="17"/>
        <v>SENIOR</v>
      </c>
      <c r="O669" s="4" t="str">
        <f t="shared" si="18"/>
        <v>RECENTLY PROMOTED</v>
      </c>
      <c r="P669" s="5" t="str">
        <f t="shared" si="19"/>
        <v>High_Pressure</v>
      </c>
      <c r="Q669" s="4" t="str">
        <f t="shared" si="20"/>
        <v>DISENGAGED</v>
      </c>
      <c r="R669" s="4" t="str">
        <f t="shared" si="21"/>
        <v>LOW</v>
      </c>
      <c r="S669" s="2"/>
      <c r="T669" s="2"/>
      <c r="U669" s="2"/>
      <c r="V669" s="2"/>
      <c r="W669" s="2"/>
      <c r="X669" s="2"/>
      <c r="Y669" s="2"/>
      <c r="Z669" s="2"/>
    </row>
    <row r="670" spans="1:26" ht="16.8" x14ac:dyDescent="0.3">
      <c r="A670" s="4">
        <v>930</v>
      </c>
      <c r="B670" s="4" t="s">
        <v>43</v>
      </c>
      <c r="C670" s="4">
        <v>28</v>
      </c>
      <c r="D670" s="4" t="s">
        <v>45</v>
      </c>
      <c r="E670" s="4" t="s">
        <v>47</v>
      </c>
      <c r="F670" s="4">
        <v>2377</v>
      </c>
      <c r="G670" s="4" t="s">
        <v>43</v>
      </c>
      <c r="H670" s="4">
        <v>2</v>
      </c>
      <c r="I670" s="4">
        <v>2</v>
      </c>
      <c r="J670" s="4">
        <v>3</v>
      </c>
      <c r="K670" s="4">
        <v>3</v>
      </c>
      <c r="L670" s="4" t="str">
        <f t="shared" si="15"/>
        <v>NORMAL</v>
      </c>
      <c r="M670" s="4" t="str">
        <f t="shared" si="16"/>
        <v>LOW</v>
      </c>
      <c r="N670" s="4" t="str">
        <f t="shared" si="17"/>
        <v>NEW</v>
      </c>
      <c r="O670" s="4" t="str">
        <f t="shared" si="18"/>
        <v>MODERATE-WAIT</v>
      </c>
      <c r="P670" s="5" t="str">
        <f t="shared" si="19"/>
        <v>Medium_Pressure</v>
      </c>
      <c r="Q670" s="4" t="str">
        <f t="shared" si="20"/>
        <v>HIGHLY_ENGAGED</v>
      </c>
      <c r="R670" s="4" t="str">
        <f t="shared" si="21"/>
        <v>LOW</v>
      </c>
      <c r="S670" s="2"/>
      <c r="T670" s="2"/>
      <c r="U670" s="2"/>
      <c r="V670" s="2"/>
      <c r="W670" s="2"/>
      <c r="X670" s="2"/>
      <c r="Y670" s="2"/>
      <c r="Z670" s="2"/>
    </row>
    <row r="671" spans="1:26" ht="16.8" x14ac:dyDescent="0.3">
      <c r="A671" s="4">
        <v>932</v>
      </c>
      <c r="B671" s="4" t="s">
        <v>35</v>
      </c>
      <c r="C671" s="4">
        <v>39</v>
      </c>
      <c r="D671" s="4" t="s">
        <v>45</v>
      </c>
      <c r="E671" s="4" t="s">
        <v>50</v>
      </c>
      <c r="F671" s="4">
        <v>2404</v>
      </c>
      <c r="G671" s="4" t="s">
        <v>35</v>
      </c>
      <c r="H671" s="4">
        <v>2</v>
      </c>
      <c r="I671" s="4">
        <v>2</v>
      </c>
      <c r="J671" s="4">
        <v>1</v>
      </c>
      <c r="K671" s="4">
        <v>1</v>
      </c>
      <c r="L671" s="4" t="str">
        <f t="shared" si="15"/>
        <v>NORMAL</v>
      </c>
      <c r="M671" s="4" t="str">
        <f t="shared" si="16"/>
        <v>LOW</v>
      </c>
      <c r="N671" s="4" t="str">
        <f t="shared" si="17"/>
        <v>NEW</v>
      </c>
      <c r="O671" s="4" t="str">
        <f t="shared" si="18"/>
        <v>MODERATE-WAIT</v>
      </c>
      <c r="P671" s="5" t="str">
        <f t="shared" si="19"/>
        <v>High_Pressure</v>
      </c>
      <c r="Q671" s="4" t="str">
        <f t="shared" si="20"/>
        <v>DISENGAGED</v>
      </c>
      <c r="R671" s="4" t="str">
        <f t="shared" si="21"/>
        <v>LOW</v>
      </c>
      <c r="S671" s="2"/>
      <c r="T671" s="2"/>
      <c r="U671" s="2"/>
      <c r="V671" s="2"/>
      <c r="W671" s="2"/>
      <c r="X671" s="2"/>
      <c r="Y671" s="2"/>
      <c r="Z671" s="2"/>
    </row>
    <row r="672" spans="1:26" ht="16.8" x14ac:dyDescent="0.3">
      <c r="A672" s="4">
        <v>933</v>
      </c>
      <c r="B672" s="4" t="s">
        <v>43</v>
      </c>
      <c r="C672" s="4">
        <v>27</v>
      </c>
      <c r="D672" s="4" t="s">
        <v>45</v>
      </c>
      <c r="E672" s="4" t="s">
        <v>47</v>
      </c>
      <c r="F672" s="4">
        <v>2318</v>
      </c>
      <c r="G672" s="4" t="s">
        <v>43</v>
      </c>
      <c r="H672" s="4">
        <v>1</v>
      </c>
      <c r="I672" s="4">
        <v>0</v>
      </c>
      <c r="J672" s="4">
        <v>3</v>
      </c>
      <c r="K672" s="4">
        <v>3</v>
      </c>
      <c r="L672" s="4" t="str">
        <f t="shared" si="15"/>
        <v>NORMAL</v>
      </c>
      <c r="M672" s="4" t="str">
        <f t="shared" si="16"/>
        <v>LOW</v>
      </c>
      <c r="N672" s="4" t="str">
        <f t="shared" si="17"/>
        <v>NEW</v>
      </c>
      <c r="O672" s="4" t="str">
        <f t="shared" si="18"/>
        <v>RECENTLY PROMOTED</v>
      </c>
      <c r="P672" s="5" t="str">
        <f t="shared" si="19"/>
        <v>Medium_Pressure</v>
      </c>
      <c r="Q672" s="4" t="str">
        <f t="shared" si="20"/>
        <v>HIGHLY_ENGAGED</v>
      </c>
      <c r="R672" s="4" t="str">
        <f t="shared" si="21"/>
        <v>LOW</v>
      </c>
      <c r="S672" s="2"/>
      <c r="T672" s="2"/>
      <c r="U672" s="2"/>
      <c r="V672" s="2"/>
      <c r="W672" s="2"/>
      <c r="X672" s="2"/>
      <c r="Y672" s="2"/>
      <c r="Z672" s="2"/>
    </row>
    <row r="673" spans="1:26" ht="16.8" x14ac:dyDescent="0.3">
      <c r="A673" s="4">
        <v>934</v>
      </c>
      <c r="B673" s="4" t="s">
        <v>43</v>
      </c>
      <c r="C673" s="4">
        <v>34</v>
      </c>
      <c r="D673" s="4" t="s">
        <v>45</v>
      </c>
      <c r="E673" s="4" t="s">
        <v>50</v>
      </c>
      <c r="F673" s="4">
        <v>2008</v>
      </c>
      <c r="G673" s="4" t="s">
        <v>43</v>
      </c>
      <c r="H673" s="4">
        <v>1</v>
      </c>
      <c r="I673" s="4">
        <v>1</v>
      </c>
      <c r="J673" s="4">
        <v>2</v>
      </c>
      <c r="K673" s="4">
        <v>3</v>
      </c>
      <c r="L673" s="4" t="str">
        <f t="shared" si="15"/>
        <v>NORMAL</v>
      </c>
      <c r="M673" s="4" t="str">
        <f t="shared" si="16"/>
        <v>LOW</v>
      </c>
      <c r="N673" s="4" t="str">
        <f t="shared" si="17"/>
        <v>NEW</v>
      </c>
      <c r="O673" s="4" t="str">
        <f t="shared" si="18"/>
        <v>RECENTLY PROMOTED</v>
      </c>
      <c r="P673" s="5" t="str">
        <f t="shared" si="19"/>
        <v>Medium_Pressure</v>
      </c>
      <c r="Q673" s="4" t="str">
        <f t="shared" si="20"/>
        <v>DISENGAGED</v>
      </c>
      <c r="R673" s="4" t="str">
        <f t="shared" si="21"/>
        <v>LOW</v>
      </c>
      <c r="S673" s="2"/>
      <c r="T673" s="2"/>
      <c r="U673" s="2"/>
      <c r="V673" s="2"/>
      <c r="W673" s="2"/>
      <c r="X673" s="2"/>
      <c r="Y673" s="2"/>
      <c r="Z673" s="2"/>
    </row>
    <row r="674" spans="1:26" ht="16.8" x14ac:dyDescent="0.3">
      <c r="A674" s="4">
        <v>936</v>
      </c>
      <c r="B674" s="4" t="s">
        <v>43</v>
      </c>
      <c r="C674" s="4">
        <v>42</v>
      </c>
      <c r="D674" s="4" t="s">
        <v>37</v>
      </c>
      <c r="E674" s="4" t="s">
        <v>40</v>
      </c>
      <c r="F674" s="4">
        <v>6244</v>
      </c>
      <c r="G674" s="4" t="s">
        <v>43</v>
      </c>
      <c r="H674" s="4">
        <v>5</v>
      </c>
      <c r="I674" s="4">
        <v>0</v>
      </c>
      <c r="J674" s="4">
        <v>3</v>
      </c>
      <c r="K674" s="4">
        <v>3</v>
      </c>
      <c r="L674" s="4" t="str">
        <f t="shared" si="15"/>
        <v>NORMAL</v>
      </c>
      <c r="M674" s="4" t="str">
        <f t="shared" si="16"/>
        <v>HIGH</v>
      </c>
      <c r="N674" s="4" t="str">
        <f t="shared" si="17"/>
        <v>MID</v>
      </c>
      <c r="O674" s="4" t="str">
        <f t="shared" si="18"/>
        <v>RECENTLY PROMOTED</v>
      </c>
      <c r="P674" s="5" t="str">
        <f t="shared" si="19"/>
        <v>Medium_Pressure</v>
      </c>
      <c r="Q674" s="4" t="str">
        <f t="shared" si="20"/>
        <v>HIGHLY_ENGAGED</v>
      </c>
      <c r="R674" s="4" t="str">
        <f t="shared" si="21"/>
        <v>LOW</v>
      </c>
      <c r="S674" s="2"/>
      <c r="T674" s="2"/>
      <c r="U674" s="2"/>
      <c r="V674" s="2"/>
      <c r="W674" s="2"/>
      <c r="X674" s="2"/>
      <c r="Y674" s="2"/>
      <c r="Z674" s="2"/>
    </row>
    <row r="675" spans="1:26" ht="16.8" x14ac:dyDescent="0.3">
      <c r="A675" s="4">
        <v>939</v>
      </c>
      <c r="B675" s="4" t="s">
        <v>43</v>
      </c>
      <c r="C675" s="4">
        <v>33</v>
      </c>
      <c r="D675" s="4" t="s">
        <v>45</v>
      </c>
      <c r="E675" s="4" t="s">
        <v>47</v>
      </c>
      <c r="F675" s="4">
        <v>2799</v>
      </c>
      <c r="G675" s="4" t="s">
        <v>35</v>
      </c>
      <c r="H675" s="4">
        <v>3</v>
      </c>
      <c r="I675" s="4">
        <v>0</v>
      </c>
      <c r="J675" s="4">
        <v>1</v>
      </c>
      <c r="K675" s="4">
        <v>3</v>
      </c>
      <c r="L675" s="4" t="str">
        <f t="shared" si="15"/>
        <v>NORMAL</v>
      </c>
      <c r="M675" s="4" t="str">
        <f t="shared" si="16"/>
        <v>LOW</v>
      </c>
      <c r="N675" s="4" t="str">
        <f t="shared" si="17"/>
        <v>MID</v>
      </c>
      <c r="O675" s="4" t="str">
        <f t="shared" si="18"/>
        <v>RECENTLY PROMOTED</v>
      </c>
      <c r="P675" s="5" t="str">
        <f t="shared" si="19"/>
        <v>Medium_Pressure</v>
      </c>
      <c r="Q675" s="4" t="str">
        <f t="shared" si="20"/>
        <v>DISENGAGED</v>
      </c>
      <c r="R675" s="4" t="str">
        <f t="shared" si="21"/>
        <v>LOW</v>
      </c>
      <c r="S675" s="2"/>
      <c r="T675" s="2"/>
      <c r="U675" s="2"/>
      <c r="V675" s="2"/>
      <c r="W675" s="2"/>
      <c r="X675" s="2"/>
      <c r="Y675" s="2"/>
      <c r="Z675" s="2"/>
    </row>
    <row r="676" spans="1:26" ht="16.8" x14ac:dyDescent="0.3">
      <c r="A676" s="4">
        <v>940</v>
      </c>
      <c r="B676" s="4" t="s">
        <v>43</v>
      </c>
      <c r="C676" s="4">
        <v>58</v>
      </c>
      <c r="D676" s="4" t="s">
        <v>45</v>
      </c>
      <c r="E676" s="4" t="s">
        <v>54</v>
      </c>
      <c r="F676" s="4">
        <v>10552</v>
      </c>
      <c r="G676" s="4" t="s">
        <v>35</v>
      </c>
      <c r="H676" s="4">
        <v>6</v>
      </c>
      <c r="I676" s="4">
        <v>0</v>
      </c>
      <c r="J676" s="4">
        <v>2</v>
      </c>
      <c r="K676" s="4">
        <v>3</v>
      </c>
      <c r="L676" s="4" t="str">
        <f t="shared" si="15"/>
        <v>NORMAL</v>
      </c>
      <c r="M676" s="4" t="str">
        <f t="shared" si="16"/>
        <v>MEDIUM</v>
      </c>
      <c r="N676" s="4" t="str">
        <f t="shared" si="17"/>
        <v>MID</v>
      </c>
      <c r="O676" s="4" t="str">
        <f t="shared" si="18"/>
        <v>RECENTLY PROMOTED</v>
      </c>
      <c r="P676" s="5" t="str">
        <f t="shared" si="19"/>
        <v>Medium_Pressure</v>
      </c>
      <c r="Q676" s="4" t="str">
        <f t="shared" si="20"/>
        <v>DISENGAGED</v>
      </c>
      <c r="R676" s="4" t="str">
        <f t="shared" si="21"/>
        <v>LOW</v>
      </c>
      <c r="S676" s="2"/>
      <c r="T676" s="2"/>
      <c r="U676" s="2"/>
      <c r="V676" s="2"/>
      <c r="W676" s="2"/>
      <c r="X676" s="2"/>
      <c r="Y676" s="2"/>
      <c r="Z676" s="2"/>
    </row>
    <row r="677" spans="1:26" ht="16.8" x14ac:dyDescent="0.3">
      <c r="A677" s="4">
        <v>941</v>
      </c>
      <c r="B677" s="4" t="s">
        <v>43</v>
      </c>
      <c r="C677" s="4">
        <v>31</v>
      </c>
      <c r="D677" s="4" t="s">
        <v>37</v>
      </c>
      <c r="E677" s="4" t="s">
        <v>57</v>
      </c>
      <c r="F677" s="4">
        <v>2329</v>
      </c>
      <c r="G677" s="4" t="s">
        <v>43</v>
      </c>
      <c r="H677" s="4">
        <v>7</v>
      </c>
      <c r="I677" s="4">
        <v>5</v>
      </c>
      <c r="J677" s="4">
        <v>3</v>
      </c>
      <c r="K677" s="4">
        <v>4</v>
      </c>
      <c r="L677" s="4" t="str">
        <f t="shared" si="15"/>
        <v>NORMAL</v>
      </c>
      <c r="M677" s="4" t="str">
        <f t="shared" si="16"/>
        <v>LOW</v>
      </c>
      <c r="N677" s="4" t="str">
        <f t="shared" si="17"/>
        <v>SENIOR</v>
      </c>
      <c r="O677" s="4" t="str">
        <f t="shared" si="18"/>
        <v>STAGNANT</v>
      </c>
      <c r="P677" s="5" t="str">
        <f t="shared" si="19"/>
        <v>Low_Pressure</v>
      </c>
      <c r="Q677" s="4" t="str">
        <f t="shared" si="20"/>
        <v>HIGHLY_ENGAGED</v>
      </c>
      <c r="R677" s="4" t="str">
        <f t="shared" si="21"/>
        <v>LOW</v>
      </c>
      <c r="S677" s="2"/>
      <c r="T677" s="2"/>
      <c r="U677" s="2"/>
      <c r="V677" s="2"/>
      <c r="W677" s="2"/>
      <c r="X677" s="2"/>
      <c r="Y677" s="2"/>
      <c r="Z677" s="2"/>
    </row>
    <row r="678" spans="1:26" ht="16.8" x14ac:dyDescent="0.3">
      <c r="A678" s="4">
        <v>942</v>
      </c>
      <c r="B678" s="4" t="s">
        <v>43</v>
      </c>
      <c r="C678" s="4">
        <v>35</v>
      </c>
      <c r="D678" s="4" t="s">
        <v>45</v>
      </c>
      <c r="E678" s="4" t="s">
        <v>54</v>
      </c>
      <c r="F678" s="4">
        <v>4014</v>
      </c>
      <c r="G678" s="4" t="s">
        <v>35</v>
      </c>
      <c r="H678" s="4">
        <v>10</v>
      </c>
      <c r="I678" s="4">
        <v>0</v>
      </c>
      <c r="J678" s="4">
        <v>4</v>
      </c>
      <c r="K678" s="4">
        <v>1</v>
      </c>
      <c r="L678" s="4" t="str">
        <f t="shared" si="15"/>
        <v>NORMAL</v>
      </c>
      <c r="M678" s="4" t="str">
        <f t="shared" si="16"/>
        <v>HIGH</v>
      </c>
      <c r="N678" s="4" t="str">
        <f t="shared" si="17"/>
        <v>SENIOR</v>
      </c>
      <c r="O678" s="4" t="str">
        <f t="shared" si="18"/>
        <v>RECENTLY PROMOTED</v>
      </c>
      <c r="P678" s="5" t="str">
        <f t="shared" si="19"/>
        <v>High_Pressure</v>
      </c>
      <c r="Q678" s="4" t="str">
        <f t="shared" si="20"/>
        <v>DISENGAGED</v>
      </c>
      <c r="R678" s="4" t="str">
        <f t="shared" si="21"/>
        <v>LOW</v>
      </c>
      <c r="S678" s="2"/>
      <c r="T678" s="2"/>
      <c r="U678" s="2"/>
      <c r="V678" s="2"/>
      <c r="W678" s="2"/>
      <c r="X678" s="2"/>
      <c r="Y678" s="2"/>
      <c r="Z678" s="2"/>
    </row>
    <row r="679" spans="1:26" ht="16.8" x14ac:dyDescent="0.3">
      <c r="A679" s="4">
        <v>944</v>
      </c>
      <c r="B679" s="4" t="s">
        <v>43</v>
      </c>
      <c r="C679" s="4">
        <v>49</v>
      </c>
      <c r="D679" s="4" t="s">
        <v>45</v>
      </c>
      <c r="E679" s="4" t="s">
        <v>50</v>
      </c>
      <c r="F679" s="4">
        <v>7403</v>
      </c>
      <c r="G679" s="4" t="s">
        <v>43</v>
      </c>
      <c r="H679" s="4">
        <v>26</v>
      </c>
      <c r="I679" s="4">
        <v>1</v>
      </c>
      <c r="J679" s="4">
        <v>2</v>
      </c>
      <c r="K679" s="4">
        <v>2</v>
      </c>
      <c r="L679" s="4" t="str">
        <f t="shared" si="15"/>
        <v>NORMAL</v>
      </c>
      <c r="M679" s="4" t="str">
        <f t="shared" si="16"/>
        <v>HIGH</v>
      </c>
      <c r="N679" s="4" t="str">
        <f t="shared" si="17"/>
        <v>SENIOR</v>
      </c>
      <c r="O679" s="4" t="str">
        <f t="shared" si="18"/>
        <v>RECENTLY PROMOTED</v>
      </c>
      <c r="P679" s="5" t="str">
        <f t="shared" si="19"/>
        <v>Low_Pressure</v>
      </c>
      <c r="Q679" s="4" t="str">
        <f t="shared" si="20"/>
        <v>DISENGAGED</v>
      </c>
      <c r="R679" s="4" t="str">
        <f t="shared" si="21"/>
        <v>LOW</v>
      </c>
      <c r="S679" s="2"/>
      <c r="T679" s="2"/>
      <c r="U679" s="2"/>
      <c r="V679" s="2"/>
      <c r="W679" s="2"/>
      <c r="X679" s="2"/>
      <c r="Y679" s="2"/>
      <c r="Z679" s="2"/>
    </row>
    <row r="680" spans="1:26" ht="16.8" x14ac:dyDescent="0.3">
      <c r="A680" s="4">
        <v>945</v>
      </c>
      <c r="B680" s="4" t="s">
        <v>43</v>
      </c>
      <c r="C680" s="4">
        <v>48</v>
      </c>
      <c r="D680" s="4" t="s">
        <v>45</v>
      </c>
      <c r="E680" s="4" t="s">
        <v>47</v>
      </c>
      <c r="F680" s="4">
        <v>2259</v>
      </c>
      <c r="G680" s="4" t="s">
        <v>43</v>
      </c>
      <c r="H680" s="4">
        <v>0</v>
      </c>
      <c r="I680" s="4">
        <v>0</v>
      </c>
      <c r="J680" s="4">
        <v>3</v>
      </c>
      <c r="K680" s="4">
        <v>2</v>
      </c>
      <c r="L680" s="4" t="str">
        <f t="shared" si="15"/>
        <v>NORMAL</v>
      </c>
      <c r="M680" s="4" t="str">
        <f t="shared" si="16"/>
        <v>LOW</v>
      </c>
      <c r="N680" s="4" t="str">
        <f t="shared" si="17"/>
        <v>NEW</v>
      </c>
      <c r="O680" s="4" t="str">
        <f t="shared" si="18"/>
        <v>RECENTLY PROMOTED</v>
      </c>
      <c r="P680" s="5" t="str">
        <f t="shared" si="19"/>
        <v>Low_Pressure</v>
      </c>
      <c r="Q680" s="4" t="str">
        <f t="shared" si="20"/>
        <v>DISENGAGED</v>
      </c>
      <c r="R680" s="4" t="str">
        <f t="shared" si="21"/>
        <v>LOW</v>
      </c>
      <c r="S680" s="2"/>
      <c r="T680" s="2"/>
      <c r="U680" s="2"/>
      <c r="V680" s="2"/>
      <c r="W680" s="2"/>
      <c r="X680" s="2"/>
      <c r="Y680" s="2"/>
      <c r="Z680" s="2"/>
    </row>
    <row r="681" spans="1:26" ht="16.8" x14ac:dyDescent="0.3">
      <c r="A681" s="4">
        <v>947</v>
      </c>
      <c r="B681" s="4" t="s">
        <v>43</v>
      </c>
      <c r="C681" s="4">
        <v>31</v>
      </c>
      <c r="D681" s="4" t="s">
        <v>37</v>
      </c>
      <c r="E681" s="4" t="s">
        <v>40</v>
      </c>
      <c r="F681" s="4">
        <v>6932</v>
      </c>
      <c r="G681" s="4" t="s">
        <v>43</v>
      </c>
      <c r="H681" s="4">
        <v>9</v>
      </c>
      <c r="I681" s="4">
        <v>0</v>
      </c>
      <c r="J681" s="4">
        <v>3</v>
      </c>
      <c r="K681" s="4">
        <v>2</v>
      </c>
      <c r="L681" s="4" t="str">
        <f t="shared" si="15"/>
        <v>NORMAL</v>
      </c>
      <c r="M681" s="4" t="str">
        <f t="shared" si="16"/>
        <v>HIGH</v>
      </c>
      <c r="N681" s="4" t="str">
        <f t="shared" si="17"/>
        <v>SENIOR</v>
      </c>
      <c r="O681" s="4" t="str">
        <f t="shared" si="18"/>
        <v>RECENTLY PROMOTED</v>
      </c>
      <c r="P681" s="5" t="str">
        <f t="shared" si="19"/>
        <v>Low_Pressure</v>
      </c>
      <c r="Q681" s="4" t="str">
        <f t="shared" si="20"/>
        <v>DISENGAGED</v>
      </c>
      <c r="R681" s="4" t="str">
        <f t="shared" si="21"/>
        <v>LOW</v>
      </c>
      <c r="S681" s="2"/>
      <c r="T681" s="2"/>
      <c r="U681" s="2"/>
      <c r="V681" s="2"/>
      <c r="W681" s="2"/>
      <c r="X681" s="2"/>
      <c r="Y681" s="2"/>
      <c r="Z681" s="2"/>
    </row>
    <row r="682" spans="1:26" ht="16.8" x14ac:dyDescent="0.3">
      <c r="A682" s="4">
        <v>949</v>
      </c>
      <c r="B682" s="4" t="s">
        <v>43</v>
      </c>
      <c r="C682" s="4">
        <v>36</v>
      </c>
      <c r="D682" s="4" t="s">
        <v>45</v>
      </c>
      <c r="E682" s="4" t="s">
        <v>47</v>
      </c>
      <c r="F682" s="4">
        <v>4678</v>
      </c>
      <c r="G682" s="4" t="s">
        <v>43</v>
      </c>
      <c r="H682" s="4">
        <v>6</v>
      </c>
      <c r="I682" s="4">
        <v>0</v>
      </c>
      <c r="J682" s="4">
        <v>4</v>
      </c>
      <c r="K682" s="4">
        <v>3</v>
      </c>
      <c r="L682" s="4" t="str">
        <f t="shared" si="15"/>
        <v>NORMAL</v>
      </c>
      <c r="M682" s="4" t="str">
        <f t="shared" si="16"/>
        <v>HIGH</v>
      </c>
      <c r="N682" s="4" t="str">
        <f t="shared" si="17"/>
        <v>MID</v>
      </c>
      <c r="O682" s="4" t="str">
        <f t="shared" si="18"/>
        <v>RECENTLY PROMOTED</v>
      </c>
      <c r="P682" s="5" t="str">
        <f t="shared" si="19"/>
        <v>Medium_Pressure</v>
      </c>
      <c r="Q682" s="4" t="str">
        <f t="shared" si="20"/>
        <v>HIGHLY_ENGAGED</v>
      </c>
      <c r="R682" s="4" t="str">
        <f t="shared" si="21"/>
        <v>LOW</v>
      </c>
      <c r="S682" s="2"/>
      <c r="T682" s="2"/>
      <c r="U682" s="2"/>
      <c r="V682" s="2"/>
      <c r="W682" s="2"/>
      <c r="X682" s="2"/>
      <c r="Y682" s="2"/>
      <c r="Z682" s="2"/>
    </row>
    <row r="683" spans="1:26" ht="16.8" x14ac:dyDescent="0.3">
      <c r="A683" s="4">
        <v>950</v>
      </c>
      <c r="B683" s="4" t="s">
        <v>43</v>
      </c>
      <c r="C683" s="4">
        <v>38</v>
      </c>
      <c r="D683" s="4" t="s">
        <v>45</v>
      </c>
      <c r="E683" s="4" t="s">
        <v>58</v>
      </c>
      <c r="F683" s="4">
        <v>13582</v>
      </c>
      <c r="G683" s="4" t="s">
        <v>43</v>
      </c>
      <c r="H683" s="4">
        <v>15</v>
      </c>
      <c r="I683" s="4">
        <v>5</v>
      </c>
      <c r="J683" s="4">
        <v>1</v>
      </c>
      <c r="K683" s="4">
        <v>3</v>
      </c>
      <c r="L683" s="4" t="str">
        <f t="shared" si="15"/>
        <v>NORMAL</v>
      </c>
      <c r="M683" s="4" t="str">
        <f t="shared" si="16"/>
        <v>MEDIUM</v>
      </c>
      <c r="N683" s="4" t="str">
        <f t="shared" si="17"/>
        <v>SENIOR</v>
      </c>
      <c r="O683" s="4" t="str">
        <f t="shared" si="18"/>
        <v>STAGNANT</v>
      </c>
      <c r="P683" s="5" t="str">
        <f t="shared" si="19"/>
        <v>Medium_Pressure</v>
      </c>
      <c r="Q683" s="4" t="str">
        <f t="shared" si="20"/>
        <v>DISENGAGED</v>
      </c>
      <c r="R683" s="4" t="str">
        <f t="shared" si="21"/>
        <v>LOW</v>
      </c>
      <c r="S683" s="2"/>
      <c r="T683" s="2"/>
      <c r="U683" s="2"/>
      <c r="V683" s="2"/>
      <c r="W683" s="2"/>
      <c r="X683" s="2"/>
      <c r="Y683" s="2"/>
      <c r="Z683" s="2"/>
    </row>
    <row r="684" spans="1:26" ht="16.8" x14ac:dyDescent="0.3">
      <c r="A684" s="4">
        <v>951</v>
      </c>
      <c r="B684" s="4" t="s">
        <v>43</v>
      </c>
      <c r="C684" s="4">
        <v>32</v>
      </c>
      <c r="D684" s="4" t="s">
        <v>45</v>
      </c>
      <c r="E684" s="4" t="s">
        <v>50</v>
      </c>
      <c r="F684" s="4">
        <v>2332</v>
      </c>
      <c r="G684" s="4" t="s">
        <v>43</v>
      </c>
      <c r="H684" s="4">
        <v>3</v>
      </c>
      <c r="I684" s="4">
        <v>0</v>
      </c>
      <c r="J684" s="4">
        <v>2</v>
      </c>
      <c r="K684" s="4">
        <v>3</v>
      </c>
      <c r="L684" s="4" t="str">
        <f t="shared" si="15"/>
        <v>NORMAL</v>
      </c>
      <c r="M684" s="4" t="str">
        <f t="shared" si="16"/>
        <v>LOW</v>
      </c>
      <c r="N684" s="4" t="str">
        <f t="shared" si="17"/>
        <v>MID</v>
      </c>
      <c r="O684" s="4" t="str">
        <f t="shared" si="18"/>
        <v>RECENTLY PROMOTED</v>
      </c>
      <c r="P684" s="5" t="str">
        <f t="shared" si="19"/>
        <v>Medium_Pressure</v>
      </c>
      <c r="Q684" s="4" t="str">
        <f t="shared" si="20"/>
        <v>DISENGAGED</v>
      </c>
      <c r="R684" s="4" t="str">
        <f t="shared" si="21"/>
        <v>LOW</v>
      </c>
      <c r="S684" s="2"/>
      <c r="T684" s="2"/>
      <c r="U684" s="2"/>
      <c r="V684" s="2"/>
      <c r="W684" s="2"/>
      <c r="X684" s="2"/>
      <c r="Y684" s="2"/>
      <c r="Z684" s="2"/>
    </row>
    <row r="685" spans="1:26" ht="16.8" x14ac:dyDescent="0.3">
      <c r="A685" s="4">
        <v>952</v>
      </c>
      <c r="B685" s="4" t="s">
        <v>35</v>
      </c>
      <c r="C685" s="4">
        <v>25</v>
      </c>
      <c r="D685" s="4" t="s">
        <v>37</v>
      </c>
      <c r="E685" s="4" t="s">
        <v>57</v>
      </c>
      <c r="F685" s="4">
        <v>2413</v>
      </c>
      <c r="G685" s="4" t="s">
        <v>35</v>
      </c>
      <c r="H685" s="4">
        <v>1</v>
      </c>
      <c r="I685" s="4">
        <v>0</v>
      </c>
      <c r="J685" s="4">
        <v>2</v>
      </c>
      <c r="K685" s="4">
        <v>3</v>
      </c>
      <c r="L685" s="4" t="str">
        <f t="shared" si="15"/>
        <v>NORMAL</v>
      </c>
      <c r="M685" s="4" t="str">
        <f t="shared" si="16"/>
        <v>LOW</v>
      </c>
      <c r="N685" s="4" t="str">
        <f t="shared" si="17"/>
        <v>NEW</v>
      </c>
      <c r="O685" s="4" t="str">
        <f t="shared" si="18"/>
        <v>RECENTLY PROMOTED</v>
      </c>
      <c r="P685" s="5" t="str">
        <f t="shared" si="19"/>
        <v>Medium_Pressure</v>
      </c>
      <c r="Q685" s="4" t="str">
        <f t="shared" si="20"/>
        <v>DISENGAGED</v>
      </c>
      <c r="R685" s="4" t="str">
        <f t="shared" si="21"/>
        <v>LOW</v>
      </c>
      <c r="S685" s="2"/>
      <c r="T685" s="2"/>
      <c r="U685" s="2"/>
      <c r="V685" s="2"/>
      <c r="W685" s="2"/>
      <c r="X685" s="2"/>
      <c r="Y685" s="2"/>
      <c r="Z685" s="2"/>
    </row>
    <row r="686" spans="1:26" ht="16.8" x14ac:dyDescent="0.3">
      <c r="A686" s="4">
        <v>954</v>
      </c>
      <c r="B686" s="4" t="s">
        <v>43</v>
      </c>
      <c r="C686" s="4">
        <v>40</v>
      </c>
      <c r="D686" s="4" t="s">
        <v>37</v>
      </c>
      <c r="E686" s="4" t="s">
        <v>40</v>
      </c>
      <c r="F686" s="4">
        <v>9705</v>
      </c>
      <c r="G686" s="4" t="s">
        <v>43</v>
      </c>
      <c r="H686" s="4">
        <v>1</v>
      </c>
      <c r="I686" s="4">
        <v>0</v>
      </c>
      <c r="J686" s="4">
        <v>2</v>
      </c>
      <c r="K686" s="4">
        <v>2</v>
      </c>
      <c r="L686" s="4" t="str">
        <f t="shared" si="15"/>
        <v>NORMAL</v>
      </c>
      <c r="M686" s="4" t="str">
        <f t="shared" si="16"/>
        <v>MEDIUM</v>
      </c>
      <c r="N686" s="4" t="str">
        <f t="shared" si="17"/>
        <v>NEW</v>
      </c>
      <c r="O686" s="4" t="str">
        <f t="shared" si="18"/>
        <v>RECENTLY PROMOTED</v>
      </c>
      <c r="P686" s="5" t="str">
        <f t="shared" si="19"/>
        <v>Low_Pressure</v>
      </c>
      <c r="Q686" s="4" t="str">
        <f t="shared" si="20"/>
        <v>DISENGAGED</v>
      </c>
      <c r="R686" s="4" t="str">
        <f t="shared" si="21"/>
        <v>LOW</v>
      </c>
      <c r="S686" s="2"/>
      <c r="T686" s="2"/>
      <c r="U686" s="2"/>
      <c r="V686" s="2"/>
      <c r="W686" s="2"/>
      <c r="X686" s="2"/>
      <c r="Y686" s="2"/>
      <c r="Z686" s="2"/>
    </row>
    <row r="687" spans="1:26" ht="16.8" x14ac:dyDescent="0.3">
      <c r="A687" s="4">
        <v>956</v>
      </c>
      <c r="B687" s="4" t="s">
        <v>43</v>
      </c>
      <c r="C687" s="4">
        <v>26</v>
      </c>
      <c r="D687" s="4" t="s">
        <v>37</v>
      </c>
      <c r="E687" s="4" t="s">
        <v>40</v>
      </c>
      <c r="F687" s="4">
        <v>4294</v>
      </c>
      <c r="G687" s="4" t="s">
        <v>43</v>
      </c>
      <c r="H687" s="4">
        <v>7</v>
      </c>
      <c r="I687" s="4">
        <v>0</v>
      </c>
      <c r="J687" s="4">
        <v>1</v>
      </c>
      <c r="K687" s="4">
        <v>3</v>
      </c>
      <c r="L687" s="4" t="str">
        <f t="shared" si="15"/>
        <v>NORMAL</v>
      </c>
      <c r="M687" s="4" t="str">
        <f t="shared" si="16"/>
        <v>HIGH</v>
      </c>
      <c r="N687" s="4" t="str">
        <f t="shared" si="17"/>
        <v>SENIOR</v>
      </c>
      <c r="O687" s="4" t="str">
        <f t="shared" si="18"/>
        <v>RECENTLY PROMOTED</v>
      </c>
      <c r="P687" s="5" t="str">
        <f t="shared" si="19"/>
        <v>Medium_Pressure</v>
      </c>
      <c r="Q687" s="4" t="str">
        <f t="shared" si="20"/>
        <v>DISENGAGED</v>
      </c>
      <c r="R687" s="4" t="str">
        <f t="shared" si="21"/>
        <v>LOW</v>
      </c>
      <c r="S687" s="2"/>
      <c r="T687" s="2"/>
      <c r="U687" s="2"/>
      <c r="V687" s="2"/>
      <c r="W687" s="2"/>
      <c r="X687" s="2"/>
      <c r="Y687" s="2"/>
      <c r="Z687" s="2"/>
    </row>
    <row r="688" spans="1:26" ht="16.8" x14ac:dyDescent="0.3">
      <c r="A688" s="4">
        <v>957</v>
      </c>
      <c r="B688" s="4" t="s">
        <v>43</v>
      </c>
      <c r="C688" s="4">
        <v>41</v>
      </c>
      <c r="D688" s="4" t="s">
        <v>45</v>
      </c>
      <c r="E688" s="4" t="s">
        <v>50</v>
      </c>
      <c r="F688" s="4">
        <v>4721</v>
      </c>
      <c r="G688" s="4" t="s">
        <v>35</v>
      </c>
      <c r="H688" s="4">
        <v>18</v>
      </c>
      <c r="I688" s="4">
        <v>2</v>
      </c>
      <c r="J688" s="4">
        <v>1</v>
      </c>
      <c r="K688" s="4">
        <v>3</v>
      </c>
      <c r="L688" s="4" t="str">
        <f t="shared" si="15"/>
        <v>NORMAL</v>
      </c>
      <c r="M688" s="4" t="str">
        <f t="shared" si="16"/>
        <v>HIGH</v>
      </c>
      <c r="N688" s="4" t="str">
        <f t="shared" si="17"/>
        <v>SENIOR</v>
      </c>
      <c r="O688" s="4" t="str">
        <f t="shared" si="18"/>
        <v>MODERATE-WAIT</v>
      </c>
      <c r="P688" s="5" t="str">
        <f t="shared" si="19"/>
        <v>Medium_Pressure</v>
      </c>
      <c r="Q688" s="4" t="str">
        <f t="shared" si="20"/>
        <v>DISENGAGED</v>
      </c>
      <c r="R688" s="4" t="str">
        <f t="shared" si="21"/>
        <v>LOW</v>
      </c>
      <c r="S688" s="2"/>
      <c r="T688" s="2"/>
      <c r="U688" s="2"/>
      <c r="V688" s="2"/>
      <c r="W688" s="2"/>
      <c r="X688" s="2"/>
      <c r="Y688" s="2"/>
      <c r="Z688" s="2"/>
    </row>
    <row r="689" spans="1:26" ht="16.8" x14ac:dyDescent="0.3">
      <c r="A689" s="4">
        <v>958</v>
      </c>
      <c r="B689" s="4" t="s">
        <v>43</v>
      </c>
      <c r="C689" s="4">
        <v>36</v>
      </c>
      <c r="D689" s="4" t="s">
        <v>45</v>
      </c>
      <c r="E689" s="4" t="s">
        <v>50</v>
      </c>
      <c r="F689" s="4">
        <v>2519</v>
      </c>
      <c r="G689" s="4" t="s">
        <v>43</v>
      </c>
      <c r="H689" s="4">
        <v>11</v>
      </c>
      <c r="I689" s="4">
        <v>3</v>
      </c>
      <c r="J689" s="4">
        <v>3</v>
      </c>
      <c r="K689" s="4">
        <v>3</v>
      </c>
      <c r="L689" s="4" t="str">
        <f t="shared" si="15"/>
        <v>NORMAL</v>
      </c>
      <c r="M689" s="4" t="str">
        <f t="shared" si="16"/>
        <v>LOW</v>
      </c>
      <c r="N689" s="4" t="str">
        <f t="shared" si="17"/>
        <v>SENIOR</v>
      </c>
      <c r="O689" s="4" t="str">
        <f t="shared" si="18"/>
        <v>MODERATE-WAIT</v>
      </c>
      <c r="P689" s="5" t="str">
        <f t="shared" si="19"/>
        <v>Medium_Pressure</v>
      </c>
      <c r="Q689" s="4" t="str">
        <f t="shared" si="20"/>
        <v>HIGHLY_ENGAGED</v>
      </c>
      <c r="R689" s="4" t="str">
        <f t="shared" si="21"/>
        <v>LOW</v>
      </c>
      <c r="S689" s="2"/>
      <c r="T689" s="2"/>
      <c r="U689" s="2"/>
      <c r="V689" s="2"/>
      <c r="W689" s="2"/>
      <c r="X689" s="2"/>
      <c r="Y689" s="2"/>
      <c r="Z689" s="2"/>
    </row>
    <row r="690" spans="1:26" ht="16.8" x14ac:dyDescent="0.3">
      <c r="A690" s="4">
        <v>959</v>
      </c>
      <c r="B690" s="4" t="s">
        <v>35</v>
      </c>
      <c r="C690" s="4">
        <v>19</v>
      </c>
      <c r="D690" s="4" t="s">
        <v>37</v>
      </c>
      <c r="E690" s="4" t="s">
        <v>57</v>
      </c>
      <c r="F690" s="4">
        <v>2121</v>
      </c>
      <c r="G690" s="4" t="s">
        <v>35</v>
      </c>
      <c r="H690" s="4">
        <v>1</v>
      </c>
      <c r="I690" s="4">
        <v>0</v>
      </c>
      <c r="J690" s="4">
        <v>2</v>
      </c>
      <c r="K690" s="4">
        <v>4</v>
      </c>
      <c r="L690" s="4" t="str">
        <f t="shared" si="15"/>
        <v>NORMAL</v>
      </c>
      <c r="M690" s="4" t="str">
        <f t="shared" si="16"/>
        <v>LOW</v>
      </c>
      <c r="N690" s="4" t="str">
        <f t="shared" si="17"/>
        <v>NEW</v>
      </c>
      <c r="O690" s="4" t="str">
        <f t="shared" si="18"/>
        <v>RECENTLY PROMOTED</v>
      </c>
      <c r="P690" s="5" t="str">
        <f t="shared" si="19"/>
        <v>Medium_Pressure</v>
      </c>
      <c r="Q690" s="4" t="str">
        <f t="shared" si="20"/>
        <v>DISENGAGED</v>
      </c>
      <c r="R690" s="4" t="str">
        <f t="shared" si="21"/>
        <v>LOW</v>
      </c>
      <c r="S690" s="2"/>
      <c r="T690" s="2"/>
      <c r="U690" s="2"/>
      <c r="V690" s="2"/>
      <c r="W690" s="2"/>
      <c r="X690" s="2"/>
      <c r="Y690" s="2"/>
      <c r="Z690" s="2"/>
    </row>
    <row r="691" spans="1:26" ht="16.8" x14ac:dyDescent="0.3">
      <c r="A691" s="4">
        <v>960</v>
      </c>
      <c r="B691" s="4" t="s">
        <v>35</v>
      </c>
      <c r="C691" s="4">
        <v>20</v>
      </c>
      <c r="D691" s="4" t="s">
        <v>45</v>
      </c>
      <c r="E691" s="4" t="s">
        <v>50</v>
      </c>
      <c r="F691" s="4">
        <v>2973</v>
      </c>
      <c r="G691" s="4" t="s">
        <v>43</v>
      </c>
      <c r="H691" s="4">
        <v>1</v>
      </c>
      <c r="I691" s="4">
        <v>0</v>
      </c>
      <c r="J691" s="4">
        <v>1</v>
      </c>
      <c r="K691" s="4">
        <v>3</v>
      </c>
      <c r="L691" s="4" t="str">
        <f t="shared" si="15"/>
        <v>NORMAL</v>
      </c>
      <c r="M691" s="4" t="str">
        <f t="shared" si="16"/>
        <v>LOW</v>
      </c>
      <c r="N691" s="4" t="str">
        <f t="shared" si="17"/>
        <v>NEW</v>
      </c>
      <c r="O691" s="4" t="str">
        <f t="shared" si="18"/>
        <v>RECENTLY PROMOTED</v>
      </c>
      <c r="P691" s="5" t="str">
        <f t="shared" si="19"/>
        <v>Medium_Pressure</v>
      </c>
      <c r="Q691" s="4" t="str">
        <f t="shared" si="20"/>
        <v>DISENGAGED</v>
      </c>
      <c r="R691" s="4" t="str">
        <f t="shared" si="21"/>
        <v>LOW</v>
      </c>
      <c r="S691" s="2"/>
      <c r="T691" s="2"/>
      <c r="U691" s="2"/>
      <c r="V691" s="2"/>
      <c r="W691" s="2"/>
      <c r="X691" s="2"/>
      <c r="Y691" s="2"/>
      <c r="Z691" s="2"/>
    </row>
    <row r="692" spans="1:26" ht="16.8" x14ac:dyDescent="0.3">
      <c r="A692" s="4">
        <v>961</v>
      </c>
      <c r="B692" s="4" t="s">
        <v>43</v>
      </c>
      <c r="C692" s="4">
        <v>31</v>
      </c>
      <c r="D692" s="4" t="s">
        <v>45</v>
      </c>
      <c r="E692" s="4" t="s">
        <v>54</v>
      </c>
      <c r="F692" s="4">
        <v>5855</v>
      </c>
      <c r="G692" s="4" t="s">
        <v>35</v>
      </c>
      <c r="H692" s="4">
        <v>9</v>
      </c>
      <c r="I692" s="4">
        <v>8</v>
      </c>
      <c r="J692" s="4">
        <v>4</v>
      </c>
      <c r="K692" s="4">
        <v>1</v>
      </c>
      <c r="L692" s="4" t="str">
        <f t="shared" si="15"/>
        <v>NORMAL</v>
      </c>
      <c r="M692" s="4" t="str">
        <f t="shared" si="16"/>
        <v>HIGH</v>
      </c>
      <c r="N692" s="4" t="str">
        <f t="shared" si="17"/>
        <v>SENIOR</v>
      </c>
      <c r="O692" s="4" t="str">
        <f t="shared" si="18"/>
        <v>STAGNANT</v>
      </c>
      <c r="P692" s="5" t="str">
        <f t="shared" si="19"/>
        <v>High_Pressure</v>
      </c>
      <c r="Q692" s="4" t="str">
        <f t="shared" si="20"/>
        <v>DISENGAGED</v>
      </c>
      <c r="R692" s="4" t="str">
        <f t="shared" si="21"/>
        <v>LOW</v>
      </c>
      <c r="S692" s="2"/>
      <c r="T692" s="2"/>
      <c r="U692" s="2"/>
      <c r="V692" s="2"/>
      <c r="W692" s="2"/>
      <c r="X692" s="2"/>
      <c r="Y692" s="2"/>
      <c r="Z692" s="2"/>
    </row>
    <row r="693" spans="1:26" ht="16.8" x14ac:dyDescent="0.3">
      <c r="A693" s="4">
        <v>964</v>
      </c>
      <c r="B693" s="4" t="s">
        <v>43</v>
      </c>
      <c r="C693" s="4">
        <v>40</v>
      </c>
      <c r="D693" s="4" t="s">
        <v>45</v>
      </c>
      <c r="E693" s="4" t="s">
        <v>47</v>
      </c>
      <c r="F693" s="4">
        <v>3617</v>
      </c>
      <c r="G693" s="4" t="s">
        <v>35</v>
      </c>
      <c r="H693" s="4">
        <v>1</v>
      </c>
      <c r="I693" s="4">
        <v>0</v>
      </c>
      <c r="J693" s="4">
        <v>2</v>
      </c>
      <c r="K693" s="4">
        <v>3</v>
      </c>
      <c r="L693" s="4" t="str">
        <f t="shared" si="15"/>
        <v>NORMAL</v>
      </c>
      <c r="M693" s="4" t="str">
        <f t="shared" si="16"/>
        <v>LOW</v>
      </c>
      <c r="N693" s="4" t="str">
        <f t="shared" si="17"/>
        <v>NEW</v>
      </c>
      <c r="O693" s="4" t="str">
        <f t="shared" si="18"/>
        <v>RECENTLY PROMOTED</v>
      </c>
      <c r="P693" s="5" t="str">
        <f t="shared" si="19"/>
        <v>Medium_Pressure</v>
      </c>
      <c r="Q693" s="4" t="str">
        <f t="shared" si="20"/>
        <v>DISENGAGED</v>
      </c>
      <c r="R693" s="4" t="str">
        <f t="shared" si="21"/>
        <v>LOW</v>
      </c>
      <c r="S693" s="2"/>
      <c r="T693" s="2"/>
      <c r="U693" s="2"/>
      <c r="V693" s="2"/>
      <c r="W693" s="2"/>
      <c r="X693" s="2"/>
      <c r="Y693" s="2"/>
      <c r="Z693" s="2"/>
    </row>
    <row r="694" spans="1:26" ht="16.8" x14ac:dyDescent="0.3">
      <c r="A694" s="4">
        <v>966</v>
      </c>
      <c r="B694" s="4" t="s">
        <v>43</v>
      </c>
      <c r="C694" s="4">
        <v>32</v>
      </c>
      <c r="D694" s="4" t="s">
        <v>45</v>
      </c>
      <c r="E694" s="4" t="s">
        <v>53</v>
      </c>
      <c r="F694" s="4">
        <v>6725</v>
      </c>
      <c r="G694" s="4" t="s">
        <v>43</v>
      </c>
      <c r="H694" s="4">
        <v>8</v>
      </c>
      <c r="I694" s="4">
        <v>6</v>
      </c>
      <c r="J694" s="4">
        <v>1</v>
      </c>
      <c r="K694" s="4">
        <v>4</v>
      </c>
      <c r="L694" s="4" t="str">
        <f t="shared" si="15"/>
        <v>NORMAL</v>
      </c>
      <c r="M694" s="4" t="str">
        <f t="shared" si="16"/>
        <v>HIGH</v>
      </c>
      <c r="N694" s="4" t="str">
        <f t="shared" si="17"/>
        <v>SENIOR</v>
      </c>
      <c r="O694" s="4" t="str">
        <f t="shared" si="18"/>
        <v>STAGNANT</v>
      </c>
      <c r="P694" s="5" t="str">
        <f t="shared" si="19"/>
        <v>Low_Pressure</v>
      </c>
      <c r="Q694" s="4" t="str">
        <f t="shared" si="20"/>
        <v>DISENGAGED</v>
      </c>
      <c r="R694" s="4" t="str">
        <f t="shared" si="21"/>
        <v>LOW</v>
      </c>
      <c r="S694" s="2"/>
      <c r="T694" s="2"/>
      <c r="U694" s="2"/>
      <c r="V694" s="2"/>
      <c r="W694" s="2"/>
      <c r="X694" s="2"/>
      <c r="Y694" s="2"/>
      <c r="Z694" s="2"/>
    </row>
    <row r="695" spans="1:26" ht="16.8" x14ac:dyDescent="0.3">
      <c r="A695" s="4">
        <v>967</v>
      </c>
      <c r="B695" s="4" t="s">
        <v>35</v>
      </c>
      <c r="C695" s="4">
        <v>36</v>
      </c>
      <c r="D695" s="4" t="s">
        <v>37</v>
      </c>
      <c r="E695" s="4" t="s">
        <v>40</v>
      </c>
      <c r="F695" s="4">
        <v>10325</v>
      </c>
      <c r="G695" s="4" t="s">
        <v>35</v>
      </c>
      <c r="H695" s="4">
        <v>16</v>
      </c>
      <c r="I695" s="4">
        <v>3</v>
      </c>
      <c r="J695" s="4">
        <v>4</v>
      </c>
      <c r="K695" s="4">
        <v>3</v>
      </c>
      <c r="L695" s="4" t="str">
        <f t="shared" si="15"/>
        <v>NORMAL</v>
      </c>
      <c r="M695" s="4" t="str">
        <f t="shared" si="16"/>
        <v>MEDIUM</v>
      </c>
      <c r="N695" s="4" t="str">
        <f t="shared" si="17"/>
        <v>SENIOR</v>
      </c>
      <c r="O695" s="4" t="str">
        <f t="shared" si="18"/>
        <v>MODERATE-WAIT</v>
      </c>
      <c r="P695" s="5" t="str">
        <f t="shared" si="19"/>
        <v>Medium_Pressure</v>
      </c>
      <c r="Q695" s="4" t="str">
        <f t="shared" si="20"/>
        <v>HIGHLY_ENGAGED</v>
      </c>
      <c r="R695" s="4" t="str">
        <f t="shared" si="21"/>
        <v>LOW</v>
      </c>
      <c r="S695" s="2"/>
      <c r="T695" s="2"/>
      <c r="U695" s="2"/>
      <c r="V695" s="2"/>
      <c r="W695" s="2"/>
      <c r="X695" s="2"/>
      <c r="Y695" s="2"/>
      <c r="Z695" s="2"/>
    </row>
    <row r="696" spans="1:26" ht="16.8" x14ac:dyDescent="0.3">
      <c r="A696" s="4">
        <v>969</v>
      </c>
      <c r="B696" s="4" t="s">
        <v>43</v>
      </c>
      <c r="C696" s="4">
        <v>33</v>
      </c>
      <c r="D696" s="4" t="s">
        <v>45</v>
      </c>
      <c r="E696" s="4" t="s">
        <v>54</v>
      </c>
      <c r="F696" s="4">
        <v>6949</v>
      </c>
      <c r="G696" s="4" t="s">
        <v>43</v>
      </c>
      <c r="H696" s="4">
        <v>5</v>
      </c>
      <c r="I696" s="4">
        <v>1</v>
      </c>
      <c r="J696" s="4">
        <v>4</v>
      </c>
      <c r="K696" s="4">
        <v>3</v>
      </c>
      <c r="L696" s="4" t="str">
        <f t="shared" si="15"/>
        <v>NORMAL</v>
      </c>
      <c r="M696" s="4" t="str">
        <f t="shared" si="16"/>
        <v>HIGH</v>
      </c>
      <c r="N696" s="4" t="str">
        <f t="shared" si="17"/>
        <v>MID</v>
      </c>
      <c r="O696" s="4" t="str">
        <f t="shared" si="18"/>
        <v>RECENTLY PROMOTED</v>
      </c>
      <c r="P696" s="5" t="str">
        <f t="shared" si="19"/>
        <v>Medium_Pressure</v>
      </c>
      <c r="Q696" s="4" t="str">
        <f t="shared" si="20"/>
        <v>HIGHLY_ENGAGED</v>
      </c>
      <c r="R696" s="4" t="str">
        <f t="shared" si="21"/>
        <v>LOW</v>
      </c>
      <c r="S696" s="2"/>
      <c r="T696" s="2"/>
      <c r="U696" s="2"/>
      <c r="V696" s="2"/>
      <c r="W696" s="2"/>
      <c r="X696" s="2"/>
      <c r="Y696" s="2"/>
      <c r="Z696" s="2"/>
    </row>
    <row r="697" spans="1:26" ht="16.8" x14ac:dyDescent="0.3">
      <c r="A697" s="4">
        <v>970</v>
      </c>
      <c r="B697" s="4" t="s">
        <v>35</v>
      </c>
      <c r="C697" s="4">
        <v>37</v>
      </c>
      <c r="D697" s="4" t="s">
        <v>37</v>
      </c>
      <c r="E697" s="4" t="s">
        <v>40</v>
      </c>
      <c r="F697" s="4">
        <v>10609</v>
      </c>
      <c r="G697" s="4" t="s">
        <v>43</v>
      </c>
      <c r="H697" s="4">
        <v>14</v>
      </c>
      <c r="I697" s="4">
        <v>11</v>
      </c>
      <c r="J697" s="4">
        <v>3</v>
      </c>
      <c r="K697" s="4">
        <v>1</v>
      </c>
      <c r="L697" s="4" t="str">
        <f t="shared" si="15"/>
        <v>NORMAL</v>
      </c>
      <c r="M697" s="4" t="str">
        <f t="shared" si="16"/>
        <v>MEDIUM</v>
      </c>
      <c r="N697" s="4" t="str">
        <f t="shared" si="17"/>
        <v>SENIOR</v>
      </c>
      <c r="O697" s="4" t="str">
        <f t="shared" si="18"/>
        <v>STAGNANT</v>
      </c>
      <c r="P697" s="5" t="str">
        <f t="shared" si="19"/>
        <v>Low_Pressure</v>
      </c>
      <c r="Q697" s="4" t="str">
        <f t="shared" si="20"/>
        <v>DISENGAGED</v>
      </c>
      <c r="R697" s="4" t="str">
        <f t="shared" si="21"/>
        <v>LOW</v>
      </c>
      <c r="S697" s="2"/>
      <c r="T697" s="2"/>
      <c r="U697" s="2"/>
      <c r="V697" s="2"/>
      <c r="W697" s="2"/>
      <c r="X697" s="2"/>
      <c r="Y697" s="2"/>
      <c r="Z697" s="2"/>
    </row>
    <row r="698" spans="1:26" ht="16.8" x14ac:dyDescent="0.3">
      <c r="A698" s="4">
        <v>972</v>
      </c>
      <c r="B698" s="4" t="s">
        <v>43</v>
      </c>
      <c r="C698" s="4">
        <v>45</v>
      </c>
      <c r="D698" s="4" t="s">
        <v>45</v>
      </c>
      <c r="E698" s="4" t="s">
        <v>50</v>
      </c>
      <c r="F698" s="4">
        <v>4447</v>
      </c>
      <c r="G698" s="4" t="s">
        <v>43</v>
      </c>
      <c r="H698" s="4">
        <v>9</v>
      </c>
      <c r="I698" s="4">
        <v>0</v>
      </c>
      <c r="J698" s="4">
        <v>2</v>
      </c>
      <c r="K698" s="4">
        <v>2</v>
      </c>
      <c r="L698" s="4" t="str">
        <f t="shared" si="15"/>
        <v>NORMAL</v>
      </c>
      <c r="M698" s="4" t="str">
        <f t="shared" si="16"/>
        <v>HIGH</v>
      </c>
      <c r="N698" s="4" t="str">
        <f t="shared" si="17"/>
        <v>SENIOR</v>
      </c>
      <c r="O698" s="4" t="str">
        <f t="shared" si="18"/>
        <v>RECENTLY PROMOTED</v>
      </c>
      <c r="P698" s="5" t="str">
        <f t="shared" si="19"/>
        <v>Low_Pressure</v>
      </c>
      <c r="Q698" s="4" t="str">
        <f t="shared" si="20"/>
        <v>DISENGAGED</v>
      </c>
      <c r="R698" s="4" t="str">
        <f t="shared" si="21"/>
        <v>LOW</v>
      </c>
      <c r="S698" s="2"/>
      <c r="T698" s="2"/>
      <c r="U698" s="2"/>
      <c r="V698" s="2"/>
      <c r="W698" s="2"/>
      <c r="X698" s="2"/>
      <c r="Y698" s="2"/>
      <c r="Z698" s="2"/>
    </row>
    <row r="699" spans="1:26" ht="16.8" x14ac:dyDescent="0.3">
      <c r="A699" s="4">
        <v>974</v>
      </c>
      <c r="B699" s="4" t="s">
        <v>43</v>
      </c>
      <c r="C699" s="4">
        <v>29</v>
      </c>
      <c r="D699" s="4" t="s">
        <v>37</v>
      </c>
      <c r="E699" s="4" t="s">
        <v>57</v>
      </c>
      <c r="F699" s="4">
        <v>2157</v>
      </c>
      <c r="G699" s="4" t="s">
        <v>43</v>
      </c>
      <c r="H699" s="4">
        <v>3</v>
      </c>
      <c r="I699" s="4">
        <v>0</v>
      </c>
      <c r="J699" s="4">
        <v>4</v>
      </c>
      <c r="K699" s="4">
        <v>3</v>
      </c>
      <c r="L699" s="4" t="str">
        <f t="shared" si="15"/>
        <v>NORMAL</v>
      </c>
      <c r="M699" s="4" t="str">
        <f t="shared" si="16"/>
        <v>LOW</v>
      </c>
      <c r="N699" s="4" t="str">
        <f t="shared" si="17"/>
        <v>MID</v>
      </c>
      <c r="O699" s="4" t="str">
        <f t="shared" si="18"/>
        <v>RECENTLY PROMOTED</v>
      </c>
      <c r="P699" s="5" t="str">
        <f t="shared" si="19"/>
        <v>Medium_Pressure</v>
      </c>
      <c r="Q699" s="4" t="str">
        <f t="shared" si="20"/>
        <v>HIGHLY_ENGAGED</v>
      </c>
      <c r="R699" s="4" t="str">
        <f t="shared" si="21"/>
        <v>LOW</v>
      </c>
      <c r="S699" s="2"/>
      <c r="T699" s="2"/>
      <c r="U699" s="2"/>
      <c r="V699" s="2"/>
      <c r="W699" s="2"/>
      <c r="X699" s="2"/>
      <c r="Y699" s="2"/>
      <c r="Z699" s="2"/>
    </row>
    <row r="700" spans="1:26" ht="16.8" x14ac:dyDescent="0.3">
      <c r="A700" s="4">
        <v>975</v>
      </c>
      <c r="B700" s="4" t="s">
        <v>43</v>
      </c>
      <c r="C700" s="4">
        <v>35</v>
      </c>
      <c r="D700" s="4" t="s">
        <v>37</v>
      </c>
      <c r="E700" s="4" t="s">
        <v>40</v>
      </c>
      <c r="F700" s="4">
        <v>4601</v>
      </c>
      <c r="G700" s="4" t="s">
        <v>43</v>
      </c>
      <c r="H700" s="4">
        <v>5</v>
      </c>
      <c r="I700" s="4">
        <v>1</v>
      </c>
      <c r="J700" s="4">
        <v>3</v>
      </c>
      <c r="K700" s="4">
        <v>3</v>
      </c>
      <c r="L700" s="4" t="str">
        <f t="shared" si="15"/>
        <v>NORMAL</v>
      </c>
      <c r="M700" s="4" t="str">
        <f t="shared" si="16"/>
        <v>HIGH</v>
      </c>
      <c r="N700" s="4" t="str">
        <f t="shared" si="17"/>
        <v>MID</v>
      </c>
      <c r="O700" s="4" t="str">
        <f t="shared" si="18"/>
        <v>RECENTLY PROMOTED</v>
      </c>
      <c r="P700" s="5" t="str">
        <f t="shared" si="19"/>
        <v>Medium_Pressure</v>
      </c>
      <c r="Q700" s="4" t="str">
        <f t="shared" si="20"/>
        <v>HIGHLY_ENGAGED</v>
      </c>
      <c r="R700" s="4" t="str">
        <f t="shared" si="21"/>
        <v>LOW</v>
      </c>
      <c r="S700" s="2"/>
      <c r="T700" s="2"/>
      <c r="U700" s="2"/>
      <c r="V700" s="2"/>
      <c r="W700" s="2"/>
      <c r="X700" s="2"/>
      <c r="Y700" s="2"/>
      <c r="Z700" s="2"/>
    </row>
    <row r="701" spans="1:26" ht="16.8" x14ac:dyDescent="0.3">
      <c r="A701" s="4">
        <v>976</v>
      </c>
      <c r="B701" s="4" t="s">
        <v>43</v>
      </c>
      <c r="C701" s="4">
        <v>52</v>
      </c>
      <c r="D701" s="4" t="s">
        <v>45</v>
      </c>
      <c r="E701" s="4" t="s">
        <v>56</v>
      </c>
      <c r="F701" s="4">
        <v>17099</v>
      </c>
      <c r="G701" s="4" t="s">
        <v>43</v>
      </c>
      <c r="H701" s="4">
        <v>9</v>
      </c>
      <c r="I701" s="4">
        <v>7</v>
      </c>
      <c r="J701" s="4">
        <v>4</v>
      </c>
      <c r="K701" s="4">
        <v>2</v>
      </c>
      <c r="L701" s="4" t="str">
        <f t="shared" si="15"/>
        <v>NORMAL</v>
      </c>
      <c r="M701" s="4" t="str">
        <f t="shared" si="16"/>
        <v>MEDIUM</v>
      </c>
      <c r="N701" s="4" t="str">
        <f t="shared" si="17"/>
        <v>SENIOR</v>
      </c>
      <c r="O701" s="4" t="str">
        <f t="shared" si="18"/>
        <v>STAGNANT</v>
      </c>
      <c r="P701" s="5" t="str">
        <f t="shared" si="19"/>
        <v>Low_Pressure</v>
      </c>
      <c r="Q701" s="4" t="str">
        <f t="shared" si="20"/>
        <v>DISENGAGED</v>
      </c>
      <c r="R701" s="4" t="str">
        <f t="shared" si="21"/>
        <v>LOW</v>
      </c>
      <c r="S701" s="2"/>
      <c r="T701" s="2"/>
      <c r="U701" s="2"/>
      <c r="V701" s="2"/>
      <c r="W701" s="2"/>
      <c r="X701" s="2"/>
      <c r="Y701" s="2"/>
      <c r="Z701" s="2"/>
    </row>
    <row r="702" spans="1:26" ht="16.8" x14ac:dyDescent="0.3">
      <c r="A702" s="4">
        <v>977</v>
      </c>
      <c r="B702" s="4" t="s">
        <v>35</v>
      </c>
      <c r="C702" s="4">
        <v>58</v>
      </c>
      <c r="D702" s="4" t="s">
        <v>45</v>
      </c>
      <c r="E702" s="4" t="s">
        <v>47</v>
      </c>
      <c r="F702" s="4">
        <v>2479</v>
      </c>
      <c r="G702" s="4" t="s">
        <v>43</v>
      </c>
      <c r="H702" s="4">
        <v>1</v>
      </c>
      <c r="I702" s="4">
        <v>0</v>
      </c>
      <c r="J702" s="4">
        <v>3</v>
      </c>
      <c r="K702" s="4">
        <v>3</v>
      </c>
      <c r="L702" s="4" t="str">
        <f t="shared" si="15"/>
        <v>NORMAL</v>
      </c>
      <c r="M702" s="4" t="str">
        <f t="shared" si="16"/>
        <v>LOW</v>
      </c>
      <c r="N702" s="4" t="str">
        <f t="shared" si="17"/>
        <v>NEW</v>
      </c>
      <c r="O702" s="4" t="str">
        <f t="shared" si="18"/>
        <v>RECENTLY PROMOTED</v>
      </c>
      <c r="P702" s="5" t="str">
        <f t="shared" si="19"/>
        <v>Medium_Pressure</v>
      </c>
      <c r="Q702" s="4" t="str">
        <f t="shared" si="20"/>
        <v>HIGHLY_ENGAGED</v>
      </c>
      <c r="R702" s="4" t="str">
        <f t="shared" si="21"/>
        <v>LOW</v>
      </c>
      <c r="S702" s="2"/>
      <c r="T702" s="2"/>
      <c r="U702" s="2"/>
      <c r="V702" s="2"/>
      <c r="W702" s="2"/>
      <c r="X702" s="2"/>
      <c r="Y702" s="2"/>
      <c r="Z702" s="2"/>
    </row>
    <row r="703" spans="1:26" ht="16.8" x14ac:dyDescent="0.3">
      <c r="A703" s="4">
        <v>981</v>
      </c>
      <c r="B703" s="4" t="s">
        <v>43</v>
      </c>
      <c r="C703" s="4">
        <v>53</v>
      </c>
      <c r="D703" s="4" t="s">
        <v>37</v>
      </c>
      <c r="E703" s="4" t="s">
        <v>56</v>
      </c>
      <c r="F703" s="4">
        <v>14852</v>
      </c>
      <c r="G703" s="4" t="s">
        <v>43</v>
      </c>
      <c r="H703" s="4">
        <v>17</v>
      </c>
      <c r="I703" s="4">
        <v>15</v>
      </c>
      <c r="J703" s="4">
        <v>3</v>
      </c>
      <c r="K703" s="4">
        <v>4</v>
      </c>
      <c r="L703" s="4" t="str">
        <f t="shared" si="15"/>
        <v>NORMAL</v>
      </c>
      <c r="M703" s="4" t="str">
        <f t="shared" si="16"/>
        <v>MEDIUM</v>
      </c>
      <c r="N703" s="4" t="str">
        <f t="shared" si="17"/>
        <v>SENIOR</v>
      </c>
      <c r="O703" s="4" t="str">
        <f t="shared" si="18"/>
        <v>STAGNANT</v>
      </c>
      <c r="P703" s="5" t="str">
        <f t="shared" si="19"/>
        <v>Low_Pressure</v>
      </c>
      <c r="Q703" s="4" t="str">
        <f t="shared" si="20"/>
        <v>HIGHLY_ENGAGED</v>
      </c>
      <c r="R703" s="4" t="str">
        <f t="shared" si="21"/>
        <v>LOW</v>
      </c>
      <c r="S703" s="2"/>
      <c r="T703" s="2"/>
      <c r="U703" s="2"/>
      <c r="V703" s="2"/>
      <c r="W703" s="2"/>
      <c r="X703" s="2"/>
      <c r="Y703" s="2"/>
      <c r="Z703" s="2"/>
    </row>
    <row r="704" spans="1:26" ht="16.8" x14ac:dyDescent="0.3">
      <c r="A704" s="4">
        <v>982</v>
      </c>
      <c r="B704" s="4" t="s">
        <v>43</v>
      </c>
      <c r="C704" s="4">
        <v>30</v>
      </c>
      <c r="D704" s="4" t="s">
        <v>37</v>
      </c>
      <c r="E704" s="4" t="s">
        <v>40</v>
      </c>
      <c r="F704" s="4">
        <v>7264</v>
      </c>
      <c r="G704" s="4" t="s">
        <v>43</v>
      </c>
      <c r="H704" s="4">
        <v>8</v>
      </c>
      <c r="I704" s="4">
        <v>7</v>
      </c>
      <c r="J704" s="4">
        <v>3</v>
      </c>
      <c r="K704" s="4">
        <v>4</v>
      </c>
      <c r="L704" s="4" t="str">
        <f t="shared" si="15"/>
        <v>NORMAL</v>
      </c>
      <c r="M704" s="4" t="str">
        <f t="shared" si="16"/>
        <v>HIGH</v>
      </c>
      <c r="N704" s="4" t="str">
        <f t="shared" si="17"/>
        <v>SENIOR</v>
      </c>
      <c r="O704" s="4" t="str">
        <f t="shared" si="18"/>
        <v>STAGNANT</v>
      </c>
      <c r="P704" s="5" t="str">
        <f t="shared" si="19"/>
        <v>Low_Pressure</v>
      </c>
      <c r="Q704" s="4" t="str">
        <f t="shared" si="20"/>
        <v>HIGHLY_ENGAGED</v>
      </c>
      <c r="R704" s="4" t="str">
        <f t="shared" si="21"/>
        <v>LOW</v>
      </c>
      <c r="S704" s="2"/>
      <c r="T704" s="2"/>
      <c r="U704" s="2"/>
      <c r="V704" s="2"/>
      <c r="W704" s="2"/>
      <c r="X704" s="2"/>
      <c r="Y704" s="2"/>
      <c r="Z704" s="2"/>
    </row>
    <row r="705" spans="1:26" ht="16.8" x14ac:dyDescent="0.3">
      <c r="A705" s="4">
        <v>983</v>
      </c>
      <c r="B705" s="4" t="s">
        <v>43</v>
      </c>
      <c r="C705" s="4">
        <v>38</v>
      </c>
      <c r="D705" s="4" t="s">
        <v>37</v>
      </c>
      <c r="E705" s="4" t="s">
        <v>40</v>
      </c>
      <c r="F705" s="4">
        <v>5666</v>
      </c>
      <c r="G705" s="4" t="s">
        <v>35</v>
      </c>
      <c r="H705" s="4">
        <v>5</v>
      </c>
      <c r="I705" s="4">
        <v>1</v>
      </c>
      <c r="J705" s="4">
        <v>4</v>
      </c>
      <c r="K705" s="4">
        <v>3</v>
      </c>
      <c r="L705" s="4" t="str">
        <f t="shared" si="15"/>
        <v>NORMAL</v>
      </c>
      <c r="M705" s="4" t="str">
        <f t="shared" si="16"/>
        <v>HIGH</v>
      </c>
      <c r="N705" s="4" t="str">
        <f t="shared" si="17"/>
        <v>MID</v>
      </c>
      <c r="O705" s="4" t="str">
        <f t="shared" si="18"/>
        <v>RECENTLY PROMOTED</v>
      </c>
      <c r="P705" s="5" t="str">
        <f t="shared" si="19"/>
        <v>Medium_Pressure</v>
      </c>
      <c r="Q705" s="4" t="str">
        <f t="shared" si="20"/>
        <v>HIGHLY_ENGAGED</v>
      </c>
      <c r="R705" s="4" t="str">
        <f t="shared" si="21"/>
        <v>LOW</v>
      </c>
      <c r="S705" s="2"/>
      <c r="T705" s="2"/>
      <c r="U705" s="2"/>
      <c r="V705" s="2"/>
      <c r="W705" s="2"/>
      <c r="X705" s="2"/>
      <c r="Y705" s="2"/>
      <c r="Z705" s="2"/>
    </row>
    <row r="706" spans="1:26" ht="16.8" x14ac:dyDescent="0.3">
      <c r="A706" s="4">
        <v>984</v>
      </c>
      <c r="B706" s="4" t="s">
        <v>43</v>
      </c>
      <c r="C706" s="4">
        <v>35</v>
      </c>
      <c r="D706" s="4" t="s">
        <v>37</v>
      </c>
      <c r="E706" s="4" t="s">
        <v>40</v>
      </c>
      <c r="F706" s="4">
        <v>7823</v>
      </c>
      <c r="G706" s="4" t="s">
        <v>43</v>
      </c>
      <c r="H706" s="4">
        <v>10</v>
      </c>
      <c r="I706" s="4">
        <v>0</v>
      </c>
      <c r="J706" s="4">
        <v>4</v>
      </c>
      <c r="K706" s="4">
        <v>3</v>
      </c>
      <c r="L706" s="4" t="str">
        <f t="shared" si="15"/>
        <v>NORMAL</v>
      </c>
      <c r="M706" s="4" t="str">
        <f t="shared" si="16"/>
        <v>HIGH</v>
      </c>
      <c r="N706" s="4" t="str">
        <f t="shared" si="17"/>
        <v>SENIOR</v>
      </c>
      <c r="O706" s="4" t="str">
        <f t="shared" si="18"/>
        <v>RECENTLY PROMOTED</v>
      </c>
      <c r="P706" s="5" t="str">
        <f t="shared" si="19"/>
        <v>Medium_Pressure</v>
      </c>
      <c r="Q706" s="4" t="str">
        <f t="shared" si="20"/>
        <v>HIGHLY_ENGAGED</v>
      </c>
      <c r="R706" s="4" t="str">
        <f t="shared" si="21"/>
        <v>LOW</v>
      </c>
      <c r="S706" s="2"/>
      <c r="T706" s="2"/>
      <c r="U706" s="2"/>
      <c r="V706" s="2"/>
      <c r="W706" s="2"/>
      <c r="X706" s="2"/>
      <c r="Y706" s="2"/>
      <c r="Z706" s="2"/>
    </row>
    <row r="707" spans="1:26" ht="16.8" x14ac:dyDescent="0.3">
      <c r="A707" s="4">
        <v>985</v>
      </c>
      <c r="B707" s="4" t="s">
        <v>43</v>
      </c>
      <c r="C707" s="4">
        <v>39</v>
      </c>
      <c r="D707" s="4" t="s">
        <v>37</v>
      </c>
      <c r="E707" s="4" t="s">
        <v>40</v>
      </c>
      <c r="F707" s="4">
        <v>7880</v>
      </c>
      <c r="G707" s="4" t="s">
        <v>43</v>
      </c>
      <c r="H707" s="4">
        <v>8</v>
      </c>
      <c r="I707" s="4">
        <v>0</v>
      </c>
      <c r="J707" s="4">
        <v>3</v>
      </c>
      <c r="K707" s="4">
        <v>3</v>
      </c>
      <c r="L707" s="4" t="str">
        <f t="shared" si="15"/>
        <v>NORMAL</v>
      </c>
      <c r="M707" s="4" t="str">
        <f t="shared" si="16"/>
        <v>HIGH</v>
      </c>
      <c r="N707" s="4" t="str">
        <f t="shared" si="17"/>
        <v>SENIOR</v>
      </c>
      <c r="O707" s="4" t="str">
        <f t="shared" si="18"/>
        <v>RECENTLY PROMOTED</v>
      </c>
      <c r="P707" s="5" t="str">
        <f t="shared" si="19"/>
        <v>Medium_Pressure</v>
      </c>
      <c r="Q707" s="4" t="str">
        <f t="shared" si="20"/>
        <v>HIGHLY_ENGAGED</v>
      </c>
      <c r="R707" s="4" t="str">
        <f t="shared" si="21"/>
        <v>LOW</v>
      </c>
      <c r="S707" s="2"/>
      <c r="T707" s="2"/>
      <c r="U707" s="2"/>
      <c r="V707" s="2"/>
      <c r="W707" s="2"/>
      <c r="X707" s="2"/>
      <c r="Y707" s="2"/>
      <c r="Z707" s="2"/>
    </row>
    <row r="708" spans="1:26" ht="16.8" x14ac:dyDescent="0.3">
      <c r="A708" s="4">
        <v>986</v>
      </c>
      <c r="B708" s="4" t="s">
        <v>35</v>
      </c>
      <c r="C708" s="4">
        <v>40</v>
      </c>
      <c r="D708" s="4" t="s">
        <v>37</v>
      </c>
      <c r="E708" s="4" t="s">
        <v>40</v>
      </c>
      <c r="F708" s="4">
        <v>13194</v>
      </c>
      <c r="G708" s="4" t="s">
        <v>35</v>
      </c>
      <c r="H708" s="4">
        <v>1</v>
      </c>
      <c r="I708" s="4">
        <v>0</v>
      </c>
      <c r="J708" s="4">
        <v>2</v>
      </c>
      <c r="K708" s="4">
        <v>2</v>
      </c>
      <c r="L708" s="4" t="str">
        <f t="shared" si="15"/>
        <v>NORMAL</v>
      </c>
      <c r="M708" s="4" t="str">
        <f t="shared" si="16"/>
        <v>MEDIUM</v>
      </c>
      <c r="N708" s="4" t="str">
        <f t="shared" si="17"/>
        <v>NEW</v>
      </c>
      <c r="O708" s="4" t="str">
        <f t="shared" si="18"/>
        <v>RECENTLY PROMOTED</v>
      </c>
      <c r="P708" s="5" t="str">
        <f t="shared" si="19"/>
        <v>High_Pressure</v>
      </c>
      <c r="Q708" s="4" t="str">
        <f t="shared" si="20"/>
        <v>DISENGAGED</v>
      </c>
      <c r="R708" s="4" t="str">
        <f t="shared" si="21"/>
        <v>LOW</v>
      </c>
      <c r="S708" s="2"/>
      <c r="T708" s="2"/>
      <c r="U708" s="2"/>
      <c r="V708" s="2"/>
      <c r="W708" s="2"/>
      <c r="X708" s="2"/>
      <c r="Y708" s="2"/>
      <c r="Z708" s="2"/>
    </row>
    <row r="709" spans="1:26" ht="16.8" x14ac:dyDescent="0.3">
      <c r="A709" s="4">
        <v>987</v>
      </c>
      <c r="B709" s="4" t="s">
        <v>43</v>
      </c>
      <c r="C709" s="4">
        <v>47</v>
      </c>
      <c r="D709" s="4" t="s">
        <v>45</v>
      </c>
      <c r="E709" s="4" t="s">
        <v>53</v>
      </c>
      <c r="F709" s="4">
        <v>5067</v>
      </c>
      <c r="G709" s="4" t="s">
        <v>35</v>
      </c>
      <c r="H709" s="4">
        <v>19</v>
      </c>
      <c r="I709" s="4">
        <v>2</v>
      </c>
      <c r="J709" s="4">
        <v>3</v>
      </c>
      <c r="K709" s="4">
        <v>4</v>
      </c>
      <c r="L709" s="4" t="str">
        <f t="shared" si="15"/>
        <v>NORMAL</v>
      </c>
      <c r="M709" s="4" t="str">
        <f t="shared" si="16"/>
        <v>HIGH</v>
      </c>
      <c r="N709" s="4" t="str">
        <f t="shared" si="17"/>
        <v>SENIOR</v>
      </c>
      <c r="O709" s="4" t="str">
        <f t="shared" si="18"/>
        <v>MODERATE-WAIT</v>
      </c>
      <c r="P709" s="5" t="str">
        <f t="shared" si="19"/>
        <v>Medium_Pressure</v>
      </c>
      <c r="Q709" s="4" t="str">
        <f t="shared" si="20"/>
        <v>HIGHLY_ENGAGED</v>
      </c>
      <c r="R709" s="4" t="str">
        <f t="shared" si="21"/>
        <v>LOW</v>
      </c>
      <c r="S709" s="2"/>
      <c r="T709" s="2"/>
      <c r="U709" s="2"/>
      <c r="V709" s="2"/>
      <c r="W709" s="2"/>
      <c r="X709" s="2"/>
      <c r="Y709" s="2"/>
      <c r="Z709" s="2"/>
    </row>
    <row r="710" spans="1:26" ht="16.8" x14ac:dyDescent="0.3">
      <c r="A710" s="4">
        <v>990</v>
      </c>
      <c r="B710" s="4" t="s">
        <v>43</v>
      </c>
      <c r="C710" s="4">
        <v>36</v>
      </c>
      <c r="D710" s="4" t="s">
        <v>37</v>
      </c>
      <c r="E710" s="4" t="s">
        <v>40</v>
      </c>
      <c r="F710" s="4">
        <v>5079</v>
      </c>
      <c r="G710" s="4" t="s">
        <v>43</v>
      </c>
      <c r="H710" s="4">
        <v>7</v>
      </c>
      <c r="I710" s="4">
        <v>0</v>
      </c>
      <c r="J710" s="4">
        <v>4</v>
      </c>
      <c r="K710" s="4">
        <v>3</v>
      </c>
      <c r="L710" s="4" t="str">
        <f t="shared" si="15"/>
        <v>NORMAL</v>
      </c>
      <c r="M710" s="4" t="str">
        <f t="shared" si="16"/>
        <v>HIGH</v>
      </c>
      <c r="N710" s="4" t="str">
        <f t="shared" si="17"/>
        <v>SENIOR</v>
      </c>
      <c r="O710" s="4" t="str">
        <f t="shared" si="18"/>
        <v>RECENTLY PROMOTED</v>
      </c>
      <c r="P710" s="5" t="str">
        <f t="shared" si="19"/>
        <v>Medium_Pressure</v>
      </c>
      <c r="Q710" s="4" t="str">
        <f t="shared" si="20"/>
        <v>HIGHLY_ENGAGED</v>
      </c>
      <c r="R710" s="4" t="str">
        <f t="shared" si="21"/>
        <v>LOW</v>
      </c>
      <c r="S710" s="2"/>
      <c r="T710" s="2"/>
      <c r="U710" s="2"/>
      <c r="V710" s="2"/>
      <c r="W710" s="2"/>
      <c r="X710" s="2"/>
      <c r="Y710" s="2"/>
      <c r="Z710" s="2"/>
    </row>
    <row r="711" spans="1:26" ht="16.8" x14ac:dyDescent="0.3">
      <c r="A711" s="4">
        <v>991</v>
      </c>
      <c r="B711" s="4" t="s">
        <v>35</v>
      </c>
      <c r="C711" s="4">
        <v>31</v>
      </c>
      <c r="D711" s="4" t="s">
        <v>45</v>
      </c>
      <c r="E711" s="4" t="s">
        <v>47</v>
      </c>
      <c r="F711" s="4">
        <v>2321</v>
      </c>
      <c r="G711" s="4" t="s">
        <v>35</v>
      </c>
      <c r="H711" s="4">
        <v>3</v>
      </c>
      <c r="I711" s="4">
        <v>1</v>
      </c>
      <c r="J711" s="4">
        <v>1</v>
      </c>
      <c r="K711" s="4">
        <v>3</v>
      </c>
      <c r="L711" s="4" t="str">
        <f t="shared" si="15"/>
        <v>NORMAL</v>
      </c>
      <c r="M711" s="4" t="str">
        <f t="shared" si="16"/>
        <v>LOW</v>
      </c>
      <c r="N711" s="4" t="str">
        <f t="shared" si="17"/>
        <v>MID</v>
      </c>
      <c r="O711" s="4" t="str">
        <f t="shared" si="18"/>
        <v>RECENTLY PROMOTED</v>
      </c>
      <c r="P711" s="5" t="str">
        <f t="shared" si="19"/>
        <v>Medium_Pressure</v>
      </c>
      <c r="Q711" s="4" t="str">
        <f t="shared" si="20"/>
        <v>DISENGAGED</v>
      </c>
      <c r="R711" s="4" t="str">
        <f t="shared" si="21"/>
        <v>LOW</v>
      </c>
      <c r="S711" s="2"/>
      <c r="T711" s="2"/>
      <c r="U711" s="2"/>
      <c r="V711" s="2"/>
      <c r="W711" s="2"/>
      <c r="X711" s="2"/>
      <c r="Y711" s="2"/>
      <c r="Z711" s="2"/>
    </row>
    <row r="712" spans="1:26" ht="16.8" x14ac:dyDescent="0.3">
      <c r="A712" s="4">
        <v>992</v>
      </c>
      <c r="B712" s="4" t="s">
        <v>43</v>
      </c>
      <c r="C712" s="4">
        <v>33</v>
      </c>
      <c r="D712" s="4" t="s">
        <v>37</v>
      </c>
      <c r="E712" s="4" t="s">
        <v>56</v>
      </c>
      <c r="F712" s="4">
        <v>17444</v>
      </c>
      <c r="G712" s="4" t="s">
        <v>43</v>
      </c>
      <c r="H712" s="4">
        <v>10</v>
      </c>
      <c r="I712" s="4">
        <v>6</v>
      </c>
      <c r="J712" s="4">
        <v>3</v>
      </c>
      <c r="K712" s="4">
        <v>3</v>
      </c>
      <c r="L712" s="4" t="str">
        <f t="shared" si="15"/>
        <v>NORMAL</v>
      </c>
      <c r="M712" s="4" t="str">
        <f t="shared" si="16"/>
        <v>MEDIUM</v>
      </c>
      <c r="N712" s="4" t="str">
        <f t="shared" si="17"/>
        <v>SENIOR</v>
      </c>
      <c r="O712" s="4" t="str">
        <f t="shared" si="18"/>
        <v>STAGNANT</v>
      </c>
      <c r="P712" s="5" t="str">
        <f t="shared" si="19"/>
        <v>Medium_Pressure</v>
      </c>
      <c r="Q712" s="4" t="str">
        <f t="shared" si="20"/>
        <v>HIGHLY_ENGAGED</v>
      </c>
      <c r="R712" s="4" t="str">
        <f t="shared" si="21"/>
        <v>LOW</v>
      </c>
      <c r="S712" s="2"/>
      <c r="T712" s="2"/>
      <c r="U712" s="2"/>
      <c r="V712" s="2"/>
      <c r="W712" s="2"/>
      <c r="X712" s="2"/>
      <c r="Y712" s="2"/>
      <c r="Z712" s="2"/>
    </row>
    <row r="713" spans="1:26" ht="16.8" x14ac:dyDescent="0.3">
      <c r="A713" s="4">
        <v>994</v>
      </c>
      <c r="B713" s="4" t="s">
        <v>35</v>
      </c>
      <c r="C713" s="4">
        <v>29</v>
      </c>
      <c r="D713" s="4" t="s">
        <v>45</v>
      </c>
      <c r="E713" s="4" t="s">
        <v>47</v>
      </c>
      <c r="F713" s="4">
        <v>2404</v>
      </c>
      <c r="G713" s="4" t="s">
        <v>35</v>
      </c>
      <c r="H713" s="4">
        <v>0</v>
      </c>
      <c r="I713" s="4">
        <v>0</v>
      </c>
      <c r="J713" s="4">
        <v>1</v>
      </c>
      <c r="K713" s="4">
        <v>3</v>
      </c>
      <c r="L713" s="4" t="str">
        <f t="shared" si="15"/>
        <v>NORMAL</v>
      </c>
      <c r="M713" s="4" t="str">
        <f t="shared" si="16"/>
        <v>LOW</v>
      </c>
      <c r="N713" s="4" t="str">
        <f t="shared" si="17"/>
        <v>NEW</v>
      </c>
      <c r="O713" s="4" t="str">
        <f t="shared" si="18"/>
        <v>RECENTLY PROMOTED</v>
      </c>
      <c r="P713" s="5" t="str">
        <f t="shared" si="19"/>
        <v>Medium_Pressure</v>
      </c>
      <c r="Q713" s="4" t="str">
        <f t="shared" si="20"/>
        <v>DISENGAGED</v>
      </c>
      <c r="R713" s="4" t="str">
        <f t="shared" si="21"/>
        <v>LOW</v>
      </c>
      <c r="S713" s="2"/>
      <c r="T713" s="2"/>
      <c r="U713" s="2"/>
      <c r="V713" s="2"/>
      <c r="W713" s="2"/>
      <c r="X713" s="2"/>
      <c r="Y713" s="2"/>
      <c r="Z713" s="2"/>
    </row>
    <row r="714" spans="1:26" ht="16.8" x14ac:dyDescent="0.3">
      <c r="A714" s="4">
        <v>995</v>
      </c>
      <c r="B714" s="4" t="s">
        <v>43</v>
      </c>
      <c r="C714" s="4">
        <v>33</v>
      </c>
      <c r="D714" s="4" t="s">
        <v>45</v>
      </c>
      <c r="E714" s="4" t="s">
        <v>47</v>
      </c>
      <c r="F714" s="4">
        <v>3452</v>
      </c>
      <c r="G714" s="4" t="s">
        <v>43</v>
      </c>
      <c r="H714" s="4">
        <v>3</v>
      </c>
      <c r="I714" s="4">
        <v>0</v>
      </c>
      <c r="J714" s="4">
        <v>4</v>
      </c>
      <c r="K714" s="4">
        <v>3</v>
      </c>
      <c r="L714" s="4" t="str">
        <f t="shared" si="15"/>
        <v>NORMAL</v>
      </c>
      <c r="M714" s="4" t="str">
        <f t="shared" si="16"/>
        <v>LOW</v>
      </c>
      <c r="N714" s="4" t="str">
        <f t="shared" si="17"/>
        <v>MID</v>
      </c>
      <c r="O714" s="4" t="str">
        <f t="shared" si="18"/>
        <v>RECENTLY PROMOTED</v>
      </c>
      <c r="P714" s="5" t="str">
        <f t="shared" si="19"/>
        <v>Medium_Pressure</v>
      </c>
      <c r="Q714" s="4" t="str">
        <f t="shared" si="20"/>
        <v>HIGHLY_ENGAGED</v>
      </c>
      <c r="R714" s="4" t="str">
        <f t="shared" si="21"/>
        <v>LOW</v>
      </c>
      <c r="S714" s="2"/>
      <c r="T714" s="2"/>
      <c r="U714" s="2"/>
      <c r="V714" s="2"/>
      <c r="W714" s="2"/>
      <c r="X714" s="2"/>
      <c r="Y714" s="2"/>
      <c r="Z714" s="2"/>
    </row>
    <row r="715" spans="1:26" ht="16.8" x14ac:dyDescent="0.3">
      <c r="A715" s="4">
        <v>996</v>
      </c>
      <c r="B715" s="4" t="s">
        <v>43</v>
      </c>
      <c r="C715" s="4">
        <v>45</v>
      </c>
      <c r="D715" s="4" t="s">
        <v>45</v>
      </c>
      <c r="E715" s="4" t="s">
        <v>50</v>
      </c>
      <c r="F715" s="4">
        <v>2270</v>
      </c>
      <c r="G715" s="4" t="s">
        <v>43</v>
      </c>
      <c r="H715" s="4">
        <v>5</v>
      </c>
      <c r="I715" s="4">
        <v>0</v>
      </c>
      <c r="J715" s="4">
        <v>4</v>
      </c>
      <c r="K715" s="4">
        <v>3</v>
      </c>
      <c r="L715" s="4" t="str">
        <f t="shared" si="15"/>
        <v>NORMAL</v>
      </c>
      <c r="M715" s="4" t="str">
        <f t="shared" si="16"/>
        <v>LOW</v>
      </c>
      <c r="N715" s="4" t="str">
        <f t="shared" si="17"/>
        <v>MID</v>
      </c>
      <c r="O715" s="4" t="str">
        <f t="shared" si="18"/>
        <v>RECENTLY PROMOTED</v>
      </c>
      <c r="P715" s="5" t="str">
        <f t="shared" si="19"/>
        <v>Medium_Pressure</v>
      </c>
      <c r="Q715" s="4" t="str">
        <f t="shared" si="20"/>
        <v>HIGHLY_ENGAGED</v>
      </c>
      <c r="R715" s="4" t="str">
        <f t="shared" si="21"/>
        <v>LOW</v>
      </c>
      <c r="S715" s="2"/>
      <c r="T715" s="2"/>
      <c r="U715" s="2"/>
      <c r="V715" s="2"/>
      <c r="W715" s="2"/>
      <c r="X715" s="2"/>
      <c r="Y715" s="2"/>
      <c r="Z715" s="2"/>
    </row>
    <row r="716" spans="1:26" ht="16.8" x14ac:dyDescent="0.3">
      <c r="A716" s="4">
        <v>997</v>
      </c>
      <c r="B716" s="4" t="s">
        <v>43</v>
      </c>
      <c r="C716" s="4">
        <v>50</v>
      </c>
      <c r="D716" s="4" t="s">
        <v>45</v>
      </c>
      <c r="E716" s="4" t="s">
        <v>58</v>
      </c>
      <c r="F716" s="4">
        <v>17399</v>
      </c>
      <c r="G716" s="4" t="s">
        <v>43</v>
      </c>
      <c r="H716" s="4">
        <v>5</v>
      </c>
      <c r="I716" s="4">
        <v>1</v>
      </c>
      <c r="J716" s="4">
        <v>4</v>
      </c>
      <c r="K716" s="4">
        <v>2</v>
      </c>
      <c r="L716" s="4" t="str">
        <f t="shared" si="15"/>
        <v>NORMAL</v>
      </c>
      <c r="M716" s="4" t="str">
        <f t="shared" si="16"/>
        <v>MEDIUM</v>
      </c>
      <c r="N716" s="4" t="str">
        <f t="shared" si="17"/>
        <v>MID</v>
      </c>
      <c r="O716" s="4" t="str">
        <f t="shared" si="18"/>
        <v>RECENTLY PROMOTED</v>
      </c>
      <c r="P716" s="5" t="str">
        <f t="shared" si="19"/>
        <v>Low_Pressure</v>
      </c>
      <c r="Q716" s="4" t="str">
        <f t="shared" si="20"/>
        <v>DISENGAGED</v>
      </c>
      <c r="R716" s="4" t="str">
        <f t="shared" si="21"/>
        <v>LOW</v>
      </c>
      <c r="S716" s="2"/>
      <c r="T716" s="2"/>
      <c r="U716" s="2"/>
      <c r="V716" s="2"/>
      <c r="W716" s="2"/>
      <c r="X716" s="2"/>
      <c r="Y716" s="2"/>
      <c r="Z716" s="2"/>
    </row>
    <row r="717" spans="1:26" ht="16.8" x14ac:dyDescent="0.3">
      <c r="A717" s="4">
        <v>998</v>
      </c>
      <c r="B717" s="4" t="s">
        <v>43</v>
      </c>
      <c r="C717" s="4">
        <v>33</v>
      </c>
      <c r="D717" s="4" t="s">
        <v>45</v>
      </c>
      <c r="E717" s="4" t="s">
        <v>54</v>
      </c>
      <c r="F717" s="4">
        <v>5488</v>
      </c>
      <c r="G717" s="4" t="s">
        <v>35</v>
      </c>
      <c r="H717" s="4">
        <v>6</v>
      </c>
      <c r="I717" s="4">
        <v>1</v>
      </c>
      <c r="J717" s="4">
        <v>2</v>
      </c>
      <c r="K717" s="4">
        <v>3</v>
      </c>
      <c r="L717" s="4" t="str">
        <f t="shared" si="15"/>
        <v>NORMAL</v>
      </c>
      <c r="M717" s="4" t="str">
        <f t="shared" si="16"/>
        <v>HIGH</v>
      </c>
      <c r="N717" s="4" t="str">
        <f t="shared" si="17"/>
        <v>MID</v>
      </c>
      <c r="O717" s="4" t="str">
        <f t="shared" si="18"/>
        <v>RECENTLY PROMOTED</v>
      </c>
      <c r="P717" s="5" t="str">
        <f t="shared" si="19"/>
        <v>Medium_Pressure</v>
      </c>
      <c r="Q717" s="4" t="str">
        <f t="shared" si="20"/>
        <v>DISENGAGED</v>
      </c>
      <c r="R717" s="4" t="str">
        <f t="shared" si="21"/>
        <v>LOW</v>
      </c>
      <c r="S717" s="2"/>
      <c r="T717" s="2"/>
      <c r="U717" s="2"/>
      <c r="V717" s="2"/>
      <c r="W717" s="2"/>
      <c r="X717" s="2"/>
      <c r="Y717" s="2"/>
      <c r="Z717" s="2"/>
    </row>
    <row r="718" spans="1:26" ht="16.8" x14ac:dyDescent="0.3">
      <c r="A718" s="4">
        <v>999</v>
      </c>
      <c r="B718" s="4" t="s">
        <v>43</v>
      </c>
      <c r="C718" s="4">
        <v>41</v>
      </c>
      <c r="D718" s="4" t="s">
        <v>45</v>
      </c>
      <c r="E718" s="4" t="s">
        <v>58</v>
      </c>
      <c r="F718" s="4">
        <v>19419</v>
      </c>
      <c r="G718" s="4" t="s">
        <v>43</v>
      </c>
      <c r="H718" s="4">
        <v>18</v>
      </c>
      <c r="I718" s="4">
        <v>0</v>
      </c>
      <c r="J718" s="4">
        <v>3</v>
      </c>
      <c r="K718" s="4">
        <v>4</v>
      </c>
      <c r="L718" s="4" t="str">
        <f t="shared" si="15"/>
        <v>NORMAL</v>
      </c>
      <c r="M718" s="4" t="str">
        <f t="shared" si="16"/>
        <v>MEDIUM</v>
      </c>
      <c r="N718" s="4" t="str">
        <f t="shared" si="17"/>
        <v>SENIOR</v>
      </c>
      <c r="O718" s="4" t="str">
        <f t="shared" si="18"/>
        <v>RECENTLY PROMOTED</v>
      </c>
      <c r="P718" s="5" t="str">
        <f t="shared" si="19"/>
        <v>Low_Pressure</v>
      </c>
      <c r="Q718" s="4" t="str">
        <f t="shared" si="20"/>
        <v>HIGHLY_ENGAGED</v>
      </c>
      <c r="R718" s="4" t="str">
        <f t="shared" si="21"/>
        <v>LOW</v>
      </c>
      <c r="S718" s="2"/>
      <c r="T718" s="2"/>
      <c r="U718" s="2"/>
      <c r="V718" s="2"/>
      <c r="W718" s="2"/>
      <c r="X718" s="2"/>
      <c r="Y718" s="2"/>
      <c r="Z718" s="2"/>
    </row>
    <row r="719" spans="1:26" ht="16.8" x14ac:dyDescent="0.3">
      <c r="A719" s="4">
        <v>1001</v>
      </c>
      <c r="B719" s="4" t="s">
        <v>43</v>
      </c>
      <c r="C719" s="4">
        <v>27</v>
      </c>
      <c r="D719" s="4" t="s">
        <v>45</v>
      </c>
      <c r="E719" s="4" t="s">
        <v>50</v>
      </c>
      <c r="F719" s="4">
        <v>2811</v>
      </c>
      <c r="G719" s="4" t="s">
        <v>43</v>
      </c>
      <c r="H719" s="4">
        <v>2</v>
      </c>
      <c r="I719" s="4">
        <v>2</v>
      </c>
      <c r="J719" s="4">
        <v>2</v>
      </c>
      <c r="K719" s="4">
        <v>3</v>
      </c>
      <c r="L719" s="4" t="str">
        <f t="shared" si="15"/>
        <v>NORMAL</v>
      </c>
      <c r="M719" s="4" t="str">
        <f t="shared" si="16"/>
        <v>LOW</v>
      </c>
      <c r="N719" s="4" t="str">
        <f t="shared" si="17"/>
        <v>NEW</v>
      </c>
      <c r="O719" s="4" t="str">
        <f t="shared" si="18"/>
        <v>MODERATE-WAIT</v>
      </c>
      <c r="P719" s="5" t="str">
        <f t="shared" si="19"/>
        <v>Medium_Pressure</v>
      </c>
      <c r="Q719" s="4" t="str">
        <f t="shared" si="20"/>
        <v>DISENGAGED</v>
      </c>
      <c r="R719" s="4" t="str">
        <f t="shared" si="21"/>
        <v>LOW</v>
      </c>
      <c r="S719" s="2"/>
      <c r="T719" s="2"/>
      <c r="U719" s="2"/>
      <c r="V719" s="2"/>
      <c r="W719" s="2"/>
      <c r="X719" s="2"/>
      <c r="Y719" s="2"/>
      <c r="Z719" s="2"/>
    </row>
    <row r="720" spans="1:26" ht="16.8" x14ac:dyDescent="0.3">
      <c r="A720" s="4">
        <v>1002</v>
      </c>
      <c r="B720" s="4" t="s">
        <v>43</v>
      </c>
      <c r="C720" s="4">
        <v>45</v>
      </c>
      <c r="D720" s="4" t="s">
        <v>45</v>
      </c>
      <c r="E720" s="4" t="s">
        <v>50</v>
      </c>
      <c r="F720" s="4">
        <v>3633</v>
      </c>
      <c r="G720" s="4" t="s">
        <v>35</v>
      </c>
      <c r="H720" s="4">
        <v>9</v>
      </c>
      <c r="I720" s="4">
        <v>0</v>
      </c>
      <c r="J720" s="4">
        <v>1</v>
      </c>
      <c r="K720" s="4">
        <v>3</v>
      </c>
      <c r="L720" s="4" t="str">
        <f t="shared" si="15"/>
        <v>NORMAL</v>
      </c>
      <c r="M720" s="4" t="str">
        <f t="shared" si="16"/>
        <v>LOW</v>
      </c>
      <c r="N720" s="4" t="str">
        <f t="shared" si="17"/>
        <v>SENIOR</v>
      </c>
      <c r="O720" s="4" t="str">
        <f t="shared" si="18"/>
        <v>RECENTLY PROMOTED</v>
      </c>
      <c r="P720" s="5" t="str">
        <f t="shared" si="19"/>
        <v>Medium_Pressure</v>
      </c>
      <c r="Q720" s="4" t="str">
        <f t="shared" si="20"/>
        <v>DISENGAGED</v>
      </c>
      <c r="R720" s="4" t="str">
        <f t="shared" si="21"/>
        <v>LOW</v>
      </c>
      <c r="S720" s="2"/>
      <c r="T720" s="2"/>
      <c r="U720" s="2"/>
      <c r="V720" s="2"/>
      <c r="W720" s="2"/>
      <c r="X720" s="2"/>
      <c r="Y720" s="2"/>
      <c r="Z720" s="2"/>
    </row>
    <row r="721" spans="1:26" ht="16.8" x14ac:dyDescent="0.3">
      <c r="A721" s="4">
        <v>1003</v>
      </c>
      <c r="B721" s="4" t="s">
        <v>43</v>
      </c>
      <c r="C721" s="4">
        <v>47</v>
      </c>
      <c r="D721" s="4" t="s">
        <v>37</v>
      </c>
      <c r="E721" s="4" t="s">
        <v>40</v>
      </c>
      <c r="F721" s="4">
        <v>4163</v>
      </c>
      <c r="G721" s="4" t="s">
        <v>35</v>
      </c>
      <c r="H721" s="4">
        <v>9</v>
      </c>
      <c r="I721" s="4">
        <v>0</v>
      </c>
      <c r="J721" s="4">
        <v>4</v>
      </c>
      <c r="K721" s="4">
        <v>3</v>
      </c>
      <c r="L721" s="4" t="str">
        <f t="shared" si="15"/>
        <v>NORMAL</v>
      </c>
      <c r="M721" s="4" t="str">
        <f t="shared" si="16"/>
        <v>HIGH</v>
      </c>
      <c r="N721" s="4" t="str">
        <f t="shared" si="17"/>
        <v>SENIOR</v>
      </c>
      <c r="O721" s="4" t="str">
        <f t="shared" si="18"/>
        <v>RECENTLY PROMOTED</v>
      </c>
      <c r="P721" s="5" t="str">
        <f t="shared" si="19"/>
        <v>Medium_Pressure</v>
      </c>
      <c r="Q721" s="4" t="str">
        <f t="shared" si="20"/>
        <v>HIGHLY_ENGAGED</v>
      </c>
      <c r="R721" s="4" t="str">
        <f t="shared" si="21"/>
        <v>LOW</v>
      </c>
      <c r="S721" s="2"/>
      <c r="T721" s="2"/>
      <c r="U721" s="2"/>
      <c r="V721" s="2"/>
      <c r="W721" s="2"/>
      <c r="X721" s="2"/>
      <c r="Y721" s="2"/>
      <c r="Z721" s="2"/>
    </row>
    <row r="722" spans="1:26" ht="16.8" x14ac:dyDescent="0.3">
      <c r="A722" s="4">
        <v>1004</v>
      </c>
      <c r="B722" s="4" t="s">
        <v>35</v>
      </c>
      <c r="C722" s="4">
        <v>30</v>
      </c>
      <c r="D722" s="4" t="s">
        <v>45</v>
      </c>
      <c r="E722" s="4" t="s">
        <v>47</v>
      </c>
      <c r="F722" s="4">
        <v>2132</v>
      </c>
      <c r="G722" s="4" t="s">
        <v>35</v>
      </c>
      <c r="H722" s="4">
        <v>5</v>
      </c>
      <c r="I722" s="4">
        <v>0</v>
      </c>
      <c r="J722" s="4">
        <v>3</v>
      </c>
      <c r="K722" s="4">
        <v>3</v>
      </c>
      <c r="L722" s="4" t="str">
        <f t="shared" si="15"/>
        <v>NORMAL</v>
      </c>
      <c r="M722" s="4" t="str">
        <f t="shared" si="16"/>
        <v>LOW</v>
      </c>
      <c r="N722" s="4" t="str">
        <f t="shared" si="17"/>
        <v>MID</v>
      </c>
      <c r="O722" s="4" t="str">
        <f t="shared" si="18"/>
        <v>RECENTLY PROMOTED</v>
      </c>
      <c r="P722" s="5" t="str">
        <f t="shared" si="19"/>
        <v>Medium_Pressure</v>
      </c>
      <c r="Q722" s="4" t="str">
        <f t="shared" si="20"/>
        <v>HIGHLY_ENGAGED</v>
      </c>
      <c r="R722" s="4" t="str">
        <f t="shared" si="21"/>
        <v>LOW</v>
      </c>
      <c r="S722" s="2"/>
      <c r="T722" s="2"/>
      <c r="U722" s="2"/>
      <c r="V722" s="2"/>
      <c r="W722" s="2"/>
      <c r="X722" s="2"/>
      <c r="Y722" s="2"/>
      <c r="Z722" s="2"/>
    </row>
    <row r="723" spans="1:26" ht="16.8" x14ac:dyDescent="0.3">
      <c r="A723" s="4">
        <v>1005</v>
      </c>
      <c r="B723" s="4" t="s">
        <v>43</v>
      </c>
      <c r="C723" s="4">
        <v>50</v>
      </c>
      <c r="D723" s="4" t="s">
        <v>45</v>
      </c>
      <c r="E723" s="4" t="s">
        <v>53</v>
      </c>
      <c r="F723" s="4">
        <v>13973</v>
      </c>
      <c r="G723" s="4" t="s">
        <v>35</v>
      </c>
      <c r="H723" s="4">
        <v>12</v>
      </c>
      <c r="I723" s="4">
        <v>1</v>
      </c>
      <c r="J723" s="4">
        <v>3</v>
      </c>
      <c r="K723" s="4">
        <v>3</v>
      </c>
      <c r="L723" s="4" t="str">
        <f t="shared" si="15"/>
        <v>NORMAL</v>
      </c>
      <c r="M723" s="4" t="str">
        <f t="shared" si="16"/>
        <v>MEDIUM</v>
      </c>
      <c r="N723" s="4" t="str">
        <f t="shared" si="17"/>
        <v>SENIOR</v>
      </c>
      <c r="O723" s="4" t="str">
        <f t="shared" si="18"/>
        <v>RECENTLY PROMOTED</v>
      </c>
      <c r="P723" s="5" t="str">
        <f t="shared" si="19"/>
        <v>Medium_Pressure</v>
      </c>
      <c r="Q723" s="4" t="str">
        <f t="shared" si="20"/>
        <v>HIGHLY_ENGAGED</v>
      </c>
      <c r="R723" s="4" t="str">
        <f t="shared" si="21"/>
        <v>LOW</v>
      </c>
      <c r="S723" s="2"/>
      <c r="T723" s="2"/>
      <c r="U723" s="2"/>
      <c r="V723" s="2"/>
      <c r="W723" s="2"/>
      <c r="X723" s="2"/>
      <c r="Y723" s="2"/>
      <c r="Z723" s="2"/>
    </row>
    <row r="724" spans="1:26" ht="16.8" x14ac:dyDescent="0.3">
      <c r="A724" s="4">
        <v>1006</v>
      </c>
      <c r="B724" s="4" t="s">
        <v>43</v>
      </c>
      <c r="C724" s="4">
        <v>38</v>
      </c>
      <c r="D724" s="4" t="s">
        <v>45</v>
      </c>
      <c r="E724" s="4" t="s">
        <v>47</v>
      </c>
      <c r="F724" s="4">
        <v>2684</v>
      </c>
      <c r="G724" s="4" t="s">
        <v>43</v>
      </c>
      <c r="H724" s="4">
        <v>2</v>
      </c>
      <c r="I724" s="4">
        <v>0</v>
      </c>
      <c r="J724" s="4">
        <v>3</v>
      </c>
      <c r="K724" s="4">
        <v>2</v>
      </c>
      <c r="L724" s="4" t="str">
        <f t="shared" si="15"/>
        <v>NORMAL</v>
      </c>
      <c r="M724" s="4" t="str">
        <f t="shared" si="16"/>
        <v>LOW</v>
      </c>
      <c r="N724" s="4" t="str">
        <f t="shared" si="17"/>
        <v>NEW</v>
      </c>
      <c r="O724" s="4" t="str">
        <f t="shared" si="18"/>
        <v>RECENTLY PROMOTED</v>
      </c>
      <c r="P724" s="5" t="str">
        <f t="shared" si="19"/>
        <v>Low_Pressure</v>
      </c>
      <c r="Q724" s="4" t="str">
        <f t="shared" si="20"/>
        <v>DISENGAGED</v>
      </c>
      <c r="R724" s="4" t="str">
        <f t="shared" si="21"/>
        <v>LOW</v>
      </c>
      <c r="S724" s="2"/>
      <c r="T724" s="2"/>
      <c r="U724" s="2"/>
      <c r="V724" s="2"/>
      <c r="W724" s="2"/>
      <c r="X724" s="2"/>
      <c r="Y724" s="2"/>
      <c r="Z724" s="2"/>
    </row>
    <row r="725" spans="1:26" ht="16.8" x14ac:dyDescent="0.3">
      <c r="A725" s="4">
        <v>1007</v>
      </c>
      <c r="B725" s="4" t="s">
        <v>43</v>
      </c>
      <c r="C725" s="4">
        <v>46</v>
      </c>
      <c r="D725" s="4" t="s">
        <v>45</v>
      </c>
      <c r="E725" s="4" t="s">
        <v>53</v>
      </c>
      <c r="F725" s="4">
        <v>10845</v>
      </c>
      <c r="G725" s="4" t="s">
        <v>43</v>
      </c>
      <c r="H725" s="4">
        <v>8</v>
      </c>
      <c r="I725" s="4">
        <v>0</v>
      </c>
      <c r="J725" s="4">
        <v>3</v>
      </c>
      <c r="K725" s="4">
        <v>3</v>
      </c>
      <c r="L725" s="4" t="str">
        <f t="shared" si="15"/>
        <v>NORMAL</v>
      </c>
      <c r="M725" s="4" t="str">
        <f t="shared" si="16"/>
        <v>MEDIUM</v>
      </c>
      <c r="N725" s="4" t="str">
        <f t="shared" si="17"/>
        <v>SENIOR</v>
      </c>
      <c r="O725" s="4" t="str">
        <f t="shared" si="18"/>
        <v>RECENTLY PROMOTED</v>
      </c>
      <c r="P725" s="5" t="str">
        <f t="shared" si="19"/>
        <v>Medium_Pressure</v>
      </c>
      <c r="Q725" s="4" t="str">
        <f t="shared" si="20"/>
        <v>HIGHLY_ENGAGED</v>
      </c>
      <c r="R725" s="4" t="str">
        <f t="shared" si="21"/>
        <v>LOW</v>
      </c>
      <c r="S725" s="2"/>
      <c r="T725" s="2"/>
      <c r="U725" s="2"/>
      <c r="V725" s="2"/>
      <c r="W725" s="2"/>
      <c r="X725" s="2"/>
      <c r="Y725" s="2"/>
      <c r="Z725" s="2"/>
    </row>
    <row r="726" spans="1:26" ht="16.8" x14ac:dyDescent="0.3">
      <c r="A726" s="4">
        <v>1009</v>
      </c>
      <c r="B726" s="4" t="s">
        <v>43</v>
      </c>
      <c r="C726" s="4">
        <v>24</v>
      </c>
      <c r="D726" s="4" t="s">
        <v>45</v>
      </c>
      <c r="E726" s="4" t="s">
        <v>53</v>
      </c>
      <c r="F726" s="4">
        <v>4377</v>
      </c>
      <c r="G726" s="4" t="s">
        <v>43</v>
      </c>
      <c r="H726" s="4">
        <v>4</v>
      </c>
      <c r="I726" s="4">
        <v>3</v>
      </c>
      <c r="J726" s="4">
        <v>3</v>
      </c>
      <c r="K726" s="4">
        <v>3</v>
      </c>
      <c r="L726" s="4" t="str">
        <f t="shared" si="15"/>
        <v>NORMAL</v>
      </c>
      <c r="M726" s="4" t="str">
        <f t="shared" si="16"/>
        <v>HIGH</v>
      </c>
      <c r="N726" s="4" t="str">
        <f t="shared" si="17"/>
        <v>MID</v>
      </c>
      <c r="O726" s="4" t="str">
        <f t="shared" si="18"/>
        <v>MODERATE-WAIT</v>
      </c>
      <c r="P726" s="5" t="str">
        <f t="shared" si="19"/>
        <v>Medium_Pressure</v>
      </c>
      <c r="Q726" s="4" t="str">
        <f t="shared" si="20"/>
        <v>HIGHLY_ENGAGED</v>
      </c>
      <c r="R726" s="4" t="str">
        <f t="shared" si="21"/>
        <v>LOW</v>
      </c>
      <c r="S726" s="2"/>
      <c r="T726" s="2"/>
      <c r="U726" s="2"/>
      <c r="V726" s="2"/>
      <c r="W726" s="2"/>
      <c r="X726" s="2"/>
      <c r="Y726" s="2"/>
      <c r="Z726" s="2"/>
    </row>
    <row r="727" spans="1:26" ht="16.8" x14ac:dyDescent="0.3">
      <c r="A727" s="4">
        <v>1010</v>
      </c>
      <c r="B727" s="4" t="s">
        <v>35</v>
      </c>
      <c r="C727" s="4">
        <v>35</v>
      </c>
      <c r="D727" s="4" t="s">
        <v>45</v>
      </c>
      <c r="E727" s="4" t="s">
        <v>50</v>
      </c>
      <c r="F727" s="4">
        <v>3743</v>
      </c>
      <c r="G727" s="4" t="s">
        <v>35</v>
      </c>
      <c r="H727" s="4">
        <v>4</v>
      </c>
      <c r="I727" s="4">
        <v>0</v>
      </c>
      <c r="J727" s="4">
        <v>2</v>
      </c>
      <c r="K727" s="4">
        <v>1</v>
      </c>
      <c r="L727" s="4" t="str">
        <f t="shared" si="15"/>
        <v>NORMAL</v>
      </c>
      <c r="M727" s="4" t="str">
        <f t="shared" si="16"/>
        <v>LOW</v>
      </c>
      <c r="N727" s="4" t="str">
        <f t="shared" si="17"/>
        <v>MID</v>
      </c>
      <c r="O727" s="4" t="str">
        <f t="shared" si="18"/>
        <v>RECENTLY PROMOTED</v>
      </c>
      <c r="P727" s="5" t="str">
        <f t="shared" si="19"/>
        <v>High_Pressure</v>
      </c>
      <c r="Q727" s="4" t="str">
        <f t="shared" si="20"/>
        <v>DISENGAGED</v>
      </c>
      <c r="R727" s="4" t="str">
        <f t="shared" si="21"/>
        <v>LOW</v>
      </c>
      <c r="S727" s="2"/>
      <c r="T727" s="2"/>
      <c r="U727" s="2"/>
      <c r="V727" s="2"/>
      <c r="W727" s="2"/>
      <c r="X727" s="2"/>
      <c r="Y727" s="2"/>
      <c r="Z727" s="2"/>
    </row>
    <row r="728" spans="1:26" ht="16.8" x14ac:dyDescent="0.3">
      <c r="A728" s="4">
        <v>1011</v>
      </c>
      <c r="B728" s="4" t="s">
        <v>43</v>
      </c>
      <c r="C728" s="4">
        <v>31</v>
      </c>
      <c r="D728" s="4" t="s">
        <v>45</v>
      </c>
      <c r="E728" s="4" t="s">
        <v>53</v>
      </c>
      <c r="F728" s="4">
        <v>4148</v>
      </c>
      <c r="G728" s="4" t="s">
        <v>43</v>
      </c>
      <c r="H728" s="4">
        <v>4</v>
      </c>
      <c r="I728" s="4">
        <v>0</v>
      </c>
      <c r="J728" s="4">
        <v>1</v>
      </c>
      <c r="K728" s="4">
        <v>3</v>
      </c>
      <c r="L728" s="4" t="str">
        <f t="shared" si="15"/>
        <v>NORMAL</v>
      </c>
      <c r="M728" s="4" t="str">
        <f t="shared" si="16"/>
        <v>HIGH</v>
      </c>
      <c r="N728" s="4" t="str">
        <f t="shared" si="17"/>
        <v>MID</v>
      </c>
      <c r="O728" s="4" t="str">
        <f t="shared" si="18"/>
        <v>RECENTLY PROMOTED</v>
      </c>
      <c r="P728" s="5" t="str">
        <f t="shared" si="19"/>
        <v>Medium_Pressure</v>
      </c>
      <c r="Q728" s="4" t="str">
        <f t="shared" si="20"/>
        <v>DISENGAGED</v>
      </c>
      <c r="R728" s="4" t="str">
        <f t="shared" si="21"/>
        <v>LOW</v>
      </c>
      <c r="S728" s="2"/>
      <c r="T728" s="2"/>
      <c r="U728" s="2"/>
      <c r="V728" s="2"/>
      <c r="W728" s="2"/>
      <c r="X728" s="2"/>
      <c r="Y728" s="2"/>
      <c r="Z728" s="2"/>
    </row>
    <row r="729" spans="1:26" ht="16.8" x14ac:dyDescent="0.3">
      <c r="A729" s="4">
        <v>1012</v>
      </c>
      <c r="B729" s="4" t="s">
        <v>43</v>
      </c>
      <c r="C729" s="4">
        <v>18</v>
      </c>
      <c r="D729" s="4" t="s">
        <v>45</v>
      </c>
      <c r="E729" s="4" t="s">
        <v>47</v>
      </c>
      <c r="F729" s="4">
        <v>1051</v>
      </c>
      <c r="G729" s="4" t="s">
        <v>43</v>
      </c>
      <c r="H729" s="4">
        <v>0</v>
      </c>
      <c r="I729" s="4">
        <v>0</v>
      </c>
      <c r="J729" s="4">
        <v>4</v>
      </c>
      <c r="K729" s="4">
        <v>3</v>
      </c>
      <c r="L729" s="4" t="str">
        <f t="shared" si="15"/>
        <v>NORMAL</v>
      </c>
      <c r="M729" s="4" t="str">
        <f t="shared" si="16"/>
        <v>LOW</v>
      </c>
      <c r="N729" s="4" t="str">
        <f t="shared" si="17"/>
        <v>NEW</v>
      </c>
      <c r="O729" s="4" t="str">
        <f t="shared" si="18"/>
        <v>RECENTLY PROMOTED</v>
      </c>
      <c r="P729" s="5" t="str">
        <f t="shared" si="19"/>
        <v>Medium_Pressure</v>
      </c>
      <c r="Q729" s="4" t="str">
        <f t="shared" si="20"/>
        <v>HIGHLY_ENGAGED</v>
      </c>
      <c r="R729" s="4" t="str">
        <f t="shared" si="21"/>
        <v>LOW</v>
      </c>
      <c r="S729" s="2"/>
      <c r="T729" s="2"/>
      <c r="U729" s="2"/>
      <c r="V729" s="2"/>
      <c r="W729" s="2"/>
      <c r="X729" s="2"/>
      <c r="Y729" s="2"/>
      <c r="Z729" s="2"/>
    </row>
    <row r="730" spans="1:26" ht="16.8" x14ac:dyDescent="0.3">
      <c r="A730" s="4">
        <v>1013</v>
      </c>
      <c r="B730" s="4" t="s">
        <v>43</v>
      </c>
      <c r="C730" s="4">
        <v>54</v>
      </c>
      <c r="D730" s="4" t="s">
        <v>45</v>
      </c>
      <c r="E730" s="4" t="s">
        <v>53</v>
      </c>
      <c r="F730" s="4">
        <v>10739</v>
      </c>
      <c r="G730" s="4" t="s">
        <v>43</v>
      </c>
      <c r="H730" s="4">
        <v>10</v>
      </c>
      <c r="I730" s="4">
        <v>0</v>
      </c>
      <c r="J730" s="4">
        <v>3</v>
      </c>
      <c r="K730" s="4">
        <v>3</v>
      </c>
      <c r="L730" s="4" t="str">
        <f t="shared" si="15"/>
        <v>NORMAL</v>
      </c>
      <c r="M730" s="4" t="str">
        <f t="shared" si="16"/>
        <v>MEDIUM</v>
      </c>
      <c r="N730" s="4" t="str">
        <f t="shared" si="17"/>
        <v>SENIOR</v>
      </c>
      <c r="O730" s="4" t="str">
        <f t="shared" si="18"/>
        <v>RECENTLY PROMOTED</v>
      </c>
      <c r="P730" s="5" t="str">
        <f t="shared" si="19"/>
        <v>Medium_Pressure</v>
      </c>
      <c r="Q730" s="4" t="str">
        <f t="shared" si="20"/>
        <v>HIGHLY_ENGAGED</v>
      </c>
      <c r="R730" s="4" t="str">
        <f t="shared" si="21"/>
        <v>LOW</v>
      </c>
      <c r="S730" s="2"/>
      <c r="T730" s="2"/>
      <c r="U730" s="2"/>
      <c r="V730" s="2"/>
      <c r="W730" s="2"/>
      <c r="X730" s="2"/>
      <c r="Y730" s="2"/>
      <c r="Z730" s="2"/>
    </row>
    <row r="731" spans="1:26" ht="16.8" x14ac:dyDescent="0.3">
      <c r="A731" s="4">
        <v>1014</v>
      </c>
      <c r="B731" s="4" t="s">
        <v>43</v>
      </c>
      <c r="C731" s="4">
        <v>35</v>
      </c>
      <c r="D731" s="4" t="s">
        <v>45</v>
      </c>
      <c r="E731" s="4" t="s">
        <v>54</v>
      </c>
      <c r="F731" s="4">
        <v>10388</v>
      </c>
      <c r="G731" s="4" t="s">
        <v>35</v>
      </c>
      <c r="H731" s="4">
        <v>16</v>
      </c>
      <c r="I731" s="4">
        <v>10</v>
      </c>
      <c r="J731" s="4">
        <v>3</v>
      </c>
      <c r="K731" s="4">
        <v>2</v>
      </c>
      <c r="L731" s="4" t="str">
        <f t="shared" si="15"/>
        <v>NORMAL</v>
      </c>
      <c r="M731" s="4" t="str">
        <f t="shared" si="16"/>
        <v>MEDIUM</v>
      </c>
      <c r="N731" s="4" t="str">
        <f t="shared" si="17"/>
        <v>SENIOR</v>
      </c>
      <c r="O731" s="4" t="str">
        <f t="shared" si="18"/>
        <v>STAGNANT</v>
      </c>
      <c r="P731" s="5" t="str">
        <f t="shared" si="19"/>
        <v>High_Pressure</v>
      </c>
      <c r="Q731" s="4" t="str">
        <f t="shared" si="20"/>
        <v>DISENGAGED</v>
      </c>
      <c r="R731" s="4" t="str">
        <f t="shared" si="21"/>
        <v>LOW</v>
      </c>
      <c r="S731" s="2"/>
      <c r="T731" s="2"/>
      <c r="U731" s="2"/>
      <c r="V731" s="2"/>
      <c r="W731" s="2"/>
      <c r="X731" s="2"/>
      <c r="Y731" s="2"/>
      <c r="Z731" s="2"/>
    </row>
    <row r="732" spans="1:26" ht="16.8" x14ac:dyDescent="0.3">
      <c r="A732" s="4">
        <v>1015</v>
      </c>
      <c r="B732" s="4" t="s">
        <v>43</v>
      </c>
      <c r="C732" s="4">
        <v>30</v>
      </c>
      <c r="D732" s="4" t="s">
        <v>45</v>
      </c>
      <c r="E732" s="4" t="s">
        <v>58</v>
      </c>
      <c r="F732" s="4">
        <v>11416</v>
      </c>
      <c r="G732" s="4" t="s">
        <v>35</v>
      </c>
      <c r="H732" s="4">
        <v>8</v>
      </c>
      <c r="I732" s="4">
        <v>1</v>
      </c>
      <c r="J732" s="4">
        <v>1</v>
      </c>
      <c r="K732" s="4">
        <v>2</v>
      </c>
      <c r="L732" s="4" t="str">
        <f t="shared" si="15"/>
        <v>NORMAL</v>
      </c>
      <c r="M732" s="4" t="str">
        <f t="shared" si="16"/>
        <v>MEDIUM</v>
      </c>
      <c r="N732" s="4" t="str">
        <f t="shared" si="17"/>
        <v>SENIOR</v>
      </c>
      <c r="O732" s="4" t="str">
        <f t="shared" si="18"/>
        <v>RECENTLY PROMOTED</v>
      </c>
      <c r="P732" s="5" t="str">
        <f t="shared" si="19"/>
        <v>High_Pressure</v>
      </c>
      <c r="Q732" s="4" t="str">
        <f t="shared" si="20"/>
        <v>DISENGAGED</v>
      </c>
      <c r="R732" s="4" t="str">
        <f t="shared" si="21"/>
        <v>LOW</v>
      </c>
      <c r="S732" s="2"/>
      <c r="T732" s="2"/>
      <c r="U732" s="2"/>
      <c r="V732" s="2"/>
      <c r="W732" s="2"/>
      <c r="X732" s="2"/>
      <c r="Y732" s="2"/>
      <c r="Z732" s="2"/>
    </row>
    <row r="733" spans="1:26" ht="16.8" x14ac:dyDescent="0.3">
      <c r="A733" s="4">
        <v>1016</v>
      </c>
      <c r="B733" s="4" t="s">
        <v>35</v>
      </c>
      <c r="C733" s="4">
        <v>20</v>
      </c>
      <c r="D733" s="4" t="s">
        <v>45</v>
      </c>
      <c r="E733" s="4" t="s">
        <v>47</v>
      </c>
      <c r="F733" s="4">
        <v>2600</v>
      </c>
      <c r="G733" s="4" t="s">
        <v>35</v>
      </c>
      <c r="H733" s="4">
        <v>1</v>
      </c>
      <c r="I733" s="4">
        <v>0</v>
      </c>
      <c r="J733" s="4">
        <v>1</v>
      </c>
      <c r="K733" s="4">
        <v>3</v>
      </c>
      <c r="L733" s="4" t="str">
        <f t="shared" si="15"/>
        <v>NORMAL</v>
      </c>
      <c r="M733" s="4" t="str">
        <f t="shared" si="16"/>
        <v>LOW</v>
      </c>
      <c r="N733" s="4" t="str">
        <f t="shared" si="17"/>
        <v>NEW</v>
      </c>
      <c r="O733" s="4" t="str">
        <f t="shared" si="18"/>
        <v>RECENTLY PROMOTED</v>
      </c>
      <c r="P733" s="5" t="str">
        <f t="shared" si="19"/>
        <v>Medium_Pressure</v>
      </c>
      <c r="Q733" s="4" t="str">
        <f t="shared" si="20"/>
        <v>DISENGAGED</v>
      </c>
      <c r="R733" s="4" t="str">
        <f t="shared" si="21"/>
        <v>LOW</v>
      </c>
      <c r="S733" s="2"/>
      <c r="T733" s="2"/>
      <c r="U733" s="2"/>
      <c r="V733" s="2"/>
      <c r="W733" s="2"/>
      <c r="X733" s="2"/>
      <c r="Y733" s="2"/>
      <c r="Z733" s="2"/>
    </row>
    <row r="734" spans="1:26" ht="16.8" x14ac:dyDescent="0.3">
      <c r="A734" s="4">
        <v>1017</v>
      </c>
      <c r="B734" s="4" t="s">
        <v>35</v>
      </c>
      <c r="C734" s="4">
        <v>30</v>
      </c>
      <c r="D734" s="4" t="s">
        <v>45</v>
      </c>
      <c r="E734" s="4" t="s">
        <v>50</v>
      </c>
      <c r="F734" s="4">
        <v>2422</v>
      </c>
      <c r="G734" s="4" t="s">
        <v>43</v>
      </c>
      <c r="H734" s="4">
        <v>3</v>
      </c>
      <c r="I734" s="4">
        <v>1</v>
      </c>
      <c r="J734" s="4">
        <v>2</v>
      </c>
      <c r="K734" s="4">
        <v>3</v>
      </c>
      <c r="L734" s="4" t="str">
        <f t="shared" si="15"/>
        <v>NORMAL</v>
      </c>
      <c r="M734" s="4" t="str">
        <f t="shared" si="16"/>
        <v>LOW</v>
      </c>
      <c r="N734" s="4" t="str">
        <f t="shared" si="17"/>
        <v>MID</v>
      </c>
      <c r="O734" s="4" t="str">
        <f t="shared" si="18"/>
        <v>RECENTLY PROMOTED</v>
      </c>
      <c r="P734" s="5" t="str">
        <f t="shared" si="19"/>
        <v>Medium_Pressure</v>
      </c>
      <c r="Q734" s="4" t="str">
        <f t="shared" si="20"/>
        <v>DISENGAGED</v>
      </c>
      <c r="R734" s="4" t="str">
        <f t="shared" si="21"/>
        <v>LOW</v>
      </c>
      <c r="S734" s="2"/>
      <c r="T734" s="2"/>
      <c r="U734" s="2"/>
      <c r="V734" s="2"/>
      <c r="W734" s="2"/>
      <c r="X734" s="2"/>
      <c r="Y734" s="2"/>
      <c r="Z734" s="2"/>
    </row>
    <row r="735" spans="1:26" ht="16.8" x14ac:dyDescent="0.3">
      <c r="A735" s="4">
        <v>1018</v>
      </c>
      <c r="B735" s="4" t="s">
        <v>43</v>
      </c>
      <c r="C735" s="4">
        <v>26</v>
      </c>
      <c r="D735" s="4" t="s">
        <v>45</v>
      </c>
      <c r="E735" s="4" t="s">
        <v>53</v>
      </c>
      <c r="F735" s="4">
        <v>5472</v>
      </c>
      <c r="G735" s="4" t="s">
        <v>43</v>
      </c>
      <c r="H735" s="4">
        <v>8</v>
      </c>
      <c r="I735" s="4">
        <v>1</v>
      </c>
      <c r="J735" s="4">
        <v>4</v>
      </c>
      <c r="K735" s="4">
        <v>3</v>
      </c>
      <c r="L735" s="4" t="str">
        <f t="shared" si="15"/>
        <v>NORMAL</v>
      </c>
      <c r="M735" s="4" t="str">
        <f t="shared" si="16"/>
        <v>HIGH</v>
      </c>
      <c r="N735" s="4" t="str">
        <f t="shared" si="17"/>
        <v>SENIOR</v>
      </c>
      <c r="O735" s="4" t="str">
        <f t="shared" si="18"/>
        <v>RECENTLY PROMOTED</v>
      </c>
      <c r="P735" s="5" t="str">
        <f t="shared" si="19"/>
        <v>Medium_Pressure</v>
      </c>
      <c r="Q735" s="4" t="str">
        <f t="shared" si="20"/>
        <v>HIGHLY_ENGAGED</v>
      </c>
      <c r="R735" s="4" t="str">
        <f t="shared" si="21"/>
        <v>LOW</v>
      </c>
      <c r="S735" s="2"/>
      <c r="T735" s="2"/>
      <c r="U735" s="2"/>
      <c r="V735" s="2"/>
      <c r="W735" s="2"/>
      <c r="X735" s="2"/>
      <c r="Y735" s="2"/>
      <c r="Z735" s="2"/>
    </row>
    <row r="736" spans="1:26" ht="16.8" x14ac:dyDescent="0.3">
      <c r="A736" s="4">
        <v>1019</v>
      </c>
      <c r="B736" s="4" t="s">
        <v>43</v>
      </c>
      <c r="C736" s="4">
        <v>22</v>
      </c>
      <c r="D736" s="4" t="s">
        <v>45</v>
      </c>
      <c r="E736" s="4" t="s">
        <v>50</v>
      </c>
      <c r="F736" s="4">
        <v>2451</v>
      </c>
      <c r="G736" s="4" t="s">
        <v>43</v>
      </c>
      <c r="H736" s="4">
        <v>4</v>
      </c>
      <c r="I736" s="4">
        <v>1</v>
      </c>
      <c r="J736" s="4">
        <v>1</v>
      </c>
      <c r="K736" s="4">
        <v>2</v>
      </c>
      <c r="L736" s="4" t="str">
        <f t="shared" si="15"/>
        <v>NORMAL</v>
      </c>
      <c r="M736" s="4" t="str">
        <f t="shared" si="16"/>
        <v>LOW</v>
      </c>
      <c r="N736" s="4" t="str">
        <f t="shared" si="17"/>
        <v>MID</v>
      </c>
      <c r="O736" s="4" t="str">
        <f t="shared" si="18"/>
        <v>RECENTLY PROMOTED</v>
      </c>
      <c r="P736" s="5" t="str">
        <f t="shared" si="19"/>
        <v>Low_Pressure</v>
      </c>
      <c r="Q736" s="4" t="str">
        <f t="shared" si="20"/>
        <v>DISENGAGED</v>
      </c>
      <c r="R736" s="4" t="str">
        <f t="shared" si="21"/>
        <v>LOW</v>
      </c>
      <c r="S736" s="2"/>
      <c r="T736" s="2"/>
      <c r="U736" s="2"/>
      <c r="V736" s="2"/>
      <c r="W736" s="2"/>
      <c r="X736" s="2"/>
      <c r="Y736" s="2"/>
      <c r="Z736" s="2"/>
    </row>
    <row r="737" spans="1:26" ht="16.8" x14ac:dyDescent="0.3">
      <c r="A737" s="4">
        <v>1022</v>
      </c>
      <c r="B737" s="4" t="s">
        <v>43</v>
      </c>
      <c r="C737" s="4">
        <v>48</v>
      </c>
      <c r="D737" s="4" t="s">
        <v>45</v>
      </c>
      <c r="E737" s="4" t="s">
        <v>54</v>
      </c>
      <c r="F737" s="4">
        <v>4240</v>
      </c>
      <c r="G737" s="4" t="s">
        <v>43</v>
      </c>
      <c r="H737" s="4">
        <v>2</v>
      </c>
      <c r="I737" s="4">
        <v>2</v>
      </c>
      <c r="J737" s="4">
        <v>3</v>
      </c>
      <c r="K737" s="4">
        <v>3</v>
      </c>
      <c r="L737" s="4" t="str">
        <f t="shared" si="15"/>
        <v>NORMAL</v>
      </c>
      <c r="M737" s="4" t="str">
        <f t="shared" si="16"/>
        <v>HIGH</v>
      </c>
      <c r="N737" s="4" t="str">
        <f t="shared" si="17"/>
        <v>NEW</v>
      </c>
      <c r="O737" s="4" t="str">
        <f t="shared" si="18"/>
        <v>MODERATE-WAIT</v>
      </c>
      <c r="P737" s="5" t="str">
        <f t="shared" si="19"/>
        <v>Medium_Pressure</v>
      </c>
      <c r="Q737" s="4" t="str">
        <f t="shared" si="20"/>
        <v>HIGHLY_ENGAGED</v>
      </c>
      <c r="R737" s="4" t="str">
        <f t="shared" si="21"/>
        <v>LOW</v>
      </c>
      <c r="S737" s="2"/>
      <c r="T737" s="2"/>
      <c r="U737" s="2"/>
      <c r="V737" s="2"/>
      <c r="W737" s="2"/>
      <c r="X737" s="2"/>
      <c r="Y737" s="2"/>
      <c r="Z737" s="2"/>
    </row>
    <row r="738" spans="1:26" ht="16.8" x14ac:dyDescent="0.3">
      <c r="A738" s="4">
        <v>1024</v>
      </c>
      <c r="B738" s="4" t="s">
        <v>43</v>
      </c>
      <c r="C738" s="4">
        <v>48</v>
      </c>
      <c r="D738" s="4" t="s">
        <v>45</v>
      </c>
      <c r="E738" s="4" t="s">
        <v>54</v>
      </c>
      <c r="F738" s="4">
        <v>10999</v>
      </c>
      <c r="G738" s="4" t="s">
        <v>43</v>
      </c>
      <c r="H738" s="4">
        <v>15</v>
      </c>
      <c r="I738" s="4">
        <v>4</v>
      </c>
      <c r="J738" s="4">
        <v>3</v>
      </c>
      <c r="K738" s="4">
        <v>3</v>
      </c>
      <c r="L738" s="4" t="str">
        <f t="shared" si="15"/>
        <v>NORMAL</v>
      </c>
      <c r="M738" s="4" t="str">
        <f t="shared" si="16"/>
        <v>MEDIUM</v>
      </c>
      <c r="N738" s="4" t="str">
        <f t="shared" si="17"/>
        <v>SENIOR</v>
      </c>
      <c r="O738" s="4" t="str">
        <f t="shared" si="18"/>
        <v>STAGNANT</v>
      </c>
      <c r="P738" s="5" t="str">
        <f t="shared" si="19"/>
        <v>Medium_Pressure</v>
      </c>
      <c r="Q738" s="4" t="str">
        <f t="shared" si="20"/>
        <v>HIGHLY_ENGAGED</v>
      </c>
      <c r="R738" s="4" t="str">
        <f t="shared" si="21"/>
        <v>LOW</v>
      </c>
      <c r="S738" s="2"/>
      <c r="T738" s="2"/>
      <c r="U738" s="2"/>
      <c r="V738" s="2"/>
      <c r="W738" s="2"/>
      <c r="X738" s="2"/>
      <c r="Y738" s="2"/>
      <c r="Z738" s="2"/>
    </row>
    <row r="739" spans="1:26" ht="16.8" x14ac:dyDescent="0.3">
      <c r="A739" s="4">
        <v>1025</v>
      </c>
      <c r="B739" s="4" t="s">
        <v>43</v>
      </c>
      <c r="C739" s="4">
        <v>41</v>
      </c>
      <c r="D739" s="4" t="s">
        <v>45</v>
      </c>
      <c r="E739" s="4" t="s">
        <v>53</v>
      </c>
      <c r="F739" s="4">
        <v>5003</v>
      </c>
      <c r="G739" s="4" t="s">
        <v>43</v>
      </c>
      <c r="H739" s="4">
        <v>2</v>
      </c>
      <c r="I739" s="4">
        <v>2</v>
      </c>
      <c r="J739" s="4">
        <v>3</v>
      </c>
      <c r="K739" s="4">
        <v>3</v>
      </c>
      <c r="L739" s="4" t="str">
        <f t="shared" si="15"/>
        <v>NORMAL</v>
      </c>
      <c r="M739" s="4" t="str">
        <f t="shared" si="16"/>
        <v>HIGH</v>
      </c>
      <c r="N739" s="4" t="str">
        <f t="shared" si="17"/>
        <v>NEW</v>
      </c>
      <c r="O739" s="4" t="str">
        <f t="shared" si="18"/>
        <v>MODERATE-WAIT</v>
      </c>
      <c r="P739" s="5" t="str">
        <f t="shared" si="19"/>
        <v>Medium_Pressure</v>
      </c>
      <c r="Q739" s="4" t="str">
        <f t="shared" si="20"/>
        <v>HIGHLY_ENGAGED</v>
      </c>
      <c r="R739" s="4" t="str">
        <f t="shared" si="21"/>
        <v>LOW</v>
      </c>
      <c r="S739" s="2"/>
      <c r="T739" s="2"/>
      <c r="U739" s="2"/>
      <c r="V739" s="2"/>
      <c r="W739" s="2"/>
      <c r="X739" s="2"/>
      <c r="Y739" s="2"/>
      <c r="Z739" s="2"/>
    </row>
    <row r="740" spans="1:26" ht="16.8" x14ac:dyDescent="0.3">
      <c r="A740" s="4">
        <v>1026</v>
      </c>
      <c r="B740" s="4" t="s">
        <v>43</v>
      </c>
      <c r="C740" s="4">
        <v>39</v>
      </c>
      <c r="D740" s="4" t="s">
        <v>45</v>
      </c>
      <c r="E740" s="4" t="s">
        <v>53</v>
      </c>
      <c r="F740" s="4">
        <v>12742</v>
      </c>
      <c r="G740" s="4" t="s">
        <v>43</v>
      </c>
      <c r="H740" s="4">
        <v>21</v>
      </c>
      <c r="I740" s="4">
        <v>11</v>
      </c>
      <c r="J740" s="4">
        <v>4</v>
      </c>
      <c r="K740" s="4">
        <v>3</v>
      </c>
      <c r="L740" s="4" t="str">
        <f t="shared" si="15"/>
        <v>NORMAL</v>
      </c>
      <c r="M740" s="4" t="str">
        <f t="shared" si="16"/>
        <v>MEDIUM</v>
      </c>
      <c r="N740" s="4" t="str">
        <f t="shared" si="17"/>
        <v>SENIOR</v>
      </c>
      <c r="O740" s="4" t="str">
        <f t="shared" si="18"/>
        <v>STAGNANT</v>
      </c>
      <c r="P740" s="5" t="str">
        <f t="shared" si="19"/>
        <v>Medium_Pressure</v>
      </c>
      <c r="Q740" s="4" t="str">
        <f t="shared" si="20"/>
        <v>HIGHLY_ENGAGED</v>
      </c>
      <c r="R740" s="4" t="str">
        <f t="shared" si="21"/>
        <v>LOW</v>
      </c>
      <c r="S740" s="2"/>
      <c r="T740" s="2"/>
      <c r="U740" s="2"/>
      <c r="V740" s="2"/>
      <c r="W740" s="2"/>
      <c r="X740" s="2"/>
      <c r="Y740" s="2"/>
      <c r="Z740" s="2"/>
    </row>
    <row r="741" spans="1:26" ht="16.8" x14ac:dyDescent="0.3">
      <c r="A741" s="4">
        <v>1027</v>
      </c>
      <c r="B741" s="4" t="s">
        <v>43</v>
      </c>
      <c r="C741" s="4">
        <v>27</v>
      </c>
      <c r="D741" s="4" t="s">
        <v>45</v>
      </c>
      <c r="E741" s="4" t="s">
        <v>53</v>
      </c>
      <c r="F741" s="4">
        <v>4227</v>
      </c>
      <c r="G741" s="4" t="s">
        <v>43</v>
      </c>
      <c r="H741" s="4">
        <v>3</v>
      </c>
      <c r="I741" s="4">
        <v>2</v>
      </c>
      <c r="J741" s="4">
        <v>4</v>
      </c>
      <c r="K741" s="4">
        <v>3</v>
      </c>
      <c r="L741" s="4" t="str">
        <f t="shared" si="15"/>
        <v>NORMAL</v>
      </c>
      <c r="M741" s="4" t="str">
        <f t="shared" si="16"/>
        <v>HIGH</v>
      </c>
      <c r="N741" s="4" t="str">
        <f t="shared" si="17"/>
        <v>MID</v>
      </c>
      <c r="O741" s="4" t="str">
        <f t="shared" si="18"/>
        <v>MODERATE-WAIT</v>
      </c>
      <c r="P741" s="5" t="str">
        <f t="shared" si="19"/>
        <v>Medium_Pressure</v>
      </c>
      <c r="Q741" s="4" t="str">
        <f t="shared" si="20"/>
        <v>HIGHLY_ENGAGED</v>
      </c>
      <c r="R741" s="4" t="str">
        <f t="shared" si="21"/>
        <v>LOW</v>
      </c>
      <c r="S741" s="2"/>
      <c r="T741" s="2"/>
      <c r="U741" s="2"/>
      <c r="V741" s="2"/>
      <c r="W741" s="2"/>
      <c r="X741" s="2"/>
      <c r="Y741" s="2"/>
      <c r="Z741" s="2"/>
    </row>
    <row r="742" spans="1:26" ht="16.8" x14ac:dyDescent="0.3">
      <c r="A742" s="4">
        <v>1028</v>
      </c>
      <c r="B742" s="4" t="s">
        <v>43</v>
      </c>
      <c r="C742" s="4">
        <v>35</v>
      </c>
      <c r="D742" s="4" t="s">
        <v>45</v>
      </c>
      <c r="E742" s="4" t="s">
        <v>50</v>
      </c>
      <c r="F742" s="4">
        <v>3917</v>
      </c>
      <c r="G742" s="4" t="s">
        <v>43</v>
      </c>
      <c r="H742" s="4">
        <v>3</v>
      </c>
      <c r="I742" s="4">
        <v>1</v>
      </c>
      <c r="J742" s="4">
        <v>4</v>
      </c>
      <c r="K742" s="4">
        <v>2</v>
      </c>
      <c r="L742" s="4" t="str">
        <f t="shared" si="15"/>
        <v>NORMAL</v>
      </c>
      <c r="M742" s="4" t="str">
        <f t="shared" si="16"/>
        <v>LOW</v>
      </c>
      <c r="N742" s="4" t="str">
        <f t="shared" si="17"/>
        <v>MID</v>
      </c>
      <c r="O742" s="4" t="str">
        <f t="shared" si="18"/>
        <v>RECENTLY PROMOTED</v>
      </c>
      <c r="P742" s="5" t="str">
        <f t="shared" si="19"/>
        <v>Low_Pressure</v>
      </c>
      <c r="Q742" s="4" t="str">
        <f t="shared" si="20"/>
        <v>DISENGAGED</v>
      </c>
      <c r="R742" s="4" t="str">
        <f t="shared" si="21"/>
        <v>LOW</v>
      </c>
      <c r="S742" s="2"/>
      <c r="T742" s="2"/>
      <c r="U742" s="2"/>
      <c r="V742" s="2"/>
      <c r="W742" s="2"/>
      <c r="X742" s="2"/>
      <c r="Y742" s="2"/>
      <c r="Z742" s="2"/>
    </row>
    <row r="743" spans="1:26" ht="16.8" x14ac:dyDescent="0.3">
      <c r="A743" s="4">
        <v>1029</v>
      </c>
      <c r="B743" s="4" t="s">
        <v>43</v>
      </c>
      <c r="C743" s="4">
        <v>42</v>
      </c>
      <c r="D743" s="4" t="s">
        <v>37</v>
      </c>
      <c r="E743" s="4" t="s">
        <v>56</v>
      </c>
      <c r="F743" s="4">
        <v>18303</v>
      </c>
      <c r="G743" s="4" t="s">
        <v>43</v>
      </c>
      <c r="H743" s="4">
        <v>1</v>
      </c>
      <c r="I743" s="4">
        <v>0</v>
      </c>
      <c r="J743" s="4">
        <v>3</v>
      </c>
      <c r="K743" s="4">
        <v>4</v>
      </c>
      <c r="L743" s="4" t="str">
        <f t="shared" si="15"/>
        <v>NORMAL</v>
      </c>
      <c r="M743" s="4" t="str">
        <f t="shared" si="16"/>
        <v>MEDIUM</v>
      </c>
      <c r="N743" s="4" t="str">
        <f t="shared" si="17"/>
        <v>NEW</v>
      </c>
      <c r="O743" s="4" t="str">
        <f t="shared" si="18"/>
        <v>RECENTLY PROMOTED</v>
      </c>
      <c r="P743" s="5" t="str">
        <f t="shared" si="19"/>
        <v>Low_Pressure</v>
      </c>
      <c r="Q743" s="4" t="str">
        <f t="shared" si="20"/>
        <v>HIGHLY_ENGAGED</v>
      </c>
      <c r="R743" s="4" t="str">
        <f t="shared" si="21"/>
        <v>LOW</v>
      </c>
      <c r="S743" s="2"/>
      <c r="T743" s="2"/>
      <c r="U743" s="2"/>
      <c r="V743" s="2"/>
      <c r="W743" s="2"/>
      <c r="X743" s="2"/>
      <c r="Y743" s="2"/>
      <c r="Z743" s="2"/>
    </row>
    <row r="744" spans="1:26" ht="16.8" x14ac:dyDescent="0.3">
      <c r="A744" s="4">
        <v>1030</v>
      </c>
      <c r="B744" s="4" t="s">
        <v>43</v>
      </c>
      <c r="C744" s="4">
        <v>50</v>
      </c>
      <c r="D744" s="4" t="s">
        <v>45</v>
      </c>
      <c r="E744" s="4" t="s">
        <v>50</v>
      </c>
      <c r="F744" s="4">
        <v>2380</v>
      </c>
      <c r="G744" s="4" t="s">
        <v>43</v>
      </c>
      <c r="H744" s="4">
        <v>1</v>
      </c>
      <c r="I744" s="4">
        <v>0</v>
      </c>
      <c r="J744" s="4">
        <v>4</v>
      </c>
      <c r="K744" s="4">
        <v>3</v>
      </c>
      <c r="L744" s="4" t="str">
        <f t="shared" si="15"/>
        <v>NORMAL</v>
      </c>
      <c r="M744" s="4" t="str">
        <f t="shared" si="16"/>
        <v>LOW</v>
      </c>
      <c r="N744" s="4" t="str">
        <f t="shared" si="17"/>
        <v>NEW</v>
      </c>
      <c r="O744" s="4" t="str">
        <f t="shared" si="18"/>
        <v>RECENTLY PROMOTED</v>
      </c>
      <c r="P744" s="5" t="str">
        <f t="shared" si="19"/>
        <v>Medium_Pressure</v>
      </c>
      <c r="Q744" s="4" t="str">
        <f t="shared" si="20"/>
        <v>HIGHLY_ENGAGED</v>
      </c>
      <c r="R744" s="4" t="str">
        <f t="shared" si="21"/>
        <v>LOW</v>
      </c>
      <c r="S744" s="2"/>
      <c r="T744" s="2"/>
      <c r="U744" s="2"/>
      <c r="V744" s="2"/>
      <c r="W744" s="2"/>
      <c r="X744" s="2"/>
      <c r="Y744" s="2"/>
      <c r="Z744" s="2"/>
    </row>
    <row r="745" spans="1:26" ht="16.8" x14ac:dyDescent="0.3">
      <c r="A745" s="4">
        <v>1032</v>
      </c>
      <c r="B745" s="4" t="s">
        <v>43</v>
      </c>
      <c r="C745" s="4">
        <v>59</v>
      </c>
      <c r="D745" s="4" t="s">
        <v>45</v>
      </c>
      <c r="E745" s="4" t="s">
        <v>53</v>
      </c>
      <c r="F745" s="4">
        <v>13726</v>
      </c>
      <c r="G745" s="4" t="s">
        <v>35</v>
      </c>
      <c r="H745" s="4">
        <v>5</v>
      </c>
      <c r="I745" s="4">
        <v>4</v>
      </c>
      <c r="J745" s="4">
        <v>4</v>
      </c>
      <c r="K745" s="4">
        <v>3</v>
      </c>
      <c r="L745" s="4" t="str">
        <f t="shared" si="15"/>
        <v>NORMAL</v>
      </c>
      <c r="M745" s="4" t="str">
        <f t="shared" si="16"/>
        <v>MEDIUM</v>
      </c>
      <c r="N745" s="4" t="str">
        <f t="shared" si="17"/>
        <v>MID</v>
      </c>
      <c r="O745" s="4" t="str">
        <f t="shared" si="18"/>
        <v>STAGNANT</v>
      </c>
      <c r="P745" s="5" t="str">
        <f t="shared" si="19"/>
        <v>Medium_Pressure</v>
      </c>
      <c r="Q745" s="4" t="str">
        <f t="shared" si="20"/>
        <v>HIGHLY_ENGAGED</v>
      </c>
      <c r="R745" s="4" t="str">
        <f t="shared" si="21"/>
        <v>LOW</v>
      </c>
      <c r="S745" s="2"/>
      <c r="T745" s="2"/>
      <c r="U745" s="2"/>
      <c r="V745" s="2"/>
      <c r="W745" s="2"/>
      <c r="X745" s="2"/>
      <c r="Y745" s="2"/>
      <c r="Z745" s="2"/>
    </row>
    <row r="746" spans="1:26" ht="16.8" x14ac:dyDescent="0.3">
      <c r="A746" s="4">
        <v>1033</v>
      </c>
      <c r="B746" s="4" t="s">
        <v>35</v>
      </c>
      <c r="C746" s="4">
        <v>37</v>
      </c>
      <c r="D746" s="4" t="s">
        <v>45</v>
      </c>
      <c r="E746" s="4" t="s">
        <v>54</v>
      </c>
      <c r="F746" s="4">
        <v>4777</v>
      </c>
      <c r="G746" s="4" t="s">
        <v>43</v>
      </c>
      <c r="H746" s="4">
        <v>1</v>
      </c>
      <c r="I746" s="4">
        <v>0</v>
      </c>
      <c r="J746" s="4">
        <v>2</v>
      </c>
      <c r="K746" s="4">
        <v>1</v>
      </c>
      <c r="L746" s="4" t="str">
        <f t="shared" si="15"/>
        <v>NORMAL</v>
      </c>
      <c r="M746" s="4" t="str">
        <f t="shared" si="16"/>
        <v>HIGH</v>
      </c>
      <c r="N746" s="4" t="str">
        <f t="shared" si="17"/>
        <v>NEW</v>
      </c>
      <c r="O746" s="4" t="str">
        <f t="shared" si="18"/>
        <v>RECENTLY PROMOTED</v>
      </c>
      <c r="P746" s="5" t="str">
        <f t="shared" si="19"/>
        <v>Low_Pressure</v>
      </c>
      <c r="Q746" s="4" t="str">
        <f t="shared" si="20"/>
        <v>DISENGAGED</v>
      </c>
      <c r="R746" s="4" t="str">
        <f t="shared" si="21"/>
        <v>LOW</v>
      </c>
      <c r="S746" s="2"/>
      <c r="T746" s="2"/>
      <c r="U746" s="2"/>
      <c r="V746" s="2"/>
      <c r="W746" s="2"/>
      <c r="X746" s="2"/>
      <c r="Y746" s="2"/>
      <c r="Z746" s="2"/>
    </row>
    <row r="747" spans="1:26" ht="16.8" x14ac:dyDescent="0.3">
      <c r="A747" s="4">
        <v>1034</v>
      </c>
      <c r="B747" s="4" t="s">
        <v>43</v>
      </c>
      <c r="C747" s="4">
        <v>55</v>
      </c>
      <c r="D747" s="4" t="s">
        <v>45</v>
      </c>
      <c r="E747" s="4" t="s">
        <v>54</v>
      </c>
      <c r="F747" s="4">
        <v>6385</v>
      </c>
      <c r="G747" s="4" t="s">
        <v>35</v>
      </c>
      <c r="H747" s="4">
        <v>8</v>
      </c>
      <c r="I747" s="4">
        <v>6</v>
      </c>
      <c r="J747" s="4">
        <v>2</v>
      </c>
      <c r="K747" s="4">
        <v>3</v>
      </c>
      <c r="L747" s="4" t="str">
        <f t="shared" si="15"/>
        <v>HIGH RISK</v>
      </c>
      <c r="M747" s="4" t="str">
        <f t="shared" si="16"/>
        <v>HIGH</v>
      </c>
      <c r="N747" s="4" t="str">
        <f t="shared" si="17"/>
        <v>SENIOR</v>
      </c>
      <c r="O747" s="4" t="str">
        <f t="shared" si="18"/>
        <v>STAGNANT</v>
      </c>
      <c r="P747" s="5" t="str">
        <f t="shared" si="19"/>
        <v>Medium_Pressure</v>
      </c>
      <c r="Q747" s="4" t="str">
        <f t="shared" si="20"/>
        <v>DISENGAGED</v>
      </c>
      <c r="R747" s="4" t="str">
        <f t="shared" si="21"/>
        <v>LOW</v>
      </c>
      <c r="S747" s="2"/>
      <c r="T747" s="2"/>
      <c r="U747" s="2"/>
      <c r="V747" s="2"/>
      <c r="W747" s="2"/>
      <c r="X747" s="2"/>
      <c r="Y747" s="2"/>
      <c r="Z747" s="2"/>
    </row>
    <row r="748" spans="1:26" ht="16.8" x14ac:dyDescent="0.3">
      <c r="A748" s="4">
        <v>1035</v>
      </c>
      <c r="B748" s="4" t="s">
        <v>43</v>
      </c>
      <c r="C748" s="4">
        <v>41</v>
      </c>
      <c r="D748" s="4" t="s">
        <v>45</v>
      </c>
      <c r="E748" s="4" t="s">
        <v>58</v>
      </c>
      <c r="F748" s="4">
        <v>19973</v>
      </c>
      <c r="G748" s="4" t="s">
        <v>43</v>
      </c>
      <c r="H748" s="4">
        <v>21</v>
      </c>
      <c r="I748" s="4">
        <v>5</v>
      </c>
      <c r="J748" s="4">
        <v>3</v>
      </c>
      <c r="K748" s="4">
        <v>3</v>
      </c>
      <c r="L748" s="4" t="str">
        <f t="shared" si="15"/>
        <v>NORMAL</v>
      </c>
      <c r="M748" s="4" t="str">
        <f t="shared" si="16"/>
        <v>MEDIUM</v>
      </c>
      <c r="N748" s="4" t="str">
        <f t="shared" si="17"/>
        <v>SENIOR</v>
      </c>
      <c r="O748" s="4" t="str">
        <f t="shared" si="18"/>
        <v>STAGNANT</v>
      </c>
      <c r="P748" s="5" t="str">
        <f t="shared" si="19"/>
        <v>Medium_Pressure</v>
      </c>
      <c r="Q748" s="4" t="str">
        <f t="shared" si="20"/>
        <v>HIGHLY_ENGAGED</v>
      </c>
      <c r="R748" s="4" t="str">
        <f t="shared" si="21"/>
        <v>LOW</v>
      </c>
      <c r="S748" s="2"/>
      <c r="T748" s="2"/>
      <c r="U748" s="2"/>
      <c r="V748" s="2"/>
      <c r="W748" s="2"/>
      <c r="X748" s="2"/>
      <c r="Y748" s="2"/>
      <c r="Z748" s="2"/>
    </row>
    <row r="749" spans="1:26" ht="16.8" x14ac:dyDescent="0.3">
      <c r="A749" s="4">
        <v>1036</v>
      </c>
      <c r="B749" s="4" t="s">
        <v>43</v>
      </c>
      <c r="C749" s="4">
        <v>38</v>
      </c>
      <c r="D749" s="4" t="s">
        <v>37</v>
      </c>
      <c r="E749" s="4" t="s">
        <v>40</v>
      </c>
      <c r="F749" s="4">
        <v>6861</v>
      </c>
      <c r="G749" s="4" t="s">
        <v>35</v>
      </c>
      <c r="H749" s="4">
        <v>1</v>
      </c>
      <c r="I749" s="4">
        <v>0</v>
      </c>
      <c r="J749" s="4">
        <v>4</v>
      </c>
      <c r="K749" s="4">
        <v>3</v>
      </c>
      <c r="L749" s="4" t="str">
        <f t="shared" si="15"/>
        <v>NORMAL</v>
      </c>
      <c r="M749" s="4" t="str">
        <f t="shared" si="16"/>
        <v>HIGH</v>
      </c>
      <c r="N749" s="4" t="str">
        <f t="shared" si="17"/>
        <v>NEW</v>
      </c>
      <c r="O749" s="4" t="str">
        <f t="shared" si="18"/>
        <v>RECENTLY PROMOTED</v>
      </c>
      <c r="P749" s="5" t="str">
        <f t="shared" si="19"/>
        <v>Medium_Pressure</v>
      </c>
      <c r="Q749" s="4" t="str">
        <f t="shared" si="20"/>
        <v>HIGHLY_ENGAGED</v>
      </c>
      <c r="R749" s="4" t="str">
        <f t="shared" si="21"/>
        <v>LOW</v>
      </c>
      <c r="S749" s="2"/>
      <c r="T749" s="2"/>
      <c r="U749" s="2"/>
      <c r="V749" s="2"/>
      <c r="W749" s="2"/>
      <c r="X749" s="2"/>
      <c r="Y749" s="2"/>
      <c r="Z749" s="2"/>
    </row>
    <row r="750" spans="1:26" ht="16.8" x14ac:dyDescent="0.3">
      <c r="A750" s="4">
        <v>1037</v>
      </c>
      <c r="B750" s="4" t="s">
        <v>35</v>
      </c>
      <c r="C750" s="4">
        <v>26</v>
      </c>
      <c r="D750" s="4" t="s">
        <v>37</v>
      </c>
      <c r="E750" s="4" t="s">
        <v>40</v>
      </c>
      <c r="F750" s="4">
        <v>4969</v>
      </c>
      <c r="G750" s="4" t="s">
        <v>43</v>
      </c>
      <c r="H750" s="4">
        <v>2</v>
      </c>
      <c r="I750" s="4">
        <v>2</v>
      </c>
      <c r="J750" s="4">
        <v>1</v>
      </c>
      <c r="K750" s="4">
        <v>3</v>
      </c>
      <c r="L750" s="4" t="str">
        <f t="shared" si="15"/>
        <v>NORMAL</v>
      </c>
      <c r="M750" s="4" t="str">
        <f t="shared" si="16"/>
        <v>HIGH</v>
      </c>
      <c r="N750" s="4" t="str">
        <f t="shared" si="17"/>
        <v>NEW</v>
      </c>
      <c r="O750" s="4" t="str">
        <f t="shared" si="18"/>
        <v>MODERATE-WAIT</v>
      </c>
      <c r="P750" s="5" t="str">
        <f t="shared" si="19"/>
        <v>Medium_Pressure</v>
      </c>
      <c r="Q750" s="4" t="str">
        <f t="shared" si="20"/>
        <v>DISENGAGED</v>
      </c>
      <c r="R750" s="4" t="str">
        <f t="shared" si="21"/>
        <v>LOW</v>
      </c>
      <c r="S750" s="2"/>
      <c r="T750" s="2"/>
      <c r="U750" s="2"/>
      <c r="V750" s="2"/>
      <c r="W750" s="2"/>
      <c r="X750" s="2"/>
      <c r="Y750" s="2"/>
      <c r="Z750" s="2"/>
    </row>
    <row r="751" spans="1:26" ht="16.8" x14ac:dyDescent="0.3">
      <c r="A751" s="4">
        <v>1038</v>
      </c>
      <c r="B751" s="4" t="s">
        <v>35</v>
      </c>
      <c r="C751" s="4">
        <v>52</v>
      </c>
      <c r="D751" s="4" t="s">
        <v>37</v>
      </c>
      <c r="E751" s="4" t="s">
        <v>56</v>
      </c>
      <c r="F751" s="4">
        <v>19845</v>
      </c>
      <c r="G751" s="4" t="s">
        <v>43</v>
      </c>
      <c r="H751" s="4">
        <v>32</v>
      </c>
      <c r="I751" s="4">
        <v>6</v>
      </c>
      <c r="J751" s="4">
        <v>4</v>
      </c>
      <c r="K751" s="4">
        <v>3</v>
      </c>
      <c r="L751" s="4" t="str">
        <f t="shared" si="15"/>
        <v>NORMAL</v>
      </c>
      <c r="M751" s="4" t="str">
        <f t="shared" si="16"/>
        <v>MEDIUM</v>
      </c>
      <c r="N751" s="4" t="str">
        <f t="shared" si="17"/>
        <v>SENIOR</v>
      </c>
      <c r="O751" s="4" t="str">
        <f t="shared" si="18"/>
        <v>STAGNANT</v>
      </c>
      <c r="P751" s="5" t="str">
        <f t="shared" si="19"/>
        <v>Medium_Pressure</v>
      </c>
      <c r="Q751" s="4" t="str">
        <f t="shared" si="20"/>
        <v>HIGHLY_ENGAGED</v>
      </c>
      <c r="R751" s="4" t="str">
        <f t="shared" si="21"/>
        <v>LOW</v>
      </c>
      <c r="S751" s="2"/>
      <c r="T751" s="2"/>
      <c r="U751" s="2"/>
      <c r="V751" s="2"/>
      <c r="W751" s="2"/>
      <c r="X751" s="2"/>
      <c r="Y751" s="2"/>
      <c r="Z751" s="2"/>
    </row>
    <row r="752" spans="1:26" ht="16.8" x14ac:dyDescent="0.3">
      <c r="A752" s="4">
        <v>1039</v>
      </c>
      <c r="B752" s="4" t="s">
        <v>43</v>
      </c>
      <c r="C752" s="4">
        <v>44</v>
      </c>
      <c r="D752" s="4" t="s">
        <v>37</v>
      </c>
      <c r="E752" s="4" t="s">
        <v>40</v>
      </c>
      <c r="F752" s="4">
        <v>13320</v>
      </c>
      <c r="G752" s="4" t="s">
        <v>35</v>
      </c>
      <c r="H752" s="4">
        <v>12</v>
      </c>
      <c r="I752" s="4">
        <v>11</v>
      </c>
      <c r="J752" s="4">
        <v>4</v>
      </c>
      <c r="K752" s="4">
        <v>3</v>
      </c>
      <c r="L752" s="4" t="str">
        <f t="shared" si="15"/>
        <v>NORMAL</v>
      </c>
      <c r="M752" s="4" t="str">
        <f t="shared" si="16"/>
        <v>MEDIUM</v>
      </c>
      <c r="N752" s="4" t="str">
        <f t="shared" si="17"/>
        <v>SENIOR</v>
      </c>
      <c r="O752" s="4" t="str">
        <f t="shared" si="18"/>
        <v>STAGNANT</v>
      </c>
      <c r="P752" s="5" t="str">
        <f t="shared" si="19"/>
        <v>Medium_Pressure</v>
      </c>
      <c r="Q752" s="4" t="str">
        <f t="shared" si="20"/>
        <v>HIGHLY_ENGAGED</v>
      </c>
      <c r="R752" s="4" t="str">
        <f t="shared" si="21"/>
        <v>LOW</v>
      </c>
      <c r="S752" s="2"/>
      <c r="T752" s="2"/>
      <c r="U752" s="2"/>
      <c r="V752" s="2"/>
      <c r="W752" s="2"/>
      <c r="X752" s="2"/>
      <c r="Y752" s="2"/>
      <c r="Z752" s="2"/>
    </row>
    <row r="753" spans="1:26" ht="16.8" x14ac:dyDescent="0.3">
      <c r="A753" s="4">
        <v>1040</v>
      </c>
      <c r="B753" s="4" t="s">
        <v>43</v>
      </c>
      <c r="C753" s="4">
        <v>50</v>
      </c>
      <c r="D753" s="4" t="s">
        <v>37</v>
      </c>
      <c r="E753" s="4" t="s">
        <v>40</v>
      </c>
      <c r="F753" s="4">
        <v>6347</v>
      </c>
      <c r="G753" s="4" t="s">
        <v>43</v>
      </c>
      <c r="H753" s="4">
        <v>18</v>
      </c>
      <c r="I753" s="4">
        <v>0</v>
      </c>
      <c r="J753" s="4">
        <v>3</v>
      </c>
      <c r="K753" s="4">
        <v>3</v>
      </c>
      <c r="L753" s="4" t="str">
        <f t="shared" si="15"/>
        <v>NORMAL</v>
      </c>
      <c r="M753" s="4" t="str">
        <f t="shared" si="16"/>
        <v>HIGH</v>
      </c>
      <c r="N753" s="4" t="str">
        <f t="shared" si="17"/>
        <v>SENIOR</v>
      </c>
      <c r="O753" s="4" t="str">
        <f t="shared" si="18"/>
        <v>RECENTLY PROMOTED</v>
      </c>
      <c r="P753" s="5" t="str">
        <f t="shared" si="19"/>
        <v>Medium_Pressure</v>
      </c>
      <c r="Q753" s="4" t="str">
        <f t="shared" si="20"/>
        <v>HIGHLY_ENGAGED</v>
      </c>
      <c r="R753" s="4" t="str">
        <f t="shared" si="21"/>
        <v>LOW</v>
      </c>
      <c r="S753" s="2"/>
      <c r="T753" s="2"/>
      <c r="U753" s="2"/>
      <c r="V753" s="2"/>
      <c r="W753" s="2"/>
      <c r="X753" s="2"/>
      <c r="Y753" s="2"/>
      <c r="Z753" s="2"/>
    </row>
    <row r="754" spans="1:26" ht="16.8" x14ac:dyDescent="0.3">
      <c r="A754" s="4">
        <v>1042</v>
      </c>
      <c r="B754" s="4" t="s">
        <v>35</v>
      </c>
      <c r="C754" s="4">
        <v>36</v>
      </c>
      <c r="D754" s="4" t="s">
        <v>45</v>
      </c>
      <c r="E754" s="4" t="s">
        <v>50</v>
      </c>
      <c r="F754" s="4">
        <v>2743</v>
      </c>
      <c r="G754" s="4" t="s">
        <v>43</v>
      </c>
      <c r="H754" s="4">
        <v>17</v>
      </c>
      <c r="I754" s="4">
        <v>15</v>
      </c>
      <c r="J754" s="4">
        <v>1</v>
      </c>
      <c r="K754" s="4">
        <v>3</v>
      </c>
      <c r="L754" s="4" t="str">
        <f t="shared" si="15"/>
        <v>NORMAL</v>
      </c>
      <c r="M754" s="4" t="str">
        <f t="shared" si="16"/>
        <v>LOW</v>
      </c>
      <c r="N754" s="4" t="str">
        <f t="shared" si="17"/>
        <v>SENIOR</v>
      </c>
      <c r="O754" s="4" t="str">
        <f t="shared" si="18"/>
        <v>STAGNANT</v>
      </c>
      <c r="P754" s="5" t="str">
        <f t="shared" si="19"/>
        <v>Medium_Pressure</v>
      </c>
      <c r="Q754" s="4" t="str">
        <f t="shared" si="20"/>
        <v>DISENGAGED</v>
      </c>
      <c r="R754" s="4" t="str">
        <f t="shared" si="21"/>
        <v>LOW</v>
      </c>
      <c r="S754" s="2"/>
      <c r="T754" s="2"/>
      <c r="U754" s="2"/>
      <c r="V754" s="2"/>
      <c r="W754" s="2"/>
      <c r="X754" s="2"/>
      <c r="Y754" s="2"/>
      <c r="Z754" s="2"/>
    </row>
    <row r="755" spans="1:26" ht="16.8" x14ac:dyDescent="0.3">
      <c r="A755" s="4">
        <v>1043</v>
      </c>
      <c r="B755" s="4" t="s">
        <v>43</v>
      </c>
      <c r="C755" s="4">
        <v>39</v>
      </c>
      <c r="D755" s="4" t="s">
        <v>45</v>
      </c>
      <c r="E755" s="4" t="s">
        <v>53</v>
      </c>
      <c r="F755" s="4">
        <v>10880</v>
      </c>
      <c r="G755" s="4" t="s">
        <v>35</v>
      </c>
      <c r="H755" s="4">
        <v>21</v>
      </c>
      <c r="I755" s="4">
        <v>2</v>
      </c>
      <c r="J755" s="4">
        <v>1</v>
      </c>
      <c r="K755" s="4">
        <v>3</v>
      </c>
      <c r="L755" s="4" t="str">
        <f t="shared" si="15"/>
        <v>NORMAL</v>
      </c>
      <c r="M755" s="4" t="str">
        <f t="shared" si="16"/>
        <v>MEDIUM</v>
      </c>
      <c r="N755" s="4" t="str">
        <f t="shared" si="17"/>
        <v>SENIOR</v>
      </c>
      <c r="O755" s="4" t="str">
        <f t="shared" si="18"/>
        <v>MODERATE-WAIT</v>
      </c>
      <c r="P755" s="5" t="str">
        <f t="shared" si="19"/>
        <v>Medium_Pressure</v>
      </c>
      <c r="Q755" s="4" t="str">
        <f t="shared" si="20"/>
        <v>DISENGAGED</v>
      </c>
      <c r="R755" s="4" t="str">
        <f t="shared" si="21"/>
        <v>LOW</v>
      </c>
      <c r="S755" s="2"/>
      <c r="T755" s="2"/>
      <c r="U755" s="2"/>
      <c r="V755" s="2"/>
      <c r="W755" s="2"/>
      <c r="X755" s="2"/>
      <c r="Y755" s="2"/>
      <c r="Z755" s="2"/>
    </row>
    <row r="756" spans="1:26" ht="16.8" x14ac:dyDescent="0.3">
      <c r="A756" s="4">
        <v>1044</v>
      </c>
      <c r="B756" s="4" t="s">
        <v>43</v>
      </c>
      <c r="C756" s="4">
        <v>33</v>
      </c>
      <c r="D756" s="4" t="s">
        <v>37</v>
      </c>
      <c r="E756" s="4" t="s">
        <v>57</v>
      </c>
      <c r="F756" s="4">
        <v>2342</v>
      </c>
      <c r="G756" s="4" t="s">
        <v>43</v>
      </c>
      <c r="H756" s="4">
        <v>2</v>
      </c>
      <c r="I756" s="4">
        <v>2</v>
      </c>
      <c r="J756" s="4">
        <v>4</v>
      </c>
      <c r="K756" s="4">
        <v>2</v>
      </c>
      <c r="L756" s="4" t="str">
        <f t="shared" si="15"/>
        <v>NORMAL</v>
      </c>
      <c r="M756" s="4" t="str">
        <f t="shared" si="16"/>
        <v>LOW</v>
      </c>
      <c r="N756" s="4" t="str">
        <f t="shared" si="17"/>
        <v>NEW</v>
      </c>
      <c r="O756" s="4" t="str">
        <f t="shared" si="18"/>
        <v>MODERATE-WAIT</v>
      </c>
      <c r="P756" s="5" t="str">
        <f t="shared" si="19"/>
        <v>Low_Pressure</v>
      </c>
      <c r="Q756" s="4" t="str">
        <f t="shared" si="20"/>
        <v>DISENGAGED</v>
      </c>
      <c r="R756" s="4" t="str">
        <f t="shared" si="21"/>
        <v>LOW</v>
      </c>
      <c r="S756" s="2"/>
      <c r="T756" s="2"/>
      <c r="U756" s="2"/>
      <c r="V756" s="2"/>
      <c r="W756" s="2"/>
      <c r="X756" s="2"/>
      <c r="Y756" s="2"/>
      <c r="Z756" s="2"/>
    </row>
    <row r="757" spans="1:26" ht="16.8" x14ac:dyDescent="0.3">
      <c r="A757" s="4">
        <v>1045</v>
      </c>
      <c r="B757" s="4" t="s">
        <v>43</v>
      </c>
      <c r="C757" s="4">
        <v>45</v>
      </c>
      <c r="D757" s="4" t="s">
        <v>37</v>
      </c>
      <c r="E757" s="4" t="s">
        <v>56</v>
      </c>
      <c r="F757" s="4">
        <v>17650</v>
      </c>
      <c r="G757" s="4" t="s">
        <v>43</v>
      </c>
      <c r="H757" s="4">
        <v>9</v>
      </c>
      <c r="I757" s="4">
        <v>1</v>
      </c>
      <c r="J757" s="4">
        <v>4</v>
      </c>
      <c r="K757" s="4">
        <v>4</v>
      </c>
      <c r="L757" s="4" t="str">
        <f t="shared" si="15"/>
        <v>NORMAL</v>
      </c>
      <c r="M757" s="4" t="str">
        <f t="shared" si="16"/>
        <v>MEDIUM</v>
      </c>
      <c r="N757" s="4" t="str">
        <f t="shared" si="17"/>
        <v>SENIOR</v>
      </c>
      <c r="O757" s="4" t="str">
        <f t="shared" si="18"/>
        <v>RECENTLY PROMOTED</v>
      </c>
      <c r="P757" s="5" t="str">
        <f t="shared" si="19"/>
        <v>Low_Pressure</v>
      </c>
      <c r="Q757" s="4" t="str">
        <f t="shared" si="20"/>
        <v>HIGHLY_ENGAGED</v>
      </c>
      <c r="R757" s="4" t="str">
        <f t="shared" si="21"/>
        <v>LOW</v>
      </c>
      <c r="S757" s="2"/>
      <c r="T757" s="2"/>
      <c r="U757" s="2"/>
      <c r="V757" s="2"/>
      <c r="W757" s="2"/>
      <c r="X757" s="2"/>
      <c r="Y757" s="2"/>
      <c r="Z757" s="2"/>
    </row>
    <row r="758" spans="1:26" ht="16.8" x14ac:dyDescent="0.3">
      <c r="A758" s="4">
        <v>1046</v>
      </c>
      <c r="B758" s="4" t="s">
        <v>43</v>
      </c>
      <c r="C758" s="4">
        <v>32</v>
      </c>
      <c r="D758" s="4" t="s">
        <v>45</v>
      </c>
      <c r="E758" s="4" t="s">
        <v>50</v>
      </c>
      <c r="F758" s="4">
        <v>4025</v>
      </c>
      <c r="G758" s="4" t="s">
        <v>43</v>
      </c>
      <c r="H758" s="4">
        <v>8</v>
      </c>
      <c r="I758" s="4">
        <v>7</v>
      </c>
      <c r="J758" s="4">
        <v>3</v>
      </c>
      <c r="K758" s="4">
        <v>3</v>
      </c>
      <c r="L758" s="4" t="str">
        <f t="shared" si="15"/>
        <v>NORMAL</v>
      </c>
      <c r="M758" s="4" t="str">
        <f t="shared" si="16"/>
        <v>HIGH</v>
      </c>
      <c r="N758" s="4" t="str">
        <f t="shared" si="17"/>
        <v>SENIOR</v>
      </c>
      <c r="O758" s="4" t="str">
        <f t="shared" si="18"/>
        <v>STAGNANT</v>
      </c>
      <c r="P758" s="5" t="str">
        <f t="shared" si="19"/>
        <v>Medium_Pressure</v>
      </c>
      <c r="Q758" s="4" t="str">
        <f t="shared" si="20"/>
        <v>HIGHLY_ENGAGED</v>
      </c>
      <c r="R758" s="4" t="str">
        <f t="shared" si="21"/>
        <v>LOW</v>
      </c>
      <c r="S758" s="2"/>
      <c r="T758" s="2"/>
      <c r="U758" s="2"/>
      <c r="V758" s="2"/>
      <c r="W758" s="2"/>
      <c r="X758" s="2"/>
      <c r="Y758" s="2"/>
      <c r="Z758" s="2"/>
    </row>
    <row r="759" spans="1:26" ht="16.8" x14ac:dyDescent="0.3">
      <c r="A759" s="4">
        <v>1047</v>
      </c>
      <c r="B759" s="4" t="s">
        <v>43</v>
      </c>
      <c r="C759" s="4">
        <v>34</v>
      </c>
      <c r="D759" s="4" t="s">
        <v>37</v>
      </c>
      <c r="E759" s="4" t="s">
        <v>40</v>
      </c>
      <c r="F759" s="4">
        <v>9725</v>
      </c>
      <c r="G759" s="4" t="s">
        <v>43</v>
      </c>
      <c r="H759" s="4">
        <v>15</v>
      </c>
      <c r="I759" s="4">
        <v>0</v>
      </c>
      <c r="J759" s="4">
        <v>4</v>
      </c>
      <c r="K759" s="4">
        <v>2</v>
      </c>
      <c r="L759" s="4" t="str">
        <f t="shared" si="15"/>
        <v>NORMAL</v>
      </c>
      <c r="M759" s="4" t="str">
        <f t="shared" si="16"/>
        <v>MEDIUM</v>
      </c>
      <c r="N759" s="4" t="str">
        <f t="shared" si="17"/>
        <v>SENIOR</v>
      </c>
      <c r="O759" s="4" t="str">
        <f t="shared" si="18"/>
        <v>RECENTLY PROMOTED</v>
      </c>
      <c r="P759" s="5" t="str">
        <f t="shared" si="19"/>
        <v>Low_Pressure</v>
      </c>
      <c r="Q759" s="4" t="str">
        <f t="shared" si="20"/>
        <v>DISENGAGED</v>
      </c>
      <c r="R759" s="4" t="str">
        <f t="shared" si="21"/>
        <v>LOW</v>
      </c>
      <c r="S759" s="2"/>
      <c r="T759" s="2"/>
      <c r="U759" s="2"/>
      <c r="V759" s="2"/>
      <c r="W759" s="2"/>
      <c r="X759" s="2"/>
      <c r="Y759" s="2"/>
      <c r="Z759" s="2"/>
    </row>
    <row r="760" spans="1:26" ht="16.8" x14ac:dyDescent="0.3">
      <c r="A760" s="4">
        <v>1048</v>
      </c>
      <c r="B760" s="4" t="s">
        <v>43</v>
      </c>
      <c r="C760" s="4">
        <v>59</v>
      </c>
      <c r="D760" s="4" t="s">
        <v>37</v>
      </c>
      <c r="E760" s="4" t="s">
        <v>56</v>
      </c>
      <c r="F760" s="4">
        <v>11904</v>
      </c>
      <c r="G760" s="4" t="s">
        <v>35</v>
      </c>
      <c r="H760" s="4">
        <v>6</v>
      </c>
      <c r="I760" s="4">
        <v>0</v>
      </c>
      <c r="J760" s="4">
        <v>4</v>
      </c>
      <c r="K760" s="4">
        <v>1</v>
      </c>
      <c r="L760" s="4" t="str">
        <f t="shared" si="15"/>
        <v>NORMAL</v>
      </c>
      <c r="M760" s="4" t="str">
        <f t="shared" si="16"/>
        <v>MEDIUM</v>
      </c>
      <c r="N760" s="4" t="str">
        <f t="shared" si="17"/>
        <v>MID</v>
      </c>
      <c r="O760" s="4" t="str">
        <f t="shared" si="18"/>
        <v>RECENTLY PROMOTED</v>
      </c>
      <c r="P760" s="5" t="str">
        <f t="shared" si="19"/>
        <v>High_Pressure</v>
      </c>
      <c r="Q760" s="4" t="str">
        <f t="shared" si="20"/>
        <v>DISENGAGED</v>
      </c>
      <c r="R760" s="4" t="str">
        <f t="shared" si="21"/>
        <v>LOW</v>
      </c>
      <c r="S760" s="2"/>
      <c r="T760" s="2"/>
      <c r="U760" s="2"/>
      <c r="V760" s="2"/>
      <c r="W760" s="2"/>
      <c r="X760" s="2"/>
      <c r="Y760" s="2"/>
      <c r="Z760" s="2"/>
    </row>
    <row r="761" spans="1:26" ht="16.8" x14ac:dyDescent="0.3">
      <c r="A761" s="4">
        <v>1049</v>
      </c>
      <c r="B761" s="4" t="s">
        <v>43</v>
      </c>
      <c r="C761" s="4">
        <v>45</v>
      </c>
      <c r="D761" s="4" t="s">
        <v>61</v>
      </c>
      <c r="E761" s="4" t="s">
        <v>61</v>
      </c>
      <c r="F761" s="4">
        <v>2177</v>
      </c>
      <c r="G761" s="4" t="s">
        <v>43</v>
      </c>
      <c r="H761" s="4">
        <v>6</v>
      </c>
      <c r="I761" s="4">
        <v>0</v>
      </c>
      <c r="J761" s="4">
        <v>2</v>
      </c>
      <c r="K761" s="4">
        <v>3</v>
      </c>
      <c r="L761" s="4" t="str">
        <f t="shared" si="15"/>
        <v>NORMAL</v>
      </c>
      <c r="M761" s="4" t="str">
        <f t="shared" si="16"/>
        <v>LOW</v>
      </c>
      <c r="N761" s="4" t="str">
        <f t="shared" si="17"/>
        <v>MID</v>
      </c>
      <c r="O761" s="4" t="str">
        <f t="shared" si="18"/>
        <v>RECENTLY PROMOTED</v>
      </c>
      <c r="P761" s="5" t="str">
        <f t="shared" si="19"/>
        <v>Medium_Pressure</v>
      </c>
      <c r="Q761" s="4" t="str">
        <f t="shared" si="20"/>
        <v>DISENGAGED</v>
      </c>
      <c r="R761" s="4" t="str">
        <f t="shared" si="21"/>
        <v>LOW</v>
      </c>
      <c r="S761" s="2"/>
      <c r="T761" s="2"/>
      <c r="U761" s="2"/>
      <c r="V761" s="2"/>
      <c r="W761" s="2"/>
      <c r="X761" s="2"/>
      <c r="Y761" s="2"/>
      <c r="Z761" s="2"/>
    </row>
    <row r="762" spans="1:26" ht="16.8" x14ac:dyDescent="0.3">
      <c r="A762" s="4">
        <v>1050</v>
      </c>
      <c r="B762" s="4" t="s">
        <v>43</v>
      </c>
      <c r="C762" s="4">
        <v>53</v>
      </c>
      <c r="D762" s="4" t="s">
        <v>37</v>
      </c>
      <c r="E762" s="4" t="s">
        <v>40</v>
      </c>
      <c r="F762" s="4">
        <v>7525</v>
      </c>
      <c r="G762" s="4" t="s">
        <v>43</v>
      </c>
      <c r="H762" s="4">
        <v>15</v>
      </c>
      <c r="I762" s="4">
        <v>6</v>
      </c>
      <c r="J762" s="4">
        <v>2</v>
      </c>
      <c r="K762" s="4">
        <v>3</v>
      </c>
      <c r="L762" s="4" t="str">
        <f t="shared" si="15"/>
        <v>NORMAL</v>
      </c>
      <c r="M762" s="4" t="str">
        <f t="shared" si="16"/>
        <v>HIGH</v>
      </c>
      <c r="N762" s="4" t="str">
        <f t="shared" si="17"/>
        <v>SENIOR</v>
      </c>
      <c r="O762" s="4" t="str">
        <f t="shared" si="18"/>
        <v>STAGNANT</v>
      </c>
      <c r="P762" s="5" t="str">
        <f t="shared" si="19"/>
        <v>Medium_Pressure</v>
      </c>
      <c r="Q762" s="4" t="str">
        <f t="shared" si="20"/>
        <v>DISENGAGED</v>
      </c>
      <c r="R762" s="4" t="str">
        <f t="shared" si="21"/>
        <v>LOW</v>
      </c>
      <c r="S762" s="2"/>
      <c r="T762" s="2"/>
      <c r="U762" s="2"/>
      <c r="V762" s="2"/>
      <c r="W762" s="2"/>
      <c r="X762" s="2"/>
      <c r="Y762" s="2"/>
      <c r="Z762" s="2"/>
    </row>
    <row r="763" spans="1:26" ht="16.8" x14ac:dyDescent="0.3">
      <c r="A763" s="4">
        <v>1052</v>
      </c>
      <c r="B763" s="4" t="s">
        <v>35</v>
      </c>
      <c r="C763" s="4">
        <v>36</v>
      </c>
      <c r="D763" s="4" t="s">
        <v>45</v>
      </c>
      <c r="E763" s="4" t="s">
        <v>50</v>
      </c>
      <c r="F763" s="4">
        <v>4834</v>
      </c>
      <c r="G763" s="4" t="s">
        <v>43</v>
      </c>
      <c r="H763" s="4">
        <v>1</v>
      </c>
      <c r="I763" s="4">
        <v>0</v>
      </c>
      <c r="J763" s="4">
        <v>3</v>
      </c>
      <c r="K763" s="4">
        <v>2</v>
      </c>
      <c r="L763" s="4" t="str">
        <f t="shared" si="15"/>
        <v>NORMAL</v>
      </c>
      <c r="M763" s="4" t="str">
        <f t="shared" si="16"/>
        <v>HIGH</v>
      </c>
      <c r="N763" s="4" t="str">
        <f t="shared" si="17"/>
        <v>NEW</v>
      </c>
      <c r="O763" s="4" t="str">
        <f t="shared" si="18"/>
        <v>RECENTLY PROMOTED</v>
      </c>
      <c r="P763" s="5" t="str">
        <f t="shared" si="19"/>
        <v>Low_Pressure</v>
      </c>
      <c r="Q763" s="4" t="str">
        <f t="shared" si="20"/>
        <v>DISENGAGED</v>
      </c>
      <c r="R763" s="4" t="str">
        <f t="shared" si="21"/>
        <v>LOW</v>
      </c>
      <c r="S763" s="2"/>
      <c r="T763" s="2"/>
      <c r="U763" s="2"/>
      <c r="V763" s="2"/>
      <c r="W763" s="2"/>
      <c r="X763" s="2"/>
      <c r="Y763" s="2"/>
      <c r="Z763" s="2"/>
    </row>
    <row r="764" spans="1:26" ht="16.8" x14ac:dyDescent="0.3">
      <c r="A764" s="4">
        <v>1053</v>
      </c>
      <c r="B764" s="4" t="s">
        <v>35</v>
      </c>
      <c r="C764" s="4">
        <v>26</v>
      </c>
      <c r="D764" s="4" t="s">
        <v>45</v>
      </c>
      <c r="E764" s="4" t="s">
        <v>47</v>
      </c>
      <c r="F764" s="4">
        <v>2042</v>
      </c>
      <c r="G764" s="4" t="s">
        <v>35</v>
      </c>
      <c r="H764" s="4">
        <v>3</v>
      </c>
      <c r="I764" s="4">
        <v>1</v>
      </c>
      <c r="J764" s="4">
        <v>1</v>
      </c>
      <c r="K764" s="4">
        <v>3</v>
      </c>
      <c r="L764" s="4" t="str">
        <f t="shared" si="15"/>
        <v>NORMAL</v>
      </c>
      <c r="M764" s="4" t="str">
        <f t="shared" si="16"/>
        <v>LOW</v>
      </c>
      <c r="N764" s="4" t="str">
        <f t="shared" si="17"/>
        <v>MID</v>
      </c>
      <c r="O764" s="4" t="str">
        <f t="shared" si="18"/>
        <v>RECENTLY PROMOTED</v>
      </c>
      <c r="P764" s="5" t="str">
        <f t="shared" si="19"/>
        <v>Medium_Pressure</v>
      </c>
      <c r="Q764" s="4" t="str">
        <f t="shared" si="20"/>
        <v>DISENGAGED</v>
      </c>
      <c r="R764" s="4" t="str">
        <f t="shared" si="21"/>
        <v>LOW</v>
      </c>
      <c r="S764" s="2"/>
      <c r="T764" s="2"/>
      <c r="U764" s="2"/>
      <c r="V764" s="2"/>
      <c r="W764" s="2"/>
      <c r="X764" s="2"/>
      <c r="Y764" s="2"/>
      <c r="Z764" s="2"/>
    </row>
    <row r="765" spans="1:26" ht="16.8" x14ac:dyDescent="0.3">
      <c r="A765" s="4">
        <v>1055</v>
      </c>
      <c r="B765" s="4" t="s">
        <v>43</v>
      </c>
      <c r="C765" s="4">
        <v>34</v>
      </c>
      <c r="D765" s="4" t="s">
        <v>37</v>
      </c>
      <c r="E765" s="4" t="s">
        <v>57</v>
      </c>
      <c r="F765" s="4">
        <v>2220</v>
      </c>
      <c r="G765" s="4" t="s">
        <v>35</v>
      </c>
      <c r="H765" s="4">
        <v>1</v>
      </c>
      <c r="I765" s="4">
        <v>0</v>
      </c>
      <c r="J765" s="4">
        <v>3</v>
      </c>
      <c r="K765" s="4">
        <v>3</v>
      </c>
      <c r="L765" s="4" t="str">
        <f t="shared" si="15"/>
        <v>NORMAL</v>
      </c>
      <c r="M765" s="4" t="str">
        <f t="shared" si="16"/>
        <v>LOW</v>
      </c>
      <c r="N765" s="4" t="str">
        <f t="shared" si="17"/>
        <v>NEW</v>
      </c>
      <c r="O765" s="4" t="str">
        <f t="shared" si="18"/>
        <v>RECENTLY PROMOTED</v>
      </c>
      <c r="P765" s="5" t="str">
        <f t="shared" si="19"/>
        <v>Medium_Pressure</v>
      </c>
      <c r="Q765" s="4" t="str">
        <f t="shared" si="20"/>
        <v>HIGHLY_ENGAGED</v>
      </c>
      <c r="R765" s="4" t="str">
        <f t="shared" si="21"/>
        <v>LOW</v>
      </c>
      <c r="S765" s="2"/>
      <c r="T765" s="2"/>
      <c r="U765" s="2"/>
      <c r="V765" s="2"/>
      <c r="W765" s="2"/>
      <c r="X765" s="2"/>
      <c r="Y765" s="2"/>
      <c r="Z765" s="2"/>
    </row>
    <row r="766" spans="1:26" ht="16.8" x14ac:dyDescent="0.3">
      <c r="A766" s="4">
        <v>1056</v>
      </c>
      <c r="B766" s="4" t="s">
        <v>43</v>
      </c>
      <c r="C766" s="4">
        <v>28</v>
      </c>
      <c r="D766" s="4" t="s">
        <v>37</v>
      </c>
      <c r="E766" s="4" t="s">
        <v>57</v>
      </c>
      <c r="F766" s="4">
        <v>1052</v>
      </c>
      <c r="G766" s="4" t="s">
        <v>43</v>
      </c>
      <c r="H766" s="4">
        <v>1</v>
      </c>
      <c r="I766" s="4">
        <v>0</v>
      </c>
      <c r="J766" s="4">
        <v>2</v>
      </c>
      <c r="K766" s="4">
        <v>3</v>
      </c>
      <c r="L766" s="4" t="str">
        <f t="shared" si="15"/>
        <v>NORMAL</v>
      </c>
      <c r="M766" s="4" t="str">
        <f t="shared" si="16"/>
        <v>LOW</v>
      </c>
      <c r="N766" s="4" t="str">
        <f t="shared" si="17"/>
        <v>NEW</v>
      </c>
      <c r="O766" s="4" t="str">
        <f t="shared" si="18"/>
        <v>RECENTLY PROMOTED</v>
      </c>
      <c r="P766" s="5" t="str">
        <f t="shared" si="19"/>
        <v>Medium_Pressure</v>
      </c>
      <c r="Q766" s="4" t="str">
        <f t="shared" si="20"/>
        <v>DISENGAGED</v>
      </c>
      <c r="R766" s="4" t="str">
        <f t="shared" si="21"/>
        <v>LOW</v>
      </c>
      <c r="S766" s="2"/>
      <c r="T766" s="2"/>
      <c r="U766" s="2"/>
      <c r="V766" s="2"/>
      <c r="W766" s="2"/>
      <c r="X766" s="2"/>
      <c r="Y766" s="2"/>
      <c r="Z766" s="2"/>
    </row>
    <row r="767" spans="1:26" ht="16.8" x14ac:dyDescent="0.3">
      <c r="A767" s="4">
        <v>1060</v>
      </c>
      <c r="B767" s="4" t="s">
        <v>43</v>
      </c>
      <c r="C767" s="4">
        <v>38</v>
      </c>
      <c r="D767" s="4" t="s">
        <v>45</v>
      </c>
      <c r="E767" s="4" t="s">
        <v>47</v>
      </c>
      <c r="F767" s="4">
        <v>2821</v>
      </c>
      <c r="G767" s="4" t="s">
        <v>43</v>
      </c>
      <c r="H767" s="4">
        <v>2</v>
      </c>
      <c r="I767" s="4">
        <v>2</v>
      </c>
      <c r="J767" s="4">
        <v>3</v>
      </c>
      <c r="K767" s="4">
        <v>3</v>
      </c>
      <c r="L767" s="4" t="str">
        <f t="shared" ref="L767:L1021" si="22">IF(AND(G767="YES",J767&lt;=2,I767&gt;=3),"HIGH RISK","NORMAL")</f>
        <v>NORMAL</v>
      </c>
      <c r="M767" s="4" t="str">
        <f t="shared" ref="M767:M1021" si="23">IF(F767&lt;=4000,"LOW",IF(F767&gt;9000,"MEDIUM","HIGH"))</f>
        <v>LOW</v>
      </c>
      <c r="N767" s="4" t="str">
        <f t="shared" ref="N767:N1021" si="24">IF(H767&lt;=2,"NEW",IF(H767&lt;=6,"MID","SENIOR"))</f>
        <v>NEW</v>
      </c>
      <c r="O767" s="4" t="str">
        <f t="shared" ref="O767:O1021" si="25">IF(I767&lt;=1,"RECENTLY PROMOTED",IF(I767&lt;=3,"MODERATE-WAIT","STAGNANT"))</f>
        <v>MODERATE-WAIT</v>
      </c>
      <c r="P767" s="5" t="str">
        <f t="shared" ref="P767:P1021" si="26">IF(AND(G767="Yes",K767&lt;=2),"High_Pressure",
 IF(OR(G767="Yes",K767=3),"Medium_Pressure",
 "Low_Pressure"))</f>
        <v>Medium_Pressure</v>
      </c>
      <c r="Q767" s="4" t="str">
        <f t="shared" ref="Q767:Q1021" si="27">IF(AND(J767&gt;=3,K767&gt;=3,L767&gt;=3),
"HIGHLY_ENGAGED",
IF(OR(J767&lt;=2,K767&lt;=2,L767&lt;=2),
"DISENGAGED",
"MODERATELY_ENGAGED"))</f>
        <v>HIGHLY_ENGAGED</v>
      </c>
      <c r="R767" s="4" t="str">
        <f t="shared" si="21"/>
        <v>LOW</v>
      </c>
      <c r="S767" s="2"/>
      <c r="T767" s="2"/>
      <c r="U767" s="2"/>
      <c r="V767" s="2"/>
      <c r="W767" s="2"/>
      <c r="X767" s="2"/>
      <c r="Y767" s="2"/>
      <c r="Z767" s="2"/>
    </row>
    <row r="768" spans="1:26" ht="16.8" x14ac:dyDescent="0.3">
      <c r="A768" s="4">
        <v>1061</v>
      </c>
      <c r="B768" s="4" t="s">
        <v>43</v>
      </c>
      <c r="C768" s="4">
        <v>50</v>
      </c>
      <c r="D768" s="4" t="s">
        <v>45</v>
      </c>
      <c r="E768" s="4" t="s">
        <v>58</v>
      </c>
      <c r="F768" s="4">
        <v>19237</v>
      </c>
      <c r="G768" s="4" t="s">
        <v>35</v>
      </c>
      <c r="H768" s="4">
        <v>8</v>
      </c>
      <c r="I768" s="4">
        <v>7</v>
      </c>
      <c r="J768" s="4">
        <v>3</v>
      </c>
      <c r="K768" s="4">
        <v>2</v>
      </c>
      <c r="L768" s="4" t="str">
        <f t="shared" si="22"/>
        <v>NORMAL</v>
      </c>
      <c r="M768" s="4" t="str">
        <f t="shared" si="23"/>
        <v>MEDIUM</v>
      </c>
      <c r="N768" s="4" t="str">
        <f t="shared" si="24"/>
        <v>SENIOR</v>
      </c>
      <c r="O768" s="4" t="str">
        <f t="shared" si="25"/>
        <v>STAGNANT</v>
      </c>
      <c r="P768" s="5" t="str">
        <f t="shared" si="26"/>
        <v>High_Pressure</v>
      </c>
      <c r="Q768" s="4" t="str">
        <f t="shared" si="27"/>
        <v>DISENGAGED</v>
      </c>
      <c r="R768" s="4" t="str">
        <f t="shared" si="21"/>
        <v>LOW</v>
      </c>
      <c r="S768" s="2"/>
      <c r="T768" s="2"/>
      <c r="U768" s="2"/>
      <c r="V768" s="2"/>
      <c r="W768" s="2"/>
      <c r="X768" s="2"/>
      <c r="Y768" s="2"/>
      <c r="Z768" s="2"/>
    </row>
    <row r="769" spans="1:26" ht="16.8" x14ac:dyDescent="0.3">
      <c r="A769" s="4">
        <v>1062</v>
      </c>
      <c r="B769" s="4" t="s">
        <v>43</v>
      </c>
      <c r="C769" s="4">
        <v>37</v>
      </c>
      <c r="D769" s="4" t="s">
        <v>45</v>
      </c>
      <c r="E769" s="4" t="s">
        <v>54</v>
      </c>
      <c r="F769" s="4">
        <v>4107</v>
      </c>
      <c r="G769" s="4" t="s">
        <v>43</v>
      </c>
      <c r="H769" s="4">
        <v>4</v>
      </c>
      <c r="I769" s="4">
        <v>0</v>
      </c>
      <c r="J769" s="4">
        <v>2</v>
      </c>
      <c r="K769" s="4">
        <v>2</v>
      </c>
      <c r="L769" s="4" t="str">
        <f t="shared" si="22"/>
        <v>NORMAL</v>
      </c>
      <c r="M769" s="4" t="str">
        <f t="shared" si="23"/>
        <v>HIGH</v>
      </c>
      <c r="N769" s="4" t="str">
        <f t="shared" si="24"/>
        <v>MID</v>
      </c>
      <c r="O769" s="4" t="str">
        <f t="shared" si="25"/>
        <v>RECENTLY PROMOTED</v>
      </c>
      <c r="P769" s="5" t="str">
        <f t="shared" si="26"/>
        <v>Low_Pressure</v>
      </c>
      <c r="Q769" s="4" t="str">
        <f t="shared" si="27"/>
        <v>DISENGAGED</v>
      </c>
      <c r="R769" s="4" t="str">
        <f t="shared" si="21"/>
        <v>LOW</v>
      </c>
      <c r="S769" s="2"/>
      <c r="T769" s="2"/>
      <c r="U769" s="2"/>
      <c r="V769" s="2"/>
      <c r="W769" s="2"/>
      <c r="X769" s="2"/>
      <c r="Y769" s="2"/>
      <c r="Z769" s="2"/>
    </row>
    <row r="770" spans="1:26" ht="16.8" x14ac:dyDescent="0.3">
      <c r="A770" s="4">
        <v>1066</v>
      </c>
      <c r="B770" s="4" t="s">
        <v>43</v>
      </c>
      <c r="C770" s="4">
        <v>40</v>
      </c>
      <c r="D770" s="4" t="s">
        <v>37</v>
      </c>
      <c r="E770" s="4" t="s">
        <v>40</v>
      </c>
      <c r="F770" s="4">
        <v>8396</v>
      </c>
      <c r="G770" s="4" t="s">
        <v>43</v>
      </c>
      <c r="H770" s="4">
        <v>7</v>
      </c>
      <c r="I770" s="4">
        <v>7</v>
      </c>
      <c r="J770" s="4">
        <v>1</v>
      </c>
      <c r="K770" s="4">
        <v>2</v>
      </c>
      <c r="L770" s="4" t="str">
        <f t="shared" si="22"/>
        <v>NORMAL</v>
      </c>
      <c r="M770" s="4" t="str">
        <f t="shared" si="23"/>
        <v>HIGH</v>
      </c>
      <c r="N770" s="4" t="str">
        <f t="shared" si="24"/>
        <v>SENIOR</v>
      </c>
      <c r="O770" s="4" t="str">
        <f t="shared" si="25"/>
        <v>STAGNANT</v>
      </c>
      <c r="P770" s="5" t="str">
        <f t="shared" si="26"/>
        <v>Low_Pressure</v>
      </c>
      <c r="Q770" s="4" t="str">
        <f t="shared" si="27"/>
        <v>DISENGAGED</v>
      </c>
      <c r="R770" s="4" t="str">
        <f t="shared" si="21"/>
        <v>LOW</v>
      </c>
      <c r="S770" s="2"/>
      <c r="T770" s="2"/>
      <c r="U770" s="2"/>
      <c r="V770" s="2"/>
      <c r="W770" s="2"/>
      <c r="X770" s="2"/>
      <c r="Y770" s="2"/>
      <c r="Z770" s="2"/>
    </row>
    <row r="771" spans="1:26" ht="16.8" x14ac:dyDescent="0.3">
      <c r="A771" s="4">
        <v>1068</v>
      </c>
      <c r="B771" s="4" t="s">
        <v>43</v>
      </c>
      <c r="C771" s="4">
        <v>26</v>
      </c>
      <c r="D771" s="4" t="s">
        <v>45</v>
      </c>
      <c r="E771" s="4" t="s">
        <v>47</v>
      </c>
      <c r="F771" s="4">
        <v>2007</v>
      </c>
      <c r="G771" s="4" t="s">
        <v>43</v>
      </c>
      <c r="H771" s="4">
        <v>5</v>
      </c>
      <c r="I771" s="4">
        <v>1</v>
      </c>
      <c r="J771" s="4">
        <v>3</v>
      </c>
      <c r="K771" s="4">
        <v>3</v>
      </c>
      <c r="L771" s="4" t="str">
        <f t="shared" si="22"/>
        <v>NORMAL</v>
      </c>
      <c r="M771" s="4" t="str">
        <f t="shared" si="23"/>
        <v>LOW</v>
      </c>
      <c r="N771" s="4" t="str">
        <f t="shared" si="24"/>
        <v>MID</v>
      </c>
      <c r="O771" s="4" t="str">
        <f t="shared" si="25"/>
        <v>RECENTLY PROMOTED</v>
      </c>
      <c r="P771" s="5" t="str">
        <f t="shared" si="26"/>
        <v>Medium_Pressure</v>
      </c>
      <c r="Q771" s="4" t="str">
        <f t="shared" si="27"/>
        <v>HIGHLY_ENGAGED</v>
      </c>
      <c r="R771" s="4" t="str">
        <f t="shared" si="21"/>
        <v>LOW</v>
      </c>
      <c r="S771" s="2"/>
      <c r="T771" s="2"/>
      <c r="U771" s="2"/>
      <c r="V771" s="2"/>
      <c r="W771" s="2"/>
      <c r="X771" s="2"/>
      <c r="Y771" s="2"/>
      <c r="Z771" s="2"/>
    </row>
    <row r="772" spans="1:26" ht="16.8" x14ac:dyDescent="0.3">
      <c r="A772" s="4">
        <v>1069</v>
      </c>
      <c r="B772" s="4" t="s">
        <v>43</v>
      </c>
      <c r="C772" s="4">
        <v>46</v>
      </c>
      <c r="D772" s="4" t="s">
        <v>45</v>
      </c>
      <c r="E772" s="4" t="s">
        <v>58</v>
      </c>
      <c r="F772" s="4">
        <v>19627</v>
      </c>
      <c r="G772" s="4" t="s">
        <v>43</v>
      </c>
      <c r="H772" s="4">
        <v>2</v>
      </c>
      <c r="I772" s="4">
        <v>2</v>
      </c>
      <c r="J772" s="4">
        <v>4</v>
      </c>
      <c r="K772" s="4">
        <v>3</v>
      </c>
      <c r="L772" s="4" t="str">
        <f t="shared" si="22"/>
        <v>NORMAL</v>
      </c>
      <c r="M772" s="4" t="str">
        <f t="shared" si="23"/>
        <v>MEDIUM</v>
      </c>
      <c r="N772" s="4" t="str">
        <f t="shared" si="24"/>
        <v>NEW</v>
      </c>
      <c r="O772" s="4" t="str">
        <f t="shared" si="25"/>
        <v>MODERATE-WAIT</v>
      </c>
      <c r="P772" s="5" t="str">
        <f t="shared" si="26"/>
        <v>Medium_Pressure</v>
      </c>
      <c r="Q772" s="4" t="str">
        <f t="shared" si="27"/>
        <v>HIGHLY_ENGAGED</v>
      </c>
      <c r="R772" s="4" t="str">
        <f t="shared" si="21"/>
        <v>LOW</v>
      </c>
      <c r="S772" s="2"/>
      <c r="T772" s="2"/>
      <c r="U772" s="2"/>
      <c r="V772" s="2"/>
      <c r="W772" s="2"/>
      <c r="X772" s="2"/>
      <c r="Y772" s="2"/>
      <c r="Z772" s="2"/>
    </row>
    <row r="773" spans="1:26" ht="16.8" x14ac:dyDescent="0.3">
      <c r="A773" s="4">
        <v>1070</v>
      </c>
      <c r="B773" s="4" t="s">
        <v>43</v>
      </c>
      <c r="C773" s="4">
        <v>54</v>
      </c>
      <c r="D773" s="4" t="s">
        <v>37</v>
      </c>
      <c r="E773" s="4" t="s">
        <v>40</v>
      </c>
      <c r="F773" s="4">
        <v>10686</v>
      </c>
      <c r="G773" s="4" t="s">
        <v>43</v>
      </c>
      <c r="H773" s="4">
        <v>9</v>
      </c>
      <c r="I773" s="4">
        <v>7</v>
      </c>
      <c r="J773" s="4">
        <v>3</v>
      </c>
      <c r="K773" s="4">
        <v>3</v>
      </c>
      <c r="L773" s="4" t="str">
        <f t="shared" si="22"/>
        <v>NORMAL</v>
      </c>
      <c r="M773" s="4" t="str">
        <f t="shared" si="23"/>
        <v>MEDIUM</v>
      </c>
      <c r="N773" s="4" t="str">
        <f t="shared" si="24"/>
        <v>SENIOR</v>
      </c>
      <c r="O773" s="4" t="str">
        <f t="shared" si="25"/>
        <v>STAGNANT</v>
      </c>
      <c r="P773" s="5" t="str">
        <f t="shared" si="26"/>
        <v>Medium_Pressure</v>
      </c>
      <c r="Q773" s="4" t="str">
        <f t="shared" si="27"/>
        <v>HIGHLY_ENGAGED</v>
      </c>
      <c r="R773" s="4" t="str">
        <f t="shared" si="21"/>
        <v>LOW</v>
      </c>
      <c r="S773" s="2"/>
      <c r="T773" s="2"/>
      <c r="U773" s="2"/>
      <c r="V773" s="2"/>
      <c r="W773" s="2"/>
      <c r="X773" s="2"/>
      <c r="Y773" s="2"/>
      <c r="Z773" s="2"/>
    </row>
    <row r="774" spans="1:26" ht="16.8" x14ac:dyDescent="0.3">
      <c r="A774" s="4">
        <v>1071</v>
      </c>
      <c r="B774" s="4" t="s">
        <v>43</v>
      </c>
      <c r="C774" s="4">
        <v>56</v>
      </c>
      <c r="D774" s="4" t="s">
        <v>45</v>
      </c>
      <c r="E774" s="4" t="s">
        <v>47</v>
      </c>
      <c r="F774" s="4">
        <v>2942</v>
      </c>
      <c r="G774" s="4" t="s">
        <v>43</v>
      </c>
      <c r="H774" s="4">
        <v>5</v>
      </c>
      <c r="I774" s="4">
        <v>0</v>
      </c>
      <c r="J774" s="4">
        <v>3</v>
      </c>
      <c r="K774" s="4">
        <v>3</v>
      </c>
      <c r="L774" s="4" t="str">
        <f t="shared" si="22"/>
        <v>NORMAL</v>
      </c>
      <c r="M774" s="4" t="str">
        <f t="shared" si="23"/>
        <v>LOW</v>
      </c>
      <c r="N774" s="4" t="str">
        <f t="shared" si="24"/>
        <v>MID</v>
      </c>
      <c r="O774" s="4" t="str">
        <f t="shared" si="25"/>
        <v>RECENTLY PROMOTED</v>
      </c>
      <c r="P774" s="5" t="str">
        <f t="shared" si="26"/>
        <v>Medium_Pressure</v>
      </c>
      <c r="Q774" s="4" t="str">
        <f t="shared" si="27"/>
        <v>HIGHLY_ENGAGED</v>
      </c>
      <c r="R774" s="4" t="str">
        <f t="shared" si="21"/>
        <v>LOW</v>
      </c>
      <c r="S774" s="2"/>
      <c r="T774" s="2"/>
      <c r="U774" s="2"/>
      <c r="V774" s="2"/>
      <c r="W774" s="2"/>
      <c r="X774" s="2"/>
      <c r="Y774" s="2"/>
      <c r="Z774" s="2"/>
    </row>
    <row r="775" spans="1:26" ht="16.8" x14ac:dyDescent="0.3">
      <c r="A775" s="4">
        <v>1073</v>
      </c>
      <c r="B775" s="4" t="s">
        <v>43</v>
      </c>
      <c r="C775" s="4">
        <v>36</v>
      </c>
      <c r="D775" s="4" t="s">
        <v>45</v>
      </c>
      <c r="E775" s="4" t="s">
        <v>53</v>
      </c>
      <c r="F775" s="4">
        <v>8858</v>
      </c>
      <c r="G775" s="4" t="s">
        <v>43</v>
      </c>
      <c r="H775" s="4">
        <v>14</v>
      </c>
      <c r="I775" s="4">
        <v>7</v>
      </c>
      <c r="J775" s="4">
        <v>4</v>
      </c>
      <c r="K775" s="4">
        <v>2</v>
      </c>
      <c r="L775" s="4" t="str">
        <f t="shared" si="22"/>
        <v>NORMAL</v>
      </c>
      <c r="M775" s="4" t="str">
        <f t="shared" si="23"/>
        <v>HIGH</v>
      </c>
      <c r="N775" s="4" t="str">
        <f t="shared" si="24"/>
        <v>SENIOR</v>
      </c>
      <c r="O775" s="4" t="str">
        <f t="shared" si="25"/>
        <v>STAGNANT</v>
      </c>
      <c r="P775" s="5" t="str">
        <f t="shared" si="26"/>
        <v>Low_Pressure</v>
      </c>
      <c r="Q775" s="4" t="str">
        <f t="shared" si="27"/>
        <v>DISENGAGED</v>
      </c>
      <c r="R775" s="4" t="str">
        <f t="shared" si="21"/>
        <v>LOW</v>
      </c>
      <c r="S775" s="2"/>
      <c r="T775" s="2"/>
      <c r="U775" s="2"/>
      <c r="V775" s="2"/>
      <c r="W775" s="2"/>
      <c r="X775" s="2"/>
      <c r="Y775" s="2"/>
      <c r="Z775" s="2"/>
    </row>
    <row r="776" spans="1:26" ht="16.8" x14ac:dyDescent="0.3">
      <c r="A776" s="4">
        <v>1074</v>
      </c>
      <c r="B776" s="4" t="s">
        <v>43</v>
      </c>
      <c r="C776" s="4">
        <v>55</v>
      </c>
      <c r="D776" s="4" t="s">
        <v>45</v>
      </c>
      <c r="E776" s="4" t="s">
        <v>56</v>
      </c>
      <c r="F776" s="4">
        <v>16756</v>
      </c>
      <c r="G776" s="4" t="s">
        <v>43</v>
      </c>
      <c r="H776" s="4">
        <v>9</v>
      </c>
      <c r="I776" s="4">
        <v>6</v>
      </c>
      <c r="J776" s="4">
        <v>1</v>
      </c>
      <c r="K776" s="4">
        <v>4</v>
      </c>
      <c r="L776" s="4" t="str">
        <f t="shared" si="22"/>
        <v>NORMAL</v>
      </c>
      <c r="M776" s="4" t="str">
        <f t="shared" si="23"/>
        <v>MEDIUM</v>
      </c>
      <c r="N776" s="4" t="str">
        <f t="shared" si="24"/>
        <v>SENIOR</v>
      </c>
      <c r="O776" s="4" t="str">
        <f t="shared" si="25"/>
        <v>STAGNANT</v>
      </c>
      <c r="P776" s="5" t="str">
        <f t="shared" si="26"/>
        <v>Low_Pressure</v>
      </c>
      <c r="Q776" s="4" t="str">
        <f t="shared" si="27"/>
        <v>DISENGAGED</v>
      </c>
      <c r="R776" s="4" t="str">
        <f t="shared" si="21"/>
        <v>LOW</v>
      </c>
      <c r="S776" s="2"/>
      <c r="T776" s="2"/>
      <c r="U776" s="2"/>
      <c r="V776" s="2"/>
      <c r="W776" s="2"/>
      <c r="X776" s="2"/>
      <c r="Y776" s="2"/>
      <c r="Z776" s="2"/>
    </row>
    <row r="777" spans="1:26" ht="16.8" x14ac:dyDescent="0.3">
      <c r="A777" s="4">
        <v>1076</v>
      </c>
      <c r="B777" s="4" t="s">
        <v>43</v>
      </c>
      <c r="C777" s="4">
        <v>43</v>
      </c>
      <c r="D777" s="4" t="s">
        <v>37</v>
      </c>
      <c r="E777" s="4" t="s">
        <v>40</v>
      </c>
      <c r="F777" s="4">
        <v>10798</v>
      </c>
      <c r="G777" s="4" t="s">
        <v>43</v>
      </c>
      <c r="H777" s="4">
        <v>1</v>
      </c>
      <c r="I777" s="4">
        <v>0</v>
      </c>
      <c r="J777" s="4">
        <v>4</v>
      </c>
      <c r="K777" s="4">
        <v>3</v>
      </c>
      <c r="L777" s="4" t="str">
        <f t="shared" si="22"/>
        <v>NORMAL</v>
      </c>
      <c r="M777" s="4" t="str">
        <f t="shared" si="23"/>
        <v>MEDIUM</v>
      </c>
      <c r="N777" s="4" t="str">
        <f t="shared" si="24"/>
        <v>NEW</v>
      </c>
      <c r="O777" s="4" t="str">
        <f t="shared" si="25"/>
        <v>RECENTLY PROMOTED</v>
      </c>
      <c r="P777" s="5" t="str">
        <f t="shared" si="26"/>
        <v>Medium_Pressure</v>
      </c>
      <c r="Q777" s="4" t="str">
        <f t="shared" si="27"/>
        <v>HIGHLY_ENGAGED</v>
      </c>
      <c r="R777" s="4" t="str">
        <f t="shared" si="21"/>
        <v>LOW</v>
      </c>
      <c r="S777" s="2"/>
      <c r="T777" s="2"/>
      <c r="U777" s="2"/>
      <c r="V777" s="2"/>
      <c r="W777" s="2"/>
      <c r="X777" s="2"/>
      <c r="Y777" s="2"/>
      <c r="Z777" s="2"/>
    </row>
    <row r="778" spans="1:26" ht="16.8" x14ac:dyDescent="0.3">
      <c r="A778" s="4">
        <v>1077</v>
      </c>
      <c r="B778" s="4" t="s">
        <v>35</v>
      </c>
      <c r="C778" s="4">
        <v>20</v>
      </c>
      <c r="D778" s="4" t="s">
        <v>37</v>
      </c>
      <c r="E778" s="4" t="s">
        <v>57</v>
      </c>
      <c r="F778" s="4">
        <v>2323</v>
      </c>
      <c r="G778" s="4" t="s">
        <v>35</v>
      </c>
      <c r="H778" s="4">
        <v>2</v>
      </c>
      <c r="I778" s="4">
        <v>0</v>
      </c>
      <c r="J778" s="4">
        <v>4</v>
      </c>
      <c r="K778" s="4">
        <v>3</v>
      </c>
      <c r="L778" s="4" t="str">
        <f t="shared" si="22"/>
        <v>NORMAL</v>
      </c>
      <c r="M778" s="4" t="str">
        <f t="shared" si="23"/>
        <v>LOW</v>
      </c>
      <c r="N778" s="4" t="str">
        <f t="shared" si="24"/>
        <v>NEW</v>
      </c>
      <c r="O778" s="4" t="str">
        <f t="shared" si="25"/>
        <v>RECENTLY PROMOTED</v>
      </c>
      <c r="P778" s="5" t="str">
        <f t="shared" si="26"/>
        <v>Medium_Pressure</v>
      </c>
      <c r="Q778" s="4" t="str">
        <f t="shared" si="27"/>
        <v>HIGHLY_ENGAGED</v>
      </c>
      <c r="R778" s="4" t="str">
        <f t="shared" si="21"/>
        <v>LOW</v>
      </c>
      <c r="S778" s="2"/>
      <c r="T778" s="2"/>
      <c r="U778" s="2"/>
      <c r="V778" s="2"/>
      <c r="W778" s="2"/>
      <c r="X778" s="2"/>
      <c r="Y778" s="2"/>
      <c r="Z778" s="2"/>
    </row>
    <row r="779" spans="1:26" ht="16.8" x14ac:dyDescent="0.3">
      <c r="A779" s="4">
        <v>1079</v>
      </c>
      <c r="B779" s="4" t="s">
        <v>35</v>
      </c>
      <c r="C779" s="4">
        <v>21</v>
      </c>
      <c r="D779" s="4" t="s">
        <v>45</v>
      </c>
      <c r="E779" s="4" t="s">
        <v>50</v>
      </c>
      <c r="F779" s="4">
        <v>1416</v>
      </c>
      <c r="G779" s="4" t="s">
        <v>43</v>
      </c>
      <c r="H779" s="4">
        <v>1</v>
      </c>
      <c r="I779" s="4">
        <v>1</v>
      </c>
      <c r="J779" s="4">
        <v>1</v>
      </c>
      <c r="K779" s="4">
        <v>2</v>
      </c>
      <c r="L779" s="4" t="str">
        <f t="shared" si="22"/>
        <v>NORMAL</v>
      </c>
      <c r="M779" s="4" t="str">
        <f t="shared" si="23"/>
        <v>LOW</v>
      </c>
      <c r="N779" s="4" t="str">
        <f t="shared" si="24"/>
        <v>NEW</v>
      </c>
      <c r="O779" s="4" t="str">
        <f t="shared" si="25"/>
        <v>RECENTLY PROMOTED</v>
      </c>
      <c r="P779" s="5" t="str">
        <f t="shared" si="26"/>
        <v>Low_Pressure</v>
      </c>
      <c r="Q779" s="4" t="str">
        <f t="shared" si="27"/>
        <v>DISENGAGED</v>
      </c>
      <c r="R779" s="4" t="str">
        <f t="shared" si="21"/>
        <v>LOW</v>
      </c>
      <c r="S779" s="2"/>
      <c r="T779" s="2"/>
      <c r="U779" s="2"/>
      <c r="V779" s="2"/>
      <c r="W779" s="2"/>
      <c r="X779" s="2"/>
      <c r="Y779" s="2"/>
      <c r="Z779" s="2"/>
    </row>
    <row r="780" spans="1:26" ht="16.8" x14ac:dyDescent="0.3">
      <c r="A780" s="4">
        <v>1080</v>
      </c>
      <c r="B780" s="4" t="s">
        <v>43</v>
      </c>
      <c r="C780" s="4">
        <v>46</v>
      </c>
      <c r="D780" s="4" t="s">
        <v>45</v>
      </c>
      <c r="E780" s="4" t="s">
        <v>47</v>
      </c>
      <c r="F780" s="4">
        <v>4615</v>
      </c>
      <c r="G780" s="4" t="s">
        <v>35</v>
      </c>
      <c r="H780" s="4">
        <v>16</v>
      </c>
      <c r="I780" s="4">
        <v>1</v>
      </c>
      <c r="J780" s="4">
        <v>1</v>
      </c>
      <c r="K780" s="4">
        <v>3</v>
      </c>
      <c r="L780" s="4" t="str">
        <f t="shared" si="22"/>
        <v>NORMAL</v>
      </c>
      <c r="M780" s="4" t="str">
        <f t="shared" si="23"/>
        <v>HIGH</v>
      </c>
      <c r="N780" s="4" t="str">
        <f t="shared" si="24"/>
        <v>SENIOR</v>
      </c>
      <c r="O780" s="4" t="str">
        <f t="shared" si="25"/>
        <v>RECENTLY PROMOTED</v>
      </c>
      <c r="P780" s="5" t="str">
        <f t="shared" si="26"/>
        <v>Medium_Pressure</v>
      </c>
      <c r="Q780" s="4" t="str">
        <f t="shared" si="27"/>
        <v>DISENGAGED</v>
      </c>
      <c r="R780" s="4" t="str">
        <f t="shared" si="21"/>
        <v>LOW</v>
      </c>
      <c r="S780" s="2"/>
      <c r="T780" s="2"/>
      <c r="U780" s="2"/>
      <c r="V780" s="2"/>
      <c r="W780" s="2"/>
      <c r="X780" s="2"/>
      <c r="Y780" s="2"/>
      <c r="Z780" s="2"/>
    </row>
    <row r="781" spans="1:26" ht="16.8" x14ac:dyDescent="0.3">
      <c r="A781" s="4">
        <v>1081</v>
      </c>
      <c r="B781" s="4" t="s">
        <v>35</v>
      </c>
      <c r="C781" s="4">
        <v>51</v>
      </c>
      <c r="D781" s="4" t="s">
        <v>45</v>
      </c>
      <c r="E781" s="4" t="s">
        <v>47</v>
      </c>
      <c r="F781" s="4">
        <v>2461</v>
      </c>
      <c r="G781" s="4" t="s">
        <v>35</v>
      </c>
      <c r="H781" s="4">
        <v>10</v>
      </c>
      <c r="I781" s="4">
        <v>2</v>
      </c>
      <c r="J781" s="4">
        <v>3</v>
      </c>
      <c r="K781" s="4">
        <v>4</v>
      </c>
      <c r="L781" s="4" t="str">
        <f t="shared" si="22"/>
        <v>NORMAL</v>
      </c>
      <c r="M781" s="4" t="str">
        <f t="shared" si="23"/>
        <v>LOW</v>
      </c>
      <c r="N781" s="4" t="str">
        <f t="shared" si="24"/>
        <v>SENIOR</v>
      </c>
      <c r="O781" s="4" t="str">
        <f t="shared" si="25"/>
        <v>MODERATE-WAIT</v>
      </c>
      <c r="P781" s="5" t="str">
        <f t="shared" si="26"/>
        <v>Medium_Pressure</v>
      </c>
      <c r="Q781" s="4" t="str">
        <f t="shared" si="27"/>
        <v>HIGHLY_ENGAGED</v>
      </c>
      <c r="R781" s="4" t="str">
        <f t="shared" si="21"/>
        <v>LOW</v>
      </c>
      <c r="S781" s="2"/>
      <c r="T781" s="2"/>
      <c r="U781" s="2"/>
      <c r="V781" s="2"/>
      <c r="W781" s="2"/>
      <c r="X781" s="2"/>
      <c r="Y781" s="2"/>
      <c r="Z781" s="2"/>
    </row>
    <row r="782" spans="1:26" ht="16.8" x14ac:dyDescent="0.3">
      <c r="A782" s="4">
        <v>1082</v>
      </c>
      <c r="B782" s="4" t="s">
        <v>35</v>
      </c>
      <c r="C782" s="4">
        <v>28</v>
      </c>
      <c r="D782" s="4" t="s">
        <v>45</v>
      </c>
      <c r="E782" s="4" t="s">
        <v>54</v>
      </c>
      <c r="F782" s="4">
        <v>8722</v>
      </c>
      <c r="G782" s="4" t="s">
        <v>43</v>
      </c>
      <c r="H782" s="4">
        <v>10</v>
      </c>
      <c r="I782" s="4">
        <v>1</v>
      </c>
      <c r="J782" s="4">
        <v>1</v>
      </c>
      <c r="K782" s="4">
        <v>2</v>
      </c>
      <c r="L782" s="4" t="str">
        <f t="shared" si="22"/>
        <v>NORMAL</v>
      </c>
      <c r="M782" s="4" t="str">
        <f t="shared" si="23"/>
        <v>HIGH</v>
      </c>
      <c r="N782" s="4" t="str">
        <f t="shared" si="24"/>
        <v>SENIOR</v>
      </c>
      <c r="O782" s="4" t="str">
        <f t="shared" si="25"/>
        <v>RECENTLY PROMOTED</v>
      </c>
      <c r="P782" s="5" t="str">
        <f t="shared" si="26"/>
        <v>Low_Pressure</v>
      </c>
      <c r="Q782" s="4" t="str">
        <f t="shared" si="27"/>
        <v>DISENGAGED</v>
      </c>
      <c r="R782" s="4" t="str">
        <f t="shared" si="21"/>
        <v>LOW</v>
      </c>
      <c r="S782" s="2"/>
      <c r="T782" s="2"/>
      <c r="U782" s="2"/>
      <c r="V782" s="2"/>
      <c r="W782" s="2"/>
      <c r="X782" s="2"/>
      <c r="Y782" s="2"/>
      <c r="Z782" s="2"/>
    </row>
    <row r="783" spans="1:26" ht="16.8" x14ac:dyDescent="0.3">
      <c r="A783" s="4">
        <v>1083</v>
      </c>
      <c r="B783" s="4" t="s">
        <v>43</v>
      </c>
      <c r="C783" s="4">
        <v>26</v>
      </c>
      <c r="D783" s="4" t="s">
        <v>45</v>
      </c>
      <c r="E783" s="4" t="s">
        <v>50</v>
      </c>
      <c r="F783" s="4">
        <v>3955</v>
      </c>
      <c r="G783" s="4" t="s">
        <v>43</v>
      </c>
      <c r="H783" s="4">
        <v>5</v>
      </c>
      <c r="I783" s="4">
        <v>1</v>
      </c>
      <c r="J783" s="4">
        <v>1</v>
      </c>
      <c r="K783" s="4">
        <v>3</v>
      </c>
      <c r="L783" s="4" t="str">
        <f t="shared" si="22"/>
        <v>NORMAL</v>
      </c>
      <c r="M783" s="4" t="str">
        <f t="shared" si="23"/>
        <v>LOW</v>
      </c>
      <c r="N783" s="4" t="str">
        <f t="shared" si="24"/>
        <v>MID</v>
      </c>
      <c r="O783" s="4" t="str">
        <f t="shared" si="25"/>
        <v>RECENTLY PROMOTED</v>
      </c>
      <c r="P783" s="5" t="str">
        <f t="shared" si="26"/>
        <v>Medium_Pressure</v>
      </c>
      <c r="Q783" s="4" t="str">
        <f t="shared" si="27"/>
        <v>DISENGAGED</v>
      </c>
      <c r="R783" s="4" t="str">
        <f t="shared" si="21"/>
        <v>LOW</v>
      </c>
      <c r="S783" s="2"/>
      <c r="T783" s="2"/>
      <c r="U783" s="2"/>
      <c r="V783" s="2"/>
      <c r="W783" s="2"/>
      <c r="X783" s="2"/>
      <c r="Y783" s="2"/>
      <c r="Z783" s="2"/>
    </row>
    <row r="784" spans="1:26" ht="16.8" x14ac:dyDescent="0.3">
      <c r="A784" s="4">
        <v>1084</v>
      </c>
      <c r="B784" s="4" t="s">
        <v>43</v>
      </c>
      <c r="C784" s="4">
        <v>30</v>
      </c>
      <c r="D784" s="4" t="s">
        <v>45</v>
      </c>
      <c r="E784" s="4" t="s">
        <v>53</v>
      </c>
      <c r="F784" s="4">
        <v>9957</v>
      </c>
      <c r="G784" s="4" t="s">
        <v>43</v>
      </c>
      <c r="H784" s="4">
        <v>6</v>
      </c>
      <c r="I784" s="4">
        <v>0</v>
      </c>
      <c r="J784" s="4">
        <v>1</v>
      </c>
      <c r="K784" s="4">
        <v>2</v>
      </c>
      <c r="L784" s="4" t="str">
        <f t="shared" si="22"/>
        <v>NORMAL</v>
      </c>
      <c r="M784" s="4" t="str">
        <f t="shared" si="23"/>
        <v>MEDIUM</v>
      </c>
      <c r="N784" s="4" t="str">
        <f t="shared" si="24"/>
        <v>MID</v>
      </c>
      <c r="O784" s="4" t="str">
        <f t="shared" si="25"/>
        <v>RECENTLY PROMOTED</v>
      </c>
      <c r="P784" s="5" t="str">
        <f t="shared" si="26"/>
        <v>Low_Pressure</v>
      </c>
      <c r="Q784" s="4" t="str">
        <f t="shared" si="27"/>
        <v>DISENGAGED</v>
      </c>
      <c r="R784" s="4" t="str">
        <f t="shared" si="21"/>
        <v>LOW</v>
      </c>
      <c r="S784" s="2"/>
      <c r="T784" s="2"/>
      <c r="U784" s="2"/>
      <c r="V784" s="2"/>
      <c r="W784" s="2"/>
      <c r="X784" s="2"/>
      <c r="Y784" s="2"/>
      <c r="Z784" s="2"/>
    </row>
    <row r="785" spans="1:26" ht="16.8" x14ac:dyDescent="0.3">
      <c r="A785" s="4">
        <v>1085</v>
      </c>
      <c r="B785" s="4" t="s">
        <v>43</v>
      </c>
      <c r="C785" s="4">
        <v>41</v>
      </c>
      <c r="D785" s="4" t="s">
        <v>45</v>
      </c>
      <c r="E785" s="4" t="s">
        <v>47</v>
      </c>
      <c r="F785" s="4">
        <v>3376</v>
      </c>
      <c r="G785" s="4" t="s">
        <v>43</v>
      </c>
      <c r="H785" s="4">
        <v>10</v>
      </c>
      <c r="I785" s="4">
        <v>0</v>
      </c>
      <c r="J785" s="4">
        <v>3</v>
      </c>
      <c r="K785" s="4">
        <v>3</v>
      </c>
      <c r="L785" s="4" t="str">
        <f t="shared" si="22"/>
        <v>NORMAL</v>
      </c>
      <c r="M785" s="4" t="str">
        <f t="shared" si="23"/>
        <v>LOW</v>
      </c>
      <c r="N785" s="4" t="str">
        <f t="shared" si="24"/>
        <v>SENIOR</v>
      </c>
      <c r="O785" s="4" t="str">
        <f t="shared" si="25"/>
        <v>RECENTLY PROMOTED</v>
      </c>
      <c r="P785" s="5" t="str">
        <f t="shared" si="26"/>
        <v>Medium_Pressure</v>
      </c>
      <c r="Q785" s="4" t="str">
        <f t="shared" si="27"/>
        <v>HIGHLY_ENGAGED</v>
      </c>
      <c r="R785" s="4" t="str">
        <f t="shared" si="21"/>
        <v>LOW</v>
      </c>
      <c r="S785" s="2"/>
      <c r="T785" s="2"/>
      <c r="U785" s="2"/>
      <c r="V785" s="2"/>
      <c r="W785" s="2"/>
      <c r="X785" s="2"/>
      <c r="Y785" s="2"/>
      <c r="Z785" s="2"/>
    </row>
    <row r="786" spans="1:26" ht="16.8" x14ac:dyDescent="0.3">
      <c r="A786" s="4">
        <v>1088</v>
      </c>
      <c r="B786" s="4" t="s">
        <v>43</v>
      </c>
      <c r="C786" s="4">
        <v>38</v>
      </c>
      <c r="D786" s="4" t="s">
        <v>45</v>
      </c>
      <c r="E786" s="4" t="s">
        <v>54</v>
      </c>
      <c r="F786" s="4">
        <v>8823</v>
      </c>
      <c r="G786" s="4" t="s">
        <v>43</v>
      </c>
      <c r="H786" s="4">
        <v>19</v>
      </c>
      <c r="I786" s="4">
        <v>1</v>
      </c>
      <c r="J786" s="4">
        <v>3</v>
      </c>
      <c r="K786" s="4">
        <v>2</v>
      </c>
      <c r="L786" s="4" t="str">
        <f t="shared" si="22"/>
        <v>NORMAL</v>
      </c>
      <c r="M786" s="4" t="str">
        <f t="shared" si="23"/>
        <v>HIGH</v>
      </c>
      <c r="N786" s="4" t="str">
        <f t="shared" si="24"/>
        <v>SENIOR</v>
      </c>
      <c r="O786" s="4" t="str">
        <f t="shared" si="25"/>
        <v>RECENTLY PROMOTED</v>
      </c>
      <c r="P786" s="5" t="str">
        <f t="shared" si="26"/>
        <v>Low_Pressure</v>
      </c>
      <c r="Q786" s="4" t="str">
        <f t="shared" si="27"/>
        <v>DISENGAGED</v>
      </c>
      <c r="R786" s="4" t="str">
        <f t="shared" si="21"/>
        <v>LOW</v>
      </c>
      <c r="S786" s="2"/>
      <c r="T786" s="2"/>
      <c r="U786" s="2"/>
      <c r="V786" s="2"/>
      <c r="W786" s="2"/>
      <c r="X786" s="2"/>
      <c r="Y786" s="2"/>
      <c r="Z786" s="2"/>
    </row>
    <row r="787" spans="1:26" ht="16.8" x14ac:dyDescent="0.3">
      <c r="A787" s="4">
        <v>1092</v>
      </c>
      <c r="B787" s="4" t="s">
        <v>43</v>
      </c>
      <c r="C787" s="4">
        <v>40</v>
      </c>
      <c r="D787" s="4" t="s">
        <v>45</v>
      </c>
      <c r="E787" s="4" t="s">
        <v>54</v>
      </c>
      <c r="F787" s="4">
        <v>10322</v>
      </c>
      <c r="G787" s="4" t="s">
        <v>43</v>
      </c>
      <c r="H787" s="4">
        <v>11</v>
      </c>
      <c r="I787" s="4">
        <v>11</v>
      </c>
      <c r="J787" s="4">
        <v>4</v>
      </c>
      <c r="K787" s="4">
        <v>3</v>
      </c>
      <c r="L787" s="4" t="str">
        <f t="shared" si="22"/>
        <v>NORMAL</v>
      </c>
      <c r="M787" s="4" t="str">
        <f t="shared" si="23"/>
        <v>MEDIUM</v>
      </c>
      <c r="N787" s="4" t="str">
        <f t="shared" si="24"/>
        <v>SENIOR</v>
      </c>
      <c r="O787" s="4" t="str">
        <f t="shared" si="25"/>
        <v>STAGNANT</v>
      </c>
      <c r="P787" s="5" t="str">
        <f t="shared" si="26"/>
        <v>Medium_Pressure</v>
      </c>
      <c r="Q787" s="4" t="str">
        <f t="shared" si="27"/>
        <v>HIGHLY_ENGAGED</v>
      </c>
      <c r="R787" s="4" t="str">
        <f t="shared" si="21"/>
        <v>LOW</v>
      </c>
      <c r="S787" s="2"/>
      <c r="T787" s="2"/>
      <c r="U787" s="2"/>
      <c r="V787" s="2"/>
      <c r="W787" s="2"/>
      <c r="X787" s="2"/>
      <c r="Y787" s="2"/>
      <c r="Z787" s="2"/>
    </row>
    <row r="788" spans="1:26" ht="16.8" x14ac:dyDescent="0.3">
      <c r="A788" s="4">
        <v>1094</v>
      </c>
      <c r="B788" s="4" t="s">
        <v>43</v>
      </c>
      <c r="C788" s="4">
        <v>27</v>
      </c>
      <c r="D788" s="4" t="s">
        <v>45</v>
      </c>
      <c r="E788" s="4" t="s">
        <v>50</v>
      </c>
      <c r="F788" s="4">
        <v>4621</v>
      </c>
      <c r="G788" s="4" t="s">
        <v>43</v>
      </c>
      <c r="H788" s="4">
        <v>3</v>
      </c>
      <c r="I788" s="4">
        <v>1</v>
      </c>
      <c r="J788" s="4">
        <v>3</v>
      </c>
      <c r="K788" s="4">
        <v>3</v>
      </c>
      <c r="L788" s="4" t="str">
        <f t="shared" si="22"/>
        <v>NORMAL</v>
      </c>
      <c r="M788" s="4" t="str">
        <f t="shared" si="23"/>
        <v>HIGH</v>
      </c>
      <c r="N788" s="4" t="str">
        <f t="shared" si="24"/>
        <v>MID</v>
      </c>
      <c r="O788" s="4" t="str">
        <f t="shared" si="25"/>
        <v>RECENTLY PROMOTED</v>
      </c>
      <c r="P788" s="5" t="str">
        <f t="shared" si="26"/>
        <v>Medium_Pressure</v>
      </c>
      <c r="Q788" s="4" t="str">
        <f t="shared" si="27"/>
        <v>HIGHLY_ENGAGED</v>
      </c>
      <c r="R788" s="4" t="str">
        <f t="shared" si="21"/>
        <v>LOW</v>
      </c>
      <c r="S788" s="2"/>
      <c r="T788" s="2"/>
      <c r="U788" s="2"/>
      <c r="V788" s="2"/>
      <c r="W788" s="2"/>
      <c r="X788" s="2"/>
      <c r="Y788" s="2"/>
      <c r="Z788" s="2"/>
    </row>
    <row r="789" spans="1:26" ht="16.8" x14ac:dyDescent="0.3">
      <c r="A789" s="4">
        <v>1096</v>
      </c>
      <c r="B789" s="4" t="s">
        <v>43</v>
      </c>
      <c r="C789" s="4">
        <v>55</v>
      </c>
      <c r="D789" s="4" t="s">
        <v>45</v>
      </c>
      <c r="E789" s="4" t="s">
        <v>53</v>
      </c>
      <c r="F789" s="4">
        <v>10976</v>
      </c>
      <c r="G789" s="4" t="s">
        <v>43</v>
      </c>
      <c r="H789" s="4">
        <v>3</v>
      </c>
      <c r="I789" s="4">
        <v>1</v>
      </c>
      <c r="J789" s="4">
        <v>2</v>
      </c>
      <c r="K789" s="4">
        <v>3</v>
      </c>
      <c r="L789" s="4" t="str">
        <f t="shared" si="22"/>
        <v>NORMAL</v>
      </c>
      <c r="M789" s="4" t="str">
        <f t="shared" si="23"/>
        <v>MEDIUM</v>
      </c>
      <c r="N789" s="4" t="str">
        <f t="shared" si="24"/>
        <v>MID</v>
      </c>
      <c r="O789" s="4" t="str">
        <f t="shared" si="25"/>
        <v>RECENTLY PROMOTED</v>
      </c>
      <c r="P789" s="5" t="str">
        <f t="shared" si="26"/>
        <v>Medium_Pressure</v>
      </c>
      <c r="Q789" s="4" t="str">
        <f t="shared" si="27"/>
        <v>DISENGAGED</v>
      </c>
      <c r="R789" s="4" t="str">
        <f t="shared" si="21"/>
        <v>LOW</v>
      </c>
      <c r="S789" s="2"/>
      <c r="T789" s="2"/>
      <c r="U789" s="2"/>
      <c r="V789" s="2"/>
      <c r="W789" s="2"/>
      <c r="X789" s="2"/>
      <c r="Y789" s="2"/>
      <c r="Z789" s="2"/>
    </row>
    <row r="790" spans="1:26" ht="16.8" x14ac:dyDescent="0.3">
      <c r="A790" s="4">
        <v>1097</v>
      </c>
      <c r="B790" s="4" t="s">
        <v>43</v>
      </c>
      <c r="C790" s="4">
        <v>28</v>
      </c>
      <c r="D790" s="4" t="s">
        <v>45</v>
      </c>
      <c r="E790" s="4" t="s">
        <v>47</v>
      </c>
      <c r="F790" s="4">
        <v>3660</v>
      </c>
      <c r="G790" s="4" t="s">
        <v>43</v>
      </c>
      <c r="H790" s="4">
        <v>8</v>
      </c>
      <c r="I790" s="4">
        <v>1</v>
      </c>
      <c r="J790" s="4">
        <v>3</v>
      </c>
      <c r="K790" s="4">
        <v>4</v>
      </c>
      <c r="L790" s="4" t="str">
        <f t="shared" si="22"/>
        <v>NORMAL</v>
      </c>
      <c r="M790" s="4" t="str">
        <f t="shared" si="23"/>
        <v>LOW</v>
      </c>
      <c r="N790" s="4" t="str">
        <f t="shared" si="24"/>
        <v>SENIOR</v>
      </c>
      <c r="O790" s="4" t="str">
        <f t="shared" si="25"/>
        <v>RECENTLY PROMOTED</v>
      </c>
      <c r="P790" s="5" t="str">
        <f t="shared" si="26"/>
        <v>Low_Pressure</v>
      </c>
      <c r="Q790" s="4" t="str">
        <f t="shared" si="27"/>
        <v>HIGHLY_ENGAGED</v>
      </c>
      <c r="R790" s="4" t="str">
        <f t="shared" si="21"/>
        <v>LOW</v>
      </c>
      <c r="S790" s="2"/>
      <c r="T790" s="2"/>
      <c r="U790" s="2"/>
      <c r="V790" s="2"/>
      <c r="W790" s="2"/>
      <c r="X790" s="2"/>
      <c r="Y790" s="2"/>
      <c r="Z790" s="2"/>
    </row>
    <row r="791" spans="1:26" ht="16.8" x14ac:dyDescent="0.3">
      <c r="A791" s="4">
        <v>1098</v>
      </c>
      <c r="B791" s="4" t="s">
        <v>35</v>
      </c>
      <c r="C791" s="4">
        <v>44</v>
      </c>
      <c r="D791" s="4" t="s">
        <v>61</v>
      </c>
      <c r="E791" s="4" t="s">
        <v>61</v>
      </c>
      <c r="F791" s="4">
        <v>10482</v>
      </c>
      <c r="G791" s="4" t="s">
        <v>43</v>
      </c>
      <c r="H791" s="4">
        <v>20</v>
      </c>
      <c r="I791" s="4">
        <v>3</v>
      </c>
      <c r="J791" s="4">
        <v>1</v>
      </c>
      <c r="K791" s="4">
        <v>3</v>
      </c>
      <c r="L791" s="4" t="str">
        <f t="shared" si="22"/>
        <v>NORMAL</v>
      </c>
      <c r="M791" s="4" t="str">
        <f t="shared" si="23"/>
        <v>MEDIUM</v>
      </c>
      <c r="N791" s="4" t="str">
        <f t="shared" si="24"/>
        <v>SENIOR</v>
      </c>
      <c r="O791" s="4" t="str">
        <f t="shared" si="25"/>
        <v>MODERATE-WAIT</v>
      </c>
      <c r="P791" s="5" t="str">
        <f t="shared" si="26"/>
        <v>Medium_Pressure</v>
      </c>
      <c r="Q791" s="4" t="str">
        <f t="shared" si="27"/>
        <v>DISENGAGED</v>
      </c>
      <c r="R791" s="4" t="str">
        <f t="shared" si="21"/>
        <v>LOW</v>
      </c>
      <c r="S791" s="2"/>
      <c r="T791" s="2"/>
      <c r="U791" s="2"/>
      <c r="V791" s="2"/>
      <c r="W791" s="2"/>
      <c r="X791" s="2"/>
      <c r="Y791" s="2"/>
      <c r="Z791" s="2"/>
    </row>
    <row r="792" spans="1:26" ht="16.8" x14ac:dyDescent="0.3">
      <c r="A792" s="4">
        <v>1099</v>
      </c>
      <c r="B792" s="4" t="s">
        <v>43</v>
      </c>
      <c r="C792" s="4">
        <v>33</v>
      </c>
      <c r="D792" s="4" t="s">
        <v>45</v>
      </c>
      <c r="E792" s="4" t="s">
        <v>54</v>
      </c>
      <c r="F792" s="4">
        <v>7119</v>
      </c>
      <c r="G792" s="4" t="s">
        <v>43</v>
      </c>
      <c r="H792" s="4">
        <v>3</v>
      </c>
      <c r="I792" s="4">
        <v>1</v>
      </c>
      <c r="J792" s="4">
        <v>4</v>
      </c>
      <c r="K792" s="4">
        <v>3</v>
      </c>
      <c r="L792" s="4" t="str">
        <f t="shared" si="22"/>
        <v>NORMAL</v>
      </c>
      <c r="M792" s="4" t="str">
        <f t="shared" si="23"/>
        <v>HIGH</v>
      </c>
      <c r="N792" s="4" t="str">
        <f t="shared" si="24"/>
        <v>MID</v>
      </c>
      <c r="O792" s="4" t="str">
        <f t="shared" si="25"/>
        <v>RECENTLY PROMOTED</v>
      </c>
      <c r="P792" s="5" t="str">
        <f t="shared" si="26"/>
        <v>Medium_Pressure</v>
      </c>
      <c r="Q792" s="4" t="str">
        <f t="shared" si="27"/>
        <v>HIGHLY_ENGAGED</v>
      </c>
      <c r="R792" s="4" t="str">
        <f t="shared" si="21"/>
        <v>LOW</v>
      </c>
      <c r="S792" s="2"/>
      <c r="T792" s="2"/>
      <c r="U792" s="2"/>
      <c r="V792" s="2"/>
      <c r="W792" s="2"/>
      <c r="X792" s="2"/>
      <c r="Y792" s="2"/>
      <c r="Z792" s="2"/>
    </row>
    <row r="793" spans="1:26" ht="16.8" x14ac:dyDescent="0.3">
      <c r="A793" s="4">
        <v>1100</v>
      </c>
      <c r="B793" s="4" t="s">
        <v>35</v>
      </c>
      <c r="C793" s="4">
        <v>35</v>
      </c>
      <c r="D793" s="4" t="s">
        <v>37</v>
      </c>
      <c r="E793" s="4" t="s">
        <v>40</v>
      </c>
      <c r="F793" s="4">
        <v>9582</v>
      </c>
      <c r="G793" s="4" t="s">
        <v>35</v>
      </c>
      <c r="H793" s="4">
        <v>8</v>
      </c>
      <c r="I793" s="4">
        <v>4</v>
      </c>
      <c r="J793" s="4">
        <v>1</v>
      </c>
      <c r="K793" s="4">
        <v>3</v>
      </c>
      <c r="L793" s="4" t="str">
        <f t="shared" si="22"/>
        <v>HIGH RISK</v>
      </c>
      <c r="M793" s="4" t="str">
        <f t="shared" si="23"/>
        <v>MEDIUM</v>
      </c>
      <c r="N793" s="4" t="str">
        <f t="shared" si="24"/>
        <v>SENIOR</v>
      </c>
      <c r="O793" s="4" t="str">
        <f t="shared" si="25"/>
        <v>STAGNANT</v>
      </c>
      <c r="P793" s="5" t="str">
        <f t="shared" si="26"/>
        <v>Medium_Pressure</v>
      </c>
      <c r="Q793" s="4" t="str">
        <f t="shared" si="27"/>
        <v>DISENGAGED</v>
      </c>
      <c r="R793" s="4" t="str">
        <f t="shared" si="21"/>
        <v>LOW</v>
      </c>
      <c r="S793" s="2"/>
      <c r="T793" s="2"/>
      <c r="U793" s="2"/>
      <c r="V793" s="2"/>
      <c r="W793" s="2"/>
      <c r="X793" s="2"/>
      <c r="Y793" s="2"/>
      <c r="Z793" s="2"/>
    </row>
    <row r="794" spans="1:26" ht="16.8" x14ac:dyDescent="0.3">
      <c r="A794" s="4">
        <v>1101</v>
      </c>
      <c r="B794" s="4" t="s">
        <v>35</v>
      </c>
      <c r="C794" s="4">
        <v>33</v>
      </c>
      <c r="D794" s="4" t="s">
        <v>45</v>
      </c>
      <c r="E794" s="4" t="s">
        <v>47</v>
      </c>
      <c r="F794" s="4">
        <v>4508</v>
      </c>
      <c r="G794" s="4" t="s">
        <v>43</v>
      </c>
      <c r="H794" s="4">
        <v>13</v>
      </c>
      <c r="I794" s="4">
        <v>3</v>
      </c>
      <c r="J794" s="4">
        <v>3</v>
      </c>
      <c r="K794" s="4">
        <v>3</v>
      </c>
      <c r="L794" s="4" t="str">
        <f t="shared" si="22"/>
        <v>NORMAL</v>
      </c>
      <c r="M794" s="4" t="str">
        <f t="shared" si="23"/>
        <v>HIGH</v>
      </c>
      <c r="N794" s="4" t="str">
        <f t="shared" si="24"/>
        <v>SENIOR</v>
      </c>
      <c r="O794" s="4" t="str">
        <f t="shared" si="25"/>
        <v>MODERATE-WAIT</v>
      </c>
      <c r="P794" s="5" t="str">
        <f t="shared" si="26"/>
        <v>Medium_Pressure</v>
      </c>
      <c r="Q794" s="4" t="str">
        <f t="shared" si="27"/>
        <v>HIGHLY_ENGAGED</v>
      </c>
      <c r="R794" s="4" t="str">
        <f t="shared" si="21"/>
        <v>LOW</v>
      </c>
      <c r="S794" s="2"/>
      <c r="T794" s="2"/>
      <c r="U794" s="2"/>
      <c r="V794" s="2"/>
      <c r="W794" s="2"/>
      <c r="X794" s="2"/>
      <c r="Y794" s="2"/>
      <c r="Z794" s="2"/>
    </row>
    <row r="795" spans="1:26" ht="16.8" x14ac:dyDescent="0.3">
      <c r="A795" s="4">
        <v>1102</v>
      </c>
      <c r="B795" s="4" t="s">
        <v>43</v>
      </c>
      <c r="C795" s="4">
        <v>28</v>
      </c>
      <c r="D795" s="4" t="s">
        <v>45</v>
      </c>
      <c r="E795" s="4" t="s">
        <v>50</v>
      </c>
      <c r="F795" s="4">
        <v>2207</v>
      </c>
      <c r="G795" s="4" t="s">
        <v>43</v>
      </c>
      <c r="H795" s="4">
        <v>4</v>
      </c>
      <c r="I795" s="4">
        <v>2</v>
      </c>
      <c r="J795" s="4">
        <v>3</v>
      </c>
      <c r="K795" s="4">
        <v>2</v>
      </c>
      <c r="L795" s="4" t="str">
        <f t="shared" si="22"/>
        <v>NORMAL</v>
      </c>
      <c r="M795" s="4" t="str">
        <f t="shared" si="23"/>
        <v>LOW</v>
      </c>
      <c r="N795" s="4" t="str">
        <f t="shared" si="24"/>
        <v>MID</v>
      </c>
      <c r="O795" s="4" t="str">
        <f t="shared" si="25"/>
        <v>MODERATE-WAIT</v>
      </c>
      <c r="P795" s="5" t="str">
        <f t="shared" si="26"/>
        <v>Low_Pressure</v>
      </c>
      <c r="Q795" s="4" t="str">
        <f t="shared" si="27"/>
        <v>DISENGAGED</v>
      </c>
      <c r="R795" s="4" t="str">
        <f t="shared" si="21"/>
        <v>LOW</v>
      </c>
      <c r="S795" s="2"/>
      <c r="T795" s="2"/>
      <c r="U795" s="2"/>
      <c r="V795" s="2"/>
      <c r="W795" s="2"/>
      <c r="X795" s="2"/>
      <c r="Y795" s="2"/>
      <c r="Z795" s="2"/>
    </row>
    <row r="796" spans="1:26" ht="16.8" x14ac:dyDescent="0.3">
      <c r="A796" s="4">
        <v>1103</v>
      </c>
      <c r="B796" s="4" t="s">
        <v>43</v>
      </c>
      <c r="C796" s="4">
        <v>34</v>
      </c>
      <c r="D796" s="4" t="s">
        <v>45</v>
      </c>
      <c r="E796" s="4" t="s">
        <v>54</v>
      </c>
      <c r="F796" s="4">
        <v>7756</v>
      </c>
      <c r="G796" s="4" t="s">
        <v>43</v>
      </c>
      <c r="H796" s="4">
        <v>6</v>
      </c>
      <c r="I796" s="4">
        <v>0</v>
      </c>
      <c r="J796" s="4">
        <v>4</v>
      </c>
      <c r="K796" s="4">
        <v>2</v>
      </c>
      <c r="L796" s="4" t="str">
        <f t="shared" si="22"/>
        <v>NORMAL</v>
      </c>
      <c r="M796" s="4" t="str">
        <f t="shared" si="23"/>
        <v>HIGH</v>
      </c>
      <c r="N796" s="4" t="str">
        <f t="shared" si="24"/>
        <v>MID</v>
      </c>
      <c r="O796" s="4" t="str">
        <f t="shared" si="25"/>
        <v>RECENTLY PROMOTED</v>
      </c>
      <c r="P796" s="5" t="str">
        <f t="shared" si="26"/>
        <v>Low_Pressure</v>
      </c>
      <c r="Q796" s="4" t="str">
        <f t="shared" si="27"/>
        <v>DISENGAGED</v>
      </c>
      <c r="R796" s="4" t="str">
        <f t="shared" si="21"/>
        <v>LOW</v>
      </c>
      <c r="S796" s="2"/>
      <c r="T796" s="2"/>
      <c r="U796" s="2"/>
      <c r="V796" s="2"/>
      <c r="W796" s="2"/>
      <c r="X796" s="2"/>
      <c r="Y796" s="2"/>
      <c r="Z796" s="2"/>
    </row>
    <row r="797" spans="1:26" ht="16.8" x14ac:dyDescent="0.3">
      <c r="A797" s="4">
        <v>1105</v>
      </c>
      <c r="B797" s="4" t="s">
        <v>43</v>
      </c>
      <c r="C797" s="4">
        <v>37</v>
      </c>
      <c r="D797" s="4" t="s">
        <v>37</v>
      </c>
      <c r="E797" s="4" t="s">
        <v>40</v>
      </c>
      <c r="F797" s="4">
        <v>6694</v>
      </c>
      <c r="G797" s="4" t="s">
        <v>35</v>
      </c>
      <c r="H797" s="4">
        <v>1</v>
      </c>
      <c r="I797" s="4">
        <v>0</v>
      </c>
      <c r="J797" s="4">
        <v>4</v>
      </c>
      <c r="K797" s="4">
        <v>3</v>
      </c>
      <c r="L797" s="4" t="str">
        <f t="shared" si="22"/>
        <v>NORMAL</v>
      </c>
      <c r="M797" s="4" t="str">
        <f t="shared" si="23"/>
        <v>HIGH</v>
      </c>
      <c r="N797" s="4" t="str">
        <f t="shared" si="24"/>
        <v>NEW</v>
      </c>
      <c r="O797" s="4" t="str">
        <f t="shared" si="25"/>
        <v>RECENTLY PROMOTED</v>
      </c>
      <c r="P797" s="5" t="str">
        <f t="shared" si="26"/>
        <v>Medium_Pressure</v>
      </c>
      <c r="Q797" s="4" t="str">
        <f t="shared" si="27"/>
        <v>HIGHLY_ENGAGED</v>
      </c>
      <c r="R797" s="4" t="str">
        <f t="shared" si="21"/>
        <v>LOW</v>
      </c>
      <c r="S797" s="2"/>
      <c r="T797" s="2"/>
      <c r="U797" s="2"/>
      <c r="V797" s="2"/>
      <c r="W797" s="2"/>
      <c r="X797" s="2"/>
      <c r="Y797" s="2"/>
      <c r="Z797" s="2"/>
    </row>
    <row r="798" spans="1:26" ht="16.8" x14ac:dyDescent="0.3">
      <c r="A798" s="4">
        <v>1106</v>
      </c>
      <c r="B798" s="4" t="s">
        <v>35</v>
      </c>
      <c r="C798" s="4">
        <v>25</v>
      </c>
      <c r="D798" s="4" t="s">
        <v>45</v>
      </c>
      <c r="E798" s="4" t="s">
        <v>50</v>
      </c>
      <c r="F798" s="4">
        <v>3691</v>
      </c>
      <c r="G798" s="4" t="s">
        <v>35</v>
      </c>
      <c r="H798" s="4">
        <v>7</v>
      </c>
      <c r="I798" s="4">
        <v>5</v>
      </c>
      <c r="J798" s="4">
        <v>4</v>
      </c>
      <c r="K798" s="4">
        <v>4</v>
      </c>
      <c r="L798" s="4" t="str">
        <f t="shared" si="22"/>
        <v>NORMAL</v>
      </c>
      <c r="M798" s="4" t="str">
        <f t="shared" si="23"/>
        <v>LOW</v>
      </c>
      <c r="N798" s="4" t="str">
        <f t="shared" si="24"/>
        <v>SENIOR</v>
      </c>
      <c r="O798" s="4" t="str">
        <f t="shared" si="25"/>
        <v>STAGNANT</v>
      </c>
      <c r="P798" s="5" t="str">
        <f t="shared" si="26"/>
        <v>Medium_Pressure</v>
      </c>
      <c r="Q798" s="4" t="str">
        <f t="shared" si="27"/>
        <v>HIGHLY_ENGAGED</v>
      </c>
      <c r="R798" s="4" t="str">
        <f t="shared" si="21"/>
        <v>LOW</v>
      </c>
      <c r="S798" s="2"/>
      <c r="T798" s="2"/>
      <c r="U798" s="2"/>
      <c r="V798" s="2"/>
      <c r="W798" s="2"/>
      <c r="X798" s="2"/>
      <c r="Y798" s="2"/>
      <c r="Z798" s="2"/>
    </row>
    <row r="799" spans="1:26" ht="16.8" x14ac:dyDescent="0.3">
      <c r="A799" s="4">
        <v>1107</v>
      </c>
      <c r="B799" s="4" t="s">
        <v>35</v>
      </c>
      <c r="C799" s="4">
        <v>26</v>
      </c>
      <c r="D799" s="4" t="s">
        <v>45</v>
      </c>
      <c r="E799" s="4" t="s">
        <v>50</v>
      </c>
      <c r="F799" s="4">
        <v>2377</v>
      </c>
      <c r="G799" s="4" t="s">
        <v>43</v>
      </c>
      <c r="H799" s="4">
        <v>1</v>
      </c>
      <c r="I799" s="4">
        <v>0</v>
      </c>
      <c r="J799" s="4">
        <v>3</v>
      </c>
      <c r="K799" s="4">
        <v>2</v>
      </c>
      <c r="L799" s="4" t="str">
        <f t="shared" si="22"/>
        <v>NORMAL</v>
      </c>
      <c r="M799" s="4" t="str">
        <f t="shared" si="23"/>
        <v>LOW</v>
      </c>
      <c r="N799" s="4" t="str">
        <f t="shared" si="24"/>
        <v>NEW</v>
      </c>
      <c r="O799" s="4" t="str">
        <f t="shared" si="25"/>
        <v>RECENTLY PROMOTED</v>
      </c>
      <c r="P799" s="5" t="str">
        <f t="shared" si="26"/>
        <v>Low_Pressure</v>
      </c>
      <c r="Q799" s="4" t="str">
        <f t="shared" si="27"/>
        <v>DISENGAGED</v>
      </c>
      <c r="R799" s="4" t="str">
        <f t="shared" si="21"/>
        <v>LOW</v>
      </c>
      <c r="S799" s="2"/>
      <c r="T799" s="2"/>
      <c r="U799" s="2"/>
      <c r="V799" s="2"/>
      <c r="W799" s="2"/>
      <c r="X799" s="2"/>
      <c r="Y799" s="2"/>
      <c r="Z799" s="2"/>
    </row>
    <row r="800" spans="1:26" ht="16.8" x14ac:dyDescent="0.3">
      <c r="A800" s="4">
        <v>1108</v>
      </c>
      <c r="B800" s="4" t="s">
        <v>35</v>
      </c>
      <c r="C800" s="4">
        <v>33</v>
      </c>
      <c r="D800" s="4" t="s">
        <v>45</v>
      </c>
      <c r="E800" s="4" t="s">
        <v>47</v>
      </c>
      <c r="F800" s="4">
        <v>2313</v>
      </c>
      <c r="G800" s="4" t="s">
        <v>35</v>
      </c>
      <c r="H800" s="4">
        <v>2</v>
      </c>
      <c r="I800" s="4">
        <v>2</v>
      </c>
      <c r="J800" s="4">
        <v>2</v>
      </c>
      <c r="K800" s="4">
        <v>3</v>
      </c>
      <c r="L800" s="4" t="str">
        <f t="shared" si="22"/>
        <v>NORMAL</v>
      </c>
      <c r="M800" s="4" t="str">
        <f t="shared" si="23"/>
        <v>LOW</v>
      </c>
      <c r="N800" s="4" t="str">
        <f t="shared" si="24"/>
        <v>NEW</v>
      </c>
      <c r="O800" s="4" t="str">
        <f t="shared" si="25"/>
        <v>MODERATE-WAIT</v>
      </c>
      <c r="P800" s="5" t="str">
        <f t="shared" si="26"/>
        <v>Medium_Pressure</v>
      </c>
      <c r="Q800" s="4" t="str">
        <f t="shared" si="27"/>
        <v>DISENGAGED</v>
      </c>
      <c r="R800" s="4" t="str">
        <f t="shared" si="21"/>
        <v>LOW</v>
      </c>
      <c r="S800" s="2"/>
      <c r="T800" s="2"/>
      <c r="U800" s="2"/>
      <c r="V800" s="2"/>
      <c r="W800" s="2"/>
      <c r="X800" s="2"/>
      <c r="Y800" s="2"/>
      <c r="Z800" s="2"/>
    </row>
    <row r="801" spans="1:26" ht="16.8" x14ac:dyDescent="0.3">
      <c r="A801" s="4">
        <v>1109</v>
      </c>
      <c r="B801" s="4" t="s">
        <v>43</v>
      </c>
      <c r="C801" s="4">
        <v>42</v>
      </c>
      <c r="D801" s="4" t="s">
        <v>45</v>
      </c>
      <c r="E801" s="4" t="s">
        <v>56</v>
      </c>
      <c r="F801" s="4">
        <v>17665</v>
      </c>
      <c r="G801" s="4" t="s">
        <v>43</v>
      </c>
      <c r="H801" s="4">
        <v>22</v>
      </c>
      <c r="I801" s="4">
        <v>13</v>
      </c>
      <c r="J801" s="4">
        <v>1</v>
      </c>
      <c r="K801" s="4">
        <v>3</v>
      </c>
      <c r="L801" s="4" t="str">
        <f t="shared" si="22"/>
        <v>NORMAL</v>
      </c>
      <c r="M801" s="4" t="str">
        <f t="shared" si="23"/>
        <v>MEDIUM</v>
      </c>
      <c r="N801" s="4" t="str">
        <f t="shared" si="24"/>
        <v>SENIOR</v>
      </c>
      <c r="O801" s="4" t="str">
        <f t="shared" si="25"/>
        <v>STAGNANT</v>
      </c>
      <c r="P801" s="5" t="str">
        <f t="shared" si="26"/>
        <v>Medium_Pressure</v>
      </c>
      <c r="Q801" s="4" t="str">
        <f t="shared" si="27"/>
        <v>DISENGAGED</v>
      </c>
      <c r="R801" s="4" t="str">
        <f t="shared" si="21"/>
        <v>LOW</v>
      </c>
      <c r="S801" s="2"/>
      <c r="T801" s="2"/>
      <c r="U801" s="2"/>
      <c r="V801" s="2"/>
      <c r="W801" s="2"/>
      <c r="X801" s="2"/>
      <c r="Y801" s="2"/>
      <c r="Z801" s="2"/>
    </row>
    <row r="802" spans="1:26" ht="16.8" x14ac:dyDescent="0.3">
      <c r="A802" s="4">
        <v>1111</v>
      </c>
      <c r="B802" s="4" t="s">
        <v>35</v>
      </c>
      <c r="C802" s="4">
        <v>28</v>
      </c>
      <c r="D802" s="4" t="s">
        <v>45</v>
      </c>
      <c r="E802" s="4" t="s">
        <v>50</v>
      </c>
      <c r="F802" s="4">
        <v>2596</v>
      </c>
      <c r="G802" s="4" t="s">
        <v>43</v>
      </c>
      <c r="H802" s="4">
        <v>1</v>
      </c>
      <c r="I802" s="4">
        <v>0</v>
      </c>
      <c r="J802" s="4">
        <v>2</v>
      </c>
      <c r="K802" s="4">
        <v>3</v>
      </c>
      <c r="L802" s="4" t="str">
        <f t="shared" si="22"/>
        <v>NORMAL</v>
      </c>
      <c r="M802" s="4" t="str">
        <f t="shared" si="23"/>
        <v>LOW</v>
      </c>
      <c r="N802" s="4" t="str">
        <f t="shared" si="24"/>
        <v>NEW</v>
      </c>
      <c r="O802" s="4" t="str">
        <f t="shared" si="25"/>
        <v>RECENTLY PROMOTED</v>
      </c>
      <c r="P802" s="5" t="str">
        <f t="shared" si="26"/>
        <v>Medium_Pressure</v>
      </c>
      <c r="Q802" s="4" t="str">
        <f t="shared" si="27"/>
        <v>DISENGAGED</v>
      </c>
      <c r="R802" s="4" t="str">
        <f t="shared" si="21"/>
        <v>LOW</v>
      </c>
      <c r="S802" s="2"/>
      <c r="T802" s="2"/>
      <c r="U802" s="2"/>
      <c r="V802" s="2"/>
      <c r="W802" s="2"/>
      <c r="X802" s="2"/>
      <c r="Y802" s="2"/>
      <c r="Z802" s="2"/>
    </row>
    <row r="803" spans="1:26" ht="16.8" x14ac:dyDescent="0.3">
      <c r="A803" s="4">
        <v>1113</v>
      </c>
      <c r="B803" s="4" t="s">
        <v>35</v>
      </c>
      <c r="C803" s="4">
        <v>50</v>
      </c>
      <c r="D803" s="4" t="s">
        <v>37</v>
      </c>
      <c r="E803" s="4" t="s">
        <v>40</v>
      </c>
      <c r="F803" s="4">
        <v>4728</v>
      </c>
      <c r="G803" s="4" t="s">
        <v>35</v>
      </c>
      <c r="H803" s="4">
        <v>0</v>
      </c>
      <c r="I803" s="4">
        <v>0</v>
      </c>
      <c r="J803" s="4">
        <v>3</v>
      </c>
      <c r="K803" s="4">
        <v>3</v>
      </c>
      <c r="L803" s="4" t="str">
        <f t="shared" si="22"/>
        <v>NORMAL</v>
      </c>
      <c r="M803" s="4" t="str">
        <f t="shared" si="23"/>
        <v>HIGH</v>
      </c>
      <c r="N803" s="4" t="str">
        <f t="shared" si="24"/>
        <v>NEW</v>
      </c>
      <c r="O803" s="4" t="str">
        <f t="shared" si="25"/>
        <v>RECENTLY PROMOTED</v>
      </c>
      <c r="P803" s="5" t="str">
        <f t="shared" si="26"/>
        <v>Medium_Pressure</v>
      </c>
      <c r="Q803" s="4" t="str">
        <f t="shared" si="27"/>
        <v>HIGHLY_ENGAGED</v>
      </c>
      <c r="R803" s="4" t="str">
        <f t="shared" si="21"/>
        <v>LOW</v>
      </c>
      <c r="S803" s="2"/>
      <c r="T803" s="2"/>
      <c r="U803" s="2"/>
      <c r="V803" s="2"/>
      <c r="W803" s="2"/>
      <c r="X803" s="2"/>
      <c r="Y803" s="2"/>
      <c r="Z803" s="2"/>
    </row>
    <row r="804" spans="1:26" ht="16.8" x14ac:dyDescent="0.3">
      <c r="A804" s="4">
        <v>1114</v>
      </c>
      <c r="B804" s="4" t="s">
        <v>43</v>
      </c>
      <c r="C804" s="4">
        <v>33</v>
      </c>
      <c r="D804" s="4" t="s">
        <v>37</v>
      </c>
      <c r="E804" s="4" t="s">
        <v>40</v>
      </c>
      <c r="F804" s="4">
        <v>4302</v>
      </c>
      <c r="G804" s="4" t="s">
        <v>43</v>
      </c>
      <c r="H804" s="4">
        <v>3</v>
      </c>
      <c r="I804" s="4">
        <v>0</v>
      </c>
      <c r="J804" s="4">
        <v>2</v>
      </c>
      <c r="K804" s="4">
        <v>3</v>
      </c>
      <c r="L804" s="4" t="str">
        <f t="shared" si="22"/>
        <v>NORMAL</v>
      </c>
      <c r="M804" s="4" t="str">
        <f t="shared" si="23"/>
        <v>HIGH</v>
      </c>
      <c r="N804" s="4" t="str">
        <f t="shared" si="24"/>
        <v>MID</v>
      </c>
      <c r="O804" s="4" t="str">
        <f t="shared" si="25"/>
        <v>RECENTLY PROMOTED</v>
      </c>
      <c r="P804" s="5" t="str">
        <f t="shared" si="26"/>
        <v>Medium_Pressure</v>
      </c>
      <c r="Q804" s="4" t="str">
        <f t="shared" si="27"/>
        <v>DISENGAGED</v>
      </c>
      <c r="R804" s="4" t="str">
        <f t="shared" si="21"/>
        <v>LOW</v>
      </c>
      <c r="S804" s="2"/>
      <c r="T804" s="2"/>
      <c r="U804" s="2"/>
      <c r="V804" s="2"/>
      <c r="W804" s="2"/>
      <c r="X804" s="2"/>
      <c r="Y804" s="2"/>
      <c r="Z804" s="2"/>
    </row>
    <row r="805" spans="1:26" ht="16.8" x14ac:dyDescent="0.3">
      <c r="A805" s="4">
        <v>1115</v>
      </c>
      <c r="B805" s="4" t="s">
        <v>43</v>
      </c>
      <c r="C805" s="4">
        <v>34</v>
      </c>
      <c r="D805" s="4" t="s">
        <v>45</v>
      </c>
      <c r="E805" s="4" t="s">
        <v>47</v>
      </c>
      <c r="F805" s="4">
        <v>2979</v>
      </c>
      <c r="G805" s="4" t="s">
        <v>43</v>
      </c>
      <c r="H805" s="4">
        <v>0</v>
      </c>
      <c r="I805" s="4">
        <v>0</v>
      </c>
      <c r="J805" s="4">
        <v>4</v>
      </c>
      <c r="K805" s="4">
        <v>3</v>
      </c>
      <c r="L805" s="4" t="str">
        <f t="shared" si="22"/>
        <v>NORMAL</v>
      </c>
      <c r="M805" s="4" t="str">
        <f t="shared" si="23"/>
        <v>LOW</v>
      </c>
      <c r="N805" s="4" t="str">
        <f t="shared" si="24"/>
        <v>NEW</v>
      </c>
      <c r="O805" s="4" t="str">
        <f t="shared" si="25"/>
        <v>RECENTLY PROMOTED</v>
      </c>
      <c r="P805" s="5" t="str">
        <f t="shared" si="26"/>
        <v>Medium_Pressure</v>
      </c>
      <c r="Q805" s="4" t="str">
        <f t="shared" si="27"/>
        <v>HIGHLY_ENGAGED</v>
      </c>
      <c r="R805" s="4" t="str">
        <f t="shared" si="21"/>
        <v>LOW</v>
      </c>
      <c r="S805" s="2"/>
      <c r="T805" s="2"/>
      <c r="U805" s="2"/>
      <c r="V805" s="2"/>
      <c r="W805" s="2"/>
      <c r="X805" s="2"/>
      <c r="Y805" s="2"/>
      <c r="Z805" s="2"/>
    </row>
    <row r="806" spans="1:26" ht="16.8" x14ac:dyDescent="0.3">
      <c r="A806" s="4">
        <v>1116</v>
      </c>
      <c r="B806" s="4" t="s">
        <v>43</v>
      </c>
      <c r="C806" s="4">
        <v>48</v>
      </c>
      <c r="D806" s="4" t="s">
        <v>45</v>
      </c>
      <c r="E806" s="4" t="s">
        <v>56</v>
      </c>
      <c r="F806" s="4">
        <v>16885</v>
      </c>
      <c r="G806" s="4" t="s">
        <v>43</v>
      </c>
      <c r="H806" s="4">
        <v>5</v>
      </c>
      <c r="I806" s="4">
        <v>2</v>
      </c>
      <c r="J806" s="4">
        <v>4</v>
      </c>
      <c r="K806" s="4">
        <v>2</v>
      </c>
      <c r="L806" s="4" t="str">
        <f t="shared" si="22"/>
        <v>NORMAL</v>
      </c>
      <c r="M806" s="4" t="str">
        <f t="shared" si="23"/>
        <v>MEDIUM</v>
      </c>
      <c r="N806" s="4" t="str">
        <f t="shared" si="24"/>
        <v>MID</v>
      </c>
      <c r="O806" s="4" t="str">
        <f t="shared" si="25"/>
        <v>MODERATE-WAIT</v>
      </c>
      <c r="P806" s="5" t="str">
        <f t="shared" si="26"/>
        <v>Low_Pressure</v>
      </c>
      <c r="Q806" s="4" t="str">
        <f t="shared" si="27"/>
        <v>DISENGAGED</v>
      </c>
      <c r="R806" s="4" t="str">
        <f t="shared" si="21"/>
        <v>LOW</v>
      </c>
      <c r="S806" s="2"/>
      <c r="T806" s="2"/>
      <c r="U806" s="2"/>
      <c r="V806" s="2"/>
      <c r="W806" s="2"/>
      <c r="X806" s="2"/>
      <c r="Y806" s="2"/>
      <c r="Z806" s="2"/>
    </row>
    <row r="807" spans="1:26" ht="16.8" x14ac:dyDescent="0.3">
      <c r="A807" s="4">
        <v>1117</v>
      </c>
      <c r="B807" s="4" t="s">
        <v>43</v>
      </c>
      <c r="C807" s="4">
        <v>45</v>
      </c>
      <c r="D807" s="4" t="s">
        <v>37</v>
      </c>
      <c r="E807" s="4" t="s">
        <v>40</v>
      </c>
      <c r="F807" s="4">
        <v>5593</v>
      </c>
      <c r="G807" s="4" t="s">
        <v>43</v>
      </c>
      <c r="H807" s="4">
        <v>15</v>
      </c>
      <c r="I807" s="4">
        <v>4</v>
      </c>
      <c r="J807" s="4">
        <v>3</v>
      </c>
      <c r="K807" s="4">
        <v>3</v>
      </c>
      <c r="L807" s="4" t="str">
        <f t="shared" si="22"/>
        <v>NORMAL</v>
      </c>
      <c r="M807" s="4" t="str">
        <f t="shared" si="23"/>
        <v>HIGH</v>
      </c>
      <c r="N807" s="4" t="str">
        <f t="shared" si="24"/>
        <v>SENIOR</v>
      </c>
      <c r="O807" s="4" t="str">
        <f t="shared" si="25"/>
        <v>STAGNANT</v>
      </c>
      <c r="P807" s="5" t="str">
        <f t="shared" si="26"/>
        <v>Medium_Pressure</v>
      </c>
      <c r="Q807" s="4" t="str">
        <f t="shared" si="27"/>
        <v>HIGHLY_ENGAGED</v>
      </c>
      <c r="R807" s="4" t="str">
        <f t="shared" si="21"/>
        <v>LOW</v>
      </c>
      <c r="S807" s="2"/>
      <c r="T807" s="2"/>
      <c r="U807" s="2"/>
      <c r="V807" s="2"/>
      <c r="W807" s="2"/>
      <c r="X807" s="2"/>
      <c r="Y807" s="2"/>
      <c r="Z807" s="2"/>
    </row>
    <row r="808" spans="1:26" ht="16.8" x14ac:dyDescent="0.3">
      <c r="A808" s="4">
        <v>1118</v>
      </c>
      <c r="B808" s="4" t="s">
        <v>43</v>
      </c>
      <c r="C808" s="4">
        <v>52</v>
      </c>
      <c r="D808" s="4" t="s">
        <v>45</v>
      </c>
      <c r="E808" s="4" t="s">
        <v>54</v>
      </c>
      <c r="F808" s="4">
        <v>10445</v>
      </c>
      <c r="G808" s="4" t="s">
        <v>43</v>
      </c>
      <c r="H808" s="4">
        <v>8</v>
      </c>
      <c r="I808" s="4">
        <v>4</v>
      </c>
      <c r="J808" s="4">
        <v>2</v>
      </c>
      <c r="K808" s="4">
        <v>3</v>
      </c>
      <c r="L808" s="4" t="str">
        <f t="shared" si="22"/>
        <v>NORMAL</v>
      </c>
      <c r="M808" s="4" t="str">
        <f t="shared" si="23"/>
        <v>MEDIUM</v>
      </c>
      <c r="N808" s="4" t="str">
        <f t="shared" si="24"/>
        <v>SENIOR</v>
      </c>
      <c r="O808" s="4" t="str">
        <f t="shared" si="25"/>
        <v>STAGNANT</v>
      </c>
      <c r="P808" s="5" t="str">
        <f t="shared" si="26"/>
        <v>Medium_Pressure</v>
      </c>
      <c r="Q808" s="4" t="str">
        <f t="shared" si="27"/>
        <v>DISENGAGED</v>
      </c>
      <c r="R808" s="4" t="str">
        <f t="shared" si="21"/>
        <v>LOW</v>
      </c>
      <c r="S808" s="2"/>
      <c r="T808" s="2"/>
      <c r="U808" s="2"/>
      <c r="V808" s="2"/>
      <c r="W808" s="2"/>
      <c r="X808" s="2"/>
      <c r="Y808" s="2"/>
      <c r="Z808" s="2"/>
    </row>
    <row r="809" spans="1:26" ht="16.8" x14ac:dyDescent="0.3">
      <c r="A809" s="4">
        <v>1119</v>
      </c>
      <c r="B809" s="4" t="s">
        <v>43</v>
      </c>
      <c r="C809" s="4">
        <v>38</v>
      </c>
      <c r="D809" s="4" t="s">
        <v>37</v>
      </c>
      <c r="E809" s="4" t="s">
        <v>40</v>
      </c>
      <c r="F809" s="4">
        <v>8740</v>
      </c>
      <c r="G809" s="4" t="s">
        <v>35</v>
      </c>
      <c r="H809" s="4">
        <v>8</v>
      </c>
      <c r="I809" s="4">
        <v>2</v>
      </c>
      <c r="J809" s="4">
        <v>3</v>
      </c>
      <c r="K809" s="4">
        <v>3</v>
      </c>
      <c r="L809" s="4" t="str">
        <f t="shared" si="22"/>
        <v>NORMAL</v>
      </c>
      <c r="M809" s="4" t="str">
        <f t="shared" si="23"/>
        <v>HIGH</v>
      </c>
      <c r="N809" s="4" t="str">
        <f t="shared" si="24"/>
        <v>SENIOR</v>
      </c>
      <c r="O809" s="4" t="str">
        <f t="shared" si="25"/>
        <v>MODERATE-WAIT</v>
      </c>
      <c r="P809" s="5" t="str">
        <f t="shared" si="26"/>
        <v>Medium_Pressure</v>
      </c>
      <c r="Q809" s="4" t="str">
        <f t="shared" si="27"/>
        <v>HIGHLY_ENGAGED</v>
      </c>
      <c r="R809" s="4" t="str">
        <f t="shared" si="21"/>
        <v>LOW</v>
      </c>
      <c r="S809" s="2"/>
      <c r="T809" s="2"/>
      <c r="U809" s="2"/>
      <c r="V809" s="2"/>
      <c r="W809" s="2"/>
      <c r="X809" s="2"/>
      <c r="Y809" s="2"/>
      <c r="Z809" s="2"/>
    </row>
    <row r="810" spans="1:26" ht="16.8" x14ac:dyDescent="0.3">
      <c r="A810" s="4">
        <v>1120</v>
      </c>
      <c r="B810" s="4" t="s">
        <v>43</v>
      </c>
      <c r="C810" s="4">
        <v>29</v>
      </c>
      <c r="D810" s="4" t="s">
        <v>45</v>
      </c>
      <c r="E810" s="4" t="s">
        <v>47</v>
      </c>
      <c r="F810" s="4">
        <v>2514</v>
      </c>
      <c r="G810" s="4" t="s">
        <v>43</v>
      </c>
      <c r="H810" s="4">
        <v>7</v>
      </c>
      <c r="I810" s="4">
        <v>1</v>
      </c>
      <c r="J810" s="4">
        <v>4</v>
      </c>
      <c r="K810" s="4">
        <v>3</v>
      </c>
      <c r="L810" s="4" t="str">
        <f t="shared" si="22"/>
        <v>NORMAL</v>
      </c>
      <c r="M810" s="4" t="str">
        <f t="shared" si="23"/>
        <v>LOW</v>
      </c>
      <c r="N810" s="4" t="str">
        <f t="shared" si="24"/>
        <v>SENIOR</v>
      </c>
      <c r="O810" s="4" t="str">
        <f t="shared" si="25"/>
        <v>RECENTLY PROMOTED</v>
      </c>
      <c r="P810" s="5" t="str">
        <f t="shared" si="26"/>
        <v>Medium_Pressure</v>
      </c>
      <c r="Q810" s="4" t="str">
        <f t="shared" si="27"/>
        <v>HIGHLY_ENGAGED</v>
      </c>
      <c r="R810" s="4" t="str">
        <f t="shared" si="21"/>
        <v>LOW</v>
      </c>
      <c r="S810" s="2"/>
      <c r="T810" s="2"/>
      <c r="U810" s="2"/>
      <c r="V810" s="2"/>
      <c r="W810" s="2"/>
      <c r="X810" s="2"/>
      <c r="Y810" s="2"/>
      <c r="Z810" s="2"/>
    </row>
    <row r="811" spans="1:26" ht="16.8" x14ac:dyDescent="0.3">
      <c r="A811" s="4">
        <v>1121</v>
      </c>
      <c r="B811" s="4" t="s">
        <v>43</v>
      </c>
      <c r="C811" s="4">
        <v>28</v>
      </c>
      <c r="D811" s="4" t="s">
        <v>45</v>
      </c>
      <c r="E811" s="4" t="s">
        <v>53</v>
      </c>
      <c r="F811" s="4">
        <v>7655</v>
      </c>
      <c r="G811" s="4" t="s">
        <v>43</v>
      </c>
      <c r="H811" s="4">
        <v>9</v>
      </c>
      <c r="I811" s="4">
        <v>1</v>
      </c>
      <c r="J811" s="4">
        <v>2</v>
      </c>
      <c r="K811" s="4">
        <v>2</v>
      </c>
      <c r="L811" s="4" t="str">
        <f t="shared" si="22"/>
        <v>NORMAL</v>
      </c>
      <c r="M811" s="4" t="str">
        <f t="shared" si="23"/>
        <v>HIGH</v>
      </c>
      <c r="N811" s="4" t="str">
        <f t="shared" si="24"/>
        <v>SENIOR</v>
      </c>
      <c r="O811" s="4" t="str">
        <f t="shared" si="25"/>
        <v>RECENTLY PROMOTED</v>
      </c>
      <c r="P811" s="5" t="str">
        <f t="shared" si="26"/>
        <v>Low_Pressure</v>
      </c>
      <c r="Q811" s="4" t="str">
        <f t="shared" si="27"/>
        <v>DISENGAGED</v>
      </c>
      <c r="R811" s="4" t="str">
        <f t="shared" si="21"/>
        <v>LOW</v>
      </c>
      <c r="S811" s="2"/>
      <c r="T811" s="2"/>
      <c r="U811" s="2"/>
      <c r="V811" s="2"/>
      <c r="W811" s="2"/>
      <c r="X811" s="2"/>
      <c r="Y811" s="2"/>
      <c r="Z811" s="2"/>
    </row>
    <row r="812" spans="1:26" ht="16.8" x14ac:dyDescent="0.3">
      <c r="A812" s="4">
        <v>1124</v>
      </c>
      <c r="B812" s="4" t="s">
        <v>43</v>
      </c>
      <c r="C812" s="4">
        <v>46</v>
      </c>
      <c r="D812" s="4" t="s">
        <v>37</v>
      </c>
      <c r="E812" s="4" t="s">
        <v>56</v>
      </c>
      <c r="F812" s="4">
        <v>17465</v>
      </c>
      <c r="G812" s="4" t="s">
        <v>43</v>
      </c>
      <c r="H812" s="4">
        <v>12</v>
      </c>
      <c r="I812" s="4">
        <v>4</v>
      </c>
      <c r="J812" s="4">
        <v>3</v>
      </c>
      <c r="K812" s="4">
        <v>3</v>
      </c>
      <c r="L812" s="4" t="str">
        <f t="shared" si="22"/>
        <v>NORMAL</v>
      </c>
      <c r="M812" s="4" t="str">
        <f t="shared" si="23"/>
        <v>MEDIUM</v>
      </c>
      <c r="N812" s="4" t="str">
        <f t="shared" si="24"/>
        <v>SENIOR</v>
      </c>
      <c r="O812" s="4" t="str">
        <f t="shared" si="25"/>
        <v>STAGNANT</v>
      </c>
      <c r="P812" s="5" t="str">
        <f t="shared" si="26"/>
        <v>Medium_Pressure</v>
      </c>
      <c r="Q812" s="4" t="str">
        <f t="shared" si="27"/>
        <v>HIGHLY_ENGAGED</v>
      </c>
      <c r="R812" s="4" t="str">
        <f t="shared" si="21"/>
        <v>LOW</v>
      </c>
      <c r="S812" s="2"/>
      <c r="T812" s="2"/>
      <c r="U812" s="2"/>
      <c r="V812" s="2"/>
      <c r="W812" s="2"/>
      <c r="X812" s="2"/>
      <c r="Y812" s="2"/>
      <c r="Z812" s="2"/>
    </row>
    <row r="813" spans="1:26" ht="16.8" x14ac:dyDescent="0.3">
      <c r="A813" s="4">
        <v>1125</v>
      </c>
      <c r="B813" s="4" t="s">
        <v>43</v>
      </c>
      <c r="C813" s="4">
        <v>38</v>
      </c>
      <c r="D813" s="4" t="s">
        <v>37</v>
      </c>
      <c r="E813" s="4" t="s">
        <v>40</v>
      </c>
      <c r="F813" s="4">
        <v>7351</v>
      </c>
      <c r="G813" s="4" t="s">
        <v>43</v>
      </c>
      <c r="H813" s="4">
        <v>1</v>
      </c>
      <c r="I813" s="4">
        <v>0</v>
      </c>
      <c r="J813" s="4">
        <v>2</v>
      </c>
      <c r="K813" s="4">
        <v>3</v>
      </c>
      <c r="L813" s="4" t="str">
        <f t="shared" si="22"/>
        <v>NORMAL</v>
      </c>
      <c r="M813" s="4" t="str">
        <f t="shared" si="23"/>
        <v>HIGH</v>
      </c>
      <c r="N813" s="4" t="str">
        <f t="shared" si="24"/>
        <v>NEW</v>
      </c>
      <c r="O813" s="4" t="str">
        <f t="shared" si="25"/>
        <v>RECENTLY PROMOTED</v>
      </c>
      <c r="P813" s="5" t="str">
        <f t="shared" si="26"/>
        <v>Medium_Pressure</v>
      </c>
      <c r="Q813" s="4" t="str">
        <f t="shared" si="27"/>
        <v>DISENGAGED</v>
      </c>
      <c r="R813" s="4" t="str">
        <f t="shared" si="21"/>
        <v>LOW</v>
      </c>
      <c r="S813" s="2"/>
      <c r="T813" s="2"/>
      <c r="U813" s="2"/>
      <c r="V813" s="2"/>
      <c r="W813" s="2"/>
      <c r="X813" s="2"/>
      <c r="Y813" s="2"/>
      <c r="Z813" s="2"/>
    </row>
    <row r="814" spans="1:26" ht="16.8" x14ac:dyDescent="0.3">
      <c r="A814" s="4">
        <v>1126</v>
      </c>
      <c r="B814" s="4" t="s">
        <v>43</v>
      </c>
      <c r="C814" s="4">
        <v>43</v>
      </c>
      <c r="D814" s="4" t="s">
        <v>45</v>
      </c>
      <c r="E814" s="4" t="s">
        <v>53</v>
      </c>
      <c r="F814" s="4">
        <v>10820</v>
      </c>
      <c r="G814" s="4" t="s">
        <v>43</v>
      </c>
      <c r="H814" s="4">
        <v>8</v>
      </c>
      <c r="I814" s="4">
        <v>0</v>
      </c>
      <c r="J814" s="4">
        <v>1</v>
      </c>
      <c r="K814" s="4">
        <v>3</v>
      </c>
      <c r="L814" s="4" t="str">
        <f t="shared" si="22"/>
        <v>NORMAL</v>
      </c>
      <c r="M814" s="4" t="str">
        <f t="shared" si="23"/>
        <v>MEDIUM</v>
      </c>
      <c r="N814" s="4" t="str">
        <f t="shared" si="24"/>
        <v>SENIOR</v>
      </c>
      <c r="O814" s="4" t="str">
        <f t="shared" si="25"/>
        <v>RECENTLY PROMOTED</v>
      </c>
      <c r="P814" s="5" t="str">
        <f t="shared" si="26"/>
        <v>Medium_Pressure</v>
      </c>
      <c r="Q814" s="4" t="str">
        <f t="shared" si="27"/>
        <v>DISENGAGED</v>
      </c>
      <c r="R814" s="4" t="str">
        <f t="shared" si="21"/>
        <v>LOW</v>
      </c>
      <c r="S814" s="2"/>
      <c r="T814" s="2"/>
      <c r="U814" s="2"/>
      <c r="V814" s="2"/>
      <c r="W814" s="2"/>
      <c r="X814" s="2"/>
      <c r="Y814" s="2"/>
      <c r="Z814" s="2"/>
    </row>
    <row r="815" spans="1:26" ht="16.8" x14ac:dyDescent="0.3">
      <c r="A815" s="4">
        <v>1127</v>
      </c>
      <c r="B815" s="4" t="s">
        <v>35</v>
      </c>
      <c r="C815" s="4">
        <v>39</v>
      </c>
      <c r="D815" s="4" t="s">
        <v>45</v>
      </c>
      <c r="E815" s="4" t="s">
        <v>54</v>
      </c>
      <c r="F815" s="4">
        <v>12169</v>
      </c>
      <c r="G815" s="4" t="s">
        <v>43</v>
      </c>
      <c r="H815" s="4">
        <v>18</v>
      </c>
      <c r="I815" s="4">
        <v>11</v>
      </c>
      <c r="J815" s="4">
        <v>4</v>
      </c>
      <c r="K815" s="4">
        <v>3</v>
      </c>
      <c r="L815" s="4" t="str">
        <f t="shared" si="22"/>
        <v>NORMAL</v>
      </c>
      <c r="M815" s="4" t="str">
        <f t="shared" si="23"/>
        <v>MEDIUM</v>
      </c>
      <c r="N815" s="4" t="str">
        <f t="shared" si="24"/>
        <v>SENIOR</v>
      </c>
      <c r="O815" s="4" t="str">
        <f t="shared" si="25"/>
        <v>STAGNANT</v>
      </c>
      <c r="P815" s="5" t="str">
        <f t="shared" si="26"/>
        <v>Medium_Pressure</v>
      </c>
      <c r="Q815" s="4" t="str">
        <f t="shared" si="27"/>
        <v>HIGHLY_ENGAGED</v>
      </c>
      <c r="R815" s="4" t="str">
        <f t="shared" si="21"/>
        <v>LOW</v>
      </c>
      <c r="S815" s="2"/>
      <c r="T815" s="2"/>
      <c r="U815" s="2"/>
      <c r="V815" s="2"/>
      <c r="W815" s="2"/>
      <c r="X815" s="2"/>
      <c r="Y815" s="2"/>
      <c r="Z815" s="2"/>
    </row>
    <row r="816" spans="1:26" ht="16.8" x14ac:dyDescent="0.3">
      <c r="A816" s="4">
        <v>1128</v>
      </c>
      <c r="B816" s="4" t="s">
        <v>43</v>
      </c>
      <c r="C816" s="4">
        <v>40</v>
      </c>
      <c r="D816" s="4" t="s">
        <v>45</v>
      </c>
      <c r="E816" s="4" t="s">
        <v>58</v>
      </c>
      <c r="F816" s="4">
        <v>19626</v>
      </c>
      <c r="G816" s="4" t="s">
        <v>43</v>
      </c>
      <c r="H816" s="4">
        <v>20</v>
      </c>
      <c r="I816" s="4">
        <v>4</v>
      </c>
      <c r="J816" s="4">
        <v>3</v>
      </c>
      <c r="K816" s="4">
        <v>4</v>
      </c>
      <c r="L816" s="4" t="str">
        <f t="shared" si="22"/>
        <v>NORMAL</v>
      </c>
      <c r="M816" s="4" t="str">
        <f t="shared" si="23"/>
        <v>MEDIUM</v>
      </c>
      <c r="N816" s="4" t="str">
        <f t="shared" si="24"/>
        <v>SENIOR</v>
      </c>
      <c r="O816" s="4" t="str">
        <f t="shared" si="25"/>
        <v>STAGNANT</v>
      </c>
      <c r="P816" s="5" t="str">
        <f t="shared" si="26"/>
        <v>Low_Pressure</v>
      </c>
      <c r="Q816" s="4" t="str">
        <f t="shared" si="27"/>
        <v>HIGHLY_ENGAGED</v>
      </c>
      <c r="R816" s="4" t="str">
        <f t="shared" si="21"/>
        <v>LOW</v>
      </c>
      <c r="S816" s="2"/>
      <c r="T816" s="2"/>
      <c r="U816" s="2"/>
      <c r="V816" s="2"/>
      <c r="W816" s="2"/>
      <c r="X816" s="2"/>
      <c r="Y816" s="2"/>
      <c r="Z816" s="2"/>
    </row>
    <row r="817" spans="1:26" ht="16.8" x14ac:dyDescent="0.3">
      <c r="A817" s="4">
        <v>1131</v>
      </c>
      <c r="B817" s="4" t="s">
        <v>43</v>
      </c>
      <c r="C817" s="4">
        <v>21</v>
      </c>
      <c r="D817" s="4" t="s">
        <v>45</v>
      </c>
      <c r="E817" s="4" t="s">
        <v>47</v>
      </c>
      <c r="F817" s="4">
        <v>2070</v>
      </c>
      <c r="G817" s="4" t="s">
        <v>35</v>
      </c>
      <c r="H817" s="4">
        <v>2</v>
      </c>
      <c r="I817" s="4">
        <v>2</v>
      </c>
      <c r="J817" s="4">
        <v>2</v>
      </c>
      <c r="K817" s="4">
        <v>4</v>
      </c>
      <c r="L817" s="4" t="str">
        <f t="shared" si="22"/>
        <v>NORMAL</v>
      </c>
      <c r="M817" s="4" t="str">
        <f t="shared" si="23"/>
        <v>LOW</v>
      </c>
      <c r="N817" s="4" t="str">
        <f t="shared" si="24"/>
        <v>NEW</v>
      </c>
      <c r="O817" s="4" t="str">
        <f t="shared" si="25"/>
        <v>MODERATE-WAIT</v>
      </c>
      <c r="P817" s="5" t="str">
        <f t="shared" si="26"/>
        <v>Medium_Pressure</v>
      </c>
      <c r="Q817" s="4" t="str">
        <f t="shared" si="27"/>
        <v>DISENGAGED</v>
      </c>
      <c r="R817" s="4" t="str">
        <f t="shared" si="21"/>
        <v>LOW</v>
      </c>
      <c r="S817" s="2"/>
      <c r="T817" s="2"/>
      <c r="U817" s="2"/>
      <c r="V817" s="2"/>
      <c r="W817" s="2"/>
      <c r="X817" s="2"/>
      <c r="Y817" s="2"/>
      <c r="Z817" s="2"/>
    </row>
    <row r="818" spans="1:26" ht="16.8" x14ac:dyDescent="0.3">
      <c r="A818" s="4">
        <v>1132</v>
      </c>
      <c r="B818" s="4" t="s">
        <v>43</v>
      </c>
      <c r="C818" s="4">
        <v>39</v>
      </c>
      <c r="D818" s="4" t="s">
        <v>45</v>
      </c>
      <c r="E818" s="4" t="s">
        <v>50</v>
      </c>
      <c r="F818" s="4">
        <v>6782</v>
      </c>
      <c r="G818" s="4" t="s">
        <v>43</v>
      </c>
      <c r="H818" s="4">
        <v>5</v>
      </c>
      <c r="I818" s="4">
        <v>0</v>
      </c>
      <c r="J818" s="4">
        <v>2</v>
      </c>
      <c r="K818" s="4">
        <v>2</v>
      </c>
      <c r="L818" s="4" t="str">
        <f t="shared" si="22"/>
        <v>NORMAL</v>
      </c>
      <c r="M818" s="4" t="str">
        <f t="shared" si="23"/>
        <v>HIGH</v>
      </c>
      <c r="N818" s="4" t="str">
        <f t="shared" si="24"/>
        <v>MID</v>
      </c>
      <c r="O818" s="4" t="str">
        <f t="shared" si="25"/>
        <v>RECENTLY PROMOTED</v>
      </c>
      <c r="P818" s="5" t="str">
        <f t="shared" si="26"/>
        <v>Low_Pressure</v>
      </c>
      <c r="Q818" s="4" t="str">
        <f t="shared" si="27"/>
        <v>DISENGAGED</v>
      </c>
      <c r="R818" s="4" t="str">
        <f t="shared" si="21"/>
        <v>LOW</v>
      </c>
      <c r="S818" s="2"/>
      <c r="T818" s="2"/>
      <c r="U818" s="2"/>
      <c r="V818" s="2"/>
      <c r="W818" s="2"/>
      <c r="X818" s="2"/>
      <c r="Y818" s="2"/>
      <c r="Z818" s="2"/>
    </row>
    <row r="819" spans="1:26" ht="16.8" x14ac:dyDescent="0.3">
      <c r="A819" s="4">
        <v>1133</v>
      </c>
      <c r="B819" s="4" t="s">
        <v>43</v>
      </c>
      <c r="C819" s="4">
        <v>36</v>
      </c>
      <c r="D819" s="4" t="s">
        <v>45</v>
      </c>
      <c r="E819" s="4" t="s">
        <v>53</v>
      </c>
      <c r="F819" s="4">
        <v>7779</v>
      </c>
      <c r="G819" s="4" t="s">
        <v>43</v>
      </c>
      <c r="H819" s="4">
        <v>11</v>
      </c>
      <c r="I819" s="4">
        <v>0</v>
      </c>
      <c r="J819" s="4">
        <v>4</v>
      </c>
      <c r="K819" s="4">
        <v>3</v>
      </c>
      <c r="L819" s="4" t="str">
        <f t="shared" si="22"/>
        <v>NORMAL</v>
      </c>
      <c r="M819" s="4" t="str">
        <f t="shared" si="23"/>
        <v>HIGH</v>
      </c>
      <c r="N819" s="4" t="str">
        <f t="shared" si="24"/>
        <v>SENIOR</v>
      </c>
      <c r="O819" s="4" t="str">
        <f t="shared" si="25"/>
        <v>RECENTLY PROMOTED</v>
      </c>
      <c r="P819" s="5" t="str">
        <f t="shared" si="26"/>
        <v>Medium_Pressure</v>
      </c>
      <c r="Q819" s="4" t="str">
        <f t="shared" si="27"/>
        <v>HIGHLY_ENGAGED</v>
      </c>
      <c r="R819" s="4" t="str">
        <f t="shared" si="21"/>
        <v>LOW</v>
      </c>
      <c r="S819" s="2"/>
      <c r="T819" s="2"/>
      <c r="U819" s="2"/>
      <c r="V819" s="2"/>
      <c r="W819" s="2"/>
      <c r="X819" s="2"/>
      <c r="Y819" s="2"/>
      <c r="Z819" s="2"/>
    </row>
    <row r="820" spans="1:26" ht="16.8" x14ac:dyDescent="0.3">
      <c r="A820" s="4">
        <v>1135</v>
      </c>
      <c r="B820" s="4" t="s">
        <v>43</v>
      </c>
      <c r="C820" s="4">
        <v>31</v>
      </c>
      <c r="D820" s="4" t="s">
        <v>37</v>
      </c>
      <c r="E820" s="4" t="s">
        <v>57</v>
      </c>
      <c r="F820" s="4">
        <v>2791</v>
      </c>
      <c r="G820" s="4" t="s">
        <v>43</v>
      </c>
      <c r="H820" s="4">
        <v>2</v>
      </c>
      <c r="I820" s="4">
        <v>2</v>
      </c>
      <c r="J820" s="4">
        <v>4</v>
      </c>
      <c r="K820" s="4">
        <v>3</v>
      </c>
      <c r="L820" s="4" t="str">
        <f t="shared" si="22"/>
        <v>NORMAL</v>
      </c>
      <c r="M820" s="4" t="str">
        <f t="shared" si="23"/>
        <v>LOW</v>
      </c>
      <c r="N820" s="4" t="str">
        <f t="shared" si="24"/>
        <v>NEW</v>
      </c>
      <c r="O820" s="4" t="str">
        <f t="shared" si="25"/>
        <v>MODERATE-WAIT</v>
      </c>
      <c r="P820" s="5" t="str">
        <f t="shared" si="26"/>
        <v>Medium_Pressure</v>
      </c>
      <c r="Q820" s="4" t="str">
        <f t="shared" si="27"/>
        <v>HIGHLY_ENGAGED</v>
      </c>
      <c r="R820" s="4" t="str">
        <f t="shared" si="21"/>
        <v>LOW</v>
      </c>
      <c r="S820" s="2"/>
      <c r="T820" s="2"/>
      <c r="U820" s="2"/>
      <c r="V820" s="2"/>
      <c r="W820" s="2"/>
      <c r="X820" s="2"/>
      <c r="Y820" s="2"/>
      <c r="Z820" s="2"/>
    </row>
    <row r="821" spans="1:26" ht="16.8" x14ac:dyDescent="0.3">
      <c r="A821" s="4">
        <v>1136</v>
      </c>
      <c r="B821" s="4" t="s">
        <v>43</v>
      </c>
      <c r="C821" s="4">
        <v>28</v>
      </c>
      <c r="D821" s="4" t="s">
        <v>45</v>
      </c>
      <c r="E821" s="4" t="s">
        <v>47</v>
      </c>
      <c r="F821" s="4">
        <v>3201</v>
      </c>
      <c r="G821" s="4" t="s">
        <v>43</v>
      </c>
      <c r="H821" s="4">
        <v>5</v>
      </c>
      <c r="I821" s="4">
        <v>0</v>
      </c>
      <c r="J821" s="4">
        <v>2</v>
      </c>
      <c r="K821" s="4">
        <v>1</v>
      </c>
      <c r="L821" s="4" t="str">
        <f t="shared" si="22"/>
        <v>NORMAL</v>
      </c>
      <c r="M821" s="4" t="str">
        <f t="shared" si="23"/>
        <v>LOW</v>
      </c>
      <c r="N821" s="4" t="str">
        <f t="shared" si="24"/>
        <v>MID</v>
      </c>
      <c r="O821" s="4" t="str">
        <f t="shared" si="25"/>
        <v>RECENTLY PROMOTED</v>
      </c>
      <c r="P821" s="5" t="str">
        <f t="shared" si="26"/>
        <v>Low_Pressure</v>
      </c>
      <c r="Q821" s="4" t="str">
        <f t="shared" si="27"/>
        <v>DISENGAGED</v>
      </c>
      <c r="R821" s="4" t="str">
        <f t="shared" si="21"/>
        <v>LOW</v>
      </c>
      <c r="S821" s="2"/>
      <c r="T821" s="2"/>
      <c r="U821" s="2"/>
      <c r="V821" s="2"/>
      <c r="W821" s="2"/>
      <c r="X821" s="2"/>
      <c r="Y821" s="2"/>
      <c r="Z821" s="2"/>
    </row>
    <row r="822" spans="1:26" ht="16.8" x14ac:dyDescent="0.3">
      <c r="A822" s="4">
        <v>1137</v>
      </c>
      <c r="B822" s="4" t="s">
        <v>43</v>
      </c>
      <c r="C822" s="4">
        <v>35</v>
      </c>
      <c r="D822" s="4" t="s">
        <v>37</v>
      </c>
      <c r="E822" s="4" t="s">
        <v>40</v>
      </c>
      <c r="F822" s="4">
        <v>4968</v>
      </c>
      <c r="G822" s="4" t="s">
        <v>43</v>
      </c>
      <c r="H822" s="4">
        <v>5</v>
      </c>
      <c r="I822" s="4">
        <v>0</v>
      </c>
      <c r="J822" s="4">
        <v>4</v>
      </c>
      <c r="K822" s="4">
        <v>3</v>
      </c>
      <c r="L822" s="4" t="str">
        <f t="shared" si="22"/>
        <v>NORMAL</v>
      </c>
      <c r="M822" s="4" t="str">
        <f t="shared" si="23"/>
        <v>HIGH</v>
      </c>
      <c r="N822" s="4" t="str">
        <f t="shared" si="24"/>
        <v>MID</v>
      </c>
      <c r="O822" s="4" t="str">
        <f t="shared" si="25"/>
        <v>RECENTLY PROMOTED</v>
      </c>
      <c r="P822" s="5" t="str">
        <f t="shared" si="26"/>
        <v>Medium_Pressure</v>
      </c>
      <c r="Q822" s="4" t="str">
        <f t="shared" si="27"/>
        <v>HIGHLY_ENGAGED</v>
      </c>
      <c r="R822" s="4" t="str">
        <f t="shared" si="21"/>
        <v>LOW</v>
      </c>
      <c r="S822" s="2"/>
      <c r="T822" s="2"/>
      <c r="U822" s="2"/>
      <c r="V822" s="2"/>
      <c r="W822" s="2"/>
      <c r="X822" s="2"/>
      <c r="Y822" s="2"/>
      <c r="Z822" s="2"/>
    </row>
    <row r="823" spans="1:26" ht="16.8" x14ac:dyDescent="0.3">
      <c r="A823" s="4">
        <v>1138</v>
      </c>
      <c r="B823" s="4" t="s">
        <v>43</v>
      </c>
      <c r="C823" s="4">
        <v>49</v>
      </c>
      <c r="D823" s="4" t="s">
        <v>37</v>
      </c>
      <c r="E823" s="4" t="s">
        <v>40</v>
      </c>
      <c r="F823" s="4">
        <v>13120</v>
      </c>
      <c r="G823" s="4" t="s">
        <v>43</v>
      </c>
      <c r="H823" s="4">
        <v>9</v>
      </c>
      <c r="I823" s="4">
        <v>2</v>
      </c>
      <c r="J823" s="4">
        <v>2</v>
      </c>
      <c r="K823" s="4">
        <v>3</v>
      </c>
      <c r="L823" s="4" t="str">
        <f t="shared" si="22"/>
        <v>NORMAL</v>
      </c>
      <c r="M823" s="4" t="str">
        <f t="shared" si="23"/>
        <v>MEDIUM</v>
      </c>
      <c r="N823" s="4" t="str">
        <f t="shared" si="24"/>
        <v>SENIOR</v>
      </c>
      <c r="O823" s="4" t="str">
        <f t="shared" si="25"/>
        <v>MODERATE-WAIT</v>
      </c>
      <c r="P823" s="5" t="str">
        <f t="shared" si="26"/>
        <v>Medium_Pressure</v>
      </c>
      <c r="Q823" s="4" t="str">
        <f t="shared" si="27"/>
        <v>DISENGAGED</v>
      </c>
      <c r="R823" s="4" t="str">
        <f t="shared" si="21"/>
        <v>LOW</v>
      </c>
      <c r="S823" s="2"/>
      <c r="T823" s="2"/>
      <c r="U823" s="2"/>
      <c r="V823" s="2"/>
      <c r="W823" s="2"/>
      <c r="X823" s="2"/>
      <c r="Y823" s="2"/>
      <c r="Z823" s="2"/>
    </row>
    <row r="824" spans="1:26" ht="16.8" x14ac:dyDescent="0.3">
      <c r="A824" s="4">
        <v>1140</v>
      </c>
      <c r="B824" s="4" t="s">
        <v>43</v>
      </c>
      <c r="C824" s="4">
        <v>34</v>
      </c>
      <c r="D824" s="4" t="s">
        <v>45</v>
      </c>
      <c r="E824" s="4" t="s">
        <v>53</v>
      </c>
      <c r="F824" s="4">
        <v>4033</v>
      </c>
      <c r="G824" s="4" t="s">
        <v>43</v>
      </c>
      <c r="H824" s="4">
        <v>3</v>
      </c>
      <c r="I824" s="4">
        <v>0</v>
      </c>
      <c r="J824" s="4">
        <v>3</v>
      </c>
      <c r="K824" s="4">
        <v>2</v>
      </c>
      <c r="L824" s="4" t="str">
        <f t="shared" si="22"/>
        <v>NORMAL</v>
      </c>
      <c r="M824" s="4" t="str">
        <f t="shared" si="23"/>
        <v>HIGH</v>
      </c>
      <c r="N824" s="4" t="str">
        <f t="shared" si="24"/>
        <v>MID</v>
      </c>
      <c r="O824" s="4" t="str">
        <f t="shared" si="25"/>
        <v>RECENTLY PROMOTED</v>
      </c>
      <c r="P824" s="5" t="str">
        <f t="shared" si="26"/>
        <v>Low_Pressure</v>
      </c>
      <c r="Q824" s="4" t="str">
        <f t="shared" si="27"/>
        <v>DISENGAGED</v>
      </c>
      <c r="R824" s="4" t="str">
        <f t="shared" si="21"/>
        <v>LOW</v>
      </c>
      <c r="S824" s="2"/>
      <c r="T824" s="2"/>
      <c r="U824" s="2"/>
      <c r="V824" s="2"/>
      <c r="W824" s="2"/>
      <c r="X824" s="2"/>
      <c r="Y824" s="2"/>
      <c r="Z824" s="2"/>
    </row>
    <row r="825" spans="1:26" ht="16.8" x14ac:dyDescent="0.3">
      <c r="A825" s="4">
        <v>1143</v>
      </c>
      <c r="B825" s="4" t="s">
        <v>43</v>
      </c>
      <c r="C825" s="4">
        <v>29</v>
      </c>
      <c r="D825" s="4" t="s">
        <v>45</v>
      </c>
      <c r="E825" s="4" t="s">
        <v>47</v>
      </c>
      <c r="F825" s="4">
        <v>3291</v>
      </c>
      <c r="G825" s="4" t="s">
        <v>43</v>
      </c>
      <c r="H825" s="4">
        <v>7</v>
      </c>
      <c r="I825" s="4">
        <v>1</v>
      </c>
      <c r="J825" s="4">
        <v>2</v>
      </c>
      <c r="K825" s="4">
        <v>2</v>
      </c>
      <c r="L825" s="4" t="str">
        <f t="shared" si="22"/>
        <v>NORMAL</v>
      </c>
      <c r="M825" s="4" t="str">
        <f t="shared" si="23"/>
        <v>LOW</v>
      </c>
      <c r="N825" s="4" t="str">
        <f t="shared" si="24"/>
        <v>SENIOR</v>
      </c>
      <c r="O825" s="4" t="str">
        <f t="shared" si="25"/>
        <v>RECENTLY PROMOTED</v>
      </c>
      <c r="P825" s="5" t="str">
        <f t="shared" si="26"/>
        <v>Low_Pressure</v>
      </c>
      <c r="Q825" s="4" t="str">
        <f t="shared" si="27"/>
        <v>DISENGAGED</v>
      </c>
      <c r="R825" s="4" t="str">
        <f t="shared" si="21"/>
        <v>LOW</v>
      </c>
      <c r="S825" s="2"/>
      <c r="T825" s="2"/>
      <c r="U825" s="2"/>
      <c r="V825" s="2"/>
      <c r="W825" s="2"/>
      <c r="X825" s="2"/>
      <c r="Y825" s="2"/>
      <c r="Z825" s="2"/>
    </row>
    <row r="826" spans="1:26" ht="16.8" x14ac:dyDescent="0.3">
      <c r="A826" s="4">
        <v>1148</v>
      </c>
      <c r="B826" s="4" t="s">
        <v>43</v>
      </c>
      <c r="C826" s="4">
        <v>42</v>
      </c>
      <c r="D826" s="4" t="s">
        <v>45</v>
      </c>
      <c r="E826" s="4" t="s">
        <v>50</v>
      </c>
      <c r="F826" s="4">
        <v>4272</v>
      </c>
      <c r="G826" s="4" t="s">
        <v>43</v>
      </c>
      <c r="H826" s="4">
        <v>1</v>
      </c>
      <c r="I826" s="4">
        <v>0</v>
      </c>
      <c r="J826" s="4">
        <v>4</v>
      </c>
      <c r="K826" s="4">
        <v>3</v>
      </c>
      <c r="L826" s="4" t="str">
        <f t="shared" si="22"/>
        <v>NORMAL</v>
      </c>
      <c r="M826" s="4" t="str">
        <f t="shared" si="23"/>
        <v>HIGH</v>
      </c>
      <c r="N826" s="4" t="str">
        <f t="shared" si="24"/>
        <v>NEW</v>
      </c>
      <c r="O826" s="4" t="str">
        <f t="shared" si="25"/>
        <v>RECENTLY PROMOTED</v>
      </c>
      <c r="P826" s="5" t="str">
        <f t="shared" si="26"/>
        <v>Medium_Pressure</v>
      </c>
      <c r="Q826" s="4" t="str">
        <f t="shared" si="27"/>
        <v>HIGHLY_ENGAGED</v>
      </c>
      <c r="R826" s="4" t="str">
        <f t="shared" si="21"/>
        <v>LOW</v>
      </c>
      <c r="S826" s="2"/>
      <c r="T826" s="2"/>
      <c r="U826" s="2"/>
      <c r="V826" s="2"/>
      <c r="W826" s="2"/>
      <c r="X826" s="2"/>
      <c r="Y826" s="2"/>
      <c r="Z826" s="2"/>
    </row>
    <row r="827" spans="1:26" ht="16.8" x14ac:dyDescent="0.3">
      <c r="A827" s="4">
        <v>1150</v>
      </c>
      <c r="B827" s="4" t="s">
        <v>43</v>
      </c>
      <c r="C827" s="4">
        <v>29</v>
      </c>
      <c r="D827" s="4" t="s">
        <v>45</v>
      </c>
      <c r="E827" s="4" t="s">
        <v>53</v>
      </c>
      <c r="F827" s="4">
        <v>5056</v>
      </c>
      <c r="G827" s="4" t="s">
        <v>35</v>
      </c>
      <c r="H827" s="4">
        <v>10</v>
      </c>
      <c r="I827" s="4">
        <v>1</v>
      </c>
      <c r="J827" s="4">
        <v>4</v>
      </c>
      <c r="K827" s="4">
        <v>2</v>
      </c>
      <c r="L827" s="4" t="str">
        <f t="shared" si="22"/>
        <v>NORMAL</v>
      </c>
      <c r="M827" s="4" t="str">
        <f t="shared" si="23"/>
        <v>HIGH</v>
      </c>
      <c r="N827" s="4" t="str">
        <f t="shared" si="24"/>
        <v>SENIOR</v>
      </c>
      <c r="O827" s="4" t="str">
        <f t="shared" si="25"/>
        <v>RECENTLY PROMOTED</v>
      </c>
      <c r="P827" s="5" t="str">
        <f t="shared" si="26"/>
        <v>High_Pressure</v>
      </c>
      <c r="Q827" s="4" t="str">
        <f t="shared" si="27"/>
        <v>DISENGAGED</v>
      </c>
      <c r="R827" s="4" t="str">
        <f t="shared" si="21"/>
        <v>LOW</v>
      </c>
      <c r="S827" s="2"/>
      <c r="T827" s="2"/>
      <c r="U827" s="2"/>
      <c r="V827" s="2"/>
      <c r="W827" s="2"/>
      <c r="X827" s="2"/>
      <c r="Y827" s="2"/>
      <c r="Z827" s="2"/>
    </row>
    <row r="828" spans="1:26" ht="16.8" x14ac:dyDescent="0.3">
      <c r="A828" s="4">
        <v>1152</v>
      </c>
      <c r="B828" s="4" t="s">
        <v>43</v>
      </c>
      <c r="C828" s="4">
        <v>38</v>
      </c>
      <c r="D828" s="4" t="s">
        <v>61</v>
      </c>
      <c r="E828" s="4" t="s">
        <v>61</v>
      </c>
      <c r="F828" s="4">
        <v>2844</v>
      </c>
      <c r="G828" s="4" t="s">
        <v>43</v>
      </c>
      <c r="H828" s="4">
        <v>7</v>
      </c>
      <c r="I828" s="4">
        <v>5</v>
      </c>
      <c r="J828" s="4">
        <v>3</v>
      </c>
      <c r="K828" s="4">
        <v>4</v>
      </c>
      <c r="L828" s="4" t="str">
        <f t="shared" si="22"/>
        <v>NORMAL</v>
      </c>
      <c r="M828" s="4" t="str">
        <f t="shared" si="23"/>
        <v>LOW</v>
      </c>
      <c r="N828" s="4" t="str">
        <f t="shared" si="24"/>
        <v>SENIOR</v>
      </c>
      <c r="O828" s="4" t="str">
        <f t="shared" si="25"/>
        <v>STAGNANT</v>
      </c>
      <c r="P828" s="5" t="str">
        <f t="shared" si="26"/>
        <v>Low_Pressure</v>
      </c>
      <c r="Q828" s="4" t="str">
        <f t="shared" si="27"/>
        <v>HIGHLY_ENGAGED</v>
      </c>
      <c r="R828" s="4" t="str">
        <f t="shared" si="21"/>
        <v>LOW</v>
      </c>
      <c r="S828" s="2"/>
      <c r="T828" s="2"/>
      <c r="U828" s="2"/>
      <c r="V828" s="2"/>
      <c r="W828" s="2"/>
      <c r="X828" s="2"/>
      <c r="Y828" s="2"/>
      <c r="Z828" s="2"/>
    </row>
    <row r="829" spans="1:26" ht="16.8" x14ac:dyDescent="0.3">
      <c r="A829" s="4">
        <v>1154</v>
      </c>
      <c r="B829" s="4" t="s">
        <v>43</v>
      </c>
      <c r="C829" s="4">
        <v>28</v>
      </c>
      <c r="D829" s="4" t="s">
        <v>45</v>
      </c>
      <c r="E829" s="4" t="s">
        <v>47</v>
      </c>
      <c r="F829" s="4">
        <v>2703</v>
      </c>
      <c r="G829" s="4" t="s">
        <v>35</v>
      </c>
      <c r="H829" s="4">
        <v>3</v>
      </c>
      <c r="I829" s="4">
        <v>0</v>
      </c>
      <c r="J829" s="4">
        <v>3</v>
      </c>
      <c r="K829" s="4">
        <v>3</v>
      </c>
      <c r="L829" s="4" t="str">
        <f t="shared" si="22"/>
        <v>NORMAL</v>
      </c>
      <c r="M829" s="4" t="str">
        <f t="shared" si="23"/>
        <v>LOW</v>
      </c>
      <c r="N829" s="4" t="str">
        <f t="shared" si="24"/>
        <v>MID</v>
      </c>
      <c r="O829" s="4" t="str">
        <f t="shared" si="25"/>
        <v>RECENTLY PROMOTED</v>
      </c>
      <c r="P829" s="5" t="str">
        <f t="shared" si="26"/>
        <v>Medium_Pressure</v>
      </c>
      <c r="Q829" s="4" t="str">
        <f t="shared" si="27"/>
        <v>HIGHLY_ENGAGED</v>
      </c>
      <c r="R829" s="4" t="str">
        <f t="shared" si="21"/>
        <v>LOW</v>
      </c>
      <c r="S829" s="2"/>
      <c r="T829" s="2"/>
      <c r="U829" s="2"/>
      <c r="V829" s="2"/>
      <c r="W829" s="2"/>
      <c r="X829" s="2"/>
      <c r="Y829" s="2"/>
      <c r="Z829" s="2"/>
    </row>
    <row r="830" spans="1:26" ht="16.8" x14ac:dyDescent="0.3">
      <c r="A830" s="4">
        <v>1156</v>
      </c>
      <c r="B830" s="4" t="s">
        <v>35</v>
      </c>
      <c r="C830" s="4">
        <v>18</v>
      </c>
      <c r="D830" s="4" t="s">
        <v>45</v>
      </c>
      <c r="E830" s="4" t="s">
        <v>50</v>
      </c>
      <c r="F830" s="4">
        <v>1904</v>
      </c>
      <c r="G830" s="4" t="s">
        <v>43</v>
      </c>
      <c r="H830" s="4">
        <v>0</v>
      </c>
      <c r="I830" s="4">
        <v>0</v>
      </c>
      <c r="J830" s="4">
        <v>3</v>
      </c>
      <c r="K830" s="4">
        <v>3</v>
      </c>
      <c r="L830" s="4" t="str">
        <f t="shared" si="22"/>
        <v>NORMAL</v>
      </c>
      <c r="M830" s="4" t="str">
        <f t="shared" si="23"/>
        <v>LOW</v>
      </c>
      <c r="N830" s="4" t="str">
        <f t="shared" si="24"/>
        <v>NEW</v>
      </c>
      <c r="O830" s="4" t="str">
        <f t="shared" si="25"/>
        <v>RECENTLY PROMOTED</v>
      </c>
      <c r="P830" s="5" t="str">
        <f t="shared" si="26"/>
        <v>Medium_Pressure</v>
      </c>
      <c r="Q830" s="4" t="str">
        <f t="shared" si="27"/>
        <v>HIGHLY_ENGAGED</v>
      </c>
      <c r="R830" s="4" t="str">
        <f t="shared" si="21"/>
        <v>LOW</v>
      </c>
      <c r="S830" s="2"/>
      <c r="T830" s="2"/>
      <c r="U830" s="2"/>
      <c r="V830" s="2"/>
      <c r="W830" s="2"/>
      <c r="X830" s="2"/>
      <c r="Y830" s="2"/>
      <c r="Z830" s="2"/>
    </row>
    <row r="831" spans="1:26" ht="16.8" x14ac:dyDescent="0.3">
      <c r="A831" s="4">
        <v>1157</v>
      </c>
      <c r="B831" s="4" t="s">
        <v>35</v>
      </c>
      <c r="C831" s="4">
        <v>33</v>
      </c>
      <c r="D831" s="4" t="s">
        <v>37</v>
      </c>
      <c r="E831" s="4" t="s">
        <v>40</v>
      </c>
      <c r="F831" s="4">
        <v>8224</v>
      </c>
      <c r="G831" s="4" t="s">
        <v>35</v>
      </c>
      <c r="H831" s="4">
        <v>5</v>
      </c>
      <c r="I831" s="4">
        <v>0</v>
      </c>
      <c r="J831" s="4">
        <v>1</v>
      </c>
      <c r="K831" s="4">
        <v>3</v>
      </c>
      <c r="L831" s="4" t="str">
        <f t="shared" si="22"/>
        <v>NORMAL</v>
      </c>
      <c r="M831" s="4" t="str">
        <f t="shared" si="23"/>
        <v>HIGH</v>
      </c>
      <c r="N831" s="4" t="str">
        <f t="shared" si="24"/>
        <v>MID</v>
      </c>
      <c r="O831" s="4" t="str">
        <f t="shared" si="25"/>
        <v>RECENTLY PROMOTED</v>
      </c>
      <c r="P831" s="5" t="str">
        <f t="shared" si="26"/>
        <v>Medium_Pressure</v>
      </c>
      <c r="Q831" s="4" t="str">
        <f t="shared" si="27"/>
        <v>DISENGAGED</v>
      </c>
      <c r="R831" s="4" t="str">
        <f t="shared" si="21"/>
        <v>LOW</v>
      </c>
      <c r="S831" s="2"/>
      <c r="T831" s="2"/>
      <c r="U831" s="2"/>
      <c r="V831" s="2"/>
      <c r="W831" s="2"/>
      <c r="X831" s="2"/>
      <c r="Y831" s="2"/>
      <c r="Z831" s="2"/>
    </row>
    <row r="832" spans="1:26" ht="16.8" x14ac:dyDescent="0.3">
      <c r="A832" s="4">
        <v>1158</v>
      </c>
      <c r="B832" s="4" t="s">
        <v>43</v>
      </c>
      <c r="C832" s="4">
        <v>41</v>
      </c>
      <c r="D832" s="4" t="s">
        <v>45</v>
      </c>
      <c r="E832" s="4" t="s">
        <v>50</v>
      </c>
      <c r="F832" s="4">
        <v>4766</v>
      </c>
      <c r="G832" s="4" t="s">
        <v>35</v>
      </c>
      <c r="H832" s="4">
        <v>1</v>
      </c>
      <c r="I832" s="4">
        <v>0</v>
      </c>
      <c r="J832" s="4">
        <v>4</v>
      </c>
      <c r="K832" s="4">
        <v>3</v>
      </c>
      <c r="L832" s="4" t="str">
        <f t="shared" si="22"/>
        <v>NORMAL</v>
      </c>
      <c r="M832" s="4" t="str">
        <f t="shared" si="23"/>
        <v>HIGH</v>
      </c>
      <c r="N832" s="4" t="str">
        <f t="shared" si="24"/>
        <v>NEW</v>
      </c>
      <c r="O832" s="4" t="str">
        <f t="shared" si="25"/>
        <v>RECENTLY PROMOTED</v>
      </c>
      <c r="P832" s="5" t="str">
        <f t="shared" si="26"/>
        <v>Medium_Pressure</v>
      </c>
      <c r="Q832" s="4" t="str">
        <f t="shared" si="27"/>
        <v>HIGHLY_ENGAGED</v>
      </c>
      <c r="R832" s="4" t="str">
        <f t="shared" si="21"/>
        <v>LOW</v>
      </c>
      <c r="S832" s="2"/>
      <c r="T832" s="2"/>
      <c r="U832" s="2"/>
      <c r="V832" s="2"/>
      <c r="W832" s="2"/>
      <c r="X832" s="2"/>
      <c r="Y832" s="2"/>
      <c r="Z832" s="2"/>
    </row>
    <row r="833" spans="1:26" ht="16.8" x14ac:dyDescent="0.3">
      <c r="A833" s="4">
        <v>1160</v>
      </c>
      <c r="B833" s="4" t="s">
        <v>35</v>
      </c>
      <c r="C833" s="4">
        <v>31</v>
      </c>
      <c r="D833" s="4" t="s">
        <v>45</v>
      </c>
      <c r="E833" s="4" t="s">
        <v>50</v>
      </c>
      <c r="F833" s="4">
        <v>2610</v>
      </c>
      <c r="G833" s="4" t="s">
        <v>43</v>
      </c>
      <c r="H833" s="4">
        <v>2</v>
      </c>
      <c r="I833" s="4">
        <v>2</v>
      </c>
      <c r="J833" s="4">
        <v>3</v>
      </c>
      <c r="K833" s="4">
        <v>2</v>
      </c>
      <c r="L833" s="4" t="str">
        <f t="shared" si="22"/>
        <v>NORMAL</v>
      </c>
      <c r="M833" s="4" t="str">
        <f t="shared" si="23"/>
        <v>LOW</v>
      </c>
      <c r="N833" s="4" t="str">
        <f t="shared" si="24"/>
        <v>NEW</v>
      </c>
      <c r="O833" s="4" t="str">
        <f t="shared" si="25"/>
        <v>MODERATE-WAIT</v>
      </c>
      <c r="P833" s="5" t="str">
        <f t="shared" si="26"/>
        <v>Low_Pressure</v>
      </c>
      <c r="Q833" s="4" t="str">
        <f t="shared" si="27"/>
        <v>DISENGAGED</v>
      </c>
      <c r="R833" s="4" t="str">
        <f t="shared" si="21"/>
        <v>LOW</v>
      </c>
      <c r="S833" s="2"/>
      <c r="T833" s="2"/>
      <c r="U833" s="2"/>
      <c r="V833" s="2"/>
      <c r="W833" s="2"/>
      <c r="X833" s="2"/>
      <c r="Y833" s="2"/>
      <c r="Z833" s="2"/>
    </row>
    <row r="834" spans="1:26" ht="16.8" x14ac:dyDescent="0.3">
      <c r="A834" s="4">
        <v>1161</v>
      </c>
      <c r="B834" s="4" t="s">
        <v>43</v>
      </c>
      <c r="C834" s="4">
        <v>37</v>
      </c>
      <c r="D834" s="4" t="s">
        <v>45</v>
      </c>
      <c r="E834" s="4" t="s">
        <v>54</v>
      </c>
      <c r="F834" s="4">
        <v>5731</v>
      </c>
      <c r="G834" s="4" t="s">
        <v>43</v>
      </c>
      <c r="H834" s="4">
        <v>6</v>
      </c>
      <c r="I834" s="4">
        <v>1</v>
      </c>
      <c r="J834" s="4">
        <v>4</v>
      </c>
      <c r="K834" s="4">
        <v>3</v>
      </c>
      <c r="L834" s="4" t="str">
        <f t="shared" si="22"/>
        <v>NORMAL</v>
      </c>
      <c r="M834" s="4" t="str">
        <f t="shared" si="23"/>
        <v>HIGH</v>
      </c>
      <c r="N834" s="4" t="str">
        <f t="shared" si="24"/>
        <v>MID</v>
      </c>
      <c r="O834" s="4" t="str">
        <f t="shared" si="25"/>
        <v>RECENTLY PROMOTED</v>
      </c>
      <c r="P834" s="5" t="str">
        <f t="shared" si="26"/>
        <v>Medium_Pressure</v>
      </c>
      <c r="Q834" s="4" t="str">
        <f t="shared" si="27"/>
        <v>HIGHLY_ENGAGED</v>
      </c>
      <c r="R834" s="4" t="str">
        <f t="shared" si="21"/>
        <v>LOW</v>
      </c>
      <c r="S834" s="2"/>
      <c r="T834" s="2"/>
      <c r="U834" s="2"/>
      <c r="V834" s="2"/>
      <c r="W834" s="2"/>
      <c r="X834" s="2"/>
      <c r="Y834" s="2"/>
      <c r="Z834" s="2"/>
    </row>
    <row r="835" spans="1:26" ht="16.8" x14ac:dyDescent="0.3">
      <c r="A835" s="4">
        <v>1162</v>
      </c>
      <c r="B835" s="4" t="s">
        <v>43</v>
      </c>
      <c r="C835" s="4">
        <v>27</v>
      </c>
      <c r="D835" s="4" t="s">
        <v>45</v>
      </c>
      <c r="E835" s="4" t="s">
        <v>47</v>
      </c>
      <c r="F835" s="4">
        <v>2539</v>
      </c>
      <c r="G835" s="4" t="s">
        <v>43</v>
      </c>
      <c r="H835" s="4">
        <v>4</v>
      </c>
      <c r="I835" s="4">
        <v>2</v>
      </c>
      <c r="J835" s="4">
        <v>3</v>
      </c>
      <c r="K835" s="4">
        <v>3</v>
      </c>
      <c r="L835" s="4" t="str">
        <f t="shared" si="22"/>
        <v>NORMAL</v>
      </c>
      <c r="M835" s="4" t="str">
        <f t="shared" si="23"/>
        <v>LOW</v>
      </c>
      <c r="N835" s="4" t="str">
        <f t="shared" si="24"/>
        <v>MID</v>
      </c>
      <c r="O835" s="4" t="str">
        <f t="shared" si="25"/>
        <v>MODERATE-WAIT</v>
      </c>
      <c r="P835" s="5" t="str">
        <f t="shared" si="26"/>
        <v>Medium_Pressure</v>
      </c>
      <c r="Q835" s="4" t="str">
        <f t="shared" si="27"/>
        <v>HIGHLY_ENGAGED</v>
      </c>
      <c r="R835" s="4" t="str">
        <f t="shared" si="21"/>
        <v>LOW</v>
      </c>
      <c r="S835" s="2"/>
      <c r="T835" s="2"/>
      <c r="U835" s="2"/>
      <c r="V835" s="2"/>
      <c r="W835" s="2"/>
      <c r="X835" s="2"/>
      <c r="Y835" s="2"/>
      <c r="Z835" s="2"/>
    </row>
    <row r="836" spans="1:26" ht="16.8" x14ac:dyDescent="0.3">
      <c r="A836" s="4">
        <v>1163</v>
      </c>
      <c r="B836" s="4" t="s">
        <v>43</v>
      </c>
      <c r="C836" s="4">
        <v>34</v>
      </c>
      <c r="D836" s="4" t="s">
        <v>37</v>
      </c>
      <c r="E836" s="4" t="s">
        <v>40</v>
      </c>
      <c r="F836" s="4">
        <v>5714</v>
      </c>
      <c r="G836" s="4" t="s">
        <v>43</v>
      </c>
      <c r="H836" s="4">
        <v>6</v>
      </c>
      <c r="I836" s="4">
        <v>1</v>
      </c>
      <c r="J836" s="4">
        <v>3</v>
      </c>
      <c r="K836" s="4">
        <v>2</v>
      </c>
      <c r="L836" s="4" t="str">
        <f t="shared" si="22"/>
        <v>NORMAL</v>
      </c>
      <c r="M836" s="4" t="str">
        <f t="shared" si="23"/>
        <v>HIGH</v>
      </c>
      <c r="N836" s="4" t="str">
        <f t="shared" si="24"/>
        <v>MID</v>
      </c>
      <c r="O836" s="4" t="str">
        <f t="shared" si="25"/>
        <v>RECENTLY PROMOTED</v>
      </c>
      <c r="P836" s="5" t="str">
        <f t="shared" si="26"/>
        <v>Low_Pressure</v>
      </c>
      <c r="Q836" s="4" t="str">
        <f t="shared" si="27"/>
        <v>DISENGAGED</v>
      </c>
      <c r="R836" s="4" t="str">
        <f t="shared" si="21"/>
        <v>LOW</v>
      </c>
      <c r="S836" s="2"/>
      <c r="T836" s="2"/>
      <c r="U836" s="2"/>
      <c r="V836" s="2"/>
      <c r="W836" s="2"/>
      <c r="X836" s="2"/>
      <c r="Y836" s="2"/>
      <c r="Z836" s="2"/>
    </row>
    <row r="837" spans="1:26" ht="16.8" x14ac:dyDescent="0.3">
      <c r="A837" s="4">
        <v>1164</v>
      </c>
      <c r="B837" s="4" t="s">
        <v>43</v>
      </c>
      <c r="C837" s="4">
        <v>35</v>
      </c>
      <c r="D837" s="4" t="s">
        <v>61</v>
      </c>
      <c r="E837" s="4" t="s">
        <v>61</v>
      </c>
      <c r="F837" s="4">
        <v>4323</v>
      </c>
      <c r="G837" s="4" t="s">
        <v>43</v>
      </c>
      <c r="H837" s="4">
        <v>5</v>
      </c>
      <c r="I837" s="4">
        <v>1</v>
      </c>
      <c r="J837" s="4">
        <v>3</v>
      </c>
      <c r="K837" s="4">
        <v>1</v>
      </c>
      <c r="L837" s="4" t="str">
        <f t="shared" si="22"/>
        <v>NORMAL</v>
      </c>
      <c r="M837" s="4" t="str">
        <f t="shared" si="23"/>
        <v>HIGH</v>
      </c>
      <c r="N837" s="4" t="str">
        <f t="shared" si="24"/>
        <v>MID</v>
      </c>
      <c r="O837" s="4" t="str">
        <f t="shared" si="25"/>
        <v>RECENTLY PROMOTED</v>
      </c>
      <c r="P837" s="5" t="str">
        <f t="shared" si="26"/>
        <v>Low_Pressure</v>
      </c>
      <c r="Q837" s="4" t="str">
        <f t="shared" si="27"/>
        <v>DISENGAGED</v>
      </c>
      <c r="R837" s="4" t="str">
        <f t="shared" si="21"/>
        <v>LOW</v>
      </c>
      <c r="S837" s="2"/>
      <c r="T837" s="2"/>
      <c r="U837" s="2"/>
      <c r="V837" s="2"/>
      <c r="W837" s="2"/>
      <c r="X837" s="2"/>
      <c r="Y837" s="2"/>
      <c r="Z837" s="2"/>
    </row>
    <row r="838" spans="1:26" ht="16.8" x14ac:dyDescent="0.3">
      <c r="A838" s="4">
        <v>1165</v>
      </c>
      <c r="B838" s="4" t="s">
        <v>35</v>
      </c>
      <c r="C838" s="4">
        <v>29</v>
      </c>
      <c r="D838" s="4" t="s">
        <v>37</v>
      </c>
      <c r="E838" s="4" t="s">
        <v>40</v>
      </c>
      <c r="F838" s="4">
        <v>7336</v>
      </c>
      <c r="G838" s="4" t="s">
        <v>43</v>
      </c>
      <c r="H838" s="4">
        <v>11</v>
      </c>
      <c r="I838" s="4">
        <v>3</v>
      </c>
      <c r="J838" s="4">
        <v>1</v>
      </c>
      <c r="K838" s="4">
        <v>1</v>
      </c>
      <c r="L838" s="4" t="str">
        <f t="shared" si="22"/>
        <v>NORMAL</v>
      </c>
      <c r="M838" s="4" t="str">
        <f t="shared" si="23"/>
        <v>HIGH</v>
      </c>
      <c r="N838" s="4" t="str">
        <f t="shared" si="24"/>
        <v>SENIOR</v>
      </c>
      <c r="O838" s="4" t="str">
        <f t="shared" si="25"/>
        <v>MODERATE-WAIT</v>
      </c>
      <c r="P838" s="5" t="str">
        <f t="shared" si="26"/>
        <v>Low_Pressure</v>
      </c>
      <c r="Q838" s="4" t="str">
        <f t="shared" si="27"/>
        <v>DISENGAGED</v>
      </c>
      <c r="R838" s="4" t="str">
        <f t="shared" si="21"/>
        <v>LOW</v>
      </c>
      <c r="S838" s="2"/>
      <c r="T838" s="2"/>
      <c r="U838" s="2"/>
      <c r="V838" s="2"/>
      <c r="W838" s="2"/>
      <c r="X838" s="2"/>
      <c r="Y838" s="2"/>
      <c r="Z838" s="2"/>
    </row>
    <row r="839" spans="1:26" ht="16.8" x14ac:dyDescent="0.3">
      <c r="A839" s="4">
        <v>1166</v>
      </c>
      <c r="B839" s="4" t="s">
        <v>43</v>
      </c>
      <c r="C839" s="4">
        <v>40</v>
      </c>
      <c r="D839" s="4" t="s">
        <v>45</v>
      </c>
      <c r="E839" s="4" t="s">
        <v>58</v>
      </c>
      <c r="F839" s="4">
        <v>13499</v>
      </c>
      <c r="G839" s="4" t="s">
        <v>43</v>
      </c>
      <c r="H839" s="4">
        <v>18</v>
      </c>
      <c r="I839" s="4">
        <v>2</v>
      </c>
      <c r="J839" s="4">
        <v>3</v>
      </c>
      <c r="K839" s="4">
        <v>2</v>
      </c>
      <c r="L839" s="4" t="str">
        <f t="shared" si="22"/>
        <v>NORMAL</v>
      </c>
      <c r="M839" s="4" t="str">
        <f t="shared" si="23"/>
        <v>MEDIUM</v>
      </c>
      <c r="N839" s="4" t="str">
        <f t="shared" si="24"/>
        <v>SENIOR</v>
      </c>
      <c r="O839" s="4" t="str">
        <f t="shared" si="25"/>
        <v>MODERATE-WAIT</v>
      </c>
      <c r="P839" s="5" t="str">
        <f t="shared" si="26"/>
        <v>Low_Pressure</v>
      </c>
      <c r="Q839" s="4" t="str">
        <f t="shared" si="27"/>
        <v>DISENGAGED</v>
      </c>
      <c r="R839" s="4" t="str">
        <f t="shared" si="21"/>
        <v>LOW</v>
      </c>
      <c r="S839" s="2"/>
      <c r="T839" s="2"/>
      <c r="U839" s="2"/>
      <c r="V839" s="2"/>
      <c r="W839" s="2"/>
      <c r="X839" s="2"/>
      <c r="Y839" s="2"/>
      <c r="Z839" s="2"/>
    </row>
    <row r="840" spans="1:26" ht="16.8" x14ac:dyDescent="0.3">
      <c r="A840" s="4">
        <v>1167</v>
      </c>
      <c r="B840" s="4" t="s">
        <v>35</v>
      </c>
      <c r="C840" s="4">
        <v>42</v>
      </c>
      <c r="D840" s="4" t="s">
        <v>37</v>
      </c>
      <c r="E840" s="4" t="s">
        <v>40</v>
      </c>
      <c r="F840" s="4">
        <v>13758</v>
      </c>
      <c r="G840" s="4" t="s">
        <v>35</v>
      </c>
      <c r="H840" s="4">
        <v>21</v>
      </c>
      <c r="I840" s="4">
        <v>13</v>
      </c>
      <c r="J840" s="4">
        <v>1</v>
      </c>
      <c r="K840" s="4">
        <v>2</v>
      </c>
      <c r="L840" s="4" t="str">
        <f t="shared" si="22"/>
        <v>HIGH RISK</v>
      </c>
      <c r="M840" s="4" t="str">
        <f t="shared" si="23"/>
        <v>MEDIUM</v>
      </c>
      <c r="N840" s="4" t="str">
        <f t="shared" si="24"/>
        <v>SENIOR</v>
      </c>
      <c r="O840" s="4" t="str">
        <f t="shared" si="25"/>
        <v>STAGNANT</v>
      </c>
      <c r="P840" s="5" t="str">
        <f t="shared" si="26"/>
        <v>High_Pressure</v>
      </c>
      <c r="Q840" s="4" t="str">
        <f t="shared" si="27"/>
        <v>DISENGAGED</v>
      </c>
      <c r="R840" s="4" t="str">
        <f t="shared" ref="R840:R1094" si="28">IF(AND(L840="HIGH",O840="STAGNANT",P840="HIGH_PRESSURE",Q840="DISENGAGED"),
"CRITICAL",
IF(AND(L840="HIGH",M840="LOW",P840="HIGH_PRESSURE",Q840="MODERATELY_ENGAGED"),
"HIGH",
IF(AND(L840="NORMAL",M840="MEDIUM",O840="MODERATE-WAIT",P840="MEDIUM_PRESSURE",Q840="MODERATELY_ENGAGED"),
"MEDIUM",
"LOW")))</f>
        <v>LOW</v>
      </c>
      <c r="S840" s="2"/>
      <c r="T840" s="2"/>
      <c r="U840" s="2"/>
      <c r="V840" s="2"/>
      <c r="W840" s="2"/>
      <c r="X840" s="2"/>
      <c r="Y840" s="2"/>
      <c r="Z840" s="2"/>
    </row>
    <row r="841" spans="1:26" ht="16.8" x14ac:dyDescent="0.3">
      <c r="A841" s="4">
        <v>1171</v>
      </c>
      <c r="B841" s="4" t="s">
        <v>43</v>
      </c>
      <c r="C841" s="4">
        <v>42</v>
      </c>
      <c r="D841" s="4" t="s">
        <v>37</v>
      </c>
      <c r="E841" s="4" t="s">
        <v>40</v>
      </c>
      <c r="F841" s="4">
        <v>5155</v>
      </c>
      <c r="G841" s="4" t="s">
        <v>43</v>
      </c>
      <c r="H841" s="4">
        <v>6</v>
      </c>
      <c r="I841" s="4">
        <v>1</v>
      </c>
      <c r="J841" s="4">
        <v>1</v>
      </c>
      <c r="K841" s="4">
        <v>4</v>
      </c>
      <c r="L841" s="4" t="str">
        <f t="shared" si="22"/>
        <v>NORMAL</v>
      </c>
      <c r="M841" s="4" t="str">
        <f t="shared" si="23"/>
        <v>HIGH</v>
      </c>
      <c r="N841" s="4" t="str">
        <f t="shared" si="24"/>
        <v>MID</v>
      </c>
      <c r="O841" s="4" t="str">
        <f t="shared" si="25"/>
        <v>RECENTLY PROMOTED</v>
      </c>
      <c r="P841" s="5" t="str">
        <f t="shared" si="26"/>
        <v>Low_Pressure</v>
      </c>
      <c r="Q841" s="4" t="str">
        <f t="shared" si="27"/>
        <v>DISENGAGED</v>
      </c>
      <c r="R841" s="4" t="str">
        <f t="shared" si="28"/>
        <v>LOW</v>
      </c>
      <c r="S841" s="2"/>
      <c r="T841" s="2"/>
      <c r="U841" s="2"/>
      <c r="V841" s="2"/>
      <c r="W841" s="2"/>
      <c r="X841" s="2"/>
      <c r="Y841" s="2"/>
      <c r="Z841" s="2"/>
    </row>
    <row r="842" spans="1:26" ht="16.8" x14ac:dyDescent="0.3">
      <c r="A842" s="4">
        <v>1172</v>
      </c>
      <c r="B842" s="4" t="s">
        <v>43</v>
      </c>
      <c r="C842" s="4">
        <v>35</v>
      </c>
      <c r="D842" s="4" t="s">
        <v>45</v>
      </c>
      <c r="E842" s="4" t="s">
        <v>50</v>
      </c>
      <c r="F842" s="4">
        <v>2258</v>
      </c>
      <c r="G842" s="4" t="s">
        <v>43</v>
      </c>
      <c r="H842" s="4">
        <v>8</v>
      </c>
      <c r="I842" s="4">
        <v>1</v>
      </c>
      <c r="J842" s="4">
        <v>3</v>
      </c>
      <c r="K842" s="4">
        <v>3</v>
      </c>
      <c r="L842" s="4" t="str">
        <f t="shared" si="22"/>
        <v>NORMAL</v>
      </c>
      <c r="M842" s="4" t="str">
        <f t="shared" si="23"/>
        <v>LOW</v>
      </c>
      <c r="N842" s="4" t="str">
        <f t="shared" si="24"/>
        <v>SENIOR</v>
      </c>
      <c r="O842" s="4" t="str">
        <f t="shared" si="25"/>
        <v>RECENTLY PROMOTED</v>
      </c>
      <c r="P842" s="5" t="str">
        <f t="shared" si="26"/>
        <v>Medium_Pressure</v>
      </c>
      <c r="Q842" s="4" t="str">
        <f t="shared" si="27"/>
        <v>HIGHLY_ENGAGED</v>
      </c>
      <c r="R842" s="4" t="str">
        <f t="shared" si="28"/>
        <v>LOW</v>
      </c>
      <c r="S842" s="2"/>
      <c r="T842" s="2"/>
      <c r="U842" s="2"/>
      <c r="V842" s="2"/>
      <c r="W842" s="2"/>
      <c r="X842" s="2"/>
      <c r="Y842" s="2"/>
      <c r="Z842" s="2"/>
    </row>
    <row r="843" spans="1:26" ht="16.8" x14ac:dyDescent="0.3">
      <c r="A843" s="4">
        <v>1173</v>
      </c>
      <c r="B843" s="4" t="s">
        <v>43</v>
      </c>
      <c r="C843" s="4">
        <v>24</v>
      </c>
      <c r="D843" s="4" t="s">
        <v>45</v>
      </c>
      <c r="E843" s="4" t="s">
        <v>50</v>
      </c>
      <c r="F843" s="4">
        <v>3597</v>
      </c>
      <c r="G843" s="4" t="s">
        <v>43</v>
      </c>
      <c r="H843" s="4">
        <v>4</v>
      </c>
      <c r="I843" s="4">
        <v>1</v>
      </c>
      <c r="J843" s="4">
        <v>2</v>
      </c>
      <c r="K843" s="4">
        <v>3</v>
      </c>
      <c r="L843" s="4" t="str">
        <f t="shared" si="22"/>
        <v>NORMAL</v>
      </c>
      <c r="M843" s="4" t="str">
        <f t="shared" si="23"/>
        <v>LOW</v>
      </c>
      <c r="N843" s="4" t="str">
        <f t="shared" si="24"/>
        <v>MID</v>
      </c>
      <c r="O843" s="4" t="str">
        <f t="shared" si="25"/>
        <v>RECENTLY PROMOTED</v>
      </c>
      <c r="P843" s="5" t="str">
        <f t="shared" si="26"/>
        <v>Medium_Pressure</v>
      </c>
      <c r="Q843" s="4" t="str">
        <f t="shared" si="27"/>
        <v>DISENGAGED</v>
      </c>
      <c r="R843" s="4" t="str">
        <f t="shared" si="28"/>
        <v>LOW</v>
      </c>
      <c r="S843" s="2"/>
      <c r="T843" s="2"/>
      <c r="U843" s="2"/>
      <c r="V843" s="2"/>
      <c r="W843" s="2"/>
      <c r="X843" s="2"/>
      <c r="Y843" s="2"/>
      <c r="Z843" s="2"/>
    </row>
    <row r="844" spans="1:26" ht="16.8" x14ac:dyDescent="0.3">
      <c r="A844" s="4">
        <v>1175</v>
      </c>
      <c r="B844" s="4" t="s">
        <v>35</v>
      </c>
      <c r="C844" s="4">
        <v>28</v>
      </c>
      <c r="D844" s="4" t="s">
        <v>45</v>
      </c>
      <c r="E844" s="4" t="s">
        <v>50</v>
      </c>
      <c r="F844" s="4">
        <v>2515</v>
      </c>
      <c r="G844" s="4" t="s">
        <v>35</v>
      </c>
      <c r="H844" s="4">
        <v>1</v>
      </c>
      <c r="I844" s="4">
        <v>0</v>
      </c>
      <c r="J844" s="4">
        <v>4</v>
      </c>
      <c r="K844" s="4">
        <v>2</v>
      </c>
      <c r="L844" s="4" t="str">
        <f t="shared" si="22"/>
        <v>NORMAL</v>
      </c>
      <c r="M844" s="4" t="str">
        <f t="shared" si="23"/>
        <v>LOW</v>
      </c>
      <c r="N844" s="4" t="str">
        <f t="shared" si="24"/>
        <v>NEW</v>
      </c>
      <c r="O844" s="4" t="str">
        <f t="shared" si="25"/>
        <v>RECENTLY PROMOTED</v>
      </c>
      <c r="P844" s="5" t="str">
        <f t="shared" si="26"/>
        <v>High_Pressure</v>
      </c>
      <c r="Q844" s="4" t="str">
        <f t="shared" si="27"/>
        <v>DISENGAGED</v>
      </c>
      <c r="R844" s="4" t="str">
        <f t="shared" si="28"/>
        <v>LOW</v>
      </c>
      <c r="S844" s="2"/>
      <c r="T844" s="2"/>
      <c r="U844" s="2"/>
      <c r="V844" s="2"/>
      <c r="W844" s="2"/>
      <c r="X844" s="2"/>
      <c r="Y844" s="2"/>
      <c r="Z844" s="2"/>
    </row>
    <row r="845" spans="1:26" ht="16.8" x14ac:dyDescent="0.3">
      <c r="A845" s="4">
        <v>1177</v>
      </c>
      <c r="B845" s="4" t="s">
        <v>43</v>
      </c>
      <c r="C845" s="4">
        <v>26</v>
      </c>
      <c r="D845" s="4" t="s">
        <v>45</v>
      </c>
      <c r="E845" s="4" t="s">
        <v>50</v>
      </c>
      <c r="F845" s="4">
        <v>4420</v>
      </c>
      <c r="G845" s="4" t="s">
        <v>43</v>
      </c>
      <c r="H845" s="4">
        <v>8</v>
      </c>
      <c r="I845" s="4">
        <v>0</v>
      </c>
      <c r="J845" s="4">
        <v>4</v>
      </c>
      <c r="K845" s="4">
        <v>3</v>
      </c>
      <c r="L845" s="4" t="str">
        <f t="shared" si="22"/>
        <v>NORMAL</v>
      </c>
      <c r="M845" s="4" t="str">
        <f t="shared" si="23"/>
        <v>HIGH</v>
      </c>
      <c r="N845" s="4" t="str">
        <f t="shared" si="24"/>
        <v>SENIOR</v>
      </c>
      <c r="O845" s="4" t="str">
        <f t="shared" si="25"/>
        <v>RECENTLY PROMOTED</v>
      </c>
      <c r="P845" s="5" t="str">
        <f t="shared" si="26"/>
        <v>Medium_Pressure</v>
      </c>
      <c r="Q845" s="4" t="str">
        <f t="shared" si="27"/>
        <v>HIGHLY_ENGAGED</v>
      </c>
      <c r="R845" s="4" t="str">
        <f t="shared" si="28"/>
        <v>LOW</v>
      </c>
      <c r="S845" s="2"/>
      <c r="T845" s="2"/>
      <c r="U845" s="2"/>
      <c r="V845" s="2"/>
      <c r="W845" s="2"/>
      <c r="X845" s="2"/>
      <c r="Y845" s="2"/>
      <c r="Z845" s="2"/>
    </row>
    <row r="846" spans="1:26" ht="16.8" x14ac:dyDescent="0.3">
      <c r="A846" s="4">
        <v>1179</v>
      </c>
      <c r="B846" s="4" t="s">
        <v>43</v>
      </c>
      <c r="C846" s="4">
        <v>30</v>
      </c>
      <c r="D846" s="4" t="s">
        <v>37</v>
      </c>
      <c r="E846" s="4" t="s">
        <v>40</v>
      </c>
      <c r="F846" s="4">
        <v>6578</v>
      </c>
      <c r="G846" s="4" t="s">
        <v>43</v>
      </c>
      <c r="H846" s="4">
        <v>10</v>
      </c>
      <c r="I846" s="4">
        <v>1</v>
      </c>
      <c r="J846" s="4">
        <v>3</v>
      </c>
      <c r="K846" s="4">
        <v>3</v>
      </c>
      <c r="L846" s="4" t="str">
        <f t="shared" si="22"/>
        <v>NORMAL</v>
      </c>
      <c r="M846" s="4" t="str">
        <f t="shared" si="23"/>
        <v>HIGH</v>
      </c>
      <c r="N846" s="4" t="str">
        <f t="shared" si="24"/>
        <v>SENIOR</v>
      </c>
      <c r="O846" s="4" t="str">
        <f t="shared" si="25"/>
        <v>RECENTLY PROMOTED</v>
      </c>
      <c r="P846" s="5" t="str">
        <f t="shared" si="26"/>
        <v>Medium_Pressure</v>
      </c>
      <c r="Q846" s="4" t="str">
        <f t="shared" si="27"/>
        <v>HIGHLY_ENGAGED</v>
      </c>
      <c r="R846" s="4" t="str">
        <f t="shared" si="28"/>
        <v>LOW</v>
      </c>
      <c r="S846" s="2"/>
      <c r="T846" s="2"/>
      <c r="U846" s="2"/>
      <c r="V846" s="2"/>
      <c r="W846" s="2"/>
      <c r="X846" s="2"/>
      <c r="Y846" s="2"/>
      <c r="Z846" s="2"/>
    </row>
    <row r="847" spans="1:26" ht="16.8" x14ac:dyDescent="0.3">
      <c r="A847" s="4">
        <v>1180</v>
      </c>
      <c r="B847" s="4" t="s">
        <v>43</v>
      </c>
      <c r="C847" s="4">
        <v>40</v>
      </c>
      <c r="D847" s="4" t="s">
        <v>45</v>
      </c>
      <c r="E847" s="4" t="s">
        <v>47</v>
      </c>
      <c r="F847" s="4">
        <v>4422</v>
      </c>
      <c r="G847" s="4" t="s">
        <v>35</v>
      </c>
      <c r="H847" s="4">
        <v>1</v>
      </c>
      <c r="I847" s="4">
        <v>0</v>
      </c>
      <c r="J847" s="4">
        <v>4</v>
      </c>
      <c r="K847" s="4">
        <v>1</v>
      </c>
      <c r="L847" s="4" t="str">
        <f t="shared" si="22"/>
        <v>NORMAL</v>
      </c>
      <c r="M847" s="4" t="str">
        <f t="shared" si="23"/>
        <v>HIGH</v>
      </c>
      <c r="N847" s="4" t="str">
        <f t="shared" si="24"/>
        <v>NEW</v>
      </c>
      <c r="O847" s="4" t="str">
        <f t="shared" si="25"/>
        <v>RECENTLY PROMOTED</v>
      </c>
      <c r="P847" s="5" t="str">
        <f t="shared" si="26"/>
        <v>High_Pressure</v>
      </c>
      <c r="Q847" s="4" t="str">
        <f t="shared" si="27"/>
        <v>DISENGAGED</v>
      </c>
      <c r="R847" s="4" t="str">
        <f t="shared" si="28"/>
        <v>LOW</v>
      </c>
      <c r="S847" s="2"/>
      <c r="T847" s="2"/>
      <c r="U847" s="2"/>
      <c r="V847" s="2"/>
      <c r="W847" s="2"/>
      <c r="X847" s="2"/>
      <c r="Y847" s="2"/>
      <c r="Z847" s="2"/>
    </row>
    <row r="848" spans="1:26" ht="16.8" x14ac:dyDescent="0.3">
      <c r="A848" s="4">
        <v>1182</v>
      </c>
      <c r="B848" s="4" t="s">
        <v>43</v>
      </c>
      <c r="C848" s="4">
        <v>35</v>
      </c>
      <c r="D848" s="4" t="s">
        <v>45</v>
      </c>
      <c r="E848" s="4" t="s">
        <v>53</v>
      </c>
      <c r="F848" s="4">
        <v>10274</v>
      </c>
      <c r="G848" s="4" t="s">
        <v>43</v>
      </c>
      <c r="H848" s="4">
        <v>7</v>
      </c>
      <c r="I848" s="4">
        <v>6</v>
      </c>
      <c r="J848" s="4">
        <v>2</v>
      </c>
      <c r="K848" s="4">
        <v>4</v>
      </c>
      <c r="L848" s="4" t="str">
        <f t="shared" si="22"/>
        <v>NORMAL</v>
      </c>
      <c r="M848" s="4" t="str">
        <f t="shared" si="23"/>
        <v>MEDIUM</v>
      </c>
      <c r="N848" s="4" t="str">
        <f t="shared" si="24"/>
        <v>SENIOR</v>
      </c>
      <c r="O848" s="4" t="str">
        <f t="shared" si="25"/>
        <v>STAGNANT</v>
      </c>
      <c r="P848" s="5" t="str">
        <f t="shared" si="26"/>
        <v>Low_Pressure</v>
      </c>
      <c r="Q848" s="4" t="str">
        <f t="shared" si="27"/>
        <v>DISENGAGED</v>
      </c>
      <c r="R848" s="4" t="str">
        <f t="shared" si="28"/>
        <v>LOW</v>
      </c>
      <c r="S848" s="2"/>
      <c r="T848" s="2"/>
      <c r="U848" s="2"/>
      <c r="V848" s="2"/>
      <c r="W848" s="2"/>
      <c r="X848" s="2"/>
      <c r="Y848" s="2"/>
      <c r="Z848" s="2"/>
    </row>
    <row r="849" spans="1:26" ht="16.8" x14ac:dyDescent="0.3">
      <c r="A849" s="4">
        <v>1184</v>
      </c>
      <c r="B849" s="4" t="s">
        <v>43</v>
      </c>
      <c r="C849" s="4">
        <v>34</v>
      </c>
      <c r="D849" s="4" t="s">
        <v>45</v>
      </c>
      <c r="E849" s="4" t="s">
        <v>54</v>
      </c>
      <c r="F849" s="4">
        <v>5343</v>
      </c>
      <c r="G849" s="4" t="s">
        <v>43</v>
      </c>
      <c r="H849" s="4">
        <v>13</v>
      </c>
      <c r="I849" s="4">
        <v>4</v>
      </c>
      <c r="J849" s="4">
        <v>1</v>
      </c>
      <c r="K849" s="4">
        <v>3</v>
      </c>
      <c r="L849" s="4" t="str">
        <f t="shared" si="22"/>
        <v>NORMAL</v>
      </c>
      <c r="M849" s="4" t="str">
        <f t="shared" si="23"/>
        <v>HIGH</v>
      </c>
      <c r="N849" s="4" t="str">
        <f t="shared" si="24"/>
        <v>SENIOR</v>
      </c>
      <c r="O849" s="4" t="str">
        <f t="shared" si="25"/>
        <v>STAGNANT</v>
      </c>
      <c r="P849" s="5" t="str">
        <f t="shared" si="26"/>
        <v>Medium_Pressure</v>
      </c>
      <c r="Q849" s="4" t="str">
        <f t="shared" si="27"/>
        <v>DISENGAGED</v>
      </c>
      <c r="R849" s="4" t="str">
        <f t="shared" si="28"/>
        <v>LOW</v>
      </c>
      <c r="S849" s="2"/>
      <c r="T849" s="2"/>
      <c r="U849" s="2"/>
      <c r="V849" s="2"/>
      <c r="W849" s="2"/>
      <c r="X849" s="2"/>
      <c r="Y849" s="2"/>
      <c r="Z849" s="2"/>
    </row>
    <row r="850" spans="1:26" ht="16.8" x14ac:dyDescent="0.3">
      <c r="A850" s="4">
        <v>1185</v>
      </c>
      <c r="B850" s="4" t="s">
        <v>43</v>
      </c>
      <c r="C850" s="4">
        <v>35</v>
      </c>
      <c r="D850" s="4" t="s">
        <v>45</v>
      </c>
      <c r="E850" s="4" t="s">
        <v>50</v>
      </c>
      <c r="F850" s="4">
        <v>2376</v>
      </c>
      <c r="G850" s="4" t="s">
        <v>43</v>
      </c>
      <c r="H850" s="4">
        <v>2</v>
      </c>
      <c r="I850" s="4">
        <v>2</v>
      </c>
      <c r="J850" s="4">
        <v>4</v>
      </c>
      <c r="K850" s="4">
        <v>4</v>
      </c>
      <c r="L850" s="4" t="str">
        <f t="shared" si="22"/>
        <v>NORMAL</v>
      </c>
      <c r="M850" s="4" t="str">
        <f t="shared" si="23"/>
        <v>LOW</v>
      </c>
      <c r="N850" s="4" t="str">
        <f t="shared" si="24"/>
        <v>NEW</v>
      </c>
      <c r="O850" s="4" t="str">
        <f t="shared" si="25"/>
        <v>MODERATE-WAIT</v>
      </c>
      <c r="P850" s="5" t="str">
        <f t="shared" si="26"/>
        <v>Low_Pressure</v>
      </c>
      <c r="Q850" s="4" t="str">
        <f t="shared" si="27"/>
        <v>HIGHLY_ENGAGED</v>
      </c>
      <c r="R850" s="4" t="str">
        <f t="shared" si="28"/>
        <v>LOW</v>
      </c>
      <c r="S850" s="2"/>
      <c r="T850" s="2"/>
      <c r="U850" s="2"/>
      <c r="V850" s="2"/>
      <c r="W850" s="2"/>
      <c r="X850" s="2"/>
      <c r="Y850" s="2"/>
      <c r="Z850" s="2"/>
    </row>
    <row r="851" spans="1:26" ht="16.8" x14ac:dyDescent="0.3">
      <c r="A851" s="4">
        <v>1188</v>
      </c>
      <c r="B851" s="4" t="s">
        <v>35</v>
      </c>
      <c r="C851" s="4">
        <v>43</v>
      </c>
      <c r="D851" s="4" t="s">
        <v>37</v>
      </c>
      <c r="E851" s="4" t="s">
        <v>40</v>
      </c>
      <c r="F851" s="4">
        <v>5346</v>
      </c>
      <c r="G851" s="4" t="s">
        <v>43</v>
      </c>
      <c r="H851" s="4">
        <v>4</v>
      </c>
      <c r="I851" s="4">
        <v>1</v>
      </c>
      <c r="J851" s="4">
        <v>3</v>
      </c>
      <c r="K851" s="4">
        <v>2</v>
      </c>
      <c r="L851" s="4" t="str">
        <f t="shared" si="22"/>
        <v>NORMAL</v>
      </c>
      <c r="M851" s="4" t="str">
        <f t="shared" si="23"/>
        <v>HIGH</v>
      </c>
      <c r="N851" s="4" t="str">
        <f t="shared" si="24"/>
        <v>MID</v>
      </c>
      <c r="O851" s="4" t="str">
        <f t="shared" si="25"/>
        <v>RECENTLY PROMOTED</v>
      </c>
      <c r="P851" s="5" t="str">
        <f t="shared" si="26"/>
        <v>Low_Pressure</v>
      </c>
      <c r="Q851" s="4" t="str">
        <f t="shared" si="27"/>
        <v>DISENGAGED</v>
      </c>
      <c r="R851" s="4" t="str">
        <f t="shared" si="28"/>
        <v>LOW</v>
      </c>
      <c r="S851" s="2"/>
      <c r="T851" s="2"/>
      <c r="U851" s="2"/>
      <c r="V851" s="2"/>
      <c r="W851" s="2"/>
      <c r="X851" s="2"/>
      <c r="Y851" s="2"/>
      <c r="Z851" s="2"/>
    </row>
    <row r="852" spans="1:26" ht="16.8" x14ac:dyDescent="0.3">
      <c r="A852" s="4">
        <v>1190</v>
      </c>
      <c r="B852" s="4" t="s">
        <v>43</v>
      </c>
      <c r="C852" s="4">
        <v>32</v>
      </c>
      <c r="D852" s="4" t="s">
        <v>37</v>
      </c>
      <c r="E852" s="4" t="s">
        <v>57</v>
      </c>
      <c r="F852" s="4">
        <v>2827</v>
      </c>
      <c r="G852" s="4" t="s">
        <v>43</v>
      </c>
      <c r="H852" s="4">
        <v>1</v>
      </c>
      <c r="I852" s="4">
        <v>0</v>
      </c>
      <c r="J852" s="4">
        <v>1</v>
      </c>
      <c r="K852" s="4">
        <v>3</v>
      </c>
      <c r="L852" s="4" t="str">
        <f t="shared" si="22"/>
        <v>NORMAL</v>
      </c>
      <c r="M852" s="4" t="str">
        <f t="shared" si="23"/>
        <v>LOW</v>
      </c>
      <c r="N852" s="4" t="str">
        <f t="shared" si="24"/>
        <v>NEW</v>
      </c>
      <c r="O852" s="4" t="str">
        <f t="shared" si="25"/>
        <v>RECENTLY PROMOTED</v>
      </c>
      <c r="P852" s="5" t="str">
        <f t="shared" si="26"/>
        <v>Medium_Pressure</v>
      </c>
      <c r="Q852" s="4" t="str">
        <f t="shared" si="27"/>
        <v>DISENGAGED</v>
      </c>
      <c r="R852" s="4" t="str">
        <f t="shared" si="28"/>
        <v>LOW</v>
      </c>
      <c r="S852" s="2"/>
      <c r="T852" s="2"/>
      <c r="U852" s="2"/>
      <c r="V852" s="2"/>
      <c r="W852" s="2"/>
      <c r="X852" s="2"/>
      <c r="Y852" s="2"/>
      <c r="Z852" s="2"/>
    </row>
    <row r="853" spans="1:26" ht="16.8" x14ac:dyDescent="0.3">
      <c r="A853" s="4">
        <v>1191</v>
      </c>
      <c r="B853" s="4" t="s">
        <v>43</v>
      </c>
      <c r="C853" s="4">
        <v>56</v>
      </c>
      <c r="D853" s="4" t="s">
        <v>45</v>
      </c>
      <c r="E853" s="4" t="s">
        <v>56</v>
      </c>
      <c r="F853" s="4">
        <v>19943</v>
      </c>
      <c r="G853" s="4" t="s">
        <v>43</v>
      </c>
      <c r="H853" s="4">
        <v>5</v>
      </c>
      <c r="I853" s="4">
        <v>4</v>
      </c>
      <c r="J853" s="4">
        <v>1</v>
      </c>
      <c r="K853" s="4">
        <v>3</v>
      </c>
      <c r="L853" s="4" t="str">
        <f t="shared" si="22"/>
        <v>NORMAL</v>
      </c>
      <c r="M853" s="4" t="str">
        <f t="shared" si="23"/>
        <v>MEDIUM</v>
      </c>
      <c r="N853" s="4" t="str">
        <f t="shared" si="24"/>
        <v>MID</v>
      </c>
      <c r="O853" s="4" t="str">
        <f t="shared" si="25"/>
        <v>STAGNANT</v>
      </c>
      <c r="P853" s="5" t="str">
        <f t="shared" si="26"/>
        <v>Medium_Pressure</v>
      </c>
      <c r="Q853" s="4" t="str">
        <f t="shared" si="27"/>
        <v>DISENGAGED</v>
      </c>
      <c r="R853" s="4" t="str">
        <f t="shared" si="28"/>
        <v>LOW</v>
      </c>
      <c r="S853" s="2"/>
      <c r="T853" s="2"/>
      <c r="U853" s="2"/>
      <c r="V853" s="2"/>
      <c r="W853" s="2"/>
      <c r="X853" s="2"/>
      <c r="Y853" s="2"/>
      <c r="Z853" s="2"/>
    </row>
    <row r="854" spans="1:26" ht="16.8" x14ac:dyDescent="0.3">
      <c r="A854" s="4">
        <v>1192</v>
      </c>
      <c r="B854" s="4" t="s">
        <v>43</v>
      </c>
      <c r="C854" s="4">
        <v>29</v>
      </c>
      <c r="D854" s="4" t="s">
        <v>45</v>
      </c>
      <c r="E854" s="4" t="s">
        <v>50</v>
      </c>
      <c r="F854" s="4">
        <v>3131</v>
      </c>
      <c r="G854" s="4" t="s">
        <v>43</v>
      </c>
      <c r="H854" s="4">
        <v>10</v>
      </c>
      <c r="I854" s="4">
        <v>0</v>
      </c>
      <c r="J854" s="4">
        <v>4</v>
      </c>
      <c r="K854" s="4">
        <v>3</v>
      </c>
      <c r="L854" s="4" t="str">
        <f t="shared" si="22"/>
        <v>NORMAL</v>
      </c>
      <c r="M854" s="4" t="str">
        <f t="shared" si="23"/>
        <v>LOW</v>
      </c>
      <c r="N854" s="4" t="str">
        <f t="shared" si="24"/>
        <v>SENIOR</v>
      </c>
      <c r="O854" s="4" t="str">
        <f t="shared" si="25"/>
        <v>RECENTLY PROMOTED</v>
      </c>
      <c r="P854" s="5" t="str">
        <f t="shared" si="26"/>
        <v>Medium_Pressure</v>
      </c>
      <c r="Q854" s="4" t="str">
        <f t="shared" si="27"/>
        <v>HIGHLY_ENGAGED</v>
      </c>
      <c r="R854" s="4" t="str">
        <f t="shared" si="28"/>
        <v>LOW</v>
      </c>
      <c r="S854" s="2"/>
      <c r="T854" s="2"/>
      <c r="U854" s="2"/>
      <c r="V854" s="2"/>
      <c r="W854" s="2"/>
      <c r="X854" s="2"/>
      <c r="Y854" s="2"/>
      <c r="Z854" s="2"/>
    </row>
    <row r="855" spans="1:26" ht="16.8" x14ac:dyDescent="0.3">
      <c r="A855" s="4">
        <v>1193</v>
      </c>
      <c r="B855" s="4" t="s">
        <v>43</v>
      </c>
      <c r="C855" s="4">
        <v>19</v>
      </c>
      <c r="D855" s="4" t="s">
        <v>45</v>
      </c>
      <c r="E855" s="4" t="s">
        <v>47</v>
      </c>
      <c r="F855" s="4">
        <v>2552</v>
      </c>
      <c r="G855" s="4" t="s">
        <v>43</v>
      </c>
      <c r="H855" s="4">
        <v>1</v>
      </c>
      <c r="I855" s="4">
        <v>0</v>
      </c>
      <c r="J855" s="4">
        <v>1</v>
      </c>
      <c r="K855" s="4">
        <v>3</v>
      </c>
      <c r="L855" s="4" t="str">
        <f t="shared" si="22"/>
        <v>NORMAL</v>
      </c>
      <c r="M855" s="4" t="str">
        <f t="shared" si="23"/>
        <v>LOW</v>
      </c>
      <c r="N855" s="4" t="str">
        <f t="shared" si="24"/>
        <v>NEW</v>
      </c>
      <c r="O855" s="4" t="str">
        <f t="shared" si="25"/>
        <v>RECENTLY PROMOTED</v>
      </c>
      <c r="P855" s="5" t="str">
        <f t="shared" si="26"/>
        <v>Medium_Pressure</v>
      </c>
      <c r="Q855" s="4" t="str">
        <f t="shared" si="27"/>
        <v>DISENGAGED</v>
      </c>
      <c r="R855" s="4" t="str">
        <f t="shared" si="28"/>
        <v>LOW</v>
      </c>
      <c r="S855" s="2"/>
      <c r="T855" s="2"/>
      <c r="U855" s="2"/>
      <c r="V855" s="2"/>
      <c r="W855" s="2"/>
      <c r="X855" s="2"/>
      <c r="Y855" s="2"/>
      <c r="Z855" s="2"/>
    </row>
    <row r="856" spans="1:26" ht="16.8" x14ac:dyDescent="0.3">
      <c r="A856" s="4">
        <v>1195</v>
      </c>
      <c r="B856" s="4" t="s">
        <v>43</v>
      </c>
      <c r="C856" s="4">
        <v>45</v>
      </c>
      <c r="D856" s="4" t="s">
        <v>45</v>
      </c>
      <c r="E856" s="4" t="s">
        <v>47</v>
      </c>
      <c r="F856" s="4">
        <v>4477</v>
      </c>
      <c r="G856" s="4" t="s">
        <v>35</v>
      </c>
      <c r="H856" s="4">
        <v>3</v>
      </c>
      <c r="I856" s="4">
        <v>0</v>
      </c>
      <c r="J856" s="4">
        <v>3</v>
      </c>
      <c r="K856" s="4">
        <v>2</v>
      </c>
      <c r="L856" s="4" t="str">
        <f t="shared" si="22"/>
        <v>NORMAL</v>
      </c>
      <c r="M856" s="4" t="str">
        <f t="shared" si="23"/>
        <v>HIGH</v>
      </c>
      <c r="N856" s="4" t="str">
        <f t="shared" si="24"/>
        <v>MID</v>
      </c>
      <c r="O856" s="4" t="str">
        <f t="shared" si="25"/>
        <v>RECENTLY PROMOTED</v>
      </c>
      <c r="P856" s="5" t="str">
        <f t="shared" si="26"/>
        <v>High_Pressure</v>
      </c>
      <c r="Q856" s="4" t="str">
        <f t="shared" si="27"/>
        <v>DISENGAGED</v>
      </c>
      <c r="R856" s="4" t="str">
        <f t="shared" si="28"/>
        <v>LOW</v>
      </c>
      <c r="S856" s="2"/>
      <c r="T856" s="2"/>
      <c r="U856" s="2"/>
      <c r="V856" s="2"/>
      <c r="W856" s="2"/>
      <c r="X856" s="2"/>
      <c r="Y856" s="2"/>
      <c r="Z856" s="2"/>
    </row>
    <row r="857" spans="1:26" ht="16.8" x14ac:dyDescent="0.3">
      <c r="A857" s="4">
        <v>1196</v>
      </c>
      <c r="B857" s="4" t="s">
        <v>43</v>
      </c>
      <c r="C857" s="4">
        <v>37</v>
      </c>
      <c r="D857" s="4" t="s">
        <v>45</v>
      </c>
      <c r="E857" s="4" t="s">
        <v>53</v>
      </c>
      <c r="F857" s="4">
        <v>6474</v>
      </c>
      <c r="G857" s="4" t="s">
        <v>43</v>
      </c>
      <c r="H857" s="4">
        <v>14</v>
      </c>
      <c r="I857" s="4">
        <v>3</v>
      </c>
      <c r="J857" s="4">
        <v>4</v>
      </c>
      <c r="K857" s="4">
        <v>2</v>
      </c>
      <c r="L857" s="4" t="str">
        <f t="shared" si="22"/>
        <v>NORMAL</v>
      </c>
      <c r="M857" s="4" t="str">
        <f t="shared" si="23"/>
        <v>HIGH</v>
      </c>
      <c r="N857" s="4" t="str">
        <f t="shared" si="24"/>
        <v>SENIOR</v>
      </c>
      <c r="O857" s="4" t="str">
        <f t="shared" si="25"/>
        <v>MODERATE-WAIT</v>
      </c>
      <c r="P857" s="5" t="str">
        <f t="shared" si="26"/>
        <v>Low_Pressure</v>
      </c>
      <c r="Q857" s="4" t="str">
        <f t="shared" si="27"/>
        <v>DISENGAGED</v>
      </c>
      <c r="R857" s="4" t="str">
        <f t="shared" si="28"/>
        <v>LOW</v>
      </c>
      <c r="S857" s="2"/>
      <c r="T857" s="2"/>
      <c r="U857" s="2"/>
      <c r="V857" s="2"/>
      <c r="W857" s="2"/>
      <c r="X857" s="2"/>
      <c r="Y857" s="2"/>
      <c r="Z857" s="2"/>
    </row>
    <row r="858" spans="1:26" ht="16.8" x14ac:dyDescent="0.3">
      <c r="A858" s="4">
        <v>1198</v>
      </c>
      <c r="B858" s="4" t="s">
        <v>43</v>
      </c>
      <c r="C858" s="4">
        <v>20</v>
      </c>
      <c r="D858" s="4" t="s">
        <v>45</v>
      </c>
      <c r="E858" s="4" t="s">
        <v>50</v>
      </c>
      <c r="F858" s="4">
        <v>3033</v>
      </c>
      <c r="G858" s="4" t="s">
        <v>43</v>
      </c>
      <c r="H858" s="4">
        <v>2</v>
      </c>
      <c r="I858" s="4">
        <v>1</v>
      </c>
      <c r="J858" s="4">
        <v>3</v>
      </c>
      <c r="K858" s="4">
        <v>2</v>
      </c>
      <c r="L858" s="4" t="str">
        <f t="shared" si="22"/>
        <v>NORMAL</v>
      </c>
      <c r="M858" s="4" t="str">
        <f t="shared" si="23"/>
        <v>LOW</v>
      </c>
      <c r="N858" s="4" t="str">
        <f t="shared" si="24"/>
        <v>NEW</v>
      </c>
      <c r="O858" s="4" t="str">
        <f t="shared" si="25"/>
        <v>RECENTLY PROMOTED</v>
      </c>
      <c r="P858" s="5" t="str">
        <f t="shared" si="26"/>
        <v>Low_Pressure</v>
      </c>
      <c r="Q858" s="4" t="str">
        <f t="shared" si="27"/>
        <v>DISENGAGED</v>
      </c>
      <c r="R858" s="4" t="str">
        <f t="shared" si="28"/>
        <v>LOW</v>
      </c>
      <c r="S858" s="2"/>
      <c r="T858" s="2"/>
      <c r="U858" s="2"/>
      <c r="V858" s="2"/>
      <c r="W858" s="2"/>
      <c r="X858" s="2"/>
      <c r="Y858" s="2"/>
      <c r="Z858" s="2"/>
    </row>
    <row r="859" spans="1:26" ht="16.8" x14ac:dyDescent="0.3">
      <c r="A859" s="4">
        <v>1200</v>
      </c>
      <c r="B859" s="4" t="s">
        <v>35</v>
      </c>
      <c r="C859" s="4">
        <v>44</v>
      </c>
      <c r="D859" s="4" t="s">
        <v>45</v>
      </c>
      <c r="E859" s="4" t="s">
        <v>47</v>
      </c>
      <c r="F859" s="4">
        <v>2936</v>
      </c>
      <c r="G859" s="4" t="s">
        <v>35</v>
      </c>
      <c r="H859" s="4">
        <v>6</v>
      </c>
      <c r="I859" s="4">
        <v>0</v>
      </c>
      <c r="J859" s="4">
        <v>3</v>
      </c>
      <c r="K859" s="4">
        <v>3</v>
      </c>
      <c r="L859" s="4" t="str">
        <f t="shared" si="22"/>
        <v>NORMAL</v>
      </c>
      <c r="M859" s="4" t="str">
        <f t="shared" si="23"/>
        <v>LOW</v>
      </c>
      <c r="N859" s="4" t="str">
        <f t="shared" si="24"/>
        <v>MID</v>
      </c>
      <c r="O859" s="4" t="str">
        <f t="shared" si="25"/>
        <v>RECENTLY PROMOTED</v>
      </c>
      <c r="P859" s="5" t="str">
        <f t="shared" si="26"/>
        <v>Medium_Pressure</v>
      </c>
      <c r="Q859" s="4" t="str">
        <f t="shared" si="27"/>
        <v>HIGHLY_ENGAGED</v>
      </c>
      <c r="R859" s="4" t="str">
        <f t="shared" si="28"/>
        <v>LOW</v>
      </c>
      <c r="S859" s="2"/>
      <c r="T859" s="2"/>
      <c r="U859" s="2"/>
      <c r="V859" s="2"/>
      <c r="W859" s="2"/>
      <c r="X859" s="2"/>
      <c r="Y859" s="2"/>
      <c r="Z859" s="2"/>
    </row>
    <row r="860" spans="1:26" ht="16.8" x14ac:dyDescent="0.3">
      <c r="A860" s="4">
        <v>1201</v>
      </c>
      <c r="B860" s="4" t="s">
        <v>43</v>
      </c>
      <c r="C860" s="4">
        <v>53</v>
      </c>
      <c r="D860" s="4" t="s">
        <v>45</v>
      </c>
      <c r="E860" s="4" t="s">
        <v>56</v>
      </c>
      <c r="F860" s="4">
        <v>18606</v>
      </c>
      <c r="G860" s="4" t="s">
        <v>43</v>
      </c>
      <c r="H860" s="4">
        <v>7</v>
      </c>
      <c r="I860" s="4">
        <v>4</v>
      </c>
      <c r="J860" s="4">
        <v>3</v>
      </c>
      <c r="K860" s="4">
        <v>3</v>
      </c>
      <c r="L860" s="4" t="str">
        <f t="shared" si="22"/>
        <v>NORMAL</v>
      </c>
      <c r="M860" s="4" t="str">
        <f t="shared" si="23"/>
        <v>MEDIUM</v>
      </c>
      <c r="N860" s="4" t="str">
        <f t="shared" si="24"/>
        <v>SENIOR</v>
      </c>
      <c r="O860" s="4" t="str">
        <f t="shared" si="25"/>
        <v>STAGNANT</v>
      </c>
      <c r="P860" s="5" t="str">
        <f t="shared" si="26"/>
        <v>Medium_Pressure</v>
      </c>
      <c r="Q860" s="4" t="str">
        <f t="shared" si="27"/>
        <v>HIGHLY_ENGAGED</v>
      </c>
      <c r="R860" s="4" t="str">
        <f t="shared" si="28"/>
        <v>LOW</v>
      </c>
      <c r="S860" s="2"/>
      <c r="T860" s="2"/>
      <c r="U860" s="2"/>
      <c r="V860" s="2"/>
      <c r="W860" s="2"/>
      <c r="X860" s="2"/>
      <c r="Y860" s="2"/>
      <c r="Z860" s="2"/>
    </row>
    <row r="861" spans="1:26" ht="16.8" x14ac:dyDescent="0.3">
      <c r="A861" s="4">
        <v>1202</v>
      </c>
      <c r="B861" s="4" t="s">
        <v>43</v>
      </c>
      <c r="C861" s="4">
        <v>29</v>
      </c>
      <c r="D861" s="4" t="s">
        <v>45</v>
      </c>
      <c r="E861" s="4" t="s">
        <v>47</v>
      </c>
      <c r="F861" s="4">
        <v>2168</v>
      </c>
      <c r="G861" s="4" t="s">
        <v>35</v>
      </c>
      <c r="H861" s="4">
        <v>5</v>
      </c>
      <c r="I861" s="4">
        <v>1</v>
      </c>
      <c r="J861" s="4">
        <v>4</v>
      </c>
      <c r="K861" s="4">
        <v>2</v>
      </c>
      <c r="L861" s="4" t="str">
        <f t="shared" si="22"/>
        <v>NORMAL</v>
      </c>
      <c r="M861" s="4" t="str">
        <f t="shared" si="23"/>
        <v>LOW</v>
      </c>
      <c r="N861" s="4" t="str">
        <f t="shared" si="24"/>
        <v>MID</v>
      </c>
      <c r="O861" s="4" t="str">
        <f t="shared" si="25"/>
        <v>RECENTLY PROMOTED</v>
      </c>
      <c r="P861" s="5" t="str">
        <f t="shared" si="26"/>
        <v>High_Pressure</v>
      </c>
      <c r="Q861" s="4" t="str">
        <f t="shared" si="27"/>
        <v>DISENGAGED</v>
      </c>
      <c r="R861" s="4" t="str">
        <f t="shared" si="28"/>
        <v>LOW</v>
      </c>
      <c r="S861" s="2"/>
      <c r="T861" s="2"/>
      <c r="U861" s="2"/>
      <c r="V861" s="2"/>
      <c r="W861" s="2"/>
      <c r="X861" s="2"/>
      <c r="Y861" s="2"/>
      <c r="Z861" s="2"/>
    </row>
    <row r="862" spans="1:26" ht="16.8" x14ac:dyDescent="0.3">
      <c r="A862" s="4">
        <v>1203</v>
      </c>
      <c r="B862" s="4" t="s">
        <v>35</v>
      </c>
      <c r="C862" s="4">
        <v>22</v>
      </c>
      <c r="D862" s="4" t="s">
        <v>45</v>
      </c>
      <c r="E862" s="4" t="s">
        <v>47</v>
      </c>
      <c r="F862" s="4">
        <v>2853</v>
      </c>
      <c r="G862" s="4" t="s">
        <v>35</v>
      </c>
      <c r="H862" s="4">
        <v>0</v>
      </c>
      <c r="I862" s="4">
        <v>0</v>
      </c>
      <c r="J862" s="4">
        <v>4</v>
      </c>
      <c r="K862" s="4">
        <v>3</v>
      </c>
      <c r="L862" s="4" t="str">
        <f t="shared" si="22"/>
        <v>NORMAL</v>
      </c>
      <c r="M862" s="4" t="str">
        <f t="shared" si="23"/>
        <v>LOW</v>
      </c>
      <c r="N862" s="4" t="str">
        <f t="shared" si="24"/>
        <v>NEW</v>
      </c>
      <c r="O862" s="4" t="str">
        <f t="shared" si="25"/>
        <v>RECENTLY PROMOTED</v>
      </c>
      <c r="P862" s="5" t="str">
        <f t="shared" si="26"/>
        <v>Medium_Pressure</v>
      </c>
      <c r="Q862" s="4" t="str">
        <f t="shared" si="27"/>
        <v>HIGHLY_ENGAGED</v>
      </c>
      <c r="R862" s="4" t="str">
        <f t="shared" si="28"/>
        <v>LOW</v>
      </c>
      <c r="S862" s="2"/>
      <c r="T862" s="2"/>
      <c r="U862" s="2"/>
      <c r="V862" s="2"/>
      <c r="W862" s="2"/>
      <c r="X862" s="2"/>
      <c r="Y862" s="2"/>
      <c r="Z862" s="2"/>
    </row>
    <row r="863" spans="1:26" ht="16.8" x14ac:dyDescent="0.3">
      <c r="A863" s="4">
        <v>1204</v>
      </c>
      <c r="B863" s="4" t="s">
        <v>43</v>
      </c>
      <c r="C863" s="4">
        <v>46</v>
      </c>
      <c r="D863" s="4" t="s">
        <v>37</v>
      </c>
      <c r="E863" s="4" t="s">
        <v>56</v>
      </c>
      <c r="F863" s="4">
        <v>17048</v>
      </c>
      <c r="G863" s="4" t="s">
        <v>43</v>
      </c>
      <c r="H863" s="4">
        <v>26</v>
      </c>
      <c r="I863" s="4">
        <v>15</v>
      </c>
      <c r="J863" s="4">
        <v>1</v>
      </c>
      <c r="K863" s="4">
        <v>3</v>
      </c>
      <c r="L863" s="4" t="str">
        <f t="shared" si="22"/>
        <v>NORMAL</v>
      </c>
      <c r="M863" s="4" t="str">
        <f t="shared" si="23"/>
        <v>MEDIUM</v>
      </c>
      <c r="N863" s="4" t="str">
        <f t="shared" si="24"/>
        <v>SENIOR</v>
      </c>
      <c r="O863" s="4" t="str">
        <f t="shared" si="25"/>
        <v>STAGNANT</v>
      </c>
      <c r="P863" s="5" t="str">
        <f t="shared" si="26"/>
        <v>Medium_Pressure</v>
      </c>
      <c r="Q863" s="4" t="str">
        <f t="shared" si="27"/>
        <v>DISENGAGED</v>
      </c>
      <c r="R863" s="4" t="str">
        <f t="shared" si="28"/>
        <v>LOW</v>
      </c>
      <c r="S863" s="2"/>
      <c r="T863" s="2"/>
      <c r="U863" s="2"/>
      <c r="V863" s="2"/>
      <c r="W863" s="2"/>
      <c r="X863" s="2"/>
      <c r="Y863" s="2"/>
      <c r="Z863" s="2"/>
    </row>
    <row r="864" spans="1:26" ht="16.8" x14ac:dyDescent="0.3">
      <c r="A864" s="4">
        <v>1206</v>
      </c>
      <c r="B864" s="4" t="s">
        <v>43</v>
      </c>
      <c r="C864" s="4">
        <v>44</v>
      </c>
      <c r="D864" s="4" t="s">
        <v>45</v>
      </c>
      <c r="E864" s="4" t="s">
        <v>47</v>
      </c>
      <c r="F864" s="4">
        <v>2290</v>
      </c>
      <c r="G864" s="4" t="s">
        <v>43</v>
      </c>
      <c r="H864" s="4">
        <v>0</v>
      </c>
      <c r="I864" s="4">
        <v>0</v>
      </c>
      <c r="J864" s="4">
        <v>3</v>
      </c>
      <c r="K864" s="4">
        <v>3</v>
      </c>
      <c r="L864" s="4" t="str">
        <f t="shared" si="22"/>
        <v>NORMAL</v>
      </c>
      <c r="M864" s="4" t="str">
        <f t="shared" si="23"/>
        <v>LOW</v>
      </c>
      <c r="N864" s="4" t="str">
        <f t="shared" si="24"/>
        <v>NEW</v>
      </c>
      <c r="O864" s="4" t="str">
        <f t="shared" si="25"/>
        <v>RECENTLY PROMOTED</v>
      </c>
      <c r="P864" s="5" t="str">
        <f t="shared" si="26"/>
        <v>Medium_Pressure</v>
      </c>
      <c r="Q864" s="4" t="str">
        <f t="shared" si="27"/>
        <v>HIGHLY_ENGAGED</v>
      </c>
      <c r="R864" s="4" t="str">
        <f t="shared" si="28"/>
        <v>LOW</v>
      </c>
      <c r="S864" s="2"/>
      <c r="T864" s="2"/>
      <c r="U864" s="2"/>
      <c r="V864" s="2"/>
      <c r="W864" s="2"/>
      <c r="X864" s="2"/>
      <c r="Y864" s="2"/>
      <c r="Z864" s="2"/>
    </row>
    <row r="865" spans="1:26" ht="16.8" x14ac:dyDescent="0.3">
      <c r="A865" s="4">
        <v>1207</v>
      </c>
      <c r="B865" s="4" t="s">
        <v>43</v>
      </c>
      <c r="C865" s="4">
        <v>33</v>
      </c>
      <c r="D865" s="4" t="s">
        <v>61</v>
      </c>
      <c r="E865" s="4" t="s">
        <v>61</v>
      </c>
      <c r="F865" s="4">
        <v>3600</v>
      </c>
      <c r="G865" s="4" t="s">
        <v>43</v>
      </c>
      <c r="H865" s="4">
        <v>5</v>
      </c>
      <c r="I865" s="4">
        <v>1</v>
      </c>
      <c r="J865" s="4">
        <v>3</v>
      </c>
      <c r="K865" s="4">
        <v>3</v>
      </c>
      <c r="L865" s="4" t="str">
        <f t="shared" si="22"/>
        <v>NORMAL</v>
      </c>
      <c r="M865" s="4" t="str">
        <f t="shared" si="23"/>
        <v>LOW</v>
      </c>
      <c r="N865" s="4" t="str">
        <f t="shared" si="24"/>
        <v>MID</v>
      </c>
      <c r="O865" s="4" t="str">
        <f t="shared" si="25"/>
        <v>RECENTLY PROMOTED</v>
      </c>
      <c r="P865" s="5" t="str">
        <f t="shared" si="26"/>
        <v>Medium_Pressure</v>
      </c>
      <c r="Q865" s="4" t="str">
        <f t="shared" si="27"/>
        <v>HIGHLY_ENGAGED</v>
      </c>
      <c r="R865" s="4" t="str">
        <f t="shared" si="28"/>
        <v>LOW</v>
      </c>
      <c r="S865" s="2"/>
      <c r="T865" s="2"/>
      <c r="U865" s="2"/>
      <c r="V865" s="2"/>
      <c r="W865" s="2"/>
      <c r="X865" s="2"/>
      <c r="Y865" s="2"/>
      <c r="Z865" s="2"/>
    </row>
    <row r="866" spans="1:26" ht="16.8" x14ac:dyDescent="0.3">
      <c r="A866" s="4">
        <v>1210</v>
      </c>
      <c r="B866" s="4" t="s">
        <v>35</v>
      </c>
      <c r="C866" s="4">
        <v>41</v>
      </c>
      <c r="D866" s="4" t="s">
        <v>45</v>
      </c>
      <c r="E866" s="4" t="s">
        <v>47</v>
      </c>
      <c r="F866" s="4">
        <v>2107</v>
      </c>
      <c r="G866" s="4" t="s">
        <v>43</v>
      </c>
      <c r="H866" s="4">
        <v>1</v>
      </c>
      <c r="I866" s="4">
        <v>0</v>
      </c>
      <c r="J866" s="4">
        <v>1</v>
      </c>
      <c r="K866" s="4">
        <v>1</v>
      </c>
      <c r="L866" s="4" t="str">
        <f t="shared" si="22"/>
        <v>NORMAL</v>
      </c>
      <c r="M866" s="4" t="str">
        <f t="shared" si="23"/>
        <v>LOW</v>
      </c>
      <c r="N866" s="4" t="str">
        <f t="shared" si="24"/>
        <v>NEW</v>
      </c>
      <c r="O866" s="4" t="str">
        <f t="shared" si="25"/>
        <v>RECENTLY PROMOTED</v>
      </c>
      <c r="P866" s="5" t="str">
        <f t="shared" si="26"/>
        <v>Low_Pressure</v>
      </c>
      <c r="Q866" s="4" t="str">
        <f t="shared" si="27"/>
        <v>DISENGAGED</v>
      </c>
      <c r="R866" s="4" t="str">
        <f t="shared" si="28"/>
        <v>LOW</v>
      </c>
      <c r="S866" s="2"/>
      <c r="T866" s="2"/>
      <c r="U866" s="2"/>
      <c r="V866" s="2"/>
      <c r="W866" s="2"/>
      <c r="X866" s="2"/>
      <c r="Y866" s="2"/>
      <c r="Z866" s="2"/>
    </row>
    <row r="867" spans="1:26" ht="16.8" x14ac:dyDescent="0.3">
      <c r="A867" s="4">
        <v>1211</v>
      </c>
      <c r="B867" s="4" t="s">
        <v>43</v>
      </c>
      <c r="C867" s="4">
        <v>30</v>
      </c>
      <c r="D867" s="4" t="s">
        <v>37</v>
      </c>
      <c r="E867" s="4" t="s">
        <v>40</v>
      </c>
      <c r="F867" s="4">
        <v>4115</v>
      </c>
      <c r="G867" s="4" t="s">
        <v>43</v>
      </c>
      <c r="H867" s="4">
        <v>4</v>
      </c>
      <c r="I867" s="4">
        <v>0</v>
      </c>
      <c r="J867" s="4">
        <v>1</v>
      </c>
      <c r="K867" s="4">
        <v>3</v>
      </c>
      <c r="L867" s="4" t="str">
        <f t="shared" si="22"/>
        <v>NORMAL</v>
      </c>
      <c r="M867" s="4" t="str">
        <f t="shared" si="23"/>
        <v>HIGH</v>
      </c>
      <c r="N867" s="4" t="str">
        <f t="shared" si="24"/>
        <v>MID</v>
      </c>
      <c r="O867" s="4" t="str">
        <f t="shared" si="25"/>
        <v>RECENTLY PROMOTED</v>
      </c>
      <c r="P867" s="5" t="str">
        <f t="shared" si="26"/>
        <v>Medium_Pressure</v>
      </c>
      <c r="Q867" s="4" t="str">
        <f t="shared" si="27"/>
        <v>DISENGAGED</v>
      </c>
      <c r="R867" s="4" t="str">
        <f t="shared" si="28"/>
        <v>LOW</v>
      </c>
      <c r="S867" s="2"/>
      <c r="T867" s="2"/>
      <c r="U867" s="2"/>
      <c r="V867" s="2"/>
      <c r="W867" s="2"/>
      <c r="X867" s="2"/>
      <c r="Y867" s="2"/>
      <c r="Z867" s="2"/>
    </row>
    <row r="868" spans="1:26" ht="16.8" x14ac:dyDescent="0.3">
      <c r="A868" s="4">
        <v>1212</v>
      </c>
      <c r="B868" s="4" t="s">
        <v>43</v>
      </c>
      <c r="C868" s="4">
        <v>40</v>
      </c>
      <c r="D868" s="4" t="s">
        <v>37</v>
      </c>
      <c r="E868" s="4" t="s">
        <v>40</v>
      </c>
      <c r="F868" s="4">
        <v>4327</v>
      </c>
      <c r="G868" s="4" t="s">
        <v>43</v>
      </c>
      <c r="H868" s="4">
        <v>0</v>
      </c>
      <c r="I868" s="4">
        <v>0</v>
      </c>
      <c r="J868" s="4">
        <v>2</v>
      </c>
      <c r="K868" s="4">
        <v>3</v>
      </c>
      <c r="L868" s="4" t="str">
        <f t="shared" si="22"/>
        <v>NORMAL</v>
      </c>
      <c r="M868" s="4" t="str">
        <f t="shared" si="23"/>
        <v>HIGH</v>
      </c>
      <c r="N868" s="4" t="str">
        <f t="shared" si="24"/>
        <v>NEW</v>
      </c>
      <c r="O868" s="4" t="str">
        <f t="shared" si="25"/>
        <v>RECENTLY PROMOTED</v>
      </c>
      <c r="P868" s="5" t="str">
        <f t="shared" si="26"/>
        <v>Medium_Pressure</v>
      </c>
      <c r="Q868" s="4" t="str">
        <f t="shared" si="27"/>
        <v>DISENGAGED</v>
      </c>
      <c r="R868" s="4" t="str">
        <f t="shared" si="28"/>
        <v>LOW</v>
      </c>
      <c r="S868" s="2"/>
      <c r="T868" s="2"/>
      <c r="U868" s="2"/>
      <c r="V868" s="2"/>
      <c r="W868" s="2"/>
      <c r="X868" s="2"/>
      <c r="Y868" s="2"/>
      <c r="Z868" s="2"/>
    </row>
    <row r="869" spans="1:26" ht="16.8" x14ac:dyDescent="0.3">
      <c r="A869" s="4">
        <v>1215</v>
      </c>
      <c r="B869" s="4" t="s">
        <v>43</v>
      </c>
      <c r="C869" s="4">
        <v>50</v>
      </c>
      <c r="D869" s="4" t="s">
        <v>45</v>
      </c>
      <c r="E869" s="4" t="s">
        <v>56</v>
      </c>
      <c r="F869" s="4">
        <v>17856</v>
      </c>
      <c r="G869" s="4" t="s">
        <v>43</v>
      </c>
      <c r="H869" s="4">
        <v>2</v>
      </c>
      <c r="I869" s="4">
        <v>2</v>
      </c>
      <c r="J869" s="4">
        <v>1</v>
      </c>
      <c r="K869" s="4">
        <v>3</v>
      </c>
      <c r="L869" s="4" t="str">
        <f t="shared" si="22"/>
        <v>NORMAL</v>
      </c>
      <c r="M869" s="4" t="str">
        <f t="shared" si="23"/>
        <v>MEDIUM</v>
      </c>
      <c r="N869" s="4" t="str">
        <f t="shared" si="24"/>
        <v>NEW</v>
      </c>
      <c r="O869" s="4" t="str">
        <f t="shared" si="25"/>
        <v>MODERATE-WAIT</v>
      </c>
      <c r="P869" s="5" t="str">
        <f t="shared" si="26"/>
        <v>Medium_Pressure</v>
      </c>
      <c r="Q869" s="4" t="str">
        <f t="shared" si="27"/>
        <v>DISENGAGED</v>
      </c>
      <c r="R869" s="4" t="str">
        <f t="shared" si="28"/>
        <v>LOW</v>
      </c>
      <c r="S869" s="2"/>
      <c r="T869" s="2"/>
      <c r="U869" s="2"/>
      <c r="V869" s="2"/>
      <c r="W869" s="2"/>
      <c r="X869" s="2"/>
      <c r="Y869" s="2"/>
      <c r="Z869" s="2"/>
    </row>
    <row r="870" spans="1:26" ht="16.8" x14ac:dyDescent="0.3">
      <c r="A870" s="4">
        <v>1216</v>
      </c>
      <c r="B870" s="4" t="s">
        <v>43</v>
      </c>
      <c r="C870" s="4">
        <v>28</v>
      </c>
      <c r="D870" s="4" t="s">
        <v>45</v>
      </c>
      <c r="E870" s="4" t="s">
        <v>50</v>
      </c>
      <c r="F870" s="4">
        <v>3196</v>
      </c>
      <c r="G870" s="4" t="s">
        <v>43</v>
      </c>
      <c r="H870" s="4">
        <v>6</v>
      </c>
      <c r="I870" s="4">
        <v>3</v>
      </c>
      <c r="J870" s="4">
        <v>1</v>
      </c>
      <c r="K870" s="4">
        <v>3</v>
      </c>
      <c r="L870" s="4" t="str">
        <f t="shared" si="22"/>
        <v>NORMAL</v>
      </c>
      <c r="M870" s="4" t="str">
        <f t="shared" si="23"/>
        <v>LOW</v>
      </c>
      <c r="N870" s="4" t="str">
        <f t="shared" si="24"/>
        <v>MID</v>
      </c>
      <c r="O870" s="4" t="str">
        <f t="shared" si="25"/>
        <v>MODERATE-WAIT</v>
      </c>
      <c r="P870" s="5" t="str">
        <f t="shared" si="26"/>
        <v>Medium_Pressure</v>
      </c>
      <c r="Q870" s="4" t="str">
        <f t="shared" si="27"/>
        <v>DISENGAGED</v>
      </c>
      <c r="R870" s="4" t="str">
        <f t="shared" si="28"/>
        <v>LOW</v>
      </c>
      <c r="S870" s="2"/>
      <c r="T870" s="2"/>
      <c r="U870" s="2"/>
      <c r="V870" s="2"/>
      <c r="W870" s="2"/>
      <c r="X870" s="2"/>
      <c r="Y870" s="2"/>
      <c r="Z870" s="2"/>
    </row>
    <row r="871" spans="1:26" ht="16.8" x14ac:dyDescent="0.3">
      <c r="A871" s="4">
        <v>1217</v>
      </c>
      <c r="B871" s="4" t="s">
        <v>43</v>
      </c>
      <c r="C871" s="4">
        <v>46</v>
      </c>
      <c r="D871" s="4" t="s">
        <v>45</v>
      </c>
      <c r="E871" s="4" t="s">
        <v>58</v>
      </c>
      <c r="F871" s="4">
        <v>19081</v>
      </c>
      <c r="G871" s="4" t="s">
        <v>43</v>
      </c>
      <c r="H871" s="4">
        <v>4</v>
      </c>
      <c r="I871" s="4">
        <v>0</v>
      </c>
      <c r="J871" s="4">
        <v>2</v>
      </c>
      <c r="K871" s="4">
        <v>3</v>
      </c>
      <c r="L871" s="4" t="str">
        <f t="shared" si="22"/>
        <v>NORMAL</v>
      </c>
      <c r="M871" s="4" t="str">
        <f t="shared" si="23"/>
        <v>MEDIUM</v>
      </c>
      <c r="N871" s="4" t="str">
        <f t="shared" si="24"/>
        <v>MID</v>
      </c>
      <c r="O871" s="4" t="str">
        <f t="shared" si="25"/>
        <v>RECENTLY PROMOTED</v>
      </c>
      <c r="P871" s="5" t="str">
        <f t="shared" si="26"/>
        <v>Medium_Pressure</v>
      </c>
      <c r="Q871" s="4" t="str">
        <f t="shared" si="27"/>
        <v>DISENGAGED</v>
      </c>
      <c r="R871" s="4" t="str">
        <f t="shared" si="28"/>
        <v>LOW</v>
      </c>
      <c r="S871" s="2"/>
      <c r="T871" s="2"/>
      <c r="U871" s="2"/>
      <c r="V871" s="2"/>
      <c r="W871" s="2"/>
      <c r="X871" s="2"/>
      <c r="Y871" s="2"/>
      <c r="Z871" s="2"/>
    </row>
    <row r="872" spans="1:26" ht="16.8" x14ac:dyDescent="0.3">
      <c r="A872" s="4">
        <v>1218</v>
      </c>
      <c r="B872" s="4" t="s">
        <v>43</v>
      </c>
      <c r="C872" s="4">
        <v>35</v>
      </c>
      <c r="D872" s="4" t="s">
        <v>37</v>
      </c>
      <c r="E872" s="4" t="s">
        <v>40</v>
      </c>
      <c r="F872" s="4">
        <v>8966</v>
      </c>
      <c r="G872" s="4" t="s">
        <v>35</v>
      </c>
      <c r="H872" s="4">
        <v>7</v>
      </c>
      <c r="I872" s="4">
        <v>1</v>
      </c>
      <c r="J872" s="4">
        <v>1</v>
      </c>
      <c r="K872" s="4">
        <v>3</v>
      </c>
      <c r="L872" s="4" t="str">
        <f t="shared" si="22"/>
        <v>NORMAL</v>
      </c>
      <c r="M872" s="4" t="str">
        <f t="shared" si="23"/>
        <v>HIGH</v>
      </c>
      <c r="N872" s="4" t="str">
        <f t="shared" si="24"/>
        <v>SENIOR</v>
      </c>
      <c r="O872" s="4" t="str">
        <f t="shared" si="25"/>
        <v>RECENTLY PROMOTED</v>
      </c>
      <c r="P872" s="5" t="str">
        <f t="shared" si="26"/>
        <v>Medium_Pressure</v>
      </c>
      <c r="Q872" s="4" t="str">
        <f t="shared" si="27"/>
        <v>DISENGAGED</v>
      </c>
      <c r="R872" s="4" t="str">
        <f t="shared" si="28"/>
        <v>LOW</v>
      </c>
      <c r="S872" s="2"/>
      <c r="T872" s="2"/>
      <c r="U872" s="2"/>
      <c r="V872" s="2"/>
      <c r="W872" s="2"/>
      <c r="X872" s="2"/>
      <c r="Y872" s="2"/>
      <c r="Z872" s="2"/>
    </row>
    <row r="873" spans="1:26" ht="16.8" x14ac:dyDescent="0.3">
      <c r="A873" s="4">
        <v>1219</v>
      </c>
      <c r="B873" s="4" t="s">
        <v>35</v>
      </c>
      <c r="C873" s="4">
        <v>24</v>
      </c>
      <c r="D873" s="4" t="s">
        <v>45</v>
      </c>
      <c r="E873" s="4" t="s">
        <v>50</v>
      </c>
      <c r="F873" s="4">
        <v>2210</v>
      </c>
      <c r="G873" s="4" t="s">
        <v>43</v>
      </c>
      <c r="H873" s="4">
        <v>1</v>
      </c>
      <c r="I873" s="4">
        <v>0</v>
      </c>
      <c r="J873" s="4">
        <v>2</v>
      </c>
      <c r="K873" s="4">
        <v>1</v>
      </c>
      <c r="L873" s="4" t="str">
        <f t="shared" si="22"/>
        <v>NORMAL</v>
      </c>
      <c r="M873" s="4" t="str">
        <f t="shared" si="23"/>
        <v>LOW</v>
      </c>
      <c r="N873" s="4" t="str">
        <f t="shared" si="24"/>
        <v>NEW</v>
      </c>
      <c r="O873" s="4" t="str">
        <f t="shared" si="25"/>
        <v>RECENTLY PROMOTED</v>
      </c>
      <c r="P873" s="5" t="str">
        <f t="shared" si="26"/>
        <v>Low_Pressure</v>
      </c>
      <c r="Q873" s="4" t="str">
        <f t="shared" si="27"/>
        <v>DISENGAGED</v>
      </c>
      <c r="R873" s="4" t="str">
        <f t="shared" si="28"/>
        <v>LOW</v>
      </c>
      <c r="S873" s="2"/>
      <c r="T873" s="2"/>
      <c r="U873" s="2"/>
      <c r="V873" s="2"/>
      <c r="W873" s="2"/>
      <c r="X873" s="2"/>
      <c r="Y873" s="2"/>
      <c r="Z873" s="2"/>
    </row>
    <row r="874" spans="1:26" ht="16.8" x14ac:dyDescent="0.3">
      <c r="A874" s="4">
        <v>1220</v>
      </c>
      <c r="B874" s="4" t="s">
        <v>43</v>
      </c>
      <c r="C874" s="4">
        <v>33</v>
      </c>
      <c r="D874" s="4" t="s">
        <v>37</v>
      </c>
      <c r="E874" s="4" t="s">
        <v>40</v>
      </c>
      <c r="F874" s="4">
        <v>4539</v>
      </c>
      <c r="G874" s="4" t="s">
        <v>43</v>
      </c>
      <c r="H874" s="4">
        <v>10</v>
      </c>
      <c r="I874" s="4">
        <v>0</v>
      </c>
      <c r="J874" s="4">
        <v>3</v>
      </c>
      <c r="K874" s="4">
        <v>2</v>
      </c>
      <c r="L874" s="4" t="str">
        <f t="shared" si="22"/>
        <v>NORMAL</v>
      </c>
      <c r="M874" s="4" t="str">
        <f t="shared" si="23"/>
        <v>HIGH</v>
      </c>
      <c r="N874" s="4" t="str">
        <f t="shared" si="24"/>
        <v>SENIOR</v>
      </c>
      <c r="O874" s="4" t="str">
        <f t="shared" si="25"/>
        <v>RECENTLY PROMOTED</v>
      </c>
      <c r="P874" s="5" t="str">
        <f t="shared" si="26"/>
        <v>Low_Pressure</v>
      </c>
      <c r="Q874" s="4" t="str">
        <f t="shared" si="27"/>
        <v>DISENGAGED</v>
      </c>
      <c r="R874" s="4" t="str">
        <f t="shared" si="28"/>
        <v>LOW</v>
      </c>
      <c r="S874" s="2"/>
      <c r="T874" s="2"/>
      <c r="U874" s="2"/>
      <c r="V874" s="2"/>
      <c r="W874" s="2"/>
      <c r="X874" s="2"/>
      <c r="Y874" s="2"/>
      <c r="Z874" s="2"/>
    </row>
    <row r="875" spans="1:26" ht="16.8" x14ac:dyDescent="0.3">
      <c r="A875" s="4">
        <v>1221</v>
      </c>
      <c r="B875" s="4" t="s">
        <v>43</v>
      </c>
      <c r="C875" s="4">
        <v>36</v>
      </c>
      <c r="D875" s="4" t="s">
        <v>45</v>
      </c>
      <c r="E875" s="4" t="s">
        <v>50</v>
      </c>
      <c r="F875" s="4">
        <v>2741</v>
      </c>
      <c r="G875" s="4" t="s">
        <v>43</v>
      </c>
      <c r="H875" s="4">
        <v>7</v>
      </c>
      <c r="I875" s="4">
        <v>1</v>
      </c>
      <c r="J875" s="4">
        <v>3</v>
      </c>
      <c r="K875" s="4">
        <v>3</v>
      </c>
      <c r="L875" s="4" t="str">
        <f t="shared" si="22"/>
        <v>NORMAL</v>
      </c>
      <c r="M875" s="4" t="str">
        <f t="shared" si="23"/>
        <v>LOW</v>
      </c>
      <c r="N875" s="4" t="str">
        <f t="shared" si="24"/>
        <v>SENIOR</v>
      </c>
      <c r="O875" s="4" t="str">
        <f t="shared" si="25"/>
        <v>RECENTLY PROMOTED</v>
      </c>
      <c r="P875" s="5" t="str">
        <f t="shared" si="26"/>
        <v>Medium_Pressure</v>
      </c>
      <c r="Q875" s="4" t="str">
        <f t="shared" si="27"/>
        <v>HIGHLY_ENGAGED</v>
      </c>
      <c r="R875" s="4" t="str">
        <f t="shared" si="28"/>
        <v>LOW</v>
      </c>
      <c r="S875" s="2"/>
      <c r="T875" s="2"/>
      <c r="U875" s="2"/>
      <c r="V875" s="2"/>
      <c r="W875" s="2"/>
      <c r="X875" s="2"/>
      <c r="Y875" s="2"/>
      <c r="Z875" s="2"/>
    </row>
    <row r="876" spans="1:26" ht="16.8" x14ac:dyDescent="0.3">
      <c r="A876" s="4">
        <v>1224</v>
      </c>
      <c r="B876" s="4" t="s">
        <v>43</v>
      </c>
      <c r="C876" s="4">
        <v>30</v>
      </c>
      <c r="D876" s="4" t="s">
        <v>45</v>
      </c>
      <c r="E876" s="4" t="s">
        <v>50</v>
      </c>
      <c r="F876" s="4">
        <v>3491</v>
      </c>
      <c r="G876" s="4" t="s">
        <v>43</v>
      </c>
      <c r="H876" s="4">
        <v>10</v>
      </c>
      <c r="I876" s="4">
        <v>8</v>
      </c>
      <c r="J876" s="4">
        <v>3</v>
      </c>
      <c r="K876" s="4">
        <v>2</v>
      </c>
      <c r="L876" s="4" t="str">
        <f t="shared" si="22"/>
        <v>NORMAL</v>
      </c>
      <c r="M876" s="4" t="str">
        <f t="shared" si="23"/>
        <v>LOW</v>
      </c>
      <c r="N876" s="4" t="str">
        <f t="shared" si="24"/>
        <v>SENIOR</v>
      </c>
      <c r="O876" s="4" t="str">
        <f t="shared" si="25"/>
        <v>STAGNANT</v>
      </c>
      <c r="P876" s="5" t="str">
        <f t="shared" si="26"/>
        <v>Low_Pressure</v>
      </c>
      <c r="Q876" s="4" t="str">
        <f t="shared" si="27"/>
        <v>DISENGAGED</v>
      </c>
      <c r="R876" s="4" t="str">
        <f t="shared" si="28"/>
        <v>LOW</v>
      </c>
      <c r="S876" s="2"/>
      <c r="T876" s="2"/>
      <c r="U876" s="2"/>
      <c r="V876" s="2"/>
      <c r="W876" s="2"/>
      <c r="X876" s="2"/>
      <c r="Y876" s="2"/>
      <c r="Z876" s="2"/>
    </row>
    <row r="877" spans="1:26" ht="16.8" x14ac:dyDescent="0.3">
      <c r="A877" s="4">
        <v>1225</v>
      </c>
      <c r="B877" s="4" t="s">
        <v>43</v>
      </c>
      <c r="C877" s="4">
        <v>44</v>
      </c>
      <c r="D877" s="4" t="s">
        <v>45</v>
      </c>
      <c r="E877" s="4" t="s">
        <v>47</v>
      </c>
      <c r="F877" s="4">
        <v>4541</v>
      </c>
      <c r="G877" s="4" t="s">
        <v>43</v>
      </c>
      <c r="H877" s="4">
        <v>20</v>
      </c>
      <c r="I877" s="4">
        <v>13</v>
      </c>
      <c r="J877" s="4">
        <v>4</v>
      </c>
      <c r="K877" s="4">
        <v>3</v>
      </c>
      <c r="L877" s="4" t="str">
        <f t="shared" si="22"/>
        <v>NORMAL</v>
      </c>
      <c r="M877" s="4" t="str">
        <f t="shared" si="23"/>
        <v>HIGH</v>
      </c>
      <c r="N877" s="4" t="str">
        <f t="shared" si="24"/>
        <v>SENIOR</v>
      </c>
      <c r="O877" s="4" t="str">
        <f t="shared" si="25"/>
        <v>STAGNANT</v>
      </c>
      <c r="P877" s="5" t="str">
        <f t="shared" si="26"/>
        <v>Medium_Pressure</v>
      </c>
      <c r="Q877" s="4" t="str">
        <f t="shared" si="27"/>
        <v>HIGHLY_ENGAGED</v>
      </c>
      <c r="R877" s="4" t="str">
        <f t="shared" si="28"/>
        <v>LOW</v>
      </c>
      <c r="S877" s="2"/>
      <c r="T877" s="2"/>
      <c r="U877" s="2"/>
      <c r="V877" s="2"/>
      <c r="W877" s="2"/>
      <c r="X877" s="2"/>
      <c r="Y877" s="2"/>
      <c r="Z877" s="2"/>
    </row>
    <row r="878" spans="1:26" ht="16.8" x14ac:dyDescent="0.3">
      <c r="A878" s="4">
        <v>1226</v>
      </c>
      <c r="B878" s="4" t="s">
        <v>43</v>
      </c>
      <c r="C878" s="4">
        <v>20</v>
      </c>
      <c r="D878" s="4" t="s">
        <v>37</v>
      </c>
      <c r="E878" s="4" t="s">
        <v>57</v>
      </c>
      <c r="F878" s="4">
        <v>2678</v>
      </c>
      <c r="G878" s="4" t="s">
        <v>43</v>
      </c>
      <c r="H878" s="4">
        <v>2</v>
      </c>
      <c r="I878" s="4">
        <v>2</v>
      </c>
      <c r="J878" s="4">
        <v>4</v>
      </c>
      <c r="K878" s="4">
        <v>3</v>
      </c>
      <c r="L878" s="4" t="str">
        <f t="shared" si="22"/>
        <v>NORMAL</v>
      </c>
      <c r="M878" s="4" t="str">
        <f t="shared" si="23"/>
        <v>LOW</v>
      </c>
      <c r="N878" s="4" t="str">
        <f t="shared" si="24"/>
        <v>NEW</v>
      </c>
      <c r="O878" s="4" t="str">
        <f t="shared" si="25"/>
        <v>MODERATE-WAIT</v>
      </c>
      <c r="P878" s="5" t="str">
        <f t="shared" si="26"/>
        <v>Medium_Pressure</v>
      </c>
      <c r="Q878" s="4" t="str">
        <f t="shared" si="27"/>
        <v>HIGHLY_ENGAGED</v>
      </c>
      <c r="R878" s="4" t="str">
        <f t="shared" si="28"/>
        <v>LOW</v>
      </c>
      <c r="S878" s="2"/>
      <c r="T878" s="2"/>
      <c r="U878" s="2"/>
      <c r="V878" s="2"/>
      <c r="W878" s="2"/>
      <c r="X878" s="2"/>
      <c r="Y878" s="2"/>
      <c r="Z878" s="2"/>
    </row>
    <row r="879" spans="1:26" ht="16.8" x14ac:dyDescent="0.3">
      <c r="A879" s="4">
        <v>1228</v>
      </c>
      <c r="B879" s="4" t="s">
        <v>43</v>
      </c>
      <c r="C879" s="4">
        <v>46</v>
      </c>
      <c r="D879" s="4" t="s">
        <v>45</v>
      </c>
      <c r="E879" s="4" t="s">
        <v>53</v>
      </c>
      <c r="F879" s="4">
        <v>7379</v>
      </c>
      <c r="G879" s="4" t="s">
        <v>43</v>
      </c>
      <c r="H879" s="4">
        <v>6</v>
      </c>
      <c r="I879" s="4">
        <v>1</v>
      </c>
      <c r="J879" s="4">
        <v>4</v>
      </c>
      <c r="K879" s="4">
        <v>2</v>
      </c>
      <c r="L879" s="4" t="str">
        <f t="shared" si="22"/>
        <v>NORMAL</v>
      </c>
      <c r="M879" s="4" t="str">
        <f t="shared" si="23"/>
        <v>HIGH</v>
      </c>
      <c r="N879" s="4" t="str">
        <f t="shared" si="24"/>
        <v>MID</v>
      </c>
      <c r="O879" s="4" t="str">
        <f t="shared" si="25"/>
        <v>RECENTLY PROMOTED</v>
      </c>
      <c r="P879" s="5" t="str">
        <f t="shared" si="26"/>
        <v>Low_Pressure</v>
      </c>
      <c r="Q879" s="4" t="str">
        <f t="shared" si="27"/>
        <v>DISENGAGED</v>
      </c>
      <c r="R879" s="4" t="str">
        <f t="shared" si="28"/>
        <v>LOW</v>
      </c>
      <c r="S879" s="2"/>
      <c r="T879" s="2"/>
      <c r="U879" s="2"/>
      <c r="V879" s="2"/>
      <c r="W879" s="2"/>
      <c r="X879" s="2"/>
      <c r="Y879" s="2"/>
      <c r="Z879" s="2"/>
    </row>
    <row r="880" spans="1:26" ht="16.8" x14ac:dyDescent="0.3">
      <c r="A880" s="4">
        <v>1231</v>
      </c>
      <c r="B880" s="4" t="s">
        <v>43</v>
      </c>
      <c r="C880" s="4">
        <v>42</v>
      </c>
      <c r="D880" s="4" t="s">
        <v>61</v>
      </c>
      <c r="E880" s="4" t="s">
        <v>61</v>
      </c>
      <c r="F880" s="4">
        <v>6272</v>
      </c>
      <c r="G880" s="4" t="s">
        <v>43</v>
      </c>
      <c r="H880" s="4">
        <v>4</v>
      </c>
      <c r="I880" s="4">
        <v>0</v>
      </c>
      <c r="J880" s="4">
        <v>1</v>
      </c>
      <c r="K880" s="4">
        <v>4</v>
      </c>
      <c r="L880" s="4" t="str">
        <f t="shared" si="22"/>
        <v>NORMAL</v>
      </c>
      <c r="M880" s="4" t="str">
        <f t="shared" si="23"/>
        <v>HIGH</v>
      </c>
      <c r="N880" s="4" t="str">
        <f t="shared" si="24"/>
        <v>MID</v>
      </c>
      <c r="O880" s="4" t="str">
        <f t="shared" si="25"/>
        <v>RECENTLY PROMOTED</v>
      </c>
      <c r="P880" s="5" t="str">
        <f t="shared" si="26"/>
        <v>Low_Pressure</v>
      </c>
      <c r="Q880" s="4" t="str">
        <f t="shared" si="27"/>
        <v>DISENGAGED</v>
      </c>
      <c r="R880" s="4" t="str">
        <f t="shared" si="28"/>
        <v>LOW</v>
      </c>
      <c r="S880" s="2"/>
      <c r="T880" s="2"/>
      <c r="U880" s="2"/>
      <c r="V880" s="2"/>
      <c r="W880" s="2"/>
      <c r="X880" s="2"/>
      <c r="Y880" s="2"/>
      <c r="Z880" s="2"/>
    </row>
    <row r="881" spans="1:26" ht="16.8" x14ac:dyDescent="0.3">
      <c r="A881" s="4">
        <v>1233</v>
      </c>
      <c r="B881" s="4" t="s">
        <v>43</v>
      </c>
      <c r="C881" s="4">
        <v>60</v>
      </c>
      <c r="D881" s="4" t="s">
        <v>37</v>
      </c>
      <c r="E881" s="4" t="s">
        <v>40</v>
      </c>
      <c r="F881" s="4">
        <v>5220</v>
      </c>
      <c r="G881" s="4" t="s">
        <v>35</v>
      </c>
      <c r="H881" s="4">
        <v>11</v>
      </c>
      <c r="I881" s="4">
        <v>1</v>
      </c>
      <c r="J881" s="4">
        <v>4</v>
      </c>
      <c r="K881" s="4">
        <v>3</v>
      </c>
      <c r="L881" s="4" t="str">
        <f t="shared" si="22"/>
        <v>NORMAL</v>
      </c>
      <c r="M881" s="4" t="str">
        <f t="shared" si="23"/>
        <v>HIGH</v>
      </c>
      <c r="N881" s="4" t="str">
        <f t="shared" si="24"/>
        <v>SENIOR</v>
      </c>
      <c r="O881" s="4" t="str">
        <f t="shared" si="25"/>
        <v>RECENTLY PROMOTED</v>
      </c>
      <c r="P881" s="5" t="str">
        <f t="shared" si="26"/>
        <v>Medium_Pressure</v>
      </c>
      <c r="Q881" s="4" t="str">
        <f t="shared" si="27"/>
        <v>HIGHLY_ENGAGED</v>
      </c>
      <c r="R881" s="4" t="str">
        <f t="shared" si="28"/>
        <v>LOW</v>
      </c>
      <c r="S881" s="2"/>
      <c r="T881" s="2"/>
      <c r="U881" s="2"/>
      <c r="V881" s="2"/>
      <c r="W881" s="2"/>
      <c r="X881" s="2"/>
      <c r="Y881" s="2"/>
      <c r="Z881" s="2"/>
    </row>
    <row r="882" spans="1:26" ht="16.8" x14ac:dyDescent="0.3">
      <c r="A882" s="4">
        <v>1234</v>
      </c>
      <c r="B882" s="4" t="s">
        <v>43</v>
      </c>
      <c r="C882" s="4">
        <v>32</v>
      </c>
      <c r="D882" s="4" t="s">
        <v>45</v>
      </c>
      <c r="E882" s="4" t="s">
        <v>50</v>
      </c>
      <c r="F882" s="4">
        <v>2743</v>
      </c>
      <c r="G882" s="4" t="s">
        <v>43</v>
      </c>
      <c r="H882" s="4">
        <v>2</v>
      </c>
      <c r="I882" s="4">
        <v>2</v>
      </c>
      <c r="J882" s="4">
        <v>2</v>
      </c>
      <c r="K882" s="4">
        <v>3</v>
      </c>
      <c r="L882" s="4" t="str">
        <f t="shared" si="22"/>
        <v>NORMAL</v>
      </c>
      <c r="M882" s="4" t="str">
        <f t="shared" si="23"/>
        <v>LOW</v>
      </c>
      <c r="N882" s="4" t="str">
        <f t="shared" si="24"/>
        <v>NEW</v>
      </c>
      <c r="O882" s="4" t="str">
        <f t="shared" si="25"/>
        <v>MODERATE-WAIT</v>
      </c>
      <c r="P882" s="5" t="str">
        <f t="shared" si="26"/>
        <v>Medium_Pressure</v>
      </c>
      <c r="Q882" s="4" t="str">
        <f t="shared" si="27"/>
        <v>DISENGAGED</v>
      </c>
      <c r="R882" s="4" t="str">
        <f t="shared" si="28"/>
        <v>LOW</v>
      </c>
      <c r="S882" s="2"/>
      <c r="T882" s="2"/>
      <c r="U882" s="2"/>
      <c r="V882" s="2"/>
      <c r="W882" s="2"/>
      <c r="X882" s="2"/>
      <c r="Y882" s="2"/>
      <c r="Z882" s="2"/>
    </row>
    <row r="883" spans="1:26" ht="16.8" x14ac:dyDescent="0.3">
      <c r="A883" s="4">
        <v>1235</v>
      </c>
      <c r="B883" s="4" t="s">
        <v>43</v>
      </c>
      <c r="C883" s="4">
        <v>32</v>
      </c>
      <c r="D883" s="4" t="s">
        <v>45</v>
      </c>
      <c r="E883" s="4" t="s">
        <v>47</v>
      </c>
      <c r="F883" s="4">
        <v>4998</v>
      </c>
      <c r="G883" s="4" t="s">
        <v>35</v>
      </c>
      <c r="H883" s="4">
        <v>8</v>
      </c>
      <c r="I883" s="4">
        <v>0</v>
      </c>
      <c r="J883" s="4">
        <v>3</v>
      </c>
      <c r="K883" s="4">
        <v>3</v>
      </c>
      <c r="L883" s="4" t="str">
        <f t="shared" si="22"/>
        <v>NORMAL</v>
      </c>
      <c r="M883" s="4" t="str">
        <f t="shared" si="23"/>
        <v>HIGH</v>
      </c>
      <c r="N883" s="4" t="str">
        <f t="shared" si="24"/>
        <v>SENIOR</v>
      </c>
      <c r="O883" s="4" t="str">
        <f t="shared" si="25"/>
        <v>RECENTLY PROMOTED</v>
      </c>
      <c r="P883" s="5" t="str">
        <f t="shared" si="26"/>
        <v>Medium_Pressure</v>
      </c>
      <c r="Q883" s="4" t="str">
        <f t="shared" si="27"/>
        <v>HIGHLY_ENGAGED</v>
      </c>
      <c r="R883" s="4" t="str">
        <f t="shared" si="28"/>
        <v>LOW</v>
      </c>
      <c r="S883" s="2"/>
      <c r="T883" s="2"/>
      <c r="U883" s="2"/>
      <c r="V883" s="2"/>
      <c r="W883" s="2"/>
      <c r="X883" s="2"/>
      <c r="Y883" s="2"/>
      <c r="Z883" s="2"/>
    </row>
    <row r="884" spans="1:26" ht="16.8" x14ac:dyDescent="0.3">
      <c r="A884" s="4">
        <v>1237</v>
      </c>
      <c r="B884" s="4" t="s">
        <v>43</v>
      </c>
      <c r="C884" s="4">
        <v>36</v>
      </c>
      <c r="D884" s="4" t="s">
        <v>45</v>
      </c>
      <c r="E884" s="4" t="s">
        <v>53</v>
      </c>
      <c r="F884" s="4">
        <v>10252</v>
      </c>
      <c r="G884" s="4" t="s">
        <v>35</v>
      </c>
      <c r="H884" s="4">
        <v>7</v>
      </c>
      <c r="I884" s="4">
        <v>7</v>
      </c>
      <c r="J884" s="4">
        <v>1</v>
      </c>
      <c r="K884" s="4">
        <v>3</v>
      </c>
      <c r="L884" s="4" t="str">
        <f t="shared" si="22"/>
        <v>HIGH RISK</v>
      </c>
      <c r="M884" s="4" t="str">
        <f t="shared" si="23"/>
        <v>MEDIUM</v>
      </c>
      <c r="N884" s="4" t="str">
        <f t="shared" si="24"/>
        <v>SENIOR</v>
      </c>
      <c r="O884" s="4" t="str">
        <f t="shared" si="25"/>
        <v>STAGNANT</v>
      </c>
      <c r="P884" s="5" t="str">
        <f t="shared" si="26"/>
        <v>Medium_Pressure</v>
      </c>
      <c r="Q884" s="4" t="str">
        <f t="shared" si="27"/>
        <v>DISENGAGED</v>
      </c>
      <c r="R884" s="4" t="str">
        <f t="shared" si="28"/>
        <v>LOW</v>
      </c>
      <c r="S884" s="2"/>
      <c r="T884" s="2"/>
      <c r="U884" s="2"/>
      <c r="V884" s="2"/>
      <c r="W884" s="2"/>
      <c r="X884" s="2"/>
      <c r="Y884" s="2"/>
      <c r="Z884" s="2"/>
    </row>
    <row r="885" spans="1:26" ht="16.8" x14ac:dyDescent="0.3">
      <c r="A885" s="4">
        <v>1238</v>
      </c>
      <c r="B885" s="4" t="s">
        <v>43</v>
      </c>
      <c r="C885" s="4">
        <v>33</v>
      </c>
      <c r="D885" s="4" t="s">
        <v>45</v>
      </c>
      <c r="E885" s="4" t="s">
        <v>47</v>
      </c>
      <c r="F885" s="4">
        <v>2781</v>
      </c>
      <c r="G885" s="4" t="s">
        <v>43</v>
      </c>
      <c r="H885" s="4">
        <v>14</v>
      </c>
      <c r="I885" s="4">
        <v>4</v>
      </c>
      <c r="J885" s="4">
        <v>4</v>
      </c>
      <c r="K885" s="4">
        <v>3</v>
      </c>
      <c r="L885" s="4" t="str">
        <f t="shared" si="22"/>
        <v>NORMAL</v>
      </c>
      <c r="M885" s="4" t="str">
        <f t="shared" si="23"/>
        <v>LOW</v>
      </c>
      <c r="N885" s="4" t="str">
        <f t="shared" si="24"/>
        <v>SENIOR</v>
      </c>
      <c r="O885" s="4" t="str">
        <f t="shared" si="25"/>
        <v>STAGNANT</v>
      </c>
      <c r="P885" s="5" t="str">
        <f t="shared" si="26"/>
        <v>Medium_Pressure</v>
      </c>
      <c r="Q885" s="4" t="str">
        <f t="shared" si="27"/>
        <v>HIGHLY_ENGAGED</v>
      </c>
      <c r="R885" s="4" t="str">
        <f t="shared" si="28"/>
        <v>LOW</v>
      </c>
      <c r="S885" s="2"/>
      <c r="T885" s="2"/>
      <c r="U885" s="2"/>
      <c r="V885" s="2"/>
      <c r="W885" s="2"/>
      <c r="X885" s="2"/>
      <c r="Y885" s="2"/>
      <c r="Z885" s="2"/>
    </row>
    <row r="886" spans="1:26" ht="16.8" x14ac:dyDescent="0.3">
      <c r="A886" s="4">
        <v>1239</v>
      </c>
      <c r="B886" s="4" t="s">
        <v>43</v>
      </c>
      <c r="C886" s="4">
        <v>40</v>
      </c>
      <c r="D886" s="4" t="s">
        <v>37</v>
      </c>
      <c r="E886" s="4" t="s">
        <v>40</v>
      </c>
      <c r="F886" s="4">
        <v>6852</v>
      </c>
      <c r="G886" s="4" t="s">
        <v>43</v>
      </c>
      <c r="H886" s="4">
        <v>5</v>
      </c>
      <c r="I886" s="4">
        <v>1</v>
      </c>
      <c r="J886" s="4">
        <v>2</v>
      </c>
      <c r="K886" s="4">
        <v>4</v>
      </c>
      <c r="L886" s="4" t="str">
        <f t="shared" si="22"/>
        <v>NORMAL</v>
      </c>
      <c r="M886" s="4" t="str">
        <f t="shared" si="23"/>
        <v>HIGH</v>
      </c>
      <c r="N886" s="4" t="str">
        <f t="shared" si="24"/>
        <v>MID</v>
      </c>
      <c r="O886" s="4" t="str">
        <f t="shared" si="25"/>
        <v>RECENTLY PROMOTED</v>
      </c>
      <c r="P886" s="5" t="str">
        <f t="shared" si="26"/>
        <v>Low_Pressure</v>
      </c>
      <c r="Q886" s="4" t="str">
        <f t="shared" si="27"/>
        <v>DISENGAGED</v>
      </c>
      <c r="R886" s="4" t="str">
        <f t="shared" si="28"/>
        <v>LOW</v>
      </c>
      <c r="S886" s="2"/>
      <c r="T886" s="2"/>
      <c r="U886" s="2"/>
      <c r="V886" s="2"/>
      <c r="W886" s="2"/>
      <c r="X886" s="2"/>
      <c r="Y886" s="2"/>
      <c r="Z886" s="2"/>
    </row>
    <row r="887" spans="1:26" ht="16.8" x14ac:dyDescent="0.3">
      <c r="A887" s="4">
        <v>1240</v>
      </c>
      <c r="B887" s="4" t="s">
        <v>43</v>
      </c>
      <c r="C887" s="4">
        <v>25</v>
      </c>
      <c r="D887" s="4" t="s">
        <v>37</v>
      </c>
      <c r="E887" s="4" t="s">
        <v>40</v>
      </c>
      <c r="F887" s="4">
        <v>4950</v>
      </c>
      <c r="G887" s="4" t="s">
        <v>43</v>
      </c>
      <c r="H887" s="4">
        <v>4</v>
      </c>
      <c r="I887" s="4">
        <v>1</v>
      </c>
      <c r="J887" s="4">
        <v>4</v>
      </c>
      <c r="K887" s="4">
        <v>3</v>
      </c>
      <c r="L887" s="4" t="str">
        <f t="shared" si="22"/>
        <v>NORMAL</v>
      </c>
      <c r="M887" s="4" t="str">
        <f t="shared" si="23"/>
        <v>HIGH</v>
      </c>
      <c r="N887" s="4" t="str">
        <f t="shared" si="24"/>
        <v>MID</v>
      </c>
      <c r="O887" s="4" t="str">
        <f t="shared" si="25"/>
        <v>RECENTLY PROMOTED</v>
      </c>
      <c r="P887" s="5" t="str">
        <f t="shared" si="26"/>
        <v>Medium_Pressure</v>
      </c>
      <c r="Q887" s="4" t="str">
        <f t="shared" si="27"/>
        <v>HIGHLY_ENGAGED</v>
      </c>
      <c r="R887" s="4" t="str">
        <f t="shared" si="28"/>
        <v>LOW</v>
      </c>
      <c r="S887" s="2"/>
      <c r="T887" s="2"/>
      <c r="U887" s="2"/>
      <c r="V887" s="2"/>
      <c r="W887" s="2"/>
      <c r="X887" s="2"/>
      <c r="Y887" s="2"/>
      <c r="Z887" s="2"/>
    </row>
    <row r="888" spans="1:26" ht="16.8" x14ac:dyDescent="0.3">
      <c r="A888" s="4">
        <v>1241</v>
      </c>
      <c r="B888" s="4" t="s">
        <v>43</v>
      </c>
      <c r="C888" s="4">
        <v>30</v>
      </c>
      <c r="D888" s="4" t="s">
        <v>45</v>
      </c>
      <c r="E888" s="4" t="s">
        <v>47</v>
      </c>
      <c r="F888" s="4">
        <v>3579</v>
      </c>
      <c r="G888" s="4" t="s">
        <v>35</v>
      </c>
      <c r="H888" s="4">
        <v>11</v>
      </c>
      <c r="I888" s="4">
        <v>5</v>
      </c>
      <c r="J888" s="4">
        <v>2</v>
      </c>
      <c r="K888" s="4">
        <v>3</v>
      </c>
      <c r="L888" s="4" t="str">
        <f t="shared" si="22"/>
        <v>HIGH RISK</v>
      </c>
      <c r="M888" s="4" t="str">
        <f t="shared" si="23"/>
        <v>LOW</v>
      </c>
      <c r="N888" s="4" t="str">
        <f t="shared" si="24"/>
        <v>SENIOR</v>
      </c>
      <c r="O888" s="4" t="str">
        <f t="shared" si="25"/>
        <v>STAGNANT</v>
      </c>
      <c r="P888" s="5" t="str">
        <f t="shared" si="26"/>
        <v>Medium_Pressure</v>
      </c>
      <c r="Q888" s="4" t="str">
        <f t="shared" si="27"/>
        <v>DISENGAGED</v>
      </c>
      <c r="R888" s="4" t="str">
        <f t="shared" si="28"/>
        <v>LOW</v>
      </c>
      <c r="S888" s="2"/>
      <c r="T888" s="2"/>
      <c r="U888" s="2"/>
      <c r="V888" s="2"/>
      <c r="W888" s="2"/>
      <c r="X888" s="2"/>
      <c r="Y888" s="2"/>
      <c r="Z888" s="2"/>
    </row>
    <row r="889" spans="1:26" ht="16.8" x14ac:dyDescent="0.3">
      <c r="A889" s="4">
        <v>1242</v>
      </c>
      <c r="B889" s="4" t="s">
        <v>43</v>
      </c>
      <c r="C889" s="4">
        <v>42</v>
      </c>
      <c r="D889" s="4" t="s">
        <v>45</v>
      </c>
      <c r="E889" s="4" t="s">
        <v>58</v>
      </c>
      <c r="F889" s="4">
        <v>13191</v>
      </c>
      <c r="G889" s="4" t="s">
        <v>35</v>
      </c>
      <c r="H889" s="4">
        <v>1</v>
      </c>
      <c r="I889" s="4">
        <v>0</v>
      </c>
      <c r="J889" s="4">
        <v>1</v>
      </c>
      <c r="K889" s="4">
        <v>3</v>
      </c>
      <c r="L889" s="4" t="str">
        <f t="shared" si="22"/>
        <v>NORMAL</v>
      </c>
      <c r="M889" s="4" t="str">
        <f t="shared" si="23"/>
        <v>MEDIUM</v>
      </c>
      <c r="N889" s="4" t="str">
        <f t="shared" si="24"/>
        <v>NEW</v>
      </c>
      <c r="O889" s="4" t="str">
        <f t="shared" si="25"/>
        <v>RECENTLY PROMOTED</v>
      </c>
      <c r="P889" s="5" t="str">
        <f t="shared" si="26"/>
        <v>Medium_Pressure</v>
      </c>
      <c r="Q889" s="4" t="str">
        <f t="shared" si="27"/>
        <v>DISENGAGED</v>
      </c>
      <c r="R889" s="4" t="str">
        <f t="shared" si="28"/>
        <v>LOW</v>
      </c>
      <c r="S889" s="2"/>
      <c r="T889" s="2"/>
      <c r="U889" s="2"/>
      <c r="V889" s="2"/>
      <c r="W889" s="2"/>
      <c r="X889" s="2"/>
      <c r="Y889" s="2"/>
      <c r="Z889" s="2"/>
    </row>
    <row r="890" spans="1:26" ht="16.8" x14ac:dyDescent="0.3">
      <c r="A890" s="4">
        <v>1243</v>
      </c>
      <c r="B890" s="4" t="s">
        <v>43</v>
      </c>
      <c r="C890" s="4">
        <v>35</v>
      </c>
      <c r="D890" s="4" t="s">
        <v>37</v>
      </c>
      <c r="E890" s="4" t="s">
        <v>40</v>
      </c>
      <c r="F890" s="4">
        <v>10377</v>
      </c>
      <c r="G890" s="4" t="s">
        <v>35</v>
      </c>
      <c r="H890" s="4">
        <v>13</v>
      </c>
      <c r="I890" s="4">
        <v>4</v>
      </c>
      <c r="J890" s="4">
        <v>4</v>
      </c>
      <c r="K890" s="4">
        <v>2</v>
      </c>
      <c r="L890" s="4" t="str">
        <f t="shared" si="22"/>
        <v>NORMAL</v>
      </c>
      <c r="M890" s="4" t="str">
        <f t="shared" si="23"/>
        <v>MEDIUM</v>
      </c>
      <c r="N890" s="4" t="str">
        <f t="shared" si="24"/>
        <v>SENIOR</v>
      </c>
      <c r="O890" s="4" t="str">
        <f t="shared" si="25"/>
        <v>STAGNANT</v>
      </c>
      <c r="P890" s="5" t="str">
        <f t="shared" si="26"/>
        <v>High_Pressure</v>
      </c>
      <c r="Q890" s="4" t="str">
        <f t="shared" si="27"/>
        <v>DISENGAGED</v>
      </c>
      <c r="R890" s="4" t="str">
        <f t="shared" si="28"/>
        <v>LOW</v>
      </c>
      <c r="S890" s="2"/>
      <c r="T890" s="2"/>
      <c r="U890" s="2"/>
      <c r="V890" s="2"/>
      <c r="W890" s="2"/>
      <c r="X890" s="2"/>
      <c r="Y890" s="2"/>
      <c r="Z890" s="2"/>
    </row>
    <row r="891" spans="1:26" ht="16.8" x14ac:dyDescent="0.3">
      <c r="A891" s="4">
        <v>1244</v>
      </c>
      <c r="B891" s="4" t="s">
        <v>43</v>
      </c>
      <c r="C891" s="4">
        <v>27</v>
      </c>
      <c r="D891" s="4" t="s">
        <v>45</v>
      </c>
      <c r="E891" s="4" t="s">
        <v>47</v>
      </c>
      <c r="F891" s="4">
        <v>2235</v>
      </c>
      <c r="G891" s="4" t="s">
        <v>35</v>
      </c>
      <c r="H891" s="4">
        <v>9</v>
      </c>
      <c r="I891" s="4">
        <v>6</v>
      </c>
      <c r="J891" s="4">
        <v>1</v>
      </c>
      <c r="K891" s="4">
        <v>2</v>
      </c>
      <c r="L891" s="4" t="str">
        <f t="shared" si="22"/>
        <v>HIGH RISK</v>
      </c>
      <c r="M891" s="4" t="str">
        <f t="shared" si="23"/>
        <v>LOW</v>
      </c>
      <c r="N891" s="4" t="str">
        <f t="shared" si="24"/>
        <v>SENIOR</v>
      </c>
      <c r="O891" s="4" t="str">
        <f t="shared" si="25"/>
        <v>STAGNANT</v>
      </c>
      <c r="P891" s="5" t="str">
        <f t="shared" si="26"/>
        <v>High_Pressure</v>
      </c>
      <c r="Q891" s="4" t="str">
        <f t="shared" si="27"/>
        <v>DISENGAGED</v>
      </c>
      <c r="R891" s="4" t="str">
        <f t="shared" si="28"/>
        <v>LOW</v>
      </c>
      <c r="S891" s="2"/>
      <c r="T891" s="2"/>
      <c r="U891" s="2"/>
      <c r="V891" s="2"/>
      <c r="W891" s="2"/>
      <c r="X891" s="2"/>
      <c r="Y891" s="2"/>
      <c r="Z891" s="2"/>
    </row>
    <row r="892" spans="1:26" ht="16.8" x14ac:dyDescent="0.3">
      <c r="A892" s="4">
        <v>1245</v>
      </c>
      <c r="B892" s="4" t="s">
        <v>43</v>
      </c>
      <c r="C892" s="4">
        <v>54</v>
      </c>
      <c r="D892" s="4" t="s">
        <v>45</v>
      </c>
      <c r="E892" s="4" t="s">
        <v>53</v>
      </c>
      <c r="F892" s="4">
        <v>10502</v>
      </c>
      <c r="G892" s="4" t="s">
        <v>43</v>
      </c>
      <c r="H892" s="4">
        <v>5</v>
      </c>
      <c r="I892" s="4">
        <v>1</v>
      </c>
      <c r="J892" s="4">
        <v>3</v>
      </c>
      <c r="K892" s="4">
        <v>1</v>
      </c>
      <c r="L892" s="4" t="str">
        <f t="shared" si="22"/>
        <v>NORMAL</v>
      </c>
      <c r="M892" s="4" t="str">
        <f t="shared" si="23"/>
        <v>MEDIUM</v>
      </c>
      <c r="N892" s="4" t="str">
        <f t="shared" si="24"/>
        <v>MID</v>
      </c>
      <c r="O892" s="4" t="str">
        <f t="shared" si="25"/>
        <v>RECENTLY PROMOTED</v>
      </c>
      <c r="P892" s="5" t="str">
        <f t="shared" si="26"/>
        <v>Low_Pressure</v>
      </c>
      <c r="Q892" s="4" t="str">
        <f t="shared" si="27"/>
        <v>DISENGAGED</v>
      </c>
      <c r="R892" s="4" t="str">
        <f t="shared" si="28"/>
        <v>LOW</v>
      </c>
      <c r="S892" s="2"/>
      <c r="T892" s="2"/>
      <c r="U892" s="2"/>
      <c r="V892" s="2"/>
      <c r="W892" s="2"/>
      <c r="X892" s="2"/>
      <c r="Y892" s="2"/>
      <c r="Z892" s="2"/>
    </row>
    <row r="893" spans="1:26" ht="16.8" x14ac:dyDescent="0.3">
      <c r="A893" s="4">
        <v>1246</v>
      </c>
      <c r="B893" s="4" t="s">
        <v>43</v>
      </c>
      <c r="C893" s="4">
        <v>44</v>
      </c>
      <c r="D893" s="4" t="s">
        <v>45</v>
      </c>
      <c r="E893" s="4" t="s">
        <v>47</v>
      </c>
      <c r="F893" s="4">
        <v>2011</v>
      </c>
      <c r="G893" s="4" t="s">
        <v>43</v>
      </c>
      <c r="H893" s="4">
        <v>10</v>
      </c>
      <c r="I893" s="4">
        <v>7</v>
      </c>
      <c r="J893" s="4">
        <v>4</v>
      </c>
      <c r="K893" s="4">
        <v>3</v>
      </c>
      <c r="L893" s="4" t="str">
        <f t="shared" si="22"/>
        <v>NORMAL</v>
      </c>
      <c r="M893" s="4" t="str">
        <f t="shared" si="23"/>
        <v>LOW</v>
      </c>
      <c r="N893" s="4" t="str">
        <f t="shared" si="24"/>
        <v>SENIOR</v>
      </c>
      <c r="O893" s="4" t="str">
        <f t="shared" si="25"/>
        <v>STAGNANT</v>
      </c>
      <c r="P893" s="5" t="str">
        <f t="shared" si="26"/>
        <v>Medium_Pressure</v>
      </c>
      <c r="Q893" s="4" t="str">
        <f t="shared" si="27"/>
        <v>HIGHLY_ENGAGED</v>
      </c>
      <c r="R893" s="4" t="str">
        <f t="shared" si="28"/>
        <v>LOW</v>
      </c>
      <c r="S893" s="2"/>
      <c r="T893" s="2"/>
      <c r="U893" s="2"/>
      <c r="V893" s="2"/>
      <c r="W893" s="2"/>
      <c r="X893" s="2"/>
      <c r="Y893" s="2"/>
      <c r="Z893" s="2"/>
    </row>
    <row r="894" spans="1:26" ht="16.8" x14ac:dyDescent="0.3">
      <c r="A894" s="4">
        <v>1248</v>
      </c>
      <c r="B894" s="4" t="s">
        <v>35</v>
      </c>
      <c r="C894" s="4">
        <v>19</v>
      </c>
      <c r="D894" s="4" t="s">
        <v>45</v>
      </c>
      <c r="E894" s="4" t="s">
        <v>47</v>
      </c>
      <c r="F894" s="4">
        <v>1859</v>
      </c>
      <c r="G894" s="4" t="s">
        <v>35</v>
      </c>
      <c r="H894" s="4">
        <v>1</v>
      </c>
      <c r="I894" s="4">
        <v>0</v>
      </c>
      <c r="J894" s="4">
        <v>2</v>
      </c>
      <c r="K894" s="4">
        <v>4</v>
      </c>
      <c r="L894" s="4" t="str">
        <f t="shared" si="22"/>
        <v>NORMAL</v>
      </c>
      <c r="M894" s="4" t="str">
        <f t="shared" si="23"/>
        <v>LOW</v>
      </c>
      <c r="N894" s="4" t="str">
        <f t="shared" si="24"/>
        <v>NEW</v>
      </c>
      <c r="O894" s="4" t="str">
        <f t="shared" si="25"/>
        <v>RECENTLY PROMOTED</v>
      </c>
      <c r="P894" s="5" t="str">
        <f t="shared" si="26"/>
        <v>Medium_Pressure</v>
      </c>
      <c r="Q894" s="4" t="str">
        <f t="shared" si="27"/>
        <v>DISENGAGED</v>
      </c>
      <c r="R894" s="4" t="str">
        <f t="shared" si="28"/>
        <v>LOW</v>
      </c>
      <c r="S894" s="2"/>
      <c r="T894" s="2"/>
      <c r="U894" s="2"/>
      <c r="V894" s="2"/>
      <c r="W894" s="2"/>
      <c r="X894" s="2"/>
      <c r="Y894" s="2"/>
      <c r="Z894" s="2"/>
    </row>
    <row r="895" spans="1:26" ht="16.8" x14ac:dyDescent="0.3">
      <c r="A895" s="4">
        <v>1249</v>
      </c>
      <c r="B895" s="4" t="s">
        <v>43</v>
      </c>
      <c r="C895" s="4">
        <v>29</v>
      </c>
      <c r="D895" s="4" t="s">
        <v>45</v>
      </c>
      <c r="E895" s="4" t="s">
        <v>47</v>
      </c>
      <c r="F895" s="4">
        <v>3760</v>
      </c>
      <c r="G895" s="4" t="s">
        <v>43</v>
      </c>
      <c r="H895" s="4">
        <v>3</v>
      </c>
      <c r="I895" s="4">
        <v>1</v>
      </c>
      <c r="J895" s="4">
        <v>4</v>
      </c>
      <c r="K895" s="4">
        <v>3</v>
      </c>
      <c r="L895" s="4" t="str">
        <f t="shared" si="22"/>
        <v>NORMAL</v>
      </c>
      <c r="M895" s="4" t="str">
        <f t="shared" si="23"/>
        <v>LOW</v>
      </c>
      <c r="N895" s="4" t="str">
        <f t="shared" si="24"/>
        <v>MID</v>
      </c>
      <c r="O895" s="4" t="str">
        <f t="shared" si="25"/>
        <v>RECENTLY PROMOTED</v>
      </c>
      <c r="P895" s="5" t="str">
        <f t="shared" si="26"/>
        <v>Medium_Pressure</v>
      </c>
      <c r="Q895" s="4" t="str">
        <f t="shared" si="27"/>
        <v>HIGHLY_ENGAGED</v>
      </c>
      <c r="R895" s="4" t="str">
        <f t="shared" si="28"/>
        <v>LOW</v>
      </c>
      <c r="S895" s="2"/>
      <c r="T895" s="2"/>
      <c r="U895" s="2"/>
      <c r="V895" s="2"/>
      <c r="W895" s="2"/>
      <c r="X895" s="2"/>
      <c r="Y895" s="2"/>
      <c r="Z895" s="2"/>
    </row>
    <row r="896" spans="1:26" ht="16.8" x14ac:dyDescent="0.3">
      <c r="A896" s="4">
        <v>1250</v>
      </c>
      <c r="B896" s="4" t="s">
        <v>43</v>
      </c>
      <c r="C896" s="4">
        <v>54</v>
      </c>
      <c r="D896" s="4" t="s">
        <v>45</v>
      </c>
      <c r="E896" s="4" t="s">
        <v>58</v>
      </c>
      <c r="F896" s="4">
        <v>17779</v>
      </c>
      <c r="G896" s="4" t="s">
        <v>43</v>
      </c>
      <c r="H896" s="4">
        <v>10</v>
      </c>
      <c r="I896" s="4">
        <v>0</v>
      </c>
      <c r="J896" s="4">
        <v>4</v>
      </c>
      <c r="K896" s="4">
        <v>3</v>
      </c>
      <c r="L896" s="4" t="str">
        <f t="shared" si="22"/>
        <v>NORMAL</v>
      </c>
      <c r="M896" s="4" t="str">
        <f t="shared" si="23"/>
        <v>MEDIUM</v>
      </c>
      <c r="N896" s="4" t="str">
        <f t="shared" si="24"/>
        <v>SENIOR</v>
      </c>
      <c r="O896" s="4" t="str">
        <f t="shared" si="25"/>
        <v>RECENTLY PROMOTED</v>
      </c>
      <c r="P896" s="5" t="str">
        <f t="shared" si="26"/>
        <v>Medium_Pressure</v>
      </c>
      <c r="Q896" s="4" t="str">
        <f t="shared" si="27"/>
        <v>HIGHLY_ENGAGED</v>
      </c>
      <c r="R896" s="4" t="str">
        <f t="shared" si="28"/>
        <v>LOW</v>
      </c>
      <c r="S896" s="2"/>
      <c r="T896" s="2"/>
      <c r="U896" s="2"/>
      <c r="V896" s="2"/>
      <c r="W896" s="2"/>
      <c r="X896" s="2"/>
      <c r="Y896" s="2"/>
      <c r="Z896" s="2"/>
    </row>
    <row r="897" spans="1:26" ht="16.8" x14ac:dyDescent="0.3">
      <c r="A897" s="4">
        <v>1251</v>
      </c>
      <c r="B897" s="4" t="s">
        <v>43</v>
      </c>
      <c r="C897" s="4">
        <v>31</v>
      </c>
      <c r="D897" s="4" t="s">
        <v>45</v>
      </c>
      <c r="E897" s="4" t="s">
        <v>54</v>
      </c>
      <c r="F897" s="4">
        <v>6833</v>
      </c>
      <c r="G897" s="4" t="s">
        <v>35</v>
      </c>
      <c r="H897" s="4">
        <v>6</v>
      </c>
      <c r="I897" s="4">
        <v>0</v>
      </c>
      <c r="J897" s="4">
        <v>1</v>
      </c>
      <c r="K897" s="4">
        <v>2</v>
      </c>
      <c r="L897" s="4" t="str">
        <f t="shared" si="22"/>
        <v>NORMAL</v>
      </c>
      <c r="M897" s="4" t="str">
        <f t="shared" si="23"/>
        <v>HIGH</v>
      </c>
      <c r="N897" s="4" t="str">
        <f t="shared" si="24"/>
        <v>MID</v>
      </c>
      <c r="O897" s="4" t="str">
        <f t="shared" si="25"/>
        <v>RECENTLY PROMOTED</v>
      </c>
      <c r="P897" s="5" t="str">
        <f t="shared" si="26"/>
        <v>High_Pressure</v>
      </c>
      <c r="Q897" s="4" t="str">
        <f t="shared" si="27"/>
        <v>DISENGAGED</v>
      </c>
      <c r="R897" s="4" t="str">
        <f t="shared" si="28"/>
        <v>LOW</v>
      </c>
      <c r="S897" s="2"/>
      <c r="T897" s="2"/>
      <c r="U897" s="2"/>
      <c r="V897" s="2"/>
      <c r="W897" s="2"/>
      <c r="X897" s="2"/>
      <c r="Y897" s="2"/>
      <c r="Z897" s="2"/>
    </row>
    <row r="898" spans="1:26" ht="16.8" x14ac:dyDescent="0.3">
      <c r="A898" s="4">
        <v>1252</v>
      </c>
      <c r="B898" s="4" t="s">
        <v>43</v>
      </c>
      <c r="C898" s="4">
        <v>31</v>
      </c>
      <c r="D898" s="4" t="s">
        <v>45</v>
      </c>
      <c r="E898" s="4" t="s">
        <v>54</v>
      </c>
      <c r="F898" s="4">
        <v>6812</v>
      </c>
      <c r="G898" s="4" t="s">
        <v>43</v>
      </c>
      <c r="H898" s="4">
        <v>10</v>
      </c>
      <c r="I898" s="4">
        <v>1</v>
      </c>
      <c r="J898" s="4">
        <v>1</v>
      </c>
      <c r="K898" s="4">
        <v>3</v>
      </c>
      <c r="L898" s="4" t="str">
        <f t="shared" si="22"/>
        <v>NORMAL</v>
      </c>
      <c r="M898" s="4" t="str">
        <f t="shared" si="23"/>
        <v>HIGH</v>
      </c>
      <c r="N898" s="4" t="str">
        <f t="shared" si="24"/>
        <v>SENIOR</v>
      </c>
      <c r="O898" s="4" t="str">
        <f t="shared" si="25"/>
        <v>RECENTLY PROMOTED</v>
      </c>
      <c r="P898" s="5" t="str">
        <f t="shared" si="26"/>
        <v>Medium_Pressure</v>
      </c>
      <c r="Q898" s="4" t="str">
        <f t="shared" si="27"/>
        <v>DISENGAGED</v>
      </c>
      <c r="R898" s="4" t="str">
        <f t="shared" si="28"/>
        <v>LOW</v>
      </c>
      <c r="S898" s="2"/>
      <c r="T898" s="2"/>
      <c r="U898" s="2"/>
      <c r="V898" s="2"/>
      <c r="W898" s="2"/>
      <c r="X898" s="2"/>
      <c r="Y898" s="2"/>
      <c r="Z898" s="2"/>
    </row>
    <row r="899" spans="1:26" ht="16.8" x14ac:dyDescent="0.3">
      <c r="A899" s="4">
        <v>1254</v>
      </c>
      <c r="B899" s="4" t="s">
        <v>43</v>
      </c>
      <c r="C899" s="4">
        <v>59</v>
      </c>
      <c r="D899" s="4" t="s">
        <v>37</v>
      </c>
      <c r="E899" s="4" t="s">
        <v>40</v>
      </c>
      <c r="F899" s="4">
        <v>5171</v>
      </c>
      <c r="G899" s="4" t="s">
        <v>43</v>
      </c>
      <c r="H899" s="4">
        <v>6</v>
      </c>
      <c r="I899" s="4">
        <v>0</v>
      </c>
      <c r="J899" s="4">
        <v>4</v>
      </c>
      <c r="K899" s="4">
        <v>3</v>
      </c>
      <c r="L899" s="4" t="str">
        <f t="shared" si="22"/>
        <v>NORMAL</v>
      </c>
      <c r="M899" s="4" t="str">
        <f t="shared" si="23"/>
        <v>HIGH</v>
      </c>
      <c r="N899" s="4" t="str">
        <f t="shared" si="24"/>
        <v>MID</v>
      </c>
      <c r="O899" s="4" t="str">
        <f t="shared" si="25"/>
        <v>RECENTLY PROMOTED</v>
      </c>
      <c r="P899" s="5" t="str">
        <f t="shared" si="26"/>
        <v>Medium_Pressure</v>
      </c>
      <c r="Q899" s="4" t="str">
        <f t="shared" si="27"/>
        <v>HIGHLY_ENGAGED</v>
      </c>
      <c r="R899" s="4" t="str">
        <f t="shared" si="28"/>
        <v>LOW</v>
      </c>
      <c r="S899" s="2"/>
      <c r="T899" s="2"/>
      <c r="U899" s="2"/>
      <c r="V899" s="2"/>
      <c r="W899" s="2"/>
      <c r="X899" s="2"/>
      <c r="Y899" s="2"/>
      <c r="Z899" s="2"/>
    </row>
    <row r="900" spans="1:26" ht="16.8" x14ac:dyDescent="0.3">
      <c r="A900" s="4">
        <v>1255</v>
      </c>
      <c r="B900" s="4" t="s">
        <v>43</v>
      </c>
      <c r="C900" s="4">
        <v>43</v>
      </c>
      <c r="D900" s="4" t="s">
        <v>45</v>
      </c>
      <c r="E900" s="4" t="s">
        <v>58</v>
      </c>
      <c r="F900" s="4">
        <v>19740</v>
      </c>
      <c r="G900" s="4" t="s">
        <v>43</v>
      </c>
      <c r="H900" s="4">
        <v>8</v>
      </c>
      <c r="I900" s="4">
        <v>0</v>
      </c>
      <c r="J900" s="4">
        <v>4</v>
      </c>
      <c r="K900" s="4">
        <v>3</v>
      </c>
      <c r="L900" s="4" t="str">
        <f t="shared" si="22"/>
        <v>NORMAL</v>
      </c>
      <c r="M900" s="4" t="str">
        <f t="shared" si="23"/>
        <v>MEDIUM</v>
      </c>
      <c r="N900" s="4" t="str">
        <f t="shared" si="24"/>
        <v>SENIOR</v>
      </c>
      <c r="O900" s="4" t="str">
        <f t="shared" si="25"/>
        <v>RECENTLY PROMOTED</v>
      </c>
      <c r="P900" s="5" t="str">
        <f t="shared" si="26"/>
        <v>Medium_Pressure</v>
      </c>
      <c r="Q900" s="4" t="str">
        <f t="shared" si="27"/>
        <v>HIGHLY_ENGAGED</v>
      </c>
      <c r="R900" s="4" t="str">
        <f t="shared" si="28"/>
        <v>LOW</v>
      </c>
      <c r="S900" s="2"/>
      <c r="T900" s="2"/>
      <c r="U900" s="2"/>
      <c r="V900" s="2"/>
      <c r="W900" s="2"/>
      <c r="X900" s="2"/>
      <c r="Y900" s="2"/>
      <c r="Z900" s="2"/>
    </row>
    <row r="901" spans="1:26" ht="16.8" x14ac:dyDescent="0.3">
      <c r="A901" s="4">
        <v>1256</v>
      </c>
      <c r="B901" s="4" t="s">
        <v>43</v>
      </c>
      <c r="C901" s="4">
        <v>49</v>
      </c>
      <c r="D901" s="4" t="s">
        <v>45</v>
      </c>
      <c r="E901" s="4" t="s">
        <v>56</v>
      </c>
      <c r="F901" s="4">
        <v>18711</v>
      </c>
      <c r="G901" s="4" t="s">
        <v>43</v>
      </c>
      <c r="H901" s="4">
        <v>1</v>
      </c>
      <c r="I901" s="4">
        <v>0</v>
      </c>
      <c r="J901" s="4">
        <v>3</v>
      </c>
      <c r="K901" s="4">
        <v>4</v>
      </c>
      <c r="L901" s="4" t="str">
        <f t="shared" si="22"/>
        <v>NORMAL</v>
      </c>
      <c r="M901" s="4" t="str">
        <f t="shared" si="23"/>
        <v>MEDIUM</v>
      </c>
      <c r="N901" s="4" t="str">
        <f t="shared" si="24"/>
        <v>NEW</v>
      </c>
      <c r="O901" s="4" t="str">
        <f t="shared" si="25"/>
        <v>RECENTLY PROMOTED</v>
      </c>
      <c r="P901" s="5" t="str">
        <f t="shared" si="26"/>
        <v>Low_Pressure</v>
      </c>
      <c r="Q901" s="4" t="str">
        <f t="shared" si="27"/>
        <v>HIGHLY_ENGAGED</v>
      </c>
      <c r="R901" s="4" t="str">
        <f t="shared" si="28"/>
        <v>LOW</v>
      </c>
      <c r="S901" s="2"/>
      <c r="T901" s="2"/>
      <c r="U901" s="2"/>
      <c r="V901" s="2"/>
      <c r="W901" s="2"/>
      <c r="X901" s="2"/>
      <c r="Y901" s="2"/>
      <c r="Z901" s="2"/>
    </row>
    <row r="902" spans="1:26" ht="16.8" x14ac:dyDescent="0.3">
      <c r="A902" s="4">
        <v>1257</v>
      </c>
      <c r="B902" s="4" t="s">
        <v>43</v>
      </c>
      <c r="C902" s="4">
        <v>36</v>
      </c>
      <c r="D902" s="4" t="s">
        <v>45</v>
      </c>
      <c r="E902" s="4" t="s">
        <v>47</v>
      </c>
      <c r="F902" s="4">
        <v>3692</v>
      </c>
      <c r="G902" s="4" t="s">
        <v>43</v>
      </c>
      <c r="H902" s="4">
        <v>11</v>
      </c>
      <c r="I902" s="4">
        <v>0</v>
      </c>
      <c r="J902" s="4">
        <v>2</v>
      </c>
      <c r="K902" s="4">
        <v>2</v>
      </c>
      <c r="L902" s="4" t="str">
        <f t="shared" si="22"/>
        <v>NORMAL</v>
      </c>
      <c r="M902" s="4" t="str">
        <f t="shared" si="23"/>
        <v>LOW</v>
      </c>
      <c r="N902" s="4" t="str">
        <f t="shared" si="24"/>
        <v>SENIOR</v>
      </c>
      <c r="O902" s="4" t="str">
        <f t="shared" si="25"/>
        <v>RECENTLY PROMOTED</v>
      </c>
      <c r="P902" s="5" t="str">
        <f t="shared" si="26"/>
        <v>Low_Pressure</v>
      </c>
      <c r="Q902" s="4" t="str">
        <f t="shared" si="27"/>
        <v>DISENGAGED</v>
      </c>
      <c r="R902" s="4" t="str">
        <f t="shared" si="28"/>
        <v>LOW</v>
      </c>
      <c r="S902" s="2"/>
      <c r="T902" s="2"/>
      <c r="U902" s="2"/>
      <c r="V902" s="2"/>
      <c r="W902" s="2"/>
      <c r="X902" s="2"/>
      <c r="Y902" s="2"/>
      <c r="Z902" s="2"/>
    </row>
    <row r="903" spans="1:26" ht="16.8" x14ac:dyDescent="0.3">
      <c r="A903" s="4">
        <v>1258</v>
      </c>
      <c r="B903" s="4" t="s">
        <v>43</v>
      </c>
      <c r="C903" s="4">
        <v>48</v>
      </c>
      <c r="D903" s="4" t="s">
        <v>45</v>
      </c>
      <c r="E903" s="4" t="s">
        <v>50</v>
      </c>
      <c r="F903" s="4">
        <v>2559</v>
      </c>
      <c r="G903" s="4" t="s">
        <v>43</v>
      </c>
      <c r="H903" s="4">
        <v>1</v>
      </c>
      <c r="I903" s="4">
        <v>0</v>
      </c>
      <c r="J903" s="4">
        <v>2</v>
      </c>
      <c r="K903" s="4">
        <v>2</v>
      </c>
      <c r="L903" s="4" t="str">
        <f t="shared" si="22"/>
        <v>NORMAL</v>
      </c>
      <c r="M903" s="4" t="str">
        <f t="shared" si="23"/>
        <v>LOW</v>
      </c>
      <c r="N903" s="4" t="str">
        <f t="shared" si="24"/>
        <v>NEW</v>
      </c>
      <c r="O903" s="4" t="str">
        <f t="shared" si="25"/>
        <v>RECENTLY PROMOTED</v>
      </c>
      <c r="P903" s="5" t="str">
        <f t="shared" si="26"/>
        <v>Low_Pressure</v>
      </c>
      <c r="Q903" s="4" t="str">
        <f t="shared" si="27"/>
        <v>DISENGAGED</v>
      </c>
      <c r="R903" s="4" t="str">
        <f t="shared" si="28"/>
        <v>LOW</v>
      </c>
      <c r="S903" s="2"/>
      <c r="T903" s="2"/>
      <c r="U903" s="2"/>
      <c r="V903" s="2"/>
      <c r="W903" s="2"/>
      <c r="X903" s="2"/>
      <c r="Y903" s="2"/>
      <c r="Z903" s="2"/>
    </row>
    <row r="904" spans="1:26" ht="16.8" x14ac:dyDescent="0.3">
      <c r="A904" s="4">
        <v>1259</v>
      </c>
      <c r="B904" s="4" t="s">
        <v>43</v>
      </c>
      <c r="C904" s="4">
        <v>27</v>
      </c>
      <c r="D904" s="4" t="s">
        <v>45</v>
      </c>
      <c r="E904" s="4" t="s">
        <v>47</v>
      </c>
      <c r="F904" s="4">
        <v>2517</v>
      </c>
      <c r="G904" s="4" t="s">
        <v>43</v>
      </c>
      <c r="H904" s="4">
        <v>5</v>
      </c>
      <c r="I904" s="4">
        <v>0</v>
      </c>
      <c r="J904" s="4">
        <v>3</v>
      </c>
      <c r="K904" s="4">
        <v>3</v>
      </c>
      <c r="L904" s="4" t="str">
        <f t="shared" si="22"/>
        <v>NORMAL</v>
      </c>
      <c r="M904" s="4" t="str">
        <f t="shared" si="23"/>
        <v>LOW</v>
      </c>
      <c r="N904" s="4" t="str">
        <f t="shared" si="24"/>
        <v>MID</v>
      </c>
      <c r="O904" s="4" t="str">
        <f t="shared" si="25"/>
        <v>RECENTLY PROMOTED</v>
      </c>
      <c r="P904" s="5" t="str">
        <f t="shared" si="26"/>
        <v>Medium_Pressure</v>
      </c>
      <c r="Q904" s="4" t="str">
        <f t="shared" si="27"/>
        <v>HIGHLY_ENGAGED</v>
      </c>
      <c r="R904" s="4" t="str">
        <f t="shared" si="28"/>
        <v>LOW</v>
      </c>
      <c r="S904" s="2"/>
      <c r="T904" s="2"/>
      <c r="U904" s="2"/>
      <c r="V904" s="2"/>
      <c r="W904" s="2"/>
      <c r="X904" s="2"/>
      <c r="Y904" s="2"/>
      <c r="Z904" s="2"/>
    </row>
    <row r="905" spans="1:26" ht="16.8" x14ac:dyDescent="0.3">
      <c r="A905" s="4">
        <v>1260</v>
      </c>
      <c r="B905" s="4" t="s">
        <v>43</v>
      </c>
      <c r="C905" s="4">
        <v>29</v>
      </c>
      <c r="D905" s="4" t="s">
        <v>45</v>
      </c>
      <c r="E905" s="4" t="s">
        <v>54</v>
      </c>
      <c r="F905" s="4">
        <v>6623</v>
      </c>
      <c r="G905" s="4" t="s">
        <v>35</v>
      </c>
      <c r="H905" s="4">
        <v>6</v>
      </c>
      <c r="I905" s="4">
        <v>1</v>
      </c>
      <c r="J905" s="4">
        <v>4</v>
      </c>
      <c r="K905" s="4">
        <v>3</v>
      </c>
      <c r="L905" s="4" t="str">
        <f t="shared" si="22"/>
        <v>NORMAL</v>
      </c>
      <c r="M905" s="4" t="str">
        <f t="shared" si="23"/>
        <v>HIGH</v>
      </c>
      <c r="N905" s="4" t="str">
        <f t="shared" si="24"/>
        <v>MID</v>
      </c>
      <c r="O905" s="4" t="str">
        <f t="shared" si="25"/>
        <v>RECENTLY PROMOTED</v>
      </c>
      <c r="P905" s="5" t="str">
        <f t="shared" si="26"/>
        <v>Medium_Pressure</v>
      </c>
      <c r="Q905" s="4" t="str">
        <f t="shared" si="27"/>
        <v>HIGHLY_ENGAGED</v>
      </c>
      <c r="R905" s="4" t="str">
        <f t="shared" si="28"/>
        <v>LOW</v>
      </c>
      <c r="S905" s="2"/>
      <c r="T905" s="2"/>
      <c r="U905" s="2"/>
      <c r="V905" s="2"/>
      <c r="W905" s="2"/>
      <c r="X905" s="2"/>
      <c r="Y905" s="2"/>
      <c r="Z905" s="2"/>
    </row>
    <row r="906" spans="1:26" ht="16.8" x14ac:dyDescent="0.3">
      <c r="A906" s="4">
        <v>1263</v>
      </c>
      <c r="B906" s="4" t="s">
        <v>43</v>
      </c>
      <c r="C906" s="4">
        <v>48</v>
      </c>
      <c r="D906" s="4" t="s">
        <v>45</v>
      </c>
      <c r="E906" s="4" t="s">
        <v>58</v>
      </c>
      <c r="F906" s="4">
        <v>18265</v>
      </c>
      <c r="G906" s="4" t="s">
        <v>43</v>
      </c>
      <c r="H906" s="4">
        <v>1</v>
      </c>
      <c r="I906" s="4">
        <v>0</v>
      </c>
      <c r="J906" s="4">
        <v>4</v>
      </c>
      <c r="K906" s="4">
        <v>4</v>
      </c>
      <c r="L906" s="4" t="str">
        <f t="shared" si="22"/>
        <v>NORMAL</v>
      </c>
      <c r="M906" s="4" t="str">
        <f t="shared" si="23"/>
        <v>MEDIUM</v>
      </c>
      <c r="N906" s="4" t="str">
        <f t="shared" si="24"/>
        <v>NEW</v>
      </c>
      <c r="O906" s="4" t="str">
        <f t="shared" si="25"/>
        <v>RECENTLY PROMOTED</v>
      </c>
      <c r="P906" s="5" t="str">
        <f t="shared" si="26"/>
        <v>Low_Pressure</v>
      </c>
      <c r="Q906" s="4" t="str">
        <f t="shared" si="27"/>
        <v>HIGHLY_ENGAGED</v>
      </c>
      <c r="R906" s="4" t="str">
        <f t="shared" si="28"/>
        <v>LOW</v>
      </c>
      <c r="S906" s="2"/>
      <c r="T906" s="2"/>
      <c r="U906" s="2"/>
      <c r="V906" s="2"/>
      <c r="W906" s="2"/>
      <c r="X906" s="2"/>
      <c r="Y906" s="2"/>
      <c r="Z906" s="2"/>
    </row>
    <row r="907" spans="1:26" ht="16.8" x14ac:dyDescent="0.3">
      <c r="A907" s="4">
        <v>1264</v>
      </c>
      <c r="B907" s="4" t="s">
        <v>43</v>
      </c>
      <c r="C907" s="4">
        <v>29</v>
      </c>
      <c r="D907" s="4" t="s">
        <v>45</v>
      </c>
      <c r="E907" s="4" t="s">
        <v>58</v>
      </c>
      <c r="F907" s="4">
        <v>16124</v>
      </c>
      <c r="G907" s="4" t="s">
        <v>43</v>
      </c>
      <c r="H907" s="4">
        <v>7</v>
      </c>
      <c r="I907" s="4">
        <v>1</v>
      </c>
      <c r="J907" s="4">
        <v>4</v>
      </c>
      <c r="K907" s="4">
        <v>2</v>
      </c>
      <c r="L907" s="4" t="str">
        <f t="shared" si="22"/>
        <v>NORMAL</v>
      </c>
      <c r="M907" s="4" t="str">
        <f t="shared" si="23"/>
        <v>MEDIUM</v>
      </c>
      <c r="N907" s="4" t="str">
        <f t="shared" si="24"/>
        <v>SENIOR</v>
      </c>
      <c r="O907" s="4" t="str">
        <f t="shared" si="25"/>
        <v>RECENTLY PROMOTED</v>
      </c>
      <c r="P907" s="5" t="str">
        <f t="shared" si="26"/>
        <v>Low_Pressure</v>
      </c>
      <c r="Q907" s="4" t="str">
        <f t="shared" si="27"/>
        <v>DISENGAGED</v>
      </c>
      <c r="R907" s="4" t="str">
        <f t="shared" si="28"/>
        <v>LOW</v>
      </c>
      <c r="S907" s="2"/>
      <c r="T907" s="2"/>
      <c r="U907" s="2"/>
      <c r="V907" s="2"/>
      <c r="W907" s="2"/>
      <c r="X907" s="2"/>
      <c r="Y907" s="2"/>
      <c r="Z907" s="2"/>
    </row>
    <row r="908" spans="1:26" ht="16.8" x14ac:dyDescent="0.3">
      <c r="A908" s="4">
        <v>1265</v>
      </c>
      <c r="B908" s="4" t="s">
        <v>43</v>
      </c>
      <c r="C908" s="4">
        <v>34</v>
      </c>
      <c r="D908" s="4" t="s">
        <v>45</v>
      </c>
      <c r="E908" s="4" t="s">
        <v>47</v>
      </c>
      <c r="F908" s="4">
        <v>2585</v>
      </c>
      <c r="G908" s="4" t="s">
        <v>43</v>
      </c>
      <c r="H908" s="4">
        <v>1</v>
      </c>
      <c r="I908" s="4">
        <v>0</v>
      </c>
      <c r="J908" s="4">
        <v>3</v>
      </c>
      <c r="K908" s="4">
        <v>2</v>
      </c>
      <c r="L908" s="4" t="str">
        <f t="shared" si="22"/>
        <v>NORMAL</v>
      </c>
      <c r="M908" s="4" t="str">
        <f t="shared" si="23"/>
        <v>LOW</v>
      </c>
      <c r="N908" s="4" t="str">
        <f t="shared" si="24"/>
        <v>NEW</v>
      </c>
      <c r="O908" s="4" t="str">
        <f t="shared" si="25"/>
        <v>RECENTLY PROMOTED</v>
      </c>
      <c r="P908" s="5" t="str">
        <f t="shared" si="26"/>
        <v>Low_Pressure</v>
      </c>
      <c r="Q908" s="4" t="str">
        <f t="shared" si="27"/>
        <v>DISENGAGED</v>
      </c>
      <c r="R908" s="4" t="str">
        <f t="shared" si="28"/>
        <v>LOW</v>
      </c>
      <c r="S908" s="2"/>
      <c r="T908" s="2"/>
      <c r="U908" s="2"/>
      <c r="V908" s="2"/>
      <c r="W908" s="2"/>
      <c r="X908" s="2"/>
      <c r="Y908" s="2"/>
      <c r="Z908" s="2"/>
    </row>
    <row r="909" spans="1:26" ht="16.8" x14ac:dyDescent="0.3">
      <c r="A909" s="4">
        <v>1267</v>
      </c>
      <c r="B909" s="4" t="s">
        <v>43</v>
      </c>
      <c r="C909" s="4">
        <v>44</v>
      </c>
      <c r="D909" s="4" t="s">
        <v>37</v>
      </c>
      <c r="E909" s="4" t="s">
        <v>56</v>
      </c>
      <c r="F909" s="4">
        <v>18213</v>
      </c>
      <c r="G909" s="4" t="s">
        <v>43</v>
      </c>
      <c r="H909" s="4">
        <v>22</v>
      </c>
      <c r="I909" s="4">
        <v>3</v>
      </c>
      <c r="J909" s="4">
        <v>2</v>
      </c>
      <c r="K909" s="4">
        <v>3</v>
      </c>
      <c r="L909" s="4" t="str">
        <f t="shared" si="22"/>
        <v>NORMAL</v>
      </c>
      <c r="M909" s="4" t="str">
        <f t="shared" si="23"/>
        <v>MEDIUM</v>
      </c>
      <c r="N909" s="4" t="str">
        <f t="shared" si="24"/>
        <v>SENIOR</v>
      </c>
      <c r="O909" s="4" t="str">
        <f t="shared" si="25"/>
        <v>MODERATE-WAIT</v>
      </c>
      <c r="P909" s="5" t="str">
        <f t="shared" si="26"/>
        <v>Medium_Pressure</v>
      </c>
      <c r="Q909" s="4" t="str">
        <f t="shared" si="27"/>
        <v>DISENGAGED</v>
      </c>
      <c r="R909" s="4" t="str">
        <f t="shared" si="28"/>
        <v>LOW</v>
      </c>
      <c r="S909" s="2"/>
      <c r="T909" s="2"/>
      <c r="U909" s="2"/>
      <c r="V909" s="2"/>
      <c r="W909" s="2"/>
      <c r="X909" s="2"/>
      <c r="Y909" s="2"/>
      <c r="Z909" s="2"/>
    </row>
    <row r="910" spans="1:26" ht="16.8" x14ac:dyDescent="0.3">
      <c r="A910" s="4">
        <v>1268</v>
      </c>
      <c r="B910" s="4" t="s">
        <v>43</v>
      </c>
      <c r="C910" s="4">
        <v>33</v>
      </c>
      <c r="D910" s="4" t="s">
        <v>37</v>
      </c>
      <c r="E910" s="4" t="s">
        <v>40</v>
      </c>
      <c r="F910" s="4">
        <v>8380</v>
      </c>
      <c r="G910" s="4" t="s">
        <v>35</v>
      </c>
      <c r="H910" s="4">
        <v>9</v>
      </c>
      <c r="I910" s="4">
        <v>0</v>
      </c>
      <c r="J910" s="4">
        <v>3</v>
      </c>
      <c r="K910" s="4">
        <v>3</v>
      </c>
      <c r="L910" s="4" t="str">
        <f t="shared" si="22"/>
        <v>NORMAL</v>
      </c>
      <c r="M910" s="4" t="str">
        <f t="shared" si="23"/>
        <v>HIGH</v>
      </c>
      <c r="N910" s="4" t="str">
        <f t="shared" si="24"/>
        <v>SENIOR</v>
      </c>
      <c r="O910" s="4" t="str">
        <f t="shared" si="25"/>
        <v>RECENTLY PROMOTED</v>
      </c>
      <c r="P910" s="5" t="str">
        <f t="shared" si="26"/>
        <v>Medium_Pressure</v>
      </c>
      <c r="Q910" s="4" t="str">
        <f t="shared" si="27"/>
        <v>HIGHLY_ENGAGED</v>
      </c>
      <c r="R910" s="4" t="str">
        <f t="shared" si="28"/>
        <v>LOW</v>
      </c>
      <c r="S910" s="2"/>
      <c r="T910" s="2"/>
      <c r="U910" s="2"/>
      <c r="V910" s="2"/>
      <c r="W910" s="2"/>
      <c r="X910" s="2"/>
      <c r="Y910" s="2"/>
      <c r="Z910" s="2"/>
    </row>
    <row r="911" spans="1:26" ht="16.8" x14ac:dyDescent="0.3">
      <c r="A911" s="4">
        <v>1269</v>
      </c>
      <c r="B911" s="4" t="s">
        <v>43</v>
      </c>
      <c r="C911" s="4">
        <v>19</v>
      </c>
      <c r="D911" s="4" t="s">
        <v>45</v>
      </c>
      <c r="E911" s="4" t="s">
        <v>47</v>
      </c>
      <c r="F911" s="4">
        <v>2994</v>
      </c>
      <c r="G911" s="4" t="s">
        <v>35</v>
      </c>
      <c r="H911" s="4">
        <v>1</v>
      </c>
      <c r="I911" s="4">
        <v>0</v>
      </c>
      <c r="J911" s="4">
        <v>4</v>
      </c>
      <c r="K911" s="4">
        <v>3</v>
      </c>
      <c r="L911" s="4" t="str">
        <f t="shared" si="22"/>
        <v>NORMAL</v>
      </c>
      <c r="M911" s="4" t="str">
        <f t="shared" si="23"/>
        <v>LOW</v>
      </c>
      <c r="N911" s="4" t="str">
        <f t="shared" si="24"/>
        <v>NEW</v>
      </c>
      <c r="O911" s="4" t="str">
        <f t="shared" si="25"/>
        <v>RECENTLY PROMOTED</v>
      </c>
      <c r="P911" s="5" t="str">
        <f t="shared" si="26"/>
        <v>Medium_Pressure</v>
      </c>
      <c r="Q911" s="4" t="str">
        <f t="shared" si="27"/>
        <v>HIGHLY_ENGAGED</v>
      </c>
      <c r="R911" s="4" t="str">
        <f t="shared" si="28"/>
        <v>LOW</v>
      </c>
      <c r="S911" s="2"/>
      <c r="T911" s="2"/>
      <c r="U911" s="2"/>
      <c r="V911" s="2"/>
      <c r="W911" s="2"/>
      <c r="X911" s="2"/>
      <c r="Y911" s="2"/>
      <c r="Z911" s="2"/>
    </row>
    <row r="912" spans="1:26" ht="16.8" x14ac:dyDescent="0.3">
      <c r="A912" s="4">
        <v>1270</v>
      </c>
      <c r="B912" s="4" t="s">
        <v>43</v>
      </c>
      <c r="C912" s="4">
        <v>23</v>
      </c>
      <c r="D912" s="4" t="s">
        <v>45</v>
      </c>
      <c r="E912" s="4" t="s">
        <v>47</v>
      </c>
      <c r="F912" s="4">
        <v>1223</v>
      </c>
      <c r="G912" s="4" t="s">
        <v>43</v>
      </c>
      <c r="H912" s="4">
        <v>1</v>
      </c>
      <c r="I912" s="4">
        <v>0</v>
      </c>
      <c r="J912" s="4">
        <v>3</v>
      </c>
      <c r="K912" s="4">
        <v>3</v>
      </c>
      <c r="L912" s="4" t="str">
        <f t="shared" si="22"/>
        <v>NORMAL</v>
      </c>
      <c r="M912" s="4" t="str">
        <f t="shared" si="23"/>
        <v>LOW</v>
      </c>
      <c r="N912" s="4" t="str">
        <f t="shared" si="24"/>
        <v>NEW</v>
      </c>
      <c r="O912" s="4" t="str">
        <f t="shared" si="25"/>
        <v>RECENTLY PROMOTED</v>
      </c>
      <c r="P912" s="5" t="str">
        <f t="shared" si="26"/>
        <v>Medium_Pressure</v>
      </c>
      <c r="Q912" s="4" t="str">
        <f t="shared" si="27"/>
        <v>HIGHLY_ENGAGED</v>
      </c>
      <c r="R912" s="4" t="str">
        <f t="shared" si="28"/>
        <v>LOW</v>
      </c>
      <c r="S912" s="2"/>
      <c r="T912" s="2"/>
      <c r="U912" s="2"/>
      <c r="V912" s="2"/>
      <c r="W912" s="2"/>
      <c r="X912" s="2"/>
      <c r="Y912" s="2"/>
      <c r="Z912" s="2"/>
    </row>
    <row r="913" spans="1:26" ht="16.8" x14ac:dyDescent="0.3">
      <c r="A913" s="4">
        <v>1273</v>
      </c>
      <c r="B913" s="4" t="s">
        <v>35</v>
      </c>
      <c r="C913" s="4">
        <v>25</v>
      </c>
      <c r="D913" s="4" t="s">
        <v>37</v>
      </c>
      <c r="E913" s="4" t="s">
        <v>57</v>
      </c>
      <c r="F913" s="4">
        <v>1118</v>
      </c>
      <c r="G913" s="4" t="s">
        <v>35</v>
      </c>
      <c r="H913" s="4">
        <v>1</v>
      </c>
      <c r="I913" s="4">
        <v>1</v>
      </c>
      <c r="J913" s="4">
        <v>4</v>
      </c>
      <c r="K913" s="4">
        <v>3</v>
      </c>
      <c r="L913" s="4" t="str">
        <f t="shared" si="22"/>
        <v>NORMAL</v>
      </c>
      <c r="M913" s="4" t="str">
        <f t="shared" si="23"/>
        <v>LOW</v>
      </c>
      <c r="N913" s="4" t="str">
        <f t="shared" si="24"/>
        <v>NEW</v>
      </c>
      <c r="O913" s="4" t="str">
        <f t="shared" si="25"/>
        <v>RECENTLY PROMOTED</v>
      </c>
      <c r="P913" s="5" t="str">
        <f t="shared" si="26"/>
        <v>Medium_Pressure</v>
      </c>
      <c r="Q913" s="4" t="str">
        <f t="shared" si="27"/>
        <v>HIGHLY_ENGAGED</v>
      </c>
      <c r="R913" s="4" t="str">
        <f t="shared" si="28"/>
        <v>LOW</v>
      </c>
      <c r="S913" s="2"/>
      <c r="T913" s="2"/>
      <c r="U913" s="2"/>
      <c r="V913" s="2"/>
      <c r="W913" s="2"/>
      <c r="X913" s="2"/>
      <c r="Y913" s="2"/>
      <c r="Z913" s="2"/>
    </row>
    <row r="914" spans="1:26" ht="16.8" x14ac:dyDescent="0.3">
      <c r="A914" s="4">
        <v>1275</v>
      </c>
      <c r="B914" s="4" t="s">
        <v>43</v>
      </c>
      <c r="C914" s="4">
        <v>26</v>
      </c>
      <c r="D914" s="4" t="s">
        <v>45</v>
      </c>
      <c r="E914" s="4" t="s">
        <v>47</v>
      </c>
      <c r="F914" s="4">
        <v>2875</v>
      </c>
      <c r="G914" s="4" t="s">
        <v>35</v>
      </c>
      <c r="H914" s="4">
        <v>8</v>
      </c>
      <c r="I914" s="4">
        <v>2</v>
      </c>
      <c r="J914" s="4">
        <v>4</v>
      </c>
      <c r="K914" s="4">
        <v>2</v>
      </c>
      <c r="L914" s="4" t="str">
        <f t="shared" si="22"/>
        <v>NORMAL</v>
      </c>
      <c r="M914" s="4" t="str">
        <f t="shared" si="23"/>
        <v>LOW</v>
      </c>
      <c r="N914" s="4" t="str">
        <f t="shared" si="24"/>
        <v>SENIOR</v>
      </c>
      <c r="O914" s="4" t="str">
        <f t="shared" si="25"/>
        <v>MODERATE-WAIT</v>
      </c>
      <c r="P914" s="5" t="str">
        <f t="shared" si="26"/>
        <v>High_Pressure</v>
      </c>
      <c r="Q914" s="4" t="str">
        <f t="shared" si="27"/>
        <v>DISENGAGED</v>
      </c>
      <c r="R914" s="4" t="str">
        <f t="shared" si="28"/>
        <v>LOW</v>
      </c>
      <c r="S914" s="2"/>
      <c r="T914" s="2"/>
      <c r="U914" s="2"/>
      <c r="V914" s="2"/>
      <c r="W914" s="2"/>
      <c r="X914" s="2"/>
      <c r="Y914" s="2"/>
      <c r="Z914" s="2"/>
    </row>
    <row r="915" spans="1:26" ht="16.8" x14ac:dyDescent="0.3">
      <c r="A915" s="4">
        <v>1277</v>
      </c>
      <c r="B915" s="4" t="s">
        <v>35</v>
      </c>
      <c r="C915" s="4">
        <v>45</v>
      </c>
      <c r="D915" s="4" t="s">
        <v>37</v>
      </c>
      <c r="E915" s="4" t="s">
        <v>56</v>
      </c>
      <c r="F915" s="4">
        <v>18824</v>
      </c>
      <c r="G915" s="4" t="s">
        <v>35</v>
      </c>
      <c r="H915" s="4">
        <v>24</v>
      </c>
      <c r="I915" s="4">
        <v>1</v>
      </c>
      <c r="J915" s="4">
        <v>2</v>
      </c>
      <c r="K915" s="4">
        <v>3</v>
      </c>
      <c r="L915" s="4" t="str">
        <f t="shared" si="22"/>
        <v>NORMAL</v>
      </c>
      <c r="M915" s="4" t="str">
        <f t="shared" si="23"/>
        <v>MEDIUM</v>
      </c>
      <c r="N915" s="4" t="str">
        <f t="shared" si="24"/>
        <v>SENIOR</v>
      </c>
      <c r="O915" s="4" t="str">
        <f t="shared" si="25"/>
        <v>RECENTLY PROMOTED</v>
      </c>
      <c r="P915" s="5" t="str">
        <f t="shared" si="26"/>
        <v>Medium_Pressure</v>
      </c>
      <c r="Q915" s="4" t="str">
        <f t="shared" si="27"/>
        <v>DISENGAGED</v>
      </c>
      <c r="R915" s="4" t="str">
        <f t="shared" si="28"/>
        <v>LOW</v>
      </c>
      <c r="S915" s="2"/>
      <c r="T915" s="2"/>
      <c r="U915" s="2"/>
      <c r="V915" s="2"/>
      <c r="W915" s="2"/>
      <c r="X915" s="2"/>
      <c r="Y915" s="2"/>
      <c r="Z915" s="2"/>
    </row>
    <row r="916" spans="1:26" ht="16.8" x14ac:dyDescent="0.3">
      <c r="A916" s="4">
        <v>1278</v>
      </c>
      <c r="B916" s="4" t="s">
        <v>43</v>
      </c>
      <c r="C916" s="4">
        <v>55</v>
      </c>
      <c r="D916" s="4" t="s">
        <v>45</v>
      </c>
      <c r="E916" s="4" t="s">
        <v>54</v>
      </c>
      <c r="F916" s="4">
        <v>13577</v>
      </c>
      <c r="G916" s="4" t="s">
        <v>35</v>
      </c>
      <c r="H916" s="4">
        <v>33</v>
      </c>
      <c r="I916" s="4">
        <v>15</v>
      </c>
      <c r="J916" s="4">
        <v>2</v>
      </c>
      <c r="K916" s="4">
        <v>3</v>
      </c>
      <c r="L916" s="4" t="str">
        <f t="shared" si="22"/>
        <v>HIGH RISK</v>
      </c>
      <c r="M916" s="4" t="str">
        <f t="shared" si="23"/>
        <v>MEDIUM</v>
      </c>
      <c r="N916" s="4" t="str">
        <f t="shared" si="24"/>
        <v>SENIOR</v>
      </c>
      <c r="O916" s="4" t="str">
        <f t="shared" si="25"/>
        <v>STAGNANT</v>
      </c>
      <c r="P916" s="5" t="str">
        <f t="shared" si="26"/>
        <v>Medium_Pressure</v>
      </c>
      <c r="Q916" s="4" t="str">
        <f t="shared" si="27"/>
        <v>DISENGAGED</v>
      </c>
      <c r="R916" s="4" t="str">
        <f t="shared" si="28"/>
        <v>LOW</v>
      </c>
      <c r="S916" s="2"/>
      <c r="T916" s="2"/>
      <c r="U916" s="2"/>
      <c r="V916" s="2"/>
      <c r="W916" s="2"/>
      <c r="X916" s="2"/>
      <c r="Y916" s="2"/>
      <c r="Z916" s="2"/>
    </row>
    <row r="917" spans="1:26" ht="16.8" x14ac:dyDescent="0.3">
      <c r="A917" s="4">
        <v>1279</v>
      </c>
      <c r="B917" s="4" t="s">
        <v>35</v>
      </c>
      <c r="C917" s="4">
        <v>21</v>
      </c>
      <c r="D917" s="4" t="s">
        <v>45</v>
      </c>
      <c r="E917" s="4" t="s">
        <v>50</v>
      </c>
      <c r="F917" s="4">
        <v>2625</v>
      </c>
      <c r="G917" s="4" t="s">
        <v>43</v>
      </c>
      <c r="H917" s="4">
        <v>2</v>
      </c>
      <c r="I917" s="4">
        <v>2</v>
      </c>
      <c r="J917" s="4">
        <v>3</v>
      </c>
      <c r="K917" s="4">
        <v>1</v>
      </c>
      <c r="L917" s="4" t="str">
        <f t="shared" si="22"/>
        <v>NORMAL</v>
      </c>
      <c r="M917" s="4" t="str">
        <f t="shared" si="23"/>
        <v>LOW</v>
      </c>
      <c r="N917" s="4" t="str">
        <f t="shared" si="24"/>
        <v>NEW</v>
      </c>
      <c r="O917" s="4" t="str">
        <f t="shared" si="25"/>
        <v>MODERATE-WAIT</v>
      </c>
      <c r="P917" s="5" t="str">
        <f t="shared" si="26"/>
        <v>Low_Pressure</v>
      </c>
      <c r="Q917" s="4" t="str">
        <f t="shared" si="27"/>
        <v>DISENGAGED</v>
      </c>
      <c r="R917" s="4" t="str">
        <f t="shared" si="28"/>
        <v>LOW</v>
      </c>
      <c r="S917" s="2"/>
      <c r="T917" s="2"/>
      <c r="U917" s="2"/>
      <c r="V917" s="2"/>
      <c r="W917" s="2"/>
      <c r="X917" s="2"/>
      <c r="Y917" s="2"/>
      <c r="Z917" s="2"/>
    </row>
    <row r="918" spans="1:26" ht="16.8" x14ac:dyDescent="0.3">
      <c r="A918" s="4">
        <v>1280</v>
      </c>
      <c r="B918" s="4" t="s">
        <v>43</v>
      </c>
      <c r="C918" s="4">
        <v>46</v>
      </c>
      <c r="D918" s="4" t="s">
        <v>37</v>
      </c>
      <c r="E918" s="4" t="s">
        <v>56</v>
      </c>
      <c r="F918" s="4">
        <v>18789</v>
      </c>
      <c r="G918" s="4" t="s">
        <v>43</v>
      </c>
      <c r="H918" s="4">
        <v>11</v>
      </c>
      <c r="I918" s="4">
        <v>0</v>
      </c>
      <c r="J918" s="4">
        <v>2</v>
      </c>
      <c r="K918" s="4">
        <v>3</v>
      </c>
      <c r="L918" s="4" t="str">
        <f t="shared" si="22"/>
        <v>NORMAL</v>
      </c>
      <c r="M918" s="4" t="str">
        <f t="shared" si="23"/>
        <v>MEDIUM</v>
      </c>
      <c r="N918" s="4" t="str">
        <f t="shared" si="24"/>
        <v>SENIOR</v>
      </c>
      <c r="O918" s="4" t="str">
        <f t="shared" si="25"/>
        <v>RECENTLY PROMOTED</v>
      </c>
      <c r="P918" s="5" t="str">
        <f t="shared" si="26"/>
        <v>Medium_Pressure</v>
      </c>
      <c r="Q918" s="4" t="str">
        <f t="shared" si="27"/>
        <v>DISENGAGED</v>
      </c>
      <c r="R918" s="4" t="str">
        <f t="shared" si="28"/>
        <v>LOW</v>
      </c>
      <c r="S918" s="2"/>
      <c r="T918" s="2"/>
      <c r="U918" s="2"/>
      <c r="V918" s="2"/>
      <c r="W918" s="2"/>
      <c r="X918" s="2"/>
      <c r="Y918" s="2"/>
      <c r="Z918" s="2"/>
    </row>
    <row r="919" spans="1:26" ht="16.8" x14ac:dyDescent="0.3">
      <c r="A919" s="4">
        <v>1281</v>
      </c>
      <c r="B919" s="4" t="s">
        <v>43</v>
      </c>
      <c r="C919" s="4">
        <v>34</v>
      </c>
      <c r="D919" s="4" t="s">
        <v>37</v>
      </c>
      <c r="E919" s="4" t="s">
        <v>40</v>
      </c>
      <c r="F919" s="4">
        <v>4538</v>
      </c>
      <c r="G919" s="4" t="s">
        <v>35</v>
      </c>
      <c r="H919" s="4">
        <v>3</v>
      </c>
      <c r="I919" s="4">
        <v>0</v>
      </c>
      <c r="J919" s="4">
        <v>1</v>
      </c>
      <c r="K919" s="4">
        <v>3</v>
      </c>
      <c r="L919" s="4" t="str">
        <f t="shared" si="22"/>
        <v>NORMAL</v>
      </c>
      <c r="M919" s="4" t="str">
        <f t="shared" si="23"/>
        <v>HIGH</v>
      </c>
      <c r="N919" s="4" t="str">
        <f t="shared" si="24"/>
        <v>MID</v>
      </c>
      <c r="O919" s="4" t="str">
        <f t="shared" si="25"/>
        <v>RECENTLY PROMOTED</v>
      </c>
      <c r="P919" s="5" t="str">
        <f t="shared" si="26"/>
        <v>Medium_Pressure</v>
      </c>
      <c r="Q919" s="4" t="str">
        <f t="shared" si="27"/>
        <v>DISENGAGED</v>
      </c>
      <c r="R919" s="4" t="str">
        <f t="shared" si="28"/>
        <v>LOW</v>
      </c>
      <c r="S919" s="2"/>
      <c r="T919" s="2"/>
      <c r="U919" s="2"/>
      <c r="V919" s="2"/>
      <c r="W919" s="2"/>
      <c r="X919" s="2"/>
      <c r="Y919" s="2"/>
      <c r="Z919" s="2"/>
    </row>
    <row r="920" spans="1:26" ht="16.8" x14ac:dyDescent="0.3">
      <c r="A920" s="4">
        <v>1282</v>
      </c>
      <c r="B920" s="4" t="s">
        <v>43</v>
      </c>
      <c r="C920" s="4">
        <v>51</v>
      </c>
      <c r="D920" s="4" t="s">
        <v>37</v>
      </c>
      <c r="E920" s="4" t="s">
        <v>56</v>
      </c>
      <c r="F920" s="4">
        <v>19847</v>
      </c>
      <c r="G920" s="4" t="s">
        <v>35</v>
      </c>
      <c r="H920" s="4">
        <v>29</v>
      </c>
      <c r="I920" s="4">
        <v>11</v>
      </c>
      <c r="J920" s="4">
        <v>2</v>
      </c>
      <c r="K920" s="4">
        <v>2</v>
      </c>
      <c r="L920" s="4" t="str">
        <f t="shared" si="22"/>
        <v>HIGH RISK</v>
      </c>
      <c r="M920" s="4" t="str">
        <f t="shared" si="23"/>
        <v>MEDIUM</v>
      </c>
      <c r="N920" s="4" t="str">
        <f t="shared" si="24"/>
        <v>SENIOR</v>
      </c>
      <c r="O920" s="4" t="str">
        <f t="shared" si="25"/>
        <v>STAGNANT</v>
      </c>
      <c r="P920" s="5" t="str">
        <f t="shared" si="26"/>
        <v>High_Pressure</v>
      </c>
      <c r="Q920" s="4" t="str">
        <f t="shared" si="27"/>
        <v>DISENGAGED</v>
      </c>
      <c r="R920" s="4" t="str">
        <f t="shared" si="28"/>
        <v>LOW</v>
      </c>
      <c r="S920" s="2"/>
      <c r="T920" s="2"/>
      <c r="U920" s="2"/>
      <c r="V920" s="2"/>
      <c r="W920" s="2"/>
      <c r="X920" s="2"/>
      <c r="Y920" s="2"/>
      <c r="Z920" s="2"/>
    </row>
    <row r="921" spans="1:26" ht="16.8" x14ac:dyDescent="0.3">
      <c r="A921" s="4">
        <v>1283</v>
      </c>
      <c r="B921" s="4" t="s">
        <v>43</v>
      </c>
      <c r="C921" s="4">
        <v>59</v>
      </c>
      <c r="D921" s="4" t="s">
        <v>45</v>
      </c>
      <c r="E921" s="4" t="s">
        <v>53</v>
      </c>
      <c r="F921" s="4">
        <v>10512</v>
      </c>
      <c r="G921" s="4" t="s">
        <v>43</v>
      </c>
      <c r="H921" s="4">
        <v>9</v>
      </c>
      <c r="I921" s="4">
        <v>5</v>
      </c>
      <c r="J921" s="4">
        <v>4</v>
      </c>
      <c r="K921" s="4">
        <v>2</v>
      </c>
      <c r="L921" s="4" t="str">
        <f t="shared" si="22"/>
        <v>NORMAL</v>
      </c>
      <c r="M921" s="4" t="str">
        <f t="shared" si="23"/>
        <v>MEDIUM</v>
      </c>
      <c r="N921" s="4" t="str">
        <f t="shared" si="24"/>
        <v>SENIOR</v>
      </c>
      <c r="O921" s="4" t="str">
        <f t="shared" si="25"/>
        <v>STAGNANT</v>
      </c>
      <c r="P921" s="5" t="str">
        <f t="shared" si="26"/>
        <v>Low_Pressure</v>
      </c>
      <c r="Q921" s="4" t="str">
        <f t="shared" si="27"/>
        <v>DISENGAGED</v>
      </c>
      <c r="R921" s="4" t="str">
        <f t="shared" si="28"/>
        <v>LOW</v>
      </c>
      <c r="S921" s="2"/>
      <c r="T921" s="2"/>
      <c r="U921" s="2"/>
      <c r="V921" s="2"/>
      <c r="W921" s="2"/>
      <c r="X921" s="2"/>
      <c r="Y921" s="2"/>
      <c r="Z921" s="2"/>
    </row>
    <row r="922" spans="1:26" ht="16.8" x14ac:dyDescent="0.3">
      <c r="A922" s="4">
        <v>1285</v>
      </c>
      <c r="B922" s="4" t="s">
        <v>43</v>
      </c>
      <c r="C922" s="4">
        <v>34</v>
      </c>
      <c r="D922" s="4" t="s">
        <v>45</v>
      </c>
      <c r="E922" s="4" t="s">
        <v>50</v>
      </c>
      <c r="F922" s="4">
        <v>4444</v>
      </c>
      <c r="G922" s="4" t="s">
        <v>43</v>
      </c>
      <c r="H922" s="4">
        <v>11</v>
      </c>
      <c r="I922" s="4">
        <v>5</v>
      </c>
      <c r="J922" s="4">
        <v>2</v>
      </c>
      <c r="K922" s="4">
        <v>4</v>
      </c>
      <c r="L922" s="4" t="str">
        <f t="shared" si="22"/>
        <v>NORMAL</v>
      </c>
      <c r="M922" s="4" t="str">
        <f t="shared" si="23"/>
        <v>HIGH</v>
      </c>
      <c r="N922" s="4" t="str">
        <f t="shared" si="24"/>
        <v>SENIOR</v>
      </c>
      <c r="O922" s="4" t="str">
        <f t="shared" si="25"/>
        <v>STAGNANT</v>
      </c>
      <c r="P922" s="5" t="str">
        <f t="shared" si="26"/>
        <v>Low_Pressure</v>
      </c>
      <c r="Q922" s="4" t="str">
        <f t="shared" si="27"/>
        <v>DISENGAGED</v>
      </c>
      <c r="R922" s="4" t="str">
        <f t="shared" si="28"/>
        <v>LOW</v>
      </c>
      <c r="S922" s="2"/>
      <c r="T922" s="2"/>
      <c r="U922" s="2"/>
      <c r="V922" s="2"/>
      <c r="W922" s="2"/>
      <c r="X922" s="2"/>
      <c r="Y922" s="2"/>
      <c r="Z922" s="2"/>
    </row>
    <row r="923" spans="1:26" ht="16.8" x14ac:dyDescent="0.3">
      <c r="A923" s="4">
        <v>1286</v>
      </c>
      <c r="B923" s="4" t="s">
        <v>43</v>
      </c>
      <c r="C923" s="4">
        <v>28</v>
      </c>
      <c r="D923" s="4" t="s">
        <v>45</v>
      </c>
      <c r="E923" s="4" t="s">
        <v>50</v>
      </c>
      <c r="F923" s="4">
        <v>2154</v>
      </c>
      <c r="G923" s="4" t="s">
        <v>35</v>
      </c>
      <c r="H923" s="4">
        <v>4</v>
      </c>
      <c r="I923" s="4">
        <v>0</v>
      </c>
      <c r="J923" s="4">
        <v>3</v>
      </c>
      <c r="K923" s="4">
        <v>2</v>
      </c>
      <c r="L923" s="4" t="str">
        <f t="shared" si="22"/>
        <v>NORMAL</v>
      </c>
      <c r="M923" s="4" t="str">
        <f t="shared" si="23"/>
        <v>LOW</v>
      </c>
      <c r="N923" s="4" t="str">
        <f t="shared" si="24"/>
        <v>MID</v>
      </c>
      <c r="O923" s="4" t="str">
        <f t="shared" si="25"/>
        <v>RECENTLY PROMOTED</v>
      </c>
      <c r="P923" s="5" t="str">
        <f t="shared" si="26"/>
        <v>High_Pressure</v>
      </c>
      <c r="Q923" s="4" t="str">
        <f t="shared" si="27"/>
        <v>DISENGAGED</v>
      </c>
      <c r="R923" s="4" t="str">
        <f t="shared" si="28"/>
        <v>LOW</v>
      </c>
      <c r="S923" s="2"/>
      <c r="T923" s="2"/>
      <c r="U923" s="2"/>
      <c r="V923" s="2"/>
      <c r="W923" s="2"/>
      <c r="X923" s="2"/>
      <c r="Y923" s="2"/>
      <c r="Z923" s="2"/>
    </row>
    <row r="924" spans="1:26" ht="16.8" x14ac:dyDescent="0.3">
      <c r="A924" s="4">
        <v>1288</v>
      </c>
      <c r="B924" s="4" t="s">
        <v>43</v>
      </c>
      <c r="C924" s="4">
        <v>44</v>
      </c>
      <c r="D924" s="4" t="s">
        <v>45</v>
      </c>
      <c r="E924" s="4" t="s">
        <v>56</v>
      </c>
      <c r="F924" s="4">
        <v>19190</v>
      </c>
      <c r="G924" s="4" t="s">
        <v>43</v>
      </c>
      <c r="H924" s="4">
        <v>25</v>
      </c>
      <c r="I924" s="4">
        <v>14</v>
      </c>
      <c r="J924" s="4">
        <v>1</v>
      </c>
      <c r="K924" s="4">
        <v>2</v>
      </c>
      <c r="L924" s="4" t="str">
        <f t="shared" si="22"/>
        <v>NORMAL</v>
      </c>
      <c r="M924" s="4" t="str">
        <f t="shared" si="23"/>
        <v>MEDIUM</v>
      </c>
      <c r="N924" s="4" t="str">
        <f t="shared" si="24"/>
        <v>SENIOR</v>
      </c>
      <c r="O924" s="4" t="str">
        <f t="shared" si="25"/>
        <v>STAGNANT</v>
      </c>
      <c r="P924" s="5" t="str">
        <f t="shared" si="26"/>
        <v>Low_Pressure</v>
      </c>
      <c r="Q924" s="4" t="str">
        <f t="shared" si="27"/>
        <v>DISENGAGED</v>
      </c>
      <c r="R924" s="4" t="str">
        <f t="shared" si="28"/>
        <v>LOW</v>
      </c>
      <c r="S924" s="2"/>
      <c r="T924" s="2"/>
      <c r="U924" s="2"/>
      <c r="V924" s="2"/>
      <c r="W924" s="2"/>
      <c r="X924" s="2"/>
      <c r="Y924" s="2"/>
      <c r="Z924" s="2"/>
    </row>
    <row r="925" spans="1:26" ht="16.8" x14ac:dyDescent="0.3">
      <c r="A925" s="4">
        <v>1289</v>
      </c>
      <c r="B925" s="4" t="s">
        <v>43</v>
      </c>
      <c r="C925" s="4">
        <v>34</v>
      </c>
      <c r="D925" s="4" t="s">
        <v>61</v>
      </c>
      <c r="E925" s="4" t="s">
        <v>61</v>
      </c>
      <c r="F925" s="4">
        <v>4490</v>
      </c>
      <c r="G925" s="4" t="s">
        <v>43</v>
      </c>
      <c r="H925" s="4">
        <v>10</v>
      </c>
      <c r="I925" s="4">
        <v>1</v>
      </c>
      <c r="J925" s="4">
        <v>2</v>
      </c>
      <c r="K925" s="4">
        <v>4</v>
      </c>
      <c r="L925" s="4" t="str">
        <f t="shared" si="22"/>
        <v>NORMAL</v>
      </c>
      <c r="M925" s="4" t="str">
        <f t="shared" si="23"/>
        <v>HIGH</v>
      </c>
      <c r="N925" s="4" t="str">
        <f t="shared" si="24"/>
        <v>SENIOR</v>
      </c>
      <c r="O925" s="4" t="str">
        <f t="shared" si="25"/>
        <v>RECENTLY PROMOTED</v>
      </c>
      <c r="P925" s="5" t="str">
        <f t="shared" si="26"/>
        <v>Low_Pressure</v>
      </c>
      <c r="Q925" s="4" t="str">
        <f t="shared" si="27"/>
        <v>DISENGAGED</v>
      </c>
      <c r="R925" s="4" t="str">
        <f t="shared" si="28"/>
        <v>LOW</v>
      </c>
      <c r="S925" s="2"/>
      <c r="T925" s="2"/>
      <c r="U925" s="2"/>
      <c r="V925" s="2"/>
      <c r="W925" s="2"/>
      <c r="X925" s="2"/>
      <c r="Y925" s="2"/>
      <c r="Z925" s="2"/>
    </row>
    <row r="926" spans="1:26" ht="16.8" x14ac:dyDescent="0.3">
      <c r="A926" s="4">
        <v>1291</v>
      </c>
      <c r="B926" s="4" t="s">
        <v>43</v>
      </c>
      <c r="C926" s="4">
        <v>35</v>
      </c>
      <c r="D926" s="4" t="s">
        <v>45</v>
      </c>
      <c r="E926" s="4" t="s">
        <v>47</v>
      </c>
      <c r="F926" s="4">
        <v>3506</v>
      </c>
      <c r="G926" s="4" t="s">
        <v>35</v>
      </c>
      <c r="H926" s="4">
        <v>3</v>
      </c>
      <c r="I926" s="4">
        <v>2</v>
      </c>
      <c r="J926" s="4">
        <v>3</v>
      </c>
      <c r="K926" s="4">
        <v>3</v>
      </c>
      <c r="L926" s="4" t="str">
        <f t="shared" si="22"/>
        <v>NORMAL</v>
      </c>
      <c r="M926" s="4" t="str">
        <f t="shared" si="23"/>
        <v>LOW</v>
      </c>
      <c r="N926" s="4" t="str">
        <f t="shared" si="24"/>
        <v>MID</v>
      </c>
      <c r="O926" s="4" t="str">
        <f t="shared" si="25"/>
        <v>MODERATE-WAIT</v>
      </c>
      <c r="P926" s="5" t="str">
        <f t="shared" si="26"/>
        <v>Medium_Pressure</v>
      </c>
      <c r="Q926" s="4" t="str">
        <f t="shared" si="27"/>
        <v>HIGHLY_ENGAGED</v>
      </c>
      <c r="R926" s="4" t="str">
        <f t="shared" si="28"/>
        <v>LOW</v>
      </c>
      <c r="S926" s="2"/>
      <c r="T926" s="2"/>
      <c r="U926" s="2"/>
      <c r="V926" s="2"/>
      <c r="W926" s="2"/>
      <c r="X926" s="2"/>
      <c r="Y926" s="2"/>
      <c r="Z926" s="2"/>
    </row>
    <row r="927" spans="1:26" ht="16.8" x14ac:dyDescent="0.3">
      <c r="A927" s="4">
        <v>1292</v>
      </c>
      <c r="B927" s="4" t="s">
        <v>43</v>
      </c>
      <c r="C927" s="4">
        <v>42</v>
      </c>
      <c r="D927" s="4" t="s">
        <v>45</v>
      </c>
      <c r="E927" s="4" t="s">
        <v>47</v>
      </c>
      <c r="F927" s="4">
        <v>2372</v>
      </c>
      <c r="G927" s="4" t="s">
        <v>35</v>
      </c>
      <c r="H927" s="4">
        <v>1</v>
      </c>
      <c r="I927" s="4">
        <v>0</v>
      </c>
      <c r="J927" s="4">
        <v>2</v>
      </c>
      <c r="K927" s="4">
        <v>3</v>
      </c>
      <c r="L927" s="4" t="str">
        <f t="shared" si="22"/>
        <v>NORMAL</v>
      </c>
      <c r="M927" s="4" t="str">
        <f t="shared" si="23"/>
        <v>LOW</v>
      </c>
      <c r="N927" s="4" t="str">
        <f t="shared" si="24"/>
        <v>NEW</v>
      </c>
      <c r="O927" s="4" t="str">
        <f t="shared" si="25"/>
        <v>RECENTLY PROMOTED</v>
      </c>
      <c r="P927" s="5" t="str">
        <f t="shared" si="26"/>
        <v>Medium_Pressure</v>
      </c>
      <c r="Q927" s="4" t="str">
        <f t="shared" si="27"/>
        <v>DISENGAGED</v>
      </c>
      <c r="R927" s="4" t="str">
        <f t="shared" si="28"/>
        <v>LOW</v>
      </c>
      <c r="S927" s="2"/>
      <c r="T927" s="2"/>
      <c r="U927" s="2"/>
      <c r="V927" s="2"/>
      <c r="W927" s="2"/>
      <c r="X927" s="2"/>
      <c r="Y927" s="2"/>
      <c r="Z927" s="2"/>
    </row>
    <row r="928" spans="1:26" ht="16.8" x14ac:dyDescent="0.3">
      <c r="A928" s="4">
        <v>1293</v>
      </c>
      <c r="B928" s="4" t="s">
        <v>43</v>
      </c>
      <c r="C928" s="4">
        <v>43</v>
      </c>
      <c r="D928" s="4" t="s">
        <v>37</v>
      </c>
      <c r="E928" s="4" t="s">
        <v>40</v>
      </c>
      <c r="F928" s="4">
        <v>10231</v>
      </c>
      <c r="G928" s="4" t="s">
        <v>43</v>
      </c>
      <c r="H928" s="4">
        <v>21</v>
      </c>
      <c r="I928" s="4">
        <v>15</v>
      </c>
      <c r="J928" s="4">
        <v>4</v>
      </c>
      <c r="K928" s="4">
        <v>4</v>
      </c>
      <c r="L928" s="4" t="str">
        <f t="shared" si="22"/>
        <v>NORMAL</v>
      </c>
      <c r="M928" s="4" t="str">
        <f t="shared" si="23"/>
        <v>MEDIUM</v>
      </c>
      <c r="N928" s="4" t="str">
        <f t="shared" si="24"/>
        <v>SENIOR</v>
      </c>
      <c r="O928" s="4" t="str">
        <f t="shared" si="25"/>
        <v>STAGNANT</v>
      </c>
      <c r="P928" s="5" t="str">
        <f t="shared" si="26"/>
        <v>Low_Pressure</v>
      </c>
      <c r="Q928" s="4" t="str">
        <f t="shared" si="27"/>
        <v>HIGHLY_ENGAGED</v>
      </c>
      <c r="R928" s="4" t="str">
        <f t="shared" si="28"/>
        <v>LOW</v>
      </c>
      <c r="S928" s="2"/>
      <c r="T928" s="2"/>
      <c r="U928" s="2"/>
      <c r="V928" s="2"/>
      <c r="W928" s="2"/>
      <c r="X928" s="2"/>
      <c r="Y928" s="2"/>
      <c r="Z928" s="2"/>
    </row>
    <row r="929" spans="1:26" ht="16.8" x14ac:dyDescent="0.3">
      <c r="A929" s="4">
        <v>1294</v>
      </c>
      <c r="B929" s="4" t="s">
        <v>43</v>
      </c>
      <c r="C929" s="4">
        <v>36</v>
      </c>
      <c r="D929" s="4" t="s">
        <v>45</v>
      </c>
      <c r="E929" s="4" t="s">
        <v>53</v>
      </c>
      <c r="F929" s="4">
        <v>5410</v>
      </c>
      <c r="G929" s="4" t="s">
        <v>35</v>
      </c>
      <c r="H929" s="4">
        <v>16</v>
      </c>
      <c r="I929" s="4">
        <v>5</v>
      </c>
      <c r="J929" s="4">
        <v>2</v>
      </c>
      <c r="K929" s="4">
        <v>3</v>
      </c>
      <c r="L929" s="4" t="str">
        <f t="shared" si="22"/>
        <v>HIGH RISK</v>
      </c>
      <c r="M929" s="4" t="str">
        <f t="shared" si="23"/>
        <v>HIGH</v>
      </c>
      <c r="N929" s="4" t="str">
        <f t="shared" si="24"/>
        <v>SENIOR</v>
      </c>
      <c r="O929" s="4" t="str">
        <f t="shared" si="25"/>
        <v>STAGNANT</v>
      </c>
      <c r="P929" s="5" t="str">
        <f t="shared" si="26"/>
        <v>Medium_Pressure</v>
      </c>
      <c r="Q929" s="4" t="str">
        <f t="shared" si="27"/>
        <v>DISENGAGED</v>
      </c>
      <c r="R929" s="4" t="str">
        <f t="shared" si="28"/>
        <v>LOW</v>
      </c>
      <c r="S929" s="2"/>
      <c r="T929" s="2"/>
      <c r="U929" s="2"/>
      <c r="V929" s="2"/>
      <c r="W929" s="2"/>
      <c r="X929" s="2"/>
      <c r="Y929" s="2"/>
      <c r="Z929" s="2"/>
    </row>
    <row r="930" spans="1:26" ht="16.8" x14ac:dyDescent="0.3">
      <c r="A930" s="4">
        <v>1295</v>
      </c>
      <c r="B930" s="4" t="s">
        <v>35</v>
      </c>
      <c r="C930" s="4">
        <v>44</v>
      </c>
      <c r="D930" s="4" t="s">
        <v>45</v>
      </c>
      <c r="E930" s="4" t="s">
        <v>54</v>
      </c>
      <c r="F930" s="4">
        <v>7978</v>
      </c>
      <c r="G930" s="4" t="s">
        <v>43</v>
      </c>
      <c r="H930" s="4">
        <v>10</v>
      </c>
      <c r="I930" s="4">
        <v>0</v>
      </c>
      <c r="J930" s="4">
        <v>4</v>
      </c>
      <c r="K930" s="4">
        <v>3</v>
      </c>
      <c r="L930" s="4" t="str">
        <f t="shared" si="22"/>
        <v>NORMAL</v>
      </c>
      <c r="M930" s="4" t="str">
        <f t="shared" si="23"/>
        <v>HIGH</v>
      </c>
      <c r="N930" s="4" t="str">
        <f t="shared" si="24"/>
        <v>SENIOR</v>
      </c>
      <c r="O930" s="4" t="str">
        <f t="shared" si="25"/>
        <v>RECENTLY PROMOTED</v>
      </c>
      <c r="P930" s="5" t="str">
        <f t="shared" si="26"/>
        <v>Medium_Pressure</v>
      </c>
      <c r="Q930" s="4" t="str">
        <f t="shared" si="27"/>
        <v>HIGHLY_ENGAGED</v>
      </c>
      <c r="R930" s="4" t="str">
        <f t="shared" si="28"/>
        <v>LOW</v>
      </c>
      <c r="S930" s="2"/>
      <c r="T930" s="2"/>
      <c r="U930" s="2"/>
      <c r="V930" s="2"/>
      <c r="W930" s="2"/>
      <c r="X930" s="2"/>
      <c r="Y930" s="2"/>
      <c r="Z930" s="2"/>
    </row>
    <row r="931" spans="1:26" ht="16.8" x14ac:dyDescent="0.3">
      <c r="A931" s="4">
        <v>1296</v>
      </c>
      <c r="B931" s="4" t="s">
        <v>43</v>
      </c>
      <c r="C931" s="4">
        <v>28</v>
      </c>
      <c r="D931" s="4" t="s">
        <v>45</v>
      </c>
      <c r="E931" s="4" t="s">
        <v>50</v>
      </c>
      <c r="F931" s="4">
        <v>3867</v>
      </c>
      <c r="G931" s="4" t="s">
        <v>35</v>
      </c>
      <c r="H931" s="4">
        <v>2</v>
      </c>
      <c r="I931" s="4">
        <v>2</v>
      </c>
      <c r="J931" s="4">
        <v>4</v>
      </c>
      <c r="K931" s="4">
        <v>3</v>
      </c>
      <c r="L931" s="4" t="str">
        <f t="shared" si="22"/>
        <v>NORMAL</v>
      </c>
      <c r="M931" s="4" t="str">
        <f t="shared" si="23"/>
        <v>LOW</v>
      </c>
      <c r="N931" s="4" t="str">
        <f t="shared" si="24"/>
        <v>NEW</v>
      </c>
      <c r="O931" s="4" t="str">
        <f t="shared" si="25"/>
        <v>MODERATE-WAIT</v>
      </c>
      <c r="P931" s="5" t="str">
        <f t="shared" si="26"/>
        <v>Medium_Pressure</v>
      </c>
      <c r="Q931" s="4" t="str">
        <f t="shared" si="27"/>
        <v>HIGHLY_ENGAGED</v>
      </c>
      <c r="R931" s="4" t="str">
        <f t="shared" si="28"/>
        <v>LOW</v>
      </c>
      <c r="S931" s="2"/>
      <c r="T931" s="2"/>
      <c r="U931" s="2"/>
      <c r="V931" s="2"/>
      <c r="W931" s="2"/>
      <c r="X931" s="2"/>
      <c r="Y931" s="2"/>
      <c r="Z931" s="2"/>
    </row>
    <row r="932" spans="1:26" ht="16.8" x14ac:dyDescent="0.3">
      <c r="A932" s="4">
        <v>1297</v>
      </c>
      <c r="B932" s="4" t="s">
        <v>43</v>
      </c>
      <c r="C932" s="4">
        <v>51</v>
      </c>
      <c r="D932" s="4" t="s">
        <v>45</v>
      </c>
      <c r="E932" s="4" t="s">
        <v>50</v>
      </c>
      <c r="F932" s="4">
        <v>2838</v>
      </c>
      <c r="G932" s="4" t="s">
        <v>43</v>
      </c>
      <c r="H932" s="4">
        <v>7</v>
      </c>
      <c r="I932" s="4">
        <v>7</v>
      </c>
      <c r="J932" s="4">
        <v>3</v>
      </c>
      <c r="K932" s="4">
        <v>2</v>
      </c>
      <c r="L932" s="4" t="str">
        <f t="shared" si="22"/>
        <v>NORMAL</v>
      </c>
      <c r="M932" s="4" t="str">
        <f t="shared" si="23"/>
        <v>LOW</v>
      </c>
      <c r="N932" s="4" t="str">
        <f t="shared" si="24"/>
        <v>SENIOR</v>
      </c>
      <c r="O932" s="4" t="str">
        <f t="shared" si="25"/>
        <v>STAGNANT</v>
      </c>
      <c r="P932" s="5" t="str">
        <f t="shared" si="26"/>
        <v>Low_Pressure</v>
      </c>
      <c r="Q932" s="4" t="str">
        <f t="shared" si="27"/>
        <v>DISENGAGED</v>
      </c>
      <c r="R932" s="4" t="str">
        <f t="shared" si="28"/>
        <v>LOW</v>
      </c>
      <c r="S932" s="2"/>
      <c r="T932" s="2"/>
      <c r="U932" s="2"/>
      <c r="V932" s="2"/>
      <c r="W932" s="2"/>
      <c r="X932" s="2"/>
      <c r="Y932" s="2"/>
      <c r="Z932" s="2"/>
    </row>
    <row r="933" spans="1:26" ht="16.8" x14ac:dyDescent="0.3">
      <c r="A933" s="4">
        <v>1298</v>
      </c>
      <c r="B933" s="4" t="s">
        <v>43</v>
      </c>
      <c r="C933" s="4">
        <v>30</v>
      </c>
      <c r="D933" s="4" t="s">
        <v>45</v>
      </c>
      <c r="E933" s="4" t="s">
        <v>53</v>
      </c>
      <c r="F933" s="4">
        <v>4695</v>
      </c>
      <c r="G933" s="4" t="s">
        <v>35</v>
      </c>
      <c r="H933" s="4">
        <v>8</v>
      </c>
      <c r="I933" s="4">
        <v>1</v>
      </c>
      <c r="J933" s="4">
        <v>3</v>
      </c>
      <c r="K933" s="4">
        <v>3</v>
      </c>
      <c r="L933" s="4" t="str">
        <f t="shared" si="22"/>
        <v>NORMAL</v>
      </c>
      <c r="M933" s="4" t="str">
        <f t="shared" si="23"/>
        <v>HIGH</v>
      </c>
      <c r="N933" s="4" t="str">
        <f t="shared" si="24"/>
        <v>SENIOR</v>
      </c>
      <c r="O933" s="4" t="str">
        <f t="shared" si="25"/>
        <v>RECENTLY PROMOTED</v>
      </c>
      <c r="P933" s="5" t="str">
        <f t="shared" si="26"/>
        <v>Medium_Pressure</v>
      </c>
      <c r="Q933" s="4" t="str">
        <f t="shared" si="27"/>
        <v>HIGHLY_ENGAGED</v>
      </c>
      <c r="R933" s="4" t="str">
        <f t="shared" si="28"/>
        <v>LOW</v>
      </c>
      <c r="S933" s="2"/>
      <c r="T933" s="2"/>
      <c r="U933" s="2"/>
      <c r="V933" s="2"/>
      <c r="W933" s="2"/>
      <c r="X933" s="2"/>
      <c r="Y933" s="2"/>
      <c r="Z933" s="2"/>
    </row>
    <row r="934" spans="1:26" ht="16.8" x14ac:dyDescent="0.3">
      <c r="A934" s="4">
        <v>1299</v>
      </c>
      <c r="B934" s="4" t="s">
        <v>35</v>
      </c>
      <c r="C934" s="4">
        <v>29</v>
      </c>
      <c r="D934" s="4" t="s">
        <v>45</v>
      </c>
      <c r="E934" s="4" t="s">
        <v>50</v>
      </c>
      <c r="F934" s="4">
        <v>3339</v>
      </c>
      <c r="G934" s="4" t="s">
        <v>35</v>
      </c>
      <c r="H934" s="4">
        <v>7</v>
      </c>
      <c r="I934" s="4">
        <v>7</v>
      </c>
      <c r="J934" s="4">
        <v>3</v>
      </c>
      <c r="K934" s="4">
        <v>3</v>
      </c>
      <c r="L934" s="4" t="str">
        <f t="shared" si="22"/>
        <v>NORMAL</v>
      </c>
      <c r="M934" s="4" t="str">
        <f t="shared" si="23"/>
        <v>LOW</v>
      </c>
      <c r="N934" s="4" t="str">
        <f t="shared" si="24"/>
        <v>SENIOR</v>
      </c>
      <c r="O934" s="4" t="str">
        <f t="shared" si="25"/>
        <v>STAGNANT</v>
      </c>
      <c r="P934" s="5" t="str">
        <f t="shared" si="26"/>
        <v>Medium_Pressure</v>
      </c>
      <c r="Q934" s="4" t="str">
        <f t="shared" si="27"/>
        <v>HIGHLY_ENGAGED</v>
      </c>
      <c r="R934" s="4" t="str">
        <f t="shared" si="28"/>
        <v>LOW</v>
      </c>
      <c r="S934" s="2"/>
      <c r="T934" s="2"/>
      <c r="U934" s="2"/>
      <c r="V934" s="2"/>
      <c r="W934" s="2"/>
      <c r="X934" s="2"/>
      <c r="Y934" s="2"/>
      <c r="Z934" s="2"/>
    </row>
    <row r="935" spans="1:26" ht="16.8" x14ac:dyDescent="0.3">
      <c r="A935" s="4">
        <v>1301</v>
      </c>
      <c r="B935" s="4" t="s">
        <v>43</v>
      </c>
      <c r="C935" s="4">
        <v>28</v>
      </c>
      <c r="D935" s="4" t="s">
        <v>45</v>
      </c>
      <c r="E935" s="4" t="s">
        <v>47</v>
      </c>
      <c r="F935" s="4">
        <v>2080</v>
      </c>
      <c r="G935" s="4" t="s">
        <v>43</v>
      </c>
      <c r="H935" s="4">
        <v>3</v>
      </c>
      <c r="I935" s="4">
        <v>1</v>
      </c>
      <c r="J935" s="4">
        <v>1</v>
      </c>
      <c r="K935" s="4">
        <v>2</v>
      </c>
      <c r="L935" s="4" t="str">
        <f t="shared" si="22"/>
        <v>NORMAL</v>
      </c>
      <c r="M935" s="4" t="str">
        <f t="shared" si="23"/>
        <v>LOW</v>
      </c>
      <c r="N935" s="4" t="str">
        <f t="shared" si="24"/>
        <v>MID</v>
      </c>
      <c r="O935" s="4" t="str">
        <f t="shared" si="25"/>
        <v>RECENTLY PROMOTED</v>
      </c>
      <c r="P935" s="5" t="str">
        <f t="shared" si="26"/>
        <v>Low_Pressure</v>
      </c>
      <c r="Q935" s="4" t="str">
        <f t="shared" si="27"/>
        <v>DISENGAGED</v>
      </c>
      <c r="R935" s="4" t="str">
        <f t="shared" si="28"/>
        <v>LOW</v>
      </c>
      <c r="S935" s="2"/>
      <c r="T935" s="2"/>
      <c r="U935" s="2"/>
      <c r="V935" s="2"/>
      <c r="W935" s="2"/>
      <c r="X935" s="2"/>
      <c r="Y935" s="2"/>
      <c r="Z935" s="2"/>
    </row>
    <row r="936" spans="1:26" ht="16.8" x14ac:dyDescent="0.3">
      <c r="A936" s="4">
        <v>1303</v>
      </c>
      <c r="B936" s="4" t="s">
        <v>43</v>
      </c>
      <c r="C936" s="4">
        <v>25</v>
      </c>
      <c r="D936" s="4" t="s">
        <v>45</v>
      </c>
      <c r="E936" s="4" t="s">
        <v>47</v>
      </c>
      <c r="F936" s="4">
        <v>2096</v>
      </c>
      <c r="G936" s="4" t="s">
        <v>43</v>
      </c>
      <c r="H936" s="4">
        <v>2</v>
      </c>
      <c r="I936" s="4">
        <v>2</v>
      </c>
      <c r="J936" s="4">
        <v>2</v>
      </c>
      <c r="K936" s="4">
        <v>2</v>
      </c>
      <c r="L936" s="4" t="str">
        <f t="shared" si="22"/>
        <v>NORMAL</v>
      </c>
      <c r="M936" s="4" t="str">
        <f t="shared" si="23"/>
        <v>LOW</v>
      </c>
      <c r="N936" s="4" t="str">
        <f t="shared" si="24"/>
        <v>NEW</v>
      </c>
      <c r="O936" s="4" t="str">
        <f t="shared" si="25"/>
        <v>MODERATE-WAIT</v>
      </c>
      <c r="P936" s="5" t="str">
        <f t="shared" si="26"/>
        <v>Low_Pressure</v>
      </c>
      <c r="Q936" s="4" t="str">
        <f t="shared" si="27"/>
        <v>DISENGAGED</v>
      </c>
      <c r="R936" s="4" t="str">
        <f t="shared" si="28"/>
        <v>LOW</v>
      </c>
      <c r="S936" s="2"/>
      <c r="T936" s="2"/>
      <c r="U936" s="2"/>
      <c r="V936" s="2"/>
      <c r="W936" s="2"/>
      <c r="X936" s="2"/>
      <c r="Y936" s="2"/>
      <c r="Z936" s="2"/>
    </row>
    <row r="937" spans="1:26" ht="16.8" x14ac:dyDescent="0.3">
      <c r="A937" s="4">
        <v>1304</v>
      </c>
      <c r="B937" s="4" t="s">
        <v>43</v>
      </c>
      <c r="C937" s="4">
        <v>32</v>
      </c>
      <c r="D937" s="4" t="s">
        <v>37</v>
      </c>
      <c r="E937" s="4" t="s">
        <v>40</v>
      </c>
      <c r="F937" s="4">
        <v>6209</v>
      </c>
      <c r="G937" s="4" t="s">
        <v>43</v>
      </c>
      <c r="H937" s="4">
        <v>10</v>
      </c>
      <c r="I937" s="4">
        <v>0</v>
      </c>
      <c r="J937" s="4">
        <v>4</v>
      </c>
      <c r="K937" s="4">
        <v>4</v>
      </c>
      <c r="L937" s="4" t="str">
        <f t="shared" si="22"/>
        <v>NORMAL</v>
      </c>
      <c r="M937" s="4" t="str">
        <f t="shared" si="23"/>
        <v>HIGH</v>
      </c>
      <c r="N937" s="4" t="str">
        <f t="shared" si="24"/>
        <v>SENIOR</v>
      </c>
      <c r="O937" s="4" t="str">
        <f t="shared" si="25"/>
        <v>RECENTLY PROMOTED</v>
      </c>
      <c r="P937" s="5" t="str">
        <f t="shared" si="26"/>
        <v>Low_Pressure</v>
      </c>
      <c r="Q937" s="4" t="str">
        <f t="shared" si="27"/>
        <v>HIGHLY_ENGAGED</v>
      </c>
      <c r="R937" s="4" t="str">
        <f t="shared" si="28"/>
        <v>LOW</v>
      </c>
      <c r="S937" s="2"/>
      <c r="T937" s="2"/>
      <c r="U937" s="2"/>
      <c r="V937" s="2"/>
      <c r="W937" s="2"/>
      <c r="X937" s="2"/>
      <c r="Y937" s="2"/>
      <c r="Z937" s="2"/>
    </row>
    <row r="938" spans="1:26" ht="16.8" x14ac:dyDescent="0.3">
      <c r="A938" s="4">
        <v>1306</v>
      </c>
      <c r="B938" s="4" t="s">
        <v>43</v>
      </c>
      <c r="C938" s="4">
        <v>45</v>
      </c>
      <c r="D938" s="4" t="s">
        <v>45</v>
      </c>
      <c r="E938" s="4" t="s">
        <v>56</v>
      </c>
      <c r="F938" s="4">
        <v>18061</v>
      </c>
      <c r="G938" s="4" t="s">
        <v>43</v>
      </c>
      <c r="H938" s="4">
        <v>0</v>
      </c>
      <c r="I938" s="4">
        <v>0</v>
      </c>
      <c r="J938" s="4">
        <v>2</v>
      </c>
      <c r="K938" s="4">
        <v>3</v>
      </c>
      <c r="L938" s="4" t="str">
        <f t="shared" si="22"/>
        <v>NORMAL</v>
      </c>
      <c r="M938" s="4" t="str">
        <f t="shared" si="23"/>
        <v>MEDIUM</v>
      </c>
      <c r="N938" s="4" t="str">
        <f t="shared" si="24"/>
        <v>NEW</v>
      </c>
      <c r="O938" s="4" t="str">
        <f t="shared" si="25"/>
        <v>RECENTLY PROMOTED</v>
      </c>
      <c r="P938" s="5" t="str">
        <f t="shared" si="26"/>
        <v>Medium_Pressure</v>
      </c>
      <c r="Q938" s="4" t="str">
        <f t="shared" si="27"/>
        <v>DISENGAGED</v>
      </c>
      <c r="R938" s="4" t="str">
        <f t="shared" si="28"/>
        <v>LOW</v>
      </c>
      <c r="S938" s="2"/>
      <c r="T938" s="2"/>
      <c r="U938" s="2"/>
      <c r="V938" s="2"/>
      <c r="W938" s="2"/>
      <c r="X938" s="2"/>
      <c r="Y938" s="2"/>
      <c r="Z938" s="2"/>
    </row>
    <row r="939" spans="1:26" ht="16.8" x14ac:dyDescent="0.3">
      <c r="A939" s="4">
        <v>1307</v>
      </c>
      <c r="B939" s="4" t="s">
        <v>43</v>
      </c>
      <c r="C939" s="4">
        <v>39</v>
      </c>
      <c r="D939" s="4" t="s">
        <v>45</v>
      </c>
      <c r="E939" s="4" t="s">
        <v>56</v>
      </c>
      <c r="F939" s="4">
        <v>17123</v>
      </c>
      <c r="G939" s="4" t="s">
        <v>35</v>
      </c>
      <c r="H939" s="4">
        <v>19</v>
      </c>
      <c r="I939" s="4">
        <v>15</v>
      </c>
      <c r="J939" s="4">
        <v>2</v>
      </c>
      <c r="K939" s="4">
        <v>3</v>
      </c>
      <c r="L939" s="4" t="str">
        <f t="shared" si="22"/>
        <v>HIGH RISK</v>
      </c>
      <c r="M939" s="4" t="str">
        <f t="shared" si="23"/>
        <v>MEDIUM</v>
      </c>
      <c r="N939" s="4" t="str">
        <f t="shared" si="24"/>
        <v>SENIOR</v>
      </c>
      <c r="O939" s="4" t="str">
        <f t="shared" si="25"/>
        <v>STAGNANT</v>
      </c>
      <c r="P939" s="5" t="str">
        <f t="shared" si="26"/>
        <v>Medium_Pressure</v>
      </c>
      <c r="Q939" s="4" t="str">
        <f t="shared" si="27"/>
        <v>DISENGAGED</v>
      </c>
      <c r="R939" s="4" t="str">
        <f t="shared" si="28"/>
        <v>LOW</v>
      </c>
      <c r="S939" s="2"/>
      <c r="T939" s="2"/>
      <c r="U939" s="2"/>
      <c r="V939" s="2"/>
      <c r="W939" s="2"/>
      <c r="X939" s="2"/>
      <c r="Y939" s="2"/>
      <c r="Z939" s="2"/>
    </row>
    <row r="940" spans="1:26" ht="16.8" x14ac:dyDescent="0.3">
      <c r="A940" s="4">
        <v>1308</v>
      </c>
      <c r="B940" s="4" t="s">
        <v>43</v>
      </c>
      <c r="C940" s="4">
        <v>58</v>
      </c>
      <c r="D940" s="4" t="s">
        <v>45</v>
      </c>
      <c r="E940" s="4" t="s">
        <v>47</v>
      </c>
      <c r="F940" s="4">
        <v>2372</v>
      </c>
      <c r="G940" s="4" t="s">
        <v>43</v>
      </c>
      <c r="H940" s="4">
        <v>2</v>
      </c>
      <c r="I940" s="4">
        <v>2</v>
      </c>
      <c r="J940" s="4">
        <v>3</v>
      </c>
      <c r="K940" s="4">
        <v>3</v>
      </c>
      <c r="L940" s="4" t="str">
        <f t="shared" si="22"/>
        <v>NORMAL</v>
      </c>
      <c r="M940" s="4" t="str">
        <f t="shared" si="23"/>
        <v>LOW</v>
      </c>
      <c r="N940" s="4" t="str">
        <f t="shared" si="24"/>
        <v>NEW</v>
      </c>
      <c r="O940" s="4" t="str">
        <f t="shared" si="25"/>
        <v>MODERATE-WAIT</v>
      </c>
      <c r="P940" s="5" t="str">
        <f t="shared" si="26"/>
        <v>Medium_Pressure</v>
      </c>
      <c r="Q940" s="4" t="str">
        <f t="shared" si="27"/>
        <v>HIGHLY_ENGAGED</v>
      </c>
      <c r="R940" s="4" t="str">
        <f t="shared" si="28"/>
        <v>LOW</v>
      </c>
      <c r="S940" s="2"/>
      <c r="T940" s="2"/>
      <c r="U940" s="2"/>
      <c r="V940" s="2"/>
      <c r="W940" s="2"/>
      <c r="X940" s="2"/>
      <c r="Y940" s="2"/>
      <c r="Z940" s="2"/>
    </row>
    <row r="941" spans="1:26" ht="16.8" x14ac:dyDescent="0.3">
      <c r="A941" s="4">
        <v>1309</v>
      </c>
      <c r="B941" s="4" t="s">
        <v>35</v>
      </c>
      <c r="C941" s="4">
        <v>32</v>
      </c>
      <c r="D941" s="4" t="s">
        <v>45</v>
      </c>
      <c r="E941" s="4" t="s">
        <v>50</v>
      </c>
      <c r="F941" s="4">
        <v>4883</v>
      </c>
      <c r="G941" s="4" t="s">
        <v>43</v>
      </c>
      <c r="H941" s="4">
        <v>10</v>
      </c>
      <c r="I941" s="4">
        <v>1</v>
      </c>
      <c r="J941" s="4">
        <v>3</v>
      </c>
      <c r="K941" s="4">
        <v>3</v>
      </c>
      <c r="L941" s="4" t="str">
        <f t="shared" si="22"/>
        <v>NORMAL</v>
      </c>
      <c r="M941" s="4" t="str">
        <f t="shared" si="23"/>
        <v>HIGH</v>
      </c>
      <c r="N941" s="4" t="str">
        <f t="shared" si="24"/>
        <v>SENIOR</v>
      </c>
      <c r="O941" s="4" t="str">
        <f t="shared" si="25"/>
        <v>RECENTLY PROMOTED</v>
      </c>
      <c r="P941" s="5" t="str">
        <f t="shared" si="26"/>
        <v>Medium_Pressure</v>
      </c>
      <c r="Q941" s="4" t="str">
        <f t="shared" si="27"/>
        <v>HIGHLY_ENGAGED</v>
      </c>
      <c r="R941" s="4" t="str">
        <f t="shared" si="28"/>
        <v>LOW</v>
      </c>
      <c r="S941" s="2"/>
      <c r="T941" s="2"/>
      <c r="U941" s="2"/>
      <c r="V941" s="2"/>
      <c r="W941" s="2"/>
      <c r="X941" s="2"/>
      <c r="Y941" s="2"/>
      <c r="Z941" s="2"/>
    </row>
    <row r="942" spans="1:26" ht="16.8" x14ac:dyDescent="0.3">
      <c r="A942" s="4">
        <v>1310</v>
      </c>
      <c r="B942" s="4" t="s">
        <v>35</v>
      </c>
      <c r="C942" s="4">
        <v>39</v>
      </c>
      <c r="D942" s="4" t="s">
        <v>45</v>
      </c>
      <c r="E942" s="4" t="s">
        <v>47</v>
      </c>
      <c r="F942" s="4">
        <v>3904</v>
      </c>
      <c r="G942" s="4" t="s">
        <v>43</v>
      </c>
      <c r="H942" s="4">
        <v>5</v>
      </c>
      <c r="I942" s="4">
        <v>0</v>
      </c>
      <c r="J942" s="4">
        <v>1</v>
      </c>
      <c r="K942" s="4">
        <v>3</v>
      </c>
      <c r="L942" s="4" t="str">
        <f t="shared" si="22"/>
        <v>NORMAL</v>
      </c>
      <c r="M942" s="4" t="str">
        <f t="shared" si="23"/>
        <v>LOW</v>
      </c>
      <c r="N942" s="4" t="str">
        <f t="shared" si="24"/>
        <v>MID</v>
      </c>
      <c r="O942" s="4" t="str">
        <f t="shared" si="25"/>
        <v>RECENTLY PROMOTED</v>
      </c>
      <c r="P942" s="5" t="str">
        <f t="shared" si="26"/>
        <v>Medium_Pressure</v>
      </c>
      <c r="Q942" s="4" t="str">
        <f t="shared" si="27"/>
        <v>DISENGAGED</v>
      </c>
      <c r="R942" s="4" t="str">
        <f t="shared" si="28"/>
        <v>LOW</v>
      </c>
      <c r="S942" s="2"/>
      <c r="T942" s="2"/>
      <c r="U942" s="2"/>
      <c r="V942" s="2"/>
      <c r="W942" s="2"/>
      <c r="X942" s="2"/>
      <c r="Y942" s="2"/>
      <c r="Z942" s="2"/>
    </row>
    <row r="943" spans="1:26" ht="16.8" x14ac:dyDescent="0.3">
      <c r="A943" s="4">
        <v>1311</v>
      </c>
      <c r="B943" s="4" t="s">
        <v>43</v>
      </c>
      <c r="C943" s="4">
        <v>30</v>
      </c>
      <c r="D943" s="4" t="s">
        <v>45</v>
      </c>
      <c r="E943" s="4" t="s">
        <v>50</v>
      </c>
      <c r="F943" s="4">
        <v>4627</v>
      </c>
      <c r="G943" s="4" t="s">
        <v>43</v>
      </c>
      <c r="H943" s="4">
        <v>9</v>
      </c>
      <c r="I943" s="4">
        <v>6</v>
      </c>
      <c r="J943" s="4">
        <v>4</v>
      </c>
      <c r="K943" s="4">
        <v>3</v>
      </c>
      <c r="L943" s="4" t="str">
        <f t="shared" si="22"/>
        <v>NORMAL</v>
      </c>
      <c r="M943" s="4" t="str">
        <f t="shared" si="23"/>
        <v>HIGH</v>
      </c>
      <c r="N943" s="4" t="str">
        <f t="shared" si="24"/>
        <v>SENIOR</v>
      </c>
      <c r="O943" s="4" t="str">
        <f t="shared" si="25"/>
        <v>STAGNANT</v>
      </c>
      <c r="P943" s="5" t="str">
        <f t="shared" si="26"/>
        <v>Medium_Pressure</v>
      </c>
      <c r="Q943" s="4" t="str">
        <f t="shared" si="27"/>
        <v>HIGHLY_ENGAGED</v>
      </c>
      <c r="R943" s="4" t="str">
        <f t="shared" si="28"/>
        <v>LOW</v>
      </c>
      <c r="S943" s="2"/>
      <c r="T943" s="2"/>
      <c r="U943" s="2"/>
      <c r="V943" s="2"/>
      <c r="W943" s="2"/>
      <c r="X943" s="2"/>
      <c r="Y943" s="2"/>
      <c r="Z943" s="2"/>
    </row>
    <row r="944" spans="1:26" ht="16.8" x14ac:dyDescent="0.3">
      <c r="A944" s="4">
        <v>1312</v>
      </c>
      <c r="B944" s="4" t="s">
        <v>43</v>
      </c>
      <c r="C944" s="4">
        <v>36</v>
      </c>
      <c r="D944" s="4" t="s">
        <v>45</v>
      </c>
      <c r="E944" s="4" t="s">
        <v>54</v>
      </c>
      <c r="F944" s="4">
        <v>7094</v>
      </c>
      <c r="G944" s="4" t="s">
        <v>43</v>
      </c>
      <c r="H944" s="4">
        <v>7</v>
      </c>
      <c r="I944" s="4">
        <v>1</v>
      </c>
      <c r="J944" s="4">
        <v>3</v>
      </c>
      <c r="K944" s="4">
        <v>3</v>
      </c>
      <c r="L944" s="4" t="str">
        <f t="shared" si="22"/>
        <v>NORMAL</v>
      </c>
      <c r="M944" s="4" t="str">
        <f t="shared" si="23"/>
        <v>HIGH</v>
      </c>
      <c r="N944" s="4" t="str">
        <f t="shared" si="24"/>
        <v>SENIOR</v>
      </c>
      <c r="O944" s="4" t="str">
        <f t="shared" si="25"/>
        <v>RECENTLY PROMOTED</v>
      </c>
      <c r="P944" s="5" t="str">
        <f t="shared" si="26"/>
        <v>Medium_Pressure</v>
      </c>
      <c r="Q944" s="4" t="str">
        <f t="shared" si="27"/>
        <v>HIGHLY_ENGAGED</v>
      </c>
      <c r="R944" s="4" t="str">
        <f t="shared" si="28"/>
        <v>LOW</v>
      </c>
      <c r="S944" s="2"/>
      <c r="T944" s="2"/>
      <c r="U944" s="2"/>
      <c r="V944" s="2"/>
      <c r="W944" s="2"/>
      <c r="X944" s="2"/>
      <c r="Y944" s="2"/>
      <c r="Z944" s="2"/>
    </row>
    <row r="945" spans="1:26" ht="16.8" x14ac:dyDescent="0.3">
      <c r="A945" s="4">
        <v>1314</v>
      </c>
      <c r="B945" s="4" t="s">
        <v>43</v>
      </c>
      <c r="C945" s="4">
        <v>46</v>
      </c>
      <c r="D945" s="4" t="s">
        <v>61</v>
      </c>
      <c r="E945" s="4" t="s">
        <v>61</v>
      </c>
      <c r="F945" s="4">
        <v>3423</v>
      </c>
      <c r="G945" s="4" t="s">
        <v>43</v>
      </c>
      <c r="H945" s="4">
        <v>7</v>
      </c>
      <c r="I945" s="4">
        <v>5</v>
      </c>
      <c r="J945" s="4">
        <v>1</v>
      </c>
      <c r="K945" s="4">
        <v>4</v>
      </c>
      <c r="L945" s="4" t="str">
        <f t="shared" si="22"/>
        <v>NORMAL</v>
      </c>
      <c r="M945" s="4" t="str">
        <f t="shared" si="23"/>
        <v>LOW</v>
      </c>
      <c r="N945" s="4" t="str">
        <f t="shared" si="24"/>
        <v>SENIOR</v>
      </c>
      <c r="O945" s="4" t="str">
        <f t="shared" si="25"/>
        <v>STAGNANT</v>
      </c>
      <c r="P945" s="5" t="str">
        <f t="shared" si="26"/>
        <v>Low_Pressure</v>
      </c>
      <c r="Q945" s="4" t="str">
        <f t="shared" si="27"/>
        <v>DISENGAGED</v>
      </c>
      <c r="R945" s="4" t="str">
        <f t="shared" si="28"/>
        <v>LOW</v>
      </c>
      <c r="S945" s="2"/>
      <c r="T945" s="2"/>
      <c r="U945" s="2"/>
      <c r="V945" s="2"/>
      <c r="W945" s="2"/>
      <c r="X945" s="2"/>
      <c r="Y945" s="2"/>
      <c r="Z945" s="2"/>
    </row>
    <row r="946" spans="1:26" ht="16.8" x14ac:dyDescent="0.3">
      <c r="A946" s="4">
        <v>1315</v>
      </c>
      <c r="B946" s="4" t="s">
        <v>43</v>
      </c>
      <c r="C946" s="4">
        <v>28</v>
      </c>
      <c r="D946" s="4" t="s">
        <v>45</v>
      </c>
      <c r="E946" s="4" t="s">
        <v>50</v>
      </c>
      <c r="F946" s="4">
        <v>6674</v>
      </c>
      <c r="G946" s="4" t="s">
        <v>43</v>
      </c>
      <c r="H946" s="4">
        <v>9</v>
      </c>
      <c r="I946" s="4">
        <v>7</v>
      </c>
      <c r="J946" s="4">
        <v>4</v>
      </c>
      <c r="K946" s="4">
        <v>3</v>
      </c>
      <c r="L946" s="4" t="str">
        <f t="shared" si="22"/>
        <v>NORMAL</v>
      </c>
      <c r="M946" s="4" t="str">
        <f t="shared" si="23"/>
        <v>HIGH</v>
      </c>
      <c r="N946" s="4" t="str">
        <f t="shared" si="24"/>
        <v>SENIOR</v>
      </c>
      <c r="O946" s="4" t="str">
        <f t="shared" si="25"/>
        <v>STAGNANT</v>
      </c>
      <c r="P946" s="5" t="str">
        <f t="shared" si="26"/>
        <v>Medium_Pressure</v>
      </c>
      <c r="Q946" s="4" t="str">
        <f t="shared" si="27"/>
        <v>HIGHLY_ENGAGED</v>
      </c>
      <c r="R946" s="4" t="str">
        <f t="shared" si="28"/>
        <v>LOW</v>
      </c>
      <c r="S946" s="2"/>
      <c r="T946" s="2"/>
      <c r="U946" s="2"/>
      <c r="V946" s="2"/>
      <c r="W946" s="2"/>
      <c r="X946" s="2"/>
      <c r="Y946" s="2"/>
      <c r="Z946" s="2"/>
    </row>
    <row r="947" spans="1:26" ht="16.8" x14ac:dyDescent="0.3">
      <c r="A947" s="4">
        <v>1317</v>
      </c>
      <c r="B947" s="4" t="s">
        <v>43</v>
      </c>
      <c r="C947" s="4">
        <v>50</v>
      </c>
      <c r="D947" s="4" t="s">
        <v>45</v>
      </c>
      <c r="E947" s="4" t="s">
        <v>58</v>
      </c>
      <c r="F947" s="4">
        <v>16880</v>
      </c>
      <c r="G947" s="4" t="s">
        <v>35</v>
      </c>
      <c r="H947" s="4">
        <v>3</v>
      </c>
      <c r="I947" s="4">
        <v>1</v>
      </c>
      <c r="J947" s="4">
        <v>1</v>
      </c>
      <c r="K947" s="4">
        <v>3</v>
      </c>
      <c r="L947" s="4" t="str">
        <f t="shared" si="22"/>
        <v>NORMAL</v>
      </c>
      <c r="M947" s="4" t="str">
        <f t="shared" si="23"/>
        <v>MEDIUM</v>
      </c>
      <c r="N947" s="4" t="str">
        <f t="shared" si="24"/>
        <v>MID</v>
      </c>
      <c r="O947" s="4" t="str">
        <f t="shared" si="25"/>
        <v>RECENTLY PROMOTED</v>
      </c>
      <c r="P947" s="5" t="str">
        <f t="shared" si="26"/>
        <v>Medium_Pressure</v>
      </c>
      <c r="Q947" s="4" t="str">
        <f t="shared" si="27"/>
        <v>DISENGAGED</v>
      </c>
      <c r="R947" s="4" t="str">
        <f t="shared" si="28"/>
        <v>LOW</v>
      </c>
      <c r="S947" s="2"/>
      <c r="T947" s="2"/>
      <c r="U947" s="2"/>
      <c r="V947" s="2"/>
      <c r="W947" s="2"/>
      <c r="X947" s="2"/>
      <c r="Y947" s="2"/>
      <c r="Z947" s="2"/>
    </row>
    <row r="948" spans="1:26" ht="16.8" x14ac:dyDescent="0.3">
      <c r="A948" s="4">
        <v>1318</v>
      </c>
      <c r="B948" s="4" t="s">
        <v>35</v>
      </c>
      <c r="C948" s="4">
        <v>40</v>
      </c>
      <c r="D948" s="4" t="s">
        <v>37</v>
      </c>
      <c r="E948" s="4" t="s">
        <v>40</v>
      </c>
      <c r="F948" s="4">
        <v>9094</v>
      </c>
      <c r="G948" s="4" t="s">
        <v>35</v>
      </c>
      <c r="H948" s="4">
        <v>5</v>
      </c>
      <c r="I948" s="4">
        <v>1</v>
      </c>
      <c r="J948" s="4">
        <v>2</v>
      </c>
      <c r="K948" s="4">
        <v>3</v>
      </c>
      <c r="L948" s="4" t="str">
        <f t="shared" si="22"/>
        <v>NORMAL</v>
      </c>
      <c r="M948" s="4" t="str">
        <f t="shared" si="23"/>
        <v>MEDIUM</v>
      </c>
      <c r="N948" s="4" t="str">
        <f t="shared" si="24"/>
        <v>MID</v>
      </c>
      <c r="O948" s="4" t="str">
        <f t="shared" si="25"/>
        <v>RECENTLY PROMOTED</v>
      </c>
      <c r="P948" s="5" t="str">
        <f t="shared" si="26"/>
        <v>Medium_Pressure</v>
      </c>
      <c r="Q948" s="4" t="str">
        <f t="shared" si="27"/>
        <v>DISENGAGED</v>
      </c>
      <c r="R948" s="4" t="str">
        <f t="shared" si="28"/>
        <v>LOW</v>
      </c>
      <c r="S948" s="2"/>
      <c r="T948" s="2"/>
      <c r="U948" s="2"/>
      <c r="V948" s="2"/>
      <c r="W948" s="2"/>
      <c r="X948" s="2"/>
      <c r="Y948" s="2"/>
      <c r="Z948" s="2"/>
    </row>
    <row r="949" spans="1:26" ht="16.8" x14ac:dyDescent="0.3">
      <c r="A949" s="4">
        <v>1319</v>
      </c>
      <c r="B949" s="4" t="s">
        <v>35</v>
      </c>
      <c r="C949" s="4">
        <v>52</v>
      </c>
      <c r="D949" s="4" t="s">
        <v>37</v>
      </c>
      <c r="E949" s="4" t="s">
        <v>40</v>
      </c>
      <c r="F949" s="4">
        <v>8446</v>
      </c>
      <c r="G949" s="4" t="s">
        <v>35</v>
      </c>
      <c r="H949" s="4">
        <v>8</v>
      </c>
      <c r="I949" s="4">
        <v>7</v>
      </c>
      <c r="J949" s="4">
        <v>2</v>
      </c>
      <c r="K949" s="4">
        <v>2</v>
      </c>
      <c r="L949" s="4" t="str">
        <f t="shared" si="22"/>
        <v>HIGH RISK</v>
      </c>
      <c r="M949" s="4" t="str">
        <f t="shared" si="23"/>
        <v>HIGH</v>
      </c>
      <c r="N949" s="4" t="str">
        <f t="shared" si="24"/>
        <v>SENIOR</v>
      </c>
      <c r="O949" s="4" t="str">
        <f t="shared" si="25"/>
        <v>STAGNANT</v>
      </c>
      <c r="P949" s="5" t="str">
        <f t="shared" si="26"/>
        <v>High_Pressure</v>
      </c>
      <c r="Q949" s="4" t="str">
        <f t="shared" si="27"/>
        <v>DISENGAGED</v>
      </c>
      <c r="R949" s="4" t="str">
        <f t="shared" si="28"/>
        <v>LOW</v>
      </c>
      <c r="S949" s="2"/>
      <c r="T949" s="2"/>
      <c r="U949" s="2"/>
      <c r="V949" s="2"/>
      <c r="W949" s="2"/>
      <c r="X949" s="2"/>
      <c r="Y949" s="2"/>
      <c r="Z949" s="2"/>
    </row>
    <row r="950" spans="1:26" ht="16.8" x14ac:dyDescent="0.3">
      <c r="A950" s="4">
        <v>1321</v>
      </c>
      <c r="B950" s="4" t="s">
        <v>43</v>
      </c>
      <c r="C950" s="4">
        <v>30</v>
      </c>
      <c r="D950" s="4" t="s">
        <v>45</v>
      </c>
      <c r="E950" s="4" t="s">
        <v>56</v>
      </c>
      <c r="F950" s="4">
        <v>11916</v>
      </c>
      <c r="G950" s="4" t="s">
        <v>35</v>
      </c>
      <c r="H950" s="4">
        <v>9</v>
      </c>
      <c r="I950" s="4">
        <v>0</v>
      </c>
      <c r="J950" s="4">
        <v>1</v>
      </c>
      <c r="K950" s="4">
        <v>3</v>
      </c>
      <c r="L950" s="4" t="str">
        <f t="shared" si="22"/>
        <v>NORMAL</v>
      </c>
      <c r="M950" s="4" t="str">
        <f t="shared" si="23"/>
        <v>MEDIUM</v>
      </c>
      <c r="N950" s="4" t="str">
        <f t="shared" si="24"/>
        <v>SENIOR</v>
      </c>
      <c r="O950" s="4" t="str">
        <f t="shared" si="25"/>
        <v>RECENTLY PROMOTED</v>
      </c>
      <c r="P950" s="5" t="str">
        <f t="shared" si="26"/>
        <v>Medium_Pressure</v>
      </c>
      <c r="Q950" s="4" t="str">
        <f t="shared" si="27"/>
        <v>DISENGAGED</v>
      </c>
      <c r="R950" s="4" t="str">
        <f t="shared" si="28"/>
        <v>LOW</v>
      </c>
      <c r="S950" s="2"/>
      <c r="T950" s="2"/>
      <c r="U950" s="2"/>
      <c r="V950" s="2"/>
      <c r="W950" s="2"/>
      <c r="X950" s="2"/>
      <c r="Y950" s="2"/>
      <c r="Z950" s="2"/>
    </row>
    <row r="951" spans="1:26" ht="16.8" x14ac:dyDescent="0.3">
      <c r="A951" s="4">
        <v>1322</v>
      </c>
      <c r="B951" s="4" t="s">
        <v>43</v>
      </c>
      <c r="C951" s="4">
        <v>39</v>
      </c>
      <c r="D951" s="4" t="s">
        <v>45</v>
      </c>
      <c r="E951" s="4" t="s">
        <v>53</v>
      </c>
      <c r="F951" s="4">
        <v>4534</v>
      </c>
      <c r="G951" s="4" t="s">
        <v>43</v>
      </c>
      <c r="H951" s="4">
        <v>8</v>
      </c>
      <c r="I951" s="4">
        <v>1</v>
      </c>
      <c r="J951" s="4">
        <v>3</v>
      </c>
      <c r="K951" s="4">
        <v>3</v>
      </c>
      <c r="L951" s="4" t="str">
        <f t="shared" si="22"/>
        <v>NORMAL</v>
      </c>
      <c r="M951" s="4" t="str">
        <f t="shared" si="23"/>
        <v>HIGH</v>
      </c>
      <c r="N951" s="4" t="str">
        <f t="shared" si="24"/>
        <v>SENIOR</v>
      </c>
      <c r="O951" s="4" t="str">
        <f t="shared" si="25"/>
        <v>RECENTLY PROMOTED</v>
      </c>
      <c r="P951" s="5" t="str">
        <f t="shared" si="26"/>
        <v>Medium_Pressure</v>
      </c>
      <c r="Q951" s="4" t="str">
        <f t="shared" si="27"/>
        <v>HIGHLY_ENGAGED</v>
      </c>
      <c r="R951" s="4" t="str">
        <f t="shared" si="28"/>
        <v>LOW</v>
      </c>
      <c r="S951" s="2"/>
      <c r="T951" s="2"/>
      <c r="U951" s="2"/>
      <c r="V951" s="2"/>
      <c r="W951" s="2"/>
      <c r="X951" s="2"/>
      <c r="Y951" s="2"/>
      <c r="Z951" s="2"/>
    </row>
    <row r="952" spans="1:26" ht="16.8" x14ac:dyDescent="0.3">
      <c r="A952" s="4">
        <v>1324</v>
      </c>
      <c r="B952" s="4" t="s">
        <v>43</v>
      </c>
      <c r="C952" s="4">
        <v>31</v>
      </c>
      <c r="D952" s="4" t="s">
        <v>37</v>
      </c>
      <c r="E952" s="4" t="s">
        <v>40</v>
      </c>
      <c r="F952" s="4">
        <v>9852</v>
      </c>
      <c r="G952" s="4" t="s">
        <v>35</v>
      </c>
      <c r="H952" s="4">
        <v>10</v>
      </c>
      <c r="I952" s="4">
        <v>9</v>
      </c>
      <c r="J952" s="4">
        <v>3</v>
      </c>
      <c r="K952" s="4">
        <v>2</v>
      </c>
      <c r="L952" s="4" t="str">
        <f t="shared" si="22"/>
        <v>NORMAL</v>
      </c>
      <c r="M952" s="4" t="str">
        <f t="shared" si="23"/>
        <v>MEDIUM</v>
      </c>
      <c r="N952" s="4" t="str">
        <f t="shared" si="24"/>
        <v>SENIOR</v>
      </c>
      <c r="O952" s="4" t="str">
        <f t="shared" si="25"/>
        <v>STAGNANT</v>
      </c>
      <c r="P952" s="5" t="str">
        <f t="shared" si="26"/>
        <v>High_Pressure</v>
      </c>
      <c r="Q952" s="4" t="str">
        <f t="shared" si="27"/>
        <v>DISENGAGED</v>
      </c>
      <c r="R952" s="4" t="str">
        <f t="shared" si="28"/>
        <v>LOW</v>
      </c>
      <c r="S952" s="2"/>
      <c r="T952" s="2"/>
      <c r="U952" s="2"/>
      <c r="V952" s="2"/>
      <c r="W952" s="2"/>
      <c r="X952" s="2"/>
      <c r="Y952" s="2"/>
      <c r="Z952" s="2"/>
    </row>
    <row r="953" spans="1:26" ht="16.8" x14ac:dyDescent="0.3">
      <c r="A953" s="4">
        <v>1329</v>
      </c>
      <c r="B953" s="4" t="s">
        <v>43</v>
      </c>
      <c r="C953" s="4">
        <v>41</v>
      </c>
      <c r="D953" s="4" t="s">
        <v>37</v>
      </c>
      <c r="E953" s="4" t="s">
        <v>40</v>
      </c>
      <c r="F953" s="4">
        <v>6151</v>
      </c>
      <c r="G953" s="4" t="s">
        <v>43</v>
      </c>
      <c r="H953" s="4">
        <v>19</v>
      </c>
      <c r="I953" s="4">
        <v>11</v>
      </c>
      <c r="J953" s="4">
        <v>2</v>
      </c>
      <c r="K953" s="4">
        <v>3</v>
      </c>
      <c r="L953" s="4" t="str">
        <f t="shared" si="22"/>
        <v>NORMAL</v>
      </c>
      <c r="M953" s="4" t="str">
        <f t="shared" si="23"/>
        <v>HIGH</v>
      </c>
      <c r="N953" s="4" t="str">
        <f t="shared" si="24"/>
        <v>SENIOR</v>
      </c>
      <c r="O953" s="4" t="str">
        <f t="shared" si="25"/>
        <v>STAGNANT</v>
      </c>
      <c r="P953" s="5" t="str">
        <f t="shared" si="26"/>
        <v>Medium_Pressure</v>
      </c>
      <c r="Q953" s="4" t="str">
        <f t="shared" si="27"/>
        <v>DISENGAGED</v>
      </c>
      <c r="R953" s="4" t="str">
        <f t="shared" si="28"/>
        <v>LOW</v>
      </c>
      <c r="S953" s="2"/>
      <c r="T953" s="2"/>
      <c r="U953" s="2"/>
      <c r="V953" s="2"/>
      <c r="W953" s="2"/>
      <c r="X953" s="2"/>
      <c r="Y953" s="2"/>
      <c r="Z953" s="2"/>
    </row>
    <row r="954" spans="1:26" ht="16.8" x14ac:dyDescent="0.3">
      <c r="A954" s="4">
        <v>1331</v>
      </c>
      <c r="B954" s="4" t="s">
        <v>35</v>
      </c>
      <c r="C954" s="4">
        <v>31</v>
      </c>
      <c r="D954" s="4" t="s">
        <v>37</v>
      </c>
      <c r="E954" s="4" t="s">
        <v>57</v>
      </c>
      <c r="F954" s="4">
        <v>2302</v>
      </c>
      <c r="G954" s="4" t="s">
        <v>35</v>
      </c>
      <c r="H954" s="4">
        <v>3</v>
      </c>
      <c r="I954" s="4">
        <v>2</v>
      </c>
      <c r="J954" s="4">
        <v>2</v>
      </c>
      <c r="K954" s="4">
        <v>4</v>
      </c>
      <c r="L954" s="4" t="str">
        <f t="shared" si="22"/>
        <v>NORMAL</v>
      </c>
      <c r="M954" s="4" t="str">
        <f t="shared" si="23"/>
        <v>LOW</v>
      </c>
      <c r="N954" s="4" t="str">
        <f t="shared" si="24"/>
        <v>MID</v>
      </c>
      <c r="O954" s="4" t="str">
        <f t="shared" si="25"/>
        <v>MODERATE-WAIT</v>
      </c>
      <c r="P954" s="5" t="str">
        <f t="shared" si="26"/>
        <v>Medium_Pressure</v>
      </c>
      <c r="Q954" s="4" t="str">
        <f t="shared" si="27"/>
        <v>DISENGAGED</v>
      </c>
      <c r="R954" s="4" t="str">
        <f t="shared" si="28"/>
        <v>LOW</v>
      </c>
      <c r="S954" s="2"/>
      <c r="T954" s="2"/>
      <c r="U954" s="2"/>
      <c r="V954" s="2"/>
      <c r="W954" s="2"/>
      <c r="X954" s="2"/>
      <c r="Y954" s="2"/>
      <c r="Z954" s="2"/>
    </row>
    <row r="955" spans="1:26" ht="16.8" x14ac:dyDescent="0.3">
      <c r="A955" s="4">
        <v>1333</v>
      </c>
      <c r="B955" s="4" t="s">
        <v>35</v>
      </c>
      <c r="C955" s="4">
        <v>44</v>
      </c>
      <c r="D955" s="4" t="s">
        <v>45</v>
      </c>
      <c r="E955" s="4" t="s">
        <v>50</v>
      </c>
      <c r="F955" s="4">
        <v>2362</v>
      </c>
      <c r="G955" s="4" t="s">
        <v>43</v>
      </c>
      <c r="H955" s="4">
        <v>3</v>
      </c>
      <c r="I955" s="4">
        <v>1</v>
      </c>
      <c r="J955" s="4">
        <v>1</v>
      </c>
      <c r="K955" s="4">
        <v>4</v>
      </c>
      <c r="L955" s="4" t="str">
        <f t="shared" si="22"/>
        <v>NORMAL</v>
      </c>
      <c r="M955" s="4" t="str">
        <f t="shared" si="23"/>
        <v>LOW</v>
      </c>
      <c r="N955" s="4" t="str">
        <f t="shared" si="24"/>
        <v>MID</v>
      </c>
      <c r="O955" s="4" t="str">
        <f t="shared" si="25"/>
        <v>RECENTLY PROMOTED</v>
      </c>
      <c r="P955" s="5" t="str">
        <f t="shared" si="26"/>
        <v>Low_Pressure</v>
      </c>
      <c r="Q955" s="4" t="str">
        <f t="shared" si="27"/>
        <v>DISENGAGED</v>
      </c>
      <c r="R955" s="4" t="str">
        <f t="shared" si="28"/>
        <v>LOW</v>
      </c>
      <c r="S955" s="2"/>
      <c r="T955" s="2"/>
      <c r="U955" s="2"/>
      <c r="V955" s="2"/>
      <c r="W955" s="2"/>
      <c r="X955" s="2"/>
      <c r="Y955" s="2"/>
      <c r="Z955" s="2"/>
    </row>
    <row r="956" spans="1:26" ht="16.8" x14ac:dyDescent="0.3">
      <c r="A956" s="4">
        <v>1334</v>
      </c>
      <c r="B956" s="4" t="s">
        <v>43</v>
      </c>
      <c r="C956" s="4">
        <v>42</v>
      </c>
      <c r="D956" s="4" t="s">
        <v>45</v>
      </c>
      <c r="E956" s="4" t="s">
        <v>56</v>
      </c>
      <c r="F956" s="4">
        <v>17861</v>
      </c>
      <c r="G956" s="4" t="s">
        <v>35</v>
      </c>
      <c r="H956" s="4">
        <v>20</v>
      </c>
      <c r="I956" s="4">
        <v>2</v>
      </c>
      <c r="J956" s="4">
        <v>3</v>
      </c>
      <c r="K956" s="4">
        <v>2</v>
      </c>
      <c r="L956" s="4" t="str">
        <f t="shared" si="22"/>
        <v>NORMAL</v>
      </c>
      <c r="M956" s="4" t="str">
        <f t="shared" si="23"/>
        <v>MEDIUM</v>
      </c>
      <c r="N956" s="4" t="str">
        <f t="shared" si="24"/>
        <v>SENIOR</v>
      </c>
      <c r="O956" s="4" t="str">
        <f t="shared" si="25"/>
        <v>MODERATE-WAIT</v>
      </c>
      <c r="P956" s="5" t="str">
        <f t="shared" si="26"/>
        <v>High_Pressure</v>
      </c>
      <c r="Q956" s="4" t="str">
        <f t="shared" si="27"/>
        <v>DISENGAGED</v>
      </c>
      <c r="R956" s="4" t="str">
        <f t="shared" si="28"/>
        <v>LOW</v>
      </c>
      <c r="S956" s="2"/>
      <c r="T956" s="2"/>
      <c r="U956" s="2"/>
      <c r="V956" s="2"/>
      <c r="W956" s="2"/>
      <c r="X956" s="2"/>
      <c r="Y956" s="2"/>
      <c r="Z956" s="2"/>
    </row>
    <row r="957" spans="1:26" ht="16.8" x14ac:dyDescent="0.3">
      <c r="A957" s="4">
        <v>1336</v>
      </c>
      <c r="B957" s="4" t="s">
        <v>43</v>
      </c>
      <c r="C957" s="4">
        <v>55</v>
      </c>
      <c r="D957" s="4" t="s">
        <v>45</v>
      </c>
      <c r="E957" s="4" t="s">
        <v>56</v>
      </c>
      <c r="F957" s="4">
        <v>19187</v>
      </c>
      <c r="G957" s="4" t="s">
        <v>43</v>
      </c>
      <c r="H957" s="4">
        <v>19</v>
      </c>
      <c r="I957" s="4">
        <v>9</v>
      </c>
      <c r="J957" s="4">
        <v>3</v>
      </c>
      <c r="K957" s="4">
        <v>3</v>
      </c>
      <c r="L957" s="4" t="str">
        <f t="shared" si="22"/>
        <v>NORMAL</v>
      </c>
      <c r="M957" s="4" t="str">
        <f t="shared" si="23"/>
        <v>MEDIUM</v>
      </c>
      <c r="N957" s="4" t="str">
        <f t="shared" si="24"/>
        <v>SENIOR</v>
      </c>
      <c r="O957" s="4" t="str">
        <f t="shared" si="25"/>
        <v>STAGNANT</v>
      </c>
      <c r="P957" s="5" t="str">
        <f t="shared" si="26"/>
        <v>Medium_Pressure</v>
      </c>
      <c r="Q957" s="4" t="str">
        <f t="shared" si="27"/>
        <v>HIGHLY_ENGAGED</v>
      </c>
      <c r="R957" s="4" t="str">
        <f t="shared" si="28"/>
        <v>LOW</v>
      </c>
      <c r="S957" s="2"/>
      <c r="T957" s="2"/>
      <c r="U957" s="2"/>
      <c r="V957" s="2"/>
      <c r="W957" s="2"/>
      <c r="X957" s="2"/>
      <c r="Y957" s="2"/>
      <c r="Z957" s="2"/>
    </row>
    <row r="958" spans="1:26" ht="16.8" x14ac:dyDescent="0.3">
      <c r="A958" s="4">
        <v>1338</v>
      </c>
      <c r="B958" s="4" t="s">
        <v>43</v>
      </c>
      <c r="C958" s="4">
        <v>56</v>
      </c>
      <c r="D958" s="4" t="s">
        <v>61</v>
      </c>
      <c r="E958" s="4" t="s">
        <v>56</v>
      </c>
      <c r="F958" s="4">
        <v>19717</v>
      </c>
      <c r="G958" s="4" t="s">
        <v>43</v>
      </c>
      <c r="H958" s="4">
        <v>7</v>
      </c>
      <c r="I958" s="4">
        <v>7</v>
      </c>
      <c r="J958" s="4">
        <v>2</v>
      </c>
      <c r="K958" s="4">
        <v>3</v>
      </c>
      <c r="L958" s="4" t="str">
        <f t="shared" si="22"/>
        <v>NORMAL</v>
      </c>
      <c r="M958" s="4" t="str">
        <f t="shared" si="23"/>
        <v>MEDIUM</v>
      </c>
      <c r="N958" s="4" t="str">
        <f t="shared" si="24"/>
        <v>SENIOR</v>
      </c>
      <c r="O958" s="4" t="str">
        <f t="shared" si="25"/>
        <v>STAGNANT</v>
      </c>
      <c r="P958" s="5" t="str">
        <f t="shared" si="26"/>
        <v>Medium_Pressure</v>
      </c>
      <c r="Q958" s="4" t="str">
        <f t="shared" si="27"/>
        <v>DISENGAGED</v>
      </c>
      <c r="R958" s="4" t="str">
        <f t="shared" si="28"/>
        <v>LOW</v>
      </c>
      <c r="S958" s="2"/>
      <c r="T958" s="2"/>
      <c r="U958" s="2"/>
      <c r="V958" s="2"/>
      <c r="W958" s="2"/>
      <c r="X958" s="2"/>
      <c r="Y958" s="2"/>
      <c r="Z958" s="2"/>
    </row>
    <row r="959" spans="1:26" ht="16.8" x14ac:dyDescent="0.3">
      <c r="A959" s="4">
        <v>1340</v>
      </c>
      <c r="B959" s="4" t="s">
        <v>43</v>
      </c>
      <c r="C959" s="4">
        <v>40</v>
      </c>
      <c r="D959" s="4" t="s">
        <v>45</v>
      </c>
      <c r="E959" s="4" t="s">
        <v>47</v>
      </c>
      <c r="F959" s="4">
        <v>3544</v>
      </c>
      <c r="G959" s="4" t="s">
        <v>43</v>
      </c>
      <c r="H959" s="4">
        <v>4</v>
      </c>
      <c r="I959" s="4">
        <v>0</v>
      </c>
      <c r="J959" s="4">
        <v>3</v>
      </c>
      <c r="K959" s="4">
        <v>3</v>
      </c>
      <c r="L959" s="4" t="str">
        <f t="shared" si="22"/>
        <v>NORMAL</v>
      </c>
      <c r="M959" s="4" t="str">
        <f t="shared" si="23"/>
        <v>LOW</v>
      </c>
      <c r="N959" s="4" t="str">
        <f t="shared" si="24"/>
        <v>MID</v>
      </c>
      <c r="O959" s="4" t="str">
        <f t="shared" si="25"/>
        <v>RECENTLY PROMOTED</v>
      </c>
      <c r="P959" s="5" t="str">
        <f t="shared" si="26"/>
        <v>Medium_Pressure</v>
      </c>
      <c r="Q959" s="4" t="str">
        <f t="shared" si="27"/>
        <v>HIGHLY_ENGAGED</v>
      </c>
      <c r="R959" s="4" t="str">
        <f t="shared" si="28"/>
        <v>LOW</v>
      </c>
      <c r="S959" s="2"/>
      <c r="T959" s="2"/>
      <c r="U959" s="2"/>
      <c r="V959" s="2"/>
      <c r="W959" s="2"/>
      <c r="X959" s="2"/>
      <c r="Y959" s="2"/>
      <c r="Z959" s="2"/>
    </row>
    <row r="960" spans="1:26" ht="16.8" x14ac:dyDescent="0.3">
      <c r="A960" s="4">
        <v>1344</v>
      </c>
      <c r="B960" s="4" t="s">
        <v>43</v>
      </c>
      <c r="C960" s="4">
        <v>34</v>
      </c>
      <c r="D960" s="4" t="s">
        <v>45</v>
      </c>
      <c r="E960" s="4" t="s">
        <v>54</v>
      </c>
      <c r="F960" s="4">
        <v>8500</v>
      </c>
      <c r="G960" s="4" t="s">
        <v>43</v>
      </c>
      <c r="H960" s="4">
        <v>9</v>
      </c>
      <c r="I960" s="4">
        <v>1</v>
      </c>
      <c r="J960" s="4">
        <v>4</v>
      </c>
      <c r="K960" s="4">
        <v>2</v>
      </c>
      <c r="L960" s="4" t="str">
        <f t="shared" si="22"/>
        <v>NORMAL</v>
      </c>
      <c r="M960" s="4" t="str">
        <f t="shared" si="23"/>
        <v>HIGH</v>
      </c>
      <c r="N960" s="4" t="str">
        <f t="shared" si="24"/>
        <v>SENIOR</v>
      </c>
      <c r="O960" s="4" t="str">
        <f t="shared" si="25"/>
        <v>RECENTLY PROMOTED</v>
      </c>
      <c r="P960" s="5" t="str">
        <f t="shared" si="26"/>
        <v>Low_Pressure</v>
      </c>
      <c r="Q960" s="4" t="str">
        <f t="shared" si="27"/>
        <v>DISENGAGED</v>
      </c>
      <c r="R960" s="4" t="str">
        <f t="shared" si="28"/>
        <v>LOW</v>
      </c>
      <c r="S960" s="2"/>
      <c r="T960" s="2"/>
      <c r="U960" s="2"/>
      <c r="V960" s="2"/>
      <c r="W960" s="2"/>
      <c r="X960" s="2"/>
      <c r="Y960" s="2"/>
      <c r="Z960" s="2"/>
    </row>
    <row r="961" spans="1:26" ht="16.8" x14ac:dyDescent="0.3">
      <c r="A961" s="4">
        <v>1346</v>
      </c>
      <c r="B961" s="4" t="s">
        <v>43</v>
      </c>
      <c r="C961" s="4">
        <v>40</v>
      </c>
      <c r="D961" s="4" t="s">
        <v>45</v>
      </c>
      <c r="E961" s="4" t="s">
        <v>47</v>
      </c>
      <c r="F961" s="4">
        <v>4661</v>
      </c>
      <c r="G961" s="4" t="s">
        <v>43</v>
      </c>
      <c r="H961" s="4">
        <v>9</v>
      </c>
      <c r="I961" s="4">
        <v>8</v>
      </c>
      <c r="J961" s="4">
        <v>4</v>
      </c>
      <c r="K961" s="4">
        <v>3</v>
      </c>
      <c r="L961" s="4" t="str">
        <f t="shared" si="22"/>
        <v>NORMAL</v>
      </c>
      <c r="M961" s="4" t="str">
        <f t="shared" si="23"/>
        <v>HIGH</v>
      </c>
      <c r="N961" s="4" t="str">
        <f t="shared" si="24"/>
        <v>SENIOR</v>
      </c>
      <c r="O961" s="4" t="str">
        <f t="shared" si="25"/>
        <v>STAGNANT</v>
      </c>
      <c r="P961" s="5" t="str">
        <f t="shared" si="26"/>
        <v>Medium_Pressure</v>
      </c>
      <c r="Q961" s="4" t="str">
        <f t="shared" si="27"/>
        <v>HIGHLY_ENGAGED</v>
      </c>
      <c r="R961" s="4" t="str">
        <f t="shared" si="28"/>
        <v>LOW</v>
      </c>
      <c r="S961" s="2"/>
      <c r="T961" s="2"/>
      <c r="U961" s="2"/>
      <c r="V961" s="2"/>
      <c r="W961" s="2"/>
      <c r="X961" s="2"/>
      <c r="Y961" s="2"/>
      <c r="Z961" s="2"/>
    </row>
    <row r="962" spans="1:26" ht="16.8" x14ac:dyDescent="0.3">
      <c r="A962" s="4">
        <v>1349</v>
      </c>
      <c r="B962" s="4" t="s">
        <v>43</v>
      </c>
      <c r="C962" s="4">
        <v>41</v>
      </c>
      <c r="D962" s="4" t="s">
        <v>37</v>
      </c>
      <c r="E962" s="4" t="s">
        <v>40</v>
      </c>
      <c r="F962" s="4">
        <v>4103</v>
      </c>
      <c r="G962" s="4" t="s">
        <v>43</v>
      </c>
      <c r="H962" s="4">
        <v>9</v>
      </c>
      <c r="I962" s="4">
        <v>1</v>
      </c>
      <c r="J962" s="4">
        <v>1</v>
      </c>
      <c r="K962" s="4">
        <v>3</v>
      </c>
      <c r="L962" s="4" t="str">
        <f t="shared" si="22"/>
        <v>NORMAL</v>
      </c>
      <c r="M962" s="4" t="str">
        <f t="shared" si="23"/>
        <v>HIGH</v>
      </c>
      <c r="N962" s="4" t="str">
        <f t="shared" si="24"/>
        <v>SENIOR</v>
      </c>
      <c r="O962" s="4" t="str">
        <f t="shared" si="25"/>
        <v>RECENTLY PROMOTED</v>
      </c>
      <c r="P962" s="5" t="str">
        <f t="shared" si="26"/>
        <v>Medium_Pressure</v>
      </c>
      <c r="Q962" s="4" t="str">
        <f t="shared" si="27"/>
        <v>DISENGAGED</v>
      </c>
      <c r="R962" s="4" t="str">
        <f t="shared" si="28"/>
        <v>LOW</v>
      </c>
      <c r="S962" s="2"/>
      <c r="T962" s="2"/>
      <c r="U962" s="2"/>
      <c r="V962" s="2"/>
      <c r="W962" s="2"/>
      <c r="X962" s="2"/>
      <c r="Y962" s="2"/>
      <c r="Z962" s="2"/>
    </row>
    <row r="963" spans="1:26" ht="16.8" x14ac:dyDescent="0.3">
      <c r="A963" s="4">
        <v>1350</v>
      </c>
      <c r="B963" s="4" t="s">
        <v>43</v>
      </c>
      <c r="C963" s="4">
        <v>35</v>
      </c>
      <c r="D963" s="4" t="s">
        <v>45</v>
      </c>
      <c r="E963" s="4" t="s">
        <v>47</v>
      </c>
      <c r="F963" s="4">
        <v>4249</v>
      </c>
      <c r="G963" s="4" t="s">
        <v>35</v>
      </c>
      <c r="H963" s="4">
        <v>9</v>
      </c>
      <c r="I963" s="4">
        <v>1</v>
      </c>
      <c r="J963" s="4">
        <v>3</v>
      </c>
      <c r="K963" s="4">
        <v>3</v>
      </c>
      <c r="L963" s="4" t="str">
        <f t="shared" si="22"/>
        <v>NORMAL</v>
      </c>
      <c r="M963" s="4" t="str">
        <f t="shared" si="23"/>
        <v>HIGH</v>
      </c>
      <c r="N963" s="4" t="str">
        <f t="shared" si="24"/>
        <v>SENIOR</v>
      </c>
      <c r="O963" s="4" t="str">
        <f t="shared" si="25"/>
        <v>RECENTLY PROMOTED</v>
      </c>
      <c r="P963" s="5" t="str">
        <f t="shared" si="26"/>
        <v>Medium_Pressure</v>
      </c>
      <c r="Q963" s="4" t="str">
        <f t="shared" si="27"/>
        <v>HIGHLY_ENGAGED</v>
      </c>
      <c r="R963" s="4" t="str">
        <f t="shared" si="28"/>
        <v>LOW</v>
      </c>
      <c r="S963" s="2"/>
      <c r="T963" s="2"/>
      <c r="U963" s="2"/>
      <c r="V963" s="2"/>
      <c r="W963" s="2"/>
      <c r="X963" s="2"/>
      <c r="Y963" s="2"/>
      <c r="Z963" s="2"/>
    </row>
    <row r="964" spans="1:26" ht="16.8" x14ac:dyDescent="0.3">
      <c r="A964" s="4">
        <v>1352</v>
      </c>
      <c r="B964" s="4" t="s">
        <v>43</v>
      </c>
      <c r="C964" s="4">
        <v>51</v>
      </c>
      <c r="D964" s="4" t="s">
        <v>61</v>
      </c>
      <c r="E964" s="4" t="s">
        <v>56</v>
      </c>
      <c r="F964" s="4">
        <v>14026</v>
      </c>
      <c r="G964" s="4" t="s">
        <v>35</v>
      </c>
      <c r="H964" s="4">
        <v>33</v>
      </c>
      <c r="I964" s="4">
        <v>0</v>
      </c>
      <c r="J964" s="4">
        <v>2</v>
      </c>
      <c r="K964" s="4">
        <v>3</v>
      </c>
      <c r="L964" s="4" t="str">
        <f t="shared" si="22"/>
        <v>NORMAL</v>
      </c>
      <c r="M964" s="4" t="str">
        <f t="shared" si="23"/>
        <v>MEDIUM</v>
      </c>
      <c r="N964" s="4" t="str">
        <f t="shared" si="24"/>
        <v>SENIOR</v>
      </c>
      <c r="O964" s="4" t="str">
        <f t="shared" si="25"/>
        <v>RECENTLY PROMOTED</v>
      </c>
      <c r="P964" s="5" t="str">
        <f t="shared" si="26"/>
        <v>Medium_Pressure</v>
      </c>
      <c r="Q964" s="4" t="str">
        <f t="shared" si="27"/>
        <v>DISENGAGED</v>
      </c>
      <c r="R964" s="4" t="str">
        <f t="shared" si="28"/>
        <v>LOW</v>
      </c>
      <c r="S964" s="2"/>
      <c r="T964" s="2"/>
      <c r="U964" s="2"/>
      <c r="V964" s="2"/>
      <c r="W964" s="2"/>
      <c r="X964" s="2"/>
      <c r="Y964" s="2"/>
      <c r="Z964" s="2"/>
    </row>
    <row r="965" spans="1:26" ht="16.8" x14ac:dyDescent="0.3">
      <c r="A965" s="4">
        <v>1355</v>
      </c>
      <c r="B965" s="4" t="s">
        <v>43</v>
      </c>
      <c r="C965" s="4">
        <v>38</v>
      </c>
      <c r="D965" s="4" t="s">
        <v>37</v>
      </c>
      <c r="E965" s="4" t="s">
        <v>40</v>
      </c>
      <c r="F965" s="4">
        <v>6893</v>
      </c>
      <c r="G965" s="4" t="s">
        <v>43</v>
      </c>
      <c r="H965" s="4">
        <v>7</v>
      </c>
      <c r="I965" s="4">
        <v>1</v>
      </c>
      <c r="J965" s="4">
        <v>1</v>
      </c>
      <c r="K965" s="4">
        <v>3</v>
      </c>
      <c r="L965" s="4" t="str">
        <f t="shared" si="22"/>
        <v>NORMAL</v>
      </c>
      <c r="M965" s="4" t="str">
        <f t="shared" si="23"/>
        <v>HIGH</v>
      </c>
      <c r="N965" s="4" t="str">
        <f t="shared" si="24"/>
        <v>SENIOR</v>
      </c>
      <c r="O965" s="4" t="str">
        <f t="shared" si="25"/>
        <v>RECENTLY PROMOTED</v>
      </c>
      <c r="P965" s="5" t="str">
        <f t="shared" si="26"/>
        <v>Medium_Pressure</v>
      </c>
      <c r="Q965" s="4" t="str">
        <f t="shared" si="27"/>
        <v>DISENGAGED</v>
      </c>
      <c r="R965" s="4" t="str">
        <f t="shared" si="28"/>
        <v>LOW</v>
      </c>
      <c r="S965" s="2"/>
      <c r="T965" s="2"/>
      <c r="U965" s="2"/>
      <c r="V965" s="2"/>
      <c r="W965" s="2"/>
      <c r="X965" s="2"/>
      <c r="Y965" s="2"/>
      <c r="Z965" s="2"/>
    </row>
    <row r="966" spans="1:26" ht="16.8" x14ac:dyDescent="0.3">
      <c r="A966" s="4">
        <v>1356</v>
      </c>
      <c r="B966" s="4" t="s">
        <v>43</v>
      </c>
      <c r="C966" s="4">
        <v>34</v>
      </c>
      <c r="D966" s="4" t="s">
        <v>37</v>
      </c>
      <c r="E966" s="4" t="s">
        <v>40</v>
      </c>
      <c r="F966" s="4">
        <v>6125</v>
      </c>
      <c r="G966" s="4" t="s">
        <v>43</v>
      </c>
      <c r="H966" s="4">
        <v>10</v>
      </c>
      <c r="I966" s="4">
        <v>9</v>
      </c>
      <c r="J966" s="4">
        <v>1</v>
      </c>
      <c r="K966" s="4">
        <v>4</v>
      </c>
      <c r="L966" s="4" t="str">
        <f t="shared" si="22"/>
        <v>NORMAL</v>
      </c>
      <c r="M966" s="4" t="str">
        <f t="shared" si="23"/>
        <v>HIGH</v>
      </c>
      <c r="N966" s="4" t="str">
        <f t="shared" si="24"/>
        <v>SENIOR</v>
      </c>
      <c r="O966" s="4" t="str">
        <f t="shared" si="25"/>
        <v>STAGNANT</v>
      </c>
      <c r="P966" s="5" t="str">
        <f t="shared" si="26"/>
        <v>Low_Pressure</v>
      </c>
      <c r="Q966" s="4" t="str">
        <f t="shared" si="27"/>
        <v>DISENGAGED</v>
      </c>
      <c r="R966" s="4" t="str">
        <f t="shared" si="28"/>
        <v>LOW</v>
      </c>
      <c r="S966" s="2"/>
      <c r="T966" s="2"/>
      <c r="U966" s="2"/>
      <c r="V966" s="2"/>
      <c r="W966" s="2"/>
      <c r="X966" s="2"/>
      <c r="Y966" s="2"/>
      <c r="Z966" s="2"/>
    </row>
    <row r="967" spans="1:26" ht="16.8" x14ac:dyDescent="0.3">
      <c r="A967" s="4">
        <v>1358</v>
      </c>
      <c r="B967" s="4" t="s">
        <v>43</v>
      </c>
      <c r="C967" s="4">
        <v>25</v>
      </c>
      <c r="D967" s="4" t="s">
        <v>45</v>
      </c>
      <c r="E967" s="4" t="s">
        <v>50</v>
      </c>
      <c r="F967" s="4">
        <v>3669</v>
      </c>
      <c r="G967" s="4" t="s">
        <v>43</v>
      </c>
      <c r="H967" s="4">
        <v>3</v>
      </c>
      <c r="I967" s="4">
        <v>1</v>
      </c>
      <c r="J967" s="4">
        <v>4</v>
      </c>
      <c r="K967" s="4">
        <v>2</v>
      </c>
      <c r="L967" s="4" t="str">
        <f t="shared" si="22"/>
        <v>NORMAL</v>
      </c>
      <c r="M967" s="4" t="str">
        <f t="shared" si="23"/>
        <v>LOW</v>
      </c>
      <c r="N967" s="4" t="str">
        <f t="shared" si="24"/>
        <v>MID</v>
      </c>
      <c r="O967" s="4" t="str">
        <f t="shared" si="25"/>
        <v>RECENTLY PROMOTED</v>
      </c>
      <c r="P967" s="5" t="str">
        <f t="shared" si="26"/>
        <v>Low_Pressure</v>
      </c>
      <c r="Q967" s="4" t="str">
        <f t="shared" si="27"/>
        <v>DISENGAGED</v>
      </c>
      <c r="R967" s="4" t="str">
        <f t="shared" si="28"/>
        <v>LOW</v>
      </c>
      <c r="S967" s="2"/>
      <c r="T967" s="2"/>
      <c r="U967" s="2"/>
      <c r="V967" s="2"/>
      <c r="W967" s="2"/>
      <c r="X967" s="2"/>
      <c r="Y967" s="2"/>
      <c r="Z967" s="2"/>
    </row>
    <row r="968" spans="1:26" ht="16.8" x14ac:dyDescent="0.3">
      <c r="A968" s="4">
        <v>1360</v>
      </c>
      <c r="B968" s="4" t="s">
        <v>35</v>
      </c>
      <c r="C968" s="4">
        <v>58</v>
      </c>
      <c r="D968" s="4" t="s">
        <v>45</v>
      </c>
      <c r="E968" s="4" t="s">
        <v>53</v>
      </c>
      <c r="F968" s="4">
        <v>10008</v>
      </c>
      <c r="G968" s="4" t="s">
        <v>35</v>
      </c>
      <c r="H968" s="4">
        <v>10</v>
      </c>
      <c r="I968" s="4">
        <v>5</v>
      </c>
      <c r="J968" s="4">
        <v>1</v>
      </c>
      <c r="K968" s="4">
        <v>2</v>
      </c>
      <c r="L968" s="4" t="str">
        <f t="shared" si="22"/>
        <v>HIGH RISK</v>
      </c>
      <c r="M968" s="4" t="str">
        <f t="shared" si="23"/>
        <v>MEDIUM</v>
      </c>
      <c r="N968" s="4" t="str">
        <f t="shared" si="24"/>
        <v>SENIOR</v>
      </c>
      <c r="O968" s="4" t="str">
        <f t="shared" si="25"/>
        <v>STAGNANT</v>
      </c>
      <c r="P968" s="5" t="str">
        <f t="shared" si="26"/>
        <v>High_Pressure</v>
      </c>
      <c r="Q968" s="4" t="str">
        <f t="shared" si="27"/>
        <v>DISENGAGED</v>
      </c>
      <c r="R968" s="4" t="str">
        <f t="shared" si="28"/>
        <v>LOW</v>
      </c>
      <c r="S968" s="2"/>
      <c r="T968" s="2"/>
      <c r="U968" s="2"/>
      <c r="V968" s="2"/>
      <c r="W968" s="2"/>
      <c r="X968" s="2"/>
      <c r="Y968" s="2"/>
      <c r="Z968" s="2"/>
    </row>
    <row r="969" spans="1:26" ht="16.8" x14ac:dyDescent="0.3">
      <c r="A969" s="4">
        <v>1361</v>
      </c>
      <c r="B969" s="4" t="s">
        <v>43</v>
      </c>
      <c r="C969" s="4">
        <v>40</v>
      </c>
      <c r="D969" s="4" t="s">
        <v>45</v>
      </c>
      <c r="E969" s="4" t="s">
        <v>50</v>
      </c>
      <c r="F969" s="4">
        <v>2387</v>
      </c>
      <c r="G969" s="4" t="s">
        <v>43</v>
      </c>
      <c r="H969" s="4">
        <v>4</v>
      </c>
      <c r="I969" s="4">
        <v>0</v>
      </c>
      <c r="J969" s="4">
        <v>2</v>
      </c>
      <c r="K969" s="4">
        <v>3</v>
      </c>
      <c r="L969" s="4" t="str">
        <f t="shared" si="22"/>
        <v>NORMAL</v>
      </c>
      <c r="M969" s="4" t="str">
        <f t="shared" si="23"/>
        <v>LOW</v>
      </c>
      <c r="N969" s="4" t="str">
        <f t="shared" si="24"/>
        <v>MID</v>
      </c>
      <c r="O969" s="4" t="str">
        <f t="shared" si="25"/>
        <v>RECENTLY PROMOTED</v>
      </c>
      <c r="P969" s="5" t="str">
        <f t="shared" si="26"/>
        <v>Medium_Pressure</v>
      </c>
      <c r="Q969" s="4" t="str">
        <f t="shared" si="27"/>
        <v>DISENGAGED</v>
      </c>
      <c r="R969" s="4" t="str">
        <f t="shared" si="28"/>
        <v>LOW</v>
      </c>
      <c r="S969" s="2"/>
      <c r="T969" s="2"/>
      <c r="U969" s="2"/>
      <c r="V969" s="2"/>
      <c r="W969" s="2"/>
      <c r="X969" s="2"/>
      <c r="Y969" s="2"/>
      <c r="Z969" s="2"/>
    </row>
    <row r="970" spans="1:26" ht="16.8" x14ac:dyDescent="0.3">
      <c r="A970" s="4">
        <v>1362</v>
      </c>
      <c r="B970" s="4" t="s">
        <v>43</v>
      </c>
      <c r="C970" s="4">
        <v>36</v>
      </c>
      <c r="D970" s="4" t="s">
        <v>37</v>
      </c>
      <c r="E970" s="4" t="s">
        <v>40</v>
      </c>
      <c r="F970" s="4">
        <v>4639</v>
      </c>
      <c r="G970" s="4" t="s">
        <v>43</v>
      </c>
      <c r="H970" s="4">
        <v>15</v>
      </c>
      <c r="I970" s="4">
        <v>6</v>
      </c>
      <c r="J970" s="4">
        <v>1</v>
      </c>
      <c r="K970" s="4">
        <v>2</v>
      </c>
      <c r="L970" s="4" t="str">
        <f t="shared" si="22"/>
        <v>NORMAL</v>
      </c>
      <c r="M970" s="4" t="str">
        <f t="shared" si="23"/>
        <v>HIGH</v>
      </c>
      <c r="N970" s="4" t="str">
        <f t="shared" si="24"/>
        <v>SENIOR</v>
      </c>
      <c r="O970" s="4" t="str">
        <f t="shared" si="25"/>
        <v>STAGNANT</v>
      </c>
      <c r="P970" s="5" t="str">
        <f t="shared" si="26"/>
        <v>Low_Pressure</v>
      </c>
      <c r="Q970" s="4" t="str">
        <f t="shared" si="27"/>
        <v>DISENGAGED</v>
      </c>
      <c r="R970" s="4" t="str">
        <f t="shared" si="28"/>
        <v>LOW</v>
      </c>
      <c r="S970" s="2"/>
      <c r="T970" s="2"/>
      <c r="U970" s="2"/>
      <c r="V970" s="2"/>
      <c r="W970" s="2"/>
      <c r="X970" s="2"/>
      <c r="Y970" s="2"/>
      <c r="Z970" s="2"/>
    </row>
    <row r="971" spans="1:26" ht="16.8" x14ac:dyDescent="0.3">
      <c r="A971" s="4">
        <v>1363</v>
      </c>
      <c r="B971" s="4" t="s">
        <v>43</v>
      </c>
      <c r="C971" s="4">
        <v>48</v>
      </c>
      <c r="D971" s="4" t="s">
        <v>45</v>
      </c>
      <c r="E971" s="4" t="s">
        <v>53</v>
      </c>
      <c r="F971" s="4">
        <v>7898</v>
      </c>
      <c r="G971" s="4" t="s">
        <v>43</v>
      </c>
      <c r="H971" s="4">
        <v>10</v>
      </c>
      <c r="I971" s="4">
        <v>0</v>
      </c>
      <c r="J971" s="4">
        <v>4</v>
      </c>
      <c r="K971" s="4">
        <v>3</v>
      </c>
      <c r="L971" s="4" t="str">
        <f t="shared" si="22"/>
        <v>NORMAL</v>
      </c>
      <c r="M971" s="4" t="str">
        <f t="shared" si="23"/>
        <v>HIGH</v>
      </c>
      <c r="N971" s="4" t="str">
        <f t="shared" si="24"/>
        <v>SENIOR</v>
      </c>
      <c r="O971" s="4" t="str">
        <f t="shared" si="25"/>
        <v>RECENTLY PROMOTED</v>
      </c>
      <c r="P971" s="5" t="str">
        <f t="shared" si="26"/>
        <v>Medium_Pressure</v>
      </c>
      <c r="Q971" s="4" t="str">
        <f t="shared" si="27"/>
        <v>HIGHLY_ENGAGED</v>
      </c>
      <c r="R971" s="4" t="str">
        <f t="shared" si="28"/>
        <v>LOW</v>
      </c>
      <c r="S971" s="2"/>
      <c r="T971" s="2"/>
      <c r="U971" s="2"/>
      <c r="V971" s="2"/>
      <c r="W971" s="2"/>
      <c r="X971" s="2"/>
      <c r="Y971" s="2"/>
      <c r="Z971" s="2"/>
    </row>
    <row r="972" spans="1:26" ht="16.8" x14ac:dyDescent="0.3">
      <c r="A972" s="4">
        <v>1364</v>
      </c>
      <c r="B972" s="4" t="s">
        <v>43</v>
      </c>
      <c r="C972" s="4">
        <v>27</v>
      </c>
      <c r="D972" s="4" t="s">
        <v>37</v>
      </c>
      <c r="E972" s="4" t="s">
        <v>57</v>
      </c>
      <c r="F972" s="4">
        <v>2534</v>
      </c>
      <c r="G972" s="4" t="s">
        <v>43</v>
      </c>
      <c r="H972" s="4">
        <v>1</v>
      </c>
      <c r="I972" s="4">
        <v>0</v>
      </c>
      <c r="J972" s="4">
        <v>4</v>
      </c>
      <c r="K972" s="4">
        <v>3</v>
      </c>
      <c r="L972" s="4" t="str">
        <f t="shared" si="22"/>
        <v>NORMAL</v>
      </c>
      <c r="M972" s="4" t="str">
        <f t="shared" si="23"/>
        <v>LOW</v>
      </c>
      <c r="N972" s="4" t="str">
        <f t="shared" si="24"/>
        <v>NEW</v>
      </c>
      <c r="O972" s="4" t="str">
        <f t="shared" si="25"/>
        <v>RECENTLY PROMOTED</v>
      </c>
      <c r="P972" s="5" t="str">
        <f t="shared" si="26"/>
        <v>Medium_Pressure</v>
      </c>
      <c r="Q972" s="4" t="str">
        <f t="shared" si="27"/>
        <v>HIGHLY_ENGAGED</v>
      </c>
      <c r="R972" s="4" t="str">
        <f t="shared" si="28"/>
        <v>LOW</v>
      </c>
      <c r="S972" s="2"/>
      <c r="T972" s="2"/>
      <c r="U972" s="2"/>
      <c r="V972" s="2"/>
      <c r="W972" s="2"/>
      <c r="X972" s="2"/>
      <c r="Y972" s="2"/>
      <c r="Z972" s="2"/>
    </row>
    <row r="973" spans="1:26" ht="16.8" x14ac:dyDescent="0.3">
      <c r="A973" s="4">
        <v>1367</v>
      </c>
      <c r="B973" s="4" t="s">
        <v>43</v>
      </c>
      <c r="C973" s="4">
        <v>51</v>
      </c>
      <c r="D973" s="4" t="s">
        <v>45</v>
      </c>
      <c r="E973" s="4" t="s">
        <v>53</v>
      </c>
      <c r="F973" s="4">
        <v>13142</v>
      </c>
      <c r="G973" s="4" t="s">
        <v>43</v>
      </c>
      <c r="H973" s="4">
        <v>5</v>
      </c>
      <c r="I973" s="4">
        <v>0</v>
      </c>
      <c r="J973" s="4">
        <v>2</v>
      </c>
      <c r="K973" s="4">
        <v>2</v>
      </c>
      <c r="L973" s="4" t="str">
        <f t="shared" si="22"/>
        <v>NORMAL</v>
      </c>
      <c r="M973" s="4" t="str">
        <f t="shared" si="23"/>
        <v>MEDIUM</v>
      </c>
      <c r="N973" s="4" t="str">
        <f t="shared" si="24"/>
        <v>MID</v>
      </c>
      <c r="O973" s="4" t="str">
        <f t="shared" si="25"/>
        <v>RECENTLY PROMOTED</v>
      </c>
      <c r="P973" s="5" t="str">
        <f t="shared" si="26"/>
        <v>Low_Pressure</v>
      </c>
      <c r="Q973" s="4" t="str">
        <f t="shared" si="27"/>
        <v>DISENGAGED</v>
      </c>
      <c r="R973" s="4" t="str">
        <f t="shared" si="28"/>
        <v>LOW</v>
      </c>
      <c r="S973" s="2"/>
      <c r="T973" s="2"/>
      <c r="U973" s="2"/>
      <c r="V973" s="2"/>
      <c r="W973" s="2"/>
      <c r="X973" s="2"/>
      <c r="Y973" s="2"/>
      <c r="Z973" s="2"/>
    </row>
    <row r="974" spans="1:26" ht="16.8" x14ac:dyDescent="0.3">
      <c r="A974" s="4">
        <v>1368</v>
      </c>
      <c r="B974" s="4" t="s">
        <v>43</v>
      </c>
      <c r="C974" s="4">
        <v>18</v>
      </c>
      <c r="D974" s="4" t="s">
        <v>45</v>
      </c>
      <c r="E974" s="4" t="s">
        <v>50</v>
      </c>
      <c r="F974" s="4">
        <v>1611</v>
      </c>
      <c r="G974" s="4" t="s">
        <v>43</v>
      </c>
      <c r="H974" s="4">
        <v>0</v>
      </c>
      <c r="I974" s="4">
        <v>0</v>
      </c>
      <c r="J974" s="4">
        <v>4</v>
      </c>
      <c r="K974" s="4">
        <v>4</v>
      </c>
      <c r="L974" s="4" t="str">
        <f t="shared" si="22"/>
        <v>NORMAL</v>
      </c>
      <c r="M974" s="4" t="str">
        <f t="shared" si="23"/>
        <v>LOW</v>
      </c>
      <c r="N974" s="4" t="str">
        <f t="shared" si="24"/>
        <v>NEW</v>
      </c>
      <c r="O974" s="4" t="str">
        <f t="shared" si="25"/>
        <v>RECENTLY PROMOTED</v>
      </c>
      <c r="P974" s="5" t="str">
        <f t="shared" si="26"/>
        <v>Low_Pressure</v>
      </c>
      <c r="Q974" s="4" t="str">
        <f t="shared" si="27"/>
        <v>HIGHLY_ENGAGED</v>
      </c>
      <c r="R974" s="4" t="str">
        <f t="shared" si="28"/>
        <v>LOW</v>
      </c>
      <c r="S974" s="2"/>
      <c r="T974" s="2"/>
      <c r="U974" s="2"/>
      <c r="V974" s="2"/>
      <c r="W974" s="2"/>
      <c r="X974" s="2"/>
      <c r="Y974" s="2"/>
      <c r="Z974" s="2"/>
    </row>
    <row r="975" spans="1:26" ht="16.8" x14ac:dyDescent="0.3">
      <c r="A975" s="4">
        <v>1369</v>
      </c>
      <c r="B975" s="4" t="s">
        <v>43</v>
      </c>
      <c r="C975" s="4">
        <v>35</v>
      </c>
      <c r="D975" s="4" t="s">
        <v>45</v>
      </c>
      <c r="E975" s="4" t="s">
        <v>50</v>
      </c>
      <c r="F975" s="4">
        <v>5363</v>
      </c>
      <c r="G975" s="4" t="s">
        <v>43</v>
      </c>
      <c r="H975" s="4">
        <v>9</v>
      </c>
      <c r="I975" s="4">
        <v>0</v>
      </c>
      <c r="J975" s="4">
        <v>4</v>
      </c>
      <c r="K975" s="4">
        <v>3</v>
      </c>
      <c r="L975" s="4" t="str">
        <f t="shared" si="22"/>
        <v>NORMAL</v>
      </c>
      <c r="M975" s="4" t="str">
        <f t="shared" si="23"/>
        <v>HIGH</v>
      </c>
      <c r="N975" s="4" t="str">
        <f t="shared" si="24"/>
        <v>SENIOR</v>
      </c>
      <c r="O975" s="4" t="str">
        <f t="shared" si="25"/>
        <v>RECENTLY PROMOTED</v>
      </c>
      <c r="P975" s="5" t="str">
        <f t="shared" si="26"/>
        <v>Medium_Pressure</v>
      </c>
      <c r="Q975" s="4" t="str">
        <f t="shared" si="27"/>
        <v>HIGHLY_ENGAGED</v>
      </c>
      <c r="R975" s="4" t="str">
        <f t="shared" si="28"/>
        <v>LOW</v>
      </c>
      <c r="S975" s="2"/>
      <c r="T975" s="2"/>
      <c r="U975" s="2"/>
      <c r="V975" s="2"/>
      <c r="W975" s="2"/>
      <c r="X975" s="2"/>
      <c r="Y975" s="2"/>
      <c r="Z975" s="2"/>
    </row>
    <row r="976" spans="1:26" ht="16.8" x14ac:dyDescent="0.3">
      <c r="A976" s="4">
        <v>1371</v>
      </c>
      <c r="B976" s="4" t="s">
        <v>43</v>
      </c>
      <c r="C976" s="4">
        <v>27</v>
      </c>
      <c r="D976" s="4" t="s">
        <v>37</v>
      </c>
      <c r="E976" s="4" t="s">
        <v>40</v>
      </c>
      <c r="F976" s="4">
        <v>5071</v>
      </c>
      <c r="G976" s="4" t="s">
        <v>43</v>
      </c>
      <c r="H976" s="4">
        <v>6</v>
      </c>
      <c r="I976" s="4">
        <v>0</v>
      </c>
      <c r="J976" s="4">
        <v>4</v>
      </c>
      <c r="K976" s="4">
        <v>3</v>
      </c>
      <c r="L976" s="4" t="str">
        <f t="shared" si="22"/>
        <v>NORMAL</v>
      </c>
      <c r="M976" s="4" t="str">
        <f t="shared" si="23"/>
        <v>HIGH</v>
      </c>
      <c r="N976" s="4" t="str">
        <f t="shared" si="24"/>
        <v>MID</v>
      </c>
      <c r="O976" s="4" t="str">
        <f t="shared" si="25"/>
        <v>RECENTLY PROMOTED</v>
      </c>
      <c r="P976" s="5" t="str">
        <f t="shared" si="26"/>
        <v>Medium_Pressure</v>
      </c>
      <c r="Q976" s="4" t="str">
        <f t="shared" si="27"/>
        <v>HIGHLY_ENGAGED</v>
      </c>
      <c r="R976" s="4" t="str">
        <f t="shared" si="28"/>
        <v>LOW</v>
      </c>
      <c r="S976" s="2"/>
      <c r="T976" s="2"/>
      <c r="U976" s="2"/>
      <c r="V976" s="2"/>
      <c r="W976" s="2"/>
      <c r="X976" s="2"/>
      <c r="Y976" s="2"/>
      <c r="Z976" s="2"/>
    </row>
    <row r="977" spans="1:26" ht="16.8" x14ac:dyDescent="0.3">
      <c r="A977" s="4">
        <v>1372</v>
      </c>
      <c r="B977" s="4" t="s">
        <v>35</v>
      </c>
      <c r="C977" s="4">
        <v>55</v>
      </c>
      <c r="D977" s="4" t="s">
        <v>37</v>
      </c>
      <c r="E977" s="4" t="s">
        <v>40</v>
      </c>
      <c r="F977" s="4">
        <v>13695</v>
      </c>
      <c r="G977" s="4" t="s">
        <v>35</v>
      </c>
      <c r="H977" s="4">
        <v>19</v>
      </c>
      <c r="I977" s="4">
        <v>3</v>
      </c>
      <c r="J977" s="4">
        <v>3</v>
      </c>
      <c r="K977" s="4">
        <v>2</v>
      </c>
      <c r="L977" s="4" t="str">
        <f t="shared" si="22"/>
        <v>NORMAL</v>
      </c>
      <c r="M977" s="4" t="str">
        <f t="shared" si="23"/>
        <v>MEDIUM</v>
      </c>
      <c r="N977" s="4" t="str">
        <f t="shared" si="24"/>
        <v>SENIOR</v>
      </c>
      <c r="O977" s="4" t="str">
        <f t="shared" si="25"/>
        <v>MODERATE-WAIT</v>
      </c>
      <c r="P977" s="5" t="str">
        <f t="shared" si="26"/>
        <v>High_Pressure</v>
      </c>
      <c r="Q977" s="4" t="str">
        <f t="shared" si="27"/>
        <v>DISENGAGED</v>
      </c>
      <c r="R977" s="4" t="str">
        <f t="shared" si="28"/>
        <v>LOW</v>
      </c>
      <c r="S977" s="2"/>
      <c r="T977" s="2"/>
      <c r="U977" s="2"/>
      <c r="V977" s="2"/>
      <c r="W977" s="2"/>
      <c r="X977" s="2"/>
      <c r="Y977" s="2"/>
      <c r="Z977" s="2"/>
    </row>
    <row r="978" spans="1:26" ht="16.8" x14ac:dyDescent="0.3">
      <c r="A978" s="4">
        <v>1373</v>
      </c>
      <c r="B978" s="4" t="s">
        <v>43</v>
      </c>
      <c r="C978" s="4">
        <v>56</v>
      </c>
      <c r="D978" s="4" t="s">
        <v>45</v>
      </c>
      <c r="E978" s="4" t="s">
        <v>53</v>
      </c>
      <c r="F978" s="4">
        <v>13402</v>
      </c>
      <c r="G978" s="4" t="s">
        <v>35</v>
      </c>
      <c r="H978" s="4">
        <v>19</v>
      </c>
      <c r="I978" s="4">
        <v>15</v>
      </c>
      <c r="J978" s="4">
        <v>2</v>
      </c>
      <c r="K978" s="4">
        <v>3</v>
      </c>
      <c r="L978" s="4" t="str">
        <f t="shared" si="22"/>
        <v>HIGH RISK</v>
      </c>
      <c r="M978" s="4" t="str">
        <f t="shared" si="23"/>
        <v>MEDIUM</v>
      </c>
      <c r="N978" s="4" t="str">
        <f t="shared" si="24"/>
        <v>SENIOR</v>
      </c>
      <c r="O978" s="4" t="str">
        <f t="shared" si="25"/>
        <v>STAGNANT</v>
      </c>
      <c r="P978" s="5" t="str">
        <f t="shared" si="26"/>
        <v>Medium_Pressure</v>
      </c>
      <c r="Q978" s="4" t="str">
        <f t="shared" si="27"/>
        <v>DISENGAGED</v>
      </c>
      <c r="R978" s="4" t="str">
        <f t="shared" si="28"/>
        <v>LOW</v>
      </c>
      <c r="S978" s="2"/>
      <c r="T978" s="2"/>
      <c r="U978" s="2"/>
      <c r="V978" s="2"/>
      <c r="W978" s="2"/>
      <c r="X978" s="2"/>
      <c r="Y978" s="2"/>
      <c r="Z978" s="2"/>
    </row>
    <row r="979" spans="1:26" ht="16.8" x14ac:dyDescent="0.3">
      <c r="A979" s="4">
        <v>1374</v>
      </c>
      <c r="B979" s="4" t="s">
        <v>43</v>
      </c>
      <c r="C979" s="4">
        <v>34</v>
      </c>
      <c r="D979" s="4" t="s">
        <v>45</v>
      </c>
      <c r="E979" s="4" t="s">
        <v>47</v>
      </c>
      <c r="F979" s="4">
        <v>2029</v>
      </c>
      <c r="G979" s="4" t="s">
        <v>43</v>
      </c>
      <c r="H979" s="4">
        <v>5</v>
      </c>
      <c r="I979" s="4">
        <v>0</v>
      </c>
      <c r="J979" s="4">
        <v>3</v>
      </c>
      <c r="K979" s="4">
        <v>3</v>
      </c>
      <c r="L979" s="4" t="str">
        <f t="shared" si="22"/>
        <v>NORMAL</v>
      </c>
      <c r="M979" s="4" t="str">
        <f t="shared" si="23"/>
        <v>LOW</v>
      </c>
      <c r="N979" s="4" t="str">
        <f t="shared" si="24"/>
        <v>MID</v>
      </c>
      <c r="O979" s="4" t="str">
        <f t="shared" si="25"/>
        <v>RECENTLY PROMOTED</v>
      </c>
      <c r="P979" s="5" t="str">
        <f t="shared" si="26"/>
        <v>Medium_Pressure</v>
      </c>
      <c r="Q979" s="4" t="str">
        <f t="shared" si="27"/>
        <v>HIGHLY_ENGAGED</v>
      </c>
      <c r="R979" s="4" t="str">
        <f t="shared" si="28"/>
        <v>LOW</v>
      </c>
      <c r="S979" s="2"/>
      <c r="T979" s="2"/>
      <c r="U979" s="2"/>
      <c r="V979" s="2"/>
      <c r="W979" s="2"/>
      <c r="X979" s="2"/>
      <c r="Y979" s="2"/>
      <c r="Z979" s="2"/>
    </row>
    <row r="980" spans="1:26" ht="16.8" x14ac:dyDescent="0.3">
      <c r="A980" s="4">
        <v>1375</v>
      </c>
      <c r="B980" s="4" t="s">
        <v>43</v>
      </c>
      <c r="C980" s="4">
        <v>40</v>
      </c>
      <c r="D980" s="4" t="s">
        <v>45</v>
      </c>
      <c r="E980" s="4" t="s">
        <v>54</v>
      </c>
      <c r="F980" s="4">
        <v>6377</v>
      </c>
      <c r="G980" s="4" t="s">
        <v>43</v>
      </c>
      <c r="H980" s="4">
        <v>12</v>
      </c>
      <c r="I980" s="4">
        <v>11</v>
      </c>
      <c r="J980" s="4">
        <v>3</v>
      </c>
      <c r="K980" s="4">
        <v>3</v>
      </c>
      <c r="L980" s="4" t="str">
        <f t="shared" si="22"/>
        <v>NORMAL</v>
      </c>
      <c r="M980" s="4" t="str">
        <f t="shared" si="23"/>
        <v>HIGH</v>
      </c>
      <c r="N980" s="4" t="str">
        <f t="shared" si="24"/>
        <v>SENIOR</v>
      </c>
      <c r="O980" s="4" t="str">
        <f t="shared" si="25"/>
        <v>STAGNANT</v>
      </c>
      <c r="P980" s="5" t="str">
        <f t="shared" si="26"/>
        <v>Medium_Pressure</v>
      </c>
      <c r="Q980" s="4" t="str">
        <f t="shared" si="27"/>
        <v>HIGHLY_ENGAGED</v>
      </c>
      <c r="R980" s="4" t="str">
        <f t="shared" si="28"/>
        <v>LOW</v>
      </c>
      <c r="S980" s="2"/>
      <c r="T980" s="2"/>
      <c r="U980" s="2"/>
      <c r="V980" s="2"/>
      <c r="W980" s="2"/>
      <c r="X980" s="2"/>
      <c r="Y980" s="2"/>
      <c r="Z980" s="2"/>
    </row>
    <row r="981" spans="1:26" ht="16.8" x14ac:dyDescent="0.3">
      <c r="A981" s="4">
        <v>1377</v>
      </c>
      <c r="B981" s="4" t="s">
        <v>43</v>
      </c>
      <c r="C981" s="4">
        <v>34</v>
      </c>
      <c r="D981" s="4" t="s">
        <v>45</v>
      </c>
      <c r="E981" s="4" t="s">
        <v>50</v>
      </c>
      <c r="F981" s="4">
        <v>5429</v>
      </c>
      <c r="G981" s="4" t="s">
        <v>43</v>
      </c>
      <c r="H981" s="4">
        <v>8</v>
      </c>
      <c r="I981" s="4">
        <v>7</v>
      </c>
      <c r="J981" s="4">
        <v>3</v>
      </c>
      <c r="K981" s="4">
        <v>3</v>
      </c>
      <c r="L981" s="4" t="str">
        <f t="shared" si="22"/>
        <v>NORMAL</v>
      </c>
      <c r="M981" s="4" t="str">
        <f t="shared" si="23"/>
        <v>HIGH</v>
      </c>
      <c r="N981" s="4" t="str">
        <f t="shared" si="24"/>
        <v>SENIOR</v>
      </c>
      <c r="O981" s="4" t="str">
        <f t="shared" si="25"/>
        <v>STAGNANT</v>
      </c>
      <c r="P981" s="5" t="str">
        <f t="shared" si="26"/>
        <v>Medium_Pressure</v>
      </c>
      <c r="Q981" s="4" t="str">
        <f t="shared" si="27"/>
        <v>HIGHLY_ENGAGED</v>
      </c>
      <c r="R981" s="4" t="str">
        <f t="shared" si="28"/>
        <v>LOW</v>
      </c>
      <c r="S981" s="2"/>
      <c r="T981" s="2"/>
      <c r="U981" s="2"/>
      <c r="V981" s="2"/>
      <c r="W981" s="2"/>
      <c r="X981" s="2"/>
      <c r="Y981" s="2"/>
      <c r="Z981" s="2"/>
    </row>
    <row r="982" spans="1:26" ht="16.8" x14ac:dyDescent="0.3">
      <c r="A982" s="4">
        <v>1379</v>
      </c>
      <c r="B982" s="4" t="s">
        <v>35</v>
      </c>
      <c r="C982" s="4">
        <v>31</v>
      </c>
      <c r="D982" s="4" t="s">
        <v>37</v>
      </c>
      <c r="E982" s="4" t="s">
        <v>57</v>
      </c>
      <c r="F982" s="4">
        <v>2785</v>
      </c>
      <c r="G982" s="4" t="s">
        <v>43</v>
      </c>
      <c r="H982" s="4">
        <v>1</v>
      </c>
      <c r="I982" s="4">
        <v>0</v>
      </c>
      <c r="J982" s="4">
        <v>4</v>
      </c>
      <c r="K982" s="4">
        <v>4</v>
      </c>
      <c r="L982" s="4" t="str">
        <f t="shared" si="22"/>
        <v>NORMAL</v>
      </c>
      <c r="M982" s="4" t="str">
        <f t="shared" si="23"/>
        <v>LOW</v>
      </c>
      <c r="N982" s="4" t="str">
        <f t="shared" si="24"/>
        <v>NEW</v>
      </c>
      <c r="O982" s="4" t="str">
        <f t="shared" si="25"/>
        <v>RECENTLY PROMOTED</v>
      </c>
      <c r="P982" s="5" t="str">
        <f t="shared" si="26"/>
        <v>Low_Pressure</v>
      </c>
      <c r="Q982" s="4" t="str">
        <f t="shared" si="27"/>
        <v>HIGHLY_ENGAGED</v>
      </c>
      <c r="R982" s="4" t="str">
        <f t="shared" si="28"/>
        <v>LOW</v>
      </c>
      <c r="S982" s="2"/>
      <c r="T982" s="2"/>
      <c r="U982" s="2"/>
      <c r="V982" s="2"/>
      <c r="W982" s="2"/>
      <c r="X982" s="2"/>
      <c r="Y982" s="2"/>
      <c r="Z982" s="2"/>
    </row>
    <row r="983" spans="1:26" ht="16.8" x14ac:dyDescent="0.3">
      <c r="A983" s="4">
        <v>1380</v>
      </c>
      <c r="B983" s="4" t="s">
        <v>35</v>
      </c>
      <c r="C983" s="4">
        <v>35</v>
      </c>
      <c r="D983" s="4" t="s">
        <v>37</v>
      </c>
      <c r="E983" s="4" t="s">
        <v>40</v>
      </c>
      <c r="F983" s="4">
        <v>4614</v>
      </c>
      <c r="G983" s="4" t="s">
        <v>35</v>
      </c>
      <c r="H983" s="4">
        <v>4</v>
      </c>
      <c r="I983" s="4">
        <v>3</v>
      </c>
      <c r="J983" s="4">
        <v>3</v>
      </c>
      <c r="K983" s="4">
        <v>2</v>
      </c>
      <c r="L983" s="4" t="str">
        <f t="shared" si="22"/>
        <v>NORMAL</v>
      </c>
      <c r="M983" s="4" t="str">
        <f t="shared" si="23"/>
        <v>HIGH</v>
      </c>
      <c r="N983" s="4" t="str">
        <f t="shared" si="24"/>
        <v>MID</v>
      </c>
      <c r="O983" s="4" t="str">
        <f t="shared" si="25"/>
        <v>MODERATE-WAIT</v>
      </c>
      <c r="P983" s="5" t="str">
        <f t="shared" si="26"/>
        <v>High_Pressure</v>
      </c>
      <c r="Q983" s="4" t="str">
        <f t="shared" si="27"/>
        <v>DISENGAGED</v>
      </c>
      <c r="R983" s="4" t="str">
        <f t="shared" si="28"/>
        <v>LOW</v>
      </c>
      <c r="S983" s="2"/>
      <c r="T983" s="2"/>
      <c r="U983" s="2"/>
      <c r="V983" s="2"/>
      <c r="W983" s="2"/>
      <c r="X983" s="2"/>
      <c r="Y983" s="2"/>
      <c r="Z983" s="2"/>
    </row>
    <row r="984" spans="1:26" ht="16.8" x14ac:dyDescent="0.3">
      <c r="A984" s="4">
        <v>1382</v>
      </c>
      <c r="B984" s="4" t="s">
        <v>43</v>
      </c>
      <c r="C984" s="4">
        <v>38</v>
      </c>
      <c r="D984" s="4" t="s">
        <v>45</v>
      </c>
      <c r="E984" s="4" t="s">
        <v>47</v>
      </c>
      <c r="F984" s="4">
        <v>2610</v>
      </c>
      <c r="G984" s="4" t="s">
        <v>43</v>
      </c>
      <c r="H984" s="4">
        <v>4</v>
      </c>
      <c r="I984" s="4">
        <v>0</v>
      </c>
      <c r="J984" s="4">
        <v>3</v>
      </c>
      <c r="K984" s="4">
        <v>3</v>
      </c>
      <c r="L984" s="4" t="str">
        <f t="shared" si="22"/>
        <v>NORMAL</v>
      </c>
      <c r="M984" s="4" t="str">
        <f t="shared" si="23"/>
        <v>LOW</v>
      </c>
      <c r="N984" s="4" t="str">
        <f t="shared" si="24"/>
        <v>MID</v>
      </c>
      <c r="O984" s="4" t="str">
        <f t="shared" si="25"/>
        <v>RECENTLY PROMOTED</v>
      </c>
      <c r="P984" s="5" t="str">
        <f t="shared" si="26"/>
        <v>Medium_Pressure</v>
      </c>
      <c r="Q984" s="4" t="str">
        <f t="shared" si="27"/>
        <v>HIGHLY_ENGAGED</v>
      </c>
      <c r="R984" s="4" t="str">
        <f t="shared" si="28"/>
        <v>LOW</v>
      </c>
      <c r="S984" s="2"/>
      <c r="T984" s="2"/>
      <c r="U984" s="2"/>
      <c r="V984" s="2"/>
      <c r="W984" s="2"/>
      <c r="X984" s="2"/>
      <c r="Y984" s="2"/>
      <c r="Z984" s="2"/>
    </row>
    <row r="985" spans="1:26" ht="16.8" x14ac:dyDescent="0.3">
      <c r="A985" s="4">
        <v>1383</v>
      </c>
      <c r="B985" s="4" t="s">
        <v>43</v>
      </c>
      <c r="C985" s="4">
        <v>34</v>
      </c>
      <c r="D985" s="4" t="s">
        <v>45</v>
      </c>
      <c r="E985" s="4" t="s">
        <v>54</v>
      </c>
      <c r="F985" s="4">
        <v>6687</v>
      </c>
      <c r="G985" s="4" t="s">
        <v>43</v>
      </c>
      <c r="H985" s="4">
        <v>14</v>
      </c>
      <c r="I985" s="4">
        <v>4</v>
      </c>
      <c r="J985" s="4">
        <v>4</v>
      </c>
      <c r="K985" s="4">
        <v>4</v>
      </c>
      <c r="L985" s="4" t="str">
        <f t="shared" si="22"/>
        <v>NORMAL</v>
      </c>
      <c r="M985" s="4" t="str">
        <f t="shared" si="23"/>
        <v>HIGH</v>
      </c>
      <c r="N985" s="4" t="str">
        <f t="shared" si="24"/>
        <v>SENIOR</v>
      </c>
      <c r="O985" s="4" t="str">
        <f t="shared" si="25"/>
        <v>STAGNANT</v>
      </c>
      <c r="P985" s="5" t="str">
        <f t="shared" si="26"/>
        <v>Low_Pressure</v>
      </c>
      <c r="Q985" s="4" t="str">
        <f t="shared" si="27"/>
        <v>HIGHLY_ENGAGED</v>
      </c>
      <c r="R985" s="4" t="str">
        <f t="shared" si="28"/>
        <v>LOW</v>
      </c>
      <c r="S985" s="2"/>
      <c r="T985" s="2"/>
      <c r="U985" s="2"/>
      <c r="V985" s="2"/>
      <c r="W985" s="2"/>
      <c r="X985" s="2"/>
      <c r="Y985" s="2"/>
      <c r="Z985" s="2"/>
    </row>
    <row r="986" spans="1:26" ht="16.8" x14ac:dyDescent="0.3">
      <c r="A986" s="4">
        <v>1387</v>
      </c>
      <c r="B986" s="4" t="s">
        <v>43</v>
      </c>
      <c r="C986" s="4">
        <v>28</v>
      </c>
      <c r="D986" s="4" t="s">
        <v>37</v>
      </c>
      <c r="E986" s="4" t="s">
        <v>40</v>
      </c>
      <c r="F986" s="4">
        <v>4724</v>
      </c>
      <c r="G986" s="4" t="s">
        <v>43</v>
      </c>
      <c r="H986" s="4">
        <v>5</v>
      </c>
      <c r="I986" s="4">
        <v>0</v>
      </c>
      <c r="J986" s="4">
        <v>1</v>
      </c>
      <c r="K986" s="4">
        <v>3</v>
      </c>
      <c r="L986" s="4" t="str">
        <f t="shared" si="22"/>
        <v>NORMAL</v>
      </c>
      <c r="M986" s="4" t="str">
        <f t="shared" si="23"/>
        <v>HIGH</v>
      </c>
      <c r="N986" s="4" t="str">
        <f t="shared" si="24"/>
        <v>MID</v>
      </c>
      <c r="O986" s="4" t="str">
        <f t="shared" si="25"/>
        <v>RECENTLY PROMOTED</v>
      </c>
      <c r="P986" s="5" t="str">
        <f t="shared" si="26"/>
        <v>Medium_Pressure</v>
      </c>
      <c r="Q986" s="4" t="str">
        <f t="shared" si="27"/>
        <v>DISENGAGED</v>
      </c>
      <c r="R986" s="4" t="str">
        <f t="shared" si="28"/>
        <v>LOW</v>
      </c>
      <c r="S986" s="2"/>
      <c r="T986" s="2"/>
      <c r="U986" s="2"/>
      <c r="V986" s="2"/>
      <c r="W986" s="2"/>
      <c r="X986" s="2"/>
      <c r="Y986" s="2"/>
      <c r="Z986" s="2"/>
    </row>
    <row r="987" spans="1:26" ht="16.8" x14ac:dyDescent="0.3">
      <c r="A987" s="4">
        <v>1389</v>
      </c>
      <c r="B987" s="4" t="s">
        <v>35</v>
      </c>
      <c r="C987" s="4">
        <v>31</v>
      </c>
      <c r="D987" s="4" t="s">
        <v>45</v>
      </c>
      <c r="E987" s="4" t="s">
        <v>53</v>
      </c>
      <c r="F987" s="4">
        <v>6179</v>
      </c>
      <c r="G987" s="4" t="s">
        <v>35</v>
      </c>
      <c r="H987" s="4">
        <v>10</v>
      </c>
      <c r="I987" s="4">
        <v>6</v>
      </c>
      <c r="J987" s="4">
        <v>3</v>
      </c>
      <c r="K987" s="4">
        <v>2</v>
      </c>
      <c r="L987" s="4" t="str">
        <f t="shared" si="22"/>
        <v>NORMAL</v>
      </c>
      <c r="M987" s="4" t="str">
        <f t="shared" si="23"/>
        <v>HIGH</v>
      </c>
      <c r="N987" s="4" t="str">
        <f t="shared" si="24"/>
        <v>SENIOR</v>
      </c>
      <c r="O987" s="4" t="str">
        <f t="shared" si="25"/>
        <v>STAGNANT</v>
      </c>
      <c r="P987" s="5" t="str">
        <f t="shared" si="26"/>
        <v>High_Pressure</v>
      </c>
      <c r="Q987" s="4" t="str">
        <f t="shared" si="27"/>
        <v>DISENGAGED</v>
      </c>
      <c r="R987" s="4" t="str">
        <f t="shared" si="28"/>
        <v>LOW</v>
      </c>
      <c r="S987" s="2"/>
      <c r="T987" s="2"/>
      <c r="U987" s="2"/>
      <c r="V987" s="2"/>
      <c r="W987" s="2"/>
      <c r="X987" s="2"/>
      <c r="Y987" s="2"/>
      <c r="Z987" s="2"/>
    </row>
    <row r="988" spans="1:26" ht="16.8" x14ac:dyDescent="0.3">
      <c r="A988" s="4">
        <v>1390</v>
      </c>
      <c r="B988" s="4" t="s">
        <v>43</v>
      </c>
      <c r="C988" s="4">
        <v>39</v>
      </c>
      <c r="D988" s="4" t="s">
        <v>37</v>
      </c>
      <c r="E988" s="4" t="s">
        <v>40</v>
      </c>
      <c r="F988" s="4">
        <v>6120</v>
      </c>
      <c r="G988" s="4" t="s">
        <v>35</v>
      </c>
      <c r="H988" s="4">
        <v>5</v>
      </c>
      <c r="I988" s="4">
        <v>1</v>
      </c>
      <c r="J988" s="4">
        <v>4</v>
      </c>
      <c r="K988" s="4">
        <v>4</v>
      </c>
      <c r="L988" s="4" t="str">
        <f t="shared" si="22"/>
        <v>NORMAL</v>
      </c>
      <c r="M988" s="4" t="str">
        <f t="shared" si="23"/>
        <v>HIGH</v>
      </c>
      <c r="N988" s="4" t="str">
        <f t="shared" si="24"/>
        <v>MID</v>
      </c>
      <c r="O988" s="4" t="str">
        <f t="shared" si="25"/>
        <v>RECENTLY PROMOTED</v>
      </c>
      <c r="P988" s="5" t="str">
        <f t="shared" si="26"/>
        <v>Medium_Pressure</v>
      </c>
      <c r="Q988" s="4" t="str">
        <f t="shared" si="27"/>
        <v>HIGHLY_ENGAGED</v>
      </c>
      <c r="R988" s="4" t="str">
        <f t="shared" si="28"/>
        <v>LOW</v>
      </c>
      <c r="S988" s="2"/>
      <c r="T988" s="2"/>
      <c r="U988" s="2"/>
      <c r="V988" s="2"/>
      <c r="W988" s="2"/>
      <c r="X988" s="2"/>
      <c r="Y988" s="2"/>
      <c r="Z988" s="2"/>
    </row>
    <row r="989" spans="1:26" ht="16.8" x14ac:dyDescent="0.3">
      <c r="A989" s="4">
        <v>1391</v>
      </c>
      <c r="B989" s="4" t="s">
        <v>43</v>
      </c>
      <c r="C989" s="4">
        <v>51</v>
      </c>
      <c r="D989" s="4" t="s">
        <v>37</v>
      </c>
      <c r="E989" s="4" t="s">
        <v>40</v>
      </c>
      <c r="F989" s="4">
        <v>10596</v>
      </c>
      <c r="G989" s="4" t="s">
        <v>43</v>
      </c>
      <c r="H989" s="4">
        <v>4</v>
      </c>
      <c r="I989" s="4">
        <v>3</v>
      </c>
      <c r="J989" s="4">
        <v>2</v>
      </c>
      <c r="K989" s="4">
        <v>3</v>
      </c>
      <c r="L989" s="4" t="str">
        <f t="shared" si="22"/>
        <v>NORMAL</v>
      </c>
      <c r="M989" s="4" t="str">
        <f t="shared" si="23"/>
        <v>MEDIUM</v>
      </c>
      <c r="N989" s="4" t="str">
        <f t="shared" si="24"/>
        <v>MID</v>
      </c>
      <c r="O989" s="4" t="str">
        <f t="shared" si="25"/>
        <v>MODERATE-WAIT</v>
      </c>
      <c r="P989" s="5" t="str">
        <f t="shared" si="26"/>
        <v>Medium_Pressure</v>
      </c>
      <c r="Q989" s="4" t="str">
        <f t="shared" si="27"/>
        <v>DISENGAGED</v>
      </c>
      <c r="R989" s="4" t="str">
        <f t="shared" si="28"/>
        <v>LOW</v>
      </c>
      <c r="S989" s="2"/>
      <c r="T989" s="2"/>
      <c r="U989" s="2"/>
      <c r="V989" s="2"/>
      <c r="W989" s="2"/>
      <c r="X989" s="2"/>
      <c r="Y989" s="2"/>
      <c r="Z989" s="2"/>
    </row>
    <row r="990" spans="1:26" ht="16.8" x14ac:dyDescent="0.3">
      <c r="A990" s="4">
        <v>1392</v>
      </c>
      <c r="B990" s="4" t="s">
        <v>43</v>
      </c>
      <c r="C990" s="4">
        <v>41</v>
      </c>
      <c r="D990" s="4" t="s">
        <v>45</v>
      </c>
      <c r="E990" s="4" t="s">
        <v>47</v>
      </c>
      <c r="F990" s="4">
        <v>5467</v>
      </c>
      <c r="G990" s="4" t="s">
        <v>35</v>
      </c>
      <c r="H990" s="4">
        <v>6</v>
      </c>
      <c r="I990" s="4">
        <v>3</v>
      </c>
      <c r="J990" s="4">
        <v>4</v>
      </c>
      <c r="K990" s="4">
        <v>2</v>
      </c>
      <c r="L990" s="4" t="str">
        <f t="shared" si="22"/>
        <v>NORMAL</v>
      </c>
      <c r="M990" s="4" t="str">
        <f t="shared" si="23"/>
        <v>HIGH</v>
      </c>
      <c r="N990" s="4" t="str">
        <f t="shared" si="24"/>
        <v>MID</v>
      </c>
      <c r="O990" s="4" t="str">
        <f t="shared" si="25"/>
        <v>MODERATE-WAIT</v>
      </c>
      <c r="P990" s="5" t="str">
        <f t="shared" si="26"/>
        <v>High_Pressure</v>
      </c>
      <c r="Q990" s="4" t="str">
        <f t="shared" si="27"/>
        <v>DISENGAGED</v>
      </c>
      <c r="R990" s="4" t="str">
        <f t="shared" si="28"/>
        <v>LOW</v>
      </c>
      <c r="S990" s="2"/>
      <c r="T990" s="2"/>
      <c r="U990" s="2"/>
      <c r="V990" s="2"/>
      <c r="W990" s="2"/>
      <c r="X990" s="2"/>
      <c r="Y990" s="2"/>
      <c r="Z990" s="2"/>
    </row>
    <row r="991" spans="1:26" ht="16.8" x14ac:dyDescent="0.3">
      <c r="A991" s="4">
        <v>1394</v>
      </c>
      <c r="B991" s="4" t="s">
        <v>43</v>
      </c>
      <c r="C991" s="4">
        <v>37</v>
      </c>
      <c r="D991" s="4" t="s">
        <v>45</v>
      </c>
      <c r="E991" s="4" t="s">
        <v>47</v>
      </c>
      <c r="F991" s="4">
        <v>2996</v>
      </c>
      <c r="G991" s="4" t="s">
        <v>35</v>
      </c>
      <c r="H991" s="4">
        <v>6</v>
      </c>
      <c r="I991" s="4">
        <v>1</v>
      </c>
      <c r="J991" s="4">
        <v>3</v>
      </c>
      <c r="K991" s="4">
        <v>3</v>
      </c>
      <c r="L991" s="4" t="str">
        <f t="shared" si="22"/>
        <v>NORMAL</v>
      </c>
      <c r="M991" s="4" t="str">
        <f t="shared" si="23"/>
        <v>LOW</v>
      </c>
      <c r="N991" s="4" t="str">
        <f t="shared" si="24"/>
        <v>MID</v>
      </c>
      <c r="O991" s="4" t="str">
        <f t="shared" si="25"/>
        <v>RECENTLY PROMOTED</v>
      </c>
      <c r="P991" s="5" t="str">
        <f t="shared" si="26"/>
        <v>Medium_Pressure</v>
      </c>
      <c r="Q991" s="4" t="str">
        <f t="shared" si="27"/>
        <v>HIGHLY_ENGAGED</v>
      </c>
      <c r="R991" s="4" t="str">
        <f t="shared" si="28"/>
        <v>LOW</v>
      </c>
      <c r="S991" s="2"/>
      <c r="T991" s="2"/>
      <c r="U991" s="2"/>
      <c r="V991" s="2"/>
      <c r="W991" s="2"/>
      <c r="X991" s="2"/>
      <c r="Y991" s="2"/>
      <c r="Z991" s="2"/>
    </row>
    <row r="992" spans="1:26" ht="16.8" x14ac:dyDescent="0.3">
      <c r="A992" s="4">
        <v>1395</v>
      </c>
      <c r="B992" s="4" t="s">
        <v>43</v>
      </c>
      <c r="C992" s="4">
        <v>33</v>
      </c>
      <c r="D992" s="4" t="s">
        <v>37</v>
      </c>
      <c r="E992" s="4" t="s">
        <v>40</v>
      </c>
      <c r="F992" s="4">
        <v>9998</v>
      </c>
      <c r="G992" s="4" t="s">
        <v>43</v>
      </c>
      <c r="H992" s="4">
        <v>5</v>
      </c>
      <c r="I992" s="4">
        <v>1</v>
      </c>
      <c r="J992" s="4">
        <v>4</v>
      </c>
      <c r="K992" s="4">
        <v>4</v>
      </c>
      <c r="L992" s="4" t="str">
        <f t="shared" si="22"/>
        <v>NORMAL</v>
      </c>
      <c r="M992" s="4" t="str">
        <f t="shared" si="23"/>
        <v>MEDIUM</v>
      </c>
      <c r="N992" s="4" t="str">
        <f t="shared" si="24"/>
        <v>MID</v>
      </c>
      <c r="O992" s="4" t="str">
        <f t="shared" si="25"/>
        <v>RECENTLY PROMOTED</v>
      </c>
      <c r="P992" s="5" t="str">
        <f t="shared" si="26"/>
        <v>Low_Pressure</v>
      </c>
      <c r="Q992" s="4" t="str">
        <f t="shared" si="27"/>
        <v>HIGHLY_ENGAGED</v>
      </c>
      <c r="R992" s="4" t="str">
        <f t="shared" si="28"/>
        <v>LOW</v>
      </c>
      <c r="S992" s="2"/>
      <c r="T992" s="2"/>
      <c r="U992" s="2"/>
      <c r="V992" s="2"/>
      <c r="W992" s="2"/>
      <c r="X992" s="2"/>
      <c r="Y992" s="2"/>
      <c r="Z992" s="2"/>
    </row>
    <row r="993" spans="1:26" ht="16.8" x14ac:dyDescent="0.3">
      <c r="A993" s="4">
        <v>1396</v>
      </c>
      <c r="B993" s="4" t="s">
        <v>43</v>
      </c>
      <c r="C993" s="4">
        <v>32</v>
      </c>
      <c r="D993" s="4" t="s">
        <v>37</v>
      </c>
      <c r="E993" s="4" t="s">
        <v>40</v>
      </c>
      <c r="F993" s="4">
        <v>4078</v>
      </c>
      <c r="G993" s="4" t="s">
        <v>35</v>
      </c>
      <c r="H993" s="4">
        <v>3</v>
      </c>
      <c r="I993" s="4">
        <v>1</v>
      </c>
      <c r="J993" s="4">
        <v>2</v>
      </c>
      <c r="K993" s="4">
        <v>2</v>
      </c>
      <c r="L993" s="4" t="str">
        <f t="shared" si="22"/>
        <v>NORMAL</v>
      </c>
      <c r="M993" s="4" t="str">
        <f t="shared" si="23"/>
        <v>HIGH</v>
      </c>
      <c r="N993" s="4" t="str">
        <f t="shared" si="24"/>
        <v>MID</v>
      </c>
      <c r="O993" s="4" t="str">
        <f t="shared" si="25"/>
        <v>RECENTLY PROMOTED</v>
      </c>
      <c r="P993" s="5" t="str">
        <f t="shared" si="26"/>
        <v>High_Pressure</v>
      </c>
      <c r="Q993" s="4" t="str">
        <f t="shared" si="27"/>
        <v>DISENGAGED</v>
      </c>
      <c r="R993" s="4" t="str">
        <f t="shared" si="28"/>
        <v>LOW</v>
      </c>
      <c r="S993" s="2"/>
      <c r="T993" s="2"/>
      <c r="U993" s="2"/>
      <c r="V993" s="2"/>
      <c r="W993" s="2"/>
      <c r="X993" s="2"/>
      <c r="Y993" s="2"/>
      <c r="Z993" s="2"/>
    </row>
    <row r="994" spans="1:26" ht="16.8" x14ac:dyDescent="0.3">
      <c r="A994" s="4">
        <v>1397</v>
      </c>
      <c r="B994" s="4" t="s">
        <v>43</v>
      </c>
      <c r="C994" s="4">
        <v>39</v>
      </c>
      <c r="D994" s="4" t="s">
        <v>45</v>
      </c>
      <c r="E994" s="4" t="s">
        <v>54</v>
      </c>
      <c r="F994" s="4">
        <v>10920</v>
      </c>
      <c r="G994" s="4" t="s">
        <v>43</v>
      </c>
      <c r="H994" s="4">
        <v>6</v>
      </c>
      <c r="I994" s="4">
        <v>0</v>
      </c>
      <c r="J994" s="4">
        <v>3</v>
      </c>
      <c r="K994" s="4">
        <v>3</v>
      </c>
      <c r="L994" s="4" t="str">
        <f t="shared" si="22"/>
        <v>NORMAL</v>
      </c>
      <c r="M994" s="4" t="str">
        <f t="shared" si="23"/>
        <v>MEDIUM</v>
      </c>
      <c r="N994" s="4" t="str">
        <f t="shared" si="24"/>
        <v>MID</v>
      </c>
      <c r="O994" s="4" t="str">
        <f t="shared" si="25"/>
        <v>RECENTLY PROMOTED</v>
      </c>
      <c r="P994" s="5" t="str">
        <f t="shared" si="26"/>
        <v>Medium_Pressure</v>
      </c>
      <c r="Q994" s="4" t="str">
        <f t="shared" si="27"/>
        <v>HIGHLY_ENGAGED</v>
      </c>
      <c r="R994" s="4" t="str">
        <f t="shared" si="28"/>
        <v>LOW</v>
      </c>
      <c r="S994" s="2"/>
      <c r="T994" s="2"/>
      <c r="U994" s="2"/>
      <c r="V994" s="2"/>
      <c r="W994" s="2"/>
      <c r="X994" s="2"/>
      <c r="Y994" s="2"/>
      <c r="Z994" s="2"/>
    </row>
    <row r="995" spans="1:26" ht="16.8" x14ac:dyDescent="0.3">
      <c r="A995" s="4">
        <v>1399</v>
      </c>
      <c r="B995" s="4" t="s">
        <v>43</v>
      </c>
      <c r="C995" s="4">
        <v>25</v>
      </c>
      <c r="D995" s="4" t="s">
        <v>37</v>
      </c>
      <c r="E995" s="4" t="s">
        <v>40</v>
      </c>
      <c r="F995" s="4">
        <v>6232</v>
      </c>
      <c r="G995" s="4" t="s">
        <v>43</v>
      </c>
      <c r="H995" s="4">
        <v>3</v>
      </c>
      <c r="I995" s="4">
        <v>1</v>
      </c>
      <c r="J995" s="4">
        <v>3</v>
      </c>
      <c r="K995" s="4">
        <v>2</v>
      </c>
      <c r="L995" s="4" t="str">
        <f t="shared" si="22"/>
        <v>NORMAL</v>
      </c>
      <c r="M995" s="4" t="str">
        <f t="shared" si="23"/>
        <v>HIGH</v>
      </c>
      <c r="N995" s="4" t="str">
        <f t="shared" si="24"/>
        <v>MID</v>
      </c>
      <c r="O995" s="4" t="str">
        <f t="shared" si="25"/>
        <v>RECENTLY PROMOTED</v>
      </c>
      <c r="P995" s="5" t="str">
        <f t="shared" si="26"/>
        <v>Low_Pressure</v>
      </c>
      <c r="Q995" s="4" t="str">
        <f t="shared" si="27"/>
        <v>DISENGAGED</v>
      </c>
      <c r="R995" s="4" t="str">
        <f t="shared" si="28"/>
        <v>LOW</v>
      </c>
      <c r="S995" s="2"/>
      <c r="T995" s="2"/>
      <c r="U995" s="2"/>
      <c r="V995" s="2"/>
      <c r="W995" s="2"/>
      <c r="X995" s="2"/>
      <c r="Y995" s="2"/>
      <c r="Z995" s="2"/>
    </row>
    <row r="996" spans="1:26" ht="16.8" x14ac:dyDescent="0.3">
      <c r="A996" s="4">
        <v>1401</v>
      </c>
      <c r="B996" s="4" t="s">
        <v>43</v>
      </c>
      <c r="C996" s="4">
        <v>52</v>
      </c>
      <c r="D996" s="4" t="s">
        <v>45</v>
      </c>
      <c r="E996" s="4" t="s">
        <v>53</v>
      </c>
      <c r="F996" s="4">
        <v>13247</v>
      </c>
      <c r="G996" s="4" t="s">
        <v>35</v>
      </c>
      <c r="H996" s="4">
        <v>5</v>
      </c>
      <c r="I996" s="4">
        <v>0</v>
      </c>
      <c r="J996" s="4">
        <v>3</v>
      </c>
      <c r="K996" s="4">
        <v>2</v>
      </c>
      <c r="L996" s="4" t="str">
        <f t="shared" si="22"/>
        <v>NORMAL</v>
      </c>
      <c r="M996" s="4" t="str">
        <f t="shared" si="23"/>
        <v>MEDIUM</v>
      </c>
      <c r="N996" s="4" t="str">
        <f t="shared" si="24"/>
        <v>MID</v>
      </c>
      <c r="O996" s="4" t="str">
        <f t="shared" si="25"/>
        <v>RECENTLY PROMOTED</v>
      </c>
      <c r="P996" s="5" t="str">
        <f t="shared" si="26"/>
        <v>High_Pressure</v>
      </c>
      <c r="Q996" s="4" t="str">
        <f t="shared" si="27"/>
        <v>DISENGAGED</v>
      </c>
      <c r="R996" s="4" t="str">
        <f t="shared" si="28"/>
        <v>LOW</v>
      </c>
      <c r="S996" s="2"/>
      <c r="T996" s="2"/>
      <c r="U996" s="2"/>
      <c r="V996" s="2"/>
      <c r="W996" s="2"/>
      <c r="X996" s="2"/>
      <c r="Y996" s="2"/>
      <c r="Z996" s="2"/>
    </row>
    <row r="997" spans="1:26" ht="16.8" x14ac:dyDescent="0.3">
      <c r="A997" s="4">
        <v>1402</v>
      </c>
      <c r="B997" s="4" t="s">
        <v>43</v>
      </c>
      <c r="C997" s="4">
        <v>43</v>
      </c>
      <c r="D997" s="4" t="s">
        <v>45</v>
      </c>
      <c r="E997" s="4" t="s">
        <v>47</v>
      </c>
      <c r="F997" s="4">
        <v>4081</v>
      </c>
      <c r="G997" s="4" t="s">
        <v>35</v>
      </c>
      <c r="H997" s="4">
        <v>20</v>
      </c>
      <c r="I997" s="4">
        <v>1</v>
      </c>
      <c r="J997" s="4">
        <v>3</v>
      </c>
      <c r="K997" s="4">
        <v>1</v>
      </c>
      <c r="L997" s="4" t="str">
        <f t="shared" si="22"/>
        <v>NORMAL</v>
      </c>
      <c r="M997" s="4" t="str">
        <f t="shared" si="23"/>
        <v>HIGH</v>
      </c>
      <c r="N997" s="4" t="str">
        <f t="shared" si="24"/>
        <v>SENIOR</v>
      </c>
      <c r="O997" s="4" t="str">
        <f t="shared" si="25"/>
        <v>RECENTLY PROMOTED</v>
      </c>
      <c r="P997" s="5" t="str">
        <f t="shared" si="26"/>
        <v>High_Pressure</v>
      </c>
      <c r="Q997" s="4" t="str">
        <f t="shared" si="27"/>
        <v>DISENGAGED</v>
      </c>
      <c r="R997" s="4" t="str">
        <f t="shared" si="28"/>
        <v>LOW</v>
      </c>
      <c r="S997" s="2"/>
      <c r="T997" s="2"/>
      <c r="U997" s="2"/>
      <c r="V997" s="2"/>
      <c r="W997" s="2"/>
      <c r="X997" s="2"/>
      <c r="Y997" s="2"/>
      <c r="Z997" s="2"/>
    </row>
    <row r="998" spans="1:26" ht="16.8" x14ac:dyDescent="0.3">
      <c r="A998" s="4">
        <v>1403</v>
      </c>
      <c r="B998" s="4" t="s">
        <v>43</v>
      </c>
      <c r="C998" s="4">
        <v>27</v>
      </c>
      <c r="D998" s="4" t="s">
        <v>37</v>
      </c>
      <c r="E998" s="4" t="s">
        <v>40</v>
      </c>
      <c r="F998" s="4">
        <v>5769</v>
      </c>
      <c r="G998" s="4" t="s">
        <v>35</v>
      </c>
      <c r="H998" s="4">
        <v>6</v>
      </c>
      <c r="I998" s="4">
        <v>4</v>
      </c>
      <c r="J998" s="4">
        <v>4</v>
      </c>
      <c r="K998" s="4">
        <v>3</v>
      </c>
      <c r="L998" s="4" t="str">
        <f t="shared" si="22"/>
        <v>NORMAL</v>
      </c>
      <c r="M998" s="4" t="str">
        <f t="shared" si="23"/>
        <v>HIGH</v>
      </c>
      <c r="N998" s="4" t="str">
        <f t="shared" si="24"/>
        <v>MID</v>
      </c>
      <c r="O998" s="4" t="str">
        <f t="shared" si="25"/>
        <v>STAGNANT</v>
      </c>
      <c r="P998" s="5" t="str">
        <f t="shared" si="26"/>
        <v>Medium_Pressure</v>
      </c>
      <c r="Q998" s="4" t="str">
        <f t="shared" si="27"/>
        <v>HIGHLY_ENGAGED</v>
      </c>
      <c r="R998" s="4" t="str">
        <f t="shared" si="28"/>
        <v>LOW</v>
      </c>
      <c r="S998" s="2"/>
      <c r="T998" s="2"/>
      <c r="U998" s="2"/>
      <c r="V998" s="2"/>
      <c r="W998" s="2"/>
      <c r="X998" s="2"/>
      <c r="Y998" s="2"/>
      <c r="Z998" s="2"/>
    </row>
    <row r="999" spans="1:26" ht="16.8" x14ac:dyDescent="0.3">
      <c r="A999" s="4">
        <v>1405</v>
      </c>
      <c r="B999" s="4" t="s">
        <v>35</v>
      </c>
      <c r="C999" s="4">
        <v>27</v>
      </c>
      <c r="D999" s="4" t="s">
        <v>45</v>
      </c>
      <c r="E999" s="4" t="s">
        <v>47</v>
      </c>
      <c r="F999" s="4">
        <v>2394</v>
      </c>
      <c r="G999" s="4" t="s">
        <v>35</v>
      </c>
      <c r="H999" s="4">
        <v>8</v>
      </c>
      <c r="I999" s="4">
        <v>7</v>
      </c>
      <c r="J999" s="4">
        <v>3</v>
      </c>
      <c r="K999" s="4">
        <v>3</v>
      </c>
      <c r="L999" s="4" t="str">
        <f t="shared" si="22"/>
        <v>NORMAL</v>
      </c>
      <c r="M999" s="4" t="str">
        <f t="shared" si="23"/>
        <v>LOW</v>
      </c>
      <c r="N999" s="4" t="str">
        <f t="shared" si="24"/>
        <v>SENIOR</v>
      </c>
      <c r="O999" s="4" t="str">
        <f t="shared" si="25"/>
        <v>STAGNANT</v>
      </c>
      <c r="P999" s="5" t="str">
        <f t="shared" si="26"/>
        <v>Medium_Pressure</v>
      </c>
      <c r="Q999" s="4" t="str">
        <f t="shared" si="27"/>
        <v>HIGHLY_ENGAGED</v>
      </c>
      <c r="R999" s="4" t="str">
        <f t="shared" si="28"/>
        <v>LOW</v>
      </c>
      <c r="S999" s="2"/>
      <c r="T999" s="2"/>
      <c r="U999" s="2"/>
      <c r="V999" s="2"/>
      <c r="W999" s="2"/>
      <c r="X999" s="2"/>
      <c r="Y999" s="2"/>
      <c r="Z999" s="2"/>
    </row>
    <row r="1000" spans="1:26" ht="16.8" x14ac:dyDescent="0.3">
      <c r="A1000" s="4">
        <v>1407</v>
      </c>
      <c r="B1000" s="4" t="s">
        <v>43</v>
      </c>
      <c r="C1000" s="4">
        <v>26</v>
      </c>
      <c r="D1000" s="4" t="s">
        <v>45</v>
      </c>
      <c r="E1000" s="4" t="s">
        <v>47</v>
      </c>
      <c r="F1000" s="4">
        <v>3904</v>
      </c>
      <c r="G1000" s="4" t="s">
        <v>43</v>
      </c>
      <c r="H1000" s="4">
        <v>4</v>
      </c>
      <c r="I1000" s="4">
        <v>1</v>
      </c>
      <c r="J1000" s="4">
        <v>4</v>
      </c>
      <c r="K1000" s="4">
        <v>3</v>
      </c>
      <c r="L1000" s="4" t="str">
        <f t="shared" si="22"/>
        <v>NORMAL</v>
      </c>
      <c r="M1000" s="4" t="str">
        <f t="shared" si="23"/>
        <v>LOW</v>
      </c>
      <c r="N1000" s="4" t="str">
        <f t="shared" si="24"/>
        <v>MID</v>
      </c>
      <c r="O1000" s="4" t="str">
        <f t="shared" si="25"/>
        <v>RECENTLY PROMOTED</v>
      </c>
      <c r="P1000" s="5" t="str">
        <f t="shared" si="26"/>
        <v>Medium_Pressure</v>
      </c>
      <c r="Q1000" s="4" t="str">
        <f t="shared" si="27"/>
        <v>HIGHLY_ENGAGED</v>
      </c>
      <c r="R1000" s="4" t="str">
        <f t="shared" si="28"/>
        <v>LOW</v>
      </c>
      <c r="S1000" s="2"/>
      <c r="T1000" s="2"/>
      <c r="U1000" s="2"/>
      <c r="V1000" s="2"/>
      <c r="W1000" s="2"/>
      <c r="X1000" s="2"/>
      <c r="Y1000" s="2"/>
      <c r="Z1000" s="2"/>
    </row>
    <row r="1001" spans="1:26" ht="16.8" x14ac:dyDescent="0.3">
      <c r="A1001" s="4">
        <v>1408</v>
      </c>
      <c r="B1001" s="4" t="s">
        <v>43</v>
      </c>
      <c r="C1001" s="4">
        <v>42</v>
      </c>
      <c r="D1001" s="4" t="s">
        <v>61</v>
      </c>
      <c r="E1001" s="4" t="s">
        <v>56</v>
      </c>
      <c r="F1001" s="4">
        <v>16799</v>
      </c>
      <c r="G1001" s="4" t="s">
        <v>43</v>
      </c>
      <c r="H1001" s="4">
        <v>20</v>
      </c>
      <c r="I1001" s="4">
        <v>0</v>
      </c>
      <c r="J1001" s="4">
        <v>1</v>
      </c>
      <c r="K1001" s="4">
        <v>3</v>
      </c>
      <c r="L1001" s="4" t="str">
        <f t="shared" si="22"/>
        <v>NORMAL</v>
      </c>
      <c r="M1001" s="4" t="str">
        <f t="shared" si="23"/>
        <v>MEDIUM</v>
      </c>
      <c r="N1001" s="4" t="str">
        <f t="shared" si="24"/>
        <v>SENIOR</v>
      </c>
      <c r="O1001" s="4" t="str">
        <f t="shared" si="25"/>
        <v>RECENTLY PROMOTED</v>
      </c>
      <c r="P1001" s="5" t="str">
        <f t="shared" si="26"/>
        <v>Medium_Pressure</v>
      </c>
      <c r="Q1001" s="4" t="str">
        <f t="shared" si="27"/>
        <v>DISENGAGED</v>
      </c>
      <c r="R1001" s="4" t="str">
        <f t="shared" si="28"/>
        <v>LOW</v>
      </c>
      <c r="S1001" s="2"/>
      <c r="T1001" s="2"/>
      <c r="U1001" s="2"/>
      <c r="V1001" s="2"/>
      <c r="W1001" s="2"/>
      <c r="X1001" s="2"/>
      <c r="Y1001" s="2"/>
      <c r="Z1001" s="2"/>
    </row>
    <row r="1002" spans="1:26" ht="16.8" x14ac:dyDescent="0.3">
      <c r="A1002" s="4">
        <v>1409</v>
      </c>
      <c r="B1002" s="4" t="s">
        <v>43</v>
      </c>
      <c r="C1002" s="4">
        <v>52</v>
      </c>
      <c r="D1002" s="4" t="s">
        <v>45</v>
      </c>
      <c r="E1002" s="4" t="s">
        <v>50</v>
      </c>
      <c r="F1002" s="4">
        <v>2950</v>
      </c>
      <c r="G1002" s="4" t="s">
        <v>43</v>
      </c>
      <c r="H1002" s="4">
        <v>5</v>
      </c>
      <c r="I1002" s="4">
        <v>0</v>
      </c>
      <c r="J1002" s="4">
        <v>1</v>
      </c>
      <c r="K1002" s="4">
        <v>1</v>
      </c>
      <c r="L1002" s="4" t="str">
        <f t="shared" si="22"/>
        <v>NORMAL</v>
      </c>
      <c r="M1002" s="4" t="str">
        <f t="shared" si="23"/>
        <v>LOW</v>
      </c>
      <c r="N1002" s="4" t="str">
        <f t="shared" si="24"/>
        <v>MID</v>
      </c>
      <c r="O1002" s="4" t="str">
        <f t="shared" si="25"/>
        <v>RECENTLY PROMOTED</v>
      </c>
      <c r="P1002" s="5" t="str">
        <f t="shared" si="26"/>
        <v>Low_Pressure</v>
      </c>
      <c r="Q1002" s="4" t="str">
        <f t="shared" si="27"/>
        <v>DISENGAGED</v>
      </c>
      <c r="R1002" s="4" t="str">
        <f t="shared" si="28"/>
        <v>LOW</v>
      </c>
      <c r="S1002" s="2"/>
      <c r="T1002" s="2"/>
      <c r="U1002" s="2"/>
      <c r="V1002" s="2"/>
      <c r="W1002" s="2"/>
      <c r="X1002" s="2"/>
      <c r="Y1002" s="2"/>
      <c r="Z1002" s="2"/>
    </row>
    <row r="1003" spans="1:26" ht="16.8" x14ac:dyDescent="0.3">
      <c r="A1003" s="4">
        <v>1411</v>
      </c>
      <c r="B1003" s="4" t="s">
        <v>43</v>
      </c>
      <c r="C1003" s="4">
        <v>37</v>
      </c>
      <c r="D1003" s="4" t="s">
        <v>45</v>
      </c>
      <c r="E1003" s="4" t="s">
        <v>50</v>
      </c>
      <c r="F1003" s="4">
        <v>3629</v>
      </c>
      <c r="G1003" s="4" t="s">
        <v>43</v>
      </c>
      <c r="H1003" s="4">
        <v>3</v>
      </c>
      <c r="I1003" s="4">
        <v>0</v>
      </c>
      <c r="J1003" s="4">
        <v>3</v>
      </c>
      <c r="K1003" s="4">
        <v>3</v>
      </c>
      <c r="L1003" s="4" t="str">
        <f t="shared" si="22"/>
        <v>NORMAL</v>
      </c>
      <c r="M1003" s="4" t="str">
        <f t="shared" si="23"/>
        <v>LOW</v>
      </c>
      <c r="N1003" s="4" t="str">
        <f t="shared" si="24"/>
        <v>MID</v>
      </c>
      <c r="O1003" s="4" t="str">
        <f t="shared" si="25"/>
        <v>RECENTLY PROMOTED</v>
      </c>
      <c r="P1003" s="5" t="str">
        <f t="shared" si="26"/>
        <v>Medium_Pressure</v>
      </c>
      <c r="Q1003" s="4" t="str">
        <f t="shared" si="27"/>
        <v>HIGHLY_ENGAGED</v>
      </c>
      <c r="R1003" s="4" t="str">
        <f t="shared" si="28"/>
        <v>LOW</v>
      </c>
      <c r="S1003" s="2"/>
      <c r="T1003" s="2"/>
      <c r="U1003" s="2"/>
      <c r="V1003" s="2"/>
      <c r="W1003" s="2"/>
      <c r="X1003" s="2"/>
      <c r="Y1003" s="2"/>
      <c r="Z1003" s="2"/>
    </row>
    <row r="1004" spans="1:26" ht="16.8" x14ac:dyDescent="0.3">
      <c r="A1004" s="4">
        <v>1412</v>
      </c>
      <c r="B1004" s="4" t="s">
        <v>43</v>
      </c>
      <c r="C1004" s="4">
        <v>35</v>
      </c>
      <c r="D1004" s="4" t="s">
        <v>45</v>
      </c>
      <c r="E1004" s="4" t="s">
        <v>53</v>
      </c>
      <c r="F1004" s="4">
        <v>9362</v>
      </c>
      <c r="G1004" s="4" t="s">
        <v>43</v>
      </c>
      <c r="H1004" s="4">
        <v>2</v>
      </c>
      <c r="I1004" s="4">
        <v>2</v>
      </c>
      <c r="J1004" s="4">
        <v>4</v>
      </c>
      <c r="K1004" s="4">
        <v>3</v>
      </c>
      <c r="L1004" s="4" t="str">
        <f t="shared" si="22"/>
        <v>NORMAL</v>
      </c>
      <c r="M1004" s="4" t="str">
        <f t="shared" si="23"/>
        <v>MEDIUM</v>
      </c>
      <c r="N1004" s="4" t="str">
        <f t="shared" si="24"/>
        <v>NEW</v>
      </c>
      <c r="O1004" s="4" t="str">
        <f t="shared" si="25"/>
        <v>MODERATE-WAIT</v>
      </c>
      <c r="P1004" s="5" t="str">
        <f t="shared" si="26"/>
        <v>Medium_Pressure</v>
      </c>
      <c r="Q1004" s="4" t="str">
        <f t="shared" si="27"/>
        <v>HIGHLY_ENGAGED</v>
      </c>
      <c r="R1004" s="4" t="str">
        <f t="shared" si="28"/>
        <v>LOW</v>
      </c>
      <c r="S1004" s="2"/>
      <c r="T1004" s="2"/>
      <c r="U1004" s="2"/>
      <c r="V1004" s="2"/>
      <c r="W1004" s="2"/>
      <c r="X1004" s="2"/>
      <c r="Y1004" s="2"/>
      <c r="Z1004" s="2"/>
    </row>
    <row r="1005" spans="1:26" ht="16.8" x14ac:dyDescent="0.3">
      <c r="A1005" s="4">
        <v>1415</v>
      </c>
      <c r="B1005" s="4" t="s">
        <v>43</v>
      </c>
      <c r="C1005" s="4">
        <v>25</v>
      </c>
      <c r="D1005" s="4" t="s">
        <v>45</v>
      </c>
      <c r="E1005" s="4" t="s">
        <v>50</v>
      </c>
      <c r="F1005" s="4">
        <v>3229</v>
      </c>
      <c r="G1005" s="4" t="s">
        <v>43</v>
      </c>
      <c r="H1005" s="4">
        <v>3</v>
      </c>
      <c r="I1005" s="4">
        <v>0</v>
      </c>
      <c r="J1005" s="4">
        <v>4</v>
      </c>
      <c r="K1005" s="4">
        <v>2</v>
      </c>
      <c r="L1005" s="4" t="str">
        <f t="shared" si="22"/>
        <v>NORMAL</v>
      </c>
      <c r="M1005" s="4" t="str">
        <f t="shared" si="23"/>
        <v>LOW</v>
      </c>
      <c r="N1005" s="4" t="str">
        <f t="shared" si="24"/>
        <v>MID</v>
      </c>
      <c r="O1005" s="4" t="str">
        <f t="shared" si="25"/>
        <v>RECENTLY PROMOTED</v>
      </c>
      <c r="P1005" s="5" t="str">
        <f t="shared" si="26"/>
        <v>Low_Pressure</v>
      </c>
      <c r="Q1005" s="4" t="str">
        <f t="shared" si="27"/>
        <v>DISENGAGED</v>
      </c>
      <c r="R1005" s="4" t="str">
        <f t="shared" si="28"/>
        <v>LOW</v>
      </c>
      <c r="S1005" s="2"/>
      <c r="T1005" s="2"/>
      <c r="U1005" s="2"/>
      <c r="V1005" s="2"/>
      <c r="W1005" s="2"/>
      <c r="X1005" s="2"/>
      <c r="Y1005" s="2"/>
      <c r="Z1005" s="2"/>
    </row>
    <row r="1006" spans="1:26" ht="16.8" x14ac:dyDescent="0.3">
      <c r="A1006" s="4">
        <v>1417</v>
      </c>
      <c r="B1006" s="4" t="s">
        <v>43</v>
      </c>
      <c r="C1006" s="4">
        <v>26</v>
      </c>
      <c r="D1006" s="4" t="s">
        <v>45</v>
      </c>
      <c r="E1006" s="4" t="s">
        <v>50</v>
      </c>
      <c r="F1006" s="4">
        <v>3578</v>
      </c>
      <c r="G1006" s="4" t="s">
        <v>43</v>
      </c>
      <c r="H1006" s="4">
        <v>7</v>
      </c>
      <c r="I1006" s="4">
        <v>0</v>
      </c>
      <c r="J1006" s="4">
        <v>1</v>
      </c>
      <c r="K1006" s="4">
        <v>3</v>
      </c>
      <c r="L1006" s="4" t="str">
        <f t="shared" si="22"/>
        <v>NORMAL</v>
      </c>
      <c r="M1006" s="4" t="str">
        <f t="shared" si="23"/>
        <v>LOW</v>
      </c>
      <c r="N1006" s="4" t="str">
        <f t="shared" si="24"/>
        <v>SENIOR</v>
      </c>
      <c r="O1006" s="4" t="str">
        <f t="shared" si="25"/>
        <v>RECENTLY PROMOTED</v>
      </c>
      <c r="P1006" s="5" t="str">
        <f t="shared" si="26"/>
        <v>Medium_Pressure</v>
      </c>
      <c r="Q1006" s="4" t="str">
        <f t="shared" si="27"/>
        <v>DISENGAGED</v>
      </c>
      <c r="R1006" s="4" t="str">
        <f t="shared" si="28"/>
        <v>LOW</v>
      </c>
      <c r="S1006" s="2"/>
      <c r="T1006" s="2"/>
      <c r="U1006" s="2"/>
      <c r="V1006" s="2"/>
      <c r="W1006" s="2"/>
      <c r="X1006" s="2"/>
      <c r="Y1006" s="2"/>
      <c r="Z1006" s="2"/>
    </row>
    <row r="1007" spans="1:26" ht="16.8" x14ac:dyDescent="0.3">
      <c r="A1007" s="4">
        <v>1419</v>
      </c>
      <c r="B1007" s="4" t="s">
        <v>43</v>
      </c>
      <c r="C1007" s="4">
        <v>29</v>
      </c>
      <c r="D1007" s="4" t="s">
        <v>61</v>
      </c>
      <c r="E1007" s="4" t="s">
        <v>61</v>
      </c>
      <c r="F1007" s="4">
        <v>7988</v>
      </c>
      <c r="G1007" s="4" t="s">
        <v>43</v>
      </c>
      <c r="H1007" s="4">
        <v>10</v>
      </c>
      <c r="I1007" s="4">
        <v>0</v>
      </c>
      <c r="J1007" s="4">
        <v>1</v>
      </c>
      <c r="K1007" s="4">
        <v>2</v>
      </c>
      <c r="L1007" s="4" t="str">
        <f t="shared" si="22"/>
        <v>NORMAL</v>
      </c>
      <c r="M1007" s="4" t="str">
        <f t="shared" si="23"/>
        <v>HIGH</v>
      </c>
      <c r="N1007" s="4" t="str">
        <f t="shared" si="24"/>
        <v>SENIOR</v>
      </c>
      <c r="O1007" s="4" t="str">
        <f t="shared" si="25"/>
        <v>RECENTLY PROMOTED</v>
      </c>
      <c r="P1007" s="5" t="str">
        <f t="shared" si="26"/>
        <v>Low_Pressure</v>
      </c>
      <c r="Q1007" s="4" t="str">
        <f t="shared" si="27"/>
        <v>DISENGAGED</v>
      </c>
      <c r="R1007" s="4" t="str">
        <f t="shared" si="28"/>
        <v>LOW</v>
      </c>
      <c r="S1007" s="2"/>
      <c r="T1007" s="2"/>
      <c r="U1007" s="2"/>
      <c r="V1007" s="2"/>
      <c r="W1007" s="2"/>
      <c r="X1007" s="2"/>
      <c r="Y1007" s="2"/>
      <c r="Z1007" s="2"/>
    </row>
    <row r="1008" spans="1:26" ht="16.8" x14ac:dyDescent="0.3">
      <c r="A1008" s="4">
        <v>1420</v>
      </c>
      <c r="B1008" s="4" t="s">
        <v>35</v>
      </c>
      <c r="C1008" s="4">
        <v>49</v>
      </c>
      <c r="D1008" s="4" t="s">
        <v>45</v>
      </c>
      <c r="E1008" s="4" t="s">
        <v>50</v>
      </c>
      <c r="F1008" s="4">
        <v>4284</v>
      </c>
      <c r="G1008" s="4" t="s">
        <v>43</v>
      </c>
      <c r="H1008" s="4">
        <v>4</v>
      </c>
      <c r="I1008" s="4">
        <v>1</v>
      </c>
      <c r="J1008" s="4">
        <v>1</v>
      </c>
      <c r="K1008" s="4">
        <v>3</v>
      </c>
      <c r="L1008" s="4" t="str">
        <f t="shared" si="22"/>
        <v>NORMAL</v>
      </c>
      <c r="M1008" s="4" t="str">
        <f t="shared" si="23"/>
        <v>HIGH</v>
      </c>
      <c r="N1008" s="4" t="str">
        <f t="shared" si="24"/>
        <v>MID</v>
      </c>
      <c r="O1008" s="4" t="str">
        <f t="shared" si="25"/>
        <v>RECENTLY PROMOTED</v>
      </c>
      <c r="P1008" s="5" t="str">
        <f t="shared" si="26"/>
        <v>Medium_Pressure</v>
      </c>
      <c r="Q1008" s="4" t="str">
        <f t="shared" si="27"/>
        <v>DISENGAGED</v>
      </c>
      <c r="R1008" s="4" t="str">
        <f t="shared" si="28"/>
        <v>LOW</v>
      </c>
      <c r="S1008" s="2"/>
      <c r="T1008" s="2"/>
      <c r="U1008" s="2"/>
      <c r="V1008" s="2"/>
      <c r="W1008" s="2"/>
      <c r="X1008" s="2"/>
      <c r="Y1008" s="2"/>
      <c r="Z1008" s="2"/>
    </row>
    <row r="1009" spans="1:26" ht="16.8" x14ac:dyDescent="0.3">
      <c r="A1009" s="4">
        <v>1421</v>
      </c>
      <c r="B1009" s="4" t="s">
        <v>35</v>
      </c>
      <c r="C1009" s="4">
        <v>29</v>
      </c>
      <c r="D1009" s="4" t="s">
        <v>45</v>
      </c>
      <c r="E1009" s="4" t="s">
        <v>54</v>
      </c>
      <c r="F1009" s="4">
        <v>7553</v>
      </c>
      <c r="G1009" s="4" t="s">
        <v>35</v>
      </c>
      <c r="H1009" s="4">
        <v>8</v>
      </c>
      <c r="I1009" s="4">
        <v>7</v>
      </c>
      <c r="J1009" s="4">
        <v>4</v>
      </c>
      <c r="K1009" s="4">
        <v>3</v>
      </c>
      <c r="L1009" s="4" t="str">
        <f t="shared" si="22"/>
        <v>NORMAL</v>
      </c>
      <c r="M1009" s="4" t="str">
        <f t="shared" si="23"/>
        <v>HIGH</v>
      </c>
      <c r="N1009" s="4" t="str">
        <f t="shared" si="24"/>
        <v>SENIOR</v>
      </c>
      <c r="O1009" s="4" t="str">
        <f t="shared" si="25"/>
        <v>STAGNANT</v>
      </c>
      <c r="P1009" s="5" t="str">
        <f t="shared" si="26"/>
        <v>Medium_Pressure</v>
      </c>
      <c r="Q1009" s="4" t="str">
        <f t="shared" si="27"/>
        <v>HIGHLY_ENGAGED</v>
      </c>
      <c r="R1009" s="4" t="str">
        <f t="shared" si="28"/>
        <v>LOW</v>
      </c>
      <c r="S1009" s="2"/>
      <c r="T1009" s="2"/>
      <c r="U1009" s="2"/>
      <c r="V1009" s="2"/>
      <c r="W1009" s="2"/>
      <c r="X1009" s="2"/>
      <c r="Y1009" s="2"/>
      <c r="Z1009" s="2"/>
    </row>
    <row r="1010" spans="1:26" ht="16.8" x14ac:dyDescent="0.3">
      <c r="A1010" s="4">
        <v>1422</v>
      </c>
      <c r="B1010" s="4" t="s">
        <v>43</v>
      </c>
      <c r="C1010" s="4">
        <v>54</v>
      </c>
      <c r="D1010" s="4" t="s">
        <v>45</v>
      </c>
      <c r="E1010" s="4" t="s">
        <v>58</v>
      </c>
      <c r="F1010" s="4">
        <v>17328</v>
      </c>
      <c r="G1010" s="4" t="s">
        <v>43</v>
      </c>
      <c r="H1010" s="4">
        <v>20</v>
      </c>
      <c r="I1010" s="4">
        <v>12</v>
      </c>
      <c r="J1010" s="4">
        <v>4</v>
      </c>
      <c r="K1010" s="4">
        <v>2</v>
      </c>
      <c r="L1010" s="4" t="str">
        <f t="shared" si="22"/>
        <v>NORMAL</v>
      </c>
      <c r="M1010" s="4" t="str">
        <f t="shared" si="23"/>
        <v>MEDIUM</v>
      </c>
      <c r="N1010" s="4" t="str">
        <f t="shared" si="24"/>
        <v>SENIOR</v>
      </c>
      <c r="O1010" s="4" t="str">
        <f t="shared" si="25"/>
        <v>STAGNANT</v>
      </c>
      <c r="P1010" s="5" t="str">
        <f t="shared" si="26"/>
        <v>Low_Pressure</v>
      </c>
      <c r="Q1010" s="4" t="str">
        <f t="shared" si="27"/>
        <v>DISENGAGED</v>
      </c>
      <c r="R1010" s="4" t="str">
        <f t="shared" si="28"/>
        <v>LOW</v>
      </c>
      <c r="S1010" s="2"/>
      <c r="T1010" s="2"/>
      <c r="U1010" s="2"/>
      <c r="V1010" s="2"/>
      <c r="W1010" s="2"/>
      <c r="X1010" s="2"/>
      <c r="Y1010" s="2"/>
      <c r="Z1010" s="2"/>
    </row>
    <row r="1011" spans="1:26" ht="16.8" x14ac:dyDescent="0.3">
      <c r="A1011" s="4">
        <v>1423</v>
      </c>
      <c r="B1011" s="4" t="s">
        <v>43</v>
      </c>
      <c r="C1011" s="4">
        <v>58</v>
      </c>
      <c r="D1011" s="4" t="s">
        <v>45</v>
      </c>
      <c r="E1011" s="4" t="s">
        <v>58</v>
      </c>
      <c r="F1011" s="4">
        <v>19701</v>
      </c>
      <c r="G1011" s="4" t="s">
        <v>35</v>
      </c>
      <c r="H1011" s="4">
        <v>9</v>
      </c>
      <c r="I1011" s="4">
        <v>1</v>
      </c>
      <c r="J1011" s="4">
        <v>1</v>
      </c>
      <c r="K1011" s="4">
        <v>3</v>
      </c>
      <c r="L1011" s="4" t="str">
        <f t="shared" si="22"/>
        <v>NORMAL</v>
      </c>
      <c r="M1011" s="4" t="str">
        <f t="shared" si="23"/>
        <v>MEDIUM</v>
      </c>
      <c r="N1011" s="4" t="str">
        <f t="shared" si="24"/>
        <v>SENIOR</v>
      </c>
      <c r="O1011" s="4" t="str">
        <f t="shared" si="25"/>
        <v>RECENTLY PROMOTED</v>
      </c>
      <c r="P1011" s="5" t="str">
        <f t="shared" si="26"/>
        <v>Medium_Pressure</v>
      </c>
      <c r="Q1011" s="4" t="str">
        <f t="shared" si="27"/>
        <v>DISENGAGED</v>
      </c>
      <c r="R1011" s="4" t="str">
        <f t="shared" si="28"/>
        <v>LOW</v>
      </c>
      <c r="S1011" s="2"/>
      <c r="T1011" s="2"/>
      <c r="U1011" s="2"/>
      <c r="V1011" s="2"/>
      <c r="W1011" s="2"/>
      <c r="X1011" s="2"/>
      <c r="Y1011" s="2"/>
      <c r="Z1011" s="2"/>
    </row>
    <row r="1012" spans="1:26" ht="16.8" x14ac:dyDescent="0.3">
      <c r="A1012" s="4">
        <v>1424</v>
      </c>
      <c r="B1012" s="4" t="s">
        <v>43</v>
      </c>
      <c r="C1012" s="4">
        <v>55</v>
      </c>
      <c r="D1012" s="4" t="s">
        <v>45</v>
      </c>
      <c r="E1012" s="4" t="s">
        <v>58</v>
      </c>
      <c r="F1012" s="4">
        <v>14732</v>
      </c>
      <c r="G1012" s="4" t="s">
        <v>43</v>
      </c>
      <c r="H1012" s="4">
        <v>7</v>
      </c>
      <c r="I1012" s="4">
        <v>0</v>
      </c>
      <c r="J1012" s="4">
        <v>4</v>
      </c>
      <c r="K1012" s="4">
        <v>4</v>
      </c>
      <c r="L1012" s="4" t="str">
        <f t="shared" si="22"/>
        <v>NORMAL</v>
      </c>
      <c r="M1012" s="4" t="str">
        <f t="shared" si="23"/>
        <v>MEDIUM</v>
      </c>
      <c r="N1012" s="4" t="str">
        <f t="shared" si="24"/>
        <v>SENIOR</v>
      </c>
      <c r="O1012" s="4" t="str">
        <f t="shared" si="25"/>
        <v>RECENTLY PROMOTED</v>
      </c>
      <c r="P1012" s="5" t="str">
        <f t="shared" si="26"/>
        <v>Low_Pressure</v>
      </c>
      <c r="Q1012" s="4" t="str">
        <f t="shared" si="27"/>
        <v>HIGHLY_ENGAGED</v>
      </c>
      <c r="R1012" s="4" t="str">
        <f t="shared" si="28"/>
        <v>LOW</v>
      </c>
      <c r="S1012" s="2"/>
      <c r="T1012" s="2"/>
      <c r="U1012" s="2"/>
      <c r="V1012" s="2"/>
      <c r="W1012" s="2"/>
      <c r="X1012" s="2"/>
      <c r="Y1012" s="2"/>
      <c r="Z1012" s="2"/>
    </row>
    <row r="1013" spans="1:26" ht="16.8" x14ac:dyDescent="0.3">
      <c r="A1013" s="4">
        <v>1425</v>
      </c>
      <c r="B1013" s="4" t="s">
        <v>43</v>
      </c>
      <c r="C1013" s="4">
        <v>36</v>
      </c>
      <c r="D1013" s="4" t="s">
        <v>37</v>
      </c>
      <c r="E1013" s="4" t="s">
        <v>40</v>
      </c>
      <c r="F1013" s="4">
        <v>9278</v>
      </c>
      <c r="G1013" s="4" t="s">
        <v>35</v>
      </c>
      <c r="H1013" s="4">
        <v>5</v>
      </c>
      <c r="I1013" s="4">
        <v>0</v>
      </c>
      <c r="J1013" s="4">
        <v>2</v>
      </c>
      <c r="K1013" s="4">
        <v>3</v>
      </c>
      <c r="L1013" s="4" t="str">
        <f t="shared" si="22"/>
        <v>NORMAL</v>
      </c>
      <c r="M1013" s="4" t="str">
        <f t="shared" si="23"/>
        <v>MEDIUM</v>
      </c>
      <c r="N1013" s="4" t="str">
        <f t="shared" si="24"/>
        <v>MID</v>
      </c>
      <c r="O1013" s="4" t="str">
        <f t="shared" si="25"/>
        <v>RECENTLY PROMOTED</v>
      </c>
      <c r="P1013" s="5" t="str">
        <f t="shared" si="26"/>
        <v>Medium_Pressure</v>
      </c>
      <c r="Q1013" s="4" t="str">
        <f t="shared" si="27"/>
        <v>DISENGAGED</v>
      </c>
      <c r="R1013" s="4" t="str">
        <f t="shared" si="28"/>
        <v>LOW</v>
      </c>
      <c r="S1013" s="2"/>
      <c r="T1013" s="2"/>
      <c r="U1013" s="2"/>
      <c r="V1013" s="2"/>
      <c r="W1013" s="2"/>
      <c r="X1013" s="2"/>
      <c r="Y1013" s="2"/>
      <c r="Z1013" s="2"/>
    </row>
    <row r="1014" spans="1:26" ht="16.8" x14ac:dyDescent="0.3">
      <c r="A1014" s="4">
        <v>1427</v>
      </c>
      <c r="B1014" s="4" t="s">
        <v>35</v>
      </c>
      <c r="C1014" s="4">
        <v>31</v>
      </c>
      <c r="D1014" s="4" t="s">
        <v>37</v>
      </c>
      <c r="E1014" s="4" t="s">
        <v>57</v>
      </c>
      <c r="F1014" s="4">
        <v>1359</v>
      </c>
      <c r="G1014" s="4" t="s">
        <v>43</v>
      </c>
      <c r="H1014" s="4">
        <v>1</v>
      </c>
      <c r="I1014" s="4">
        <v>0</v>
      </c>
      <c r="J1014" s="4">
        <v>3</v>
      </c>
      <c r="K1014" s="4">
        <v>3</v>
      </c>
      <c r="L1014" s="4" t="str">
        <f t="shared" si="22"/>
        <v>NORMAL</v>
      </c>
      <c r="M1014" s="4" t="str">
        <f t="shared" si="23"/>
        <v>LOW</v>
      </c>
      <c r="N1014" s="4" t="str">
        <f t="shared" si="24"/>
        <v>NEW</v>
      </c>
      <c r="O1014" s="4" t="str">
        <f t="shared" si="25"/>
        <v>RECENTLY PROMOTED</v>
      </c>
      <c r="P1014" s="5" t="str">
        <f t="shared" si="26"/>
        <v>Medium_Pressure</v>
      </c>
      <c r="Q1014" s="4" t="str">
        <f t="shared" si="27"/>
        <v>HIGHLY_ENGAGED</v>
      </c>
      <c r="R1014" s="4" t="str">
        <f t="shared" si="28"/>
        <v>LOW</v>
      </c>
      <c r="S1014" s="2"/>
      <c r="T1014" s="2"/>
      <c r="U1014" s="2"/>
      <c r="V1014" s="2"/>
      <c r="W1014" s="2"/>
      <c r="X1014" s="2"/>
      <c r="Y1014" s="2"/>
      <c r="Z1014" s="2"/>
    </row>
    <row r="1015" spans="1:26" ht="16.8" x14ac:dyDescent="0.3">
      <c r="A1015" s="4">
        <v>1428</v>
      </c>
      <c r="B1015" s="4" t="s">
        <v>43</v>
      </c>
      <c r="C1015" s="4">
        <v>30</v>
      </c>
      <c r="D1015" s="4" t="s">
        <v>37</v>
      </c>
      <c r="E1015" s="4" t="s">
        <v>40</v>
      </c>
      <c r="F1015" s="4">
        <v>4779</v>
      </c>
      <c r="G1015" s="4" t="s">
        <v>43</v>
      </c>
      <c r="H1015" s="4">
        <v>3</v>
      </c>
      <c r="I1015" s="4">
        <v>0</v>
      </c>
      <c r="J1015" s="4">
        <v>1</v>
      </c>
      <c r="K1015" s="4">
        <v>3</v>
      </c>
      <c r="L1015" s="4" t="str">
        <f t="shared" si="22"/>
        <v>NORMAL</v>
      </c>
      <c r="M1015" s="4" t="str">
        <f t="shared" si="23"/>
        <v>HIGH</v>
      </c>
      <c r="N1015" s="4" t="str">
        <f t="shared" si="24"/>
        <v>MID</v>
      </c>
      <c r="O1015" s="4" t="str">
        <f t="shared" si="25"/>
        <v>RECENTLY PROMOTED</v>
      </c>
      <c r="P1015" s="5" t="str">
        <f t="shared" si="26"/>
        <v>Medium_Pressure</v>
      </c>
      <c r="Q1015" s="4" t="str">
        <f t="shared" si="27"/>
        <v>DISENGAGED</v>
      </c>
      <c r="R1015" s="4" t="str">
        <f t="shared" si="28"/>
        <v>LOW</v>
      </c>
      <c r="S1015" s="2"/>
      <c r="T1015" s="2"/>
      <c r="U1015" s="2"/>
      <c r="V1015" s="2"/>
      <c r="W1015" s="2"/>
      <c r="X1015" s="2"/>
      <c r="Y1015" s="2"/>
      <c r="Z1015" s="2"/>
    </row>
    <row r="1016" spans="1:26" ht="16.8" x14ac:dyDescent="0.3">
      <c r="A1016" s="4">
        <v>1430</v>
      </c>
      <c r="B1016" s="4" t="s">
        <v>43</v>
      </c>
      <c r="C1016" s="4">
        <v>31</v>
      </c>
      <c r="D1016" s="4" t="s">
        <v>45</v>
      </c>
      <c r="E1016" s="4" t="s">
        <v>58</v>
      </c>
      <c r="F1016" s="4">
        <v>16422</v>
      </c>
      <c r="G1016" s="4" t="s">
        <v>43</v>
      </c>
      <c r="H1016" s="4">
        <v>3</v>
      </c>
      <c r="I1016" s="4">
        <v>1</v>
      </c>
      <c r="J1016" s="4">
        <v>2</v>
      </c>
      <c r="K1016" s="4">
        <v>4</v>
      </c>
      <c r="L1016" s="4" t="str">
        <f t="shared" si="22"/>
        <v>NORMAL</v>
      </c>
      <c r="M1016" s="4" t="str">
        <f t="shared" si="23"/>
        <v>MEDIUM</v>
      </c>
      <c r="N1016" s="4" t="str">
        <f t="shared" si="24"/>
        <v>MID</v>
      </c>
      <c r="O1016" s="4" t="str">
        <f t="shared" si="25"/>
        <v>RECENTLY PROMOTED</v>
      </c>
      <c r="P1016" s="5" t="str">
        <f t="shared" si="26"/>
        <v>Low_Pressure</v>
      </c>
      <c r="Q1016" s="4" t="str">
        <f t="shared" si="27"/>
        <v>DISENGAGED</v>
      </c>
      <c r="R1016" s="4" t="str">
        <f t="shared" si="28"/>
        <v>LOW</v>
      </c>
      <c r="S1016" s="2"/>
      <c r="T1016" s="2"/>
      <c r="U1016" s="2"/>
      <c r="V1016" s="2"/>
      <c r="W1016" s="2"/>
      <c r="X1016" s="2"/>
      <c r="Y1016" s="2"/>
      <c r="Z1016" s="2"/>
    </row>
    <row r="1017" spans="1:26" ht="16.8" x14ac:dyDescent="0.3">
      <c r="A1017" s="4">
        <v>1431</v>
      </c>
      <c r="B1017" s="4" t="s">
        <v>43</v>
      </c>
      <c r="C1017" s="4">
        <v>34</v>
      </c>
      <c r="D1017" s="4" t="s">
        <v>45</v>
      </c>
      <c r="E1017" s="4" t="s">
        <v>47</v>
      </c>
      <c r="F1017" s="4">
        <v>2996</v>
      </c>
      <c r="G1017" s="4" t="s">
        <v>43</v>
      </c>
      <c r="H1017" s="4">
        <v>4</v>
      </c>
      <c r="I1017" s="4">
        <v>1</v>
      </c>
      <c r="J1017" s="4">
        <v>1</v>
      </c>
      <c r="K1017" s="4">
        <v>3</v>
      </c>
      <c r="L1017" s="4" t="str">
        <f t="shared" si="22"/>
        <v>NORMAL</v>
      </c>
      <c r="M1017" s="4" t="str">
        <f t="shared" si="23"/>
        <v>LOW</v>
      </c>
      <c r="N1017" s="4" t="str">
        <f t="shared" si="24"/>
        <v>MID</v>
      </c>
      <c r="O1017" s="4" t="str">
        <f t="shared" si="25"/>
        <v>RECENTLY PROMOTED</v>
      </c>
      <c r="P1017" s="5" t="str">
        <f t="shared" si="26"/>
        <v>Medium_Pressure</v>
      </c>
      <c r="Q1017" s="4" t="str">
        <f t="shared" si="27"/>
        <v>DISENGAGED</v>
      </c>
      <c r="R1017" s="4" t="str">
        <f t="shared" si="28"/>
        <v>LOW</v>
      </c>
      <c r="S1017" s="2"/>
      <c r="T1017" s="2"/>
      <c r="U1017" s="2"/>
      <c r="V1017" s="2"/>
      <c r="W1017" s="2"/>
      <c r="X1017" s="2"/>
      <c r="Y1017" s="2"/>
      <c r="Z1017" s="2"/>
    </row>
    <row r="1018" spans="1:26" ht="16.8" x14ac:dyDescent="0.3">
      <c r="A1018" s="4">
        <v>1433</v>
      </c>
      <c r="B1018" s="4" t="s">
        <v>35</v>
      </c>
      <c r="C1018" s="4">
        <v>31</v>
      </c>
      <c r="D1018" s="4" t="s">
        <v>45</v>
      </c>
      <c r="E1018" s="4" t="s">
        <v>47</v>
      </c>
      <c r="F1018" s="4">
        <v>1261</v>
      </c>
      <c r="G1018" s="4" t="s">
        <v>43</v>
      </c>
      <c r="H1018" s="4">
        <v>1</v>
      </c>
      <c r="I1018" s="4">
        <v>0</v>
      </c>
      <c r="J1018" s="4">
        <v>2</v>
      </c>
      <c r="K1018" s="4">
        <v>4</v>
      </c>
      <c r="L1018" s="4" t="str">
        <f t="shared" si="22"/>
        <v>NORMAL</v>
      </c>
      <c r="M1018" s="4" t="str">
        <f t="shared" si="23"/>
        <v>LOW</v>
      </c>
      <c r="N1018" s="4" t="str">
        <f t="shared" si="24"/>
        <v>NEW</v>
      </c>
      <c r="O1018" s="4" t="str">
        <f t="shared" si="25"/>
        <v>RECENTLY PROMOTED</v>
      </c>
      <c r="P1018" s="5" t="str">
        <f t="shared" si="26"/>
        <v>Low_Pressure</v>
      </c>
      <c r="Q1018" s="4" t="str">
        <f t="shared" si="27"/>
        <v>DISENGAGED</v>
      </c>
      <c r="R1018" s="4" t="str">
        <f t="shared" si="28"/>
        <v>LOW</v>
      </c>
      <c r="S1018" s="2"/>
      <c r="T1018" s="2"/>
      <c r="U1018" s="2"/>
      <c r="V1018" s="2"/>
      <c r="W1018" s="2"/>
      <c r="X1018" s="2"/>
      <c r="Y1018" s="2"/>
      <c r="Z1018" s="2"/>
    </row>
    <row r="1019" spans="1:26" ht="16.8" x14ac:dyDescent="0.3">
      <c r="A1019" s="4">
        <v>1434</v>
      </c>
      <c r="B1019" s="4" t="s">
        <v>43</v>
      </c>
      <c r="C1019" s="4">
        <v>27</v>
      </c>
      <c r="D1019" s="4" t="s">
        <v>45</v>
      </c>
      <c r="E1019" s="4" t="s">
        <v>50</v>
      </c>
      <c r="F1019" s="4">
        <v>2099</v>
      </c>
      <c r="G1019" s="4" t="s">
        <v>43</v>
      </c>
      <c r="H1019" s="4">
        <v>5</v>
      </c>
      <c r="I1019" s="4">
        <v>1</v>
      </c>
      <c r="J1019" s="4">
        <v>1</v>
      </c>
      <c r="K1019" s="4">
        <v>4</v>
      </c>
      <c r="L1019" s="4" t="str">
        <f t="shared" si="22"/>
        <v>NORMAL</v>
      </c>
      <c r="M1019" s="4" t="str">
        <f t="shared" si="23"/>
        <v>LOW</v>
      </c>
      <c r="N1019" s="4" t="str">
        <f t="shared" si="24"/>
        <v>MID</v>
      </c>
      <c r="O1019" s="4" t="str">
        <f t="shared" si="25"/>
        <v>RECENTLY PROMOTED</v>
      </c>
      <c r="P1019" s="5" t="str">
        <f t="shared" si="26"/>
        <v>Low_Pressure</v>
      </c>
      <c r="Q1019" s="4" t="str">
        <f t="shared" si="27"/>
        <v>DISENGAGED</v>
      </c>
      <c r="R1019" s="4" t="str">
        <f t="shared" si="28"/>
        <v>LOW</v>
      </c>
      <c r="S1019" s="2"/>
      <c r="T1019" s="2"/>
      <c r="U1019" s="2"/>
      <c r="V1019" s="2"/>
      <c r="W1019" s="2"/>
      <c r="X1019" s="2"/>
      <c r="Y1019" s="2"/>
      <c r="Z1019" s="2"/>
    </row>
    <row r="1020" spans="1:26" ht="16.8" x14ac:dyDescent="0.3">
      <c r="A1020" s="4">
        <v>1435</v>
      </c>
      <c r="B1020" s="4" t="s">
        <v>43</v>
      </c>
      <c r="C1020" s="4">
        <v>36</v>
      </c>
      <c r="D1020" s="4" t="s">
        <v>45</v>
      </c>
      <c r="E1020" s="4" t="s">
        <v>50</v>
      </c>
      <c r="F1020" s="4">
        <v>5810</v>
      </c>
      <c r="G1020" s="4" t="s">
        <v>43</v>
      </c>
      <c r="H1020" s="4">
        <v>10</v>
      </c>
      <c r="I1020" s="4">
        <v>1</v>
      </c>
      <c r="J1020" s="4">
        <v>4</v>
      </c>
      <c r="K1020" s="4">
        <v>2</v>
      </c>
      <c r="L1020" s="4" t="str">
        <f t="shared" si="22"/>
        <v>NORMAL</v>
      </c>
      <c r="M1020" s="4" t="str">
        <f t="shared" si="23"/>
        <v>HIGH</v>
      </c>
      <c r="N1020" s="4" t="str">
        <f t="shared" si="24"/>
        <v>SENIOR</v>
      </c>
      <c r="O1020" s="4" t="str">
        <f t="shared" si="25"/>
        <v>RECENTLY PROMOTED</v>
      </c>
      <c r="P1020" s="5" t="str">
        <f t="shared" si="26"/>
        <v>Low_Pressure</v>
      </c>
      <c r="Q1020" s="4" t="str">
        <f t="shared" si="27"/>
        <v>DISENGAGED</v>
      </c>
      <c r="R1020" s="4" t="str">
        <f t="shared" si="28"/>
        <v>LOW</v>
      </c>
      <c r="S1020" s="2"/>
      <c r="T1020" s="2"/>
      <c r="U1020" s="2"/>
      <c r="V1020" s="2"/>
      <c r="W1020" s="2"/>
      <c r="X1020" s="2"/>
      <c r="Y1020" s="2"/>
      <c r="Z1020" s="2"/>
    </row>
    <row r="1021" spans="1:26" ht="16.8" x14ac:dyDescent="0.3">
      <c r="A1021" s="4">
        <v>1436</v>
      </c>
      <c r="B1021" s="4" t="s">
        <v>43</v>
      </c>
      <c r="C1021" s="4">
        <v>36</v>
      </c>
      <c r="D1021" s="4" t="s">
        <v>37</v>
      </c>
      <c r="E1021" s="4" t="s">
        <v>40</v>
      </c>
      <c r="F1021" s="4">
        <v>5647</v>
      </c>
      <c r="G1021" s="4" t="s">
        <v>43</v>
      </c>
      <c r="H1021" s="4">
        <v>3</v>
      </c>
      <c r="I1021" s="4">
        <v>0</v>
      </c>
      <c r="J1021" s="4">
        <v>1</v>
      </c>
      <c r="K1021" s="4">
        <v>2</v>
      </c>
      <c r="L1021" s="4" t="str">
        <f t="shared" si="22"/>
        <v>NORMAL</v>
      </c>
      <c r="M1021" s="4" t="str">
        <f t="shared" si="23"/>
        <v>HIGH</v>
      </c>
      <c r="N1021" s="4" t="str">
        <f t="shared" si="24"/>
        <v>MID</v>
      </c>
      <c r="O1021" s="4" t="str">
        <f t="shared" si="25"/>
        <v>RECENTLY PROMOTED</v>
      </c>
      <c r="P1021" s="5" t="str">
        <f t="shared" si="26"/>
        <v>Low_Pressure</v>
      </c>
      <c r="Q1021" s="4" t="str">
        <f t="shared" si="27"/>
        <v>DISENGAGED</v>
      </c>
      <c r="R1021" s="4" t="str">
        <f t="shared" si="28"/>
        <v>LOW</v>
      </c>
      <c r="S1021" s="2"/>
      <c r="T1021" s="2"/>
      <c r="U1021" s="2"/>
      <c r="V1021" s="2"/>
      <c r="W1021" s="2"/>
      <c r="X1021" s="2"/>
      <c r="Y1021" s="2"/>
      <c r="Z1021" s="2"/>
    </row>
    <row r="1022" spans="1:26" ht="16.8" x14ac:dyDescent="0.3">
      <c r="A1022" s="4">
        <v>1438</v>
      </c>
      <c r="B1022" s="4" t="s">
        <v>43</v>
      </c>
      <c r="C1022" s="4">
        <v>47</v>
      </c>
      <c r="D1022" s="4" t="s">
        <v>45</v>
      </c>
      <c r="E1022" s="4" t="s">
        <v>47</v>
      </c>
      <c r="F1022" s="4">
        <v>3420</v>
      </c>
      <c r="G1022" s="4" t="s">
        <v>43</v>
      </c>
      <c r="H1022" s="4">
        <v>6</v>
      </c>
      <c r="I1022" s="4">
        <v>1</v>
      </c>
      <c r="J1022" s="4">
        <v>4</v>
      </c>
      <c r="K1022" s="4">
        <v>2</v>
      </c>
      <c r="L1022" s="4" t="str">
        <f t="shared" ref="L1022:L1276" si="29">IF(AND(G1022="YES",J1022&lt;=2,I1022&gt;=3),"HIGH RISK","NORMAL")</f>
        <v>NORMAL</v>
      </c>
      <c r="M1022" s="4" t="str">
        <f t="shared" ref="M1022:M1276" si="30">IF(F1022&lt;=4000,"LOW",IF(F1022&gt;9000,"MEDIUM","HIGH"))</f>
        <v>LOW</v>
      </c>
      <c r="N1022" s="4" t="str">
        <f t="shared" ref="N1022:N1276" si="31">IF(H1022&lt;=2,"NEW",IF(H1022&lt;=6,"MID","SENIOR"))</f>
        <v>MID</v>
      </c>
      <c r="O1022" s="4" t="str">
        <f t="shared" ref="O1022:O1276" si="32">IF(I1022&lt;=1,"RECENTLY PROMOTED",IF(I1022&lt;=3,"MODERATE-WAIT","STAGNANT"))</f>
        <v>RECENTLY PROMOTED</v>
      </c>
      <c r="P1022" s="5" t="str">
        <f t="shared" ref="P1022:P1276" si="33">IF(AND(G1022="Yes",K1022&lt;=2),"High_Pressure",
 IF(OR(G1022="Yes",K1022=3),"Medium_Pressure",
 "Low_Pressure"))</f>
        <v>Low_Pressure</v>
      </c>
      <c r="Q1022" s="4" t="str">
        <f t="shared" ref="Q1022:Q1276" si="34">IF(AND(J1022&gt;=3,K1022&gt;=3,L1022&gt;=3),
"HIGHLY_ENGAGED",
IF(OR(J1022&lt;=2,K1022&lt;=2,L1022&lt;=2),
"DISENGAGED",
"MODERATELY_ENGAGED"))</f>
        <v>DISENGAGED</v>
      </c>
      <c r="R1022" s="4" t="str">
        <f t="shared" si="28"/>
        <v>LOW</v>
      </c>
      <c r="S1022" s="2"/>
      <c r="T1022" s="2"/>
      <c r="U1022" s="2"/>
      <c r="V1022" s="2"/>
      <c r="W1022" s="2"/>
      <c r="X1022" s="2"/>
      <c r="Y1022" s="2"/>
      <c r="Z1022" s="2"/>
    </row>
    <row r="1023" spans="1:26" ht="16.8" x14ac:dyDescent="0.3">
      <c r="A1023" s="4">
        <v>1439</v>
      </c>
      <c r="B1023" s="4" t="s">
        <v>35</v>
      </c>
      <c r="C1023" s="4">
        <v>25</v>
      </c>
      <c r="D1023" s="4" t="s">
        <v>37</v>
      </c>
      <c r="E1023" s="4" t="s">
        <v>57</v>
      </c>
      <c r="F1023" s="4">
        <v>4400</v>
      </c>
      <c r="G1023" s="4" t="s">
        <v>43</v>
      </c>
      <c r="H1023" s="4">
        <v>3</v>
      </c>
      <c r="I1023" s="4">
        <v>2</v>
      </c>
      <c r="J1023" s="4">
        <v>1</v>
      </c>
      <c r="K1023" s="4">
        <v>3</v>
      </c>
      <c r="L1023" s="4" t="str">
        <f t="shared" si="29"/>
        <v>NORMAL</v>
      </c>
      <c r="M1023" s="4" t="str">
        <f t="shared" si="30"/>
        <v>HIGH</v>
      </c>
      <c r="N1023" s="4" t="str">
        <f t="shared" si="31"/>
        <v>MID</v>
      </c>
      <c r="O1023" s="4" t="str">
        <f t="shared" si="32"/>
        <v>MODERATE-WAIT</v>
      </c>
      <c r="P1023" s="5" t="str">
        <f t="shared" si="33"/>
        <v>Medium_Pressure</v>
      </c>
      <c r="Q1023" s="4" t="str">
        <f t="shared" si="34"/>
        <v>DISENGAGED</v>
      </c>
      <c r="R1023" s="4" t="str">
        <f t="shared" si="28"/>
        <v>LOW</v>
      </c>
      <c r="S1023" s="2"/>
      <c r="T1023" s="2"/>
      <c r="U1023" s="2"/>
      <c r="V1023" s="2"/>
      <c r="W1023" s="2"/>
      <c r="X1023" s="2"/>
      <c r="Y1023" s="2"/>
      <c r="Z1023" s="2"/>
    </row>
    <row r="1024" spans="1:26" ht="16.8" x14ac:dyDescent="0.3">
      <c r="A1024" s="4">
        <v>1440</v>
      </c>
      <c r="B1024" s="4" t="s">
        <v>43</v>
      </c>
      <c r="C1024" s="4">
        <v>37</v>
      </c>
      <c r="D1024" s="4" t="s">
        <v>45</v>
      </c>
      <c r="E1024" s="4" t="s">
        <v>50</v>
      </c>
      <c r="F1024" s="4">
        <v>3500</v>
      </c>
      <c r="G1024" s="4" t="s">
        <v>43</v>
      </c>
      <c r="H1024" s="4">
        <v>6</v>
      </c>
      <c r="I1024" s="4">
        <v>1</v>
      </c>
      <c r="J1024" s="4">
        <v>3</v>
      </c>
      <c r="K1024" s="4">
        <v>1</v>
      </c>
      <c r="L1024" s="4" t="str">
        <f t="shared" si="29"/>
        <v>NORMAL</v>
      </c>
      <c r="M1024" s="4" t="str">
        <f t="shared" si="30"/>
        <v>LOW</v>
      </c>
      <c r="N1024" s="4" t="str">
        <f t="shared" si="31"/>
        <v>MID</v>
      </c>
      <c r="O1024" s="4" t="str">
        <f t="shared" si="32"/>
        <v>RECENTLY PROMOTED</v>
      </c>
      <c r="P1024" s="5" t="str">
        <f t="shared" si="33"/>
        <v>Low_Pressure</v>
      </c>
      <c r="Q1024" s="4" t="str">
        <f t="shared" si="34"/>
        <v>DISENGAGED</v>
      </c>
      <c r="R1024" s="4" t="str">
        <f t="shared" si="28"/>
        <v>LOW</v>
      </c>
      <c r="S1024" s="2"/>
      <c r="T1024" s="2"/>
      <c r="U1024" s="2"/>
      <c r="V1024" s="2"/>
      <c r="W1024" s="2"/>
      <c r="X1024" s="2"/>
      <c r="Y1024" s="2"/>
      <c r="Z1024" s="2"/>
    </row>
    <row r="1025" spans="1:26" ht="16.8" x14ac:dyDescent="0.3">
      <c r="A1025" s="4">
        <v>1441</v>
      </c>
      <c r="B1025" s="4" t="s">
        <v>43</v>
      </c>
      <c r="C1025" s="4">
        <v>56</v>
      </c>
      <c r="D1025" s="4" t="s">
        <v>45</v>
      </c>
      <c r="E1025" s="4" t="s">
        <v>47</v>
      </c>
      <c r="F1025" s="4">
        <v>2066</v>
      </c>
      <c r="G1025" s="4" t="s">
        <v>43</v>
      </c>
      <c r="H1025" s="4">
        <v>3</v>
      </c>
      <c r="I1025" s="4">
        <v>1</v>
      </c>
      <c r="J1025" s="4">
        <v>1</v>
      </c>
      <c r="K1025" s="4">
        <v>4</v>
      </c>
      <c r="L1025" s="4" t="str">
        <f t="shared" si="29"/>
        <v>NORMAL</v>
      </c>
      <c r="M1025" s="4" t="str">
        <f t="shared" si="30"/>
        <v>LOW</v>
      </c>
      <c r="N1025" s="4" t="str">
        <f t="shared" si="31"/>
        <v>MID</v>
      </c>
      <c r="O1025" s="4" t="str">
        <f t="shared" si="32"/>
        <v>RECENTLY PROMOTED</v>
      </c>
      <c r="P1025" s="5" t="str">
        <f t="shared" si="33"/>
        <v>Low_Pressure</v>
      </c>
      <c r="Q1025" s="4" t="str">
        <f t="shared" si="34"/>
        <v>DISENGAGED</v>
      </c>
      <c r="R1025" s="4" t="str">
        <f t="shared" si="28"/>
        <v>LOW</v>
      </c>
      <c r="S1025" s="2"/>
      <c r="T1025" s="2"/>
      <c r="U1025" s="2"/>
      <c r="V1025" s="2"/>
      <c r="W1025" s="2"/>
      <c r="X1025" s="2"/>
      <c r="Y1025" s="2"/>
      <c r="Z1025" s="2"/>
    </row>
    <row r="1026" spans="1:26" ht="16.8" x14ac:dyDescent="0.3">
      <c r="A1026" s="4">
        <v>1443</v>
      </c>
      <c r="B1026" s="4" t="s">
        <v>43</v>
      </c>
      <c r="C1026" s="4">
        <v>47</v>
      </c>
      <c r="D1026" s="4" t="s">
        <v>45</v>
      </c>
      <c r="E1026" s="4" t="s">
        <v>58</v>
      </c>
      <c r="F1026" s="4">
        <v>17169</v>
      </c>
      <c r="G1026" s="4" t="s">
        <v>43</v>
      </c>
      <c r="H1026" s="4">
        <v>20</v>
      </c>
      <c r="I1026" s="4">
        <v>5</v>
      </c>
      <c r="J1026" s="4">
        <v>3</v>
      </c>
      <c r="K1026" s="4">
        <v>4</v>
      </c>
      <c r="L1026" s="4" t="str">
        <f t="shared" si="29"/>
        <v>NORMAL</v>
      </c>
      <c r="M1026" s="4" t="str">
        <f t="shared" si="30"/>
        <v>MEDIUM</v>
      </c>
      <c r="N1026" s="4" t="str">
        <f t="shared" si="31"/>
        <v>SENIOR</v>
      </c>
      <c r="O1026" s="4" t="str">
        <f t="shared" si="32"/>
        <v>STAGNANT</v>
      </c>
      <c r="P1026" s="5" t="str">
        <f t="shared" si="33"/>
        <v>Low_Pressure</v>
      </c>
      <c r="Q1026" s="4" t="str">
        <f t="shared" si="34"/>
        <v>HIGHLY_ENGAGED</v>
      </c>
      <c r="R1026" s="4" t="str">
        <f t="shared" si="28"/>
        <v>LOW</v>
      </c>
      <c r="S1026" s="2"/>
      <c r="T1026" s="2"/>
      <c r="U1026" s="2"/>
      <c r="V1026" s="2"/>
      <c r="W1026" s="2"/>
      <c r="X1026" s="2"/>
      <c r="Y1026" s="2"/>
      <c r="Z1026" s="2"/>
    </row>
    <row r="1027" spans="1:26" ht="16.8" x14ac:dyDescent="0.3">
      <c r="A1027" s="4">
        <v>1445</v>
      </c>
      <c r="B1027" s="4" t="s">
        <v>43</v>
      </c>
      <c r="C1027" s="4">
        <v>24</v>
      </c>
      <c r="D1027" s="4" t="s">
        <v>37</v>
      </c>
      <c r="E1027" s="4" t="s">
        <v>40</v>
      </c>
      <c r="F1027" s="4">
        <v>4162</v>
      </c>
      <c r="G1027" s="4" t="s">
        <v>35</v>
      </c>
      <c r="H1027" s="4">
        <v>5</v>
      </c>
      <c r="I1027" s="4">
        <v>0</v>
      </c>
      <c r="J1027" s="4">
        <v>3</v>
      </c>
      <c r="K1027" s="4">
        <v>3</v>
      </c>
      <c r="L1027" s="4" t="str">
        <f t="shared" si="29"/>
        <v>NORMAL</v>
      </c>
      <c r="M1027" s="4" t="str">
        <f t="shared" si="30"/>
        <v>HIGH</v>
      </c>
      <c r="N1027" s="4" t="str">
        <f t="shared" si="31"/>
        <v>MID</v>
      </c>
      <c r="O1027" s="4" t="str">
        <f t="shared" si="32"/>
        <v>RECENTLY PROMOTED</v>
      </c>
      <c r="P1027" s="5" t="str">
        <f t="shared" si="33"/>
        <v>Medium_Pressure</v>
      </c>
      <c r="Q1027" s="4" t="str">
        <f t="shared" si="34"/>
        <v>HIGHLY_ENGAGED</v>
      </c>
      <c r="R1027" s="4" t="str">
        <f t="shared" si="28"/>
        <v>LOW</v>
      </c>
      <c r="S1027" s="2"/>
      <c r="T1027" s="2"/>
      <c r="U1027" s="2"/>
      <c r="V1027" s="2"/>
      <c r="W1027" s="2"/>
      <c r="X1027" s="2"/>
      <c r="Y1027" s="2"/>
      <c r="Z1027" s="2"/>
    </row>
    <row r="1028" spans="1:26" ht="16.8" x14ac:dyDescent="0.3">
      <c r="A1028" s="4">
        <v>1446</v>
      </c>
      <c r="B1028" s="4" t="s">
        <v>43</v>
      </c>
      <c r="C1028" s="4">
        <v>32</v>
      </c>
      <c r="D1028" s="4" t="s">
        <v>37</v>
      </c>
      <c r="E1028" s="4" t="s">
        <v>40</v>
      </c>
      <c r="F1028" s="4">
        <v>9204</v>
      </c>
      <c r="G1028" s="4" t="s">
        <v>43</v>
      </c>
      <c r="H1028" s="4">
        <v>4</v>
      </c>
      <c r="I1028" s="4">
        <v>0</v>
      </c>
      <c r="J1028" s="4">
        <v>4</v>
      </c>
      <c r="K1028" s="4">
        <v>2</v>
      </c>
      <c r="L1028" s="4" t="str">
        <f t="shared" si="29"/>
        <v>NORMAL</v>
      </c>
      <c r="M1028" s="4" t="str">
        <f t="shared" si="30"/>
        <v>MEDIUM</v>
      </c>
      <c r="N1028" s="4" t="str">
        <f t="shared" si="31"/>
        <v>MID</v>
      </c>
      <c r="O1028" s="4" t="str">
        <f t="shared" si="32"/>
        <v>RECENTLY PROMOTED</v>
      </c>
      <c r="P1028" s="5" t="str">
        <f t="shared" si="33"/>
        <v>Low_Pressure</v>
      </c>
      <c r="Q1028" s="4" t="str">
        <f t="shared" si="34"/>
        <v>DISENGAGED</v>
      </c>
      <c r="R1028" s="4" t="str">
        <f t="shared" si="28"/>
        <v>LOW</v>
      </c>
      <c r="S1028" s="2"/>
      <c r="T1028" s="2"/>
      <c r="U1028" s="2"/>
      <c r="V1028" s="2"/>
      <c r="W1028" s="2"/>
      <c r="X1028" s="2"/>
      <c r="Y1028" s="2"/>
      <c r="Z1028" s="2"/>
    </row>
    <row r="1029" spans="1:26" ht="16.8" x14ac:dyDescent="0.3">
      <c r="A1029" s="4">
        <v>1447</v>
      </c>
      <c r="B1029" s="4" t="s">
        <v>43</v>
      </c>
      <c r="C1029" s="4">
        <v>34</v>
      </c>
      <c r="D1029" s="4" t="s">
        <v>45</v>
      </c>
      <c r="E1029" s="4" t="s">
        <v>50</v>
      </c>
      <c r="F1029" s="4">
        <v>3294</v>
      </c>
      <c r="G1029" s="4" t="s">
        <v>43</v>
      </c>
      <c r="H1029" s="4">
        <v>5</v>
      </c>
      <c r="I1029" s="4">
        <v>0</v>
      </c>
      <c r="J1029" s="4">
        <v>2</v>
      </c>
      <c r="K1029" s="4">
        <v>2</v>
      </c>
      <c r="L1029" s="4" t="str">
        <f t="shared" si="29"/>
        <v>NORMAL</v>
      </c>
      <c r="M1029" s="4" t="str">
        <f t="shared" si="30"/>
        <v>LOW</v>
      </c>
      <c r="N1029" s="4" t="str">
        <f t="shared" si="31"/>
        <v>MID</v>
      </c>
      <c r="O1029" s="4" t="str">
        <f t="shared" si="32"/>
        <v>RECENTLY PROMOTED</v>
      </c>
      <c r="P1029" s="5" t="str">
        <f t="shared" si="33"/>
        <v>Low_Pressure</v>
      </c>
      <c r="Q1029" s="4" t="str">
        <f t="shared" si="34"/>
        <v>DISENGAGED</v>
      </c>
      <c r="R1029" s="4" t="str">
        <f t="shared" si="28"/>
        <v>LOW</v>
      </c>
      <c r="S1029" s="2"/>
      <c r="T1029" s="2"/>
      <c r="U1029" s="2"/>
      <c r="V1029" s="2"/>
      <c r="W1029" s="2"/>
      <c r="X1029" s="2"/>
      <c r="Y1029" s="2"/>
      <c r="Z1029" s="2"/>
    </row>
    <row r="1030" spans="1:26" ht="16.8" x14ac:dyDescent="0.3">
      <c r="A1030" s="4">
        <v>1448</v>
      </c>
      <c r="B1030" s="4" t="s">
        <v>43</v>
      </c>
      <c r="C1030" s="4">
        <v>41</v>
      </c>
      <c r="D1030" s="4" t="s">
        <v>45</v>
      </c>
      <c r="E1030" s="4" t="s">
        <v>47</v>
      </c>
      <c r="F1030" s="4">
        <v>2127</v>
      </c>
      <c r="G1030" s="4" t="s">
        <v>35</v>
      </c>
      <c r="H1030" s="4">
        <v>4</v>
      </c>
      <c r="I1030" s="4">
        <v>0</v>
      </c>
      <c r="J1030" s="4">
        <v>3</v>
      </c>
      <c r="K1030" s="4">
        <v>2</v>
      </c>
      <c r="L1030" s="4" t="str">
        <f t="shared" si="29"/>
        <v>NORMAL</v>
      </c>
      <c r="M1030" s="4" t="str">
        <f t="shared" si="30"/>
        <v>LOW</v>
      </c>
      <c r="N1030" s="4" t="str">
        <f t="shared" si="31"/>
        <v>MID</v>
      </c>
      <c r="O1030" s="4" t="str">
        <f t="shared" si="32"/>
        <v>RECENTLY PROMOTED</v>
      </c>
      <c r="P1030" s="5" t="str">
        <f t="shared" si="33"/>
        <v>High_Pressure</v>
      </c>
      <c r="Q1030" s="4" t="str">
        <f t="shared" si="34"/>
        <v>DISENGAGED</v>
      </c>
      <c r="R1030" s="4" t="str">
        <f t="shared" si="28"/>
        <v>LOW</v>
      </c>
      <c r="S1030" s="2"/>
      <c r="T1030" s="2"/>
      <c r="U1030" s="2"/>
      <c r="V1030" s="2"/>
      <c r="W1030" s="2"/>
      <c r="X1030" s="2"/>
      <c r="Y1030" s="2"/>
      <c r="Z1030" s="2"/>
    </row>
    <row r="1031" spans="1:26" ht="16.8" x14ac:dyDescent="0.3">
      <c r="A1031" s="4">
        <v>1449</v>
      </c>
      <c r="B1031" s="4" t="s">
        <v>43</v>
      </c>
      <c r="C1031" s="4">
        <v>40</v>
      </c>
      <c r="D1031" s="4" t="s">
        <v>45</v>
      </c>
      <c r="E1031" s="4" t="s">
        <v>50</v>
      </c>
      <c r="F1031" s="4">
        <v>3975</v>
      </c>
      <c r="G1031" s="4" t="s">
        <v>43</v>
      </c>
      <c r="H1031" s="4">
        <v>8</v>
      </c>
      <c r="I1031" s="4">
        <v>0</v>
      </c>
      <c r="J1031" s="4">
        <v>3</v>
      </c>
      <c r="K1031" s="4">
        <v>4</v>
      </c>
      <c r="L1031" s="4" t="str">
        <f t="shared" si="29"/>
        <v>NORMAL</v>
      </c>
      <c r="M1031" s="4" t="str">
        <f t="shared" si="30"/>
        <v>LOW</v>
      </c>
      <c r="N1031" s="4" t="str">
        <f t="shared" si="31"/>
        <v>SENIOR</v>
      </c>
      <c r="O1031" s="4" t="str">
        <f t="shared" si="32"/>
        <v>RECENTLY PROMOTED</v>
      </c>
      <c r="P1031" s="5" t="str">
        <f t="shared" si="33"/>
        <v>Low_Pressure</v>
      </c>
      <c r="Q1031" s="4" t="str">
        <f t="shared" si="34"/>
        <v>HIGHLY_ENGAGED</v>
      </c>
      <c r="R1031" s="4" t="str">
        <f t="shared" si="28"/>
        <v>LOW</v>
      </c>
      <c r="S1031" s="2"/>
      <c r="T1031" s="2"/>
      <c r="U1031" s="2"/>
      <c r="V1031" s="2"/>
      <c r="W1031" s="2"/>
      <c r="X1031" s="2"/>
      <c r="Y1031" s="2"/>
      <c r="Z1031" s="2"/>
    </row>
    <row r="1032" spans="1:26" ht="16.8" x14ac:dyDescent="0.3">
      <c r="A1032" s="4">
        <v>1453</v>
      </c>
      <c r="B1032" s="4" t="s">
        <v>43</v>
      </c>
      <c r="C1032" s="4">
        <v>31</v>
      </c>
      <c r="D1032" s="4" t="s">
        <v>37</v>
      </c>
      <c r="E1032" s="4" t="s">
        <v>40</v>
      </c>
      <c r="F1032" s="4">
        <v>10793</v>
      </c>
      <c r="G1032" s="4" t="s">
        <v>43</v>
      </c>
      <c r="H1032" s="4">
        <v>13</v>
      </c>
      <c r="I1032" s="4">
        <v>9</v>
      </c>
      <c r="J1032" s="4">
        <v>4</v>
      </c>
      <c r="K1032" s="4">
        <v>3</v>
      </c>
      <c r="L1032" s="4" t="str">
        <f t="shared" si="29"/>
        <v>NORMAL</v>
      </c>
      <c r="M1032" s="4" t="str">
        <f t="shared" si="30"/>
        <v>MEDIUM</v>
      </c>
      <c r="N1032" s="4" t="str">
        <f t="shared" si="31"/>
        <v>SENIOR</v>
      </c>
      <c r="O1032" s="4" t="str">
        <f t="shared" si="32"/>
        <v>STAGNANT</v>
      </c>
      <c r="P1032" s="5" t="str">
        <f t="shared" si="33"/>
        <v>Medium_Pressure</v>
      </c>
      <c r="Q1032" s="4" t="str">
        <f t="shared" si="34"/>
        <v>HIGHLY_ENGAGED</v>
      </c>
      <c r="R1032" s="4" t="str">
        <f t="shared" si="28"/>
        <v>LOW</v>
      </c>
      <c r="S1032" s="2"/>
      <c r="T1032" s="2"/>
      <c r="U1032" s="2"/>
      <c r="V1032" s="2"/>
      <c r="W1032" s="2"/>
      <c r="X1032" s="2"/>
      <c r="Y1032" s="2"/>
      <c r="Z1032" s="2"/>
    </row>
    <row r="1033" spans="1:26" ht="16.8" x14ac:dyDescent="0.3">
      <c r="A1033" s="4">
        <v>1457</v>
      </c>
      <c r="B1033" s="4" t="s">
        <v>35</v>
      </c>
      <c r="C1033" s="4">
        <v>46</v>
      </c>
      <c r="D1033" s="4" t="s">
        <v>37</v>
      </c>
      <c r="E1033" s="4" t="s">
        <v>40</v>
      </c>
      <c r="F1033" s="4">
        <v>10096</v>
      </c>
      <c r="G1033" s="4" t="s">
        <v>43</v>
      </c>
      <c r="H1033" s="4">
        <v>7</v>
      </c>
      <c r="I1033" s="4">
        <v>4</v>
      </c>
      <c r="J1033" s="4">
        <v>4</v>
      </c>
      <c r="K1033" s="4">
        <v>4</v>
      </c>
      <c r="L1033" s="4" t="str">
        <f t="shared" si="29"/>
        <v>NORMAL</v>
      </c>
      <c r="M1033" s="4" t="str">
        <f t="shared" si="30"/>
        <v>MEDIUM</v>
      </c>
      <c r="N1033" s="4" t="str">
        <f t="shared" si="31"/>
        <v>SENIOR</v>
      </c>
      <c r="O1033" s="4" t="str">
        <f t="shared" si="32"/>
        <v>STAGNANT</v>
      </c>
      <c r="P1033" s="5" t="str">
        <f t="shared" si="33"/>
        <v>Low_Pressure</v>
      </c>
      <c r="Q1033" s="4" t="str">
        <f t="shared" si="34"/>
        <v>HIGHLY_ENGAGED</v>
      </c>
      <c r="R1033" s="4" t="str">
        <f t="shared" si="28"/>
        <v>LOW</v>
      </c>
      <c r="S1033" s="2"/>
      <c r="T1033" s="2"/>
      <c r="U1033" s="2"/>
      <c r="V1033" s="2"/>
      <c r="W1033" s="2"/>
      <c r="X1033" s="2"/>
      <c r="Y1033" s="2"/>
      <c r="Z1033" s="2"/>
    </row>
    <row r="1034" spans="1:26" ht="16.8" x14ac:dyDescent="0.3">
      <c r="A1034" s="4">
        <v>1458</v>
      </c>
      <c r="B1034" s="4" t="s">
        <v>35</v>
      </c>
      <c r="C1034" s="4">
        <v>39</v>
      </c>
      <c r="D1034" s="4" t="s">
        <v>45</v>
      </c>
      <c r="E1034" s="4" t="s">
        <v>50</v>
      </c>
      <c r="F1034" s="4">
        <v>3646</v>
      </c>
      <c r="G1034" s="4" t="s">
        <v>35</v>
      </c>
      <c r="H1034" s="4">
        <v>1</v>
      </c>
      <c r="I1034" s="4">
        <v>0</v>
      </c>
      <c r="J1034" s="4">
        <v>1</v>
      </c>
      <c r="K1034" s="4">
        <v>4</v>
      </c>
      <c r="L1034" s="4" t="str">
        <f t="shared" si="29"/>
        <v>NORMAL</v>
      </c>
      <c r="M1034" s="4" t="str">
        <f t="shared" si="30"/>
        <v>LOW</v>
      </c>
      <c r="N1034" s="4" t="str">
        <f t="shared" si="31"/>
        <v>NEW</v>
      </c>
      <c r="O1034" s="4" t="str">
        <f t="shared" si="32"/>
        <v>RECENTLY PROMOTED</v>
      </c>
      <c r="P1034" s="5" t="str">
        <f t="shared" si="33"/>
        <v>Medium_Pressure</v>
      </c>
      <c r="Q1034" s="4" t="str">
        <f t="shared" si="34"/>
        <v>DISENGAGED</v>
      </c>
      <c r="R1034" s="4" t="str">
        <f t="shared" si="28"/>
        <v>LOW</v>
      </c>
      <c r="S1034" s="2"/>
      <c r="T1034" s="2"/>
      <c r="U1034" s="2"/>
      <c r="V1034" s="2"/>
      <c r="W1034" s="2"/>
      <c r="X1034" s="2"/>
      <c r="Y1034" s="2"/>
      <c r="Z1034" s="2"/>
    </row>
    <row r="1035" spans="1:26" ht="16.8" x14ac:dyDescent="0.3">
      <c r="A1035" s="4">
        <v>1459</v>
      </c>
      <c r="B1035" s="4" t="s">
        <v>35</v>
      </c>
      <c r="C1035" s="4">
        <v>31</v>
      </c>
      <c r="D1035" s="4" t="s">
        <v>45</v>
      </c>
      <c r="E1035" s="4" t="s">
        <v>53</v>
      </c>
      <c r="F1035" s="4">
        <v>7446</v>
      </c>
      <c r="G1035" s="4" t="s">
        <v>43</v>
      </c>
      <c r="H1035" s="4">
        <v>10</v>
      </c>
      <c r="I1035" s="4">
        <v>4</v>
      </c>
      <c r="J1035" s="4">
        <v>2</v>
      </c>
      <c r="K1035" s="4">
        <v>3</v>
      </c>
      <c r="L1035" s="4" t="str">
        <f t="shared" si="29"/>
        <v>NORMAL</v>
      </c>
      <c r="M1035" s="4" t="str">
        <f t="shared" si="30"/>
        <v>HIGH</v>
      </c>
      <c r="N1035" s="4" t="str">
        <f t="shared" si="31"/>
        <v>SENIOR</v>
      </c>
      <c r="O1035" s="4" t="str">
        <f t="shared" si="32"/>
        <v>STAGNANT</v>
      </c>
      <c r="P1035" s="5" t="str">
        <f t="shared" si="33"/>
        <v>Medium_Pressure</v>
      </c>
      <c r="Q1035" s="4" t="str">
        <f t="shared" si="34"/>
        <v>DISENGAGED</v>
      </c>
      <c r="R1035" s="4" t="str">
        <f t="shared" si="28"/>
        <v>LOW</v>
      </c>
      <c r="S1035" s="2"/>
      <c r="T1035" s="2"/>
      <c r="U1035" s="2"/>
      <c r="V1035" s="2"/>
      <c r="W1035" s="2"/>
      <c r="X1035" s="2"/>
      <c r="Y1035" s="2"/>
      <c r="Z1035" s="2"/>
    </row>
    <row r="1036" spans="1:26" ht="16.8" x14ac:dyDescent="0.3">
      <c r="A1036" s="4">
        <v>1460</v>
      </c>
      <c r="B1036" s="4" t="s">
        <v>43</v>
      </c>
      <c r="C1036" s="4">
        <v>45</v>
      </c>
      <c r="D1036" s="4" t="s">
        <v>45</v>
      </c>
      <c r="E1036" s="4" t="s">
        <v>54</v>
      </c>
      <c r="F1036" s="4">
        <v>10851</v>
      </c>
      <c r="G1036" s="4" t="s">
        <v>35</v>
      </c>
      <c r="H1036" s="4">
        <v>7</v>
      </c>
      <c r="I1036" s="4">
        <v>0</v>
      </c>
      <c r="J1036" s="4">
        <v>1</v>
      </c>
      <c r="K1036" s="4">
        <v>3</v>
      </c>
      <c r="L1036" s="4" t="str">
        <f t="shared" si="29"/>
        <v>NORMAL</v>
      </c>
      <c r="M1036" s="4" t="str">
        <f t="shared" si="30"/>
        <v>MEDIUM</v>
      </c>
      <c r="N1036" s="4" t="str">
        <f t="shared" si="31"/>
        <v>SENIOR</v>
      </c>
      <c r="O1036" s="4" t="str">
        <f t="shared" si="32"/>
        <v>RECENTLY PROMOTED</v>
      </c>
      <c r="P1036" s="5" t="str">
        <f t="shared" si="33"/>
        <v>Medium_Pressure</v>
      </c>
      <c r="Q1036" s="4" t="str">
        <f t="shared" si="34"/>
        <v>DISENGAGED</v>
      </c>
      <c r="R1036" s="4" t="str">
        <f t="shared" si="28"/>
        <v>LOW</v>
      </c>
      <c r="S1036" s="2"/>
      <c r="T1036" s="2"/>
      <c r="U1036" s="2"/>
      <c r="V1036" s="2"/>
      <c r="W1036" s="2"/>
      <c r="X1036" s="2"/>
      <c r="Y1036" s="2"/>
      <c r="Z1036" s="2"/>
    </row>
    <row r="1037" spans="1:26" ht="16.8" x14ac:dyDescent="0.3">
      <c r="A1037" s="4">
        <v>1461</v>
      </c>
      <c r="B1037" s="4" t="s">
        <v>43</v>
      </c>
      <c r="C1037" s="4">
        <v>31</v>
      </c>
      <c r="D1037" s="4" t="s">
        <v>61</v>
      </c>
      <c r="E1037" s="4" t="s">
        <v>61</v>
      </c>
      <c r="F1037" s="4">
        <v>2109</v>
      </c>
      <c r="G1037" s="4" t="s">
        <v>43</v>
      </c>
      <c r="H1037" s="4">
        <v>3</v>
      </c>
      <c r="I1037" s="4">
        <v>0</v>
      </c>
      <c r="J1037" s="4">
        <v>2</v>
      </c>
      <c r="K1037" s="4">
        <v>3</v>
      </c>
      <c r="L1037" s="4" t="str">
        <f t="shared" si="29"/>
        <v>NORMAL</v>
      </c>
      <c r="M1037" s="4" t="str">
        <f t="shared" si="30"/>
        <v>LOW</v>
      </c>
      <c r="N1037" s="4" t="str">
        <f t="shared" si="31"/>
        <v>MID</v>
      </c>
      <c r="O1037" s="4" t="str">
        <f t="shared" si="32"/>
        <v>RECENTLY PROMOTED</v>
      </c>
      <c r="P1037" s="5" t="str">
        <f t="shared" si="33"/>
        <v>Medium_Pressure</v>
      </c>
      <c r="Q1037" s="4" t="str">
        <f t="shared" si="34"/>
        <v>DISENGAGED</v>
      </c>
      <c r="R1037" s="4" t="str">
        <f t="shared" si="28"/>
        <v>LOW</v>
      </c>
      <c r="S1037" s="2"/>
      <c r="T1037" s="2"/>
      <c r="U1037" s="2"/>
      <c r="V1037" s="2"/>
      <c r="W1037" s="2"/>
      <c r="X1037" s="2"/>
      <c r="Y1037" s="2"/>
      <c r="Z1037" s="2"/>
    </row>
    <row r="1038" spans="1:26" ht="16.8" x14ac:dyDescent="0.3">
      <c r="A1038" s="4">
        <v>1464</v>
      </c>
      <c r="B1038" s="4" t="s">
        <v>35</v>
      </c>
      <c r="C1038" s="4">
        <v>31</v>
      </c>
      <c r="D1038" s="4" t="s">
        <v>45</v>
      </c>
      <c r="E1038" s="4" t="s">
        <v>50</v>
      </c>
      <c r="F1038" s="4">
        <v>3722</v>
      </c>
      <c r="G1038" s="4" t="s">
        <v>35</v>
      </c>
      <c r="H1038" s="4">
        <v>2</v>
      </c>
      <c r="I1038" s="4">
        <v>2</v>
      </c>
      <c r="J1038" s="4">
        <v>4</v>
      </c>
      <c r="K1038" s="4">
        <v>1</v>
      </c>
      <c r="L1038" s="4" t="str">
        <f t="shared" si="29"/>
        <v>NORMAL</v>
      </c>
      <c r="M1038" s="4" t="str">
        <f t="shared" si="30"/>
        <v>LOW</v>
      </c>
      <c r="N1038" s="4" t="str">
        <f t="shared" si="31"/>
        <v>NEW</v>
      </c>
      <c r="O1038" s="4" t="str">
        <f t="shared" si="32"/>
        <v>MODERATE-WAIT</v>
      </c>
      <c r="P1038" s="5" t="str">
        <f t="shared" si="33"/>
        <v>High_Pressure</v>
      </c>
      <c r="Q1038" s="4" t="str">
        <f t="shared" si="34"/>
        <v>DISENGAGED</v>
      </c>
      <c r="R1038" s="4" t="str">
        <f t="shared" si="28"/>
        <v>LOW</v>
      </c>
      <c r="S1038" s="2"/>
      <c r="T1038" s="2"/>
      <c r="U1038" s="2"/>
      <c r="V1038" s="2"/>
      <c r="W1038" s="2"/>
      <c r="X1038" s="2"/>
      <c r="Y1038" s="2"/>
      <c r="Z1038" s="2"/>
    </row>
    <row r="1039" spans="1:26" ht="16.8" x14ac:dyDescent="0.3">
      <c r="A1039" s="4">
        <v>1465</v>
      </c>
      <c r="B1039" s="4" t="s">
        <v>43</v>
      </c>
      <c r="C1039" s="4">
        <v>45</v>
      </c>
      <c r="D1039" s="4" t="s">
        <v>45</v>
      </c>
      <c r="E1039" s="4" t="s">
        <v>53</v>
      </c>
      <c r="F1039" s="4">
        <v>9380</v>
      </c>
      <c r="G1039" s="4" t="s">
        <v>35</v>
      </c>
      <c r="H1039" s="4">
        <v>3</v>
      </c>
      <c r="I1039" s="4">
        <v>1</v>
      </c>
      <c r="J1039" s="4">
        <v>4</v>
      </c>
      <c r="K1039" s="4">
        <v>4</v>
      </c>
      <c r="L1039" s="4" t="str">
        <f t="shared" si="29"/>
        <v>NORMAL</v>
      </c>
      <c r="M1039" s="4" t="str">
        <f t="shared" si="30"/>
        <v>MEDIUM</v>
      </c>
      <c r="N1039" s="4" t="str">
        <f t="shared" si="31"/>
        <v>MID</v>
      </c>
      <c r="O1039" s="4" t="str">
        <f t="shared" si="32"/>
        <v>RECENTLY PROMOTED</v>
      </c>
      <c r="P1039" s="5" t="str">
        <f t="shared" si="33"/>
        <v>Medium_Pressure</v>
      </c>
      <c r="Q1039" s="4" t="str">
        <f t="shared" si="34"/>
        <v>HIGHLY_ENGAGED</v>
      </c>
      <c r="R1039" s="4" t="str">
        <f t="shared" si="28"/>
        <v>LOW</v>
      </c>
      <c r="S1039" s="2"/>
      <c r="T1039" s="2"/>
      <c r="U1039" s="2"/>
      <c r="V1039" s="2"/>
      <c r="W1039" s="2"/>
      <c r="X1039" s="2"/>
      <c r="Y1039" s="2"/>
      <c r="Z1039" s="2"/>
    </row>
    <row r="1040" spans="1:26" ht="16.8" x14ac:dyDescent="0.3">
      <c r="A1040" s="4">
        <v>1466</v>
      </c>
      <c r="B1040" s="4" t="s">
        <v>43</v>
      </c>
      <c r="C1040" s="4">
        <v>48</v>
      </c>
      <c r="D1040" s="4" t="s">
        <v>37</v>
      </c>
      <c r="E1040" s="4" t="s">
        <v>40</v>
      </c>
      <c r="F1040" s="4">
        <v>5486</v>
      </c>
      <c r="G1040" s="4" t="s">
        <v>43</v>
      </c>
      <c r="H1040" s="4">
        <v>2</v>
      </c>
      <c r="I1040" s="4">
        <v>2</v>
      </c>
      <c r="J1040" s="4">
        <v>1</v>
      </c>
      <c r="K1040" s="4">
        <v>3</v>
      </c>
      <c r="L1040" s="4" t="str">
        <f t="shared" si="29"/>
        <v>NORMAL</v>
      </c>
      <c r="M1040" s="4" t="str">
        <f t="shared" si="30"/>
        <v>HIGH</v>
      </c>
      <c r="N1040" s="4" t="str">
        <f t="shared" si="31"/>
        <v>NEW</v>
      </c>
      <c r="O1040" s="4" t="str">
        <f t="shared" si="32"/>
        <v>MODERATE-WAIT</v>
      </c>
      <c r="P1040" s="5" t="str">
        <f t="shared" si="33"/>
        <v>Medium_Pressure</v>
      </c>
      <c r="Q1040" s="4" t="str">
        <f t="shared" si="34"/>
        <v>DISENGAGED</v>
      </c>
      <c r="R1040" s="4" t="str">
        <f t="shared" si="28"/>
        <v>LOW</v>
      </c>
      <c r="S1040" s="2"/>
      <c r="T1040" s="2"/>
      <c r="U1040" s="2"/>
      <c r="V1040" s="2"/>
      <c r="W1040" s="2"/>
      <c r="X1040" s="2"/>
      <c r="Y1040" s="2"/>
      <c r="Z1040" s="2"/>
    </row>
    <row r="1041" spans="1:26" ht="16.8" x14ac:dyDescent="0.3">
      <c r="A1041" s="4">
        <v>1467</v>
      </c>
      <c r="B1041" s="4" t="s">
        <v>35</v>
      </c>
      <c r="C1041" s="4">
        <v>34</v>
      </c>
      <c r="D1041" s="4" t="s">
        <v>61</v>
      </c>
      <c r="E1041" s="4" t="s">
        <v>61</v>
      </c>
      <c r="F1041" s="4">
        <v>2742</v>
      </c>
      <c r="G1041" s="4" t="s">
        <v>43</v>
      </c>
      <c r="H1041" s="4">
        <v>2</v>
      </c>
      <c r="I1041" s="4">
        <v>2</v>
      </c>
      <c r="J1041" s="4">
        <v>3</v>
      </c>
      <c r="K1041" s="4">
        <v>3</v>
      </c>
      <c r="L1041" s="4" t="str">
        <f t="shared" si="29"/>
        <v>NORMAL</v>
      </c>
      <c r="M1041" s="4" t="str">
        <f t="shared" si="30"/>
        <v>LOW</v>
      </c>
      <c r="N1041" s="4" t="str">
        <f t="shared" si="31"/>
        <v>NEW</v>
      </c>
      <c r="O1041" s="4" t="str">
        <f t="shared" si="32"/>
        <v>MODERATE-WAIT</v>
      </c>
      <c r="P1041" s="5" t="str">
        <f t="shared" si="33"/>
        <v>Medium_Pressure</v>
      </c>
      <c r="Q1041" s="4" t="str">
        <f t="shared" si="34"/>
        <v>HIGHLY_ENGAGED</v>
      </c>
      <c r="R1041" s="4" t="str">
        <f t="shared" si="28"/>
        <v>LOW</v>
      </c>
      <c r="S1041" s="2"/>
      <c r="T1041" s="2"/>
      <c r="U1041" s="2"/>
      <c r="V1041" s="2"/>
      <c r="W1041" s="2"/>
      <c r="X1041" s="2"/>
      <c r="Y1041" s="2"/>
      <c r="Z1041" s="2"/>
    </row>
    <row r="1042" spans="1:26" ht="16.8" x14ac:dyDescent="0.3">
      <c r="A1042" s="4">
        <v>1468</v>
      </c>
      <c r="B1042" s="4" t="s">
        <v>43</v>
      </c>
      <c r="C1042" s="4">
        <v>40</v>
      </c>
      <c r="D1042" s="4" t="s">
        <v>45</v>
      </c>
      <c r="E1042" s="4" t="s">
        <v>58</v>
      </c>
      <c r="F1042" s="4">
        <v>13757</v>
      </c>
      <c r="G1042" s="4" t="s">
        <v>43</v>
      </c>
      <c r="H1042" s="4">
        <v>9</v>
      </c>
      <c r="I1042" s="4">
        <v>4</v>
      </c>
      <c r="J1042" s="4">
        <v>2</v>
      </c>
      <c r="K1042" s="4">
        <v>3</v>
      </c>
      <c r="L1042" s="4" t="str">
        <f t="shared" si="29"/>
        <v>NORMAL</v>
      </c>
      <c r="M1042" s="4" t="str">
        <f t="shared" si="30"/>
        <v>MEDIUM</v>
      </c>
      <c r="N1042" s="4" t="str">
        <f t="shared" si="31"/>
        <v>SENIOR</v>
      </c>
      <c r="O1042" s="4" t="str">
        <f t="shared" si="32"/>
        <v>STAGNANT</v>
      </c>
      <c r="P1042" s="5" t="str">
        <f t="shared" si="33"/>
        <v>Medium_Pressure</v>
      </c>
      <c r="Q1042" s="4" t="str">
        <f t="shared" si="34"/>
        <v>DISENGAGED</v>
      </c>
      <c r="R1042" s="4" t="str">
        <f t="shared" si="28"/>
        <v>LOW</v>
      </c>
      <c r="S1042" s="2"/>
      <c r="T1042" s="2"/>
      <c r="U1042" s="2"/>
      <c r="V1042" s="2"/>
      <c r="W1042" s="2"/>
      <c r="X1042" s="2"/>
      <c r="Y1042" s="2"/>
      <c r="Z1042" s="2"/>
    </row>
    <row r="1043" spans="1:26" ht="16.8" x14ac:dyDescent="0.3">
      <c r="A1043" s="4">
        <v>1469</v>
      </c>
      <c r="B1043" s="4" t="s">
        <v>43</v>
      </c>
      <c r="C1043" s="4">
        <v>28</v>
      </c>
      <c r="D1043" s="4" t="s">
        <v>37</v>
      </c>
      <c r="E1043" s="4" t="s">
        <v>40</v>
      </c>
      <c r="F1043" s="4">
        <v>8463</v>
      </c>
      <c r="G1043" s="4" t="s">
        <v>43</v>
      </c>
      <c r="H1043" s="4">
        <v>5</v>
      </c>
      <c r="I1043" s="4">
        <v>1</v>
      </c>
      <c r="J1043" s="4">
        <v>1</v>
      </c>
      <c r="K1043" s="4">
        <v>3</v>
      </c>
      <c r="L1043" s="4" t="str">
        <f t="shared" si="29"/>
        <v>NORMAL</v>
      </c>
      <c r="M1043" s="4" t="str">
        <f t="shared" si="30"/>
        <v>HIGH</v>
      </c>
      <c r="N1043" s="4" t="str">
        <f t="shared" si="31"/>
        <v>MID</v>
      </c>
      <c r="O1043" s="4" t="str">
        <f t="shared" si="32"/>
        <v>RECENTLY PROMOTED</v>
      </c>
      <c r="P1043" s="5" t="str">
        <f t="shared" si="33"/>
        <v>Medium_Pressure</v>
      </c>
      <c r="Q1043" s="4" t="str">
        <f t="shared" si="34"/>
        <v>DISENGAGED</v>
      </c>
      <c r="R1043" s="4" t="str">
        <f t="shared" si="28"/>
        <v>LOW</v>
      </c>
      <c r="S1043" s="2"/>
      <c r="T1043" s="2"/>
      <c r="U1043" s="2"/>
      <c r="V1043" s="2"/>
      <c r="W1043" s="2"/>
      <c r="X1043" s="2"/>
      <c r="Y1043" s="2"/>
      <c r="Z1043" s="2"/>
    </row>
    <row r="1044" spans="1:26" ht="16.8" x14ac:dyDescent="0.3">
      <c r="A1044" s="4">
        <v>1471</v>
      </c>
      <c r="B1044" s="4" t="s">
        <v>43</v>
      </c>
      <c r="C1044" s="4">
        <v>44</v>
      </c>
      <c r="D1044" s="4" t="s">
        <v>45</v>
      </c>
      <c r="E1044" s="4" t="s">
        <v>50</v>
      </c>
      <c r="F1044" s="4">
        <v>3162</v>
      </c>
      <c r="G1044" s="4" t="s">
        <v>43</v>
      </c>
      <c r="H1044" s="4">
        <v>5</v>
      </c>
      <c r="I1044" s="4">
        <v>0</v>
      </c>
      <c r="J1044" s="4">
        <v>3</v>
      </c>
      <c r="K1044" s="4">
        <v>3</v>
      </c>
      <c r="L1044" s="4" t="str">
        <f t="shared" si="29"/>
        <v>NORMAL</v>
      </c>
      <c r="M1044" s="4" t="str">
        <f t="shared" si="30"/>
        <v>LOW</v>
      </c>
      <c r="N1044" s="4" t="str">
        <f t="shared" si="31"/>
        <v>MID</v>
      </c>
      <c r="O1044" s="4" t="str">
        <f t="shared" si="32"/>
        <v>RECENTLY PROMOTED</v>
      </c>
      <c r="P1044" s="5" t="str">
        <f t="shared" si="33"/>
        <v>Medium_Pressure</v>
      </c>
      <c r="Q1044" s="4" t="str">
        <f t="shared" si="34"/>
        <v>HIGHLY_ENGAGED</v>
      </c>
      <c r="R1044" s="4" t="str">
        <f t="shared" si="28"/>
        <v>LOW</v>
      </c>
      <c r="S1044" s="2"/>
      <c r="T1044" s="2"/>
      <c r="U1044" s="2"/>
      <c r="V1044" s="2"/>
      <c r="W1044" s="2"/>
      <c r="X1044" s="2"/>
      <c r="Y1044" s="2"/>
      <c r="Z1044" s="2"/>
    </row>
    <row r="1045" spans="1:26" ht="16.8" x14ac:dyDescent="0.3">
      <c r="A1045" s="4">
        <v>1472</v>
      </c>
      <c r="B1045" s="4" t="s">
        <v>43</v>
      </c>
      <c r="C1045" s="4">
        <v>53</v>
      </c>
      <c r="D1045" s="4" t="s">
        <v>45</v>
      </c>
      <c r="E1045" s="4" t="s">
        <v>58</v>
      </c>
      <c r="F1045" s="4">
        <v>16598</v>
      </c>
      <c r="G1045" s="4" t="s">
        <v>43</v>
      </c>
      <c r="H1045" s="4">
        <v>9</v>
      </c>
      <c r="I1045" s="4">
        <v>8</v>
      </c>
      <c r="J1045" s="4">
        <v>2</v>
      </c>
      <c r="K1045" s="4">
        <v>2</v>
      </c>
      <c r="L1045" s="4" t="str">
        <f t="shared" si="29"/>
        <v>NORMAL</v>
      </c>
      <c r="M1045" s="4" t="str">
        <f t="shared" si="30"/>
        <v>MEDIUM</v>
      </c>
      <c r="N1045" s="4" t="str">
        <f t="shared" si="31"/>
        <v>SENIOR</v>
      </c>
      <c r="O1045" s="4" t="str">
        <f t="shared" si="32"/>
        <v>STAGNANT</v>
      </c>
      <c r="P1045" s="5" t="str">
        <f t="shared" si="33"/>
        <v>Low_Pressure</v>
      </c>
      <c r="Q1045" s="4" t="str">
        <f t="shared" si="34"/>
        <v>DISENGAGED</v>
      </c>
      <c r="R1045" s="4" t="str">
        <f t="shared" si="28"/>
        <v>LOW</v>
      </c>
      <c r="S1045" s="2"/>
      <c r="T1045" s="2"/>
      <c r="U1045" s="2"/>
      <c r="V1045" s="2"/>
      <c r="W1045" s="2"/>
      <c r="X1045" s="2"/>
      <c r="Y1045" s="2"/>
      <c r="Z1045" s="2"/>
    </row>
    <row r="1046" spans="1:26" ht="16.8" x14ac:dyDescent="0.3">
      <c r="A1046" s="4">
        <v>1473</v>
      </c>
      <c r="B1046" s="4" t="s">
        <v>43</v>
      </c>
      <c r="C1046" s="4">
        <v>49</v>
      </c>
      <c r="D1046" s="4" t="s">
        <v>45</v>
      </c>
      <c r="E1046" s="4" t="s">
        <v>54</v>
      </c>
      <c r="F1046" s="4">
        <v>6651</v>
      </c>
      <c r="G1046" s="4" t="s">
        <v>43</v>
      </c>
      <c r="H1046" s="4">
        <v>3</v>
      </c>
      <c r="I1046" s="4">
        <v>1</v>
      </c>
      <c r="J1046" s="4">
        <v>3</v>
      </c>
      <c r="K1046" s="4">
        <v>2</v>
      </c>
      <c r="L1046" s="4" t="str">
        <f t="shared" si="29"/>
        <v>NORMAL</v>
      </c>
      <c r="M1046" s="4" t="str">
        <f t="shared" si="30"/>
        <v>HIGH</v>
      </c>
      <c r="N1046" s="4" t="str">
        <f t="shared" si="31"/>
        <v>MID</v>
      </c>
      <c r="O1046" s="4" t="str">
        <f t="shared" si="32"/>
        <v>RECENTLY PROMOTED</v>
      </c>
      <c r="P1046" s="5" t="str">
        <f t="shared" si="33"/>
        <v>Low_Pressure</v>
      </c>
      <c r="Q1046" s="4" t="str">
        <f t="shared" si="34"/>
        <v>DISENGAGED</v>
      </c>
      <c r="R1046" s="4" t="str">
        <f t="shared" si="28"/>
        <v>LOW</v>
      </c>
      <c r="S1046" s="2"/>
      <c r="T1046" s="2"/>
      <c r="U1046" s="2"/>
      <c r="V1046" s="2"/>
      <c r="W1046" s="2"/>
      <c r="X1046" s="2"/>
      <c r="Y1046" s="2"/>
      <c r="Z1046" s="2"/>
    </row>
    <row r="1047" spans="1:26" ht="16.8" x14ac:dyDescent="0.3">
      <c r="A1047" s="4">
        <v>1474</v>
      </c>
      <c r="B1047" s="4" t="s">
        <v>43</v>
      </c>
      <c r="C1047" s="4">
        <v>40</v>
      </c>
      <c r="D1047" s="4" t="s">
        <v>45</v>
      </c>
      <c r="E1047" s="4" t="s">
        <v>47</v>
      </c>
      <c r="F1047" s="4">
        <v>2345</v>
      </c>
      <c r="G1047" s="4" t="s">
        <v>43</v>
      </c>
      <c r="H1047" s="4">
        <v>3</v>
      </c>
      <c r="I1047" s="4">
        <v>1</v>
      </c>
      <c r="J1047" s="4">
        <v>3</v>
      </c>
      <c r="K1047" s="4">
        <v>4</v>
      </c>
      <c r="L1047" s="4" t="str">
        <f t="shared" si="29"/>
        <v>NORMAL</v>
      </c>
      <c r="M1047" s="4" t="str">
        <f t="shared" si="30"/>
        <v>LOW</v>
      </c>
      <c r="N1047" s="4" t="str">
        <f t="shared" si="31"/>
        <v>MID</v>
      </c>
      <c r="O1047" s="4" t="str">
        <f t="shared" si="32"/>
        <v>RECENTLY PROMOTED</v>
      </c>
      <c r="P1047" s="5" t="str">
        <f t="shared" si="33"/>
        <v>Low_Pressure</v>
      </c>
      <c r="Q1047" s="4" t="str">
        <f t="shared" si="34"/>
        <v>HIGHLY_ENGAGED</v>
      </c>
      <c r="R1047" s="4" t="str">
        <f t="shared" si="28"/>
        <v>LOW</v>
      </c>
      <c r="S1047" s="2"/>
      <c r="T1047" s="2"/>
      <c r="U1047" s="2"/>
      <c r="V1047" s="2"/>
      <c r="W1047" s="2"/>
      <c r="X1047" s="2"/>
      <c r="Y1047" s="2"/>
      <c r="Z1047" s="2"/>
    </row>
    <row r="1048" spans="1:26" ht="16.8" x14ac:dyDescent="0.3">
      <c r="A1048" s="4">
        <v>1475</v>
      </c>
      <c r="B1048" s="4" t="s">
        <v>43</v>
      </c>
      <c r="C1048" s="4">
        <v>44</v>
      </c>
      <c r="D1048" s="4" t="s">
        <v>45</v>
      </c>
      <c r="E1048" s="4" t="s">
        <v>47</v>
      </c>
      <c r="F1048" s="4">
        <v>3420</v>
      </c>
      <c r="G1048" s="4" t="s">
        <v>43</v>
      </c>
      <c r="H1048" s="4">
        <v>5</v>
      </c>
      <c r="I1048" s="4">
        <v>1</v>
      </c>
      <c r="J1048" s="4">
        <v>2</v>
      </c>
      <c r="K1048" s="4">
        <v>2</v>
      </c>
      <c r="L1048" s="4" t="str">
        <f t="shared" si="29"/>
        <v>NORMAL</v>
      </c>
      <c r="M1048" s="4" t="str">
        <f t="shared" si="30"/>
        <v>LOW</v>
      </c>
      <c r="N1048" s="4" t="str">
        <f t="shared" si="31"/>
        <v>MID</v>
      </c>
      <c r="O1048" s="4" t="str">
        <f t="shared" si="32"/>
        <v>RECENTLY PROMOTED</v>
      </c>
      <c r="P1048" s="5" t="str">
        <f t="shared" si="33"/>
        <v>Low_Pressure</v>
      </c>
      <c r="Q1048" s="4" t="str">
        <f t="shared" si="34"/>
        <v>DISENGAGED</v>
      </c>
      <c r="R1048" s="4" t="str">
        <f t="shared" si="28"/>
        <v>LOW</v>
      </c>
      <c r="S1048" s="2"/>
      <c r="T1048" s="2"/>
      <c r="U1048" s="2"/>
      <c r="V1048" s="2"/>
      <c r="W1048" s="2"/>
      <c r="X1048" s="2"/>
      <c r="Y1048" s="2"/>
      <c r="Z1048" s="2"/>
    </row>
    <row r="1049" spans="1:26" ht="16.8" x14ac:dyDescent="0.3">
      <c r="A1049" s="4">
        <v>1477</v>
      </c>
      <c r="B1049" s="4" t="s">
        <v>43</v>
      </c>
      <c r="C1049" s="4">
        <v>33</v>
      </c>
      <c r="D1049" s="4" t="s">
        <v>37</v>
      </c>
      <c r="E1049" s="4" t="s">
        <v>40</v>
      </c>
      <c r="F1049" s="4">
        <v>4373</v>
      </c>
      <c r="G1049" s="4" t="s">
        <v>43</v>
      </c>
      <c r="H1049" s="4">
        <v>4</v>
      </c>
      <c r="I1049" s="4">
        <v>0</v>
      </c>
      <c r="J1049" s="4">
        <v>1</v>
      </c>
      <c r="K1049" s="4">
        <v>3</v>
      </c>
      <c r="L1049" s="4" t="str">
        <f t="shared" si="29"/>
        <v>NORMAL</v>
      </c>
      <c r="M1049" s="4" t="str">
        <f t="shared" si="30"/>
        <v>HIGH</v>
      </c>
      <c r="N1049" s="4" t="str">
        <f t="shared" si="31"/>
        <v>MID</v>
      </c>
      <c r="O1049" s="4" t="str">
        <f t="shared" si="32"/>
        <v>RECENTLY PROMOTED</v>
      </c>
      <c r="P1049" s="5" t="str">
        <f t="shared" si="33"/>
        <v>Medium_Pressure</v>
      </c>
      <c r="Q1049" s="4" t="str">
        <f t="shared" si="34"/>
        <v>DISENGAGED</v>
      </c>
      <c r="R1049" s="4" t="str">
        <f t="shared" si="28"/>
        <v>LOW</v>
      </c>
      <c r="S1049" s="2"/>
      <c r="T1049" s="2"/>
      <c r="U1049" s="2"/>
      <c r="V1049" s="2"/>
      <c r="W1049" s="2"/>
      <c r="X1049" s="2"/>
      <c r="Y1049" s="2"/>
      <c r="Z1049" s="2"/>
    </row>
    <row r="1050" spans="1:26" ht="16.8" x14ac:dyDescent="0.3">
      <c r="A1050" s="4">
        <v>1478</v>
      </c>
      <c r="B1050" s="4" t="s">
        <v>43</v>
      </c>
      <c r="C1050" s="4">
        <v>34</v>
      </c>
      <c r="D1050" s="4" t="s">
        <v>37</v>
      </c>
      <c r="E1050" s="4" t="s">
        <v>40</v>
      </c>
      <c r="F1050" s="4">
        <v>4759</v>
      </c>
      <c r="G1050" s="4" t="s">
        <v>43</v>
      </c>
      <c r="H1050" s="4">
        <v>13</v>
      </c>
      <c r="I1050" s="4">
        <v>3</v>
      </c>
      <c r="J1050" s="4">
        <v>1</v>
      </c>
      <c r="K1050" s="4">
        <v>3</v>
      </c>
      <c r="L1050" s="4" t="str">
        <f t="shared" si="29"/>
        <v>NORMAL</v>
      </c>
      <c r="M1050" s="4" t="str">
        <f t="shared" si="30"/>
        <v>HIGH</v>
      </c>
      <c r="N1050" s="4" t="str">
        <f t="shared" si="31"/>
        <v>SENIOR</v>
      </c>
      <c r="O1050" s="4" t="str">
        <f t="shared" si="32"/>
        <v>MODERATE-WAIT</v>
      </c>
      <c r="P1050" s="5" t="str">
        <f t="shared" si="33"/>
        <v>Medium_Pressure</v>
      </c>
      <c r="Q1050" s="4" t="str">
        <f t="shared" si="34"/>
        <v>DISENGAGED</v>
      </c>
      <c r="R1050" s="4" t="str">
        <f t="shared" si="28"/>
        <v>LOW</v>
      </c>
      <c r="S1050" s="2"/>
      <c r="T1050" s="2"/>
      <c r="U1050" s="2"/>
      <c r="V1050" s="2"/>
      <c r="W1050" s="2"/>
      <c r="X1050" s="2"/>
      <c r="Y1050" s="2"/>
      <c r="Z1050" s="2"/>
    </row>
    <row r="1051" spans="1:26" ht="16.8" x14ac:dyDescent="0.3">
      <c r="A1051" s="4">
        <v>1479</v>
      </c>
      <c r="B1051" s="4" t="s">
        <v>43</v>
      </c>
      <c r="C1051" s="4">
        <v>30</v>
      </c>
      <c r="D1051" s="4" t="s">
        <v>37</v>
      </c>
      <c r="E1051" s="4" t="s">
        <v>40</v>
      </c>
      <c r="F1051" s="4">
        <v>5301</v>
      </c>
      <c r="G1051" s="4" t="s">
        <v>43</v>
      </c>
      <c r="H1051" s="4">
        <v>2</v>
      </c>
      <c r="I1051" s="4">
        <v>2</v>
      </c>
      <c r="J1051" s="4">
        <v>3</v>
      </c>
      <c r="K1051" s="4">
        <v>2</v>
      </c>
      <c r="L1051" s="4" t="str">
        <f t="shared" si="29"/>
        <v>NORMAL</v>
      </c>
      <c r="M1051" s="4" t="str">
        <f t="shared" si="30"/>
        <v>HIGH</v>
      </c>
      <c r="N1051" s="4" t="str">
        <f t="shared" si="31"/>
        <v>NEW</v>
      </c>
      <c r="O1051" s="4" t="str">
        <f t="shared" si="32"/>
        <v>MODERATE-WAIT</v>
      </c>
      <c r="P1051" s="5" t="str">
        <f t="shared" si="33"/>
        <v>Low_Pressure</v>
      </c>
      <c r="Q1051" s="4" t="str">
        <f t="shared" si="34"/>
        <v>DISENGAGED</v>
      </c>
      <c r="R1051" s="4" t="str">
        <f t="shared" si="28"/>
        <v>LOW</v>
      </c>
      <c r="S1051" s="2"/>
      <c r="T1051" s="2"/>
      <c r="U1051" s="2"/>
      <c r="V1051" s="2"/>
      <c r="W1051" s="2"/>
      <c r="X1051" s="2"/>
      <c r="Y1051" s="2"/>
      <c r="Z1051" s="2"/>
    </row>
    <row r="1052" spans="1:26" ht="16.8" x14ac:dyDescent="0.3">
      <c r="A1052" s="4">
        <v>1480</v>
      </c>
      <c r="B1052" s="4" t="s">
        <v>43</v>
      </c>
      <c r="C1052" s="4">
        <v>42</v>
      </c>
      <c r="D1052" s="4" t="s">
        <v>45</v>
      </c>
      <c r="E1052" s="4" t="s">
        <v>50</v>
      </c>
      <c r="F1052" s="4">
        <v>3673</v>
      </c>
      <c r="G1052" s="4" t="s">
        <v>43</v>
      </c>
      <c r="H1052" s="4">
        <v>12</v>
      </c>
      <c r="I1052" s="4">
        <v>5</v>
      </c>
      <c r="J1052" s="4">
        <v>4</v>
      </c>
      <c r="K1052" s="4">
        <v>3</v>
      </c>
      <c r="L1052" s="4" t="str">
        <f t="shared" si="29"/>
        <v>NORMAL</v>
      </c>
      <c r="M1052" s="4" t="str">
        <f t="shared" si="30"/>
        <v>LOW</v>
      </c>
      <c r="N1052" s="4" t="str">
        <f t="shared" si="31"/>
        <v>SENIOR</v>
      </c>
      <c r="O1052" s="4" t="str">
        <f t="shared" si="32"/>
        <v>STAGNANT</v>
      </c>
      <c r="P1052" s="5" t="str">
        <f t="shared" si="33"/>
        <v>Medium_Pressure</v>
      </c>
      <c r="Q1052" s="4" t="str">
        <f t="shared" si="34"/>
        <v>HIGHLY_ENGAGED</v>
      </c>
      <c r="R1052" s="4" t="str">
        <f t="shared" si="28"/>
        <v>LOW</v>
      </c>
      <c r="S1052" s="2"/>
      <c r="T1052" s="2"/>
      <c r="U1052" s="2"/>
      <c r="V1052" s="2"/>
      <c r="W1052" s="2"/>
      <c r="X1052" s="2"/>
      <c r="Y1052" s="2"/>
      <c r="Z1052" s="2"/>
    </row>
    <row r="1053" spans="1:26" ht="16.8" x14ac:dyDescent="0.3">
      <c r="A1053" s="4">
        <v>1481</v>
      </c>
      <c r="B1053" s="4" t="s">
        <v>43</v>
      </c>
      <c r="C1053" s="4">
        <v>44</v>
      </c>
      <c r="D1053" s="4" t="s">
        <v>37</v>
      </c>
      <c r="E1053" s="4" t="s">
        <v>40</v>
      </c>
      <c r="F1053" s="4">
        <v>4768</v>
      </c>
      <c r="G1053" s="4" t="s">
        <v>43</v>
      </c>
      <c r="H1053" s="4">
        <v>1</v>
      </c>
      <c r="I1053" s="4">
        <v>0</v>
      </c>
      <c r="J1053" s="4">
        <v>3</v>
      </c>
      <c r="K1053" s="4">
        <v>2</v>
      </c>
      <c r="L1053" s="4" t="str">
        <f t="shared" si="29"/>
        <v>NORMAL</v>
      </c>
      <c r="M1053" s="4" t="str">
        <f t="shared" si="30"/>
        <v>HIGH</v>
      </c>
      <c r="N1053" s="4" t="str">
        <f t="shared" si="31"/>
        <v>NEW</v>
      </c>
      <c r="O1053" s="4" t="str">
        <f t="shared" si="32"/>
        <v>RECENTLY PROMOTED</v>
      </c>
      <c r="P1053" s="5" t="str">
        <f t="shared" si="33"/>
        <v>Low_Pressure</v>
      </c>
      <c r="Q1053" s="4" t="str">
        <f t="shared" si="34"/>
        <v>DISENGAGED</v>
      </c>
      <c r="R1053" s="4" t="str">
        <f t="shared" si="28"/>
        <v>LOW</v>
      </c>
      <c r="S1053" s="2"/>
      <c r="T1053" s="2"/>
      <c r="U1053" s="2"/>
      <c r="V1053" s="2"/>
      <c r="W1053" s="2"/>
      <c r="X1053" s="2"/>
      <c r="Y1053" s="2"/>
      <c r="Z1053" s="2"/>
    </row>
    <row r="1054" spans="1:26" ht="16.8" x14ac:dyDescent="0.3">
      <c r="A1054" s="4">
        <v>1482</v>
      </c>
      <c r="B1054" s="4" t="s">
        <v>43</v>
      </c>
      <c r="C1054" s="4">
        <v>30</v>
      </c>
      <c r="D1054" s="4" t="s">
        <v>45</v>
      </c>
      <c r="E1054" s="4" t="s">
        <v>47</v>
      </c>
      <c r="F1054" s="4">
        <v>1274</v>
      </c>
      <c r="G1054" s="4" t="s">
        <v>43</v>
      </c>
      <c r="H1054" s="4">
        <v>1</v>
      </c>
      <c r="I1054" s="4">
        <v>0</v>
      </c>
      <c r="J1054" s="4">
        <v>3</v>
      </c>
      <c r="K1054" s="4">
        <v>2</v>
      </c>
      <c r="L1054" s="4" t="str">
        <f t="shared" si="29"/>
        <v>NORMAL</v>
      </c>
      <c r="M1054" s="4" t="str">
        <f t="shared" si="30"/>
        <v>LOW</v>
      </c>
      <c r="N1054" s="4" t="str">
        <f t="shared" si="31"/>
        <v>NEW</v>
      </c>
      <c r="O1054" s="4" t="str">
        <f t="shared" si="32"/>
        <v>RECENTLY PROMOTED</v>
      </c>
      <c r="P1054" s="5" t="str">
        <f t="shared" si="33"/>
        <v>Low_Pressure</v>
      </c>
      <c r="Q1054" s="4" t="str">
        <f t="shared" si="34"/>
        <v>DISENGAGED</v>
      </c>
      <c r="R1054" s="4" t="str">
        <f t="shared" si="28"/>
        <v>LOW</v>
      </c>
      <c r="S1054" s="2"/>
      <c r="T1054" s="2"/>
      <c r="U1054" s="2"/>
      <c r="V1054" s="2"/>
      <c r="W1054" s="2"/>
      <c r="X1054" s="2"/>
      <c r="Y1054" s="2"/>
      <c r="Z1054" s="2"/>
    </row>
    <row r="1055" spans="1:26" ht="16.8" x14ac:dyDescent="0.3">
      <c r="A1055" s="4">
        <v>1483</v>
      </c>
      <c r="B1055" s="4" t="s">
        <v>43</v>
      </c>
      <c r="C1055" s="4">
        <v>57</v>
      </c>
      <c r="D1055" s="4" t="s">
        <v>45</v>
      </c>
      <c r="E1055" s="4" t="s">
        <v>47</v>
      </c>
      <c r="F1055" s="4">
        <v>4900</v>
      </c>
      <c r="G1055" s="4" t="s">
        <v>43</v>
      </c>
      <c r="H1055" s="4">
        <v>12</v>
      </c>
      <c r="I1055" s="4">
        <v>2</v>
      </c>
      <c r="J1055" s="4">
        <v>3</v>
      </c>
      <c r="K1055" s="4">
        <v>2</v>
      </c>
      <c r="L1055" s="4" t="str">
        <f t="shared" si="29"/>
        <v>NORMAL</v>
      </c>
      <c r="M1055" s="4" t="str">
        <f t="shared" si="30"/>
        <v>HIGH</v>
      </c>
      <c r="N1055" s="4" t="str">
        <f t="shared" si="31"/>
        <v>SENIOR</v>
      </c>
      <c r="O1055" s="4" t="str">
        <f t="shared" si="32"/>
        <v>MODERATE-WAIT</v>
      </c>
      <c r="P1055" s="5" t="str">
        <f t="shared" si="33"/>
        <v>Low_Pressure</v>
      </c>
      <c r="Q1055" s="4" t="str">
        <f t="shared" si="34"/>
        <v>DISENGAGED</v>
      </c>
      <c r="R1055" s="4" t="str">
        <f t="shared" si="28"/>
        <v>LOW</v>
      </c>
      <c r="S1055" s="2"/>
      <c r="T1055" s="2"/>
      <c r="U1055" s="2"/>
      <c r="V1055" s="2"/>
      <c r="W1055" s="2"/>
      <c r="X1055" s="2"/>
      <c r="Y1055" s="2"/>
      <c r="Z1055" s="2"/>
    </row>
    <row r="1056" spans="1:26" ht="16.8" x14ac:dyDescent="0.3">
      <c r="A1056" s="4">
        <v>1484</v>
      </c>
      <c r="B1056" s="4" t="s">
        <v>43</v>
      </c>
      <c r="C1056" s="4">
        <v>49</v>
      </c>
      <c r="D1056" s="4" t="s">
        <v>45</v>
      </c>
      <c r="E1056" s="4" t="s">
        <v>54</v>
      </c>
      <c r="F1056" s="4">
        <v>10466</v>
      </c>
      <c r="G1056" s="4" t="s">
        <v>43</v>
      </c>
      <c r="H1056" s="4">
        <v>8</v>
      </c>
      <c r="I1056" s="4">
        <v>0</v>
      </c>
      <c r="J1056" s="4">
        <v>2</v>
      </c>
      <c r="K1056" s="4">
        <v>3</v>
      </c>
      <c r="L1056" s="4" t="str">
        <f t="shared" si="29"/>
        <v>NORMAL</v>
      </c>
      <c r="M1056" s="4" t="str">
        <f t="shared" si="30"/>
        <v>MEDIUM</v>
      </c>
      <c r="N1056" s="4" t="str">
        <f t="shared" si="31"/>
        <v>SENIOR</v>
      </c>
      <c r="O1056" s="4" t="str">
        <f t="shared" si="32"/>
        <v>RECENTLY PROMOTED</v>
      </c>
      <c r="P1056" s="5" t="str">
        <f t="shared" si="33"/>
        <v>Medium_Pressure</v>
      </c>
      <c r="Q1056" s="4" t="str">
        <f t="shared" si="34"/>
        <v>DISENGAGED</v>
      </c>
      <c r="R1056" s="4" t="str">
        <f t="shared" si="28"/>
        <v>LOW</v>
      </c>
      <c r="S1056" s="2"/>
      <c r="T1056" s="2"/>
      <c r="U1056" s="2"/>
      <c r="V1056" s="2"/>
      <c r="W1056" s="2"/>
      <c r="X1056" s="2"/>
      <c r="Y1056" s="2"/>
      <c r="Z1056" s="2"/>
    </row>
    <row r="1057" spans="1:26" ht="16.8" x14ac:dyDescent="0.3">
      <c r="A1057" s="4">
        <v>1485</v>
      </c>
      <c r="B1057" s="4" t="s">
        <v>43</v>
      </c>
      <c r="C1057" s="4">
        <v>34</v>
      </c>
      <c r="D1057" s="4" t="s">
        <v>45</v>
      </c>
      <c r="E1057" s="4" t="s">
        <v>58</v>
      </c>
      <c r="F1057" s="4">
        <v>17007</v>
      </c>
      <c r="G1057" s="4" t="s">
        <v>43</v>
      </c>
      <c r="H1057" s="4">
        <v>14</v>
      </c>
      <c r="I1057" s="4">
        <v>6</v>
      </c>
      <c r="J1057" s="4">
        <v>1</v>
      </c>
      <c r="K1057" s="4">
        <v>2</v>
      </c>
      <c r="L1057" s="4" t="str">
        <f t="shared" si="29"/>
        <v>NORMAL</v>
      </c>
      <c r="M1057" s="4" t="str">
        <f t="shared" si="30"/>
        <v>MEDIUM</v>
      </c>
      <c r="N1057" s="4" t="str">
        <f t="shared" si="31"/>
        <v>SENIOR</v>
      </c>
      <c r="O1057" s="4" t="str">
        <f t="shared" si="32"/>
        <v>STAGNANT</v>
      </c>
      <c r="P1057" s="5" t="str">
        <f t="shared" si="33"/>
        <v>Low_Pressure</v>
      </c>
      <c r="Q1057" s="4" t="str">
        <f t="shared" si="34"/>
        <v>DISENGAGED</v>
      </c>
      <c r="R1057" s="4" t="str">
        <f t="shared" si="28"/>
        <v>LOW</v>
      </c>
      <c r="S1057" s="2"/>
      <c r="T1057" s="2"/>
      <c r="U1057" s="2"/>
      <c r="V1057" s="2"/>
      <c r="W1057" s="2"/>
      <c r="X1057" s="2"/>
      <c r="Y1057" s="2"/>
      <c r="Z1057" s="2"/>
    </row>
    <row r="1058" spans="1:26" ht="16.8" x14ac:dyDescent="0.3">
      <c r="A1058" s="4">
        <v>1486</v>
      </c>
      <c r="B1058" s="4" t="s">
        <v>35</v>
      </c>
      <c r="C1058" s="4">
        <v>28</v>
      </c>
      <c r="D1058" s="4" t="s">
        <v>37</v>
      </c>
      <c r="E1058" s="4" t="s">
        <v>57</v>
      </c>
      <c r="F1058" s="4">
        <v>2909</v>
      </c>
      <c r="G1058" s="4" t="s">
        <v>43</v>
      </c>
      <c r="H1058" s="4">
        <v>3</v>
      </c>
      <c r="I1058" s="4">
        <v>1</v>
      </c>
      <c r="J1058" s="4">
        <v>3</v>
      </c>
      <c r="K1058" s="4">
        <v>4</v>
      </c>
      <c r="L1058" s="4" t="str">
        <f t="shared" si="29"/>
        <v>NORMAL</v>
      </c>
      <c r="M1058" s="4" t="str">
        <f t="shared" si="30"/>
        <v>LOW</v>
      </c>
      <c r="N1058" s="4" t="str">
        <f t="shared" si="31"/>
        <v>MID</v>
      </c>
      <c r="O1058" s="4" t="str">
        <f t="shared" si="32"/>
        <v>RECENTLY PROMOTED</v>
      </c>
      <c r="P1058" s="5" t="str">
        <f t="shared" si="33"/>
        <v>Low_Pressure</v>
      </c>
      <c r="Q1058" s="4" t="str">
        <f t="shared" si="34"/>
        <v>HIGHLY_ENGAGED</v>
      </c>
      <c r="R1058" s="4" t="str">
        <f t="shared" si="28"/>
        <v>LOW</v>
      </c>
      <c r="S1058" s="2"/>
      <c r="T1058" s="2"/>
      <c r="U1058" s="2"/>
      <c r="V1058" s="2"/>
      <c r="W1058" s="2"/>
      <c r="X1058" s="2"/>
      <c r="Y1058" s="2"/>
      <c r="Z1058" s="2"/>
    </row>
    <row r="1059" spans="1:26" ht="16.8" x14ac:dyDescent="0.3">
      <c r="A1059" s="4">
        <v>1487</v>
      </c>
      <c r="B1059" s="4" t="s">
        <v>35</v>
      </c>
      <c r="C1059" s="4">
        <v>29</v>
      </c>
      <c r="D1059" s="4" t="s">
        <v>37</v>
      </c>
      <c r="E1059" s="4" t="s">
        <v>40</v>
      </c>
      <c r="F1059" s="4">
        <v>5765</v>
      </c>
      <c r="G1059" s="4" t="s">
        <v>43</v>
      </c>
      <c r="H1059" s="4">
        <v>5</v>
      </c>
      <c r="I1059" s="4">
        <v>0</v>
      </c>
      <c r="J1059" s="4">
        <v>2</v>
      </c>
      <c r="K1059" s="4">
        <v>1</v>
      </c>
      <c r="L1059" s="4" t="str">
        <f t="shared" si="29"/>
        <v>NORMAL</v>
      </c>
      <c r="M1059" s="4" t="str">
        <f t="shared" si="30"/>
        <v>HIGH</v>
      </c>
      <c r="N1059" s="4" t="str">
        <f t="shared" si="31"/>
        <v>MID</v>
      </c>
      <c r="O1059" s="4" t="str">
        <f t="shared" si="32"/>
        <v>RECENTLY PROMOTED</v>
      </c>
      <c r="P1059" s="5" t="str">
        <f t="shared" si="33"/>
        <v>Low_Pressure</v>
      </c>
      <c r="Q1059" s="4" t="str">
        <f t="shared" si="34"/>
        <v>DISENGAGED</v>
      </c>
      <c r="R1059" s="4" t="str">
        <f t="shared" si="28"/>
        <v>LOW</v>
      </c>
      <c r="S1059" s="2"/>
      <c r="T1059" s="2"/>
      <c r="U1059" s="2"/>
      <c r="V1059" s="2"/>
      <c r="W1059" s="2"/>
      <c r="X1059" s="2"/>
      <c r="Y1059" s="2"/>
      <c r="Z1059" s="2"/>
    </row>
    <row r="1060" spans="1:26" ht="16.8" x14ac:dyDescent="0.3">
      <c r="A1060" s="4">
        <v>1489</v>
      </c>
      <c r="B1060" s="4" t="s">
        <v>35</v>
      </c>
      <c r="C1060" s="4">
        <v>34</v>
      </c>
      <c r="D1060" s="4" t="s">
        <v>37</v>
      </c>
      <c r="E1060" s="4" t="s">
        <v>40</v>
      </c>
      <c r="F1060" s="4">
        <v>4599</v>
      </c>
      <c r="G1060" s="4" t="s">
        <v>35</v>
      </c>
      <c r="H1060" s="4">
        <v>15</v>
      </c>
      <c r="I1060" s="4">
        <v>10</v>
      </c>
      <c r="J1060" s="4">
        <v>2</v>
      </c>
      <c r="K1060" s="4">
        <v>4</v>
      </c>
      <c r="L1060" s="4" t="str">
        <f t="shared" si="29"/>
        <v>HIGH RISK</v>
      </c>
      <c r="M1060" s="4" t="str">
        <f t="shared" si="30"/>
        <v>HIGH</v>
      </c>
      <c r="N1060" s="4" t="str">
        <f t="shared" si="31"/>
        <v>SENIOR</v>
      </c>
      <c r="O1060" s="4" t="str">
        <f t="shared" si="32"/>
        <v>STAGNANT</v>
      </c>
      <c r="P1060" s="5" t="str">
        <f t="shared" si="33"/>
        <v>Medium_Pressure</v>
      </c>
      <c r="Q1060" s="4" t="str">
        <f t="shared" si="34"/>
        <v>DISENGAGED</v>
      </c>
      <c r="R1060" s="4" t="str">
        <f t="shared" si="28"/>
        <v>LOW</v>
      </c>
      <c r="S1060" s="2"/>
      <c r="T1060" s="2"/>
      <c r="U1060" s="2"/>
      <c r="V1060" s="2"/>
      <c r="W1060" s="2"/>
      <c r="X1060" s="2"/>
      <c r="Y1060" s="2"/>
      <c r="Z1060" s="2"/>
    </row>
    <row r="1061" spans="1:26" ht="16.8" x14ac:dyDescent="0.3">
      <c r="A1061" s="4">
        <v>1492</v>
      </c>
      <c r="B1061" s="4" t="s">
        <v>43</v>
      </c>
      <c r="C1061" s="4">
        <v>35</v>
      </c>
      <c r="D1061" s="4" t="s">
        <v>37</v>
      </c>
      <c r="E1061" s="4" t="s">
        <v>57</v>
      </c>
      <c r="F1061" s="4">
        <v>2404</v>
      </c>
      <c r="G1061" s="4" t="s">
        <v>43</v>
      </c>
      <c r="H1061" s="4">
        <v>1</v>
      </c>
      <c r="I1061" s="4">
        <v>0</v>
      </c>
      <c r="J1061" s="4">
        <v>3</v>
      </c>
      <c r="K1061" s="4">
        <v>3</v>
      </c>
      <c r="L1061" s="4" t="str">
        <f t="shared" si="29"/>
        <v>NORMAL</v>
      </c>
      <c r="M1061" s="4" t="str">
        <f t="shared" si="30"/>
        <v>LOW</v>
      </c>
      <c r="N1061" s="4" t="str">
        <f t="shared" si="31"/>
        <v>NEW</v>
      </c>
      <c r="O1061" s="4" t="str">
        <f t="shared" si="32"/>
        <v>RECENTLY PROMOTED</v>
      </c>
      <c r="P1061" s="5" t="str">
        <f t="shared" si="33"/>
        <v>Medium_Pressure</v>
      </c>
      <c r="Q1061" s="4" t="str">
        <f t="shared" si="34"/>
        <v>HIGHLY_ENGAGED</v>
      </c>
      <c r="R1061" s="4" t="str">
        <f t="shared" si="28"/>
        <v>LOW</v>
      </c>
      <c r="S1061" s="2"/>
      <c r="T1061" s="2"/>
      <c r="U1061" s="2"/>
      <c r="V1061" s="2"/>
      <c r="W1061" s="2"/>
      <c r="X1061" s="2"/>
      <c r="Y1061" s="2"/>
      <c r="Z1061" s="2"/>
    </row>
    <row r="1062" spans="1:26" ht="16.8" x14ac:dyDescent="0.3">
      <c r="A1062" s="4">
        <v>1494</v>
      </c>
      <c r="B1062" s="4" t="s">
        <v>35</v>
      </c>
      <c r="C1062" s="4">
        <v>24</v>
      </c>
      <c r="D1062" s="4" t="s">
        <v>45</v>
      </c>
      <c r="E1062" s="4" t="s">
        <v>50</v>
      </c>
      <c r="F1062" s="4">
        <v>3172</v>
      </c>
      <c r="G1062" s="4" t="s">
        <v>35</v>
      </c>
      <c r="H1062" s="4">
        <v>0</v>
      </c>
      <c r="I1062" s="4">
        <v>0</v>
      </c>
      <c r="J1062" s="4">
        <v>1</v>
      </c>
      <c r="K1062" s="4">
        <v>2</v>
      </c>
      <c r="L1062" s="4" t="str">
        <f t="shared" si="29"/>
        <v>NORMAL</v>
      </c>
      <c r="M1062" s="4" t="str">
        <f t="shared" si="30"/>
        <v>LOW</v>
      </c>
      <c r="N1062" s="4" t="str">
        <f t="shared" si="31"/>
        <v>NEW</v>
      </c>
      <c r="O1062" s="4" t="str">
        <f t="shared" si="32"/>
        <v>RECENTLY PROMOTED</v>
      </c>
      <c r="P1062" s="5" t="str">
        <f t="shared" si="33"/>
        <v>High_Pressure</v>
      </c>
      <c r="Q1062" s="4" t="str">
        <f t="shared" si="34"/>
        <v>DISENGAGED</v>
      </c>
      <c r="R1062" s="4" t="str">
        <f t="shared" si="28"/>
        <v>LOW</v>
      </c>
      <c r="S1062" s="2"/>
      <c r="T1062" s="2"/>
      <c r="U1062" s="2"/>
      <c r="V1062" s="2"/>
      <c r="W1062" s="2"/>
      <c r="X1062" s="2"/>
      <c r="Y1062" s="2"/>
      <c r="Z1062" s="2"/>
    </row>
    <row r="1063" spans="1:26" ht="16.8" x14ac:dyDescent="0.3">
      <c r="A1063" s="4">
        <v>1495</v>
      </c>
      <c r="B1063" s="4" t="s">
        <v>43</v>
      </c>
      <c r="C1063" s="4">
        <v>24</v>
      </c>
      <c r="D1063" s="4" t="s">
        <v>37</v>
      </c>
      <c r="E1063" s="4" t="s">
        <v>57</v>
      </c>
      <c r="F1063" s="4">
        <v>2033</v>
      </c>
      <c r="G1063" s="4" t="s">
        <v>43</v>
      </c>
      <c r="H1063" s="4">
        <v>1</v>
      </c>
      <c r="I1063" s="4">
        <v>0</v>
      </c>
      <c r="J1063" s="4">
        <v>2</v>
      </c>
      <c r="K1063" s="4">
        <v>3</v>
      </c>
      <c r="L1063" s="4" t="str">
        <f t="shared" si="29"/>
        <v>NORMAL</v>
      </c>
      <c r="M1063" s="4" t="str">
        <f t="shared" si="30"/>
        <v>LOW</v>
      </c>
      <c r="N1063" s="4" t="str">
        <f t="shared" si="31"/>
        <v>NEW</v>
      </c>
      <c r="O1063" s="4" t="str">
        <f t="shared" si="32"/>
        <v>RECENTLY PROMOTED</v>
      </c>
      <c r="P1063" s="5" t="str">
        <f t="shared" si="33"/>
        <v>Medium_Pressure</v>
      </c>
      <c r="Q1063" s="4" t="str">
        <f t="shared" si="34"/>
        <v>DISENGAGED</v>
      </c>
      <c r="R1063" s="4" t="str">
        <f t="shared" si="28"/>
        <v>LOW</v>
      </c>
      <c r="S1063" s="2"/>
      <c r="T1063" s="2"/>
      <c r="U1063" s="2"/>
      <c r="V1063" s="2"/>
      <c r="W1063" s="2"/>
      <c r="X1063" s="2"/>
      <c r="Y1063" s="2"/>
      <c r="Z1063" s="2"/>
    </row>
    <row r="1064" spans="1:26" ht="16.8" x14ac:dyDescent="0.3">
      <c r="A1064" s="4">
        <v>1496</v>
      </c>
      <c r="B1064" s="4" t="s">
        <v>43</v>
      </c>
      <c r="C1064" s="4">
        <v>44</v>
      </c>
      <c r="D1064" s="4" t="s">
        <v>45</v>
      </c>
      <c r="E1064" s="4" t="s">
        <v>53</v>
      </c>
      <c r="F1064" s="4">
        <v>10209</v>
      </c>
      <c r="G1064" s="4" t="s">
        <v>35</v>
      </c>
      <c r="H1064" s="4">
        <v>2</v>
      </c>
      <c r="I1064" s="4">
        <v>2</v>
      </c>
      <c r="J1064" s="4">
        <v>3</v>
      </c>
      <c r="K1064" s="4">
        <v>2</v>
      </c>
      <c r="L1064" s="4" t="str">
        <f t="shared" si="29"/>
        <v>NORMAL</v>
      </c>
      <c r="M1064" s="4" t="str">
        <f t="shared" si="30"/>
        <v>MEDIUM</v>
      </c>
      <c r="N1064" s="4" t="str">
        <f t="shared" si="31"/>
        <v>NEW</v>
      </c>
      <c r="O1064" s="4" t="str">
        <f t="shared" si="32"/>
        <v>MODERATE-WAIT</v>
      </c>
      <c r="P1064" s="5" t="str">
        <f t="shared" si="33"/>
        <v>High_Pressure</v>
      </c>
      <c r="Q1064" s="4" t="str">
        <f t="shared" si="34"/>
        <v>DISENGAGED</v>
      </c>
      <c r="R1064" s="4" t="str">
        <f t="shared" si="28"/>
        <v>LOW</v>
      </c>
      <c r="S1064" s="2"/>
      <c r="T1064" s="2"/>
      <c r="U1064" s="2"/>
      <c r="V1064" s="2"/>
      <c r="W1064" s="2"/>
      <c r="X1064" s="2"/>
      <c r="Y1064" s="2"/>
      <c r="Z1064" s="2"/>
    </row>
    <row r="1065" spans="1:26" ht="16.8" x14ac:dyDescent="0.3">
      <c r="A1065" s="4">
        <v>1497</v>
      </c>
      <c r="B1065" s="4" t="s">
        <v>43</v>
      </c>
      <c r="C1065" s="4">
        <v>29</v>
      </c>
      <c r="D1065" s="4" t="s">
        <v>37</v>
      </c>
      <c r="E1065" s="4" t="s">
        <v>40</v>
      </c>
      <c r="F1065" s="4">
        <v>8620</v>
      </c>
      <c r="G1065" s="4" t="s">
        <v>43</v>
      </c>
      <c r="H1065" s="4">
        <v>10</v>
      </c>
      <c r="I1065" s="4">
        <v>0</v>
      </c>
      <c r="J1065" s="4">
        <v>3</v>
      </c>
      <c r="K1065" s="4">
        <v>3</v>
      </c>
      <c r="L1065" s="4" t="str">
        <f t="shared" si="29"/>
        <v>NORMAL</v>
      </c>
      <c r="M1065" s="4" t="str">
        <f t="shared" si="30"/>
        <v>HIGH</v>
      </c>
      <c r="N1065" s="4" t="str">
        <f t="shared" si="31"/>
        <v>SENIOR</v>
      </c>
      <c r="O1065" s="4" t="str">
        <f t="shared" si="32"/>
        <v>RECENTLY PROMOTED</v>
      </c>
      <c r="P1065" s="5" t="str">
        <f t="shared" si="33"/>
        <v>Medium_Pressure</v>
      </c>
      <c r="Q1065" s="4" t="str">
        <f t="shared" si="34"/>
        <v>HIGHLY_ENGAGED</v>
      </c>
      <c r="R1065" s="4" t="str">
        <f t="shared" si="28"/>
        <v>LOW</v>
      </c>
      <c r="S1065" s="2"/>
      <c r="T1065" s="2"/>
      <c r="U1065" s="2"/>
      <c r="V1065" s="2"/>
      <c r="W1065" s="2"/>
      <c r="X1065" s="2"/>
      <c r="Y1065" s="2"/>
      <c r="Z1065" s="2"/>
    </row>
    <row r="1066" spans="1:26" ht="16.8" x14ac:dyDescent="0.3">
      <c r="A1066" s="4">
        <v>1499</v>
      </c>
      <c r="B1066" s="4" t="s">
        <v>43</v>
      </c>
      <c r="C1066" s="4">
        <v>30</v>
      </c>
      <c r="D1066" s="4" t="s">
        <v>61</v>
      </c>
      <c r="E1066" s="4" t="s">
        <v>61</v>
      </c>
      <c r="F1066" s="4">
        <v>2064</v>
      </c>
      <c r="G1066" s="4" t="s">
        <v>43</v>
      </c>
      <c r="H1066" s="4">
        <v>5</v>
      </c>
      <c r="I1066" s="4">
        <v>1</v>
      </c>
      <c r="J1066" s="4">
        <v>3</v>
      </c>
      <c r="K1066" s="4">
        <v>4</v>
      </c>
      <c r="L1066" s="4" t="str">
        <f t="shared" si="29"/>
        <v>NORMAL</v>
      </c>
      <c r="M1066" s="4" t="str">
        <f t="shared" si="30"/>
        <v>LOW</v>
      </c>
      <c r="N1066" s="4" t="str">
        <f t="shared" si="31"/>
        <v>MID</v>
      </c>
      <c r="O1066" s="4" t="str">
        <f t="shared" si="32"/>
        <v>RECENTLY PROMOTED</v>
      </c>
      <c r="P1066" s="5" t="str">
        <f t="shared" si="33"/>
        <v>Low_Pressure</v>
      </c>
      <c r="Q1066" s="4" t="str">
        <f t="shared" si="34"/>
        <v>HIGHLY_ENGAGED</v>
      </c>
      <c r="R1066" s="4" t="str">
        <f t="shared" si="28"/>
        <v>LOW</v>
      </c>
      <c r="S1066" s="2"/>
      <c r="T1066" s="2"/>
      <c r="U1066" s="2"/>
      <c r="V1066" s="2"/>
      <c r="W1066" s="2"/>
      <c r="X1066" s="2"/>
      <c r="Y1066" s="2"/>
      <c r="Z1066" s="2"/>
    </row>
    <row r="1067" spans="1:26" ht="16.8" x14ac:dyDescent="0.3">
      <c r="A1067" s="4">
        <v>1501</v>
      </c>
      <c r="B1067" s="4" t="s">
        <v>43</v>
      </c>
      <c r="C1067" s="4">
        <v>55</v>
      </c>
      <c r="D1067" s="4" t="s">
        <v>45</v>
      </c>
      <c r="E1067" s="4" t="s">
        <v>54</v>
      </c>
      <c r="F1067" s="4">
        <v>4035</v>
      </c>
      <c r="G1067" s="4" t="s">
        <v>35</v>
      </c>
      <c r="H1067" s="4">
        <v>3</v>
      </c>
      <c r="I1067" s="4">
        <v>1</v>
      </c>
      <c r="J1067" s="4">
        <v>3</v>
      </c>
      <c r="K1067" s="4">
        <v>3</v>
      </c>
      <c r="L1067" s="4" t="str">
        <f t="shared" si="29"/>
        <v>NORMAL</v>
      </c>
      <c r="M1067" s="4" t="str">
        <f t="shared" si="30"/>
        <v>HIGH</v>
      </c>
      <c r="N1067" s="4" t="str">
        <f t="shared" si="31"/>
        <v>MID</v>
      </c>
      <c r="O1067" s="4" t="str">
        <f t="shared" si="32"/>
        <v>RECENTLY PROMOTED</v>
      </c>
      <c r="P1067" s="5" t="str">
        <f t="shared" si="33"/>
        <v>Medium_Pressure</v>
      </c>
      <c r="Q1067" s="4" t="str">
        <f t="shared" si="34"/>
        <v>HIGHLY_ENGAGED</v>
      </c>
      <c r="R1067" s="4" t="str">
        <f t="shared" si="28"/>
        <v>LOW</v>
      </c>
      <c r="S1067" s="2"/>
      <c r="T1067" s="2"/>
      <c r="U1067" s="2"/>
      <c r="V1067" s="2"/>
      <c r="W1067" s="2"/>
      <c r="X1067" s="2"/>
      <c r="Y1067" s="2"/>
      <c r="Z1067" s="2"/>
    </row>
    <row r="1068" spans="1:26" ht="16.8" x14ac:dyDescent="0.3">
      <c r="A1068" s="4">
        <v>1502</v>
      </c>
      <c r="B1068" s="4" t="s">
        <v>43</v>
      </c>
      <c r="C1068" s="4">
        <v>33</v>
      </c>
      <c r="D1068" s="4" t="s">
        <v>45</v>
      </c>
      <c r="E1068" s="4" t="s">
        <v>50</v>
      </c>
      <c r="F1068" s="4">
        <v>3838</v>
      </c>
      <c r="G1068" s="4" t="s">
        <v>43</v>
      </c>
      <c r="H1068" s="4">
        <v>5</v>
      </c>
      <c r="I1068" s="4">
        <v>0</v>
      </c>
      <c r="J1068" s="4">
        <v>2</v>
      </c>
      <c r="K1068" s="4">
        <v>3</v>
      </c>
      <c r="L1068" s="4" t="str">
        <f t="shared" si="29"/>
        <v>NORMAL</v>
      </c>
      <c r="M1068" s="4" t="str">
        <f t="shared" si="30"/>
        <v>LOW</v>
      </c>
      <c r="N1068" s="4" t="str">
        <f t="shared" si="31"/>
        <v>MID</v>
      </c>
      <c r="O1068" s="4" t="str">
        <f t="shared" si="32"/>
        <v>RECENTLY PROMOTED</v>
      </c>
      <c r="P1068" s="5" t="str">
        <f t="shared" si="33"/>
        <v>Medium_Pressure</v>
      </c>
      <c r="Q1068" s="4" t="str">
        <f t="shared" si="34"/>
        <v>DISENGAGED</v>
      </c>
      <c r="R1068" s="4" t="str">
        <f t="shared" si="28"/>
        <v>LOW</v>
      </c>
      <c r="S1068" s="2"/>
      <c r="T1068" s="2"/>
      <c r="U1068" s="2"/>
      <c r="V1068" s="2"/>
      <c r="W1068" s="2"/>
      <c r="X1068" s="2"/>
      <c r="Y1068" s="2"/>
      <c r="Z1068" s="2"/>
    </row>
    <row r="1069" spans="1:26" ht="16.8" x14ac:dyDescent="0.3">
      <c r="A1069" s="4">
        <v>1503</v>
      </c>
      <c r="B1069" s="4" t="s">
        <v>43</v>
      </c>
      <c r="C1069" s="4">
        <v>47</v>
      </c>
      <c r="D1069" s="4" t="s">
        <v>37</v>
      </c>
      <c r="E1069" s="4" t="s">
        <v>40</v>
      </c>
      <c r="F1069" s="4">
        <v>4591</v>
      </c>
      <c r="G1069" s="4" t="s">
        <v>35</v>
      </c>
      <c r="H1069" s="4">
        <v>5</v>
      </c>
      <c r="I1069" s="4">
        <v>1</v>
      </c>
      <c r="J1069" s="4">
        <v>3</v>
      </c>
      <c r="K1069" s="4">
        <v>2</v>
      </c>
      <c r="L1069" s="4" t="str">
        <f t="shared" si="29"/>
        <v>NORMAL</v>
      </c>
      <c r="M1069" s="4" t="str">
        <f t="shared" si="30"/>
        <v>HIGH</v>
      </c>
      <c r="N1069" s="4" t="str">
        <f t="shared" si="31"/>
        <v>MID</v>
      </c>
      <c r="O1069" s="4" t="str">
        <f t="shared" si="32"/>
        <v>RECENTLY PROMOTED</v>
      </c>
      <c r="P1069" s="5" t="str">
        <f t="shared" si="33"/>
        <v>High_Pressure</v>
      </c>
      <c r="Q1069" s="4" t="str">
        <f t="shared" si="34"/>
        <v>DISENGAGED</v>
      </c>
      <c r="R1069" s="4" t="str">
        <f t="shared" si="28"/>
        <v>LOW</v>
      </c>
      <c r="S1069" s="2"/>
      <c r="T1069" s="2"/>
      <c r="U1069" s="2"/>
      <c r="V1069" s="2"/>
      <c r="W1069" s="2"/>
      <c r="X1069" s="2"/>
      <c r="Y1069" s="2"/>
      <c r="Z1069" s="2"/>
    </row>
    <row r="1070" spans="1:26" ht="16.8" x14ac:dyDescent="0.3">
      <c r="A1070" s="4">
        <v>1504</v>
      </c>
      <c r="B1070" s="4" t="s">
        <v>35</v>
      </c>
      <c r="C1070" s="4">
        <v>28</v>
      </c>
      <c r="D1070" s="4" t="s">
        <v>45</v>
      </c>
      <c r="E1070" s="4" t="s">
        <v>50</v>
      </c>
      <c r="F1070" s="4">
        <v>2561</v>
      </c>
      <c r="G1070" s="4" t="s">
        <v>43</v>
      </c>
      <c r="H1070" s="4">
        <v>0</v>
      </c>
      <c r="I1070" s="4">
        <v>0</v>
      </c>
      <c r="J1070" s="4">
        <v>1</v>
      </c>
      <c r="K1070" s="4">
        <v>2</v>
      </c>
      <c r="L1070" s="4" t="str">
        <f t="shared" si="29"/>
        <v>NORMAL</v>
      </c>
      <c r="M1070" s="4" t="str">
        <f t="shared" si="30"/>
        <v>LOW</v>
      </c>
      <c r="N1070" s="4" t="str">
        <f t="shared" si="31"/>
        <v>NEW</v>
      </c>
      <c r="O1070" s="4" t="str">
        <f t="shared" si="32"/>
        <v>RECENTLY PROMOTED</v>
      </c>
      <c r="P1070" s="5" t="str">
        <f t="shared" si="33"/>
        <v>Low_Pressure</v>
      </c>
      <c r="Q1070" s="4" t="str">
        <f t="shared" si="34"/>
        <v>DISENGAGED</v>
      </c>
      <c r="R1070" s="4" t="str">
        <f t="shared" si="28"/>
        <v>LOW</v>
      </c>
      <c r="S1070" s="2"/>
      <c r="T1070" s="2"/>
      <c r="U1070" s="2"/>
      <c r="V1070" s="2"/>
      <c r="W1070" s="2"/>
      <c r="X1070" s="2"/>
      <c r="Y1070" s="2"/>
      <c r="Z1070" s="2"/>
    </row>
    <row r="1071" spans="1:26" ht="16.8" x14ac:dyDescent="0.3">
      <c r="A1071" s="4">
        <v>1506</v>
      </c>
      <c r="B1071" s="4" t="s">
        <v>43</v>
      </c>
      <c r="C1071" s="4">
        <v>28</v>
      </c>
      <c r="D1071" s="4" t="s">
        <v>45</v>
      </c>
      <c r="E1071" s="4" t="s">
        <v>47</v>
      </c>
      <c r="F1071" s="4">
        <v>1563</v>
      </c>
      <c r="G1071" s="4" t="s">
        <v>43</v>
      </c>
      <c r="H1071" s="4">
        <v>1</v>
      </c>
      <c r="I1071" s="4">
        <v>0</v>
      </c>
      <c r="J1071" s="4">
        <v>3</v>
      </c>
      <c r="K1071" s="4">
        <v>1</v>
      </c>
      <c r="L1071" s="4" t="str">
        <f t="shared" si="29"/>
        <v>NORMAL</v>
      </c>
      <c r="M1071" s="4" t="str">
        <f t="shared" si="30"/>
        <v>LOW</v>
      </c>
      <c r="N1071" s="4" t="str">
        <f t="shared" si="31"/>
        <v>NEW</v>
      </c>
      <c r="O1071" s="4" t="str">
        <f t="shared" si="32"/>
        <v>RECENTLY PROMOTED</v>
      </c>
      <c r="P1071" s="5" t="str">
        <f t="shared" si="33"/>
        <v>Low_Pressure</v>
      </c>
      <c r="Q1071" s="4" t="str">
        <f t="shared" si="34"/>
        <v>DISENGAGED</v>
      </c>
      <c r="R1071" s="4" t="str">
        <f t="shared" si="28"/>
        <v>LOW</v>
      </c>
      <c r="S1071" s="2"/>
      <c r="T1071" s="2"/>
      <c r="U1071" s="2"/>
      <c r="V1071" s="2"/>
      <c r="W1071" s="2"/>
      <c r="X1071" s="2"/>
      <c r="Y1071" s="2"/>
      <c r="Z1071" s="2"/>
    </row>
    <row r="1072" spans="1:26" ht="16.8" x14ac:dyDescent="0.3">
      <c r="A1072" s="4">
        <v>1507</v>
      </c>
      <c r="B1072" s="4" t="s">
        <v>43</v>
      </c>
      <c r="C1072" s="4">
        <v>28</v>
      </c>
      <c r="D1072" s="4" t="s">
        <v>37</v>
      </c>
      <c r="E1072" s="4" t="s">
        <v>40</v>
      </c>
      <c r="F1072" s="4">
        <v>4898</v>
      </c>
      <c r="G1072" s="4" t="s">
        <v>43</v>
      </c>
      <c r="H1072" s="4">
        <v>4</v>
      </c>
      <c r="I1072" s="4">
        <v>1</v>
      </c>
      <c r="J1072" s="4">
        <v>1</v>
      </c>
      <c r="K1072" s="4">
        <v>3</v>
      </c>
      <c r="L1072" s="4" t="str">
        <f t="shared" si="29"/>
        <v>NORMAL</v>
      </c>
      <c r="M1072" s="4" t="str">
        <f t="shared" si="30"/>
        <v>HIGH</v>
      </c>
      <c r="N1072" s="4" t="str">
        <f t="shared" si="31"/>
        <v>MID</v>
      </c>
      <c r="O1072" s="4" t="str">
        <f t="shared" si="32"/>
        <v>RECENTLY PROMOTED</v>
      </c>
      <c r="P1072" s="5" t="str">
        <f t="shared" si="33"/>
        <v>Medium_Pressure</v>
      </c>
      <c r="Q1072" s="4" t="str">
        <f t="shared" si="34"/>
        <v>DISENGAGED</v>
      </c>
      <c r="R1072" s="4" t="str">
        <f t="shared" si="28"/>
        <v>LOW</v>
      </c>
      <c r="S1072" s="2"/>
      <c r="T1072" s="2"/>
      <c r="U1072" s="2"/>
      <c r="V1072" s="2"/>
      <c r="W1072" s="2"/>
      <c r="X1072" s="2"/>
      <c r="Y1072" s="2"/>
      <c r="Z1072" s="2"/>
    </row>
    <row r="1073" spans="1:26" ht="16.8" x14ac:dyDescent="0.3">
      <c r="A1073" s="4">
        <v>1509</v>
      </c>
      <c r="B1073" s="4" t="s">
        <v>43</v>
      </c>
      <c r="C1073" s="4">
        <v>49</v>
      </c>
      <c r="D1073" s="4" t="s">
        <v>45</v>
      </c>
      <c r="E1073" s="4" t="s">
        <v>50</v>
      </c>
      <c r="F1073" s="4">
        <v>4789</v>
      </c>
      <c r="G1073" s="4" t="s">
        <v>43</v>
      </c>
      <c r="H1073" s="4">
        <v>3</v>
      </c>
      <c r="I1073" s="4">
        <v>1</v>
      </c>
      <c r="J1073" s="4">
        <v>1</v>
      </c>
      <c r="K1073" s="4">
        <v>3</v>
      </c>
      <c r="L1073" s="4" t="str">
        <f t="shared" si="29"/>
        <v>NORMAL</v>
      </c>
      <c r="M1073" s="4" t="str">
        <f t="shared" si="30"/>
        <v>HIGH</v>
      </c>
      <c r="N1073" s="4" t="str">
        <f t="shared" si="31"/>
        <v>MID</v>
      </c>
      <c r="O1073" s="4" t="str">
        <f t="shared" si="32"/>
        <v>RECENTLY PROMOTED</v>
      </c>
      <c r="P1073" s="5" t="str">
        <f t="shared" si="33"/>
        <v>Medium_Pressure</v>
      </c>
      <c r="Q1073" s="4" t="str">
        <f t="shared" si="34"/>
        <v>DISENGAGED</v>
      </c>
      <c r="R1073" s="4" t="str">
        <f t="shared" si="28"/>
        <v>LOW</v>
      </c>
      <c r="S1073" s="2"/>
      <c r="T1073" s="2"/>
      <c r="U1073" s="2"/>
      <c r="V1073" s="2"/>
      <c r="W1073" s="2"/>
      <c r="X1073" s="2"/>
      <c r="Y1073" s="2"/>
      <c r="Z1073" s="2"/>
    </row>
    <row r="1074" spans="1:26" ht="16.8" x14ac:dyDescent="0.3">
      <c r="A1074" s="4">
        <v>1513</v>
      </c>
      <c r="B1074" s="4" t="s">
        <v>43</v>
      </c>
      <c r="C1074" s="4">
        <v>29</v>
      </c>
      <c r="D1074" s="4" t="s">
        <v>45</v>
      </c>
      <c r="E1074" s="4" t="s">
        <v>50</v>
      </c>
      <c r="F1074" s="4">
        <v>3180</v>
      </c>
      <c r="G1074" s="4" t="s">
        <v>43</v>
      </c>
      <c r="H1074" s="4">
        <v>3</v>
      </c>
      <c r="I1074" s="4">
        <v>0</v>
      </c>
      <c r="J1074" s="4">
        <v>2</v>
      </c>
      <c r="K1074" s="4">
        <v>3</v>
      </c>
      <c r="L1074" s="4" t="str">
        <f t="shared" si="29"/>
        <v>NORMAL</v>
      </c>
      <c r="M1074" s="4" t="str">
        <f t="shared" si="30"/>
        <v>LOW</v>
      </c>
      <c r="N1074" s="4" t="str">
        <f t="shared" si="31"/>
        <v>MID</v>
      </c>
      <c r="O1074" s="4" t="str">
        <f t="shared" si="32"/>
        <v>RECENTLY PROMOTED</v>
      </c>
      <c r="P1074" s="5" t="str">
        <f t="shared" si="33"/>
        <v>Medium_Pressure</v>
      </c>
      <c r="Q1074" s="4" t="str">
        <f t="shared" si="34"/>
        <v>DISENGAGED</v>
      </c>
      <c r="R1074" s="4" t="str">
        <f t="shared" si="28"/>
        <v>LOW</v>
      </c>
      <c r="S1074" s="2"/>
      <c r="T1074" s="2"/>
      <c r="U1074" s="2"/>
      <c r="V1074" s="2"/>
      <c r="W1074" s="2"/>
      <c r="X1074" s="2"/>
      <c r="Y1074" s="2"/>
      <c r="Z1074" s="2"/>
    </row>
    <row r="1075" spans="1:26" ht="16.8" x14ac:dyDescent="0.3">
      <c r="A1075" s="4">
        <v>1514</v>
      </c>
      <c r="B1075" s="4" t="s">
        <v>43</v>
      </c>
      <c r="C1075" s="4">
        <v>28</v>
      </c>
      <c r="D1075" s="4" t="s">
        <v>45</v>
      </c>
      <c r="E1075" s="4" t="s">
        <v>53</v>
      </c>
      <c r="F1075" s="4">
        <v>6549</v>
      </c>
      <c r="G1075" s="4" t="s">
        <v>43</v>
      </c>
      <c r="H1075" s="4">
        <v>8</v>
      </c>
      <c r="I1075" s="4">
        <v>1</v>
      </c>
      <c r="J1075" s="4">
        <v>2</v>
      </c>
      <c r="K1075" s="4">
        <v>2</v>
      </c>
      <c r="L1075" s="4" t="str">
        <f t="shared" si="29"/>
        <v>NORMAL</v>
      </c>
      <c r="M1075" s="4" t="str">
        <f t="shared" si="30"/>
        <v>HIGH</v>
      </c>
      <c r="N1075" s="4" t="str">
        <f t="shared" si="31"/>
        <v>SENIOR</v>
      </c>
      <c r="O1075" s="4" t="str">
        <f t="shared" si="32"/>
        <v>RECENTLY PROMOTED</v>
      </c>
      <c r="P1075" s="5" t="str">
        <f t="shared" si="33"/>
        <v>Low_Pressure</v>
      </c>
      <c r="Q1075" s="4" t="str">
        <f t="shared" si="34"/>
        <v>DISENGAGED</v>
      </c>
      <c r="R1075" s="4" t="str">
        <f t="shared" si="28"/>
        <v>LOW</v>
      </c>
      <c r="S1075" s="2"/>
      <c r="T1075" s="2"/>
      <c r="U1075" s="2"/>
      <c r="V1075" s="2"/>
      <c r="W1075" s="2"/>
      <c r="X1075" s="2"/>
      <c r="Y1075" s="2"/>
      <c r="Z1075" s="2"/>
    </row>
    <row r="1076" spans="1:26" ht="16.8" x14ac:dyDescent="0.3">
      <c r="A1076" s="4">
        <v>1515</v>
      </c>
      <c r="B1076" s="4" t="s">
        <v>43</v>
      </c>
      <c r="C1076" s="4">
        <v>33</v>
      </c>
      <c r="D1076" s="4" t="s">
        <v>45</v>
      </c>
      <c r="E1076" s="4" t="s">
        <v>54</v>
      </c>
      <c r="F1076" s="4">
        <v>6388</v>
      </c>
      <c r="G1076" s="4" t="s">
        <v>35</v>
      </c>
      <c r="H1076" s="4">
        <v>0</v>
      </c>
      <c r="I1076" s="4">
        <v>0</v>
      </c>
      <c r="J1076" s="4">
        <v>3</v>
      </c>
      <c r="K1076" s="4">
        <v>3</v>
      </c>
      <c r="L1076" s="4" t="str">
        <f t="shared" si="29"/>
        <v>NORMAL</v>
      </c>
      <c r="M1076" s="4" t="str">
        <f t="shared" si="30"/>
        <v>HIGH</v>
      </c>
      <c r="N1076" s="4" t="str">
        <f t="shared" si="31"/>
        <v>NEW</v>
      </c>
      <c r="O1076" s="4" t="str">
        <f t="shared" si="32"/>
        <v>RECENTLY PROMOTED</v>
      </c>
      <c r="P1076" s="5" t="str">
        <f t="shared" si="33"/>
        <v>Medium_Pressure</v>
      </c>
      <c r="Q1076" s="4" t="str">
        <f t="shared" si="34"/>
        <v>HIGHLY_ENGAGED</v>
      </c>
      <c r="R1076" s="4" t="str">
        <f t="shared" si="28"/>
        <v>LOW</v>
      </c>
      <c r="S1076" s="2"/>
      <c r="T1076" s="2"/>
      <c r="U1076" s="2"/>
      <c r="V1076" s="2"/>
      <c r="W1076" s="2"/>
      <c r="X1076" s="2"/>
      <c r="Y1076" s="2"/>
      <c r="Z1076" s="2"/>
    </row>
    <row r="1077" spans="1:26" ht="16.8" x14ac:dyDescent="0.3">
      <c r="A1077" s="4">
        <v>1516</v>
      </c>
      <c r="B1077" s="4" t="s">
        <v>43</v>
      </c>
      <c r="C1077" s="4">
        <v>32</v>
      </c>
      <c r="D1077" s="4" t="s">
        <v>45</v>
      </c>
      <c r="E1077" s="4" t="s">
        <v>56</v>
      </c>
      <c r="F1077" s="4">
        <v>11244</v>
      </c>
      <c r="G1077" s="4" t="s">
        <v>43</v>
      </c>
      <c r="H1077" s="4">
        <v>5</v>
      </c>
      <c r="I1077" s="4">
        <v>0</v>
      </c>
      <c r="J1077" s="4">
        <v>4</v>
      </c>
      <c r="K1077" s="4">
        <v>4</v>
      </c>
      <c r="L1077" s="4" t="str">
        <f t="shared" si="29"/>
        <v>NORMAL</v>
      </c>
      <c r="M1077" s="4" t="str">
        <f t="shared" si="30"/>
        <v>MEDIUM</v>
      </c>
      <c r="N1077" s="4" t="str">
        <f t="shared" si="31"/>
        <v>MID</v>
      </c>
      <c r="O1077" s="4" t="str">
        <f t="shared" si="32"/>
        <v>RECENTLY PROMOTED</v>
      </c>
      <c r="P1077" s="5" t="str">
        <f t="shared" si="33"/>
        <v>Low_Pressure</v>
      </c>
      <c r="Q1077" s="4" t="str">
        <f t="shared" si="34"/>
        <v>HIGHLY_ENGAGED</v>
      </c>
      <c r="R1077" s="4" t="str">
        <f t="shared" si="28"/>
        <v>LOW</v>
      </c>
      <c r="S1077" s="2"/>
      <c r="T1077" s="2"/>
      <c r="U1077" s="2"/>
      <c r="V1077" s="2"/>
      <c r="W1077" s="2"/>
      <c r="X1077" s="2"/>
      <c r="Y1077" s="2"/>
      <c r="Z1077" s="2"/>
    </row>
    <row r="1078" spans="1:26" ht="16.8" x14ac:dyDescent="0.3">
      <c r="A1078" s="4">
        <v>1520</v>
      </c>
      <c r="B1078" s="4" t="s">
        <v>43</v>
      </c>
      <c r="C1078" s="4">
        <v>54</v>
      </c>
      <c r="D1078" s="4" t="s">
        <v>45</v>
      </c>
      <c r="E1078" s="4" t="s">
        <v>56</v>
      </c>
      <c r="F1078" s="4">
        <v>16032</v>
      </c>
      <c r="G1078" s="4" t="s">
        <v>43</v>
      </c>
      <c r="H1078" s="4">
        <v>14</v>
      </c>
      <c r="I1078" s="4">
        <v>1</v>
      </c>
      <c r="J1078" s="4">
        <v>4</v>
      </c>
      <c r="K1078" s="4">
        <v>3</v>
      </c>
      <c r="L1078" s="4" t="str">
        <f t="shared" si="29"/>
        <v>NORMAL</v>
      </c>
      <c r="M1078" s="4" t="str">
        <f t="shared" si="30"/>
        <v>MEDIUM</v>
      </c>
      <c r="N1078" s="4" t="str">
        <f t="shared" si="31"/>
        <v>SENIOR</v>
      </c>
      <c r="O1078" s="4" t="str">
        <f t="shared" si="32"/>
        <v>RECENTLY PROMOTED</v>
      </c>
      <c r="P1078" s="5" t="str">
        <f t="shared" si="33"/>
        <v>Medium_Pressure</v>
      </c>
      <c r="Q1078" s="4" t="str">
        <f t="shared" si="34"/>
        <v>HIGHLY_ENGAGED</v>
      </c>
      <c r="R1078" s="4" t="str">
        <f t="shared" si="28"/>
        <v>LOW</v>
      </c>
      <c r="S1078" s="2"/>
      <c r="T1078" s="2"/>
      <c r="U1078" s="2"/>
      <c r="V1078" s="2"/>
      <c r="W1078" s="2"/>
      <c r="X1078" s="2"/>
      <c r="Y1078" s="2"/>
      <c r="Z1078" s="2"/>
    </row>
    <row r="1079" spans="1:26" ht="16.8" x14ac:dyDescent="0.3">
      <c r="A1079" s="4">
        <v>1522</v>
      </c>
      <c r="B1079" s="4" t="s">
        <v>35</v>
      </c>
      <c r="C1079" s="4">
        <v>29</v>
      </c>
      <c r="D1079" s="4" t="s">
        <v>45</v>
      </c>
      <c r="E1079" s="4" t="s">
        <v>47</v>
      </c>
      <c r="F1079" s="4">
        <v>2362</v>
      </c>
      <c r="G1079" s="4" t="s">
        <v>43</v>
      </c>
      <c r="H1079" s="4">
        <v>9</v>
      </c>
      <c r="I1079" s="4">
        <v>0</v>
      </c>
      <c r="J1079" s="4">
        <v>1</v>
      </c>
      <c r="K1079" s="4">
        <v>1</v>
      </c>
      <c r="L1079" s="4" t="str">
        <f t="shared" si="29"/>
        <v>NORMAL</v>
      </c>
      <c r="M1079" s="4" t="str">
        <f t="shared" si="30"/>
        <v>LOW</v>
      </c>
      <c r="N1079" s="4" t="str">
        <f t="shared" si="31"/>
        <v>SENIOR</v>
      </c>
      <c r="O1079" s="4" t="str">
        <f t="shared" si="32"/>
        <v>RECENTLY PROMOTED</v>
      </c>
      <c r="P1079" s="5" t="str">
        <f t="shared" si="33"/>
        <v>Low_Pressure</v>
      </c>
      <c r="Q1079" s="4" t="str">
        <f t="shared" si="34"/>
        <v>DISENGAGED</v>
      </c>
      <c r="R1079" s="4" t="str">
        <f t="shared" si="28"/>
        <v>LOW</v>
      </c>
      <c r="S1079" s="2"/>
      <c r="T1079" s="2"/>
      <c r="U1079" s="2"/>
      <c r="V1079" s="2"/>
      <c r="W1079" s="2"/>
      <c r="X1079" s="2"/>
      <c r="Y1079" s="2"/>
      <c r="Z1079" s="2"/>
    </row>
    <row r="1080" spans="1:26" ht="16.8" x14ac:dyDescent="0.3">
      <c r="A1080" s="4">
        <v>1523</v>
      </c>
      <c r="B1080" s="4" t="s">
        <v>43</v>
      </c>
      <c r="C1080" s="4">
        <v>44</v>
      </c>
      <c r="D1080" s="4" t="s">
        <v>45</v>
      </c>
      <c r="E1080" s="4" t="s">
        <v>58</v>
      </c>
      <c r="F1080" s="4">
        <v>16328</v>
      </c>
      <c r="G1080" s="4" t="s">
        <v>43</v>
      </c>
      <c r="H1080" s="4">
        <v>20</v>
      </c>
      <c r="I1080" s="4">
        <v>14</v>
      </c>
      <c r="J1080" s="4">
        <v>1</v>
      </c>
      <c r="K1080" s="4">
        <v>4</v>
      </c>
      <c r="L1080" s="4" t="str">
        <f t="shared" si="29"/>
        <v>NORMAL</v>
      </c>
      <c r="M1080" s="4" t="str">
        <f t="shared" si="30"/>
        <v>MEDIUM</v>
      </c>
      <c r="N1080" s="4" t="str">
        <f t="shared" si="31"/>
        <v>SENIOR</v>
      </c>
      <c r="O1080" s="4" t="str">
        <f t="shared" si="32"/>
        <v>STAGNANT</v>
      </c>
      <c r="P1080" s="5" t="str">
        <f t="shared" si="33"/>
        <v>Low_Pressure</v>
      </c>
      <c r="Q1080" s="4" t="str">
        <f t="shared" si="34"/>
        <v>DISENGAGED</v>
      </c>
      <c r="R1080" s="4" t="str">
        <f t="shared" si="28"/>
        <v>LOW</v>
      </c>
      <c r="S1080" s="2"/>
      <c r="T1080" s="2"/>
      <c r="U1080" s="2"/>
      <c r="V1080" s="2"/>
      <c r="W1080" s="2"/>
      <c r="X1080" s="2"/>
      <c r="Y1080" s="2"/>
      <c r="Z1080" s="2"/>
    </row>
    <row r="1081" spans="1:26" ht="16.8" x14ac:dyDescent="0.3">
      <c r="A1081" s="4">
        <v>1525</v>
      </c>
      <c r="B1081" s="4" t="s">
        <v>43</v>
      </c>
      <c r="C1081" s="4">
        <v>39</v>
      </c>
      <c r="D1081" s="4" t="s">
        <v>45</v>
      </c>
      <c r="E1081" s="4" t="s">
        <v>53</v>
      </c>
      <c r="F1081" s="4">
        <v>8376</v>
      </c>
      <c r="G1081" s="4" t="s">
        <v>43</v>
      </c>
      <c r="H1081" s="4">
        <v>2</v>
      </c>
      <c r="I1081" s="4">
        <v>2</v>
      </c>
      <c r="J1081" s="4">
        <v>2</v>
      </c>
      <c r="K1081" s="4">
        <v>3</v>
      </c>
      <c r="L1081" s="4" t="str">
        <f t="shared" si="29"/>
        <v>NORMAL</v>
      </c>
      <c r="M1081" s="4" t="str">
        <f t="shared" si="30"/>
        <v>HIGH</v>
      </c>
      <c r="N1081" s="4" t="str">
        <f t="shared" si="31"/>
        <v>NEW</v>
      </c>
      <c r="O1081" s="4" t="str">
        <f t="shared" si="32"/>
        <v>MODERATE-WAIT</v>
      </c>
      <c r="P1081" s="5" t="str">
        <f t="shared" si="33"/>
        <v>Medium_Pressure</v>
      </c>
      <c r="Q1081" s="4" t="str">
        <f t="shared" si="34"/>
        <v>DISENGAGED</v>
      </c>
      <c r="R1081" s="4" t="str">
        <f t="shared" si="28"/>
        <v>LOW</v>
      </c>
      <c r="S1081" s="2"/>
      <c r="T1081" s="2"/>
      <c r="U1081" s="2"/>
      <c r="V1081" s="2"/>
      <c r="W1081" s="2"/>
      <c r="X1081" s="2"/>
      <c r="Y1081" s="2"/>
      <c r="Z1081" s="2"/>
    </row>
    <row r="1082" spans="1:26" ht="16.8" x14ac:dyDescent="0.3">
      <c r="A1082" s="4">
        <v>1527</v>
      </c>
      <c r="B1082" s="4" t="s">
        <v>43</v>
      </c>
      <c r="C1082" s="4">
        <v>46</v>
      </c>
      <c r="D1082" s="4" t="s">
        <v>37</v>
      </c>
      <c r="E1082" s="4" t="s">
        <v>56</v>
      </c>
      <c r="F1082" s="4">
        <v>16606</v>
      </c>
      <c r="G1082" s="4" t="s">
        <v>43</v>
      </c>
      <c r="H1082" s="4">
        <v>13</v>
      </c>
      <c r="I1082" s="4">
        <v>5</v>
      </c>
      <c r="J1082" s="4">
        <v>2</v>
      </c>
      <c r="K1082" s="4">
        <v>4</v>
      </c>
      <c r="L1082" s="4" t="str">
        <f t="shared" si="29"/>
        <v>NORMAL</v>
      </c>
      <c r="M1082" s="4" t="str">
        <f t="shared" si="30"/>
        <v>MEDIUM</v>
      </c>
      <c r="N1082" s="4" t="str">
        <f t="shared" si="31"/>
        <v>SENIOR</v>
      </c>
      <c r="O1082" s="4" t="str">
        <f t="shared" si="32"/>
        <v>STAGNANT</v>
      </c>
      <c r="P1082" s="5" t="str">
        <f t="shared" si="33"/>
        <v>Low_Pressure</v>
      </c>
      <c r="Q1082" s="4" t="str">
        <f t="shared" si="34"/>
        <v>DISENGAGED</v>
      </c>
      <c r="R1082" s="4" t="str">
        <f t="shared" si="28"/>
        <v>LOW</v>
      </c>
      <c r="S1082" s="2"/>
      <c r="T1082" s="2"/>
      <c r="U1082" s="2"/>
      <c r="V1082" s="2"/>
      <c r="W1082" s="2"/>
      <c r="X1082" s="2"/>
      <c r="Y1082" s="2"/>
      <c r="Z1082" s="2"/>
    </row>
    <row r="1083" spans="1:26" ht="16.8" x14ac:dyDescent="0.3">
      <c r="A1083" s="4">
        <v>1529</v>
      </c>
      <c r="B1083" s="4" t="s">
        <v>43</v>
      </c>
      <c r="C1083" s="4">
        <v>35</v>
      </c>
      <c r="D1083" s="4" t="s">
        <v>45</v>
      </c>
      <c r="E1083" s="4" t="s">
        <v>54</v>
      </c>
      <c r="F1083" s="4">
        <v>8606</v>
      </c>
      <c r="G1083" s="4" t="s">
        <v>43</v>
      </c>
      <c r="H1083" s="4">
        <v>11</v>
      </c>
      <c r="I1083" s="4">
        <v>3</v>
      </c>
      <c r="J1083" s="4">
        <v>2</v>
      </c>
      <c r="K1083" s="4">
        <v>1</v>
      </c>
      <c r="L1083" s="4" t="str">
        <f t="shared" si="29"/>
        <v>NORMAL</v>
      </c>
      <c r="M1083" s="4" t="str">
        <f t="shared" si="30"/>
        <v>HIGH</v>
      </c>
      <c r="N1083" s="4" t="str">
        <f t="shared" si="31"/>
        <v>SENIOR</v>
      </c>
      <c r="O1083" s="4" t="str">
        <f t="shared" si="32"/>
        <v>MODERATE-WAIT</v>
      </c>
      <c r="P1083" s="5" t="str">
        <f t="shared" si="33"/>
        <v>Low_Pressure</v>
      </c>
      <c r="Q1083" s="4" t="str">
        <f t="shared" si="34"/>
        <v>DISENGAGED</v>
      </c>
      <c r="R1083" s="4" t="str">
        <f t="shared" si="28"/>
        <v>LOW</v>
      </c>
      <c r="S1083" s="2"/>
      <c r="T1083" s="2"/>
      <c r="U1083" s="2"/>
      <c r="V1083" s="2"/>
      <c r="W1083" s="2"/>
      <c r="X1083" s="2"/>
      <c r="Y1083" s="2"/>
      <c r="Z1083" s="2"/>
    </row>
    <row r="1084" spans="1:26" ht="16.8" x14ac:dyDescent="0.3">
      <c r="A1084" s="4">
        <v>1533</v>
      </c>
      <c r="B1084" s="4" t="s">
        <v>43</v>
      </c>
      <c r="C1084" s="4">
        <v>23</v>
      </c>
      <c r="D1084" s="4" t="s">
        <v>45</v>
      </c>
      <c r="E1084" s="4" t="s">
        <v>50</v>
      </c>
      <c r="F1084" s="4">
        <v>2272</v>
      </c>
      <c r="G1084" s="4" t="s">
        <v>43</v>
      </c>
      <c r="H1084" s="4">
        <v>4</v>
      </c>
      <c r="I1084" s="4">
        <v>1</v>
      </c>
      <c r="J1084" s="4">
        <v>3</v>
      </c>
      <c r="K1084" s="4">
        <v>3</v>
      </c>
      <c r="L1084" s="4" t="str">
        <f t="shared" si="29"/>
        <v>NORMAL</v>
      </c>
      <c r="M1084" s="4" t="str">
        <f t="shared" si="30"/>
        <v>LOW</v>
      </c>
      <c r="N1084" s="4" t="str">
        <f t="shared" si="31"/>
        <v>MID</v>
      </c>
      <c r="O1084" s="4" t="str">
        <f t="shared" si="32"/>
        <v>RECENTLY PROMOTED</v>
      </c>
      <c r="P1084" s="5" t="str">
        <f t="shared" si="33"/>
        <v>Medium_Pressure</v>
      </c>
      <c r="Q1084" s="4" t="str">
        <f t="shared" si="34"/>
        <v>HIGHLY_ENGAGED</v>
      </c>
      <c r="R1084" s="4" t="str">
        <f t="shared" si="28"/>
        <v>LOW</v>
      </c>
      <c r="S1084" s="2"/>
      <c r="T1084" s="2"/>
      <c r="U1084" s="2"/>
      <c r="V1084" s="2"/>
      <c r="W1084" s="2"/>
      <c r="X1084" s="2"/>
      <c r="Y1084" s="2"/>
      <c r="Z1084" s="2"/>
    </row>
    <row r="1085" spans="1:26" ht="16.8" x14ac:dyDescent="0.3">
      <c r="A1085" s="4">
        <v>1534</v>
      </c>
      <c r="B1085" s="4" t="s">
        <v>35</v>
      </c>
      <c r="C1085" s="4">
        <v>40</v>
      </c>
      <c r="D1085" s="4" t="s">
        <v>45</v>
      </c>
      <c r="E1085" s="4" t="s">
        <v>50</v>
      </c>
      <c r="F1085" s="4">
        <v>2018</v>
      </c>
      <c r="G1085" s="4" t="s">
        <v>43</v>
      </c>
      <c r="H1085" s="4">
        <v>5</v>
      </c>
      <c r="I1085" s="4">
        <v>1</v>
      </c>
      <c r="J1085" s="4">
        <v>1</v>
      </c>
      <c r="K1085" s="4">
        <v>1</v>
      </c>
      <c r="L1085" s="4" t="str">
        <f t="shared" si="29"/>
        <v>NORMAL</v>
      </c>
      <c r="M1085" s="4" t="str">
        <f t="shared" si="30"/>
        <v>LOW</v>
      </c>
      <c r="N1085" s="4" t="str">
        <f t="shared" si="31"/>
        <v>MID</v>
      </c>
      <c r="O1085" s="4" t="str">
        <f t="shared" si="32"/>
        <v>RECENTLY PROMOTED</v>
      </c>
      <c r="P1085" s="5" t="str">
        <f t="shared" si="33"/>
        <v>Low_Pressure</v>
      </c>
      <c r="Q1085" s="4" t="str">
        <f t="shared" si="34"/>
        <v>DISENGAGED</v>
      </c>
      <c r="R1085" s="4" t="str">
        <f t="shared" si="28"/>
        <v>LOW</v>
      </c>
      <c r="S1085" s="2"/>
      <c r="T1085" s="2"/>
      <c r="U1085" s="2"/>
      <c r="V1085" s="2"/>
      <c r="W1085" s="2"/>
      <c r="X1085" s="2"/>
      <c r="Y1085" s="2"/>
      <c r="Z1085" s="2"/>
    </row>
    <row r="1086" spans="1:26" ht="16.8" x14ac:dyDescent="0.3">
      <c r="A1086" s="4">
        <v>1535</v>
      </c>
      <c r="B1086" s="4" t="s">
        <v>43</v>
      </c>
      <c r="C1086" s="4">
        <v>34</v>
      </c>
      <c r="D1086" s="4" t="s">
        <v>37</v>
      </c>
      <c r="E1086" s="4" t="s">
        <v>40</v>
      </c>
      <c r="F1086" s="4">
        <v>7083</v>
      </c>
      <c r="G1086" s="4" t="s">
        <v>35</v>
      </c>
      <c r="H1086" s="4">
        <v>10</v>
      </c>
      <c r="I1086" s="4">
        <v>8</v>
      </c>
      <c r="J1086" s="4">
        <v>3</v>
      </c>
      <c r="K1086" s="4">
        <v>3</v>
      </c>
      <c r="L1086" s="4" t="str">
        <f t="shared" si="29"/>
        <v>NORMAL</v>
      </c>
      <c r="M1086" s="4" t="str">
        <f t="shared" si="30"/>
        <v>HIGH</v>
      </c>
      <c r="N1086" s="4" t="str">
        <f t="shared" si="31"/>
        <v>SENIOR</v>
      </c>
      <c r="O1086" s="4" t="str">
        <f t="shared" si="32"/>
        <v>STAGNANT</v>
      </c>
      <c r="P1086" s="5" t="str">
        <f t="shared" si="33"/>
        <v>Medium_Pressure</v>
      </c>
      <c r="Q1086" s="4" t="str">
        <f t="shared" si="34"/>
        <v>HIGHLY_ENGAGED</v>
      </c>
      <c r="R1086" s="4" t="str">
        <f t="shared" si="28"/>
        <v>LOW</v>
      </c>
      <c r="S1086" s="2"/>
      <c r="T1086" s="2"/>
      <c r="U1086" s="2"/>
      <c r="V1086" s="2"/>
      <c r="W1086" s="2"/>
      <c r="X1086" s="2"/>
      <c r="Y1086" s="2"/>
      <c r="Z1086" s="2"/>
    </row>
    <row r="1087" spans="1:26" ht="16.8" x14ac:dyDescent="0.3">
      <c r="A1087" s="4">
        <v>1537</v>
      </c>
      <c r="B1087" s="4" t="s">
        <v>35</v>
      </c>
      <c r="C1087" s="4">
        <v>31</v>
      </c>
      <c r="D1087" s="4" t="s">
        <v>45</v>
      </c>
      <c r="E1087" s="4" t="s">
        <v>47</v>
      </c>
      <c r="F1087" s="4">
        <v>4084</v>
      </c>
      <c r="G1087" s="4" t="s">
        <v>43</v>
      </c>
      <c r="H1087" s="4">
        <v>7</v>
      </c>
      <c r="I1087" s="4">
        <v>7</v>
      </c>
      <c r="J1087" s="4">
        <v>3</v>
      </c>
      <c r="K1087" s="4">
        <v>1</v>
      </c>
      <c r="L1087" s="4" t="str">
        <f t="shared" si="29"/>
        <v>NORMAL</v>
      </c>
      <c r="M1087" s="4" t="str">
        <f t="shared" si="30"/>
        <v>HIGH</v>
      </c>
      <c r="N1087" s="4" t="str">
        <f t="shared" si="31"/>
        <v>SENIOR</v>
      </c>
      <c r="O1087" s="4" t="str">
        <f t="shared" si="32"/>
        <v>STAGNANT</v>
      </c>
      <c r="P1087" s="5" t="str">
        <f t="shared" si="33"/>
        <v>Low_Pressure</v>
      </c>
      <c r="Q1087" s="4" t="str">
        <f t="shared" si="34"/>
        <v>DISENGAGED</v>
      </c>
      <c r="R1087" s="4" t="str">
        <f t="shared" si="28"/>
        <v>LOW</v>
      </c>
      <c r="S1087" s="2"/>
      <c r="T1087" s="2"/>
      <c r="U1087" s="2"/>
      <c r="V1087" s="2"/>
      <c r="W1087" s="2"/>
      <c r="X1087" s="2"/>
      <c r="Y1087" s="2"/>
      <c r="Z1087" s="2"/>
    </row>
    <row r="1088" spans="1:26" ht="16.8" x14ac:dyDescent="0.3">
      <c r="A1088" s="4">
        <v>1539</v>
      </c>
      <c r="B1088" s="4" t="s">
        <v>43</v>
      </c>
      <c r="C1088" s="4">
        <v>50</v>
      </c>
      <c r="D1088" s="4" t="s">
        <v>45</v>
      </c>
      <c r="E1088" s="4" t="s">
        <v>58</v>
      </c>
      <c r="F1088" s="4">
        <v>14411</v>
      </c>
      <c r="G1088" s="4" t="s">
        <v>35</v>
      </c>
      <c r="H1088" s="4">
        <v>32</v>
      </c>
      <c r="I1088" s="4">
        <v>13</v>
      </c>
      <c r="J1088" s="4">
        <v>4</v>
      </c>
      <c r="K1088" s="4">
        <v>3</v>
      </c>
      <c r="L1088" s="4" t="str">
        <f t="shared" si="29"/>
        <v>NORMAL</v>
      </c>
      <c r="M1088" s="4" t="str">
        <f t="shared" si="30"/>
        <v>MEDIUM</v>
      </c>
      <c r="N1088" s="4" t="str">
        <f t="shared" si="31"/>
        <v>SENIOR</v>
      </c>
      <c r="O1088" s="4" t="str">
        <f t="shared" si="32"/>
        <v>STAGNANT</v>
      </c>
      <c r="P1088" s="5" t="str">
        <f t="shared" si="33"/>
        <v>Medium_Pressure</v>
      </c>
      <c r="Q1088" s="4" t="str">
        <f t="shared" si="34"/>
        <v>HIGHLY_ENGAGED</v>
      </c>
      <c r="R1088" s="4" t="str">
        <f t="shared" si="28"/>
        <v>LOW</v>
      </c>
      <c r="S1088" s="2"/>
      <c r="T1088" s="2"/>
      <c r="U1088" s="2"/>
      <c r="V1088" s="2"/>
      <c r="W1088" s="2"/>
      <c r="X1088" s="2"/>
      <c r="Y1088" s="2"/>
      <c r="Z1088" s="2"/>
    </row>
    <row r="1089" spans="1:26" ht="16.8" x14ac:dyDescent="0.3">
      <c r="A1089" s="4">
        <v>1541</v>
      </c>
      <c r="B1089" s="4" t="s">
        <v>43</v>
      </c>
      <c r="C1089" s="4">
        <v>34</v>
      </c>
      <c r="D1089" s="4" t="s">
        <v>37</v>
      </c>
      <c r="E1089" s="4" t="s">
        <v>57</v>
      </c>
      <c r="F1089" s="4">
        <v>2308</v>
      </c>
      <c r="G1089" s="4" t="s">
        <v>35</v>
      </c>
      <c r="H1089" s="4">
        <v>11</v>
      </c>
      <c r="I1089" s="4">
        <v>5</v>
      </c>
      <c r="J1089" s="4">
        <v>3</v>
      </c>
      <c r="K1089" s="4">
        <v>3</v>
      </c>
      <c r="L1089" s="4" t="str">
        <f t="shared" si="29"/>
        <v>NORMAL</v>
      </c>
      <c r="M1089" s="4" t="str">
        <f t="shared" si="30"/>
        <v>LOW</v>
      </c>
      <c r="N1089" s="4" t="str">
        <f t="shared" si="31"/>
        <v>SENIOR</v>
      </c>
      <c r="O1089" s="4" t="str">
        <f t="shared" si="32"/>
        <v>STAGNANT</v>
      </c>
      <c r="P1089" s="5" t="str">
        <f t="shared" si="33"/>
        <v>Medium_Pressure</v>
      </c>
      <c r="Q1089" s="4" t="str">
        <f t="shared" si="34"/>
        <v>HIGHLY_ENGAGED</v>
      </c>
      <c r="R1089" s="4" t="str">
        <f t="shared" si="28"/>
        <v>LOW</v>
      </c>
      <c r="S1089" s="2"/>
      <c r="T1089" s="2"/>
      <c r="U1089" s="2"/>
      <c r="V1089" s="2"/>
      <c r="W1089" s="2"/>
      <c r="X1089" s="2"/>
      <c r="Y1089" s="2"/>
      <c r="Z1089" s="2"/>
    </row>
    <row r="1090" spans="1:26" ht="16.8" x14ac:dyDescent="0.3">
      <c r="A1090" s="4">
        <v>1542</v>
      </c>
      <c r="B1090" s="4" t="s">
        <v>43</v>
      </c>
      <c r="C1090" s="4">
        <v>42</v>
      </c>
      <c r="D1090" s="4" t="s">
        <v>45</v>
      </c>
      <c r="E1090" s="4" t="s">
        <v>50</v>
      </c>
      <c r="F1090" s="4">
        <v>4841</v>
      </c>
      <c r="G1090" s="4" t="s">
        <v>43</v>
      </c>
      <c r="H1090" s="4">
        <v>1</v>
      </c>
      <c r="I1090" s="4">
        <v>0</v>
      </c>
      <c r="J1090" s="4">
        <v>2</v>
      </c>
      <c r="K1090" s="4">
        <v>3</v>
      </c>
      <c r="L1090" s="4" t="str">
        <f t="shared" si="29"/>
        <v>NORMAL</v>
      </c>
      <c r="M1090" s="4" t="str">
        <f t="shared" si="30"/>
        <v>HIGH</v>
      </c>
      <c r="N1090" s="4" t="str">
        <f t="shared" si="31"/>
        <v>NEW</v>
      </c>
      <c r="O1090" s="4" t="str">
        <f t="shared" si="32"/>
        <v>RECENTLY PROMOTED</v>
      </c>
      <c r="P1090" s="5" t="str">
        <f t="shared" si="33"/>
        <v>Medium_Pressure</v>
      </c>
      <c r="Q1090" s="4" t="str">
        <f t="shared" si="34"/>
        <v>DISENGAGED</v>
      </c>
      <c r="R1090" s="4" t="str">
        <f t="shared" si="28"/>
        <v>LOW</v>
      </c>
      <c r="S1090" s="2"/>
      <c r="T1090" s="2"/>
      <c r="U1090" s="2"/>
      <c r="V1090" s="2"/>
      <c r="W1090" s="2"/>
      <c r="X1090" s="2"/>
      <c r="Y1090" s="2"/>
      <c r="Z1090" s="2"/>
    </row>
    <row r="1091" spans="1:26" ht="16.8" x14ac:dyDescent="0.3">
      <c r="A1091" s="4">
        <v>1543</v>
      </c>
      <c r="B1091" s="4" t="s">
        <v>43</v>
      </c>
      <c r="C1091" s="4">
        <v>37</v>
      </c>
      <c r="D1091" s="4" t="s">
        <v>45</v>
      </c>
      <c r="E1091" s="4" t="s">
        <v>47</v>
      </c>
      <c r="F1091" s="4">
        <v>4285</v>
      </c>
      <c r="G1091" s="4" t="s">
        <v>43</v>
      </c>
      <c r="H1091" s="4">
        <v>10</v>
      </c>
      <c r="I1091" s="4">
        <v>3</v>
      </c>
      <c r="J1091" s="4">
        <v>4</v>
      </c>
      <c r="K1091" s="4">
        <v>3</v>
      </c>
      <c r="L1091" s="4" t="str">
        <f t="shared" si="29"/>
        <v>NORMAL</v>
      </c>
      <c r="M1091" s="4" t="str">
        <f t="shared" si="30"/>
        <v>HIGH</v>
      </c>
      <c r="N1091" s="4" t="str">
        <f t="shared" si="31"/>
        <v>SENIOR</v>
      </c>
      <c r="O1091" s="4" t="str">
        <f t="shared" si="32"/>
        <v>MODERATE-WAIT</v>
      </c>
      <c r="P1091" s="5" t="str">
        <f t="shared" si="33"/>
        <v>Medium_Pressure</v>
      </c>
      <c r="Q1091" s="4" t="str">
        <f t="shared" si="34"/>
        <v>HIGHLY_ENGAGED</v>
      </c>
      <c r="R1091" s="4" t="str">
        <f t="shared" si="28"/>
        <v>LOW</v>
      </c>
      <c r="S1091" s="2"/>
      <c r="T1091" s="2"/>
      <c r="U1091" s="2"/>
      <c r="V1091" s="2"/>
      <c r="W1091" s="2"/>
      <c r="X1091" s="2"/>
      <c r="Y1091" s="2"/>
      <c r="Z1091" s="2"/>
    </row>
    <row r="1092" spans="1:26" ht="16.8" x14ac:dyDescent="0.3">
      <c r="A1092" s="4">
        <v>1544</v>
      </c>
      <c r="B1092" s="4" t="s">
        <v>43</v>
      </c>
      <c r="C1092" s="4">
        <v>29</v>
      </c>
      <c r="D1092" s="4" t="s">
        <v>45</v>
      </c>
      <c r="E1092" s="4" t="s">
        <v>54</v>
      </c>
      <c r="F1092" s="4">
        <v>9715</v>
      </c>
      <c r="G1092" s="4" t="s">
        <v>43</v>
      </c>
      <c r="H1092" s="4">
        <v>7</v>
      </c>
      <c r="I1092" s="4">
        <v>0</v>
      </c>
      <c r="J1092" s="4">
        <v>1</v>
      </c>
      <c r="K1092" s="4">
        <v>3</v>
      </c>
      <c r="L1092" s="4" t="str">
        <f t="shared" si="29"/>
        <v>NORMAL</v>
      </c>
      <c r="M1092" s="4" t="str">
        <f t="shared" si="30"/>
        <v>MEDIUM</v>
      </c>
      <c r="N1092" s="4" t="str">
        <f t="shared" si="31"/>
        <v>SENIOR</v>
      </c>
      <c r="O1092" s="4" t="str">
        <f t="shared" si="32"/>
        <v>RECENTLY PROMOTED</v>
      </c>
      <c r="P1092" s="5" t="str">
        <f t="shared" si="33"/>
        <v>Medium_Pressure</v>
      </c>
      <c r="Q1092" s="4" t="str">
        <f t="shared" si="34"/>
        <v>DISENGAGED</v>
      </c>
      <c r="R1092" s="4" t="str">
        <f t="shared" si="28"/>
        <v>LOW</v>
      </c>
      <c r="S1092" s="2"/>
      <c r="T1092" s="2"/>
      <c r="U1092" s="2"/>
      <c r="V1092" s="2"/>
      <c r="W1092" s="2"/>
      <c r="X1092" s="2"/>
      <c r="Y1092" s="2"/>
      <c r="Z1092" s="2"/>
    </row>
    <row r="1093" spans="1:26" ht="16.8" x14ac:dyDescent="0.3">
      <c r="A1093" s="4">
        <v>1545</v>
      </c>
      <c r="B1093" s="4" t="s">
        <v>43</v>
      </c>
      <c r="C1093" s="4">
        <v>33</v>
      </c>
      <c r="D1093" s="4" t="s">
        <v>45</v>
      </c>
      <c r="E1093" s="4" t="s">
        <v>53</v>
      </c>
      <c r="F1093" s="4">
        <v>4320</v>
      </c>
      <c r="G1093" s="4" t="s">
        <v>43</v>
      </c>
      <c r="H1093" s="4">
        <v>5</v>
      </c>
      <c r="I1093" s="4">
        <v>0</v>
      </c>
      <c r="J1093" s="4">
        <v>2</v>
      </c>
      <c r="K1093" s="4">
        <v>3</v>
      </c>
      <c r="L1093" s="4" t="str">
        <f t="shared" si="29"/>
        <v>NORMAL</v>
      </c>
      <c r="M1093" s="4" t="str">
        <f t="shared" si="30"/>
        <v>HIGH</v>
      </c>
      <c r="N1093" s="4" t="str">
        <f t="shared" si="31"/>
        <v>MID</v>
      </c>
      <c r="O1093" s="4" t="str">
        <f t="shared" si="32"/>
        <v>RECENTLY PROMOTED</v>
      </c>
      <c r="P1093" s="5" t="str">
        <f t="shared" si="33"/>
        <v>Medium_Pressure</v>
      </c>
      <c r="Q1093" s="4" t="str">
        <f t="shared" si="34"/>
        <v>DISENGAGED</v>
      </c>
      <c r="R1093" s="4" t="str">
        <f t="shared" si="28"/>
        <v>LOW</v>
      </c>
      <c r="S1093" s="2"/>
      <c r="T1093" s="2"/>
      <c r="U1093" s="2"/>
      <c r="V1093" s="2"/>
      <c r="W1093" s="2"/>
      <c r="X1093" s="2"/>
      <c r="Y1093" s="2"/>
      <c r="Z1093" s="2"/>
    </row>
    <row r="1094" spans="1:26" ht="16.8" x14ac:dyDescent="0.3">
      <c r="A1094" s="4">
        <v>1546</v>
      </c>
      <c r="B1094" s="4" t="s">
        <v>43</v>
      </c>
      <c r="C1094" s="4">
        <v>45</v>
      </c>
      <c r="D1094" s="4" t="s">
        <v>45</v>
      </c>
      <c r="E1094" s="4" t="s">
        <v>47</v>
      </c>
      <c r="F1094" s="4">
        <v>2132</v>
      </c>
      <c r="G1094" s="4" t="s">
        <v>43</v>
      </c>
      <c r="H1094" s="4">
        <v>5</v>
      </c>
      <c r="I1094" s="4">
        <v>0</v>
      </c>
      <c r="J1094" s="4">
        <v>4</v>
      </c>
      <c r="K1094" s="4">
        <v>3</v>
      </c>
      <c r="L1094" s="4" t="str">
        <f t="shared" si="29"/>
        <v>NORMAL</v>
      </c>
      <c r="M1094" s="4" t="str">
        <f t="shared" si="30"/>
        <v>LOW</v>
      </c>
      <c r="N1094" s="4" t="str">
        <f t="shared" si="31"/>
        <v>MID</v>
      </c>
      <c r="O1094" s="4" t="str">
        <f t="shared" si="32"/>
        <v>RECENTLY PROMOTED</v>
      </c>
      <c r="P1094" s="5" t="str">
        <f t="shared" si="33"/>
        <v>Medium_Pressure</v>
      </c>
      <c r="Q1094" s="4" t="str">
        <f t="shared" si="34"/>
        <v>HIGHLY_ENGAGED</v>
      </c>
      <c r="R1094" s="4" t="str">
        <f t="shared" si="28"/>
        <v>LOW</v>
      </c>
      <c r="S1094" s="2"/>
      <c r="T1094" s="2"/>
      <c r="U1094" s="2"/>
      <c r="V1094" s="2"/>
      <c r="W1094" s="2"/>
      <c r="X1094" s="2"/>
      <c r="Y1094" s="2"/>
      <c r="Z1094" s="2"/>
    </row>
    <row r="1095" spans="1:26" ht="16.8" x14ac:dyDescent="0.3">
      <c r="A1095" s="4">
        <v>1547</v>
      </c>
      <c r="B1095" s="4" t="s">
        <v>43</v>
      </c>
      <c r="C1095" s="4">
        <v>42</v>
      </c>
      <c r="D1095" s="4" t="s">
        <v>45</v>
      </c>
      <c r="E1095" s="4" t="s">
        <v>54</v>
      </c>
      <c r="F1095" s="4">
        <v>10124</v>
      </c>
      <c r="G1095" s="4" t="s">
        <v>35</v>
      </c>
      <c r="H1095" s="4">
        <v>20</v>
      </c>
      <c r="I1095" s="4">
        <v>13</v>
      </c>
      <c r="J1095" s="4">
        <v>4</v>
      </c>
      <c r="K1095" s="4">
        <v>1</v>
      </c>
      <c r="L1095" s="4" t="str">
        <f t="shared" si="29"/>
        <v>NORMAL</v>
      </c>
      <c r="M1095" s="4" t="str">
        <f t="shared" si="30"/>
        <v>MEDIUM</v>
      </c>
      <c r="N1095" s="4" t="str">
        <f t="shared" si="31"/>
        <v>SENIOR</v>
      </c>
      <c r="O1095" s="4" t="str">
        <f t="shared" si="32"/>
        <v>STAGNANT</v>
      </c>
      <c r="P1095" s="5" t="str">
        <f t="shared" si="33"/>
        <v>High_Pressure</v>
      </c>
      <c r="Q1095" s="4" t="str">
        <f t="shared" si="34"/>
        <v>DISENGAGED</v>
      </c>
      <c r="R1095" s="4" t="str">
        <f t="shared" ref="R1095:R1349" si="35">IF(AND(L1095="HIGH",O1095="STAGNANT",P1095="HIGH_PRESSURE",Q1095="DISENGAGED"),
"CRITICAL",
IF(AND(L1095="HIGH",M1095="LOW",P1095="HIGH_PRESSURE",Q1095="MODERATELY_ENGAGED"),
"HIGH",
IF(AND(L1095="NORMAL",M1095="MEDIUM",O1095="MODERATE-WAIT",P1095="MEDIUM_PRESSURE",Q1095="MODERATELY_ENGAGED"),
"MEDIUM",
"LOW")))</f>
        <v>LOW</v>
      </c>
      <c r="S1095" s="2"/>
      <c r="T1095" s="2"/>
      <c r="U1095" s="2"/>
      <c r="V1095" s="2"/>
      <c r="W1095" s="2"/>
      <c r="X1095" s="2"/>
      <c r="Y1095" s="2"/>
      <c r="Z1095" s="2"/>
    </row>
    <row r="1096" spans="1:26" ht="16.8" x14ac:dyDescent="0.3">
      <c r="A1096" s="4">
        <v>1548</v>
      </c>
      <c r="B1096" s="4" t="s">
        <v>43</v>
      </c>
      <c r="C1096" s="4">
        <v>40</v>
      </c>
      <c r="D1096" s="4" t="s">
        <v>37</v>
      </c>
      <c r="E1096" s="4" t="s">
        <v>40</v>
      </c>
      <c r="F1096" s="4">
        <v>5473</v>
      </c>
      <c r="G1096" s="4" t="s">
        <v>43</v>
      </c>
      <c r="H1096" s="4">
        <v>8</v>
      </c>
      <c r="I1096" s="4">
        <v>7</v>
      </c>
      <c r="J1096" s="4">
        <v>1</v>
      </c>
      <c r="K1096" s="4">
        <v>4</v>
      </c>
      <c r="L1096" s="4" t="str">
        <f t="shared" si="29"/>
        <v>NORMAL</v>
      </c>
      <c r="M1096" s="4" t="str">
        <f t="shared" si="30"/>
        <v>HIGH</v>
      </c>
      <c r="N1096" s="4" t="str">
        <f t="shared" si="31"/>
        <v>SENIOR</v>
      </c>
      <c r="O1096" s="4" t="str">
        <f t="shared" si="32"/>
        <v>STAGNANT</v>
      </c>
      <c r="P1096" s="5" t="str">
        <f t="shared" si="33"/>
        <v>Low_Pressure</v>
      </c>
      <c r="Q1096" s="4" t="str">
        <f t="shared" si="34"/>
        <v>DISENGAGED</v>
      </c>
      <c r="R1096" s="4" t="str">
        <f t="shared" si="35"/>
        <v>LOW</v>
      </c>
      <c r="S1096" s="2"/>
      <c r="T1096" s="2"/>
      <c r="U1096" s="2"/>
      <c r="V1096" s="2"/>
      <c r="W1096" s="2"/>
      <c r="X1096" s="2"/>
      <c r="Y1096" s="2"/>
      <c r="Z1096" s="2"/>
    </row>
    <row r="1097" spans="1:26" ht="16.8" x14ac:dyDescent="0.3">
      <c r="A1097" s="4">
        <v>1549</v>
      </c>
      <c r="B1097" s="4" t="s">
        <v>43</v>
      </c>
      <c r="C1097" s="4">
        <v>33</v>
      </c>
      <c r="D1097" s="4" t="s">
        <v>45</v>
      </c>
      <c r="E1097" s="4" t="s">
        <v>50</v>
      </c>
      <c r="F1097" s="4">
        <v>5207</v>
      </c>
      <c r="G1097" s="4" t="s">
        <v>35</v>
      </c>
      <c r="H1097" s="4">
        <v>15</v>
      </c>
      <c r="I1097" s="4">
        <v>5</v>
      </c>
      <c r="J1097" s="4">
        <v>3</v>
      </c>
      <c r="K1097" s="4">
        <v>3</v>
      </c>
      <c r="L1097" s="4" t="str">
        <f t="shared" si="29"/>
        <v>NORMAL</v>
      </c>
      <c r="M1097" s="4" t="str">
        <f t="shared" si="30"/>
        <v>HIGH</v>
      </c>
      <c r="N1097" s="4" t="str">
        <f t="shared" si="31"/>
        <v>SENIOR</v>
      </c>
      <c r="O1097" s="4" t="str">
        <f t="shared" si="32"/>
        <v>STAGNANT</v>
      </c>
      <c r="P1097" s="5" t="str">
        <f t="shared" si="33"/>
        <v>Medium_Pressure</v>
      </c>
      <c r="Q1097" s="4" t="str">
        <f t="shared" si="34"/>
        <v>HIGHLY_ENGAGED</v>
      </c>
      <c r="R1097" s="4" t="str">
        <f t="shared" si="35"/>
        <v>LOW</v>
      </c>
      <c r="S1097" s="2"/>
      <c r="T1097" s="2"/>
      <c r="U1097" s="2"/>
      <c r="V1097" s="2"/>
      <c r="W1097" s="2"/>
      <c r="X1097" s="2"/>
      <c r="Y1097" s="2"/>
      <c r="Z1097" s="2"/>
    </row>
    <row r="1098" spans="1:26" ht="16.8" x14ac:dyDescent="0.3">
      <c r="A1098" s="4">
        <v>1550</v>
      </c>
      <c r="B1098" s="4" t="s">
        <v>43</v>
      </c>
      <c r="C1098" s="4">
        <v>40</v>
      </c>
      <c r="D1098" s="4" t="s">
        <v>61</v>
      </c>
      <c r="E1098" s="4" t="s">
        <v>56</v>
      </c>
      <c r="F1098" s="4">
        <v>16437</v>
      </c>
      <c r="G1098" s="4" t="s">
        <v>35</v>
      </c>
      <c r="H1098" s="4">
        <v>21</v>
      </c>
      <c r="I1098" s="4">
        <v>7</v>
      </c>
      <c r="J1098" s="4">
        <v>4</v>
      </c>
      <c r="K1098" s="4">
        <v>3</v>
      </c>
      <c r="L1098" s="4" t="str">
        <f t="shared" si="29"/>
        <v>NORMAL</v>
      </c>
      <c r="M1098" s="4" t="str">
        <f t="shared" si="30"/>
        <v>MEDIUM</v>
      </c>
      <c r="N1098" s="4" t="str">
        <f t="shared" si="31"/>
        <v>SENIOR</v>
      </c>
      <c r="O1098" s="4" t="str">
        <f t="shared" si="32"/>
        <v>STAGNANT</v>
      </c>
      <c r="P1098" s="5" t="str">
        <f t="shared" si="33"/>
        <v>Medium_Pressure</v>
      </c>
      <c r="Q1098" s="4" t="str">
        <f t="shared" si="34"/>
        <v>HIGHLY_ENGAGED</v>
      </c>
      <c r="R1098" s="4" t="str">
        <f t="shared" si="35"/>
        <v>LOW</v>
      </c>
      <c r="S1098" s="2"/>
      <c r="T1098" s="2"/>
      <c r="U1098" s="2"/>
      <c r="V1098" s="2"/>
      <c r="W1098" s="2"/>
      <c r="X1098" s="2"/>
      <c r="Y1098" s="2"/>
      <c r="Z1098" s="2"/>
    </row>
    <row r="1099" spans="1:26" ht="16.8" x14ac:dyDescent="0.3">
      <c r="A1099" s="4">
        <v>1551</v>
      </c>
      <c r="B1099" s="4" t="s">
        <v>43</v>
      </c>
      <c r="C1099" s="4">
        <v>24</v>
      </c>
      <c r="D1099" s="4" t="s">
        <v>45</v>
      </c>
      <c r="E1099" s="4" t="s">
        <v>50</v>
      </c>
      <c r="F1099" s="4">
        <v>2296</v>
      </c>
      <c r="G1099" s="4" t="s">
        <v>43</v>
      </c>
      <c r="H1099" s="4">
        <v>1</v>
      </c>
      <c r="I1099" s="4">
        <v>0</v>
      </c>
      <c r="J1099" s="4">
        <v>1</v>
      </c>
      <c r="K1099" s="4">
        <v>3</v>
      </c>
      <c r="L1099" s="4" t="str">
        <f t="shared" si="29"/>
        <v>NORMAL</v>
      </c>
      <c r="M1099" s="4" t="str">
        <f t="shared" si="30"/>
        <v>LOW</v>
      </c>
      <c r="N1099" s="4" t="str">
        <f t="shared" si="31"/>
        <v>NEW</v>
      </c>
      <c r="O1099" s="4" t="str">
        <f t="shared" si="32"/>
        <v>RECENTLY PROMOTED</v>
      </c>
      <c r="P1099" s="5" t="str">
        <f t="shared" si="33"/>
        <v>Medium_Pressure</v>
      </c>
      <c r="Q1099" s="4" t="str">
        <f t="shared" si="34"/>
        <v>DISENGAGED</v>
      </c>
      <c r="R1099" s="4" t="str">
        <f t="shared" si="35"/>
        <v>LOW</v>
      </c>
      <c r="S1099" s="2"/>
      <c r="T1099" s="2"/>
      <c r="U1099" s="2"/>
      <c r="V1099" s="2"/>
      <c r="W1099" s="2"/>
      <c r="X1099" s="2"/>
      <c r="Y1099" s="2"/>
      <c r="Z1099" s="2"/>
    </row>
    <row r="1100" spans="1:26" ht="16.8" x14ac:dyDescent="0.3">
      <c r="A1100" s="4">
        <v>1552</v>
      </c>
      <c r="B1100" s="4" t="s">
        <v>43</v>
      </c>
      <c r="C1100" s="4">
        <v>40</v>
      </c>
      <c r="D1100" s="4" t="s">
        <v>45</v>
      </c>
      <c r="E1100" s="4" t="s">
        <v>54</v>
      </c>
      <c r="F1100" s="4">
        <v>4069</v>
      </c>
      <c r="G1100" s="4" t="s">
        <v>35</v>
      </c>
      <c r="H1100" s="4">
        <v>2</v>
      </c>
      <c r="I1100" s="4">
        <v>2</v>
      </c>
      <c r="J1100" s="4">
        <v>4</v>
      </c>
      <c r="K1100" s="4">
        <v>3</v>
      </c>
      <c r="L1100" s="4" t="str">
        <f t="shared" si="29"/>
        <v>NORMAL</v>
      </c>
      <c r="M1100" s="4" t="str">
        <f t="shared" si="30"/>
        <v>HIGH</v>
      </c>
      <c r="N1100" s="4" t="str">
        <f t="shared" si="31"/>
        <v>NEW</v>
      </c>
      <c r="O1100" s="4" t="str">
        <f t="shared" si="32"/>
        <v>MODERATE-WAIT</v>
      </c>
      <c r="P1100" s="5" t="str">
        <f t="shared" si="33"/>
        <v>Medium_Pressure</v>
      </c>
      <c r="Q1100" s="4" t="str">
        <f t="shared" si="34"/>
        <v>HIGHLY_ENGAGED</v>
      </c>
      <c r="R1100" s="4" t="str">
        <f t="shared" si="35"/>
        <v>LOW</v>
      </c>
      <c r="S1100" s="2"/>
      <c r="T1100" s="2"/>
      <c r="U1100" s="2"/>
      <c r="V1100" s="2"/>
      <c r="W1100" s="2"/>
      <c r="X1100" s="2"/>
      <c r="Y1100" s="2"/>
      <c r="Z1100" s="2"/>
    </row>
    <row r="1101" spans="1:26" ht="16.8" x14ac:dyDescent="0.3">
      <c r="A1101" s="4">
        <v>1553</v>
      </c>
      <c r="B1101" s="4" t="s">
        <v>43</v>
      </c>
      <c r="C1101" s="4">
        <v>45</v>
      </c>
      <c r="D1101" s="4" t="s">
        <v>45</v>
      </c>
      <c r="E1101" s="4" t="s">
        <v>54</v>
      </c>
      <c r="F1101" s="4">
        <v>7441</v>
      </c>
      <c r="G1101" s="4" t="s">
        <v>43</v>
      </c>
      <c r="H1101" s="4">
        <v>10</v>
      </c>
      <c r="I1101" s="4">
        <v>7</v>
      </c>
      <c r="J1101" s="4">
        <v>2</v>
      </c>
      <c r="K1101" s="4">
        <v>3</v>
      </c>
      <c r="L1101" s="4" t="str">
        <f t="shared" si="29"/>
        <v>NORMAL</v>
      </c>
      <c r="M1101" s="4" t="str">
        <f t="shared" si="30"/>
        <v>HIGH</v>
      </c>
      <c r="N1101" s="4" t="str">
        <f t="shared" si="31"/>
        <v>SENIOR</v>
      </c>
      <c r="O1101" s="4" t="str">
        <f t="shared" si="32"/>
        <v>STAGNANT</v>
      </c>
      <c r="P1101" s="5" t="str">
        <f t="shared" si="33"/>
        <v>Medium_Pressure</v>
      </c>
      <c r="Q1101" s="4" t="str">
        <f t="shared" si="34"/>
        <v>DISENGAGED</v>
      </c>
      <c r="R1101" s="4" t="str">
        <f t="shared" si="35"/>
        <v>LOW</v>
      </c>
      <c r="S1101" s="2"/>
      <c r="T1101" s="2"/>
      <c r="U1101" s="2"/>
      <c r="V1101" s="2"/>
      <c r="W1101" s="2"/>
      <c r="X1101" s="2"/>
      <c r="Y1101" s="2"/>
      <c r="Z1101" s="2"/>
    </row>
    <row r="1102" spans="1:26" ht="16.8" x14ac:dyDescent="0.3">
      <c r="A1102" s="4">
        <v>1554</v>
      </c>
      <c r="B1102" s="4" t="s">
        <v>43</v>
      </c>
      <c r="C1102" s="4">
        <v>35</v>
      </c>
      <c r="D1102" s="4" t="s">
        <v>37</v>
      </c>
      <c r="E1102" s="4" t="s">
        <v>57</v>
      </c>
      <c r="F1102" s="4">
        <v>2430</v>
      </c>
      <c r="G1102" s="4" t="s">
        <v>43</v>
      </c>
      <c r="H1102" s="4">
        <v>5</v>
      </c>
      <c r="I1102" s="4">
        <v>4</v>
      </c>
      <c r="J1102" s="4">
        <v>3</v>
      </c>
      <c r="K1102" s="4">
        <v>3</v>
      </c>
      <c r="L1102" s="4" t="str">
        <f t="shared" si="29"/>
        <v>NORMAL</v>
      </c>
      <c r="M1102" s="4" t="str">
        <f t="shared" si="30"/>
        <v>LOW</v>
      </c>
      <c r="N1102" s="4" t="str">
        <f t="shared" si="31"/>
        <v>MID</v>
      </c>
      <c r="O1102" s="4" t="str">
        <f t="shared" si="32"/>
        <v>STAGNANT</v>
      </c>
      <c r="P1102" s="5" t="str">
        <f t="shared" si="33"/>
        <v>Medium_Pressure</v>
      </c>
      <c r="Q1102" s="4" t="str">
        <f t="shared" si="34"/>
        <v>HIGHLY_ENGAGED</v>
      </c>
      <c r="R1102" s="4" t="str">
        <f t="shared" si="35"/>
        <v>LOW</v>
      </c>
      <c r="S1102" s="2"/>
      <c r="T1102" s="2"/>
      <c r="U1102" s="2"/>
      <c r="V1102" s="2"/>
      <c r="W1102" s="2"/>
      <c r="X1102" s="2"/>
      <c r="Y1102" s="2"/>
      <c r="Z1102" s="2"/>
    </row>
    <row r="1103" spans="1:26" ht="16.8" x14ac:dyDescent="0.3">
      <c r="A1103" s="4">
        <v>1555</v>
      </c>
      <c r="B1103" s="4" t="s">
        <v>43</v>
      </c>
      <c r="C1103" s="4">
        <v>32</v>
      </c>
      <c r="D1103" s="4" t="s">
        <v>45</v>
      </c>
      <c r="E1103" s="4" t="s">
        <v>47</v>
      </c>
      <c r="F1103" s="4">
        <v>5878</v>
      </c>
      <c r="G1103" s="4" t="s">
        <v>43</v>
      </c>
      <c r="H1103" s="4">
        <v>7</v>
      </c>
      <c r="I1103" s="4">
        <v>2</v>
      </c>
      <c r="J1103" s="4">
        <v>2</v>
      </c>
      <c r="K1103" s="4">
        <v>3</v>
      </c>
      <c r="L1103" s="4" t="str">
        <f t="shared" si="29"/>
        <v>NORMAL</v>
      </c>
      <c r="M1103" s="4" t="str">
        <f t="shared" si="30"/>
        <v>HIGH</v>
      </c>
      <c r="N1103" s="4" t="str">
        <f t="shared" si="31"/>
        <v>SENIOR</v>
      </c>
      <c r="O1103" s="4" t="str">
        <f t="shared" si="32"/>
        <v>MODERATE-WAIT</v>
      </c>
      <c r="P1103" s="5" t="str">
        <f t="shared" si="33"/>
        <v>Medium_Pressure</v>
      </c>
      <c r="Q1103" s="4" t="str">
        <f t="shared" si="34"/>
        <v>DISENGAGED</v>
      </c>
      <c r="R1103" s="4" t="str">
        <f t="shared" si="35"/>
        <v>LOW</v>
      </c>
      <c r="S1103" s="2"/>
      <c r="T1103" s="2"/>
      <c r="U1103" s="2"/>
      <c r="V1103" s="2"/>
      <c r="W1103" s="2"/>
      <c r="X1103" s="2"/>
      <c r="Y1103" s="2"/>
      <c r="Z1103" s="2"/>
    </row>
    <row r="1104" spans="1:26" ht="16.8" x14ac:dyDescent="0.3">
      <c r="A1104" s="4">
        <v>1556</v>
      </c>
      <c r="B1104" s="4" t="s">
        <v>43</v>
      </c>
      <c r="C1104" s="4">
        <v>36</v>
      </c>
      <c r="D1104" s="4" t="s">
        <v>37</v>
      </c>
      <c r="E1104" s="4" t="s">
        <v>57</v>
      </c>
      <c r="F1104" s="4">
        <v>2644</v>
      </c>
      <c r="G1104" s="4" t="s">
        <v>35</v>
      </c>
      <c r="H1104" s="4">
        <v>3</v>
      </c>
      <c r="I1104" s="4">
        <v>1</v>
      </c>
      <c r="J1104" s="4">
        <v>4</v>
      </c>
      <c r="K1104" s="4">
        <v>2</v>
      </c>
      <c r="L1104" s="4" t="str">
        <f t="shared" si="29"/>
        <v>NORMAL</v>
      </c>
      <c r="M1104" s="4" t="str">
        <f t="shared" si="30"/>
        <v>LOW</v>
      </c>
      <c r="N1104" s="4" t="str">
        <f t="shared" si="31"/>
        <v>MID</v>
      </c>
      <c r="O1104" s="4" t="str">
        <f t="shared" si="32"/>
        <v>RECENTLY PROMOTED</v>
      </c>
      <c r="P1104" s="5" t="str">
        <f t="shared" si="33"/>
        <v>High_Pressure</v>
      </c>
      <c r="Q1104" s="4" t="str">
        <f t="shared" si="34"/>
        <v>DISENGAGED</v>
      </c>
      <c r="R1104" s="4" t="str">
        <f t="shared" si="35"/>
        <v>LOW</v>
      </c>
      <c r="S1104" s="2"/>
      <c r="T1104" s="2"/>
      <c r="U1104" s="2"/>
      <c r="V1104" s="2"/>
      <c r="W1104" s="2"/>
      <c r="X1104" s="2"/>
      <c r="Y1104" s="2"/>
      <c r="Z1104" s="2"/>
    </row>
    <row r="1105" spans="1:26" ht="16.8" x14ac:dyDescent="0.3">
      <c r="A1105" s="4">
        <v>1557</v>
      </c>
      <c r="B1105" s="4" t="s">
        <v>43</v>
      </c>
      <c r="C1105" s="4">
        <v>48</v>
      </c>
      <c r="D1105" s="4" t="s">
        <v>37</v>
      </c>
      <c r="E1105" s="4" t="s">
        <v>40</v>
      </c>
      <c r="F1105" s="4">
        <v>6439</v>
      </c>
      <c r="G1105" s="4" t="s">
        <v>43</v>
      </c>
      <c r="H1105" s="4">
        <v>8</v>
      </c>
      <c r="I1105" s="4">
        <v>7</v>
      </c>
      <c r="J1105" s="4">
        <v>3</v>
      </c>
      <c r="K1105" s="4">
        <v>3</v>
      </c>
      <c r="L1105" s="4" t="str">
        <f t="shared" si="29"/>
        <v>NORMAL</v>
      </c>
      <c r="M1105" s="4" t="str">
        <f t="shared" si="30"/>
        <v>HIGH</v>
      </c>
      <c r="N1105" s="4" t="str">
        <f t="shared" si="31"/>
        <v>SENIOR</v>
      </c>
      <c r="O1105" s="4" t="str">
        <f t="shared" si="32"/>
        <v>STAGNANT</v>
      </c>
      <c r="P1105" s="5" t="str">
        <f t="shared" si="33"/>
        <v>Medium_Pressure</v>
      </c>
      <c r="Q1105" s="4" t="str">
        <f t="shared" si="34"/>
        <v>HIGHLY_ENGAGED</v>
      </c>
      <c r="R1105" s="4" t="str">
        <f t="shared" si="35"/>
        <v>LOW</v>
      </c>
      <c r="S1105" s="2"/>
      <c r="T1105" s="2"/>
      <c r="U1105" s="2"/>
      <c r="V1105" s="2"/>
      <c r="W1105" s="2"/>
      <c r="X1105" s="2"/>
      <c r="Y1105" s="2"/>
      <c r="Z1105" s="2"/>
    </row>
    <row r="1106" spans="1:26" ht="16.8" x14ac:dyDescent="0.3">
      <c r="A1106" s="4">
        <v>1558</v>
      </c>
      <c r="B1106" s="4" t="s">
        <v>43</v>
      </c>
      <c r="C1106" s="4">
        <v>29</v>
      </c>
      <c r="D1106" s="4" t="s">
        <v>45</v>
      </c>
      <c r="E1106" s="4" t="s">
        <v>47</v>
      </c>
      <c r="F1106" s="4">
        <v>2451</v>
      </c>
      <c r="G1106" s="4" t="s">
        <v>43</v>
      </c>
      <c r="H1106" s="4">
        <v>1</v>
      </c>
      <c r="I1106" s="4">
        <v>0</v>
      </c>
      <c r="J1106" s="4">
        <v>3</v>
      </c>
      <c r="K1106" s="4">
        <v>2</v>
      </c>
      <c r="L1106" s="4" t="str">
        <f t="shared" si="29"/>
        <v>NORMAL</v>
      </c>
      <c r="M1106" s="4" t="str">
        <f t="shared" si="30"/>
        <v>LOW</v>
      </c>
      <c r="N1106" s="4" t="str">
        <f t="shared" si="31"/>
        <v>NEW</v>
      </c>
      <c r="O1106" s="4" t="str">
        <f t="shared" si="32"/>
        <v>RECENTLY PROMOTED</v>
      </c>
      <c r="P1106" s="5" t="str">
        <f t="shared" si="33"/>
        <v>Low_Pressure</v>
      </c>
      <c r="Q1106" s="4" t="str">
        <f t="shared" si="34"/>
        <v>DISENGAGED</v>
      </c>
      <c r="R1106" s="4" t="str">
        <f t="shared" si="35"/>
        <v>LOW</v>
      </c>
      <c r="S1106" s="2"/>
      <c r="T1106" s="2"/>
      <c r="U1106" s="2"/>
      <c r="V1106" s="2"/>
      <c r="W1106" s="2"/>
      <c r="X1106" s="2"/>
      <c r="Y1106" s="2"/>
      <c r="Z1106" s="2"/>
    </row>
    <row r="1107" spans="1:26" ht="16.8" x14ac:dyDescent="0.3">
      <c r="A1107" s="4">
        <v>1560</v>
      </c>
      <c r="B1107" s="4" t="s">
        <v>43</v>
      </c>
      <c r="C1107" s="4">
        <v>33</v>
      </c>
      <c r="D1107" s="4" t="s">
        <v>37</v>
      </c>
      <c r="E1107" s="4" t="s">
        <v>40</v>
      </c>
      <c r="F1107" s="4">
        <v>6392</v>
      </c>
      <c r="G1107" s="4" t="s">
        <v>43</v>
      </c>
      <c r="H1107" s="4">
        <v>2</v>
      </c>
      <c r="I1107" s="4">
        <v>2</v>
      </c>
      <c r="J1107" s="4">
        <v>1</v>
      </c>
      <c r="K1107" s="4">
        <v>1</v>
      </c>
      <c r="L1107" s="4" t="str">
        <f t="shared" si="29"/>
        <v>NORMAL</v>
      </c>
      <c r="M1107" s="4" t="str">
        <f t="shared" si="30"/>
        <v>HIGH</v>
      </c>
      <c r="N1107" s="4" t="str">
        <f t="shared" si="31"/>
        <v>NEW</v>
      </c>
      <c r="O1107" s="4" t="str">
        <f t="shared" si="32"/>
        <v>MODERATE-WAIT</v>
      </c>
      <c r="P1107" s="5" t="str">
        <f t="shared" si="33"/>
        <v>Low_Pressure</v>
      </c>
      <c r="Q1107" s="4" t="str">
        <f t="shared" si="34"/>
        <v>DISENGAGED</v>
      </c>
      <c r="R1107" s="4" t="str">
        <f t="shared" si="35"/>
        <v>LOW</v>
      </c>
      <c r="S1107" s="2"/>
      <c r="T1107" s="2"/>
      <c r="U1107" s="2"/>
      <c r="V1107" s="2"/>
      <c r="W1107" s="2"/>
      <c r="X1107" s="2"/>
      <c r="Y1107" s="2"/>
      <c r="Z1107" s="2"/>
    </row>
    <row r="1108" spans="1:26" ht="16.8" x14ac:dyDescent="0.3">
      <c r="A1108" s="4">
        <v>1562</v>
      </c>
      <c r="B1108" s="4" t="s">
        <v>35</v>
      </c>
      <c r="C1108" s="4">
        <v>30</v>
      </c>
      <c r="D1108" s="4" t="s">
        <v>37</v>
      </c>
      <c r="E1108" s="4" t="s">
        <v>40</v>
      </c>
      <c r="F1108" s="4">
        <v>9714</v>
      </c>
      <c r="G1108" s="4" t="s">
        <v>43</v>
      </c>
      <c r="H1108" s="4">
        <v>10</v>
      </c>
      <c r="I1108" s="4">
        <v>6</v>
      </c>
      <c r="J1108" s="4">
        <v>1</v>
      </c>
      <c r="K1108" s="4">
        <v>3</v>
      </c>
      <c r="L1108" s="4" t="str">
        <f t="shared" si="29"/>
        <v>NORMAL</v>
      </c>
      <c r="M1108" s="4" t="str">
        <f t="shared" si="30"/>
        <v>MEDIUM</v>
      </c>
      <c r="N1108" s="4" t="str">
        <f t="shared" si="31"/>
        <v>SENIOR</v>
      </c>
      <c r="O1108" s="4" t="str">
        <f t="shared" si="32"/>
        <v>STAGNANT</v>
      </c>
      <c r="P1108" s="5" t="str">
        <f t="shared" si="33"/>
        <v>Medium_Pressure</v>
      </c>
      <c r="Q1108" s="4" t="str">
        <f t="shared" si="34"/>
        <v>DISENGAGED</v>
      </c>
      <c r="R1108" s="4" t="str">
        <f t="shared" si="35"/>
        <v>LOW</v>
      </c>
      <c r="S1108" s="2"/>
      <c r="T1108" s="2"/>
      <c r="U1108" s="2"/>
      <c r="V1108" s="2"/>
      <c r="W1108" s="2"/>
      <c r="X1108" s="2"/>
      <c r="Y1108" s="2"/>
      <c r="Z1108" s="2"/>
    </row>
    <row r="1109" spans="1:26" ht="16.8" x14ac:dyDescent="0.3">
      <c r="A1109" s="4">
        <v>1563</v>
      </c>
      <c r="B1109" s="4" t="s">
        <v>43</v>
      </c>
      <c r="C1109" s="4">
        <v>38</v>
      </c>
      <c r="D1109" s="4" t="s">
        <v>61</v>
      </c>
      <c r="E1109" s="4" t="s">
        <v>61</v>
      </c>
      <c r="F1109" s="4">
        <v>6077</v>
      </c>
      <c r="G1109" s="4" t="s">
        <v>43</v>
      </c>
      <c r="H1109" s="4">
        <v>6</v>
      </c>
      <c r="I1109" s="4">
        <v>1</v>
      </c>
      <c r="J1109" s="4">
        <v>3</v>
      </c>
      <c r="K1109" s="4">
        <v>3</v>
      </c>
      <c r="L1109" s="4" t="str">
        <f t="shared" si="29"/>
        <v>NORMAL</v>
      </c>
      <c r="M1109" s="4" t="str">
        <f t="shared" si="30"/>
        <v>HIGH</v>
      </c>
      <c r="N1109" s="4" t="str">
        <f t="shared" si="31"/>
        <v>MID</v>
      </c>
      <c r="O1109" s="4" t="str">
        <f t="shared" si="32"/>
        <v>RECENTLY PROMOTED</v>
      </c>
      <c r="P1109" s="5" t="str">
        <f t="shared" si="33"/>
        <v>Medium_Pressure</v>
      </c>
      <c r="Q1109" s="4" t="str">
        <f t="shared" si="34"/>
        <v>HIGHLY_ENGAGED</v>
      </c>
      <c r="R1109" s="4" t="str">
        <f t="shared" si="35"/>
        <v>LOW</v>
      </c>
      <c r="S1109" s="2"/>
      <c r="T1109" s="2"/>
      <c r="U1109" s="2"/>
      <c r="V1109" s="2"/>
      <c r="W1109" s="2"/>
      <c r="X1109" s="2"/>
      <c r="Y1109" s="2"/>
      <c r="Z1109" s="2"/>
    </row>
    <row r="1110" spans="1:26" ht="16.8" x14ac:dyDescent="0.3">
      <c r="A1110" s="4">
        <v>1564</v>
      </c>
      <c r="B1110" s="4" t="s">
        <v>43</v>
      </c>
      <c r="C1110" s="4">
        <v>35</v>
      </c>
      <c r="D1110" s="4" t="s">
        <v>45</v>
      </c>
      <c r="E1110" s="4" t="s">
        <v>50</v>
      </c>
      <c r="F1110" s="4">
        <v>2450</v>
      </c>
      <c r="G1110" s="4" t="s">
        <v>43</v>
      </c>
      <c r="H1110" s="4">
        <v>3</v>
      </c>
      <c r="I1110" s="4">
        <v>1</v>
      </c>
      <c r="J1110" s="4">
        <v>1</v>
      </c>
      <c r="K1110" s="4">
        <v>3</v>
      </c>
      <c r="L1110" s="4" t="str">
        <f t="shared" si="29"/>
        <v>NORMAL</v>
      </c>
      <c r="M1110" s="4" t="str">
        <f t="shared" si="30"/>
        <v>LOW</v>
      </c>
      <c r="N1110" s="4" t="str">
        <f t="shared" si="31"/>
        <v>MID</v>
      </c>
      <c r="O1110" s="4" t="str">
        <f t="shared" si="32"/>
        <v>RECENTLY PROMOTED</v>
      </c>
      <c r="P1110" s="5" t="str">
        <f t="shared" si="33"/>
        <v>Medium_Pressure</v>
      </c>
      <c r="Q1110" s="4" t="str">
        <f t="shared" si="34"/>
        <v>DISENGAGED</v>
      </c>
      <c r="R1110" s="4" t="str">
        <f t="shared" si="35"/>
        <v>LOW</v>
      </c>
      <c r="S1110" s="2"/>
      <c r="T1110" s="2"/>
      <c r="U1110" s="2"/>
      <c r="V1110" s="2"/>
      <c r="W1110" s="2"/>
      <c r="X1110" s="2"/>
      <c r="Y1110" s="2"/>
      <c r="Z1110" s="2"/>
    </row>
    <row r="1111" spans="1:26" ht="16.8" x14ac:dyDescent="0.3">
      <c r="A1111" s="4">
        <v>1568</v>
      </c>
      <c r="B1111" s="4" t="s">
        <v>43</v>
      </c>
      <c r="C1111" s="4">
        <v>30</v>
      </c>
      <c r="D1111" s="4" t="s">
        <v>37</v>
      </c>
      <c r="E1111" s="4" t="s">
        <v>40</v>
      </c>
      <c r="F1111" s="4">
        <v>9250</v>
      </c>
      <c r="G1111" s="4" t="s">
        <v>43</v>
      </c>
      <c r="H1111" s="4">
        <v>4</v>
      </c>
      <c r="I1111" s="4">
        <v>1</v>
      </c>
      <c r="J1111" s="4">
        <v>2</v>
      </c>
      <c r="K1111" s="4">
        <v>3</v>
      </c>
      <c r="L1111" s="4" t="str">
        <f t="shared" si="29"/>
        <v>NORMAL</v>
      </c>
      <c r="M1111" s="4" t="str">
        <f t="shared" si="30"/>
        <v>MEDIUM</v>
      </c>
      <c r="N1111" s="4" t="str">
        <f t="shared" si="31"/>
        <v>MID</v>
      </c>
      <c r="O1111" s="4" t="str">
        <f t="shared" si="32"/>
        <v>RECENTLY PROMOTED</v>
      </c>
      <c r="P1111" s="5" t="str">
        <f t="shared" si="33"/>
        <v>Medium_Pressure</v>
      </c>
      <c r="Q1111" s="4" t="str">
        <f t="shared" si="34"/>
        <v>DISENGAGED</v>
      </c>
      <c r="R1111" s="4" t="str">
        <f t="shared" si="35"/>
        <v>LOW</v>
      </c>
      <c r="S1111" s="2"/>
      <c r="T1111" s="2"/>
      <c r="U1111" s="2"/>
      <c r="V1111" s="2"/>
      <c r="W1111" s="2"/>
      <c r="X1111" s="2"/>
      <c r="Y1111" s="2"/>
      <c r="Z1111" s="2"/>
    </row>
    <row r="1112" spans="1:26" ht="16.8" x14ac:dyDescent="0.3">
      <c r="A1112" s="4">
        <v>1569</v>
      </c>
      <c r="B1112" s="4" t="s">
        <v>35</v>
      </c>
      <c r="C1112" s="4">
        <v>35</v>
      </c>
      <c r="D1112" s="4" t="s">
        <v>45</v>
      </c>
      <c r="E1112" s="4" t="s">
        <v>50</v>
      </c>
      <c r="F1112" s="4">
        <v>2074</v>
      </c>
      <c r="G1112" s="4" t="s">
        <v>35</v>
      </c>
      <c r="H1112" s="4">
        <v>1</v>
      </c>
      <c r="I1112" s="4">
        <v>0</v>
      </c>
      <c r="J1112" s="4">
        <v>1</v>
      </c>
      <c r="K1112" s="4">
        <v>3</v>
      </c>
      <c r="L1112" s="4" t="str">
        <f t="shared" si="29"/>
        <v>NORMAL</v>
      </c>
      <c r="M1112" s="4" t="str">
        <f t="shared" si="30"/>
        <v>LOW</v>
      </c>
      <c r="N1112" s="4" t="str">
        <f t="shared" si="31"/>
        <v>NEW</v>
      </c>
      <c r="O1112" s="4" t="str">
        <f t="shared" si="32"/>
        <v>RECENTLY PROMOTED</v>
      </c>
      <c r="P1112" s="5" t="str">
        <f t="shared" si="33"/>
        <v>Medium_Pressure</v>
      </c>
      <c r="Q1112" s="4" t="str">
        <f t="shared" si="34"/>
        <v>DISENGAGED</v>
      </c>
      <c r="R1112" s="4" t="str">
        <f t="shared" si="35"/>
        <v>LOW</v>
      </c>
      <c r="S1112" s="2"/>
      <c r="T1112" s="2"/>
      <c r="U1112" s="2"/>
      <c r="V1112" s="2"/>
      <c r="W1112" s="2"/>
      <c r="X1112" s="2"/>
      <c r="Y1112" s="2"/>
      <c r="Z1112" s="2"/>
    </row>
    <row r="1113" spans="1:26" ht="16.8" x14ac:dyDescent="0.3">
      <c r="A1113" s="4">
        <v>1572</v>
      </c>
      <c r="B1113" s="4" t="s">
        <v>35</v>
      </c>
      <c r="C1113" s="4">
        <v>53</v>
      </c>
      <c r="D1113" s="4" t="s">
        <v>45</v>
      </c>
      <c r="E1113" s="4" t="s">
        <v>53</v>
      </c>
      <c r="F1113" s="4">
        <v>10169</v>
      </c>
      <c r="G1113" s="4" t="s">
        <v>43</v>
      </c>
      <c r="H1113" s="4">
        <v>33</v>
      </c>
      <c r="I1113" s="4">
        <v>1</v>
      </c>
      <c r="J1113" s="4">
        <v>4</v>
      </c>
      <c r="K1113" s="4">
        <v>3</v>
      </c>
      <c r="L1113" s="4" t="str">
        <f t="shared" si="29"/>
        <v>NORMAL</v>
      </c>
      <c r="M1113" s="4" t="str">
        <f t="shared" si="30"/>
        <v>MEDIUM</v>
      </c>
      <c r="N1113" s="4" t="str">
        <f t="shared" si="31"/>
        <v>SENIOR</v>
      </c>
      <c r="O1113" s="4" t="str">
        <f t="shared" si="32"/>
        <v>RECENTLY PROMOTED</v>
      </c>
      <c r="P1113" s="5" t="str">
        <f t="shared" si="33"/>
        <v>Medium_Pressure</v>
      </c>
      <c r="Q1113" s="4" t="str">
        <f t="shared" si="34"/>
        <v>HIGHLY_ENGAGED</v>
      </c>
      <c r="R1113" s="4" t="str">
        <f t="shared" si="35"/>
        <v>LOW</v>
      </c>
      <c r="S1113" s="2"/>
      <c r="T1113" s="2"/>
      <c r="U1113" s="2"/>
      <c r="V1113" s="2"/>
      <c r="W1113" s="2"/>
      <c r="X1113" s="2"/>
      <c r="Y1113" s="2"/>
      <c r="Z1113" s="2"/>
    </row>
    <row r="1114" spans="1:26" ht="16.8" x14ac:dyDescent="0.3">
      <c r="A1114" s="4">
        <v>1573</v>
      </c>
      <c r="B1114" s="4" t="s">
        <v>35</v>
      </c>
      <c r="C1114" s="4">
        <v>38</v>
      </c>
      <c r="D1114" s="4" t="s">
        <v>45</v>
      </c>
      <c r="E1114" s="4" t="s">
        <v>53</v>
      </c>
      <c r="F1114" s="4">
        <v>4855</v>
      </c>
      <c r="G1114" s="4" t="s">
        <v>43</v>
      </c>
      <c r="H1114" s="4">
        <v>5</v>
      </c>
      <c r="I1114" s="4">
        <v>1</v>
      </c>
      <c r="J1114" s="4">
        <v>2</v>
      </c>
      <c r="K1114" s="4">
        <v>3</v>
      </c>
      <c r="L1114" s="4" t="str">
        <f t="shared" si="29"/>
        <v>NORMAL</v>
      </c>
      <c r="M1114" s="4" t="str">
        <f t="shared" si="30"/>
        <v>HIGH</v>
      </c>
      <c r="N1114" s="4" t="str">
        <f t="shared" si="31"/>
        <v>MID</v>
      </c>
      <c r="O1114" s="4" t="str">
        <f t="shared" si="32"/>
        <v>RECENTLY PROMOTED</v>
      </c>
      <c r="P1114" s="5" t="str">
        <f t="shared" si="33"/>
        <v>Medium_Pressure</v>
      </c>
      <c r="Q1114" s="4" t="str">
        <f t="shared" si="34"/>
        <v>DISENGAGED</v>
      </c>
      <c r="R1114" s="4" t="str">
        <f t="shared" si="35"/>
        <v>LOW</v>
      </c>
      <c r="S1114" s="2"/>
      <c r="T1114" s="2"/>
      <c r="U1114" s="2"/>
      <c r="V1114" s="2"/>
      <c r="W1114" s="2"/>
      <c r="X1114" s="2"/>
      <c r="Y1114" s="2"/>
      <c r="Z1114" s="2"/>
    </row>
    <row r="1115" spans="1:26" ht="16.8" x14ac:dyDescent="0.3">
      <c r="A1115" s="4">
        <v>1574</v>
      </c>
      <c r="B1115" s="4" t="s">
        <v>43</v>
      </c>
      <c r="C1115" s="4">
        <v>32</v>
      </c>
      <c r="D1115" s="4" t="s">
        <v>45</v>
      </c>
      <c r="E1115" s="4" t="s">
        <v>47</v>
      </c>
      <c r="F1115" s="4">
        <v>4087</v>
      </c>
      <c r="G1115" s="4" t="s">
        <v>43</v>
      </c>
      <c r="H1115" s="4">
        <v>6</v>
      </c>
      <c r="I1115" s="4">
        <v>1</v>
      </c>
      <c r="J1115" s="4">
        <v>1</v>
      </c>
      <c r="K1115" s="4">
        <v>2</v>
      </c>
      <c r="L1115" s="4" t="str">
        <f t="shared" si="29"/>
        <v>NORMAL</v>
      </c>
      <c r="M1115" s="4" t="str">
        <f t="shared" si="30"/>
        <v>HIGH</v>
      </c>
      <c r="N1115" s="4" t="str">
        <f t="shared" si="31"/>
        <v>MID</v>
      </c>
      <c r="O1115" s="4" t="str">
        <f t="shared" si="32"/>
        <v>RECENTLY PROMOTED</v>
      </c>
      <c r="P1115" s="5" t="str">
        <f t="shared" si="33"/>
        <v>Low_Pressure</v>
      </c>
      <c r="Q1115" s="4" t="str">
        <f t="shared" si="34"/>
        <v>DISENGAGED</v>
      </c>
      <c r="R1115" s="4" t="str">
        <f t="shared" si="35"/>
        <v>LOW</v>
      </c>
      <c r="S1115" s="2"/>
      <c r="T1115" s="2"/>
      <c r="U1115" s="2"/>
      <c r="V1115" s="2"/>
      <c r="W1115" s="2"/>
      <c r="X1115" s="2"/>
      <c r="Y1115" s="2"/>
      <c r="Z1115" s="2"/>
    </row>
    <row r="1116" spans="1:26" ht="16.8" x14ac:dyDescent="0.3">
      <c r="A1116" s="4">
        <v>1576</v>
      </c>
      <c r="B1116" s="4" t="s">
        <v>43</v>
      </c>
      <c r="C1116" s="4">
        <v>48</v>
      </c>
      <c r="D1116" s="4" t="s">
        <v>45</v>
      </c>
      <c r="E1116" s="4" t="s">
        <v>47</v>
      </c>
      <c r="F1116" s="4">
        <v>2367</v>
      </c>
      <c r="G1116" s="4" t="s">
        <v>43</v>
      </c>
      <c r="H1116" s="4">
        <v>8</v>
      </c>
      <c r="I1116" s="4">
        <v>7</v>
      </c>
      <c r="J1116" s="4">
        <v>1</v>
      </c>
      <c r="K1116" s="4">
        <v>2</v>
      </c>
      <c r="L1116" s="4" t="str">
        <f t="shared" si="29"/>
        <v>NORMAL</v>
      </c>
      <c r="M1116" s="4" t="str">
        <f t="shared" si="30"/>
        <v>LOW</v>
      </c>
      <c r="N1116" s="4" t="str">
        <f t="shared" si="31"/>
        <v>SENIOR</v>
      </c>
      <c r="O1116" s="4" t="str">
        <f t="shared" si="32"/>
        <v>STAGNANT</v>
      </c>
      <c r="P1116" s="5" t="str">
        <f t="shared" si="33"/>
        <v>Low_Pressure</v>
      </c>
      <c r="Q1116" s="4" t="str">
        <f t="shared" si="34"/>
        <v>DISENGAGED</v>
      </c>
      <c r="R1116" s="4" t="str">
        <f t="shared" si="35"/>
        <v>LOW</v>
      </c>
      <c r="S1116" s="2"/>
      <c r="T1116" s="2"/>
      <c r="U1116" s="2"/>
      <c r="V1116" s="2"/>
      <c r="W1116" s="2"/>
      <c r="X1116" s="2"/>
      <c r="Y1116" s="2"/>
      <c r="Z1116" s="2"/>
    </row>
    <row r="1117" spans="1:26" ht="16.8" x14ac:dyDescent="0.3">
      <c r="A1117" s="4">
        <v>1577</v>
      </c>
      <c r="B1117" s="4" t="s">
        <v>43</v>
      </c>
      <c r="C1117" s="4">
        <v>34</v>
      </c>
      <c r="D1117" s="4" t="s">
        <v>45</v>
      </c>
      <c r="E1117" s="4" t="s">
        <v>47</v>
      </c>
      <c r="F1117" s="4">
        <v>2972</v>
      </c>
      <c r="G1117" s="4" t="s">
        <v>43</v>
      </c>
      <c r="H1117" s="4">
        <v>1</v>
      </c>
      <c r="I1117" s="4">
        <v>0</v>
      </c>
      <c r="J1117" s="4">
        <v>4</v>
      </c>
      <c r="K1117" s="4">
        <v>1</v>
      </c>
      <c r="L1117" s="4" t="str">
        <f t="shared" si="29"/>
        <v>NORMAL</v>
      </c>
      <c r="M1117" s="4" t="str">
        <f t="shared" si="30"/>
        <v>LOW</v>
      </c>
      <c r="N1117" s="4" t="str">
        <f t="shared" si="31"/>
        <v>NEW</v>
      </c>
      <c r="O1117" s="4" t="str">
        <f t="shared" si="32"/>
        <v>RECENTLY PROMOTED</v>
      </c>
      <c r="P1117" s="5" t="str">
        <f t="shared" si="33"/>
        <v>Low_Pressure</v>
      </c>
      <c r="Q1117" s="4" t="str">
        <f t="shared" si="34"/>
        <v>DISENGAGED</v>
      </c>
      <c r="R1117" s="4" t="str">
        <f t="shared" si="35"/>
        <v>LOW</v>
      </c>
      <c r="S1117" s="2"/>
      <c r="T1117" s="2"/>
      <c r="U1117" s="2"/>
      <c r="V1117" s="2"/>
      <c r="W1117" s="2"/>
      <c r="X1117" s="2"/>
      <c r="Y1117" s="2"/>
      <c r="Z1117" s="2"/>
    </row>
    <row r="1118" spans="1:26" ht="16.8" x14ac:dyDescent="0.3">
      <c r="A1118" s="4">
        <v>1578</v>
      </c>
      <c r="B1118" s="4" t="s">
        <v>43</v>
      </c>
      <c r="C1118" s="4">
        <v>55</v>
      </c>
      <c r="D1118" s="4" t="s">
        <v>37</v>
      </c>
      <c r="E1118" s="4" t="s">
        <v>56</v>
      </c>
      <c r="F1118" s="4">
        <v>19586</v>
      </c>
      <c r="G1118" s="4" t="s">
        <v>43</v>
      </c>
      <c r="H1118" s="4">
        <v>36</v>
      </c>
      <c r="I1118" s="4">
        <v>2</v>
      </c>
      <c r="J1118" s="4">
        <v>4</v>
      </c>
      <c r="K1118" s="4">
        <v>3</v>
      </c>
      <c r="L1118" s="4" t="str">
        <f t="shared" si="29"/>
        <v>NORMAL</v>
      </c>
      <c r="M1118" s="4" t="str">
        <f t="shared" si="30"/>
        <v>MEDIUM</v>
      </c>
      <c r="N1118" s="4" t="str">
        <f t="shared" si="31"/>
        <v>SENIOR</v>
      </c>
      <c r="O1118" s="4" t="str">
        <f t="shared" si="32"/>
        <v>MODERATE-WAIT</v>
      </c>
      <c r="P1118" s="5" t="str">
        <f t="shared" si="33"/>
        <v>Medium_Pressure</v>
      </c>
      <c r="Q1118" s="4" t="str">
        <f t="shared" si="34"/>
        <v>HIGHLY_ENGAGED</v>
      </c>
      <c r="R1118" s="4" t="str">
        <f t="shared" si="35"/>
        <v>LOW</v>
      </c>
      <c r="S1118" s="2"/>
      <c r="T1118" s="2"/>
      <c r="U1118" s="2"/>
      <c r="V1118" s="2"/>
      <c r="W1118" s="2"/>
      <c r="X1118" s="2"/>
      <c r="Y1118" s="2"/>
      <c r="Z1118" s="2"/>
    </row>
    <row r="1119" spans="1:26" ht="16.8" x14ac:dyDescent="0.3">
      <c r="A1119" s="4">
        <v>1580</v>
      </c>
      <c r="B1119" s="4" t="s">
        <v>43</v>
      </c>
      <c r="C1119" s="4">
        <v>34</v>
      </c>
      <c r="D1119" s="4" t="s">
        <v>45</v>
      </c>
      <c r="E1119" s="4" t="s">
        <v>47</v>
      </c>
      <c r="F1119" s="4">
        <v>5484</v>
      </c>
      <c r="G1119" s="4" t="s">
        <v>43</v>
      </c>
      <c r="H1119" s="4">
        <v>2</v>
      </c>
      <c r="I1119" s="4">
        <v>2</v>
      </c>
      <c r="J1119" s="4">
        <v>4</v>
      </c>
      <c r="K1119" s="4">
        <v>2</v>
      </c>
      <c r="L1119" s="4" t="str">
        <f t="shared" si="29"/>
        <v>NORMAL</v>
      </c>
      <c r="M1119" s="4" t="str">
        <f t="shared" si="30"/>
        <v>HIGH</v>
      </c>
      <c r="N1119" s="4" t="str">
        <f t="shared" si="31"/>
        <v>NEW</v>
      </c>
      <c r="O1119" s="4" t="str">
        <f t="shared" si="32"/>
        <v>MODERATE-WAIT</v>
      </c>
      <c r="P1119" s="5" t="str">
        <f t="shared" si="33"/>
        <v>Low_Pressure</v>
      </c>
      <c r="Q1119" s="4" t="str">
        <f t="shared" si="34"/>
        <v>DISENGAGED</v>
      </c>
      <c r="R1119" s="4" t="str">
        <f t="shared" si="35"/>
        <v>LOW</v>
      </c>
      <c r="S1119" s="2"/>
      <c r="T1119" s="2"/>
      <c r="U1119" s="2"/>
      <c r="V1119" s="2"/>
      <c r="W1119" s="2"/>
      <c r="X1119" s="2"/>
      <c r="Y1119" s="2"/>
      <c r="Z1119" s="2"/>
    </row>
    <row r="1120" spans="1:26" ht="16.8" x14ac:dyDescent="0.3">
      <c r="A1120" s="4">
        <v>1581</v>
      </c>
      <c r="B1120" s="4" t="s">
        <v>43</v>
      </c>
      <c r="C1120" s="4">
        <v>26</v>
      </c>
      <c r="D1120" s="4" t="s">
        <v>45</v>
      </c>
      <c r="E1120" s="4" t="s">
        <v>47</v>
      </c>
      <c r="F1120" s="4">
        <v>2061</v>
      </c>
      <c r="G1120" s="4" t="s">
        <v>43</v>
      </c>
      <c r="H1120" s="4">
        <v>1</v>
      </c>
      <c r="I1120" s="4">
        <v>0</v>
      </c>
      <c r="J1120" s="4">
        <v>4</v>
      </c>
      <c r="K1120" s="4">
        <v>3</v>
      </c>
      <c r="L1120" s="4" t="str">
        <f t="shared" si="29"/>
        <v>NORMAL</v>
      </c>
      <c r="M1120" s="4" t="str">
        <f t="shared" si="30"/>
        <v>LOW</v>
      </c>
      <c r="N1120" s="4" t="str">
        <f t="shared" si="31"/>
        <v>NEW</v>
      </c>
      <c r="O1120" s="4" t="str">
        <f t="shared" si="32"/>
        <v>RECENTLY PROMOTED</v>
      </c>
      <c r="P1120" s="5" t="str">
        <f t="shared" si="33"/>
        <v>Medium_Pressure</v>
      </c>
      <c r="Q1120" s="4" t="str">
        <f t="shared" si="34"/>
        <v>HIGHLY_ENGAGED</v>
      </c>
      <c r="R1120" s="4" t="str">
        <f t="shared" si="35"/>
        <v>LOW</v>
      </c>
      <c r="S1120" s="2"/>
      <c r="T1120" s="2"/>
      <c r="U1120" s="2"/>
      <c r="V1120" s="2"/>
      <c r="W1120" s="2"/>
      <c r="X1120" s="2"/>
      <c r="Y1120" s="2"/>
      <c r="Z1120" s="2"/>
    </row>
    <row r="1121" spans="1:26" ht="16.8" x14ac:dyDescent="0.3">
      <c r="A1121" s="4">
        <v>1582</v>
      </c>
      <c r="B1121" s="4" t="s">
        <v>43</v>
      </c>
      <c r="C1121" s="4">
        <v>38</v>
      </c>
      <c r="D1121" s="4" t="s">
        <v>37</v>
      </c>
      <c r="E1121" s="4" t="s">
        <v>40</v>
      </c>
      <c r="F1121" s="4">
        <v>9924</v>
      </c>
      <c r="G1121" s="4" t="s">
        <v>43</v>
      </c>
      <c r="H1121" s="4">
        <v>9</v>
      </c>
      <c r="I1121" s="4">
        <v>7</v>
      </c>
      <c r="J1121" s="4">
        <v>2</v>
      </c>
      <c r="K1121" s="4">
        <v>3</v>
      </c>
      <c r="L1121" s="4" t="str">
        <f t="shared" si="29"/>
        <v>NORMAL</v>
      </c>
      <c r="M1121" s="4" t="str">
        <f t="shared" si="30"/>
        <v>MEDIUM</v>
      </c>
      <c r="N1121" s="4" t="str">
        <f t="shared" si="31"/>
        <v>SENIOR</v>
      </c>
      <c r="O1121" s="4" t="str">
        <f t="shared" si="32"/>
        <v>STAGNANT</v>
      </c>
      <c r="P1121" s="5" t="str">
        <f t="shared" si="33"/>
        <v>Medium_Pressure</v>
      </c>
      <c r="Q1121" s="4" t="str">
        <f t="shared" si="34"/>
        <v>DISENGAGED</v>
      </c>
      <c r="R1121" s="4" t="str">
        <f t="shared" si="35"/>
        <v>LOW</v>
      </c>
      <c r="S1121" s="2"/>
      <c r="T1121" s="2"/>
      <c r="U1121" s="2"/>
      <c r="V1121" s="2"/>
      <c r="W1121" s="2"/>
      <c r="X1121" s="2"/>
      <c r="Y1121" s="2"/>
      <c r="Z1121" s="2"/>
    </row>
    <row r="1122" spans="1:26" ht="16.8" x14ac:dyDescent="0.3">
      <c r="A1122" s="4">
        <v>1583</v>
      </c>
      <c r="B1122" s="4" t="s">
        <v>43</v>
      </c>
      <c r="C1122" s="4">
        <v>38</v>
      </c>
      <c r="D1122" s="4" t="s">
        <v>37</v>
      </c>
      <c r="E1122" s="4" t="s">
        <v>40</v>
      </c>
      <c r="F1122" s="4">
        <v>4198</v>
      </c>
      <c r="G1122" s="4" t="s">
        <v>43</v>
      </c>
      <c r="H1122" s="4">
        <v>3</v>
      </c>
      <c r="I1122" s="4">
        <v>1</v>
      </c>
      <c r="J1122" s="4">
        <v>2</v>
      </c>
      <c r="K1122" s="4">
        <v>4</v>
      </c>
      <c r="L1122" s="4" t="str">
        <f t="shared" si="29"/>
        <v>NORMAL</v>
      </c>
      <c r="M1122" s="4" t="str">
        <f t="shared" si="30"/>
        <v>HIGH</v>
      </c>
      <c r="N1122" s="4" t="str">
        <f t="shared" si="31"/>
        <v>MID</v>
      </c>
      <c r="O1122" s="4" t="str">
        <f t="shared" si="32"/>
        <v>RECENTLY PROMOTED</v>
      </c>
      <c r="P1122" s="5" t="str">
        <f t="shared" si="33"/>
        <v>Low_Pressure</v>
      </c>
      <c r="Q1122" s="4" t="str">
        <f t="shared" si="34"/>
        <v>DISENGAGED</v>
      </c>
      <c r="R1122" s="4" t="str">
        <f t="shared" si="35"/>
        <v>LOW</v>
      </c>
      <c r="S1122" s="2"/>
      <c r="T1122" s="2"/>
      <c r="U1122" s="2"/>
      <c r="V1122" s="2"/>
      <c r="W1122" s="2"/>
      <c r="X1122" s="2"/>
      <c r="Y1122" s="2"/>
      <c r="Z1122" s="2"/>
    </row>
    <row r="1123" spans="1:26" ht="16.8" x14ac:dyDescent="0.3">
      <c r="A1123" s="4">
        <v>1585</v>
      </c>
      <c r="B1123" s="4" t="s">
        <v>43</v>
      </c>
      <c r="C1123" s="4">
        <v>36</v>
      </c>
      <c r="D1123" s="4" t="s">
        <v>37</v>
      </c>
      <c r="E1123" s="4" t="s">
        <v>40</v>
      </c>
      <c r="F1123" s="4">
        <v>6815</v>
      </c>
      <c r="G1123" s="4" t="s">
        <v>43</v>
      </c>
      <c r="H1123" s="4">
        <v>1</v>
      </c>
      <c r="I1123" s="4">
        <v>0</v>
      </c>
      <c r="J1123" s="4">
        <v>3</v>
      </c>
      <c r="K1123" s="4">
        <v>3</v>
      </c>
      <c r="L1123" s="4" t="str">
        <f t="shared" si="29"/>
        <v>NORMAL</v>
      </c>
      <c r="M1123" s="4" t="str">
        <f t="shared" si="30"/>
        <v>HIGH</v>
      </c>
      <c r="N1123" s="4" t="str">
        <f t="shared" si="31"/>
        <v>NEW</v>
      </c>
      <c r="O1123" s="4" t="str">
        <f t="shared" si="32"/>
        <v>RECENTLY PROMOTED</v>
      </c>
      <c r="P1123" s="5" t="str">
        <f t="shared" si="33"/>
        <v>Medium_Pressure</v>
      </c>
      <c r="Q1123" s="4" t="str">
        <f t="shared" si="34"/>
        <v>HIGHLY_ENGAGED</v>
      </c>
      <c r="R1123" s="4" t="str">
        <f t="shared" si="35"/>
        <v>LOW</v>
      </c>
      <c r="S1123" s="2"/>
      <c r="T1123" s="2"/>
      <c r="U1123" s="2"/>
      <c r="V1123" s="2"/>
      <c r="W1123" s="2"/>
      <c r="X1123" s="2"/>
      <c r="Y1123" s="2"/>
      <c r="Z1123" s="2"/>
    </row>
    <row r="1124" spans="1:26" ht="16.8" x14ac:dyDescent="0.3">
      <c r="A1124" s="4">
        <v>1586</v>
      </c>
      <c r="B1124" s="4" t="s">
        <v>43</v>
      </c>
      <c r="C1124" s="4">
        <v>29</v>
      </c>
      <c r="D1124" s="4" t="s">
        <v>45</v>
      </c>
      <c r="E1124" s="4" t="s">
        <v>50</v>
      </c>
      <c r="F1124" s="4">
        <v>4723</v>
      </c>
      <c r="G1124" s="4" t="s">
        <v>35</v>
      </c>
      <c r="H1124" s="4">
        <v>10</v>
      </c>
      <c r="I1124" s="4">
        <v>1</v>
      </c>
      <c r="J1124" s="4">
        <v>1</v>
      </c>
      <c r="K1124" s="4">
        <v>3</v>
      </c>
      <c r="L1124" s="4" t="str">
        <f t="shared" si="29"/>
        <v>NORMAL</v>
      </c>
      <c r="M1124" s="4" t="str">
        <f t="shared" si="30"/>
        <v>HIGH</v>
      </c>
      <c r="N1124" s="4" t="str">
        <f t="shared" si="31"/>
        <v>SENIOR</v>
      </c>
      <c r="O1124" s="4" t="str">
        <f t="shared" si="32"/>
        <v>RECENTLY PROMOTED</v>
      </c>
      <c r="P1124" s="5" t="str">
        <f t="shared" si="33"/>
        <v>Medium_Pressure</v>
      </c>
      <c r="Q1124" s="4" t="str">
        <f t="shared" si="34"/>
        <v>DISENGAGED</v>
      </c>
      <c r="R1124" s="4" t="str">
        <f t="shared" si="35"/>
        <v>LOW</v>
      </c>
      <c r="S1124" s="2"/>
      <c r="T1124" s="2"/>
      <c r="U1124" s="2"/>
      <c r="V1124" s="2"/>
      <c r="W1124" s="2"/>
      <c r="X1124" s="2"/>
      <c r="Y1124" s="2"/>
      <c r="Z1124" s="2"/>
    </row>
    <row r="1125" spans="1:26" ht="16.8" x14ac:dyDescent="0.3">
      <c r="A1125" s="4">
        <v>1587</v>
      </c>
      <c r="B1125" s="4" t="s">
        <v>43</v>
      </c>
      <c r="C1125" s="4">
        <v>35</v>
      </c>
      <c r="D1125" s="4" t="s">
        <v>45</v>
      </c>
      <c r="E1125" s="4" t="s">
        <v>54</v>
      </c>
      <c r="F1125" s="4">
        <v>6142</v>
      </c>
      <c r="G1125" s="4" t="s">
        <v>35</v>
      </c>
      <c r="H1125" s="4">
        <v>5</v>
      </c>
      <c r="I1125" s="4">
        <v>0</v>
      </c>
      <c r="J1125" s="4">
        <v>3</v>
      </c>
      <c r="K1125" s="4">
        <v>3</v>
      </c>
      <c r="L1125" s="4" t="str">
        <f t="shared" si="29"/>
        <v>NORMAL</v>
      </c>
      <c r="M1125" s="4" t="str">
        <f t="shared" si="30"/>
        <v>HIGH</v>
      </c>
      <c r="N1125" s="4" t="str">
        <f t="shared" si="31"/>
        <v>MID</v>
      </c>
      <c r="O1125" s="4" t="str">
        <f t="shared" si="32"/>
        <v>RECENTLY PROMOTED</v>
      </c>
      <c r="P1125" s="5" t="str">
        <f t="shared" si="33"/>
        <v>Medium_Pressure</v>
      </c>
      <c r="Q1125" s="4" t="str">
        <f t="shared" si="34"/>
        <v>HIGHLY_ENGAGED</v>
      </c>
      <c r="R1125" s="4" t="str">
        <f t="shared" si="35"/>
        <v>LOW</v>
      </c>
      <c r="S1125" s="2"/>
      <c r="T1125" s="2"/>
      <c r="U1125" s="2"/>
      <c r="V1125" s="2"/>
      <c r="W1125" s="2"/>
      <c r="X1125" s="2"/>
      <c r="Y1125" s="2"/>
      <c r="Z1125" s="2"/>
    </row>
    <row r="1126" spans="1:26" ht="16.8" x14ac:dyDescent="0.3">
      <c r="A1126" s="4">
        <v>1588</v>
      </c>
      <c r="B1126" s="4" t="s">
        <v>43</v>
      </c>
      <c r="C1126" s="4">
        <v>39</v>
      </c>
      <c r="D1126" s="4" t="s">
        <v>37</v>
      </c>
      <c r="E1126" s="4" t="s">
        <v>40</v>
      </c>
      <c r="F1126" s="4">
        <v>8237</v>
      </c>
      <c r="G1126" s="4" t="s">
        <v>43</v>
      </c>
      <c r="H1126" s="4">
        <v>7</v>
      </c>
      <c r="I1126" s="4">
        <v>7</v>
      </c>
      <c r="J1126" s="4">
        <v>3</v>
      </c>
      <c r="K1126" s="4">
        <v>3</v>
      </c>
      <c r="L1126" s="4" t="str">
        <f t="shared" si="29"/>
        <v>NORMAL</v>
      </c>
      <c r="M1126" s="4" t="str">
        <f t="shared" si="30"/>
        <v>HIGH</v>
      </c>
      <c r="N1126" s="4" t="str">
        <f t="shared" si="31"/>
        <v>SENIOR</v>
      </c>
      <c r="O1126" s="4" t="str">
        <f t="shared" si="32"/>
        <v>STAGNANT</v>
      </c>
      <c r="P1126" s="5" t="str">
        <f t="shared" si="33"/>
        <v>Medium_Pressure</v>
      </c>
      <c r="Q1126" s="4" t="str">
        <f t="shared" si="34"/>
        <v>HIGHLY_ENGAGED</v>
      </c>
      <c r="R1126" s="4" t="str">
        <f t="shared" si="35"/>
        <v>LOW</v>
      </c>
      <c r="S1126" s="2"/>
      <c r="T1126" s="2"/>
      <c r="U1126" s="2"/>
      <c r="V1126" s="2"/>
      <c r="W1126" s="2"/>
      <c r="X1126" s="2"/>
      <c r="Y1126" s="2"/>
      <c r="Z1126" s="2"/>
    </row>
    <row r="1127" spans="1:26" ht="16.8" x14ac:dyDescent="0.3">
      <c r="A1127" s="4">
        <v>1590</v>
      </c>
      <c r="B1127" s="4" t="s">
        <v>43</v>
      </c>
      <c r="C1127" s="4">
        <v>29</v>
      </c>
      <c r="D1127" s="4" t="s">
        <v>45</v>
      </c>
      <c r="E1127" s="4" t="s">
        <v>54</v>
      </c>
      <c r="F1127" s="4">
        <v>8853</v>
      </c>
      <c r="G1127" s="4" t="s">
        <v>43</v>
      </c>
      <c r="H1127" s="4">
        <v>6</v>
      </c>
      <c r="I1127" s="4">
        <v>1</v>
      </c>
      <c r="J1127" s="4">
        <v>4</v>
      </c>
      <c r="K1127" s="4">
        <v>4</v>
      </c>
      <c r="L1127" s="4" t="str">
        <f t="shared" si="29"/>
        <v>NORMAL</v>
      </c>
      <c r="M1127" s="4" t="str">
        <f t="shared" si="30"/>
        <v>HIGH</v>
      </c>
      <c r="N1127" s="4" t="str">
        <f t="shared" si="31"/>
        <v>MID</v>
      </c>
      <c r="O1127" s="4" t="str">
        <f t="shared" si="32"/>
        <v>RECENTLY PROMOTED</v>
      </c>
      <c r="P1127" s="5" t="str">
        <f t="shared" si="33"/>
        <v>Low_Pressure</v>
      </c>
      <c r="Q1127" s="4" t="str">
        <f t="shared" si="34"/>
        <v>HIGHLY_ENGAGED</v>
      </c>
      <c r="R1127" s="4" t="str">
        <f t="shared" si="35"/>
        <v>LOW</v>
      </c>
      <c r="S1127" s="2"/>
      <c r="T1127" s="2"/>
      <c r="U1127" s="2"/>
      <c r="V1127" s="2"/>
      <c r="W1127" s="2"/>
      <c r="X1127" s="2"/>
      <c r="Y1127" s="2"/>
      <c r="Z1127" s="2"/>
    </row>
    <row r="1128" spans="1:26" ht="16.8" x14ac:dyDescent="0.3">
      <c r="A1128" s="4">
        <v>1591</v>
      </c>
      <c r="B1128" s="4" t="s">
        <v>43</v>
      </c>
      <c r="C1128" s="4">
        <v>50</v>
      </c>
      <c r="D1128" s="4" t="s">
        <v>37</v>
      </c>
      <c r="E1128" s="4" t="s">
        <v>56</v>
      </c>
      <c r="F1128" s="4">
        <v>19331</v>
      </c>
      <c r="G1128" s="4" t="s">
        <v>35</v>
      </c>
      <c r="H1128" s="4">
        <v>1</v>
      </c>
      <c r="I1128" s="4">
        <v>0</v>
      </c>
      <c r="J1128" s="4">
        <v>3</v>
      </c>
      <c r="K1128" s="4">
        <v>3</v>
      </c>
      <c r="L1128" s="4" t="str">
        <f t="shared" si="29"/>
        <v>NORMAL</v>
      </c>
      <c r="M1128" s="4" t="str">
        <f t="shared" si="30"/>
        <v>MEDIUM</v>
      </c>
      <c r="N1128" s="4" t="str">
        <f t="shared" si="31"/>
        <v>NEW</v>
      </c>
      <c r="O1128" s="4" t="str">
        <f t="shared" si="32"/>
        <v>RECENTLY PROMOTED</v>
      </c>
      <c r="P1128" s="5" t="str">
        <f t="shared" si="33"/>
        <v>Medium_Pressure</v>
      </c>
      <c r="Q1128" s="4" t="str">
        <f t="shared" si="34"/>
        <v>HIGHLY_ENGAGED</v>
      </c>
      <c r="R1128" s="4" t="str">
        <f t="shared" si="35"/>
        <v>LOW</v>
      </c>
      <c r="S1128" s="2"/>
      <c r="T1128" s="2"/>
      <c r="U1128" s="2"/>
      <c r="V1128" s="2"/>
      <c r="W1128" s="2"/>
      <c r="X1128" s="2"/>
      <c r="Y1128" s="2"/>
      <c r="Z1128" s="2"/>
    </row>
    <row r="1129" spans="1:26" ht="16.8" x14ac:dyDescent="0.3">
      <c r="A1129" s="4">
        <v>1592</v>
      </c>
      <c r="B1129" s="4" t="s">
        <v>43</v>
      </c>
      <c r="C1129" s="4">
        <v>23</v>
      </c>
      <c r="D1129" s="4" t="s">
        <v>45</v>
      </c>
      <c r="E1129" s="4" t="s">
        <v>47</v>
      </c>
      <c r="F1129" s="4">
        <v>2073</v>
      </c>
      <c r="G1129" s="4" t="s">
        <v>43</v>
      </c>
      <c r="H1129" s="4">
        <v>2</v>
      </c>
      <c r="I1129" s="4">
        <v>2</v>
      </c>
      <c r="J1129" s="4">
        <v>3</v>
      </c>
      <c r="K1129" s="4">
        <v>3</v>
      </c>
      <c r="L1129" s="4" t="str">
        <f t="shared" si="29"/>
        <v>NORMAL</v>
      </c>
      <c r="M1129" s="4" t="str">
        <f t="shared" si="30"/>
        <v>LOW</v>
      </c>
      <c r="N1129" s="4" t="str">
        <f t="shared" si="31"/>
        <v>NEW</v>
      </c>
      <c r="O1129" s="4" t="str">
        <f t="shared" si="32"/>
        <v>MODERATE-WAIT</v>
      </c>
      <c r="P1129" s="5" t="str">
        <f t="shared" si="33"/>
        <v>Medium_Pressure</v>
      </c>
      <c r="Q1129" s="4" t="str">
        <f t="shared" si="34"/>
        <v>HIGHLY_ENGAGED</v>
      </c>
      <c r="R1129" s="4" t="str">
        <f t="shared" si="35"/>
        <v>LOW</v>
      </c>
      <c r="S1129" s="2"/>
      <c r="T1129" s="2"/>
      <c r="U1129" s="2"/>
      <c r="V1129" s="2"/>
      <c r="W1129" s="2"/>
      <c r="X1129" s="2"/>
      <c r="Y1129" s="2"/>
      <c r="Z1129" s="2"/>
    </row>
    <row r="1130" spans="1:26" ht="16.8" x14ac:dyDescent="0.3">
      <c r="A1130" s="4">
        <v>1594</v>
      </c>
      <c r="B1130" s="4" t="s">
        <v>43</v>
      </c>
      <c r="C1130" s="4">
        <v>36</v>
      </c>
      <c r="D1130" s="4" t="s">
        <v>45</v>
      </c>
      <c r="E1130" s="4" t="s">
        <v>50</v>
      </c>
      <c r="F1130" s="4">
        <v>5562</v>
      </c>
      <c r="G1130" s="4" t="s">
        <v>35</v>
      </c>
      <c r="H1130" s="4">
        <v>3</v>
      </c>
      <c r="I1130" s="4">
        <v>0</v>
      </c>
      <c r="J1130" s="4">
        <v>1</v>
      </c>
      <c r="K1130" s="4">
        <v>3</v>
      </c>
      <c r="L1130" s="4" t="str">
        <f t="shared" si="29"/>
        <v>NORMAL</v>
      </c>
      <c r="M1130" s="4" t="str">
        <f t="shared" si="30"/>
        <v>HIGH</v>
      </c>
      <c r="N1130" s="4" t="str">
        <f t="shared" si="31"/>
        <v>MID</v>
      </c>
      <c r="O1130" s="4" t="str">
        <f t="shared" si="32"/>
        <v>RECENTLY PROMOTED</v>
      </c>
      <c r="P1130" s="5" t="str">
        <f t="shared" si="33"/>
        <v>Medium_Pressure</v>
      </c>
      <c r="Q1130" s="4" t="str">
        <f t="shared" si="34"/>
        <v>DISENGAGED</v>
      </c>
      <c r="R1130" s="4" t="str">
        <f t="shared" si="35"/>
        <v>LOW</v>
      </c>
      <c r="S1130" s="2"/>
      <c r="T1130" s="2"/>
      <c r="U1130" s="2"/>
      <c r="V1130" s="2"/>
      <c r="W1130" s="2"/>
      <c r="X1130" s="2"/>
      <c r="Y1130" s="2"/>
      <c r="Z1130" s="2"/>
    </row>
    <row r="1131" spans="1:26" ht="16.8" x14ac:dyDescent="0.3">
      <c r="A1131" s="4">
        <v>1595</v>
      </c>
      <c r="B1131" s="4" t="s">
        <v>43</v>
      </c>
      <c r="C1131" s="4">
        <v>42</v>
      </c>
      <c r="D1131" s="4" t="s">
        <v>45</v>
      </c>
      <c r="E1131" s="4" t="s">
        <v>56</v>
      </c>
      <c r="F1131" s="4">
        <v>19613</v>
      </c>
      <c r="G1131" s="4" t="s">
        <v>43</v>
      </c>
      <c r="H1131" s="4">
        <v>1</v>
      </c>
      <c r="I1131" s="4">
        <v>0</v>
      </c>
      <c r="J1131" s="4">
        <v>4</v>
      </c>
      <c r="K1131" s="4">
        <v>3</v>
      </c>
      <c r="L1131" s="4" t="str">
        <f t="shared" si="29"/>
        <v>NORMAL</v>
      </c>
      <c r="M1131" s="4" t="str">
        <f t="shared" si="30"/>
        <v>MEDIUM</v>
      </c>
      <c r="N1131" s="4" t="str">
        <f t="shared" si="31"/>
        <v>NEW</v>
      </c>
      <c r="O1131" s="4" t="str">
        <f t="shared" si="32"/>
        <v>RECENTLY PROMOTED</v>
      </c>
      <c r="P1131" s="5" t="str">
        <f t="shared" si="33"/>
        <v>Medium_Pressure</v>
      </c>
      <c r="Q1131" s="4" t="str">
        <f t="shared" si="34"/>
        <v>HIGHLY_ENGAGED</v>
      </c>
      <c r="R1131" s="4" t="str">
        <f t="shared" si="35"/>
        <v>LOW</v>
      </c>
      <c r="S1131" s="2"/>
      <c r="T1131" s="2"/>
      <c r="U1131" s="2"/>
      <c r="V1131" s="2"/>
      <c r="W1131" s="2"/>
      <c r="X1131" s="2"/>
      <c r="Y1131" s="2"/>
      <c r="Z1131" s="2"/>
    </row>
    <row r="1132" spans="1:26" ht="16.8" x14ac:dyDescent="0.3">
      <c r="A1132" s="4">
        <v>1596</v>
      </c>
      <c r="B1132" s="4" t="s">
        <v>43</v>
      </c>
      <c r="C1132" s="4">
        <v>35</v>
      </c>
      <c r="D1132" s="4" t="s">
        <v>45</v>
      </c>
      <c r="E1132" s="4" t="s">
        <v>50</v>
      </c>
      <c r="F1132" s="4">
        <v>3407</v>
      </c>
      <c r="G1132" s="4" t="s">
        <v>43</v>
      </c>
      <c r="H1132" s="4">
        <v>10</v>
      </c>
      <c r="I1132" s="4">
        <v>6</v>
      </c>
      <c r="J1132" s="4">
        <v>3</v>
      </c>
      <c r="K1132" s="4">
        <v>2</v>
      </c>
      <c r="L1132" s="4" t="str">
        <f t="shared" si="29"/>
        <v>NORMAL</v>
      </c>
      <c r="M1132" s="4" t="str">
        <f t="shared" si="30"/>
        <v>LOW</v>
      </c>
      <c r="N1132" s="4" t="str">
        <f t="shared" si="31"/>
        <v>SENIOR</v>
      </c>
      <c r="O1132" s="4" t="str">
        <f t="shared" si="32"/>
        <v>STAGNANT</v>
      </c>
      <c r="P1132" s="5" t="str">
        <f t="shared" si="33"/>
        <v>Low_Pressure</v>
      </c>
      <c r="Q1132" s="4" t="str">
        <f t="shared" si="34"/>
        <v>DISENGAGED</v>
      </c>
      <c r="R1132" s="4" t="str">
        <f t="shared" si="35"/>
        <v>LOW</v>
      </c>
      <c r="S1132" s="2"/>
      <c r="T1132" s="2"/>
      <c r="U1132" s="2"/>
      <c r="V1132" s="2"/>
      <c r="W1132" s="2"/>
      <c r="X1132" s="2"/>
      <c r="Y1132" s="2"/>
      <c r="Z1132" s="2"/>
    </row>
    <row r="1133" spans="1:26" ht="16.8" x14ac:dyDescent="0.3">
      <c r="A1133" s="4">
        <v>1597</v>
      </c>
      <c r="B1133" s="4" t="s">
        <v>43</v>
      </c>
      <c r="C1133" s="4">
        <v>34</v>
      </c>
      <c r="D1133" s="4" t="s">
        <v>45</v>
      </c>
      <c r="E1133" s="4" t="s">
        <v>54</v>
      </c>
      <c r="F1133" s="4">
        <v>5063</v>
      </c>
      <c r="G1133" s="4" t="s">
        <v>43</v>
      </c>
      <c r="H1133" s="4">
        <v>8</v>
      </c>
      <c r="I1133" s="4">
        <v>7</v>
      </c>
      <c r="J1133" s="4">
        <v>3</v>
      </c>
      <c r="K1133" s="4">
        <v>2</v>
      </c>
      <c r="L1133" s="4" t="str">
        <f t="shared" si="29"/>
        <v>NORMAL</v>
      </c>
      <c r="M1133" s="4" t="str">
        <f t="shared" si="30"/>
        <v>HIGH</v>
      </c>
      <c r="N1133" s="4" t="str">
        <f t="shared" si="31"/>
        <v>SENIOR</v>
      </c>
      <c r="O1133" s="4" t="str">
        <f t="shared" si="32"/>
        <v>STAGNANT</v>
      </c>
      <c r="P1133" s="5" t="str">
        <f t="shared" si="33"/>
        <v>Low_Pressure</v>
      </c>
      <c r="Q1133" s="4" t="str">
        <f t="shared" si="34"/>
        <v>DISENGAGED</v>
      </c>
      <c r="R1133" s="4" t="str">
        <f t="shared" si="35"/>
        <v>LOW</v>
      </c>
      <c r="S1133" s="2"/>
      <c r="T1133" s="2"/>
      <c r="U1133" s="2"/>
      <c r="V1133" s="2"/>
      <c r="W1133" s="2"/>
      <c r="X1133" s="2"/>
      <c r="Y1133" s="2"/>
      <c r="Z1133" s="2"/>
    </row>
    <row r="1134" spans="1:26" ht="16.8" x14ac:dyDescent="0.3">
      <c r="A1134" s="4">
        <v>1598</v>
      </c>
      <c r="B1134" s="4" t="s">
        <v>43</v>
      </c>
      <c r="C1134" s="4">
        <v>40</v>
      </c>
      <c r="D1134" s="4" t="s">
        <v>37</v>
      </c>
      <c r="E1134" s="4" t="s">
        <v>40</v>
      </c>
      <c r="F1134" s="4">
        <v>4639</v>
      </c>
      <c r="G1134" s="4" t="s">
        <v>43</v>
      </c>
      <c r="H1134" s="4">
        <v>5</v>
      </c>
      <c r="I1134" s="4">
        <v>1</v>
      </c>
      <c r="J1134" s="4">
        <v>1</v>
      </c>
      <c r="K1134" s="4">
        <v>3</v>
      </c>
      <c r="L1134" s="4" t="str">
        <f t="shared" si="29"/>
        <v>NORMAL</v>
      </c>
      <c r="M1134" s="4" t="str">
        <f t="shared" si="30"/>
        <v>HIGH</v>
      </c>
      <c r="N1134" s="4" t="str">
        <f t="shared" si="31"/>
        <v>MID</v>
      </c>
      <c r="O1134" s="4" t="str">
        <f t="shared" si="32"/>
        <v>RECENTLY PROMOTED</v>
      </c>
      <c r="P1134" s="5" t="str">
        <f t="shared" si="33"/>
        <v>Medium_Pressure</v>
      </c>
      <c r="Q1134" s="4" t="str">
        <f t="shared" si="34"/>
        <v>DISENGAGED</v>
      </c>
      <c r="R1134" s="4" t="str">
        <f t="shared" si="35"/>
        <v>LOW</v>
      </c>
      <c r="S1134" s="2"/>
      <c r="T1134" s="2"/>
      <c r="U1134" s="2"/>
      <c r="V1134" s="2"/>
      <c r="W1134" s="2"/>
      <c r="X1134" s="2"/>
      <c r="Y1134" s="2"/>
      <c r="Z1134" s="2"/>
    </row>
    <row r="1135" spans="1:26" ht="16.8" x14ac:dyDescent="0.3">
      <c r="A1135" s="4">
        <v>1599</v>
      </c>
      <c r="B1135" s="4" t="s">
        <v>43</v>
      </c>
      <c r="C1135" s="4">
        <v>43</v>
      </c>
      <c r="D1135" s="4" t="s">
        <v>45</v>
      </c>
      <c r="E1135" s="4" t="s">
        <v>50</v>
      </c>
      <c r="F1135" s="4">
        <v>4876</v>
      </c>
      <c r="G1135" s="4" t="s">
        <v>43</v>
      </c>
      <c r="H1135" s="4">
        <v>6</v>
      </c>
      <c r="I1135" s="4">
        <v>0</v>
      </c>
      <c r="J1135" s="4">
        <v>2</v>
      </c>
      <c r="K1135" s="4">
        <v>3</v>
      </c>
      <c r="L1135" s="4" t="str">
        <f t="shared" si="29"/>
        <v>NORMAL</v>
      </c>
      <c r="M1135" s="4" t="str">
        <f t="shared" si="30"/>
        <v>HIGH</v>
      </c>
      <c r="N1135" s="4" t="str">
        <f t="shared" si="31"/>
        <v>MID</v>
      </c>
      <c r="O1135" s="4" t="str">
        <f t="shared" si="32"/>
        <v>RECENTLY PROMOTED</v>
      </c>
      <c r="P1135" s="5" t="str">
        <f t="shared" si="33"/>
        <v>Medium_Pressure</v>
      </c>
      <c r="Q1135" s="4" t="str">
        <f t="shared" si="34"/>
        <v>DISENGAGED</v>
      </c>
      <c r="R1135" s="4" t="str">
        <f t="shared" si="35"/>
        <v>LOW</v>
      </c>
      <c r="S1135" s="2"/>
      <c r="T1135" s="2"/>
      <c r="U1135" s="2"/>
      <c r="V1135" s="2"/>
      <c r="W1135" s="2"/>
      <c r="X1135" s="2"/>
      <c r="Y1135" s="2"/>
      <c r="Z1135" s="2"/>
    </row>
    <row r="1136" spans="1:26" ht="16.8" x14ac:dyDescent="0.3">
      <c r="A1136" s="4">
        <v>1601</v>
      </c>
      <c r="B1136" s="4" t="s">
        <v>43</v>
      </c>
      <c r="C1136" s="4">
        <v>35</v>
      </c>
      <c r="D1136" s="4" t="s">
        <v>45</v>
      </c>
      <c r="E1136" s="4" t="s">
        <v>50</v>
      </c>
      <c r="F1136" s="4">
        <v>2690</v>
      </c>
      <c r="G1136" s="4" t="s">
        <v>43</v>
      </c>
      <c r="H1136" s="4">
        <v>1</v>
      </c>
      <c r="I1136" s="4">
        <v>0</v>
      </c>
      <c r="J1136" s="4">
        <v>4</v>
      </c>
      <c r="K1136" s="4">
        <v>2</v>
      </c>
      <c r="L1136" s="4" t="str">
        <f t="shared" si="29"/>
        <v>NORMAL</v>
      </c>
      <c r="M1136" s="4" t="str">
        <f t="shared" si="30"/>
        <v>LOW</v>
      </c>
      <c r="N1136" s="4" t="str">
        <f t="shared" si="31"/>
        <v>NEW</v>
      </c>
      <c r="O1136" s="4" t="str">
        <f t="shared" si="32"/>
        <v>RECENTLY PROMOTED</v>
      </c>
      <c r="P1136" s="5" t="str">
        <f t="shared" si="33"/>
        <v>Low_Pressure</v>
      </c>
      <c r="Q1136" s="4" t="str">
        <f t="shared" si="34"/>
        <v>DISENGAGED</v>
      </c>
      <c r="R1136" s="4" t="str">
        <f t="shared" si="35"/>
        <v>LOW</v>
      </c>
      <c r="S1136" s="2"/>
      <c r="T1136" s="2"/>
      <c r="U1136" s="2"/>
      <c r="V1136" s="2"/>
      <c r="W1136" s="2"/>
      <c r="X1136" s="2"/>
      <c r="Y1136" s="2"/>
      <c r="Z1136" s="2"/>
    </row>
    <row r="1137" spans="1:26" ht="16.8" x14ac:dyDescent="0.3">
      <c r="A1137" s="4">
        <v>1602</v>
      </c>
      <c r="B1137" s="4" t="s">
        <v>43</v>
      </c>
      <c r="C1137" s="4">
        <v>46</v>
      </c>
      <c r="D1137" s="4" t="s">
        <v>37</v>
      </c>
      <c r="E1137" s="4" t="s">
        <v>56</v>
      </c>
      <c r="F1137" s="4">
        <v>17567</v>
      </c>
      <c r="G1137" s="4" t="s">
        <v>43</v>
      </c>
      <c r="H1137" s="4">
        <v>26</v>
      </c>
      <c r="I1137" s="4">
        <v>0</v>
      </c>
      <c r="J1137" s="4">
        <v>1</v>
      </c>
      <c r="K1137" s="4">
        <v>1</v>
      </c>
      <c r="L1137" s="4" t="str">
        <f t="shared" si="29"/>
        <v>NORMAL</v>
      </c>
      <c r="M1137" s="4" t="str">
        <f t="shared" si="30"/>
        <v>MEDIUM</v>
      </c>
      <c r="N1137" s="4" t="str">
        <f t="shared" si="31"/>
        <v>SENIOR</v>
      </c>
      <c r="O1137" s="4" t="str">
        <f t="shared" si="32"/>
        <v>RECENTLY PROMOTED</v>
      </c>
      <c r="P1137" s="5" t="str">
        <f t="shared" si="33"/>
        <v>Low_Pressure</v>
      </c>
      <c r="Q1137" s="4" t="str">
        <f t="shared" si="34"/>
        <v>DISENGAGED</v>
      </c>
      <c r="R1137" s="4" t="str">
        <f t="shared" si="35"/>
        <v>LOW</v>
      </c>
      <c r="S1137" s="2"/>
      <c r="T1137" s="2"/>
      <c r="U1137" s="2"/>
      <c r="V1137" s="2"/>
      <c r="W1137" s="2"/>
      <c r="X1137" s="2"/>
      <c r="Y1137" s="2"/>
      <c r="Z1137" s="2"/>
    </row>
    <row r="1138" spans="1:26" ht="16.8" x14ac:dyDescent="0.3">
      <c r="A1138" s="4">
        <v>1604</v>
      </c>
      <c r="B1138" s="4" t="s">
        <v>35</v>
      </c>
      <c r="C1138" s="4">
        <v>28</v>
      </c>
      <c r="D1138" s="4" t="s">
        <v>45</v>
      </c>
      <c r="E1138" s="4" t="s">
        <v>50</v>
      </c>
      <c r="F1138" s="4">
        <v>2408</v>
      </c>
      <c r="G1138" s="4" t="s">
        <v>35</v>
      </c>
      <c r="H1138" s="4">
        <v>1</v>
      </c>
      <c r="I1138" s="4">
        <v>0</v>
      </c>
      <c r="J1138" s="4">
        <v>2</v>
      </c>
      <c r="K1138" s="4">
        <v>3</v>
      </c>
      <c r="L1138" s="4" t="str">
        <f t="shared" si="29"/>
        <v>NORMAL</v>
      </c>
      <c r="M1138" s="4" t="str">
        <f t="shared" si="30"/>
        <v>LOW</v>
      </c>
      <c r="N1138" s="4" t="str">
        <f t="shared" si="31"/>
        <v>NEW</v>
      </c>
      <c r="O1138" s="4" t="str">
        <f t="shared" si="32"/>
        <v>RECENTLY PROMOTED</v>
      </c>
      <c r="P1138" s="5" t="str">
        <f t="shared" si="33"/>
        <v>Medium_Pressure</v>
      </c>
      <c r="Q1138" s="4" t="str">
        <f t="shared" si="34"/>
        <v>DISENGAGED</v>
      </c>
      <c r="R1138" s="4" t="str">
        <f t="shared" si="35"/>
        <v>LOW</v>
      </c>
      <c r="S1138" s="2"/>
      <c r="T1138" s="2"/>
      <c r="U1138" s="2"/>
      <c r="V1138" s="2"/>
      <c r="W1138" s="2"/>
      <c r="X1138" s="2"/>
      <c r="Y1138" s="2"/>
      <c r="Z1138" s="2"/>
    </row>
    <row r="1139" spans="1:26" ht="16.8" x14ac:dyDescent="0.3">
      <c r="A1139" s="4">
        <v>1605</v>
      </c>
      <c r="B1139" s="4" t="s">
        <v>43</v>
      </c>
      <c r="C1139" s="4">
        <v>22</v>
      </c>
      <c r="D1139" s="4" t="s">
        <v>45</v>
      </c>
      <c r="E1139" s="4" t="s">
        <v>47</v>
      </c>
      <c r="F1139" s="4">
        <v>2814</v>
      </c>
      <c r="G1139" s="4" t="s">
        <v>35</v>
      </c>
      <c r="H1139" s="4">
        <v>4</v>
      </c>
      <c r="I1139" s="4">
        <v>1</v>
      </c>
      <c r="J1139" s="4">
        <v>3</v>
      </c>
      <c r="K1139" s="4">
        <v>2</v>
      </c>
      <c r="L1139" s="4" t="str">
        <f t="shared" si="29"/>
        <v>NORMAL</v>
      </c>
      <c r="M1139" s="4" t="str">
        <f t="shared" si="30"/>
        <v>LOW</v>
      </c>
      <c r="N1139" s="4" t="str">
        <f t="shared" si="31"/>
        <v>MID</v>
      </c>
      <c r="O1139" s="4" t="str">
        <f t="shared" si="32"/>
        <v>RECENTLY PROMOTED</v>
      </c>
      <c r="P1139" s="5" t="str">
        <f t="shared" si="33"/>
        <v>High_Pressure</v>
      </c>
      <c r="Q1139" s="4" t="str">
        <f t="shared" si="34"/>
        <v>DISENGAGED</v>
      </c>
      <c r="R1139" s="4" t="str">
        <f t="shared" si="35"/>
        <v>LOW</v>
      </c>
      <c r="S1139" s="2"/>
      <c r="T1139" s="2"/>
      <c r="U1139" s="2"/>
      <c r="V1139" s="2"/>
      <c r="W1139" s="2"/>
      <c r="X1139" s="2"/>
      <c r="Y1139" s="2"/>
      <c r="Z1139" s="2"/>
    </row>
    <row r="1140" spans="1:26" ht="16.8" x14ac:dyDescent="0.3">
      <c r="A1140" s="4">
        <v>1606</v>
      </c>
      <c r="B1140" s="4" t="s">
        <v>43</v>
      </c>
      <c r="C1140" s="4">
        <v>50</v>
      </c>
      <c r="D1140" s="4" t="s">
        <v>45</v>
      </c>
      <c r="E1140" s="4" t="s">
        <v>54</v>
      </c>
      <c r="F1140" s="4">
        <v>11245</v>
      </c>
      <c r="G1140" s="4" t="s">
        <v>35</v>
      </c>
      <c r="H1140" s="4">
        <v>30</v>
      </c>
      <c r="I1140" s="4">
        <v>12</v>
      </c>
      <c r="J1140" s="4">
        <v>3</v>
      </c>
      <c r="K1140" s="4">
        <v>3</v>
      </c>
      <c r="L1140" s="4" t="str">
        <f t="shared" si="29"/>
        <v>NORMAL</v>
      </c>
      <c r="M1140" s="4" t="str">
        <f t="shared" si="30"/>
        <v>MEDIUM</v>
      </c>
      <c r="N1140" s="4" t="str">
        <f t="shared" si="31"/>
        <v>SENIOR</v>
      </c>
      <c r="O1140" s="4" t="str">
        <f t="shared" si="32"/>
        <v>STAGNANT</v>
      </c>
      <c r="P1140" s="5" t="str">
        <f t="shared" si="33"/>
        <v>Medium_Pressure</v>
      </c>
      <c r="Q1140" s="4" t="str">
        <f t="shared" si="34"/>
        <v>HIGHLY_ENGAGED</v>
      </c>
      <c r="R1140" s="4" t="str">
        <f t="shared" si="35"/>
        <v>LOW</v>
      </c>
      <c r="S1140" s="2"/>
      <c r="T1140" s="2"/>
      <c r="U1140" s="2"/>
      <c r="V1140" s="2"/>
      <c r="W1140" s="2"/>
      <c r="X1140" s="2"/>
      <c r="Y1140" s="2"/>
      <c r="Z1140" s="2"/>
    </row>
    <row r="1141" spans="1:26" ht="16.8" x14ac:dyDescent="0.3">
      <c r="A1141" s="4">
        <v>1607</v>
      </c>
      <c r="B1141" s="4" t="s">
        <v>43</v>
      </c>
      <c r="C1141" s="4">
        <v>32</v>
      </c>
      <c r="D1141" s="4" t="s">
        <v>45</v>
      </c>
      <c r="E1141" s="4" t="s">
        <v>47</v>
      </c>
      <c r="F1141" s="4">
        <v>3312</v>
      </c>
      <c r="G1141" s="4" t="s">
        <v>43</v>
      </c>
      <c r="H1141" s="4">
        <v>3</v>
      </c>
      <c r="I1141" s="4">
        <v>0</v>
      </c>
      <c r="J1141" s="4">
        <v>4</v>
      </c>
      <c r="K1141" s="4">
        <v>3</v>
      </c>
      <c r="L1141" s="4" t="str">
        <f t="shared" si="29"/>
        <v>NORMAL</v>
      </c>
      <c r="M1141" s="4" t="str">
        <f t="shared" si="30"/>
        <v>LOW</v>
      </c>
      <c r="N1141" s="4" t="str">
        <f t="shared" si="31"/>
        <v>MID</v>
      </c>
      <c r="O1141" s="4" t="str">
        <f t="shared" si="32"/>
        <v>RECENTLY PROMOTED</v>
      </c>
      <c r="P1141" s="5" t="str">
        <f t="shared" si="33"/>
        <v>Medium_Pressure</v>
      </c>
      <c r="Q1141" s="4" t="str">
        <f t="shared" si="34"/>
        <v>HIGHLY_ENGAGED</v>
      </c>
      <c r="R1141" s="4" t="str">
        <f t="shared" si="35"/>
        <v>LOW</v>
      </c>
      <c r="S1141" s="2"/>
      <c r="T1141" s="2"/>
      <c r="U1141" s="2"/>
      <c r="V1141" s="2"/>
      <c r="W1141" s="2"/>
      <c r="X1141" s="2"/>
      <c r="Y1141" s="2"/>
      <c r="Z1141" s="2"/>
    </row>
    <row r="1142" spans="1:26" ht="16.8" x14ac:dyDescent="0.3">
      <c r="A1142" s="4">
        <v>1608</v>
      </c>
      <c r="B1142" s="4" t="s">
        <v>43</v>
      </c>
      <c r="C1142" s="4">
        <v>44</v>
      </c>
      <c r="D1142" s="4" t="s">
        <v>45</v>
      </c>
      <c r="E1142" s="4" t="s">
        <v>58</v>
      </c>
      <c r="F1142" s="4">
        <v>19049</v>
      </c>
      <c r="G1142" s="4" t="s">
        <v>35</v>
      </c>
      <c r="H1142" s="4">
        <v>22</v>
      </c>
      <c r="I1142" s="4">
        <v>1</v>
      </c>
      <c r="J1142" s="4">
        <v>4</v>
      </c>
      <c r="K1142" s="4">
        <v>2</v>
      </c>
      <c r="L1142" s="4" t="str">
        <f t="shared" si="29"/>
        <v>NORMAL</v>
      </c>
      <c r="M1142" s="4" t="str">
        <f t="shared" si="30"/>
        <v>MEDIUM</v>
      </c>
      <c r="N1142" s="4" t="str">
        <f t="shared" si="31"/>
        <v>SENIOR</v>
      </c>
      <c r="O1142" s="4" t="str">
        <f t="shared" si="32"/>
        <v>RECENTLY PROMOTED</v>
      </c>
      <c r="P1142" s="5" t="str">
        <f t="shared" si="33"/>
        <v>High_Pressure</v>
      </c>
      <c r="Q1142" s="4" t="str">
        <f t="shared" si="34"/>
        <v>DISENGAGED</v>
      </c>
      <c r="R1142" s="4" t="str">
        <f t="shared" si="35"/>
        <v>LOW</v>
      </c>
      <c r="S1142" s="2"/>
      <c r="T1142" s="2"/>
      <c r="U1142" s="2"/>
      <c r="V1142" s="2"/>
      <c r="W1142" s="2"/>
      <c r="X1142" s="2"/>
      <c r="Y1142" s="2"/>
      <c r="Z1142" s="2"/>
    </row>
    <row r="1143" spans="1:26" ht="16.8" x14ac:dyDescent="0.3">
      <c r="A1143" s="4">
        <v>1609</v>
      </c>
      <c r="B1143" s="4" t="s">
        <v>43</v>
      </c>
      <c r="C1143" s="4">
        <v>30</v>
      </c>
      <c r="D1143" s="4" t="s">
        <v>45</v>
      </c>
      <c r="E1143" s="4" t="s">
        <v>47</v>
      </c>
      <c r="F1143" s="4">
        <v>2141</v>
      </c>
      <c r="G1143" s="4" t="s">
        <v>43</v>
      </c>
      <c r="H1143" s="4">
        <v>6</v>
      </c>
      <c r="I1143" s="4">
        <v>1</v>
      </c>
      <c r="J1143" s="4">
        <v>2</v>
      </c>
      <c r="K1143" s="4">
        <v>2</v>
      </c>
      <c r="L1143" s="4" t="str">
        <f t="shared" si="29"/>
        <v>NORMAL</v>
      </c>
      <c r="M1143" s="4" t="str">
        <f t="shared" si="30"/>
        <v>LOW</v>
      </c>
      <c r="N1143" s="4" t="str">
        <f t="shared" si="31"/>
        <v>MID</v>
      </c>
      <c r="O1143" s="4" t="str">
        <f t="shared" si="32"/>
        <v>RECENTLY PROMOTED</v>
      </c>
      <c r="P1143" s="5" t="str">
        <f t="shared" si="33"/>
        <v>Low_Pressure</v>
      </c>
      <c r="Q1143" s="4" t="str">
        <f t="shared" si="34"/>
        <v>DISENGAGED</v>
      </c>
      <c r="R1143" s="4" t="str">
        <f t="shared" si="35"/>
        <v>LOW</v>
      </c>
      <c r="S1143" s="2"/>
      <c r="T1143" s="2"/>
      <c r="U1143" s="2"/>
      <c r="V1143" s="2"/>
      <c r="W1143" s="2"/>
      <c r="X1143" s="2"/>
      <c r="Y1143" s="2"/>
      <c r="Z1143" s="2"/>
    </row>
    <row r="1144" spans="1:26" ht="16.8" x14ac:dyDescent="0.3">
      <c r="A1144" s="4">
        <v>1611</v>
      </c>
      <c r="B1144" s="4" t="s">
        <v>43</v>
      </c>
      <c r="C1144" s="4">
        <v>45</v>
      </c>
      <c r="D1144" s="4" t="s">
        <v>45</v>
      </c>
      <c r="E1144" s="4" t="s">
        <v>50</v>
      </c>
      <c r="F1144" s="4">
        <v>5769</v>
      </c>
      <c r="G1144" s="4" t="s">
        <v>35</v>
      </c>
      <c r="H1144" s="4">
        <v>10</v>
      </c>
      <c r="I1144" s="4">
        <v>1</v>
      </c>
      <c r="J1144" s="4">
        <v>1</v>
      </c>
      <c r="K1144" s="4">
        <v>3</v>
      </c>
      <c r="L1144" s="4" t="str">
        <f t="shared" si="29"/>
        <v>NORMAL</v>
      </c>
      <c r="M1144" s="4" t="str">
        <f t="shared" si="30"/>
        <v>HIGH</v>
      </c>
      <c r="N1144" s="4" t="str">
        <f t="shared" si="31"/>
        <v>SENIOR</v>
      </c>
      <c r="O1144" s="4" t="str">
        <f t="shared" si="32"/>
        <v>RECENTLY PROMOTED</v>
      </c>
      <c r="P1144" s="5" t="str">
        <f t="shared" si="33"/>
        <v>Medium_Pressure</v>
      </c>
      <c r="Q1144" s="4" t="str">
        <f t="shared" si="34"/>
        <v>DISENGAGED</v>
      </c>
      <c r="R1144" s="4" t="str">
        <f t="shared" si="35"/>
        <v>LOW</v>
      </c>
      <c r="S1144" s="2"/>
      <c r="T1144" s="2"/>
      <c r="U1144" s="2"/>
      <c r="V1144" s="2"/>
      <c r="W1144" s="2"/>
      <c r="X1144" s="2"/>
      <c r="Y1144" s="2"/>
      <c r="Z1144" s="2"/>
    </row>
    <row r="1145" spans="1:26" ht="16.8" x14ac:dyDescent="0.3">
      <c r="A1145" s="4">
        <v>1612</v>
      </c>
      <c r="B1145" s="4" t="s">
        <v>43</v>
      </c>
      <c r="C1145" s="4">
        <v>45</v>
      </c>
      <c r="D1145" s="4" t="s">
        <v>37</v>
      </c>
      <c r="E1145" s="4" t="s">
        <v>40</v>
      </c>
      <c r="F1145" s="4">
        <v>4385</v>
      </c>
      <c r="G1145" s="4" t="s">
        <v>43</v>
      </c>
      <c r="H1145" s="4">
        <v>10</v>
      </c>
      <c r="I1145" s="4">
        <v>4</v>
      </c>
      <c r="J1145" s="4">
        <v>1</v>
      </c>
      <c r="K1145" s="4">
        <v>3</v>
      </c>
      <c r="L1145" s="4" t="str">
        <f t="shared" si="29"/>
        <v>NORMAL</v>
      </c>
      <c r="M1145" s="4" t="str">
        <f t="shared" si="30"/>
        <v>HIGH</v>
      </c>
      <c r="N1145" s="4" t="str">
        <f t="shared" si="31"/>
        <v>SENIOR</v>
      </c>
      <c r="O1145" s="4" t="str">
        <f t="shared" si="32"/>
        <v>STAGNANT</v>
      </c>
      <c r="P1145" s="5" t="str">
        <f t="shared" si="33"/>
        <v>Medium_Pressure</v>
      </c>
      <c r="Q1145" s="4" t="str">
        <f t="shared" si="34"/>
        <v>DISENGAGED</v>
      </c>
      <c r="R1145" s="4" t="str">
        <f t="shared" si="35"/>
        <v>LOW</v>
      </c>
      <c r="S1145" s="2"/>
      <c r="T1145" s="2"/>
      <c r="U1145" s="2"/>
      <c r="V1145" s="2"/>
      <c r="W1145" s="2"/>
      <c r="X1145" s="2"/>
      <c r="Y1145" s="2"/>
      <c r="Z1145" s="2"/>
    </row>
    <row r="1146" spans="1:26" ht="16.8" x14ac:dyDescent="0.3">
      <c r="A1146" s="4">
        <v>1613</v>
      </c>
      <c r="B1146" s="4" t="s">
        <v>43</v>
      </c>
      <c r="C1146" s="4">
        <v>31</v>
      </c>
      <c r="D1146" s="4" t="s">
        <v>37</v>
      </c>
      <c r="E1146" s="4" t="s">
        <v>40</v>
      </c>
      <c r="F1146" s="4">
        <v>5332</v>
      </c>
      <c r="G1146" s="4" t="s">
        <v>43</v>
      </c>
      <c r="H1146" s="4">
        <v>5</v>
      </c>
      <c r="I1146" s="4">
        <v>0</v>
      </c>
      <c r="J1146" s="4">
        <v>1</v>
      </c>
      <c r="K1146" s="4">
        <v>3</v>
      </c>
      <c r="L1146" s="4" t="str">
        <f t="shared" si="29"/>
        <v>NORMAL</v>
      </c>
      <c r="M1146" s="4" t="str">
        <f t="shared" si="30"/>
        <v>HIGH</v>
      </c>
      <c r="N1146" s="4" t="str">
        <f t="shared" si="31"/>
        <v>MID</v>
      </c>
      <c r="O1146" s="4" t="str">
        <f t="shared" si="32"/>
        <v>RECENTLY PROMOTED</v>
      </c>
      <c r="P1146" s="5" t="str">
        <f t="shared" si="33"/>
        <v>Medium_Pressure</v>
      </c>
      <c r="Q1146" s="4" t="str">
        <f t="shared" si="34"/>
        <v>DISENGAGED</v>
      </c>
      <c r="R1146" s="4" t="str">
        <f t="shared" si="35"/>
        <v>LOW</v>
      </c>
      <c r="S1146" s="2"/>
      <c r="T1146" s="2"/>
      <c r="U1146" s="2"/>
      <c r="V1146" s="2"/>
      <c r="W1146" s="2"/>
      <c r="X1146" s="2"/>
      <c r="Y1146" s="2"/>
      <c r="Z1146" s="2"/>
    </row>
    <row r="1147" spans="1:26" ht="16.8" x14ac:dyDescent="0.3">
      <c r="A1147" s="4">
        <v>1614</v>
      </c>
      <c r="B1147" s="4" t="s">
        <v>43</v>
      </c>
      <c r="C1147" s="4">
        <v>36</v>
      </c>
      <c r="D1147" s="4" t="s">
        <v>45</v>
      </c>
      <c r="E1147" s="4" t="s">
        <v>53</v>
      </c>
      <c r="F1147" s="4">
        <v>4663</v>
      </c>
      <c r="G1147" s="4" t="s">
        <v>35</v>
      </c>
      <c r="H1147" s="4">
        <v>3</v>
      </c>
      <c r="I1147" s="4">
        <v>1</v>
      </c>
      <c r="J1147" s="4">
        <v>3</v>
      </c>
      <c r="K1147" s="4">
        <v>3</v>
      </c>
      <c r="L1147" s="4" t="str">
        <f t="shared" si="29"/>
        <v>NORMAL</v>
      </c>
      <c r="M1147" s="4" t="str">
        <f t="shared" si="30"/>
        <v>HIGH</v>
      </c>
      <c r="N1147" s="4" t="str">
        <f t="shared" si="31"/>
        <v>MID</v>
      </c>
      <c r="O1147" s="4" t="str">
        <f t="shared" si="32"/>
        <v>RECENTLY PROMOTED</v>
      </c>
      <c r="P1147" s="5" t="str">
        <f t="shared" si="33"/>
        <v>Medium_Pressure</v>
      </c>
      <c r="Q1147" s="4" t="str">
        <f t="shared" si="34"/>
        <v>HIGHLY_ENGAGED</v>
      </c>
      <c r="R1147" s="4" t="str">
        <f t="shared" si="35"/>
        <v>LOW</v>
      </c>
      <c r="S1147" s="2"/>
      <c r="T1147" s="2"/>
      <c r="U1147" s="2"/>
      <c r="V1147" s="2"/>
      <c r="W1147" s="2"/>
      <c r="X1147" s="2"/>
      <c r="Y1147" s="2"/>
      <c r="Z1147" s="2"/>
    </row>
    <row r="1148" spans="1:26" ht="16.8" x14ac:dyDescent="0.3">
      <c r="A1148" s="4">
        <v>1615</v>
      </c>
      <c r="B1148" s="4" t="s">
        <v>43</v>
      </c>
      <c r="C1148" s="4">
        <v>34</v>
      </c>
      <c r="D1148" s="4" t="s">
        <v>45</v>
      </c>
      <c r="E1148" s="4" t="s">
        <v>53</v>
      </c>
      <c r="F1148" s="4">
        <v>4724</v>
      </c>
      <c r="G1148" s="4" t="s">
        <v>43</v>
      </c>
      <c r="H1148" s="4">
        <v>9</v>
      </c>
      <c r="I1148" s="4">
        <v>7</v>
      </c>
      <c r="J1148" s="4">
        <v>4</v>
      </c>
      <c r="K1148" s="4">
        <v>3</v>
      </c>
      <c r="L1148" s="4" t="str">
        <f t="shared" si="29"/>
        <v>NORMAL</v>
      </c>
      <c r="M1148" s="4" t="str">
        <f t="shared" si="30"/>
        <v>HIGH</v>
      </c>
      <c r="N1148" s="4" t="str">
        <f t="shared" si="31"/>
        <v>SENIOR</v>
      </c>
      <c r="O1148" s="4" t="str">
        <f t="shared" si="32"/>
        <v>STAGNANT</v>
      </c>
      <c r="P1148" s="5" t="str">
        <f t="shared" si="33"/>
        <v>Medium_Pressure</v>
      </c>
      <c r="Q1148" s="4" t="str">
        <f t="shared" si="34"/>
        <v>HIGHLY_ENGAGED</v>
      </c>
      <c r="R1148" s="4" t="str">
        <f t="shared" si="35"/>
        <v>LOW</v>
      </c>
      <c r="S1148" s="2"/>
      <c r="T1148" s="2"/>
      <c r="U1148" s="2"/>
      <c r="V1148" s="2"/>
      <c r="W1148" s="2"/>
      <c r="X1148" s="2"/>
      <c r="Y1148" s="2"/>
      <c r="Z1148" s="2"/>
    </row>
    <row r="1149" spans="1:26" ht="16.8" x14ac:dyDescent="0.3">
      <c r="A1149" s="4">
        <v>1617</v>
      </c>
      <c r="B1149" s="4" t="s">
        <v>43</v>
      </c>
      <c r="C1149" s="4">
        <v>49</v>
      </c>
      <c r="D1149" s="4" t="s">
        <v>45</v>
      </c>
      <c r="E1149" s="4" t="s">
        <v>50</v>
      </c>
      <c r="F1149" s="4">
        <v>3211</v>
      </c>
      <c r="G1149" s="4" t="s">
        <v>43</v>
      </c>
      <c r="H1149" s="4">
        <v>9</v>
      </c>
      <c r="I1149" s="4">
        <v>1</v>
      </c>
      <c r="J1149" s="4">
        <v>1</v>
      </c>
      <c r="K1149" s="4">
        <v>2</v>
      </c>
      <c r="L1149" s="4" t="str">
        <f t="shared" si="29"/>
        <v>NORMAL</v>
      </c>
      <c r="M1149" s="4" t="str">
        <f t="shared" si="30"/>
        <v>LOW</v>
      </c>
      <c r="N1149" s="4" t="str">
        <f t="shared" si="31"/>
        <v>SENIOR</v>
      </c>
      <c r="O1149" s="4" t="str">
        <f t="shared" si="32"/>
        <v>RECENTLY PROMOTED</v>
      </c>
      <c r="P1149" s="5" t="str">
        <f t="shared" si="33"/>
        <v>Low_Pressure</v>
      </c>
      <c r="Q1149" s="4" t="str">
        <f t="shared" si="34"/>
        <v>DISENGAGED</v>
      </c>
      <c r="R1149" s="4" t="str">
        <f t="shared" si="35"/>
        <v>LOW</v>
      </c>
      <c r="S1149" s="2"/>
      <c r="T1149" s="2"/>
      <c r="U1149" s="2"/>
      <c r="V1149" s="2"/>
      <c r="W1149" s="2"/>
      <c r="X1149" s="2"/>
      <c r="Y1149" s="2"/>
      <c r="Z1149" s="2"/>
    </row>
    <row r="1150" spans="1:26" ht="16.8" x14ac:dyDescent="0.3">
      <c r="A1150" s="4">
        <v>1618</v>
      </c>
      <c r="B1150" s="4" t="s">
        <v>43</v>
      </c>
      <c r="C1150" s="4">
        <v>39</v>
      </c>
      <c r="D1150" s="4" t="s">
        <v>45</v>
      </c>
      <c r="E1150" s="4" t="s">
        <v>53</v>
      </c>
      <c r="F1150" s="4">
        <v>5377</v>
      </c>
      <c r="G1150" s="4" t="s">
        <v>43</v>
      </c>
      <c r="H1150" s="4">
        <v>7</v>
      </c>
      <c r="I1150" s="4">
        <v>7</v>
      </c>
      <c r="J1150" s="4">
        <v>1</v>
      </c>
      <c r="K1150" s="4">
        <v>3</v>
      </c>
      <c r="L1150" s="4" t="str">
        <f t="shared" si="29"/>
        <v>NORMAL</v>
      </c>
      <c r="M1150" s="4" t="str">
        <f t="shared" si="30"/>
        <v>HIGH</v>
      </c>
      <c r="N1150" s="4" t="str">
        <f t="shared" si="31"/>
        <v>SENIOR</v>
      </c>
      <c r="O1150" s="4" t="str">
        <f t="shared" si="32"/>
        <v>STAGNANT</v>
      </c>
      <c r="P1150" s="5" t="str">
        <f t="shared" si="33"/>
        <v>Medium_Pressure</v>
      </c>
      <c r="Q1150" s="4" t="str">
        <f t="shared" si="34"/>
        <v>DISENGAGED</v>
      </c>
      <c r="R1150" s="4" t="str">
        <f t="shared" si="35"/>
        <v>LOW</v>
      </c>
      <c r="S1150" s="2"/>
      <c r="T1150" s="2"/>
      <c r="U1150" s="2"/>
      <c r="V1150" s="2"/>
      <c r="W1150" s="2"/>
      <c r="X1150" s="2"/>
      <c r="Y1150" s="2"/>
      <c r="Z1150" s="2"/>
    </row>
    <row r="1151" spans="1:26" ht="16.8" x14ac:dyDescent="0.3">
      <c r="A1151" s="4">
        <v>1619</v>
      </c>
      <c r="B1151" s="4" t="s">
        <v>43</v>
      </c>
      <c r="C1151" s="4">
        <v>27</v>
      </c>
      <c r="D1151" s="4" t="s">
        <v>45</v>
      </c>
      <c r="E1151" s="4" t="s">
        <v>50</v>
      </c>
      <c r="F1151" s="4">
        <v>4066</v>
      </c>
      <c r="G1151" s="4" t="s">
        <v>43</v>
      </c>
      <c r="H1151" s="4">
        <v>7</v>
      </c>
      <c r="I1151" s="4">
        <v>0</v>
      </c>
      <c r="J1151" s="4">
        <v>1</v>
      </c>
      <c r="K1151" s="4">
        <v>3</v>
      </c>
      <c r="L1151" s="4" t="str">
        <f t="shared" si="29"/>
        <v>NORMAL</v>
      </c>
      <c r="M1151" s="4" t="str">
        <f t="shared" si="30"/>
        <v>HIGH</v>
      </c>
      <c r="N1151" s="4" t="str">
        <f t="shared" si="31"/>
        <v>SENIOR</v>
      </c>
      <c r="O1151" s="4" t="str">
        <f t="shared" si="32"/>
        <v>RECENTLY PROMOTED</v>
      </c>
      <c r="P1151" s="5" t="str">
        <f t="shared" si="33"/>
        <v>Medium_Pressure</v>
      </c>
      <c r="Q1151" s="4" t="str">
        <f t="shared" si="34"/>
        <v>DISENGAGED</v>
      </c>
      <c r="R1151" s="4" t="str">
        <f t="shared" si="35"/>
        <v>LOW</v>
      </c>
      <c r="S1151" s="2"/>
      <c r="T1151" s="2"/>
      <c r="U1151" s="2"/>
      <c r="V1151" s="2"/>
      <c r="W1151" s="2"/>
      <c r="X1151" s="2"/>
      <c r="Y1151" s="2"/>
      <c r="Z1151" s="2"/>
    </row>
    <row r="1152" spans="1:26" ht="16.8" x14ac:dyDescent="0.3">
      <c r="A1152" s="4">
        <v>1621</v>
      </c>
      <c r="B1152" s="4" t="s">
        <v>43</v>
      </c>
      <c r="C1152" s="4">
        <v>35</v>
      </c>
      <c r="D1152" s="4" t="s">
        <v>45</v>
      </c>
      <c r="E1152" s="4" t="s">
        <v>47</v>
      </c>
      <c r="F1152" s="4">
        <v>5208</v>
      </c>
      <c r="G1152" s="4" t="s">
        <v>43</v>
      </c>
      <c r="H1152" s="4">
        <v>16</v>
      </c>
      <c r="I1152" s="4">
        <v>1</v>
      </c>
      <c r="J1152" s="4">
        <v>1</v>
      </c>
      <c r="K1152" s="4">
        <v>3</v>
      </c>
      <c r="L1152" s="4" t="str">
        <f t="shared" si="29"/>
        <v>NORMAL</v>
      </c>
      <c r="M1152" s="4" t="str">
        <f t="shared" si="30"/>
        <v>HIGH</v>
      </c>
      <c r="N1152" s="4" t="str">
        <f t="shared" si="31"/>
        <v>SENIOR</v>
      </c>
      <c r="O1152" s="4" t="str">
        <f t="shared" si="32"/>
        <v>RECENTLY PROMOTED</v>
      </c>
      <c r="P1152" s="5" t="str">
        <f t="shared" si="33"/>
        <v>Medium_Pressure</v>
      </c>
      <c r="Q1152" s="4" t="str">
        <f t="shared" si="34"/>
        <v>DISENGAGED</v>
      </c>
      <c r="R1152" s="4" t="str">
        <f t="shared" si="35"/>
        <v>LOW</v>
      </c>
      <c r="S1152" s="2"/>
      <c r="T1152" s="2"/>
      <c r="U1152" s="2"/>
      <c r="V1152" s="2"/>
      <c r="W1152" s="2"/>
      <c r="X1152" s="2"/>
      <c r="Y1152" s="2"/>
      <c r="Z1152" s="2"/>
    </row>
    <row r="1153" spans="1:26" ht="16.8" x14ac:dyDescent="0.3">
      <c r="A1153" s="4">
        <v>1622</v>
      </c>
      <c r="B1153" s="4" t="s">
        <v>43</v>
      </c>
      <c r="C1153" s="4">
        <v>28</v>
      </c>
      <c r="D1153" s="4" t="s">
        <v>45</v>
      </c>
      <c r="E1153" s="4" t="s">
        <v>53</v>
      </c>
      <c r="F1153" s="4">
        <v>4877</v>
      </c>
      <c r="G1153" s="4" t="s">
        <v>43</v>
      </c>
      <c r="H1153" s="4">
        <v>5</v>
      </c>
      <c r="I1153" s="4">
        <v>0</v>
      </c>
      <c r="J1153" s="4">
        <v>1</v>
      </c>
      <c r="K1153" s="4">
        <v>2</v>
      </c>
      <c r="L1153" s="4" t="str">
        <f t="shared" si="29"/>
        <v>NORMAL</v>
      </c>
      <c r="M1153" s="4" t="str">
        <f t="shared" si="30"/>
        <v>HIGH</v>
      </c>
      <c r="N1153" s="4" t="str">
        <f t="shared" si="31"/>
        <v>MID</v>
      </c>
      <c r="O1153" s="4" t="str">
        <f t="shared" si="32"/>
        <v>RECENTLY PROMOTED</v>
      </c>
      <c r="P1153" s="5" t="str">
        <f t="shared" si="33"/>
        <v>Low_Pressure</v>
      </c>
      <c r="Q1153" s="4" t="str">
        <f t="shared" si="34"/>
        <v>DISENGAGED</v>
      </c>
      <c r="R1153" s="4" t="str">
        <f t="shared" si="35"/>
        <v>LOW</v>
      </c>
      <c r="S1153" s="2"/>
      <c r="T1153" s="2"/>
      <c r="U1153" s="2"/>
      <c r="V1153" s="2"/>
      <c r="W1153" s="2"/>
      <c r="X1153" s="2"/>
      <c r="Y1153" s="2"/>
      <c r="Z1153" s="2"/>
    </row>
    <row r="1154" spans="1:26" ht="16.8" x14ac:dyDescent="0.3">
      <c r="A1154" s="4">
        <v>1623</v>
      </c>
      <c r="B1154" s="4" t="s">
        <v>43</v>
      </c>
      <c r="C1154" s="4">
        <v>21</v>
      </c>
      <c r="D1154" s="4" t="s">
        <v>45</v>
      </c>
      <c r="E1154" s="4" t="s">
        <v>47</v>
      </c>
      <c r="F1154" s="4">
        <v>3117</v>
      </c>
      <c r="G1154" s="4" t="s">
        <v>43</v>
      </c>
      <c r="H1154" s="4">
        <v>2</v>
      </c>
      <c r="I1154" s="4">
        <v>2</v>
      </c>
      <c r="J1154" s="4">
        <v>4</v>
      </c>
      <c r="K1154" s="4">
        <v>3</v>
      </c>
      <c r="L1154" s="4" t="str">
        <f t="shared" si="29"/>
        <v>NORMAL</v>
      </c>
      <c r="M1154" s="4" t="str">
        <f t="shared" si="30"/>
        <v>LOW</v>
      </c>
      <c r="N1154" s="4" t="str">
        <f t="shared" si="31"/>
        <v>NEW</v>
      </c>
      <c r="O1154" s="4" t="str">
        <f t="shared" si="32"/>
        <v>MODERATE-WAIT</v>
      </c>
      <c r="P1154" s="5" t="str">
        <f t="shared" si="33"/>
        <v>Medium_Pressure</v>
      </c>
      <c r="Q1154" s="4" t="str">
        <f t="shared" si="34"/>
        <v>HIGHLY_ENGAGED</v>
      </c>
      <c r="R1154" s="4" t="str">
        <f t="shared" si="35"/>
        <v>LOW</v>
      </c>
      <c r="S1154" s="2"/>
      <c r="T1154" s="2"/>
      <c r="U1154" s="2"/>
      <c r="V1154" s="2"/>
      <c r="W1154" s="2"/>
      <c r="X1154" s="2"/>
      <c r="Y1154" s="2"/>
      <c r="Z1154" s="2"/>
    </row>
    <row r="1155" spans="1:26" ht="16.8" x14ac:dyDescent="0.3">
      <c r="A1155" s="4">
        <v>1624</v>
      </c>
      <c r="B1155" s="4" t="s">
        <v>35</v>
      </c>
      <c r="C1155" s="4">
        <v>18</v>
      </c>
      <c r="D1155" s="4" t="s">
        <v>37</v>
      </c>
      <c r="E1155" s="4" t="s">
        <v>57</v>
      </c>
      <c r="F1155" s="4">
        <v>1569</v>
      </c>
      <c r="G1155" s="4" t="s">
        <v>35</v>
      </c>
      <c r="H1155" s="4">
        <v>0</v>
      </c>
      <c r="I1155" s="4">
        <v>0</v>
      </c>
      <c r="J1155" s="4">
        <v>4</v>
      </c>
      <c r="K1155" s="4">
        <v>4</v>
      </c>
      <c r="L1155" s="4" t="str">
        <f t="shared" si="29"/>
        <v>NORMAL</v>
      </c>
      <c r="M1155" s="4" t="str">
        <f t="shared" si="30"/>
        <v>LOW</v>
      </c>
      <c r="N1155" s="4" t="str">
        <f t="shared" si="31"/>
        <v>NEW</v>
      </c>
      <c r="O1155" s="4" t="str">
        <f t="shared" si="32"/>
        <v>RECENTLY PROMOTED</v>
      </c>
      <c r="P1155" s="5" t="str">
        <f t="shared" si="33"/>
        <v>Medium_Pressure</v>
      </c>
      <c r="Q1155" s="4" t="str">
        <f t="shared" si="34"/>
        <v>HIGHLY_ENGAGED</v>
      </c>
      <c r="R1155" s="4" t="str">
        <f t="shared" si="35"/>
        <v>LOW</v>
      </c>
      <c r="S1155" s="2"/>
      <c r="T1155" s="2"/>
      <c r="U1155" s="2"/>
      <c r="V1155" s="2"/>
      <c r="W1155" s="2"/>
      <c r="X1155" s="2"/>
      <c r="Y1155" s="2"/>
      <c r="Z1155" s="2"/>
    </row>
    <row r="1156" spans="1:26" ht="16.8" x14ac:dyDescent="0.3">
      <c r="A1156" s="4">
        <v>1625</v>
      </c>
      <c r="B1156" s="4" t="s">
        <v>43</v>
      </c>
      <c r="C1156" s="4">
        <v>47</v>
      </c>
      <c r="D1156" s="4" t="s">
        <v>61</v>
      </c>
      <c r="E1156" s="4" t="s">
        <v>56</v>
      </c>
      <c r="F1156" s="4">
        <v>19658</v>
      </c>
      <c r="G1156" s="4" t="s">
        <v>43</v>
      </c>
      <c r="H1156" s="4">
        <v>5</v>
      </c>
      <c r="I1156" s="4">
        <v>1</v>
      </c>
      <c r="J1156" s="4">
        <v>3</v>
      </c>
      <c r="K1156" s="4">
        <v>3</v>
      </c>
      <c r="L1156" s="4" t="str">
        <f t="shared" si="29"/>
        <v>NORMAL</v>
      </c>
      <c r="M1156" s="4" t="str">
        <f t="shared" si="30"/>
        <v>MEDIUM</v>
      </c>
      <c r="N1156" s="4" t="str">
        <f t="shared" si="31"/>
        <v>MID</v>
      </c>
      <c r="O1156" s="4" t="str">
        <f t="shared" si="32"/>
        <v>RECENTLY PROMOTED</v>
      </c>
      <c r="P1156" s="5" t="str">
        <f t="shared" si="33"/>
        <v>Medium_Pressure</v>
      </c>
      <c r="Q1156" s="4" t="str">
        <f t="shared" si="34"/>
        <v>HIGHLY_ENGAGED</v>
      </c>
      <c r="R1156" s="4" t="str">
        <f t="shared" si="35"/>
        <v>LOW</v>
      </c>
      <c r="S1156" s="2"/>
      <c r="T1156" s="2"/>
      <c r="U1156" s="2"/>
      <c r="V1156" s="2"/>
      <c r="W1156" s="2"/>
      <c r="X1156" s="2"/>
      <c r="Y1156" s="2"/>
      <c r="Z1156" s="2"/>
    </row>
    <row r="1157" spans="1:26" ht="16.8" x14ac:dyDescent="0.3">
      <c r="A1157" s="4">
        <v>1627</v>
      </c>
      <c r="B1157" s="4" t="s">
        <v>43</v>
      </c>
      <c r="C1157" s="4">
        <v>39</v>
      </c>
      <c r="D1157" s="4" t="s">
        <v>45</v>
      </c>
      <c r="E1157" s="4" t="s">
        <v>50</v>
      </c>
      <c r="F1157" s="4">
        <v>3069</v>
      </c>
      <c r="G1157" s="4" t="s">
        <v>43</v>
      </c>
      <c r="H1157" s="4">
        <v>10</v>
      </c>
      <c r="I1157" s="4">
        <v>0</v>
      </c>
      <c r="J1157" s="4">
        <v>3</v>
      </c>
      <c r="K1157" s="4">
        <v>3</v>
      </c>
      <c r="L1157" s="4" t="str">
        <f t="shared" si="29"/>
        <v>NORMAL</v>
      </c>
      <c r="M1157" s="4" t="str">
        <f t="shared" si="30"/>
        <v>LOW</v>
      </c>
      <c r="N1157" s="4" t="str">
        <f t="shared" si="31"/>
        <v>SENIOR</v>
      </c>
      <c r="O1157" s="4" t="str">
        <f t="shared" si="32"/>
        <v>RECENTLY PROMOTED</v>
      </c>
      <c r="P1157" s="5" t="str">
        <f t="shared" si="33"/>
        <v>Medium_Pressure</v>
      </c>
      <c r="Q1157" s="4" t="str">
        <f t="shared" si="34"/>
        <v>HIGHLY_ENGAGED</v>
      </c>
      <c r="R1157" s="4" t="str">
        <f t="shared" si="35"/>
        <v>LOW</v>
      </c>
      <c r="S1157" s="2"/>
      <c r="T1157" s="2"/>
      <c r="U1157" s="2"/>
      <c r="V1157" s="2"/>
      <c r="W1157" s="2"/>
      <c r="X1157" s="2"/>
      <c r="Y1157" s="2"/>
      <c r="Z1157" s="2"/>
    </row>
    <row r="1158" spans="1:26" ht="16.8" x14ac:dyDescent="0.3">
      <c r="A1158" s="4">
        <v>1628</v>
      </c>
      <c r="B1158" s="4" t="s">
        <v>43</v>
      </c>
      <c r="C1158" s="4">
        <v>40</v>
      </c>
      <c r="D1158" s="4" t="s">
        <v>45</v>
      </c>
      <c r="E1158" s="4" t="s">
        <v>53</v>
      </c>
      <c r="F1158" s="4">
        <v>10435</v>
      </c>
      <c r="G1158" s="4" t="s">
        <v>43</v>
      </c>
      <c r="H1158" s="4">
        <v>18</v>
      </c>
      <c r="I1158" s="4">
        <v>14</v>
      </c>
      <c r="J1158" s="4">
        <v>3</v>
      </c>
      <c r="K1158" s="4">
        <v>3</v>
      </c>
      <c r="L1158" s="4" t="str">
        <f t="shared" si="29"/>
        <v>NORMAL</v>
      </c>
      <c r="M1158" s="4" t="str">
        <f t="shared" si="30"/>
        <v>MEDIUM</v>
      </c>
      <c r="N1158" s="4" t="str">
        <f t="shared" si="31"/>
        <v>SENIOR</v>
      </c>
      <c r="O1158" s="4" t="str">
        <f t="shared" si="32"/>
        <v>STAGNANT</v>
      </c>
      <c r="P1158" s="5" t="str">
        <f t="shared" si="33"/>
        <v>Medium_Pressure</v>
      </c>
      <c r="Q1158" s="4" t="str">
        <f t="shared" si="34"/>
        <v>HIGHLY_ENGAGED</v>
      </c>
      <c r="R1158" s="4" t="str">
        <f t="shared" si="35"/>
        <v>LOW</v>
      </c>
      <c r="S1158" s="2"/>
      <c r="T1158" s="2"/>
      <c r="U1158" s="2"/>
      <c r="V1158" s="2"/>
      <c r="W1158" s="2"/>
      <c r="X1158" s="2"/>
      <c r="Y1158" s="2"/>
      <c r="Z1158" s="2"/>
    </row>
    <row r="1159" spans="1:26" ht="16.8" x14ac:dyDescent="0.3">
      <c r="A1159" s="4">
        <v>1630</v>
      </c>
      <c r="B1159" s="4" t="s">
        <v>43</v>
      </c>
      <c r="C1159" s="4">
        <v>35</v>
      </c>
      <c r="D1159" s="4" t="s">
        <v>45</v>
      </c>
      <c r="E1159" s="4" t="s">
        <v>54</v>
      </c>
      <c r="F1159" s="4">
        <v>4148</v>
      </c>
      <c r="G1159" s="4" t="s">
        <v>43</v>
      </c>
      <c r="H1159" s="4">
        <v>14</v>
      </c>
      <c r="I1159" s="4">
        <v>2</v>
      </c>
      <c r="J1159" s="4">
        <v>3</v>
      </c>
      <c r="K1159" s="4">
        <v>3</v>
      </c>
      <c r="L1159" s="4" t="str">
        <f t="shared" si="29"/>
        <v>NORMAL</v>
      </c>
      <c r="M1159" s="4" t="str">
        <f t="shared" si="30"/>
        <v>HIGH</v>
      </c>
      <c r="N1159" s="4" t="str">
        <f t="shared" si="31"/>
        <v>SENIOR</v>
      </c>
      <c r="O1159" s="4" t="str">
        <f t="shared" si="32"/>
        <v>MODERATE-WAIT</v>
      </c>
      <c r="P1159" s="5" t="str">
        <f t="shared" si="33"/>
        <v>Medium_Pressure</v>
      </c>
      <c r="Q1159" s="4" t="str">
        <f t="shared" si="34"/>
        <v>HIGHLY_ENGAGED</v>
      </c>
      <c r="R1159" s="4" t="str">
        <f t="shared" si="35"/>
        <v>LOW</v>
      </c>
      <c r="S1159" s="2"/>
      <c r="T1159" s="2"/>
      <c r="U1159" s="2"/>
      <c r="V1159" s="2"/>
      <c r="W1159" s="2"/>
      <c r="X1159" s="2"/>
      <c r="Y1159" s="2"/>
      <c r="Z1159" s="2"/>
    </row>
    <row r="1160" spans="1:26" ht="16.8" x14ac:dyDescent="0.3">
      <c r="A1160" s="4">
        <v>1631</v>
      </c>
      <c r="B1160" s="4" t="s">
        <v>43</v>
      </c>
      <c r="C1160" s="4">
        <v>37</v>
      </c>
      <c r="D1160" s="4" t="s">
        <v>45</v>
      </c>
      <c r="E1160" s="4" t="s">
        <v>53</v>
      </c>
      <c r="F1160" s="4">
        <v>5768</v>
      </c>
      <c r="G1160" s="4" t="s">
        <v>43</v>
      </c>
      <c r="H1160" s="4">
        <v>4</v>
      </c>
      <c r="I1160" s="4">
        <v>0</v>
      </c>
      <c r="J1160" s="4">
        <v>3</v>
      </c>
      <c r="K1160" s="4">
        <v>2</v>
      </c>
      <c r="L1160" s="4" t="str">
        <f t="shared" si="29"/>
        <v>NORMAL</v>
      </c>
      <c r="M1160" s="4" t="str">
        <f t="shared" si="30"/>
        <v>HIGH</v>
      </c>
      <c r="N1160" s="4" t="str">
        <f t="shared" si="31"/>
        <v>MID</v>
      </c>
      <c r="O1160" s="4" t="str">
        <f t="shared" si="32"/>
        <v>RECENTLY PROMOTED</v>
      </c>
      <c r="P1160" s="5" t="str">
        <f t="shared" si="33"/>
        <v>Low_Pressure</v>
      </c>
      <c r="Q1160" s="4" t="str">
        <f t="shared" si="34"/>
        <v>DISENGAGED</v>
      </c>
      <c r="R1160" s="4" t="str">
        <f t="shared" si="35"/>
        <v>LOW</v>
      </c>
      <c r="S1160" s="2"/>
      <c r="T1160" s="2"/>
      <c r="U1160" s="2"/>
      <c r="V1160" s="2"/>
      <c r="W1160" s="2"/>
      <c r="X1160" s="2"/>
      <c r="Y1160" s="2"/>
      <c r="Z1160" s="2"/>
    </row>
    <row r="1161" spans="1:26" ht="16.8" x14ac:dyDescent="0.3">
      <c r="A1161" s="4">
        <v>1633</v>
      </c>
      <c r="B1161" s="4" t="s">
        <v>43</v>
      </c>
      <c r="C1161" s="4">
        <v>39</v>
      </c>
      <c r="D1161" s="4" t="s">
        <v>45</v>
      </c>
      <c r="E1161" s="4" t="s">
        <v>53</v>
      </c>
      <c r="F1161" s="4">
        <v>5042</v>
      </c>
      <c r="G1161" s="4" t="s">
        <v>43</v>
      </c>
      <c r="H1161" s="4">
        <v>9</v>
      </c>
      <c r="I1161" s="4">
        <v>3</v>
      </c>
      <c r="J1161" s="4">
        <v>3</v>
      </c>
      <c r="K1161" s="4">
        <v>1</v>
      </c>
      <c r="L1161" s="4" t="str">
        <f t="shared" si="29"/>
        <v>NORMAL</v>
      </c>
      <c r="M1161" s="4" t="str">
        <f t="shared" si="30"/>
        <v>HIGH</v>
      </c>
      <c r="N1161" s="4" t="str">
        <f t="shared" si="31"/>
        <v>SENIOR</v>
      </c>
      <c r="O1161" s="4" t="str">
        <f t="shared" si="32"/>
        <v>MODERATE-WAIT</v>
      </c>
      <c r="P1161" s="5" t="str">
        <f t="shared" si="33"/>
        <v>Low_Pressure</v>
      </c>
      <c r="Q1161" s="4" t="str">
        <f t="shared" si="34"/>
        <v>DISENGAGED</v>
      </c>
      <c r="R1161" s="4" t="str">
        <f t="shared" si="35"/>
        <v>LOW</v>
      </c>
      <c r="S1161" s="2"/>
      <c r="T1161" s="2"/>
      <c r="U1161" s="2"/>
      <c r="V1161" s="2"/>
      <c r="W1161" s="2"/>
      <c r="X1161" s="2"/>
      <c r="Y1161" s="2"/>
      <c r="Z1161" s="2"/>
    </row>
    <row r="1162" spans="1:26" ht="16.8" x14ac:dyDescent="0.3">
      <c r="A1162" s="4">
        <v>1635</v>
      </c>
      <c r="B1162" s="4" t="s">
        <v>43</v>
      </c>
      <c r="C1162" s="4">
        <v>45</v>
      </c>
      <c r="D1162" s="4" t="s">
        <v>45</v>
      </c>
      <c r="E1162" s="4" t="s">
        <v>53</v>
      </c>
      <c r="F1162" s="4">
        <v>5770</v>
      </c>
      <c r="G1162" s="4" t="s">
        <v>43</v>
      </c>
      <c r="H1162" s="4">
        <v>10</v>
      </c>
      <c r="I1162" s="4">
        <v>3</v>
      </c>
      <c r="J1162" s="4">
        <v>4</v>
      </c>
      <c r="K1162" s="4">
        <v>3</v>
      </c>
      <c r="L1162" s="4" t="str">
        <f t="shared" si="29"/>
        <v>NORMAL</v>
      </c>
      <c r="M1162" s="4" t="str">
        <f t="shared" si="30"/>
        <v>HIGH</v>
      </c>
      <c r="N1162" s="4" t="str">
        <f t="shared" si="31"/>
        <v>SENIOR</v>
      </c>
      <c r="O1162" s="4" t="str">
        <f t="shared" si="32"/>
        <v>MODERATE-WAIT</v>
      </c>
      <c r="P1162" s="5" t="str">
        <f t="shared" si="33"/>
        <v>Medium_Pressure</v>
      </c>
      <c r="Q1162" s="4" t="str">
        <f t="shared" si="34"/>
        <v>HIGHLY_ENGAGED</v>
      </c>
      <c r="R1162" s="4" t="str">
        <f t="shared" si="35"/>
        <v>LOW</v>
      </c>
      <c r="S1162" s="2"/>
      <c r="T1162" s="2"/>
      <c r="U1162" s="2"/>
      <c r="V1162" s="2"/>
      <c r="W1162" s="2"/>
      <c r="X1162" s="2"/>
      <c r="Y1162" s="2"/>
      <c r="Z1162" s="2"/>
    </row>
    <row r="1163" spans="1:26" ht="16.8" x14ac:dyDescent="0.3">
      <c r="A1163" s="4">
        <v>1638</v>
      </c>
      <c r="B1163" s="4" t="s">
        <v>43</v>
      </c>
      <c r="C1163" s="4">
        <v>38</v>
      </c>
      <c r="D1163" s="4" t="s">
        <v>45</v>
      </c>
      <c r="E1163" s="4" t="s">
        <v>53</v>
      </c>
      <c r="F1163" s="4">
        <v>7756</v>
      </c>
      <c r="G1163" s="4" t="s">
        <v>35</v>
      </c>
      <c r="H1163" s="4">
        <v>5</v>
      </c>
      <c r="I1163" s="4">
        <v>0</v>
      </c>
      <c r="J1163" s="4">
        <v>3</v>
      </c>
      <c r="K1163" s="4">
        <v>4</v>
      </c>
      <c r="L1163" s="4" t="str">
        <f t="shared" si="29"/>
        <v>NORMAL</v>
      </c>
      <c r="M1163" s="4" t="str">
        <f t="shared" si="30"/>
        <v>HIGH</v>
      </c>
      <c r="N1163" s="4" t="str">
        <f t="shared" si="31"/>
        <v>MID</v>
      </c>
      <c r="O1163" s="4" t="str">
        <f t="shared" si="32"/>
        <v>RECENTLY PROMOTED</v>
      </c>
      <c r="P1163" s="5" t="str">
        <f t="shared" si="33"/>
        <v>Medium_Pressure</v>
      </c>
      <c r="Q1163" s="4" t="str">
        <f t="shared" si="34"/>
        <v>HIGHLY_ENGAGED</v>
      </c>
      <c r="R1163" s="4" t="str">
        <f t="shared" si="35"/>
        <v>LOW</v>
      </c>
      <c r="S1163" s="2"/>
      <c r="T1163" s="2"/>
      <c r="U1163" s="2"/>
      <c r="V1163" s="2"/>
      <c r="W1163" s="2"/>
      <c r="X1163" s="2"/>
      <c r="Y1163" s="2"/>
      <c r="Z1163" s="2"/>
    </row>
    <row r="1164" spans="1:26" ht="16.8" x14ac:dyDescent="0.3">
      <c r="A1164" s="4">
        <v>1639</v>
      </c>
      <c r="B1164" s="4" t="s">
        <v>35</v>
      </c>
      <c r="C1164" s="4">
        <v>35</v>
      </c>
      <c r="D1164" s="4" t="s">
        <v>37</v>
      </c>
      <c r="E1164" s="4" t="s">
        <v>40</v>
      </c>
      <c r="F1164" s="4">
        <v>10306</v>
      </c>
      <c r="G1164" s="4" t="s">
        <v>43</v>
      </c>
      <c r="H1164" s="4">
        <v>13</v>
      </c>
      <c r="I1164" s="4">
        <v>6</v>
      </c>
      <c r="J1164" s="4">
        <v>1</v>
      </c>
      <c r="K1164" s="4">
        <v>3</v>
      </c>
      <c r="L1164" s="4" t="str">
        <f t="shared" si="29"/>
        <v>NORMAL</v>
      </c>
      <c r="M1164" s="4" t="str">
        <f t="shared" si="30"/>
        <v>MEDIUM</v>
      </c>
      <c r="N1164" s="4" t="str">
        <f t="shared" si="31"/>
        <v>SENIOR</v>
      </c>
      <c r="O1164" s="4" t="str">
        <f t="shared" si="32"/>
        <v>STAGNANT</v>
      </c>
      <c r="P1164" s="5" t="str">
        <f t="shared" si="33"/>
        <v>Medium_Pressure</v>
      </c>
      <c r="Q1164" s="4" t="str">
        <f t="shared" si="34"/>
        <v>DISENGAGED</v>
      </c>
      <c r="R1164" s="4" t="str">
        <f t="shared" si="35"/>
        <v>LOW</v>
      </c>
      <c r="S1164" s="2"/>
      <c r="T1164" s="2"/>
      <c r="U1164" s="2"/>
      <c r="V1164" s="2"/>
      <c r="W1164" s="2"/>
      <c r="X1164" s="2"/>
      <c r="Y1164" s="2"/>
      <c r="Z1164" s="2"/>
    </row>
    <row r="1165" spans="1:26" ht="16.8" x14ac:dyDescent="0.3">
      <c r="A1165" s="4">
        <v>1640</v>
      </c>
      <c r="B1165" s="4" t="s">
        <v>43</v>
      </c>
      <c r="C1165" s="4">
        <v>37</v>
      </c>
      <c r="D1165" s="4" t="s">
        <v>45</v>
      </c>
      <c r="E1165" s="4" t="s">
        <v>47</v>
      </c>
      <c r="F1165" s="4">
        <v>3936</v>
      </c>
      <c r="G1165" s="4" t="s">
        <v>43</v>
      </c>
      <c r="H1165" s="4">
        <v>8</v>
      </c>
      <c r="I1165" s="4">
        <v>7</v>
      </c>
      <c r="J1165" s="4">
        <v>2</v>
      </c>
      <c r="K1165" s="4">
        <v>1</v>
      </c>
      <c r="L1165" s="4" t="str">
        <f t="shared" si="29"/>
        <v>NORMAL</v>
      </c>
      <c r="M1165" s="4" t="str">
        <f t="shared" si="30"/>
        <v>LOW</v>
      </c>
      <c r="N1165" s="4" t="str">
        <f t="shared" si="31"/>
        <v>SENIOR</v>
      </c>
      <c r="O1165" s="4" t="str">
        <f t="shared" si="32"/>
        <v>STAGNANT</v>
      </c>
      <c r="P1165" s="5" t="str">
        <f t="shared" si="33"/>
        <v>Low_Pressure</v>
      </c>
      <c r="Q1165" s="4" t="str">
        <f t="shared" si="34"/>
        <v>DISENGAGED</v>
      </c>
      <c r="R1165" s="4" t="str">
        <f t="shared" si="35"/>
        <v>LOW</v>
      </c>
      <c r="S1165" s="2"/>
      <c r="T1165" s="2"/>
      <c r="U1165" s="2"/>
      <c r="V1165" s="2"/>
      <c r="W1165" s="2"/>
      <c r="X1165" s="2"/>
      <c r="Y1165" s="2"/>
      <c r="Z1165" s="2"/>
    </row>
    <row r="1166" spans="1:26" ht="16.8" x14ac:dyDescent="0.3">
      <c r="A1166" s="4">
        <v>1641</v>
      </c>
      <c r="B1166" s="4" t="s">
        <v>43</v>
      </c>
      <c r="C1166" s="4">
        <v>40</v>
      </c>
      <c r="D1166" s="4" t="s">
        <v>45</v>
      </c>
      <c r="E1166" s="4" t="s">
        <v>53</v>
      </c>
      <c r="F1166" s="4">
        <v>7945</v>
      </c>
      <c r="G1166" s="4" t="s">
        <v>35</v>
      </c>
      <c r="H1166" s="4">
        <v>4</v>
      </c>
      <c r="I1166" s="4">
        <v>3</v>
      </c>
      <c r="J1166" s="4">
        <v>4</v>
      </c>
      <c r="K1166" s="4">
        <v>2</v>
      </c>
      <c r="L1166" s="4" t="str">
        <f t="shared" si="29"/>
        <v>NORMAL</v>
      </c>
      <c r="M1166" s="4" t="str">
        <f t="shared" si="30"/>
        <v>HIGH</v>
      </c>
      <c r="N1166" s="4" t="str">
        <f t="shared" si="31"/>
        <v>MID</v>
      </c>
      <c r="O1166" s="4" t="str">
        <f t="shared" si="32"/>
        <v>MODERATE-WAIT</v>
      </c>
      <c r="P1166" s="5" t="str">
        <f t="shared" si="33"/>
        <v>High_Pressure</v>
      </c>
      <c r="Q1166" s="4" t="str">
        <f t="shared" si="34"/>
        <v>DISENGAGED</v>
      </c>
      <c r="R1166" s="4" t="str">
        <f t="shared" si="35"/>
        <v>LOW</v>
      </c>
      <c r="S1166" s="2"/>
      <c r="T1166" s="2"/>
      <c r="U1166" s="2"/>
      <c r="V1166" s="2"/>
      <c r="W1166" s="2"/>
      <c r="X1166" s="2"/>
      <c r="Y1166" s="2"/>
      <c r="Z1166" s="2"/>
    </row>
    <row r="1167" spans="1:26" ht="16.8" x14ac:dyDescent="0.3">
      <c r="A1167" s="4">
        <v>1642</v>
      </c>
      <c r="B1167" s="4" t="s">
        <v>43</v>
      </c>
      <c r="C1167" s="4">
        <v>44</v>
      </c>
      <c r="D1167" s="4" t="s">
        <v>61</v>
      </c>
      <c r="E1167" s="4" t="s">
        <v>61</v>
      </c>
      <c r="F1167" s="4">
        <v>5743</v>
      </c>
      <c r="G1167" s="4" t="s">
        <v>35</v>
      </c>
      <c r="H1167" s="4">
        <v>10</v>
      </c>
      <c r="I1167" s="4">
        <v>0</v>
      </c>
      <c r="J1167" s="4">
        <v>4</v>
      </c>
      <c r="K1167" s="4">
        <v>3</v>
      </c>
      <c r="L1167" s="4" t="str">
        <f t="shared" si="29"/>
        <v>NORMAL</v>
      </c>
      <c r="M1167" s="4" t="str">
        <f t="shared" si="30"/>
        <v>HIGH</v>
      </c>
      <c r="N1167" s="4" t="str">
        <f t="shared" si="31"/>
        <v>SENIOR</v>
      </c>
      <c r="O1167" s="4" t="str">
        <f t="shared" si="32"/>
        <v>RECENTLY PROMOTED</v>
      </c>
      <c r="P1167" s="5" t="str">
        <f t="shared" si="33"/>
        <v>Medium_Pressure</v>
      </c>
      <c r="Q1167" s="4" t="str">
        <f t="shared" si="34"/>
        <v>HIGHLY_ENGAGED</v>
      </c>
      <c r="R1167" s="4" t="str">
        <f t="shared" si="35"/>
        <v>LOW</v>
      </c>
      <c r="S1167" s="2"/>
      <c r="T1167" s="2"/>
      <c r="U1167" s="2"/>
      <c r="V1167" s="2"/>
      <c r="W1167" s="2"/>
      <c r="X1167" s="2"/>
      <c r="Y1167" s="2"/>
      <c r="Z1167" s="2"/>
    </row>
    <row r="1168" spans="1:26" ht="16.8" x14ac:dyDescent="0.3">
      <c r="A1168" s="4">
        <v>1644</v>
      </c>
      <c r="B1168" s="4" t="s">
        <v>43</v>
      </c>
      <c r="C1168" s="4">
        <v>48</v>
      </c>
      <c r="D1168" s="4" t="s">
        <v>45</v>
      </c>
      <c r="E1168" s="4" t="s">
        <v>56</v>
      </c>
      <c r="F1168" s="4">
        <v>15202</v>
      </c>
      <c r="G1168" s="4" t="s">
        <v>43</v>
      </c>
      <c r="H1168" s="4">
        <v>2</v>
      </c>
      <c r="I1168" s="4">
        <v>2</v>
      </c>
      <c r="J1168" s="4">
        <v>4</v>
      </c>
      <c r="K1168" s="4">
        <v>3</v>
      </c>
      <c r="L1168" s="4" t="str">
        <f t="shared" si="29"/>
        <v>NORMAL</v>
      </c>
      <c r="M1168" s="4" t="str">
        <f t="shared" si="30"/>
        <v>MEDIUM</v>
      </c>
      <c r="N1168" s="4" t="str">
        <f t="shared" si="31"/>
        <v>NEW</v>
      </c>
      <c r="O1168" s="4" t="str">
        <f t="shared" si="32"/>
        <v>MODERATE-WAIT</v>
      </c>
      <c r="P1168" s="5" t="str">
        <f t="shared" si="33"/>
        <v>Medium_Pressure</v>
      </c>
      <c r="Q1168" s="4" t="str">
        <f t="shared" si="34"/>
        <v>HIGHLY_ENGAGED</v>
      </c>
      <c r="R1168" s="4" t="str">
        <f t="shared" si="35"/>
        <v>LOW</v>
      </c>
      <c r="S1168" s="2"/>
      <c r="T1168" s="2"/>
      <c r="U1168" s="2"/>
      <c r="V1168" s="2"/>
      <c r="W1168" s="2"/>
      <c r="X1168" s="2"/>
      <c r="Y1168" s="2"/>
      <c r="Z1168" s="2"/>
    </row>
    <row r="1169" spans="1:26" ht="16.8" x14ac:dyDescent="0.3">
      <c r="A1169" s="4">
        <v>1645</v>
      </c>
      <c r="B1169" s="4" t="s">
        <v>35</v>
      </c>
      <c r="C1169" s="4">
        <v>35</v>
      </c>
      <c r="D1169" s="4" t="s">
        <v>37</v>
      </c>
      <c r="E1169" s="4" t="s">
        <v>40</v>
      </c>
      <c r="F1169" s="4">
        <v>5440</v>
      </c>
      <c r="G1169" s="4" t="s">
        <v>35</v>
      </c>
      <c r="H1169" s="4">
        <v>2</v>
      </c>
      <c r="I1169" s="4">
        <v>2</v>
      </c>
      <c r="J1169" s="4">
        <v>4</v>
      </c>
      <c r="K1169" s="4">
        <v>2</v>
      </c>
      <c r="L1169" s="4" t="str">
        <f t="shared" si="29"/>
        <v>NORMAL</v>
      </c>
      <c r="M1169" s="4" t="str">
        <f t="shared" si="30"/>
        <v>HIGH</v>
      </c>
      <c r="N1169" s="4" t="str">
        <f t="shared" si="31"/>
        <v>NEW</v>
      </c>
      <c r="O1169" s="4" t="str">
        <f t="shared" si="32"/>
        <v>MODERATE-WAIT</v>
      </c>
      <c r="P1169" s="5" t="str">
        <f t="shared" si="33"/>
        <v>High_Pressure</v>
      </c>
      <c r="Q1169" s="4" t="str">
        <f t="shared" si="34"/>
        <v>DISENGAGED</v>
      </c>
      <c r="R1169" s="4" t="str">
        <f t="shared" si="35"/>
        <v>LOW</v>
      </c>
      <c r="S1169" s="2"/>
      <c r="T1169" s="2"/>
      <c r="U1169" s="2"/>
      <c r="V1169" s="2"/>
      <c r="W1169" s="2"/>
      <c r="X1169" s="2"/>
      <c r="Y1169" s="2"/>
      <c r="Z1169" s="2"/>
    </row>
    <row r="1170" spans="1:26" ht="16.8" x14ac:dyDescent="0.3">
      <c r="A1170" s="4">
        <v>1646</v>
      </c>
      <c r="B1170" s="4" t="s">
        <v>43</v>
      </c>
      <c r="C1170" s="4">
        <v>24</v>
      </c>
      <c r="D1170" s="4" t="s">
        <v>45</v>
      </c>
      <c r="E1170" s="4" t="s">
        <v>47</v>
      </c>
      <c r="F1170" s="4">
        <v>3760</v>
      </c>
      <c r="G1170" s="4" t="s">
        <v>35</v>
      </c>
      <c r="H1170" s="4">
        <v>6</v>
      </c>
      <c r="I1170" s="4">
        <v>1</v>
      </c>
      <c r="J1170" s="4">
        <v>4</v>
      </c>
      <c r="K1170" s="4">
        <v>3</v>
      </c>
      <c r="L1170" s="4" t="str">
        <f t="shared" si="29"/>
        <v>NORMAL</v>
      </c>
      <c r="M1170" s="4" t="str">
        <f t="shared" si="30"/>
        <v>LOW</v>
      </c>
      <c r="N1170" s="4" t="str">
        <f t="shared" si="31"/>
        <v>MID</v>
      </c>
      <c r="O1170" s="4" t="str">
        <f t="shared" si="32"/>
        <v>RECENTLY PROMOTED</v>
      </c>
      <c r="P1170" s="5" t="str">
        <f t="shared" si="33"/>
        <v>Medium_Pressure</v>
      </c>
      <c r="Q1170" s="4" t="str">
        <f t="shared" si="34"/>
        <v>HIGHLY_ENGAGED</v>
      </c>
      <c r="R1170" s="4" t="str">
        <f t="shared" si="35"/>
        <v>LOW</v>
      </c>
      <c r="S1170" s="2"/>
      <c r="T1170" s="2"/>
      <c r="U1170" s="2"/>
      <c r="V1170" s="2"/>
      <c r="W1170" s="2"/>
      <c r="X1170" s="2"/>
      <c r="Y1170" s="2"/>
      <c r="Z1170" s="2"/>
    </row>
    <row r="1171" spans="1:26" ht="16.8" x14ac:dyDescent="0.3">
      <c r="A1171" s="4">
        <v>1647</v>
      </c>
      <c r="B1171" s="4" t="s">
        <v>43</v>
      </c>
      <c r="C1171" s="4">
        <v>27</v>
      </c>
      <c r="D1171" s="4" t="s">
        <v>45</v>
      </c>
      <c r="E1171" s="4" t="s">
        <v>47</v>
      </c>
      <c r="F1171" s="4">
        <v>3517</v>
      </c>
      <c r="G1171" s="4" t="s">
        <v>43</v>
      </c>
      <c r="H1171" s="4">
        <v>3</v>
      </c>
      <c r="I1171" s="4">
        <v>0</v>
      </c>
      <c r="J1171" s="4">
        <v>3</v>
      </c>
      <c r="K1171" s="4">
        <v>3</v>
      </c>
      <c r="L1171" s="4" t="str">
        <f t="shared" si="29"/>
        <v>NORMAL</v>
      </c>
      <c r="M1171" s="4" t="str">
        <f t="shared" si="30"/>
        <v>LOW</v>
      </c>
      <c r="N1171" s="4" t="str">
        <f t="shared" si="31"/>
        <v>MID</v>
      </c>
      <c r="O1171" s="4" t="str">
        <f t="shared" si="32"/>
        <v>RECENTLY PROMOTED</v>
      </c>
      <c r="P1171" s="5" t="str">
        <f t="shared" si="33"/>
        <v>Medium_Pressure</v>
      </c>
      <c r="Q1171" s="4" t="str">
        <f t="shared" si="34"/>
        <v>HIGHLY_ENGAGED</v>
      </c>
      <c r="R1171" s="4" t="str">
        <f t="shared" si="35"/>
        <v>LOW</v>
      </c>
      <c r="S1171" s="2"/>
      <c r="T1171" s="2"/>
      <c r="U1171" s="2"/>
      <c r="V1171" s="2"/>
      <c r="W1171" s="2"/>
      <c r="X1171" s="2"/>
      <c r="Y1171" s="2"/>
      <c r="Z1171" s="2"/>
    </row>
    <row r="1172" spans="1:26" ht="16.8" x14ac:dyDescent="0.3">
      <c r="A1172" s="4">
        <v>1648</v>
      </c>
      <c r="B1172" s="4" t="s">
        <v>43</v>
      </c>
      <c r="C1172" s="4">
        <v>27</v>
      </c>
      <c r="D1172" s="4" t="s">
        <v>45</v>
      </c>
      <c r="E1172" s="4" t="s">
        <v>47</v>
      </c>
      <c r="F1172" s="4">
        <v>2580</v>
      </c>
      <c r="G1172" s="4" t="s">
        <v>43</v>
      </c>
      <c r="H1172" s="4">
        <v>4</v>
      </c>
      <c r="I1172" s="4">
        <v>1</v>
      </c>
      <c r="J1172" s="4">
        <v>4</v>
      </c>
      <c r="K1172" s="4">
        <v>2</v>
      </c>
      <c r="L1172" s="4" t="str">
        <f t="shared" si="29"/>
        <v>NORMAL</v>
      </c>
      <c r="M1172" s="4" t="str">
        <f t="shared" si="30"/>
        <v>LOW</v>
      </c>
      <c r="N1172" s="4" t="str">
        <f t="shared" si="31"/>
        <v>MID</v>
      </c>
      <c r="O1172" s="4" t="str">
        <f t="shared" si="32"/>
        <v>RECENTLY PROMOTED</v>
      </c>
      <c r="P1172" s="5" t="str">
        <f t="shared" si="33"/>
        <v>Low_Pressure</v>
      </c>
      <c r="Q1172" s="4" t="str">
        <f t="shared" si="34"/>
        <v>DISENGAGED</v>
      </c>
      <c r="R1172" s="4" t="str">
        <f t="shared" si="35"/>
        <v>LOW</v>
      </c>
      <c r="S1172" s="2"/>
      <c r="T1172" s="2"/>
      <c r="U1172" s="2"/>
      <c r="V1172" s="2"/>
      <c r="W1172" s="2"/>
      <c r="X1172" s="2"/>
      <c r="Y1172" s="2"/>
      <c r="Z1172" s="2"/>
    </row>
    <row r="1173" spans="1:26" ht="16.8" x14ac:dyDescent="0.3">
      <c r="A1173" s="4">
        <v>1649</v>
      </c>
      <c r="B1173" s="4" t="s">
        <v>35</v>
      </c>
      <c r="C1173" s="4">
        <v>40</v>
      </c>
      <c r="D1173" s="4" t="s">
        <v>45</v>
      </c>
      <c r="E1173" s="4" t="s">
        <v>50</v>
      </c>
      <c r="F1173" s="4">
        <v>2166</v>
      </c>
      <c r="G1173" s="4" t="s">
        <v>35</v>
      </c>
      <c r="H1173" s="4">
        <v>4</v>
      </c>
      <c r="I1173" s="4">
        <v>0</v>
      </c>
      <c r="J1173" s="4">
        <v>1</v>
      </c>
      <c r="K1173" s="4">
        <v>1</v>
      </c>
      <c r="L1173" s="4" t="str">
        <f t="shared" si="29"/>
        <v>NORMAL</v>
      </c>
      <c r="M1173" s="4" t="str">
        <f t="shared" si="30"/>
        <v>LOW</v>
      </c>
      <c r="N1173" s="4" t="str">
        <f t="shared" si="31"/>
        <v>MID</v>
      </c>
      <c r="O1173" s="4" t="str">
        <f t="shared" si="32"/>
        <v>RECENTLY PROMOTED</v>
      </c>
      <c r="P1173" s="5" t="str">
        <f t="shared" si="33"/>
        <v>High_Pressure</v>
      </c>
      <c r="Q1173" s="4" t="str">
        <f t="shared" si="34"/>
        <v>DISENGAGED</v>
      </c>
      <c r="R1173" s="4" t="str">
        <f t="shared" si="35"/>
        <v>LOW</v>
      </c>
      <c r="S1173" s="2"/>
      <c r="T1173" s="2"/>
      <c r="U1173" s="2"/>
      <c r="V1173" s="2"/>
      <c r="W1173" s="2"/>
      <c r="X1173" s="2"/>
      <c r="Y1173" s="2"/>
      <c r="Z1173" s="2"/>
    </row>
    <row r="1174" spans="1:26" ht="16.8" x14ac:dyDescent="0.3">
      <c r="A1174" s="4">
        <v>1650</v>
      </c>
      <c r="B1174" s="4" t="s">
        <v>43</v>
      </c>
      <c r="C1174" s="4">
        <v>29</v>
      </c>
      <c r="D1174" s="4" t="s">
        <v>37</v>
      </c>
      <c r="E1174" s="4" t="s">
        <v>40</v>
      </c>
      <c r="F1174" s="4">
        <v>5869</v>
      </c>
      <c r="G1174" s="4" t="s">
        <v>43</v>
      </c>
      <c r="H1174" s="4">
        <v>5</v>
      </c>
      <c r="I1174" s="4">
        <v>1</v>
      </c>
      <c r="J1174" s="4">
        <v>3</v>
      </c>
      <c r="K1174" s="4">
        <v>3</v>
      </c>
      <c r="L1174" s="4" t="str">
        <f t="shared" si="29"/>
        <v>NORMAL</v>
      </c>
      <c r="M1174" s="4" t="str">
        <f t="shared" si="30"/>
        <v>HIGH</v>
      </c>
      <c r="N1174" s="4" t="str">
        <f t="shared" si="31"/>
        <v>MID</v>
      </c>
      <c r="O1174" s="4" t="str">
        <f t="shared" si="32"/>
        <v>RECENTLY PROMOTED</v>
      </c>
      <c r="P1174" s="5" t="str">
        <f t="shared" si="33"/>
        <v>Medium_Pressure</v>
      </c>
      <c r="Q1174" s="4" t="str">
        <f t="shared" si="34"/>
        <v>HIGHLY_ENGAGED</v>
      </c>
      <c r="R1174" s="4" t="str">
        <f t="shared" si="35"/>
        <v>LOW</v>
      </c>
      <c r="S1174" s="2"/>
      <c r="T1174" s="2"/>
      <c r="U1174" s="2"/>
      <c r="V1174" s="2"/>
      <c r="W1174" s="2"/>
      <c r="X1174" s="2"/>
      <c r="Y1174" s="2"/>
      <c r="Z1174" s="2"/>
    </row>
    <row r="1175" spans="1:26" ht="16.8" x14ac:dyDescent="0.3">
      <c r="A1175" s="4">
        <v>1651</v>
      </c>
      <c r="B1175" s="4" t="s">
        <v>43</v>
      </c>
      <c r="C1175" s="4">
        <v>36</v>
      </c>
      <c r="D1175" s="4" t="s">
        <v>45</v>
      </c>
      <c r="E1175" s="4" t="s">
        <v>54</v>
      </c>
      <c r="F1175" s="4">
        <v>8008</v>
      </c>
      <c r="G1175" s="4" t="s">
        <v>43</v>
      </c>
      <c r="H1175" s="4">
        <v>3</v>
      </c>
      <c r="I1175" s="4">
        <v>0</v>
      </c>
      <c r="J1175" s="4">
        <v>1</v>
      </c>
      <c r="K1175" s="4">
        <v>3</v>
      </c>
      <c r="L1175" s="4" t="str">
        <f t="shared" si="29"/>
        <v>NORMAL</v>
      </c>
      <c r="M1175" s="4" t="str">
        <f t="shared" si="30"/>
        <v>HIGH</v>
      </c>
      <c r="N1175" s="4" t="str">
        <f t="shared" si="31"/>
        <v>MID</v>
      </c>
      <c r="O1175" s="4" t="str">
        <f t="shared" si="32"/>
        <v>RECENTLY PROMOTED</v>
      </c>
      <c r="P1175" s="5" t="str">
        <f t="shared" si="33"/>
        <v>Medium_Pressure</v>
      </c>
      <c r="Q1175" s="4" t="str">
        <f t="shared" si="34"/>
        <v>DISENGAGED</v>
      </c>
      <c r="R1175" s="4" t="str">
        <f t="shared" si="35"/>
        <v>LOW</v>
      </c>
      <c r="S1175" s="2"/>
      <c r="T1175" s="2"/>
      <c r="U1175" s="2"/>
      <c r="V1175" s="2"/>
      <c r="W1175" s="2"/>
      <c r="X1175" s="2"/>
      <c r="Y1175" s="2"/>
      <c r="Z1175" s="2"/>
    </row>
    <row r="1176" spans="1:26" ht="16.8" x14ac:dyDescent="0.3">
      <c r="A1176" s="4">
        <v>1653</v>
      </c>
      <c r="B1176" s="4" t="s">
        <v>43</v>
      </c>
      <c r="C1176" s="4">
        <v>25</v>
      </c>
      <c r="D1176" s="4" t="s">
        <v>45</v>
      </c>
      <c r="E1176" s="4" t="s">
        <v>53</v>
      </c>
      <c r="F1176" s="4">
        <v>5206</v>
      </c>
      <c r="G1176" s="4" t="s">
        <v>43</v>
      </c>
      <c r="H1176" s="4">
        <v>7</v>
      </c>
      <c r="I1176" s="4">
        <v>0</v>
      </c>
      <c r="J1176" s="4">
        <v>3</v>
      </c>
      <c r="K1176" s="4">
        <v>3</v>
      </c>
      <c r="L1176" s="4" t="str">
        <f t="shared" si="29"/>
        <v>NORMAL</v>
      </c>
      <c r="M1176" s="4" t="str">
        <f t="shared" si="30"/>
        <v>HIGH</v>
      </c>
      <c r="N1176" s="4" t="str">
        <f t="shared" si="31"/>
        <v>SENIOR</v>
      </c>
      <c r="O1176" s="4" t="str">
        <f t="shared" si="32"/>
        <v>RECENTLY PROMOTED</v>
      </c>
      <c r="P1176" s="5" t="str">
        <f t="shared" si="33"/>
        <v>Medium_Pressure</v>
      </c>
      <c r="Q1176" s="4" t="str">
        <f t="shared" si="34"/>
        <v>HIGHLY_ENGAGED</v>
      </c>
      <c r="R1176" s="4" t="str">
        <f t="shared" si="35"/>
        <v>LOW</v>
      </c>
      <c r="S1176" s="2"/>
      <c r="T1176" s="2"/>
      <c r="U1176" s="2"/>
      <c r="V1176" s="2"/>
      <c r="W1176" s="2"/>
      <c r="X1176" s="2"/>
      <c r="Y1176" s="2"/>
      <c r="Z1176" s="2"/>
    </row>
    <row r="1177" spans="1:26" ht="16.8" x14ac:dyDescent="0.3">
      <c r="A1177" s="4">
        <v>1654</v>
      </c>
      <c r="B1177" s="4" t="s">
        <v>43</v>
      </c>
      <c r="C1177" s="4">
        <v>39</v>
      </c>
      <c r="D1177" s="4" t="s">
        <v>45</v>
      </c>
      <c r="E1177" s="4" t="s">
        <v>53</v>
      </c>
      <c r="F1177" s="4">
        <v>5295</v>
      </c>
      <c r="G1177" s="4" t="s">
        <v>43</v>
      </c>
      <c r="H1177" s="4">
        <v>5</v>
      </c>
      <c r="I1177" s="4">
        <v>1</v>
      </c>
      <c r="J1177" s="4">
        <v>2</v>
      </c>
      <c r="K1177" s="4">
        <v>3</v>
      </c>
      <c r="L1177" s="4" t="str">
        <f t="shared" si="29"/>
        <v>NORMAL</v>
      </c>
      <c r="M1177" s="4" t="str">
        <f t="shared" si="30"/>
        <v>HIGH</v>
      </c>
      <c r="N1177" s="4" t="str">
        <f t="shared" si="31"/>
        <v>MID</v>
      </c>
      <c r="O1177" s="4" t="str">
        <f t="shared" si="32"/>
        <v>RECENTLY PROMOTED</v>
      </c>
      <c r="P1177" s="5" t="str">
        <f t="shared" si="33"/>
        <v>Medium_Pressure</v>
      </c>
      <c r="Q1177" s="4" t="str">
        <f t="shared" si="34"/>
        <v>DISENGAGED</v>
      </c>
      <c r="R1177" s="4" t="str">
        <f t="shared" si="35"/>
        <v>LOW</v>
      </c>
      <c r="S1177" s="2"/>
      <c r="T1177" s="2"/>
      <c r="U1177" s="2"/>
      <c r="V1177" s="2"/>
      <c r="W1177" s="2"/>
      <c r="X1177" s="2"/>
      <c r="Y1177" s="2"/>
      <c r="Z1177" s="2"/>
    </row>
    <row r="1178" spans="1:26" ht="16.8" x14ac:dyDescent="0.3">
      <c r="A1178" s="4">
        <v>1655</v>
      </c>
      <c r="B1178" s="4" t="s">
        <v>43</v>
      </c>
      <c r="C1178" s="4">
        <v>49</v>
      </c>
      <c r="D1178" s="4" t="s">
        <v>45</v>
      </c>
      <c r="E1178" s="4" t="s">
        <v>58</v>
      </c>
      <c r="F1178" s="4">
        <v>16413</v>
      </c>
      <c r="G1178" s="4" t="s">
        <v>43</v>
      </c>
      <c r="H1178" s="4">
        <v>4</v>
      </c>
      <c r="I1178" s="4">
        <v>1</v>
      </c>
      <c r="J1178" s="4">
        <v>2</v>
      </c>
      <c r="K1178" s="4">
        <v>3</v>
      </c>
      <c r="L1178" s="4" t="str">
        <f t="shared" si="29"/>
        <v>NORMAL</v>
      </c>
      <c r="M1178" s="4" t="str">
        <f t="shared" si="30"/>
        <v>MEDIUM</v>
      </c>
      <c r="N1178" s="4" t="str">
        <f t="shared" si="31"/>
        <v>MID</v>
      </c>
      <c r="O1178" s="4" t="str">
        <f t="shared" si="32"/>
        <v>RECENTLY PROMOTED</v>
      </c>
      <c r="P1178" s="5" t="str">
        <f t="shared" si="33"/>
        <v>Medium_Pressure</v>
      </c>
      <c r="Q1178" s="4" t="str">
        <f t="shared" si="34"/>
        <v>DISENGAGED</v>
      </c>
      <c r="R1178" s="4" t="str">
        <f t="shared" si="35"/>
        <v>LOW</v>
      </c>
      <c r="S1178" s="2"/>
      <c r="T1178" s="2"/>
      <c r="U1178" s="2"/>
      <c r="V1178" s="2"/>
      <c r="W1178" s="2"/>
      <c r="X1178" s="2"/>
      <c r="Y1178" s="2"/>
      <c r="Z1178" s="2"/>
    </row>
    <row r="1179" spans="1:26" ht="16.8" x14ac:dyDescent="0.3">
      <c r="A1179" s="4">
        <v>1656</v>
      </c>
      <c r="B1179" s="4" t="s">
        <v>43</v>
      </c>
      <c r="C1179" s="4">
        <v>50</v>
      </c>
      <c r="D1179" s="4" t="s">
        <v>45</v>
      </c>
      <c r="E1179" s="4" t="s">
        <v>58</v>
      </c>
      <c r="F1179" s="4">
        <v>13269</v>
      </c>
      <c r="G1179" s="4" t="s">
        <v>43</v>
      </c>
      <c r="H1179" s="4">
        <v>14</v>
      </c>
      <c r="I1179" s="4">
        <v>1</v>
      </c>
      <c r="J1179" s="4">
        <v>1</v>
      </c>
      <c r="K1179" s="4">
        <v>3</v>
      </c>
      <c r="L1179" s="4" t="str">
        <f t="shared" si="29"/>
        <v>NORMAL</v>
      </c>
      <c r="M1179" s="4" t="str">
        <f t="shared" si="30"/>
        <v>MEDIUM</v>
      </c>
      <c r="N1179" s="4" t="str">
        <f t="shared" si="31"/>
        <v>SENIOR</v>
      </c>
      <c r="O1179" s="4" t="str">
        <f t="shared" si="32"/>
        <v>RECENTLY PROMOTED</v>
      </c>
      <c r="P1179" s="5" t="str">
        <f t="shared" si="33"/>
        <v>Medium_Pressure</v>
      </c>
      <c r="Q1179" s="4" t="str">
        <f t="shared" si="34"/>
        <v>DISENGAGED</v>
      </c>
      <c r="R1179" s="4" t="str">
        <f t="shared" si="35"/>
        <v>LOW</v>
      </c>
      <c r="S1179" s="2"/>
      <c r="T1179" s="2"/>
      <c r="U1179" s="2"/>
      <c r="V1179" s="2"/>
      <c r="W1179" s="2"/>
      <c r="X1179" s="2"/>
      <c r="Y1179" s="2"/>
      <c r="Z1179" s="2"/>
    </row>
    <row r="1180" spans="1:26" ht="16.8" x14ac:dyDescent="0.3">
      <c r="A1180" s="4">
        <v>1657</v>
      </c>
      <c r="B1180" s="4" t="s">
        <v>43</v>
      </c>
      <c r="C1180" s="4">
        <v>20</v>
      </c>
      <c r="D1180" s="4" t="s">
        <v>37</v>
      </c>
      <c r="E1180" s="4" t="s">
        <v>57</v>
      </c>
      <c r="F1180" s="4">
        <v>2783</v>
      </c>
      <c r="G1180" s="4" t="s">
        <v>43</v>
      </c>
      <c r="H1180" s="4">
        <v>2</v>
      </c>
      <c r="I1180" s="4">
        <v>2</v>
      </c>
      <c r="J1180" s="4">
        <v>3</v>
      </c>
      <c r="K1180" s="4">
        <v>3</v>
      </c>
      <c r="L1180" s="4" t="str">
        <f t="shared" si="29"/>
        <v>NORMAL</v>
      </c>
      <c r="M1180" s="4" t="str">
        <f t="shared" si="30"/>
        <v>LOW</v>
      </c>
      <c r="N1180" s="4" t="str">
        <f t="shared" si="31"/>
        <v>NEW</v>
      </c>
      <c r="O1180" s="4" t="str">
        <f t="shared" si="32"/>
        <v>MODERATE-WAIT</v>
      </c>
      <c r="P1180" s="5" t="str">
        <f t="shared" si="33"/>
        <v>Medium_Pressure</v>
      </c>
      <c r="Q1180" s="4" t="str">
        <f t="shared" si="34"/>
        <v>HIGHLY_ENGAGED</v>
      </c>
      <c r="R1180" s="4" t="str">
        <f t="shared" si="35"/>
        <v>LOW</v>
      </c>
      <c r="S1180" s="2"/>
      <c r="T1180" s="2"/>
      <c r="U1180" s="2"/>
      <c r="V1180" s="2"/>
      <c r="W1180" s="2"/>
      <c r="X1180" s="2"/>
      <c r="Y1180" s="2"/>
      <c r="Z1180" s="2"/>
    </row>
    <row r="1181" spans="1:26" ht="16.8" x14ac:dyDescent="0.3">
      <c r="A1181" s="4">
        <v>1658</v>
      </c>
      <c r="B1181" s="4" t="s">
        <v>43</v>
      </c>
      <c r="C1181" s="4">
        <v>34</v>
      </c>
      <c r="D1181" s="4" t="s">
        <v>45</v>
      </c>
      <c r="E1181" s="4" t="s">
        <v>47</v>
      </c>
      <c r="F1181" s="4">
        <v>5433</v>
      </c>
      <c r="G1181" s="4" t="s">
        <v>43</v>
      </c>
      <c r="H1181" s="4">
        <v>11</v>
      </c>
      <c r="I1181" s="4">
        <v>7</v>
      </c>
      <c r="J1181" s="4">
        <v>2</v>
      </c>
      <c r="K1181" s="4">
        <v>3</v>
      </c>
      <c r="L1181" s="4" t="str">
        <f t="shared" si="29"/>
        <v>NORMAL</v>
      </c>
      <c r="M1181" s="4" t="str">
        <f t="shared" si="30"/>
        <v>HIGH</v>
      </c>
      <c r="N1181" s="4" t="str">
        <f t="shared" si="31"/>
        <v>SENIOR</v>
      </c>
      <c r="O1181" s="4" t="str">
        <f t="shared" si="32"/>
        <v>STAGNANT</v>
      </c>
      <c r="P1181" s="5" t="str">
        <f t="shared" si="33"/>
        <v>Medium_Pressure</v>
      </c>
      <c r="Q1181" s="4" t="str">
        <f t="shared" si="34"/>
        <v>DISENGAGED</v>
      </c>
      <c r="R1181" s="4" t="str">
        <f t="shared" si="35"/>
        <v>LOW</v>
      </c>
      <c r="S1181" s="2"/>
      <c r="T1181" s="2"/>
      <c r="U1181" s="2"/>
      <c r="V1181" s="2"/>
      <c r="W1181" s="2"/>
      <c r="X1181" s="2"/>
      <c r="Y1181" s="2"/>
      <c r="Z1181" s="2"/>
    </row>
    <row r="1182" spans="1:26" ht="16.8" x14ac:dyDescent="0.3">
      <c r="A1182" s="4">
        <v>1659</v>
      </c>
      <c r="B1182" s="4" t="s">
        <v>43</v>
      </c>
      <c r="C1182" s="4">
        <v>36</v>
      </c>
      <c r="D1182" s="4" t="s">
        <v>45</v>
      </c>
      <c r="E1182" s="4" t="s">
        <v>50</v>
      </c>
      <c r="F1182" s="4">
        <v>2013</v>
      </c>
      <c r="G1182" s="4" t="s">
        <v>43</v>
      </c>
      <c r="H1182" s="4">
        <v>4</v>
      </c>
      <c r="I1182" s="4">
        <v>1</v>
      </c>
      <c r="J1182" s="4">
        <v>2</v>
      </c>
      <c r="K1182" s="4">
        <v>3</v>
      </c>
      <c r="L1182" s="4" t="str">
        <f t="shared" si="29"/>
        <v>NORMAL</v>
      </c>
      <c r="M1182" s="4" t="str">
        <f t="shared" si="30"/>
        <v>LOW</v>
      </c>
      <c r="N1182" s="4" t="str">
        <f t="shared" si="31"/>
        <v>MID</v>
      </c>
      <c r="O1182" s="4" t="str">
        <f t="shared" si="32"/>
        <v>RECENTLY PROMOTED</v>
      </c>
      <c r="P1182" s="5" t="str">
        <f t="shared" si="33"/>
        <v>Medium_Pressure</v>
      </c>
      <c r="Q1182" s="4" t="str">
        <f t="shared" si="34"/>
        <v>DISENGAGED</v>
      </c>
      <c r="R1182" s="4" t="str">
        <f t="shared" si="35"/>
        <v>LOW</v>
      </c>
      <c r="S1182" s="2"/>
      <c r="T1182" s="2"/>
      <c r="U1182" s="2"/>
      <c r="V1182" s="2"/>
      <c r="W1182" s="2"/>
      <c r="X1182" s="2"/>
      <c r="Y1182" s="2"/>
      <c r="Z1182" s="2"/>
    </row>
    <row r="1183" spans="1:26" ht="16.8" x14ac:dyDescent="0.3">
      <c r="A1183" s="4">
        <v>1661</v>
      </c>
      <c r="B1183" s="4" t="s">
        <v>43</v>
      </c>
      <c r="C1183" s="4">
        <v>49</v>
      </c>
      <c r="D1183" s="4" t="s">
        <v>45</v>
      </c>
      <c r="E1183" s="4" t="s">
        <v>54</v>
      </c>
      <c r="F1183" s="4">
        <v>13966</v>
      </c>
      <c r="G1183" s="4" t="s">
        <v>35</v>
      </c>
      <c r="H1183" s="4">
        <v>15</v>
      </c>
      <c r="I1183" s="4">
        <v>2</v>
      </c>
      <c r="J1183" s="4">
        <v>3</v>
      </c>
      <c r="K1183" s="4">
        <v>3</v>
      </c>
      <c r="L1183" s="4" t="str">
        <f t="shared" si="29"/>
        <v>NORMAL</v>
      </c>
      <c r="M1183" s="4" t="str">
        <f t="shared" si="30"/>
        <v>MEDIUM</v>
      </c>
      <c r="N1183" s="4" t="str">
        <f t="shared" si="31"/>
        <v>SENIOR</v>
      </c>
      <c r="O1183" s="4" t="str">
        <f t="shared" si="32"/>
        <v>MODERATE-WAIT</v>
      </c>
      <c r="P1183" s="5" t="str">
        <f t="shared" si="33"/>
        <v>Medium_Pressure</v>
      </c>
      <c r="Q1183" s="4" t="str">
        <f t="shared" si="34"/>
        <v>HIGHLY_ENGAGED</v>
      </c>
      <c r="R1183" s="4" t="str">
        <f t="shared" si="35"/>
        <v>LOW</v>
      </c>
      <c r="S1183" s="2"/>
      <c r="T1183" s="2"/>
      <c r="U1183" s="2"/>
      <c r="V1183" s="2"/>
      <c r="W1183" s="2"/>
      <c r="X1183" s="2"/>
      <c r="Y1183" s="2"/>
      <c r="Z1183" s="2"/>
    </row>
    <row r="1184" spans="1:26" ht="16.8" x14ac:dyDescent="0.3">
      <c r="A1184" s="4">
        <v>1662</v>
      </c>
      <c r="B1184" s="4" t="s">
        <v>43</v>
      </c>
      <c r="C1184" s="4">
        <v>36</v>
      </c>
      <c r="D1184" s="4" t="s">
        <v>45</v>
      </c>
      <c r="E1184" s="4" t="s">
        <v>53</v>
      </c>
      <c r="F1184" s="4">
        <v>4374</v>
      </c>
      <c r="G1184" s="4" t="s">
        <v>43</v>
      </c>
      <c r="H1184" s="4">
        <v>3</v>
      </c>
      <c r="I1184" s="4">
        <v>1</v>
      </c>
      <c r="J1184" s="4">
        <v>3</v>
      </c>
      <c r="K1184" s="4">
        <v>3</v>
      </c>
      <c r="L1184" s="4" t="str">
        <f t="shared" si="29"/>
        <v>NORMAL</v>
      </c>
      <c r="M1184" s="4" t="str">
        <f t="shared" si="30"/>
        <v>HIGH</v>
      </c>
      <c r="N1184" s="4" t="str">
        <f t="shared" si="31"/>
        <v>MID</v>
      </c>
      <c r="O1184" s="4" t="str">
        <f t="shared" si="32"/>
        <v>RECENTLY PROMOTED</v>
      </c>
      <c r="P1184" s="5" t="str">
        <f t="shared" si="33"/>
        <v>Medium_Pressure</v>
      </c>
      <c r="Q1184" s="4" t="str">
        <f t="shared" si="34"/>
        <v>HIGHLY_ENGAGED</v>
      </c>
      <c r="R1184" s="4" t="str">
        <f t="shared" si="35"/>
        <v>LOW</v>
      </c>
      <c r="S1184" s="2"/>
      <c r="T1184" s="2"/>
      <c r="U1184" s="2"/>
      <c r="V1184" s="2"/>
      <c r="W1184" s="2"/>
      <c r="X1184" s="2"/>
      <c r="Y1184" s="2"/>
      <c r="Z1184" s="2"/>
    </row>
    <row r="1185" spans="1:26" ht="16.8" x14ac:dyDescent="0.3">
      <c r="A1185" s="4">
        <v>1664</v>
      </c>
      <c r="B1185" s="4" t="s">
        <v>43</v>
      </c>
      <c r="C1185" s="4">
        <v>36</v>
      </c>
      <c r="D1185" s="4" t="s">
        <v>45</v>
      </c>
      <c r="E1185" s="4" t="s">
        <v>54</v>
      </c>
      <c r="F1185" s="4">
        <v>6842</v>
      </c>
      <c r="G1185" s="4" t="s">
        <v>43</v>
      </c>
      <c r="H1185" s="4">
        <v>5</v>
      </c>
      <c r="I1185" s="4">
        <v>0</v>
      </c>
      <c r="J1185" s="4">
        <v>1</v>
      </c>
      <c r="K1185" s="4">
        <v>3</v>
      </c>
      <c r="L1185" s="4" t="str">
        <f t="shared" si="29"/>
        <v>NORMAL</v>
      </c>
      <c r="M1185" s="4" t="str">
        <f t="shared" si="30"/>
        <v>HIGH</v>
      </c>
      <c r="N1185" s="4" t="str">
        <f t="shared" si="31"/>
        <v>MID</v>
      </c>
      <c r="O1185" s="4" t="str">
        <f t="shared" si="32"/>
        <v>RECENTLY PROMOTED</v>
      </c>
      <c r="P1185" s="5" t="str">
        <f t="shared" si="33"/>
        <v>Medium_Pressure</v>
      </c>
      <c r="Q1185" s="4" t="str">
        <f t="shared" si="34"/>
        <v>DISENGAGED</v>
      </c>
      <c r="R1185" s="4" t="str">
        <f t="shared" si="35"/>
        <v>LOW</v>
      </c>
      <c r="S1185" s="2"/>
      <c r="T1185" s="2"/>
      <c r="U1185" s="2"/>
      <c r="V1185" s="2"/>
      <c r="W1185" s="2"/>
      <c r="X1185" s="2"/>
      <c r="Y1185" s="2"/>
      <c r="Z1185" s="2"/>
    </row>
    <row r="1186" spans="1:26" ht="16.8" x14ac:dyDescent="0.3">
      <c r="A1186" s="4">
        <v>1665</v>
      </c>
      <c r="B1186" s="4" t="s">
        <v>43</v>
      </c>
      <c r="C1186" s="4">
        <v>54</v>
      </c>
      <c r="D1186" s="4" t="s">
        <v>45</v>
      </c>
      <c r="E1186" s="4" t="s">
        <v>56</v>
      </c>
      <c r="F1186" s="4">
        <v>17426</v>
      </c>
      <c r="G1186" s="4" t="s">
        <v>43</v>
      </c>
      <c r="H1186" s="4">
        <v>10</v>
      </c>
      <c r="I1186" s="4">
        <v>4</v>
      </c>
      <c r="J1186" s="4">
        <v>3</v>
      </c>
      <c r="K1186" s="4">
        <v>3</v>
      </c>
      <c r="L1186" s="4" t="str">
        <f t="shared" si="29"/>
        <v>NORMAL</v>
      </c>
      <c r="M1186" s="4" t="str">
        <f t="shared" si="30"/>
        <v>MEDIUM</v>
      </c>
      <c r="N1186" s="4" t="str">
        <f t="shared" si="31"/>
        <v>SENIOR</v>
      </c>
      <c r="O1186" s="4" t="str">
        <f t="shared" si="32"/>
        <v>STAGNANT</v>
      </c>
      <c r="P1186" s="5" t="str">
        <f t="shared" si="33"/>
        <v>Medium_Pressure</v>
      </c>
      <c r="Q1186" s="4" t="str">
        <f t="shared" si="34"/>
        <v>HIGHLY_ENGAGED</v>
      </c>
      <c r="R1186" s="4" t="str">
        <f t="shared" si="35"/>
        <v>LOW</v>
      </c>
      <c r="S1186" s="2"/>
      <c r="T1186" s="2"/>
      <c r="U1186" s="2"/>
      <c r="V1186" s="2"/>
      <c r="W1186" s="2"/>
      <c r="X1186" s="2"/>
      <c r="Y1186" s="2"/>
      <c r="Z1186" s="2"/>
    </row>
    <row r="1187" spans="1:26" ht="16.8" x14ac:dyDescent="0.3">
      <c r="A1187" s="4">
        <v>1666</v>
      </c>
      <c r="B1187" s="4" t="s">
        <v>43</v>
      </c>
      <c r="C1187" s="4">
        <v>43</v>
      </c>
      <c r="D1187" s="4" t="s">
        <v>45</v>
      </c>
      <c r="E1187" s="4" t="s">
        <v>58</v>
      </c>
      <c r="F1187" s="4">
        <v>17603</v>
      </c>
      <c r="G1187" s="4" t="s">
        <v>43</v>
      </c>
      <c r="H1187" s="4">
        <v>14</v>
      </c>
      <c r="I1187" s="4">
        <v>6</v>
      </c>
      <c r="J1187" s="4">
        <v>3</v>
      </c>
      <c r="K1187" s="4">
        <v>3</v>
      </c>
      <c r="L1187" s="4" t="str">
        <f t="shared" si="29"/>
        <v>NORMAL</v>
      </c>
      <c r="M1187" s="4" t="str">
        <f t="shared" si="30"/>
        <v>MEDIUM</v>
      </c>
      <c r="N1187" s="4" t="str">
        <f t="shared" si="31"/>
        <v>SENIOR</v>
      </c>
      <c r="O1187" s="4" t="str">
        <f t="shared" si="32"/>
        <v>STAGNANT</v>
      </c>
      <c r="P1187" s="5" t="str">
        <f t="shared" si="33"/>
        <v>Medium_Pressure</v>
      </c>
      <c r="Q1187" s="4" t="str">
        <f t="shared" si="34"/>
        <v>HIGHLY_ENGAGED</v>
      </c>
      <c r="R1187" s="4" t="str">
        <f t="shared" si="35"/>
        <v>LOW</v>
      </c>
      <c r="S1187" s="2"/>
      <c r="T1187" s="2"/>
      <c r="U1187" s="2"/>
      <c r="V1187" s="2"/>
      <c r="W1187" s="2"/>
      <c r="X1187" s="2"/>
      <c r="Y1187" s="2"/>
      <c r="Z1187" s="2"/>
    </row>
    <row r="1188" spans="1:26" ht="16.8" x14ac:dyDescent="0.3">
      <c r="A1188" s="4">
        <v>1667</v>
      </c>
      <c r="B1188" s="4" t="s">
        <v>35</v>
      </c>
      <c r="C1188" s="4">
        <v>35</v>
      </c>
      <c r="D1188" s="4" t="s">
        <v>37</v>
      </c>
      <c r="E1188" s="4" t="s">
        <v>40</v>
      </c>
      <c r="F1188" s="4">
        <v>4581</v>
      </c>
      <c r="G1188" s="4" t="s">
        <v>35</v>
      </c>
      <c r="H1188" s="4">
        <v>11</v>
      </c>
      <c r="I1188" s="4">
        <v>6</v>
      </c>
      <c r="J1188" s="4">
        <v>4</v>
      </c>
      <c r="K1188" s="4">
        <v>4</v>
      </c>
      <c r="L1188" s="4" t="str">
        <f t="shared" si="29"/>
        <v>NORMAL</v>
      </c>
      <c r="M1188" s="4" t="str">
        <f t="shared" si="30"/>
        <v>HIGH</v>
      </c>
      <c r="N1188" s="4" t="str">
        <f t="shared" si="31"/>
        <v>SENIOR</v>
      </c>
      <c r="O1188" s="4" t="str">
        <f t="shared" si="32"/>
        <v>STAGNANT</v>
      </c>
      <c r="P1188" s="5" t="str">
        <f t="shared" si="33"/>
        <v>Medium_Pressure</v>
      </c>
      <c r="Q1188" s="4" t="str">
        <f t="shared" si="34"/>
        <v>HIGHLY_ENGAGED</v>
      </c>
      <c r="R1188" s="4" t="str">
        <f t="shared" si="35"/>
        <v>LOW</v>
      </c>
      <c r="S1188" s="2"/>
      <c r="T1188" s="2"/>
      <c r="U1188" s="2"/>
      <c r="V1188" s="2"/>
      <c r="W1188" s="2"/>
      <c r="X1188" s="2"/>
      <c r="Y1188" s="2"/>
      <c r="Z1188" s="2"/>
    </row>
    <row r="1189" spans="1:26" ht="16.8" x14ac:dyDescent="0.3">
      <c r="A1189" s="4">
        <v>1668</v>
      </c>
      <c r="B1189" s="4" t="s">
        <v>43</v>
      </c>
      <c r="C1189" s="4">
        <v>38</v>
      </c>
      <c r="D1189" s="4" t="s">
        <v>45</v>
      </c>
      <c r="E1189" s="4" t="s">
        <v>47</v>
      </c>
      <c r="F1189" s="4">
        <v>4735</v>
      </c>
      <c r="G1189" s="4" t="s">
        <v>43</v>
      </c>
      <c r="H1189" s="4">
        <v>13</v>
      </c>
      <c r="I1189" s="4">
        <v>2</v>
      </c>
      <c r="J1189" s="4">
        <v>4</v>
      </c>
      <c r="K1189" s="4">
        <v>4</v>
      </c>
      <c r="L1189" s="4" t="str">
        <f t="shared" si="29"/>
        <v>NORMAL</v>
      </c>
      <c r="M1189" s="4" t="str">
        <f t="shared" si="30"/>
        <v>HIGH</v>
      </c>
      <c r="N1189" s="4" t="str">
        <f t="shared" si="31"/>
        <v>SENIOR</v>
      </c>
      <c r="O1189" s="4" t="str">
        <f t="shared" si="32"/>
        <v>MODERATE-WAIT</v>
      </c>
      <c r="P1189" s="5" t="str">
        <f t="shared" si="33"/>
        <v>Low_Pressure</v>
      </c>
      <c r="Q1189" s="4" t="str">
        <f t="shared" si="34"/>
        <v>HIGHLY_ENGAGED</v>
      </c>
      <c r="R1189" s="4" t="str">
        <f t="shared" si="35"/>
        <v>LOW</v>
      </c>
      <c r="S1189" s="2"/>
      <c r="T1189" s="2"/>
      <c r="U1189" s="2"/>
      <c r="V1189" s="2"/>
      <c r="W1189" s="2"/>
      <c r="X1189" s="2"/>
      <c r="Y1189" s="2"/>
      <c r="Z1189" s="2"/>
    </row>
    <row r="1190" spans="1:26" ht="16.8" x14ac:dyDescent="0.3">
      <c r="A1190" s="4">
        <v>1669</v>
      </c>
      <c r="B1190" s="4" t="s">
        <v>43</v>
      </c>
      <c r="C1190" s="4">
        <v>29</v>
      </c>
      <c r="D1190" s="4" t="s">
        <v>37</v>
      </c>
      <c r="E1190" s="4" t="s">
        <v>40</v>
      </c>
      <c r="F1190" s="4">
        <v>4187</v>
      </c>
      <c r="G1190" s="4" t="s">
        <v>35</v>
      </c>
      <c r="H1190" s="4">
        <v>10</v>
      </c>
      <c r="I1190" s="4">
        <v>0</v>
      </c>
      <c r="J1190" s="4">
        <v>2</v>
      </c>
      <c r="K1190" s="4">
        <v>2</v>
      </c>
      <c r="L1190" s="4" t="str">
        <f t="shared" si="29"/>
        <v>NORMAL</v>
      </c>
      <c r="M1190" s="4" t="str">
        <f t="shared" si="30"/>
        <v>HIGH</v>
      </c>
      <c r="N1190" s="4" t="str">
        <f t="shared" si="31"/>
        <v>SENIOR</v>
      </c>
      <c r="O1190" s="4" t="str">
        <f t="shared" si="32"/>
        <v>RECENTLY PROMOTED</v>
      </c>
      <c r="P1190" s="5" t="str">
        <f t="shared" si="33"/>
        <v>High_Pressure</v>
      </c>
      <c r="Q1190" s="4" t="str">
        <f t="shared" si="34"/>
        <v>DISENGAGED</v>
      </c>
      <c r="R1190" s="4" t="str">
        <f t="shared" si="35"/>
        <v>LOW</v>
      </c>
      <c r="S1190" s="2"/>
      <c r="T1190" s="2"/>
      <c r="U1190" s="2"/>
      <c r="V1190" s="2"/>
      <c r="W1190" s="2"/>
      <c r="X1190" s="2"/>
      <c r="Y1190" s="2"/>
      <c r="Z1190" s="2"/>
    </row>
    <row r="1191" spans="1:26" ht="16.8" x14ac:dyDescent="0.3">
      <c r="A1191" s="4">
        <v>1670</v>
      </c>
      <c r="B1191" s="4" t="s">
        <v>43</v>
      </c>
      <c r="C1191" s="4">
        <v>33</v>
      </c>
      <c r="D1191" s="4" t="s">
        <v>37</v>
      </c>
      <c r="E1191" s="4" t="s">
        <v>40</v>
      </c>
      <c r="F1191" s="4">
        <v>5505</v>
      </c>
      <c r="G1191" s="4" t="s">
        <v>43</v>
      </c>
      <c r="H1191" s="4">
        <v>6</v>
      </c>
      <c r="I1191" s="4">
        <v>0</v>
      </c>
      <c r="J1191" s="4">
        <v>4</v>
      </c>
      <c r="K1191" s="4">
        <v>3</v>
      </c>
      <c r="L1191" s="4" t="str">
        <f t="shared" si="29"/>
        <v>NORMAL</v>
      </c>
      <c r="M1191" s="4" t="str">
        <f t="shared" si="30"/>
        <v>HIGH</v>
      </c>
      <c r="N1191" s="4" t="str">
        <f t="shared" si="31"/>
        <v>MID</v>
      </c>
      <c r="O1191" s="4" t="str">
        <f t="shared" si="32"/>
        <v>RECENTLY PROMOTED</v>
      </c>
      <c r="P1191" s="5" t="str">
        <f t="shared" si="33"/>
        <v>Medium_Pressure</v>
      </c>
      <c r="Q1191" s="4" t="str">
        <f t="shared" si="34"/>
        <v>HIGHLY_ENGAGED</v>
      </c>
      <c r="R1191" s="4" t="str">
        <f t="shared" si="35"/>
        <v>LOW</v>
      </c>
      <c r="S1191" s="2"/>
      <c r="T1191" s="2"/>
      <c r="U1191" s="2"/>
      <c r="V1191" s="2"/>
      <c r="W1191" s="2"/>
      <c r="X1191" s="2"/>
      <c r="Y1191" s="2"/>
      <c r="Z1191" s="2"/>
    </row>
    <row r="1192" spans="1:26" ht="16.8" x14ac:dyDescent="0.3">
      <c r="A1192" s="4">
        <v>1671</v>
      </c>
      <c r="B1192" s="4" t="s">
        <v>43</v>
      </c>
      <c r="C1192" s="4">
        <v>32</v>
      </c>
      <c r="D1192" s="4" t="s">
        <v>45</v>
      </c>
      <c r="E1192" s="4" t="s">
        <v>47</v>
      </c>
      <c r="F1192" s="4">
        <v>5470</v>
      </c>
      <c r="G1192" s="4" t="s">
        <v>43</v>
      </c>
      <c r="H1192" s="4">
        <v>9</v>
      </c>
      <c r="I1192" s="4">
        <v>1</v>
      </c>
      <c r="J1192" s="4">
        <v>2</v>
      </c>
      <c r="K1192" s="4">
        <v>2</v>
      </c>
      <c r="L1192" s="4" t="str">
        <f t="shared" si="29"/>
        <v>NORMAL</v>
      </c>
      <c r="M1192" s="4" t="str">
        <f t="shared" si="30"/>
        <v>HIGH</v>
      </c>
      <c r="N1192" s="4" t="str">
        <f t="shared" si="31"/>
        <v>SENIOR</v>
      </c>
      <c r="O1192" s="4" t="str">
        <f t="shared" si="32"/>
        <v>RECENTLY PROMOTED</v>
      </c>
      <c r="P1192" s="5" t="str">
        <f t="shared" si="33"/>
        <v>Low_Pressure</v>
      </c>
      <c r="Q1192" s="4" t="str">
        <f t="shared" si="34"/>
        <v>DISENGAGED</v>
      </c>
      <c r="R1192" s="4" t="str">
        <f t="shared" si="35"/>
        <v>LOW</v>
      </c>
      <c r="S1192" s="2"/>
      <c r="T1192" s="2"/>
      <c r="U1192" s="2"/>
      <c r="V1192" s="2"/>
      <c r="W1192" s="2"/>
      <c r="X1192" s="2"/>
      <c r="Y1192" s="2"/>
      <c r="Z1192" s="2"/>
    </row>
    <row r="1193" spans="1:26" ht="16.8" x14ac:dyDescent="0.3">
      <c r="A1193" s="4">
        <v>1673</v>
      </c>
      <c r="B1193" s="4" t="s">
        <v>43</v>
      </c>
      <c r="C1193" s="4">
        <v>31</v>
      </c>
      <c r="D1193" s="4" t="s">
        <v>37</v>
      </c>
      <c r="E1193" s="4" t="s">
        <v>40</v>
      </c>
      <c r="F1193" s="4">
        <v>5476</v>
      </c>
      <c r="G1193" s="4" t="s">
        <v>43</v>
      </c>
      <c r="H1193" s="4">
        <v>10</v>
      </c>
      <c r="I1193" s="4">
        <v>0</v>
      </c>
      <c r="J1193" s="4">
        <v>4</v>
      </c>
      <c r="K1193" s="4">
        <v>3</v>
      </c>
      <c r="L1193" s="4" t="str">
        <f t="shared" si="29"/>
        <v>NORMAL</v>
      </c>
      <c r="M1193" s="4" t="str">
        <f t="shared" si="30"/>
        <v>HIGH</v>
      </c>
      <c r="N1193" s="4" t="str">
        <f t="shared" si="31"/>
        <v>SENIOR</v>
      </c>
      <c r="O1193" s="4" t="str">
        <f t="shared" si="32"/>
        <v>RECENTLY PROMOTED</v>
      </c>
      <c r="P1193" s="5" t="str">
        <f t="shared" si="33"/>
        <v>Medium_Pressure</v>
      </c>
      <c r="Q1193" s="4" t="str">
        <f t="shared" si="34"/>
        <v>HIGHLY_ENGAGED</v>
      </c>
      <c r="R1193" s="4" t="str">
        <f t="shared" si="35"/>
        <v>LOW</v>
      </c>
      <c r="S1193" s="2"/>
      <c r="T1193" s="2"/>
      <c r="U1193" s="2"/>
      <c r="V1193" s="2"/>
      <c r="W1193" s="2"/>
      <c r="X1193" s="2"/>
      <c r="Y1193" s="2"/>
      <c r="Z1193" s="2"/>
    </row>
    <row r="1194" spans="1:26" ht="16.8" x14ac:dyDescent="0.3">
      <c r="A1194" s="4">
        <v>1674</v>
      </c>
      <c r="B1194" s="4" t="s">
        <v>43</v>
      </c>
      <c r="C1194" s="4">
        <v>49</v>
      </c>
      <c r="D1194" s="4" t="s">
        <v>45</v>
      </c>
      <c r="E1194" s="4" t="s">
        <v>50</v>
      </c>
      <c r="F1194" s="4">
        <v>2587</v>
      </c>
      <c r="G1194" s="4" t="s">
        <v>35</v>
      </c>
      <c r="H1194" s="4">
        <v>2</v>
      </c>
      <c r="I1194" s="4">
        <v>2</v>
      </c>
      <c r="J1194" s="4">
        <v>1</v>
      </c>
      <c r="K1194" s="4">
        <v>2</v>
      </c>
      <c r="L1194" s="4" t="str">
        <f t="shared" si="29"/>
        <v>NORMAL</v>
      </c>
      <c r="M1194" s="4" t="str">
        <f t="shared" si="30"/>
        <v>LOW</v>
      </c>
      <c r="N1194" s="4" t="str">
        <f t="shared" si="31"/>
        <v>NEW</v>
      </c>
      <c r="O1194" s="4" t="str">
        <f t="shared" si="32"/>
        <v>MODERATE-WAIT</v>
      </c>
      <c r="P1194" s="5" t="str">
        <f t="shared" si="33"/>
        <v>High_Pressure</v>
      </c>
      <c r="Q1194" s="4" t="str">
        <f t="shared" si="34"/>
        <v>DISENGAGED</v>
      </c>
      <c r="R1194" s="4" t="str">
        <f t="shared" si="35"/>
        <v>LOW</v>
      </c>
      <c r="S1194" s="2"/>
      <c r="T1194" s="2"/>
      <c r="U1194" s="2"/>
      <c r="V1194" s="2"/>
      <c r="W1194" s="2"/>
      <c r="X1194" s="2"/>
      <c r="Y1194" s="2"/>
      <c r="Z1194" s="2"/>
    </row>
    <row r="1195" spans="1:26" ht="16.8" x14ac:dyDescent="0.3">
      <c r="A1195" s="4">
        <v>1675</v>
      </c>
      <c r="B1195" s="4" t="s">
        <v>43</v>
      </c>
      <c r="C1195" s="4">
        <v>38</v>
      </c>
      <c r="D1195" s="4" t="s">
        <v>45</v>
      </c>
      <c r="E1195" s="4" t="s">
        <v>50</v>
      </c>
      <c r="F1195" s="4">
        <v>2440</v>
      </c>
      <c r="G1195" s="4" t="s">
        <v>43</v>
      </c>
      <c r="H1195" s="4">
        <v>4</v>
      </c>
      <c r="I1195" s="4">
        <v>3</v>
      </c>
      <c r="J1195" s="4">
        <v>2</v>
      </c>
      <c r="K1195" s="4">
        <v>3</v>
      </c>
      <c r="L1195" s="4" t="str">
        <f t="shared" si="29"/>
        <v>NORMAL</v>
      </c>
      <c r="M1195" s="4" t="str">
        <f t="shared" si="30"/>
        <v>LOW</v>
      </c>
      <c r="N1195" s="4" t="str">
        <f t="shared" si="31"/>
        <v>MID</v>
      </c>
      <c r="O1195" s="4" t="str">
        <f t="shared" si="32"/>
        <v>MODERATE-WAIT</v>
      </c>
      <c r="P1195" s="5" t="str">
        <f t="shared" si="33"/>
        <v>Medium_Pressure</v>
      </c>
      <c r="Q1195" s="4" t="str">
        <f t="shared" si="34"/>
        <v>DISENGAGED</v>
      </c>
      <c r="R1195" s="4" t="str">
        <f t="shared" si="35"/>
        <v>LOW</v>
      </c>
      <c r="S1195" s="2"/>
      <c r="T1195" s="2"/>
      <c r="U1195" s="2"/>
      <c r="V1195" s="2"/>
      <c r="W1195" s="2"/>
      <c r="X1195" s="2"/>
      <c r="Y1195" s="2"/>
      <c r="Z1195" s="2"/>
    </row>
    <row r="1196" spans="1:26" ht="16.8" x14ac:dyDescent="0.3">
      <c r="A1196" s="4">
        <v>1676</v>
      </c>
      <c r="B1196" s="4" t="s">
        <v>43</v>
      </c>
      <c r="C1196" s="4">
        <v>47</v>
      </c>
      <c r="D1196" s="4" t="s">
        <v>37</v>
      </c>
      <c r="E1196" s="4" t="s">
        <v>56</v>
      </c>
      <c r="F1196" s="4">
        <v>15972</v>
      </c>
      <c r="G1196" s="4" t="s">
        <v>43</v>
      </c>
      <c r="H1196" s="4">
        <v>3</v>
      </c>
      <c r="I1196" s="4">
        <v>1</v>
      </c>
      <c r="J1196" s="4">
        <v>2</v>
      </c>
      <c r="K1196" s="4">
        <v>3</v>
      </c>
      <c r="L1196" s="4" t="str">
        <f t="shared" si="29"/>
        <v>NORMAL</v>
      </c>
      <c r="M1196" s="4" t="str">
        <f t="shared" si="30"/>
        <v>MEDIUM</v>
      </c>
      <c r="N1196" s="4" t="str">
        <f t="shared" si="31"/>
        <v>MID</v>
      </c>
      <c r="O1196" s="4" t="str">
        <f t="shared" si="32"/>
        <v>RECENTLY PROMOTED</v>
      </c>
      <c r="P1196" s="5" t="str">
        <f t="shared" si="33"/>
        <v>Medium_Pressure</v>
      </c>
      <c r="Q1196" s="4" t="str">
        <f t="shared" si="34"/>
        <v>DISENGAGED</v>
      </c>
      <c r="R1196" s="4" t="str">
        <f t="shared" si="35"/>
        <v>LOW</v>
      </c>
      <c r="S1196" s="2"/>
      <c r="T1196" s="2"/>
      <c r="U1196" s="2"/>
      <c r="V1196" s="2"/>
      <c r="W1196" s="2"/>
      <c r="X1196" s="2"/>
      <c r="Y1196" s="2"/>
      <c r="Z1196" s="2"/>
    </row>
    <row r="1197" spans="1:26" ht="16.8" x14ac:dyDescent="0.3">
      <c r="A1197" s="4">
        <v>1677</v>
      </c>
      <c r="B1197" s="4" t="s">
        <v>43</v>
      </c>
      <c r="C1197" s="4">
        <v>49</v>
      </c>
      <c r="D1197" s="4" t="s">
        <v>45</v>
      </c>
      <c r="E1197" s="4" t="s">
        <v>56</v>
      </c>
      <c r="F1197" s="4">
        <v>15379</v>
      </c>
      <c r="G1197" s="4" t="s">
        <v>43</v>
      </c>
      <c r="H1197" s="4">
        <v>8</v>
      </c>
      <c r="I1197" s="4">
        <v>0</v>
      </c>
      <c r="J1197" s="4">
        <v>3</v>
      </c>
      <c r="K1197" s="4">
        <v>3</v>
      </c>
      <c r="L1197" s="4" t="str">
        <f t="shared" si="29"/>
        <v>NORMAL</v>
      </c>
      <c r="M1197" s="4" t="str">
        <f t="shared" si="30"/>
        <v>MEDIUM</v>
      </c>
      <c r="N1197" s="4" t="str">
        <f t="shared" si="31"/>
        <v>SENIOR</v>
      </c>
      <c r="O1197" s="4" t="str">
        <f t="shared" si="32"/>
        <v>RECENTLY PROMOTED</v>
      </c>
      <c r="P1197" s="5" t="str">
        <f t="shared" si="33"/>
        <v>Medium_Pressure</v>
      </c>
      <c r="Q1197" s="4" t="str">
        <f t="shared" si="34"/>
        <v>HIGHLY_ENGAGED</v>
      </c>
      <c r="R1197" s="4" t="str">
        <f t="shared" si="35"/>
        <v>LOW</v>
      </c>
      <c r="S1197" s="2"/>
      <c r="T1197" s="2"/>
      <c r="U1197" s="2"/>
      <c r="V1197" s="2"/>
      <c r="W1197" s="2"/>
      <c r="X1197" s="2"/>
      <c r="Y1197" s="2"/>
      <c r="Z1197" s="2"/>
    </row>
    <row r="1198" spans="1:26" ht="16.8" x14ac:dyDescent="0.3">
      <c r="A1198" s="4">
        <v>1678</v>
      </c>
      <c r="B1198" s="4" t="s">
        <v>43</v>
      </c>
      <c r="C1198" s="4">
        <v>41</v>
      </c>
      <c r="D1198" s="4" t="s">
        <v>37</v>
      </c>
      <c r="E1198" s="4" t="s">
        <v>40</v>
      </c>
      <c r="F1198" s="4">
        <v>7082</v>
      </c>
      <c r="G1198" s="4" t="s">
        <v>35</v>
      </c>
      <c r="H1198" s="4">
        <v>2</v>
      </c>
      <c r="I1198" s="4">
        <v>0</v>
      </c>
      <c r="J1198" s="4">
        <v>3</v>
      </c>
      <c r="K1198" s="4">
        <v>3</v>
      </c>
      <c r="L1198" s="4" t="str">
        <f t="shared" si="29"/>
        <v>NORMAL</v>
      </c>
      <c r="M1198" s="4" t="str">
        <f t="shared" si="30"/>
        <v>HIGH</v>
      </c>
      <c r="N1198" s="4" t="str">
        <f t="shared" si="31"/>
        <v>NEW</v>
      </c>
      <c r="O1198" s="4" t="str">
        <f t="shared" si="32"/>
        <v>RECENTLY PROMOTED</v>
      </c>
      <c r="P1198" s="5" t="str">
        <f t="shared" si="33"/>
        <v>Medium_Pressure</v>
      </c>
      <c r="Q1198" s="4" t="str">
        <f t="shared" si="34"/>
        <v>HIGHLY_ENGAGED</v>
      </c>
      <c r="R1198" s="4" t="str">
        <f t="shared" si="35"/>
        <v>LOW</v>
      </c>
      <c r="S1198" s="2"/>
      <c r="T1198" s="2"/>
      <c r="U1198" s="2"/>
      <c r="V1198" s="2"/>
      <c r="W1198" s="2"/>
      <c r="X1198" s="2"/>
      <c r="Y1198" s="2"/>
      <c r="Z1198" s="2"/>
    </row>
    <row r="1199" spans="1:26" ht="16.8" x14ac:dyDescent="0.3">
      <c r="A1199" s="4">
        <v>1680</v>
      </c>
      <c r="B1199" s="4" t="s">
        <v>43</v>
      </c>
      <c r="C1199" s="4">
        <v>20</v>
      </c>
      <c r="D1199" s="4" t="s">
        <v>37</v>
      </c>
      <c r="E1199" s="4" t="s">
        <v>57</v>
      </c>
      <c r="F1199" s="4">
        <v>2728</v>
      </c>
      <c r="G1199" s="4" t="s">
        <v>43</v>
      </c>
      <c r="H1199" s="4">
        <v>2</v>
      </c>
      <c r="I1199" s="4">
        <v>0</v>
      </c>
      <c r="J1199" s="4">
        <v>1</v>
      </c>
      <c r="K1199" s="4">
        <v>3</v>
      </c>
      <c r="L1199" s="4" t="str">
        <f t="shared" si="29"/>
        <v>NORMAL</v>
      </c>
      <c r="M1199" s="4" t="str">
        <f t="shared" si="30"/>
        <v>LOW</v>
      </c>
      <c r="N1199" s="4" t="str">
        <f t="shared" si="31"/>
        <v>NEW</v>
      </c>
      <c r="O1199" s="4" t="str">
        <f t="shared" si="32"/>
        <v>RECENTLY PROMOTED</v>
      </c>
      <c r="P1199" s="5" t="str">
        <f t="shared" si="33"/>
        <v>Medium_Pressure</v>
      </c>
      <c r="Q1199" s="4" t="str">
        <f t="shared" si="34"/>
        <v>DISENGAGED</v>
      </c>
      <c r="R1199" s="4" t="str">
        <f t="shared" si="35"/>
        <v>LOW</v>
      </c>
      <c r="S1199" s="2"/>
      <c r="T1199" s="2"/>
      <c r="U1199" s="2"/>
      <c r="V1199" s="2"/>
      <c r="W1199" s="2"/>
      <c r="X1199" s="2"/>
      <c r="Y1199" s="2"/>
      <c r="Z1199" s="2"/>
    </row>
    <row r="1200" spans="1:26" ht="16.8" x14ac:dyDescent="0.3">
      <c r="A1200" s="4">
        <v>1681</v>
      </c>
      <c r="B1200" s="4" t="s">
        <v>43</v>
      </c>
      <c r="C1200" s="4">
        <v>33</v>
      </c>
      <c r="D1200" s="4" t="s">
        <v>37</v>
      </c>
      <c r="E1200" s="4" t="s">
        <v>40</v>
      </c>
      <c r="F1200" s="4">
        <v>5368</v>
      </c>
      <c r="G1200" s="4" t="s">
        <v>35</v>
      </c>
      <c r="H1200" s="4">
        <v>6</v>
      </c>
      <c r="I1200" s="4">
        <v>1</v>
      </c>
      <c r="J1200" s="4">
        <v>4</v>
      </c>
      <c r="K1200" s="4">
        <v>3</v>
      </c>
      <c r="L1200" s="4" t="str">
        <f t="shared" si="29"/>
        <v>NORMAL</v>
      </c>
      <c r="M1200" s="4" t="str">
        <f t="shared" si="30"/>
        <v>HIGH</v>
      </c>
      <c r="N1200" s="4" t="str">
        <f t="shared" si="31"/>
        <v>MID</v>
      </c>
      <c r="O1200" s="4" t="str">
        <f t="shared" si="32"/>
        <v>RECENTLY PROMOTED</v>
      </c>
      <c r="P1200" s="5" t="str">
        <f t="shared" si="33"/>
        <v>Medium_Pressure</v>
      </c>
      <c r="Q1200" s="4" t="str">
        <f t="shared" si="34"/>
        <v>HIGHLY_ENGAGED</v>
      </c>
      <c r="R1200" s="4" t="str">
        <f t="shared" si="35"/>
        <v>LOW</v>
      </c>
      <c r="S1200" s="2"/>
      <c r="T1200" s="2"/>
      <c r="U1200" s="2"/>
      <c r="V1200" s="2"/>
      <c r="W1200" s="2"/>
      <c r="X1200" s="2"/>
      <c r="Y1200" s="2"/>
      <c r="Z1200" s="2"/>
    </row>
    <row r="1201" spans="1:26" ht="16.8" x14ac:dyDescent="0.3">
      <c r="A1201" s="4">
        <v>1682</v>
      </c>
      <c r="B1201" s="4" t="s">
        <v>43</v>
      </c>
      <c r="C1201" s="4">
        <v>36</v>
      </c>
      <c r="D1201" s="4" t="s">
        <v>45</v>
      </c>
      <c r="E1201" s="4" t="s">
        <v>54</v>
      </c>
      <c r="F1201" s="4">
        <v>5347</v>
      </c>
      <c r="G1201" s="4" t="s">
        <v>43</v>
      </c>
      <c r="H1201" s="4">
        <v>3</v>
      </c>
      <c r="I1201" s="4">
        <v>0</v>
      </c>
      <c r="J1201" s="4">
        <v>3</v>
      </c>
      <c r="K1201" s="4">
        <v>2</v>
      </c>
      <c r="L1201" s="4" t="str">
        <f t="shared" si="29"/>
        <v>NORMAL</v>
      </c>
      <c r="M1201" s="4" t="str">
        <f t="shared" si="30"/>
        <v>HIGH</v>
      </c>
      <c r="N1201" s="4" t="str">
        <f t="shared" si="31"/>
        <v>MID</v>
      </c>
      <c r="O1201" s="4" t="str">
        <f t="shared" si="32"/>
        <v>RECENTLY PROMOTED</v>
      </c>
      <c r="P1201" s="5" t="str">
        <f t="shared" si="33"/>
        <v>Low_Pressure</v>
      </c>
      <c r="Q1201" s="4" t="str">
        <f t="shared" si="34"/>
        <v>DISENGAGED</v>
      </c>
      <c r="R1201" s="4" t="str">
        <f t="shared" si="35"/>
        <v>LOW</v>
      </c>
      <c r="S1201" s="2"/>
      <c r="T1201" s="2"/>
      <c r="U1201" s="2"/>
      <c r="V1201" s="2"/>
      <c r="W1201" s="2"/>
      <c r="X1201" s="2"/>
      <c r="Y1201" s="2"/>
      <c r="Z1201" s="2"/>
    </row>
    <row r="1202" spans="1:26" ht="16.8" x14ac:dyDescent="0.3">
      <c r="A1202" s="4">
        <v>1683</v>
      </c>
      <c r="B1202" s="4" t="s">
        <v>43</v>
      </c>
      <c r="C1202" s="4">
        <v>44</v>
      </c>
      <c r="D1202" s="4" t="s">
        <v>61</v>
      </c>
      <c r="E1202" s="4" t="s">
        <v>61</v>
      </c>
      <c r="F1202" s="4">
        <v>3195</v>
      </c>
      <c r="G1202" s="4" t="s">
        <v>35</v>
      </c>
      <c r="H1202" s="4">
        <v>2</v>
      </c>
      <c r="I1202" s="4">
        <v>2</v>
      </c>
      <c r="J1202" s="4">
        <v>4</v>
      </c>
      <c r="K1202" s="4">
        <v>3</v>
      </c>
      <c r="L1202" s="4" t="str">
        <f t="shared" si="29"/>
        <v>NORMAL</v>
      </c>
      <c r="M1202" s="4" t="str">
        <f t="shared" si="30"/>
        <v>LOW</v>
      </c>
      <c r="N1202" s="4" t="str">
        <f t="shared" si="31"/>
        <v>NEW</v>
      </c>
      <c r="O1202" s="4" t="str">
        <f t="shared" si="32"/>
        <v>MODERATE-WAIT</v>
      </c>
      <c r="P1202" s="5" t="str">
        <f t="shared" si="33"/>
        <v>Medium_Pressure</v>
      </c>
      <c r="Q1202" s="4" t="str">
        <f t="shared" si="34"/>
        <v>HIGHLY_ENGAGED</v>
      </c>
      <c r="R1202" s="4" t="str">
        <f t="shared" si="35"/>
        <v>LOW</v>
      </c>
      <c r="S1202" s="2"/>
      <c r="T1202" s="2"/>
      <c r="U1202" s="2"/>
      <c r="V1202" s="2"/>
      <c r="W1202" s="2"/>
      <c r="X1202" s="2"/>
      <c r="Y1202" s="2"/>
      <c r="Z1202" s="2"/>
    </row>
    <row r="1203" spans="1:26" ht="16.8" x14ac:dyDescent="0.3">
      <c r="A1203" s="4">
        <v>1684</v>
      </c>
      <c r="B1203" s="4" t="s">
        <v>35</v>
      </c>
      <c r="C1203" s="4">
        <v>23</v>
      </c>
      <c r="D1203" s="4" t="s">
        <v>45</v>
      </c>
      <c r="E1203" s="4" t="s">
        <v>50</v>
      </c>
      <c r="F1203" s="4">
        <v>3989</v>
      </c>
      <c r="G1203" s="4" t="s">
        <v>35</v>
      </c>
      <c r="H1203" s="4">
        <v>5</v>
      </c>
      <c r="I1203" s="4">
        <v>1</v>
      </c>
      <c r="J1203" s="4">
        <v>3</v>
      </c>
      <c r="K1203" s="4">
        <v>3</v>
      </c>
      <c r="L1203" s="4" t="str">
        <f t="shared" si="29"/>
        <v>NORMAL</v>
      </c>
      <c r="M1203" s="4" t="str">
        <f t="shared" si="30"/>
        <v>LOW</v>
      </c>
      <c r="N1203" s="4" t="str">
        <f t="shared" si="31"/>
        <v>MID</v>
      </c>
      <c r="O1203" s="4" t="str">
        <f t="shared" si="32"/>
        <v>RECENTLY PROMOTED</v>
      </c>
      <c r="P1203" s="5" t="str">
        <f t="shared" si="33"/>
        <v>Medium_Pressure</v>
      </c>
      <c r="Q1203" s="4" t="str">
        <f t="shared" si="34"/>
        <v>HIGHLY_ENGAGED</v>
      </c>
      <c r="R1203" s="4" t="str">
        <f t="shared" si="35"/>
        <v>LOW</v>
      </c>
      <c r="S1203" s="2"/>
      <c r="T1203" s="2"/>
      <c r="U1203" s="2"/>
      <c r="V1203" s="2"/>
      <c r="W1203" s="2"/>
      <c r="X1203" s="2"/>
      <c r="Y1203" s="2"/>
      <c r="Z1203" s="2"/>
    </row>
    <row r="1204" spans="1:26" ht="16.8" x14ac:dyDescent="0.3">
      <c r="A1204" s="4">
        <v>1687</v>
      </c>
      <c r="B1204" s="4" t="s">
        <v>43</v>
      </c>
      <c r="C1204" s="4">
        <v>38</v>
      </c>
      <c r="D1204" s="4" t="s">
        <v>45</v>
      </c>
      <c r="E1204" s="4" t="s">
        <v>50</v>
      </c>
      <c r="F1204" s="4">
        <v>3306</v>
      </c>
      <c r="G1204" s="4" t="s">
        <v>43</v>
      </c>
      <c r="H1204" s="4">
        <v>0</v>
      </c>
      <c r="I1204" s="4">
        <v>0</v>
      </c>
      <c r="J1204" s="4">
        <v>3</v>
      </c>
      <c r="K1204" s="4">
        <v>2</v>
      </c>
      <c r="L1204" s="4" t="str">
        <f t="shared" si="29"/>
        <v>NORMAL</v>
      </c>
      <c r="M1204" s="4" t="str">
        <f t="shared" si="30"/>
        <v>LOW</v>
      </c>
      <c r="N1204" s="4" t="str">
        <f t="shared" si="31"/>
        <v>NEW</v>
      </c>
      <c r="O1204" s="4" t="str">
        <f t="shared" si="32"/>
        <v>RECENTLY PROMOTED</v>
      </c>
      <c r="P1204" s="5" t="str">
        <f t="shared" si="33"/>
        <v>Low_Pressure</v>
      </c>
      <c r="Q1204" s="4" t="str">
        <f t="shared" si="34"/>
        <v>DISENGAGED</v>
      </c>
      <c r="R1204" s="4" t="str">
        <f t="shared" si="35"/>
        <v>LOW</v>
      </c>
      <c r="S1204" s="2"/>
      <c r="T1204" s="2"/>
      <c r="U1204" s="2"/>
      <c r="V1204" s="2"/>
      <c r="W1204" s="2"/>
      <c r="X1204" s="2"/>
      <c r="Y1204" s="2"/>
      <c r="Z1204" s="2"/>
    </row>
    <row r="1205" spans="1:26" ht="16.8" x14ac:dyDescent="0.3">
      <c r="A1205" s="4">
        <v>1689</v>
      </c>
      <c r="B1205" s="4" t="s">
        <v>43</v>
      </c>
      <c r="C1205" s="4">
        <v>53</v>
      </c>
      <c r="D1205" s="4" t="s">
        <v>45</v>
      </c>
      <c r="E1205" s="4" t="s">
        <v>54</v>
      </c>
      <c r="F1205" s="4">
        <v>7005</v>
      </c>
      <c r="G1205" s="4" t="s">
        <v>43</v>
      </c>
      <c r="H1205" s="4">
        <v>4</v>
      </c>
      <c r="I1205" s="4">
        <v>1</v>
      </c>
      <c r="J1205" s="4">
        <v>4</v>
      </c>
      <c r="K1205" s="4">
        <v>3</v>
      </c>
      <c r="L1205" s="4" t="str">
        <f t="shared" si="29"/>
        <v>NORMAL</v>
      </c>
      <c r="M1205" s="4" t="str">
        <f t="shared" si="30"/>
        <v>HIGH</v>
      </c>
      <c r="N1205" s="4" t="str">
        <f t="shared" si="31"/>
        <v>MID</v>
      </c>
      <c r="O1205" s="4" t="str">
        <f t="shared" si="32"/>
        <v>RECENTLY PROMOTED</v>
      </c>
      <c r="P1205" s="5" t="str">
        <f t="shared" si="33"/>
        <v>Medium_Pressure</v>
      </c>
      <c r="Q1205" s="4" t="str">
        <f t="shared" si="34"/>
        <v>HIGHLY_ENGAGED</v>
      </c>
      <c r="R1205" s="4" t="str">
        <f t="shared" si="35"/>
        <v>LOW</v>
      </c>
      <c r="S1205" s="2"/>
      <c r="T1205" s="2"/>
      <c r="U1205" s="2"/>
      <c r="V1205" s="2"/>
      <c r="W1205" s="2"/>
      <c r="X1205" s="2"/>
      <c r="Y1205" s="2"/>
      <c r="Z1205" s="2"/>
    </row>
    <row r="1206" spans="1:26" ht="16.8" x14ac:dyDescent="0.3">
      <c r="A1206" s="4">
        <v>1691</v>
      </c>
      <c r="B1206" s="4" t="s">
        <v>35</v>
      </c>
      <c r="C1206" s="4">
        <v>48</v>
      </c>
      <c r="D1206" s="4" t="s">
        <v>37</v>
      </c>
      <c r="E1206" s="4" t="s">
        <v>57</v>
      </c>
      <c r="F1206" s="4">
        <v>2655</v>
      </c>
      <c r="G1206" s="4" t="s">
        <v>35</v>
      </c>
      <c r="H1206" s="4">
        <v>9</v>
      </c>
      <c r="I1206" s="4">
        <v>7</v>
      </c>
      <c r="J1206" s="4">
        <v>3</v>
      </c>
      <c r="K1206" s="4">
        <v>3</v>
      </c>
      <c r="L1206" s="4" t="str">
        <f t="shared" si="29"/>
        <v>NORMAL</v>
      </c>
      <c r="M1206" s="4" t="str">
        <f t="shared" si="30"/>
        <v>LOW</v>
      </c>
      <c r="N1206" s="4" t="str">
        <f t="shared" si="31"/>
        <v>SENIOR</v>
      </c>
      <c r="O1206" s="4" t="str">
        <f t="shared" si="32"/>
        <v>STAGNANT</v>
      </c>
      <c r="P1206" s="5" t="str">
        <f t="shared" si="33"/>
        <v>Medium_Pressure</v>
      </c>
      <c r="Q1206" s="4" t="str">
        <f t="shared" si="34"/>
        <v>HIGHLY_ENGAGED</v>
      </c>
      <c r="R1206" s="4" t="str">
        <f t="shared" si="35"/>
        <v>LOW</v>
      </c>
      <c r="S1206" s="2"/>
      <c r="T1206" s="2"/>
      <c r="U1206" s="2"/>
      <c r="V1206" s="2"/>
      <c r="W1206" s="2"/>
      <c r="X1206" s="2"/>
      <c r="Y1206" s="2"/>
      <c r="Z1206" s="2"/>
    </row>
    <row r="1207" spans="1:26" ht="16.8" x14ac:dyDescent="0.3">
      <c r="A1207" s="4">
        <v>1692</v>
      </c>
      <c r="B1207" s="4" t="s">
        <v>35</v>
      </c>
      <c r="C1207" s="4">
        <v>32</v>
      </c>
      <c r="D1207" s="4" t="s">
        <v>45</v>
      </c>
      <c r="E1207" s="4" t="s">
        <v>50</v>
      </c>
      <c r="F1207" s="4">
        <v>1393</v>
      </c>
      <c r="G1207" s="4" t="s">
        <v>43</v>
      </c>
      <c r="H1207" s="4">
        <v>1</v>
      </c>
      <c r="I1207" s="4">
        <v>0</v>
      </c>
      <c r="J1207" s="4">
        <v>2</v>
      </c>
      <c r="K1207" s="4">
        <v>3</v>
      </c>
      <c r="L1207" s="4" t="str">
        <f t="shared" si="29"/>
        <v>NORMAL</v>
      </c>
      <c r="M1207" s="4" t="str">
        <f t="shared" si="30"/>
        <v>LOW</v>
      </c>
      <c r="N1207" s="4" t="str">
        <f t="shared" si="31"/>
        <v>NEW</v>
      </c>
      <c r="O1207" s="4" t="str">
        <f t="shared" si="32"/>
        <v>RECENTLY PROMOTED</v>
      </c>
      <c r="P1207" s="5" t="str">
        <f t="shared" si="33"/>
        <v>Medium_Pressure</v>
      </c>
      <c r="Q1207" s="4" t="str">
        <f t="shared" si="34"/>
        <v>DISENGAGED</v>
      </c>
      <c r="R1207" s="4" t="str">
        <f t="shared" si="35"/>
        <v>LOW</v>
      </c>
      <c r="S1207" s="2"/>
      <c r="T1207" s="2"/>
      <c r="U1207" s="2"/>
      <c r="V1207" s="2"/>
      <c r="W1207" s="2"/>
      <c r="X1207" s="2"/>
      <c r="Y1207" s="2"/>
      <c r="Z1207" s="2"/>
    </row>
    <row r="1208" spans="1:26" ht="16.8" x14ac:dyDescent="0.3">
      <c r="A1208" s="4">
        <v>1693</v>
      </c>
      <c r="B1208" s="4" t="s">
        <v>43</v>
      </c>
      <c r="C1208" s="4">
        <v>26</v>
      </c>
      <c r="D1208" s="4" t="s">
        <v>45</v>
      </c>
      <c r="E1208" s="4" t="s">
        <v>50</v>
      </c>
      <c r="F1208" s="4">
        <v>2570</v>
      </c>
      <c r="G1208" s="4" t="s">
        <v>43</v>
      </c>
      <c r="H1208" s="4">
        <v>7</v>
      </c>
      <c r="I1208" s="4">
        <v>5</v>
      </c>
      <c r="J1208" s="4">
        <v>4</v>
      </c>
      <c r="K1208" s="4">
        <v>3</v>
      </c>
      <c r="L1208" s="4" t="str">
        <f t="shared" si="29"/>
        <v>NORMAL</v>
      </c>
      <c r="M1208" s="4" t="str">
        <f t="shared" si="30"/>
        <v>LOW</v>
      </c>
      <c r="N1208" s="4" t="str">
        <f t="shared" si="31"/>
        <v>SENIOR</v>
      </c>
      <c r="O1208" s="4" t="str">
        <f t="shared" si="32"/>
        <v>STAGNANT</v>
      </c>
      <c r="P1208" s="5" t="str">
        <f t="shared" si="33"/>
        <v>Medium_Pressure</v>
      </c>
      <c r="Q1208" s="4" t="str">
        <f t="shared" si="34"/>
        <v>HIGHLY_ENGAGED</v>
      </c>
      <c r="R1208" s="4" t="str">
        <f t="shared" si="35"/>
        <v>LOW</v>
      </c>
      <c r="S1208" s="2"/>
      <c r="T1208" s="2"/>
      <c r="U1208" s="2"/>
      <c r="V1208" s="2"/>
      <c r="W1208" s="2"/>
      <c r="X1208" s="2"/>
      <c r="Y1208" s="2"/>
      <c r="Z1208" s="2"/>
    </row>
    <row r="1209" spans="1:26" ht="16.8" x14ac:dyDescent="0.3">
      <c r="A1209" s="4">
        <v>1694</v>
      </c>
      <c r="B1209" s="4" t="s">
        <v>43</v>
      </c>
      <c r="C1209" s="4">
        <v>55</v>
      </c>
      <c r="D1209" s="4" t="s">
        <v>45</v>
      </c>
      <c r="E1209" s="4" t="s">
        <v>47</v>
      </c>
      <c r="F1209" s="4">
        <v>3537</v>
      </c>
      <c r="G1209" s="4" t="s">
        <v>43</v>
      </c>
      <c r="H1209" s="4">
        <v>4</v>
      </c>
      <c r="I1209" s="4">
        <v>1</v>
      </c>
      <c r="J1209" s="4">
        <v>2</v>
      </c>
      <c r="K1209" s="4">
        <v>3</v>
      </c>
      <c r="L1209" s="4" t="str">
        <f t="shared" si="29"/>
        <v>NORMAL</v>
      </c>
      <c r="M1209" s="4" t="str">
        <f t="shared" si="30"/>
        <v>LOW</v>
      </c>
      <c r="N1209" s="4" t="str">
        <f t="shared" si="31"/>
        <v>MID</v>
      </c>
      <c r="O1209" s="4" t="str">
        <f t="shared" si="32"/>
        <v>RECENTLY PROMOTED</v>
      </c>
      <c r="P1209" s="5" t="str">
        <f t="shared" si="33"/>
        <v>Medium_Pressure</v>
      </c>
      <c r="Q1209" s="4" t="str">
        <f t="shared" si="34"/>
        <v>DISENGAGED</v>
      </c>
      <c r="R1209" s="4" t="str">
        <f t="shared" si="35"/>
        <v>LOW</v>
      </c>
      <c r="S1209" s="2"/>
      <c r="T1209" s="2"/>
      <c r="U1209" s="2"/>
      <c r="V1209" s="2"/>
      <c r="W1209" s="2"/>
      <c r="X1209" s="2"/>
      <c r="Y1209" s="2"/>
      <c r="Z1209" s="2"/>
    </row>
    <row r="1210" spans="1:26" ht="16.8" x14ac:dyDescent="0.3">
      <c r="A1210" s="4">
        <v>1696</v>
      </c>
      <c r="B1210" s="4" t="s">
        <v>43</v>
      </c>
      <c r="C1210" s="4">
        <v>34</v>
      </c>
      <c r="D1210" s="4" t="s">
        <v>45</v>
      </c>
      <c r="E1210" s="4" t="s">
        <v>50</v>
      </c>
      <c r="F1210" s="4">
        <v>3986</v>
      </c>
      <c r="G1210" s="4" t="s">
        <v>43</v>
      </c>
      <c r="H1210" s="4">
        <v>15</v>
      </c>
      <c r="I1210" s="4">
        <v>4</v>
      </c>
      <c r="J1210" s="4">
        <v>4</v>
      </c>
      <c r="K1210" s="4">
        <v>4</v>
      </c>
      <c r="L1210" s="4" t="str">
        <f t="shared" si="29"/>
        <v>NORMAL</v>
      </c>
      <c r="M1210" s="4" t="str">
        <f t="shared" si="30"/>
        <v>LOW</v>
      </c>
      <c r="N1210" s="4" t="str">
        <f t="shared" si="31"/>
        <v>SENIOR</v>
      </c>
      <c r="O1210" s="4" t="str">
        <f t="shared" si="32"/>
        <v>STAGNANT</v>
      </c>
      <c r="P1210" s="5" t="str">
        <f t="shared" si="33"/>
        <v>Low_Pressure</v>
      </c>
      <c r="Q1210" s="4" t="str">
        <f t="shared" si="34"/>
        <v>HIGHLY_ENGAGED</v>
      </c>
      <c r="R1210" s="4" t="str">
        <f t="shared" si="35"/>
        <v>LOW</v>
      </c>
      <c r="S1210" s="2"/>
      <c r="T1210" s="2"/>
      <c r="U1210" s="2"/>
      <c r="V1210" s="2"/>
      <c r="W1210" s="2"/>
      <c r="X1210" s="2"/>
      <c r="Y1210" s="2"/>
      <c r="Z1210" s="2"/>
    </row>
    <row r="1211" spans="1:26" ht="16.8" x14ac:dyDescent="0.3">
      <c r="A1211" s="4">
        <v>1697</v>
      </c>
      <c r="B1211" s="4" t="s">
        <v>43</v>
      </c>
      <c r="C1211" s="4">
        <v>60</v>
      </c>
      <c r="D1211" s="4" t="s">
        <v>45</v>
      </c>
      <c r="E1211" s="4" t="s">
        <v>54</v>
      </c>
      <c r="F1211" s="4">
        <v>10883</v>
      </c>
      <c r="G1211" s="4" t="s">
        <v>43</v>
      </c>
      <c r="H1211" s="4">
        <v>1</v>
      </c>
      <c r="I1211" s="4">
        <v>0</v>
      </c>
      <c r="J1211" s="4">
        <v>4</v>
      </c>
      <c r="K1211" s="4">
        <v>4</v>
      </c>
      <c r="L1211" s="4" t="str">
        <f t="shared" si="29"/>
        <v>NORMAL</v>
      </c>
      <c r="M1211" s="4" t="str">
        <f t="shared" si="30"/>
        <v>MEDIUM</v>
      </c>
      <c r="N1211" s="4" t="str">
        <f t="shared" si="31"/>
        <v>NEW</v>
      </c>
      <c r="O1211" s="4" t="str">
        <f t="shared" si="32"/>
        <v>RECENTLY PROMOTED</v>
      </c>
      <c r="P1211" s="5" t="str">
        <f t="shared" si="33"/>
        <v>Low_Pressure</v>
      </c>
      <c r="Q1211" s="4" t="str">
        <f t="shared" si="34"/>
        <v>HIGHLY_ENGAGED</v>
      </c>
      <c r="R1211" s="4" t="str">
        <f t="shared" si="35"/>
        <v>LOW</v>
      </c>
      <c r="S1211" s="2"/>
      <c r="T1211" s="2"/>
      <c r="U1211" s="2"/>
      <c r="V1211" s="2"/>
      <c r="W1211" s="2"/>
      <c r="X1211" s="2"/>
      <c r="Y1211" s="2"/>
      <c r="Z1211" s="2"/>
    </row>
    <row r="1212" spans="1:26" ht="16.8" x14ac:dyDescent="0.3">
      <c r="A1212" s="4">
        <v>1698</v>
      </c>
      <c r="B1212" s="4" t="s">
        <v>43</v>
      </c>
      <c r="C1212" s="4">
        <v>33</v>
      </c>
      <c r="D1212" s="4" t="s">
        <v>45</v>
      </c>
      <c r="E1212" s="4" t="s">
        <v>50</v>
      </c>
      <c r="F1212" s="4">
        <v>2028</v>
      </c>
      <c r="G1212" s="4" t="s">
        <v>43</v>
      </c>
      <c r="H1212" s="4">
        <v>14</v>
      </c>
      <c r="I1212" s="4">
        <v>2</v>
      </c>
      <c r="J1212" s="4">
        <v>2</v>
      </c>
      <c r="K1212" s="4">
        <v>3</v>
      </c>
      <c r="L1212" s="4" t="str">
        <f t="shared" si="29"/>
        <v>NORMAL</v>
      </c>
      <c r="M1212" s="4" t="str">
        <f t="shared" si="30"/>
        <v>LOW</v>
      </c>
      <c r="N1212" s="4" t="str">
        <f t="shared" si="31"/>
        <v>SENIOR</v>
      </c>
      <c r="O1212" s="4" t="str">
        <f t="shared" si="32"/>
        <v>MODERATE-WAIT</v>
      </c>
      <c r="P1212" s="5" t="str">
        <f t="shared" si="33"/>
        <v>Medium_Pressure</v>
      </c>
      <c r="Q1212" s="4" t="str">
        <f t="shared" si="34"/>
        <v>DISENGAGED</v>
      </c>
      <c r="R1212" s="4" t="str">
        <f t="shared" si="35"/>
        <v>LOW</v>
      </c>
      <c r="S1212" s="2"/>
      <c r="T1212" s="2"/>
      <c r="U1212" s="2"/>
      <c r="V1212" s="2"/>
      <c r="W1212" s="2"/>
      <c r="X1212" s="2"/>
      <c r="Y1212" s="2"/>
      <c r="Z1212" s="2"/>
    </row>
    <row r="1213" spans="1:26" ht="16.8" x14ac:dyDescent="0.3">
      <c r="A1213" s="4">
        <v>1700</v>
      </c>
      <c r="B1213" s="4" t="s">
        <v>43</v>
      </c>
      <c r="C1213" s="4">
        <v>37</v>
      </c>
      <c r="D1213" s="4" t="s">
        <v>37</v>
      </c>
      <c r="E1213" s="4" t="s">
        <v>40</v>
      </c>
      <c r="F1213" s="4">
        <v>9525</v>
      </c>
      <c r="G1213" s="4" t="s">
        <v>43</v>
      </c>
      <c r="H1213" s="4">
        <v>6</v>
      </c>
      <c r="I1213" s="4">
        <v>1</v>
      </c>
      <c r="J1213" s="4">
        <v>4</v>
      </c>
      <c r="K1213" s="4">
        <v>2</v>
      </c>
      <c r="L1213" s="4" t="str">
        <f t="shared" si="29"/>
        <v>NORMAL</v>
      </c>
      <c r="M1213" s="4" t="str">
        <f t="shared" si="30"/>
        <v>MEDIUM</v>
      </c>
      <c r="N1213" s="4" t="str">
        <f t="shared" si="31"/>
        <v>MID</v>
      </c>
      <c r="O1213" s="4" t="str">
        <f t="shared" si="32"/>
        <v>RECENTLY PROMOTED</v>
      </c>
      <c r="P1213" s="5" t="str">
        <f t="shared" si="33"/>
        <v>Low_Pressure</v>
      </c>
      <c r="Q1213" s="4" t="str">
        <f t="shared" si="34"/>
        <v>DISENGAGED</v>
      </c>
      <c r="R1213" s="4" t="str">
        <f t="shared" si="35"/>
        <v>LOW</v>
      </c>
      <c r="S1213" s="2"/>
      <c r="T1213" s="2"/>
      <c r="U1213" s="2"/>
      <c r="V1213" s="2"/>
      <c r="W1213" s="2"/>
      <c r="X1213" s="2"/>
      <c r="Y1213" s="2"/>
      <c r="Z1213" s="2"/>
    </row>
    <row r="1214" spans="1:26" ht="16.8" x14ac:dyDescent="0.3">
      <c r="A1214" s="4">
        <v>1701</v>
      </c>
      <c r="B1214" s="4" t="s">
        <v>43</v>
      </c>
      <c r="C1214" s="4">
        <v>34</v>
      </c>
      <c r="D1214" s="4" t="s">
        <v>45</v>
      </c>
      <c r="E1214" s="4" t="s">
        <v>47</v>
      </c>
      <c r="F1214" s="4">
        <v>2929</v>
      </c>
      <c r="G1214" s="4" t="s">
        <v>43</v>
      </c>
      <c r="H1214" s="4">
        <v>10</v>
      </c>
      <c r="I1214" s="4">
        <v>8</v>
      </c>
      <c r="J1214" s="4">
        <v>4</v>
      </c>
      <c r="K1214" s="4">
        <v>3</v>
      </c>
      <c r="L1214" s="4" t="str">
        <f t="shared" si="29"/>
        <v>NORMAL</v>
      </c>
      <c r="M1214" s="4" t="str">
        <f t="shared" si="30"/>
        <v>LOW</v>
      </c>
      <c r="N1214" s="4" t="str">
        <f t="shared" si="31"/>
        <v>SENIOR</v>
      </c>
      <c r="O1214" s="4" t="str">
        <f t="shared" si="32"/>
        <v>STAGNANT</v>
      </c>
      <c r="P1214" s="5" t="str">
        <f t="shared" si="33"/>
        <v>Medium_Pressure</v>
      </c>
      <c r="Q1214" s="4" t="str">
        <f t="shared" si="34"/>
        <v>HIGHLY_ENGAGED</v>
      </c>
      <c r="R1214" s="4" t="str">
        <f t="shared" si="35"/>
        <v>LOW</v>
      </c>
      <c r="S1214" s="2"/>
      <c r="T1214" s="2"/>
      <c r="U1214" s="2"/>
      <c r="V1214" s="2"/>
      <c r="W1214" s="2"/>
      <c r="X1214" s="2"/>
      <c r="Y1214" s="2"/>
      <c r="Z1214" s="2"/>
    </row>
    <row r="1215" spans="1:26" ht="16.8" x14ac:dyDescent="0.3">
      <c r="A1215" s="4">
        <v>1702</v>
      </c>
      <c r="B1215" s="4" t="s">
        <v>35</v>
      </c>
      <c r="C1215" s="4">
        <v>23</v>
      </c>
      <c r="D1215" s="4" t="s">
        <v>37</v>
      </c>
      <c r="E1215" s="4" t="s">
        <v>57</v>
      </c>
      <c r="F1215" s="4">
        <v>2275</v>
      </c>
      <c r="G1215" s="4" t="s">
        <v>35</v>
      </c>
      <c r="H1215" s="4">
        <v>3</v>
      </c>
      <c r="I1215" s="4">
        <v>0</v>
      </c>
      <c r="J1215" s="4">
        <v>4</v>
      </c>
      <c r="K1215" s="4">
        <v>3</v>
      </c>
      <c r="L1215" s="4" t="str">
        <f t="shared" si="29"/>
        <v>NORMAL</v>
      </c>
      <c r="M1215" s="4" t="str">
        <f t="shared" si="30"/>
        <v>LOW</v>
      </c>
      <c r="N1215" s="4" t="str">
        <f t="shared" si="31"/>
        <v>MID</v>
      </c>
      <c r="O1215" s="4" t="str">
        <f t="shared" si="32"/>
        <v>RECENTLY PROMOTED</v>
      </c>
      <c r="P1215" s="5" t="str">
        <f t="shared" si="33"/>
        <v>Medium_Pressure</v>
      </c>
      <c r="Q1215" s="4" t="str">
        <f t="shared" si="34"/>
        <v>HIGHLY_ENGAGED</v>
      </c>
      <c r="R1215" s="4" t="str">
        <f t="shared" si="35"/>
        <v>LOW</v>
      </c>
      <c r="S1215" s="2"/>
      <c r="T1215" s="2"/>
      <c r="U1215" s="2"/>
      <c r="V1215" s="2"/>
      <c r="W1215" s="2"/>
      <c r="X1215" s="2"/>
      <c r="Y1215" s="2"/>
      <c r="Z1215" s="2"/>
    </row>
    <row r="1216" spans="1:26" ht="16.8" x14ac:dyDescent="0.3">
      <c r="A1216" s="4">
        <v>1703</v>
      </c>
      <c r="B1216" s="4" t="s">
        <v>43</v>
      </c>
      <c r="C1216" s="4">
        <v>44</v>
      </c>
      <c r="D1216" s="4" t="s">
        <v>45</v>
      </c>
      <c r="E1216" s="4" t="s">
        <v>54</v>
      </c>
      <c r="F1216" s="4">
        <v>7879</v>
      </c>
      <c r="G1216" s="4" t="s">
        <v>35</v>
      </c>
      <c r="H1216" s="4">
        <v>8</v>
      </c>
      <c r="I1216" s="4">
        <v>6</v>
      </c>
      <c r="J1216" s="4">
        <v>4</v>
      </c>
      <c r="K1216" s="4">
        <v>3</v>
      </c>
      <c r="L1216" s="4" t="str">
        <f t="shared" si="29"/>
        <v>NORMAL</v>
      </c>
      <c r="M1216" s="4" t="str">
        <f t="shared" si="30"/>
        <v>HIGH</v>
      </c>
      <c r="N1216" s="4" t="str">
        <f t="shared" si="31"/>
        <v>SENIOR</v>
      </c>
      <c r="O1216" s="4" t="str">
        <f t="shared" si="32"/>
        <v>STAGNANT</v>
      </c>
      <c r="P1216" s="5" t="str">
        <f t="shared" si="33"/>
        <v>Medium_Pressure</v>
      </c>
      <c r="Q1216" s="4" t="str">
        <f t="shared" si="34"/>
        <v>HIGHLY_ENGAGED</v>
      </c>
      <c r="R1216" s="4" t="str">
        <f t="shared" si="35"/>
        <v>LOW</v>
      </c>
      <c r="S1216" s="2"/>
      <c r="T1216" s="2"/>
      <c r="U1216" s="2"/>
      <c r="V1216" s="2"/>
      <c r="W1216" s="2"/>
      <c r="X1216" s="2"/>
      <c r="Y1216" s="2"/>
      <c r="Z1216" s="2"/>
    </row>
    <row r="1217" spans="1:26" ht="16.8" x14ac:dyDescent="0.3">
      <c r="A1217" s="4">
        <v>1704</v>
      </c>
      <c r="B1217" s="4" t="s">
        <v>43</v>
      </c>
      <c r="C1217" s="4">
        <v>35</v>
      </c>
      <c r="D1217" s="4" t="s">
        <v>45</v>
      </c>
      <c r="E1217" s="4" t="s">
        <v>47</v>
      </c>
      <c r="F1217" s="4">
        <v>4930</v>
      </c>
      <c r="G1217" s="4" t="s">
        <v>35</v>
      </c>
      <c r="H1217" s="4">
        <v>5</v>
      </c>
      <c r="I1217" s="4">
        <v>1</v>
      </c>
      <c r="J1217" s="4">
        <v>4</v>
      </c>
      <c r="K1217" s="4">
        <v>4</v>
      </c>
      <c r="L1217" s="4" t="str">
        <f t="shared" si="29"/>
        <v>NORMAL</v>
      </c>
      <c r="M1217" s="4" t="str">
        <f t="shared" si="30"/>
        <v>HIGH</v>
      </c>
      <c r="N1217" s="4" t="str">
        <f t="shared" si="31"/>
        <v>MID</v>
      </c>
      <c r="O1217" s="4" t="str">
        <f t="shared" si="32"/>
        <v>RECENTLY PROMOTED</v>
      </c>
      <c r="P1217" s="5" t="str">
        <f t="shared" si="33"/>
        <v>Medium_Pressure</v>
      </c>
      <c r="Q1217" s="4" t="str">
        <f t="shared" si="34"/>
        <v>HIGHLY_ENGAGED</v>
      </c>
      <c r="R1217" s="4" t="str">
        <f t="shared" si="35"/>
        <v>LOW</v>
      </c>
      <c r="S1217" s="2"/>
      <c r="T1217" s="2"/>
      <c r="U1217" s="2"/>
      <c r="V1217" s="2"/>
      <c r="W1217" s="2"/>
      <c r="X1217" s="2"/>
      <c r="Y1217" s="2"/>
      <c r="Z1217" s="2"/>
    </row>
    <row r="1218" spans="1:26" ht="16.8" x14ac:dyDescent="0.3">
      <c r="A1218" s="4">
        <v>1706</v>
      </c>
      <c r="B1218" s="4" t="s">
        <v>43</v>
      </c>
      <c r="C1218" s="4">
        <v>43</v>
      </c>
      <c r="D1218" s="4" t="s">
        <v>37</v>
      </c>
      <c r="E1218" s="4" t="s">
        <v>40</v>
      </c>
      <c r="F1218" s="4">
        <v>7847</v>
      </c>
      <c r="G1218" s="4" t="s">
        <v>35</v>
      </c>
      <c r="H1218" s="4">
        <v>10</v>
      </c>
      <c r="I1218" s="4">
        <v>8</v>
      </c>
      <c r="J1218" s="4">
        <v>4</v>
      </c>
      <c r="K1218" s="4">
        <v>3</v>
      </c>
      <c r="L1218" s="4" t="str">
        <f t="shared" si="29"/>
        <v>NORMAL</v>
      </c>
      <c r="M1218" s="4" t="str">
        <f t="shared" si="30"/>
        <v>HIGH</v>
      </c>
      <c r="N1218" s="4" t="str">
        <f t="shared" si="31"/>
        <v>SENIOR</v>
      </c>
      <c r="O1218" s="4" t="str">
        <f t="shared" si="32"/>
        <v>STAGNANT</v>
      </c>
      <c r="P1218" s="5" t="str">
        <f t="shared" si="33"/>
        <v>Medium_Pressure</v>
      </c>
      <c r="Q1218" s="4" t="str">
        <f t="shared" si="34"/>
        <v>HIGHLY_ENGAGED</v>
      </c>
      <c r="R1218" s="4" t="str">
        <f t="shared" si="35"/>
        <v>LOW</v>
      </c>
      <c r="S1218" s="2"/>
      <c r="T1218" s="2"/>
      <c r="U1218" s="2"/>
      <c r="V1218" s="2"/>
      <c r="W1218" s="2"/>
      <c r="X1218" s="2"/>
      <c r="Y1218" s="2"/>
      <c r="Z1218" s="2"/>
    </row>
    <row r="1219" spans="1:26" ht="16.8" x14ac:dyDescent="0.3">
      <c r="A1219" s="4">
        <v>1707</v>
      </c>
      <c r="B1219" s="4" t="s">
        <v>43</v>
      </c>
      <c r="C1219" s="4">
        <v>24</v>
      </c>
      <c r="D1219" s="4" t="s">
        <v>45</v>
      </c>
      <c r="E1219" s="4" t="s">
        <v>47</v>
      </c>
      <c r="F1219" s="4">
        <v>4401</v>
      </c>
      <c r="G1219" s="4" t="s">
        <v>43</v>
      </c>
      <c r="H1219" s="4">
        <v>5</v>
      </c>
      <c r="I1219" s="4">
        <v>0</v>
      </c>
      <c r="J1219" s="4">
        <v>3</v>
      </c>
      <c r="K1219" s="4">
        <v>3</v>
      </c>
      <c r="L1219" s="4" t="str">
        <f t="shared" si="29"/>
        <v>NORMAL</v>
      </c>
      <c r="M1219" s="4" t="str">
        <f t="shared" si="30"/>
        <v>HIGH</v>
      </c>
      <c r="N1219" s="4" t="str">
        <f t="shared" si="31"/>
        <v>MID</v>
      </c>
      <c r="O1219" s="4" t="str">
        <f t="shared" si="32"/>
        <v>RECENTLY PROMOTED</v>
      </c>
      <c r="P1219" s="5" t="str">
        <f t="shared" si="33"/>
        <v>Medium_Pressure</v>
      </c>
      <c r="Q1219" s="4" t="str">
        <f t="shared" si="34"/>
        <v>HIGHLY_ENGAGED</v>
      </c>
      <c r="R1219" s="4" t="str">
        <f t="shared" si="35"/>
        <v>LOW</v>
      </c>
      <c r="S1219" s="2"/>
      <c r="T1219" s="2"/>
      <c r="U1219" s="2"/>
      <c r="V1219" s="2"/>
      <c r="W1219" s="2"/>
      <c r="X1219" s="2"/>
      <c r="Y1219" s="2"/>
      <c r="Z1219" s="2"/>
    </row>
    <row r="1220" spans="1:26" ht="16.8" x14ac:dyDescent="0.3">
      <c r="A1220" s="4">
        <v>1708</v>
      </c>
      <c r="B1220" s="4" t="s">
        <v>43</v>
      </c>
      <c r="C1220" s="4">
        <v>41</v>
      </c>
      <c r="D1220" s="4" t="s">
        <v>37</v>
      </c>
      <c r="E1220" s="4" t="s">
        <v>40</v>
      </c>
      <c r="F1220" s="4">
        <v>9241</v>
      </c>
      <c r="G1220" s="4" t="s">
        <v>43</v>
      </c>
      <c r="H1220" s="4">
        <v>10</v>
      </c>
      <c r="I1220" s="4">
        <v>8</v>
      </c>
      <c r="J1220" s="4">
        <v>3</v>
      </c>
      <c r="K1220" s="4">
        <v>3</v>
      </c>
      <c r="L1220" s="4" t="str">
        <f t="shared" si="29"/>
        <v>NORMAL</v>
      </c>
      <c r="M1220" s="4" t="str">
        <f t="shared" si="30"/>
        <v>MEDIUM</v>
      </c>
      <c r="N1220" s="4" t="str">
        <f t="shared" si="31"/>
        <v>SENIOR</v>
      </c>
      <c r="O1220" s="4" t="str">
        <f t="shared" si="32"/>
        <v>STAGNANT</v>
      </c>
      <c r="P1220" s="5" t="str">
        <f t="shared" si="33"/>
        <v>Medium_Pressure</v>
      </c>
      <c r="Q1220" s="4" t="str">
        <f t="shared" si="34"/>
        <v>HIGHLY_ENGAGED</v>
      </c>
      <c r="R1220" s="4" t="str">
        <f t="shared" si="35"/>
        <v>LOW</v>
      </c>
      <c r="S1220" s="2"/>
      <c r="T1220" s="2"/>
      <c r="U1220" s="2"/>
      <c r="V1220" s="2"/>
      <c r="W1220" s="2"/>
      <c r="X1220" s="2"/>
      <c r="Y1220" s="2"/>
      <c r="Z1220" s="2"/>
    </row>
    <row r="1221" spans="1:26" ht="16.8" x14ac:dyDescent="0.3">
      <c r="A1221" s="4">
        <v>1709</v>
      </c>
      <c r="B1221" s="4" t="s">
        <v>43</v>
      </c>
      <c r="C1221" s="4">
        <v>29</v>
      </c>
      <c r="D1221" s="4" t="s">
        <v>45</v>
      </c>
      <c r="E1221" s="4" t="s">
        <v>50</v>
      </c>
      <c r="F1221" s="4">
        <v>2974</v>
      </c>
      <c r="G1221" s="4" t="s">
        <v>43</v>
      </c>
      <c r="H1221" s="4">
        <v>5</v>
      </c>
      <c r="I1221" s="4">
        <v>1</v>
      </c>
      <c r="J1221" s="4">
        <v>3</v>
      </c>
      <c r="K1221" s="4">
        <v>3</v>
      </c>
      <c r="L1221" s="4" t="str">
        <f t="shared" si="29"/>
        <v>NORMAL</v>
      </c>
      <c r="M1221" s="4" t="str">
        <f t="shared" si="30"/>
        <v>LOW</v>
      </c>
      <c r="N1221" s="4" t="str">
        <f t="shared" si="31"/>
        <v>MID</v>
      </c>
      <c r="O1221" s="4" t="str">
        <f t="shared" si="32"/>
        <v>RECENTLY PROMOTED</v>
      </c>
      <c r="P1221" s="5" t="str">
        <f t="shared" si="33"/>
        <v>Medium_Pressure</v>
      </c>
      <c r="Q1221" s="4" t="str">
        <f t="shared" si="34"/>
        <v>HIGHLY_ENGAGED</v>
      </c>
      <c r="R1221" s="4" t="str">
        <f t="shared" si="35"/>
        <v>LOW</v>
      </c>
      <c r="S1221" s="2"/>
      <c r="T1221" s="2"/>
      <c r="U1221" s="2"/>
      <c r="V1221" s="2"/>
      <c r="W1221" s="2"/>
      <c r="X1221" s="2"/>
      <c r="Y1221" s="2"/>
      <c r="Z1221" s="2"/>
    </row>
    <row r="1222" spans="1:26" ht="16.8" x14ac:dyDescent="0.3">
      <c r="A1222" s="4">
        <v>1710</v>
      </c>
      <c r="B1222" s="4" t="s">
        <v>43</v>
      </c>
      <c r="C1222" s="4">
        <v>36</v>
      </c>
      <c r="D1222" s="4" t="s">
        <v>37</v>
      </c>
      <c r="E1222" s="4" t="s">
        <v>57</v>
      </c>
      <c r="F1222" s="4">
        <v>4502</v>
      </c>
      <c r="G1222" s="4" t="s">
        <v>43</v>
      </c>
      <c r="H1222" s="4">
        <v>13</v>
      </c>
      <c r="I1222" s="4">
        <v>6</v>
      </c>
      <c r="J1222" s="4">
        <v>4</v>
      </c>
      <c r="K1222" s="4">
        <v>2</v>
      </c>
      <c r="L1222" s="4" t="str">
        <f t="shared" si="29"/>
        <v>NORMAL</v>
      </c>
      <c r="M1222" s="4" t="str">
        <f t="shared" si="30"/>
        <v>HIGH</v>
      </c>
      <c r="N1222" s="4" t="str">
        <f t="shared" si="31"/>
        <v>SENIOR</v>
      </c>
      <c r="O1222" s="4" t="str">
        <f t="shared" si="32"/>
        <v>STAGNANT</v>
      </c>
      <c r="P1222" s="5" t="str">
        <f t="shared" si="33"/>
        <v>Low_Pressure</v>
      </c>
      <c r="Q1222" s="4" t="str">
        <f t="shared" si="34"/>
        <v>DISENGAGED</v>
      </c>
      <c r="R1222" s="4" t="str">
        <f t="shared" si="35"/>
        <v>LOW</v>
      </c>
      <c r="S1222" s="2"/>
      <c r="T1222" s="2"/>
      <c r="U1222" s="2"/>
      <c r="V1222" s="2"/>
      <c r="W1222" s="2"/>
      <c r="X1222" s="2"/>
      <c r="Y1222" s="2"/>
      <c r="Z1222" s="2"/>
    </row>
    <row r="1223" spans="1:26" ht="16.8" x14ac:dyDescent="0.3">
      <c r="A1223" s="4">
        <v>1712</v>
      </c>
      <c r="B1223" s="4" t="s">
        <v>43</v>
      </c>
      <c r="C1223" s="4">
        <v>45</v>
      </c>
      <c r="D1223" s="4" t="s">
        <v>45</v>
      </c>
      <c r="E1223" s="4" t="s">
        <v>54</v>
      </c>
      <c r="F1223" s="4">
        <v>10748</v>
      </c>
      <c r="G1223" s="4" t="s">
        <v>43</v>
      </c>
      <c r="H1223" s="4">
        <v>23</v>
      </c>
      <c r="I1223" s="4">
        <v>14</v>
      </c>
      <c r="J1223" s="4">
        <v>3</v>
      </c>
      <c r="K1223" s="4">
        <v>2</v>
      </c>
      <c r="L1223" s="4" t="str">
        <f t="shared" si="29"/>
        <v>NORMAL</v>
      </c>
      <c r="M1223" s="4" t="str">
        <f t="shared" si="30"/>
        <v>MEDIUM</v>
      </c>
      <c r="N1223" s="4" t="str">
        <f t="shared" si="31"/>
        <v>SENIOR</v>
      </c>
      <c r="O1223" s="4" t="str">
        <f t="shared" si="32"/>
        <v>STAGNANT</v>
      </c>
      <c r="P1223" s="5" t="str">
        <f t="shared" si="33"/>
        <v>Low_Pressure</v>
      </c>
      <c r="Q1223" s="4" t="str">
        <f t="shared" si="34"/>
        <v>DISENGAGED</v>
      </c>
      <c r="R1223" s="4" t="str">
        <f t="shared" si="35"/>
        <v>LOW</v>
      </c>
      <c r="S1223" s="2"/>
      <c r="T1223" s="2"/>
      <c r="U1223" s="2"/>
      <c r="V1223" s="2"/>
      <c r="W1223" s="2"/>
      <c r="X1223" s="2"/>
      <c r="Y1223" s="2"/>
      <c r="Z1223" s="2"/>
    </row>
    <row r="1224" spans="1:26" ht="16.8" x14ac:dyDescent="0.3">
      <c r="A1224" s="4">
        <v>1714</v>
      </c>
      <c r="B1224" s="4" t="s">
        <v>35</v>
      </c>
      <c r="C1224" s="4">
        <v>24</v>
      </c>
      <c r="D1224" s="4" t="s">
        <v>61</v>
      </c>
      <c r="E1224" s="4" t="s">
        <v>61</v>
      </c>
      <c r="F1224" s="4">
        <v>1555</v>
      </c>
      <c r="G1224" s="4" t="s">
        <v>43</v>
      </c>
      <c r="H1224" s="4">
        <v>1</v>
      </c>
      <c r="I1224" s="4">
        <v>0</v>
      </c>
      <c r="J1224" s="4">
        <v>3</v>
      </c>
      <c r="K1224" s="4">
        <v>3</v>
      </c>
      <c r="L1224" s="4" t="str">
        <f t="shared" si="29"/>
        <v>NORMAL</v>
      </c>
      <c r="M1224" s="4" t="str">
        <f t="shared" si="30"/>
        <v>LOW</v>
      </c>
      <c r="N1224" s="4" t="str">
        <f t="shared" si="31"/>
        <v>NEW</v>
      </c>
      <c r="O1224" s="4" t="str">
        <f t="shared" si="32"/>
        <v>RECENTLY PROMOTED</v>
      </c>
      <c r="P1224" s="5" t="str">
        <f t="shared" si="33"/>
        <v>Medium_Pressure</v>
      </c>
      <c r="Q1224" s="4" t="str">
        <f t="shared" si="34"/>
        <v>HIGHLY_ENGAGED</v>
      </c>
      <c r="R1224" s="4" t="str">
        <f t="shared" si="35"/>
        <v>LOW</v>
      </c>
      <c r="S1224" s="2"/>
      <c r="T1224" s="2"/>
      <c r="U1224" s="2"/>
      <c r="V1224" s="2"/>
      <c r="W1224" s="2"/>
      <c r="X1224" s="2"/>
      <c r="Y1224" s="2"/>
      <c r="Z1224" s="2"/>
    </row>
    <row r="1225" spans="1:26" ht="16.8" x14ac:dyDescent="0.3">
      <c r="A1225" s="4">
        <v>1716</v>
      </c>
      <c r="B1225" s="4" t="s">
        <v>35</v>
      </c>
      <c r="C1225" s="4">
        <v>47</v>
      </c>
      <c r="D1225" s="4" t="s">
        <v>37</v>
      </c>
      <c r="E1225" s="4" t="s">
        <v>40</v>
      </c>
      <c r="F1225" s="4">
        <v>12936</v>
      </c>
      <c r="G1225" s="4" t="s">
        <v>43</v>
      </c>
      <c r="H1225" s="4">
        <v>23</v>
      </c>
      <c r="I1225" s="4">
        <v>14</v>
      </c>
      <c r="J1225" s="4">
        <v>3</v>
      </c>
      <c r="K1225" s="4">
        <v>1</v>
      </c>
      <c r="L1225" s="4" t="str">
        <f t="shared" si="29"/>
        <v>NORMAL</v>
      </c>
      <c r="M1225" s="4" t="str">
        <f t="shared" si="30"/>
        <v>MEDIUM</v>
      </c>
      <c r="N1225" s="4" t="str">
        <f t="shared" si="31"/>
        <v>SENIOR</v>
      </c>
      <c r="O1225" s="4" t="str">
        <f t="shared" si="32"/>
        <v>STAGNANT</v>
      </c>
      <c r="P1225" s="5" t="str">
        <f t="shared" si="33"/>
        <v>Low_Pressure</v>
      </c>
      <c r="Q1225" s="4" t="str">
        <f t="shared" si="34"/>
        <v>DISENGAGED</v>
      </c>
      <c r="R1225" s="4" t="str">
        <f t="shared" si="35"/>
        <v>LOW</v>
      </c>
      <c r="S1225" s="2"/>
      <c r="T1225" s="2"/>
      <c r="U1225" s="2"/>
      <c r="V1225" s="2"/>
      <c r="W1225" s="2"/>
      <c r="X1225" s="2"/>
      <c r="Y1225" s="2"/>
      <c r="Z1225" s="2"/>
    </row>
    <row r="1226" spans="1:26" ht="16.8" x14ac:dyDescent="0.3">
      <c r="A1226" s="4">
        <v>1718</v>
      </c>
      <c r="B1226" s="4" t="s">
        <v>43</v>
      </c>
      <c r="C1226" s="4">
        <v>26</v>
      </c>
      <c r="D1226" s="4" t="s">
        <v>45</v>
      </c>
      <c r="E1226" s="4" t="s">
        <v>50</v>
      </c>
      <c r="F1226" s="4">
        <v>2305</v>
      </c>
      <c r="G1226" s="4" t="s">
        <v>43</v>
      </c>
      <c r="H1226" s="4">
        <v>3</v>
      </c>
      <c r="I1226" s="4">
        <v>0</v>
      </c>
      <c r="J1226" s="4">
        <v>3</v>
      </c>
      <c r="K1226" s="4">
        <v>4</v>
      </c>
      <c r="L1226" s="4" t="str">
        <f t="shared" si="29"/>
        <v>NORMAL</v>
      </c>
      <c r="M1226" s="4" t="str">
        <f t="shared" si="30"/>
        <v>LOW</v>
      </c>
      <c r="N1226" s="4" t="str">
        <f t="shared" si="31"/>
        <v>MID</v>
      </c>
      <c r="O1226" s="4" t="str">
        <f t="shared" si="32"/>
        <v>RECENTLY PROMOTED</v>
      </c>
      <c r="P1226" s="5" t="str">
        <f t="shared" si="33"/>
        <v>Low_Pressure</v>
      </c>
      <c r="Q1226" s="4" t="str">
        <f t="shared" si="34"/>
        <v>HIGHLY_ENGAGED</v>
      </c>
      <c r="R1226" s="4" t="str">
        <f t="shared" si="35"/>
        <v>LOW</v>
      </c>
      <c r="S1226" s="2"/>
      <c r="T1226" s="2"/>
      <c r="U1226" s="2"/>
      <c r="V1226" s="2"/>
      <c r="W1226" s="2"/>
      <c r="X1226" s="2"/>
      <c r="Y1226" s="2"/>
      <c r="Z1226" s="2"/>
    </row>
    <row r="1227" spans="1:26" ht="16.8" x14ac:dyDescent="0.3">
      <c r="A1227" s="4">
        <v>1719</v>
      </c>
      <c r="B1227" s="4" t="s">
        <v>43</v>
      </c>
      <c r="C1227" s="4">
        <v>45</v>
      </c>
      <c r="D1227" s="4" t="s">
        <v>45</v>
      </c>
      <c r="E1227" s="4" t="s">
        <v>58</v>
      </c>
      <c r="F1227" s="4">
        <v>16704</v>
      </c>
      <c r="G1227" s="4" t="s">
        <v>43</v>
      </c>
      <c r="H1227" s="4">
        <v>21</v>
      </c>
      <c r="I1227" s="4">
        <v>8</v>
      </c>
      <c r="J1227" s="4">
        <v>2</v>
      </c>
      <c r="K1227" s="4">
        <v>3</v>
      </c>
      <c r="L1227" s="4" t="str">
        <f t="shared" si="29"/>
        <v>NORMAL</v>
      </c>
      <c r="M1227" s="4" t="str">
        <f t="shared" si="30"/>
        <v>MEDIUM</v>
      </c>
      <c r="N1227" s="4" t="str">
        <f t="shared" si="31"/>
        <v>SENIOR</v>
      </c>
      <c r="O1227" s="4" t="str">
        <f t="shared" si="32"/>
        <v>STAGNANT</v>
      </c>
      <c r="P1227" s="5" t="str">
        <f t="shared" si="33"/>
        <v>Medium_Pressure</v>
      </c>
      <c r="Q1227" s="4" t="str">
        <f t="shared" si="34"/>
        <v>DISENGAGED</v>
      </c>
      <c r="R1227" s="4" t="str">
        <f t="shared" si="35"/>
        <v>LOW</v>
      </c>
      <c r="S1227" s="2"/>
      <c r="T1227" s="2"/>
      <c r="U1227" s="2"/>
      <c r="V1227" s="2"/>
      <c r="W1227" s="2"/>
      <c r="X1227" s="2"/>
      <c r="Y1227" s="2"/>
      <c r="Z1227" s="2"/>
    </row>
    <row r="1228" spans="1:26" ht="16.8" x14ac:dyDescent="0.3">
      <c r="A1228" s="4">
        <v>1720</v>
      </c>
      <c r="B1228" s="4" t="s">
        <v>43</v>
      </c>
      <c r="C1228" s="4">
        <v>32</v>
      </c>
      <c r="D1228" s="4" t="s">
        <v>45</v>
      </c>
      <c r="E1228" s="4" t="s">
        <v>47</v>
      </c>
      <c r="F1228" s="4">
        <v>3433</v>
      </c>
      <c r="G1228" s="4" t="s">
        <v>43</v>
      </c>
      <c r="H1228" s="4">
        <v>5</v>
      </c>
      <c r="I1228" s="4">
        <v>1</v>
      </c>
      <c r="J1228" s="4">
        <v>3</v>
      </c>
      <c r="K1228" s="4">
        <v>2</v>
      </c>
      <c r="L1228" s="4" t="str">
        <f t="shared" si="29"/>
        <v>NORMAL</v>
      </c>
      <c r="M1228" s="4" t="str">
        <f t="shared" si="30"/>
        <v>LOW</v>
      </c>
      <c r="N1228" s="4" t="str">
        <f t="shared" si="31"/>
        <v>MID</v>
      </c>
      <c r="O1228" s="4" t="str">
        <f t="shared" si="32"/>
        <v>RECENTLY PROMOTED</v>
      </c>
      <c r="P1228" s="5" t="str">
        <f t="shared" si="33"/>
        <v>Low_Pressure</v>
      </c>
      <c r="Q1228" s="4" t="str">
        <f t="shared" si="34"/>
        <v>DISENGAGED</v>
      </c>
      <c r="R1228" s="4" t="str">
        <f t="shared" si="35"/>
        <v>LOW</v>
      </c>
      <c r="S1228" s="2"/>
      <c r="T1228" s="2"/>
      <c r="U1228" s="2"/>
      <c r="V1228" s="2"/>
      <c r="W1228" s="2"/>
      <c r="X1228" s="2"/>
      <c r="Y1228" s="2"/>
      <c r="Z1228" s="2"/>
    </row>
    <row r="1229" spans="1:26" ht="16.8" x14ac:dyDescent="0.3">
      <c r="A1229" s="4">
        <v>1721</v>
      </c>
      <c r="B1229" s="4" t="s">
        <v>43</v>
      </c>
      <c r="C1229" s="4">
        <v>31</v>
      </c>
      <c r="D1229" s="4" t="s">
        <v>45</v>
      </c>
      <c r="E1229" s="4" t="s">
        <v>50</v>
      </c>
      <c r="F1229" s="4">
        <v>3477</v>
      </c>
      <c r="G1229" s="4" t="s">
        <v>43</v>
      </c>
      <c r="H1229" s="4">
        <v>5</v>
      </c>
      <c r="I1229" s="4">
        <v>0</v>
      </c>
      <c r="J1229" s="4">
        <v>3</v>
      </c>
      <c r="K1229" s="4">
        <v>4</v>
      </c>
      <c r="L1229" s="4" t="str">
        <f t="shared" si="29"/>
        <v>NORMAL</v>
      </c>
      <c r="M1229" s="4" t="str">
        <f t="shared" si="30"/>
        <v>LOW</v>
      </c>
      <c r="N1229" s="4" t="str">
        <f t="shared" si="31"/>
        <v>MID</v>
      </c>
      <c r="O1229" s="4" t="str">
        <f t="shared" si="32"/>
        <v>RECENTLY PROMOTED</v>
      </c>
      <c r="P1229" s="5" t="str">
        <f t="shared" si="33"/>
        <v>Low_Pressure</v>
      </c>
      <c r="Q1229" s="4" t="str">
        <f t="shared" si="34"/>
        <v>HIGHLY_ENGAGED</v>
      </c>
      <c r="R1229" s="4" t="str">
        <f t="shared" si="35"/>
        <v>LOW</v>
      </c>
      <c r="S1229" s="2"/>
      <c r="T1229" s="2"/>
      <c r="U1229" s="2"/>
      <c r="V1229" s="2"/>
      <c r="W1229" s="2"/>
      <c r="X1229" s="2"/>
      <c r="Y1229" s="2"/>
      <c r="Z1229" s="2"/>
    </row>
    <row r="1230" spans="1:26" ht="16.8" x14ac:dyDescent="0.3">
      <c r="A1230" s="4">
        <v>1722</v>
      </c>
      <c r="B1230" s="4" t="s">
        <v>43</v>
      </c>
      <c r="C1230" s="4">
        <v>41</v>
      </c>
      <c r="D1230" s="4" t="s">
        <v>61</v>
      </c>
      <c r="E1230" s="4" t="s">
        <v>61</v>
      </c>
      <c r="F1230" s="4">
        <v>6430</v>
      </c>
      <c r="G1230" s="4" t="s">
        <v>43</v>
      </c>
      <c r="H1230" s="4">
        <v>3</v>
      </c>
      <c r="I1230" s="4">
        <v>1</v>
      </c>
      <c r="J1230" s="4">
        <v>2</v>
      </c>
      <c r="K1230" s="4">
        <v>3</v>
      </c>
      <c r="L1230" s="4" t="str">
        <f t="shared" si="29"/>
        <v>NORMAL</v>
      </c>
      <c r="M1230" s="4" t="str">
        <f t="shared" si="30"/>
        <v>HIGH</v>
      </c>
      <c r="N1230" s="4" t="str">
        <f t="shared" si="31"/>
        <v>MID</v>
      </c>
      <c r="O1230" s="4" t="str">
        <f t="shared" si="32"/>
        <v>RECENTLY PROMOTED</v>
      </c>
      <c r="P1230" s="5" t="str">
        <f t="shared" si="33"/>
        <v>Medium_Pressure</v>
      </c>
      <c r="Q1230" s="4" t="str">
        <f t="shared" si="34"/>
        <v>DISENGAGED</v>
      </c>
      <c r="R1230" s="4" t="str">
        <f t="shared" si="35"/>
        <v>LOW</v>
      </c>
      <c r="S1230" s="2"/>
      <c r="T1230" s="2"/>
      <c r="U1230" s="2"/>
      <c r="V1230" s="2"/>
      <c r="W1230" s="2"/>
      <c r="X1230" s="2"/>
      <c r="Y1230" s="2"/>
      <c r="Z1230" s="2"/>
    </row>
    <row r="1231" spans="1:26" ht="16.8" x14ac:dyDescent="0.3">
      <c r="A1231" s="4">
        <v>1724</v>
      </c>
      <c r="B1231" s="4" t="s">
        <v>43</v>
      </c>
      <c r="C1231" s="4">
        <v>40</v>
      </c>
      <c r="D1231" s="4" t="s">
        <v>45</v>
      </c>
      <c r="E1231" s="4" t="s">
        <v>53</v>
      </c>
      <c r="F1231" s="4">
        <v>6516</v>
      </c>
      <c r="G1231" s="4" t="s">
        <v>35</v>
      </c>
      <c r="H1231" s="4">
        <v>1</v>
      </c>
      <c r="I1231" s="4">
        <v>0</v>
      </c>
      <c r="J1231" s="4">
        <v>1</v>
      </c>
      <c r="K1231" s="4">
        <v>3</v>
      </c>
      <c r="L1231" s="4" t="str">
        <f t="shared" si="29"/>
        <v>NORMAL</v>
      </c>
      <c r="M1231" s="4" t="str">
        <f t="shared" si="30"/>
        <v>HIGH</v>
      </c>
      <c r="N1231" s="4" t="str">
        <f t="shared" si="31"/>
        <v>NEW</v>
      </c>
      <c r="O1231" s="4" t="str">
        <f t="shared" si="32"/>
        <v>RECENTLY PROMOTED</v>
      </c>
      <c r="P1231" s="5" t="str">
        <f t="shared" si="33"/>
        <v>Medium_Pressure</v>
      </c>
      <c r="Q1231" s="4" t="str">
        <f t="shared" si="34"/>
        <v>DISENGAGED</v>
      </c>
      <c r="R1231" s="4" t="str">
        <f t="shared" si="35"/>
        <v>LOW</v>
      </c>
      <c r="S1231" s="2"/>
      <c r="T1231" s="2"/>
      <c r="U1231" s="2"/>
      <c r="V1231" s="2"/>
      <c r="W1231" s="2"/>
      <c r="X1231" s="2"/>
      <c r="Y1231" s="2"/>
      <c r="Z1231" s="2"/>
    </row>
    <row r="1232" spans="1:26" ht="16.8" x14ac:dyDescent="0.3">
      <c r="A1232" s="4">
        <v>1725</v>
      </c>
      <c r="B1232" s="4" t="s">
        <v>43</v>
      </c>
      <c r="C1232" s="4">
        <v>24</v>
      </c>
      <c r="D1232" s="4" t="s">
        <v>45</v>
      </c>
      <c r="E1232" s="4" t="s">
        <v>50</v>
      </c>
      <c r="F1232" s="4">
        <v>3907</v>
      </c>
      <c r="G1232" s="4" t="s">
        <v>43</v>
      </c>
      <c r="H1232" s="4">
        <v>6</v>
      </c>
      <c r="I1232" s="4">
        <v>1</v>
      </c>
      <c r="J1232" s="4">
        <v>1</v>
      </c>
      <c r="K1232" s="4">
        <v>4</v>
      </c>
      <c r="L1232" s="4" t="str">
        <f t="shared" si="29"/>
        <v>NORMAL</v>
      </c>
      <c r="M1232" s="4" t="str">
        <f t="shared" si="30"/>
        <v>LOW</v>
      </c>
      <c r="N1232" s="4" t="str">
        <f t="shared" si="31"/>
        <v>MID</v>
      </c>
      <c r="O1232" s="4" t="str">
        <f t="shared" si="32"/>
        <v>RECENTLY PROMOTED</v>
      </c>
      <c r="P1232" s="5" t="str">
        <f t="shared" si="33"/>
        <v>Low_Pressure</v>
      </c>
      <c r="Q1232" s="4" t="str">
        <f t="shared" si="34"/>
        <v>DISENGAGED</v>
      </c>
      <c r="R1232" s="4" t="str">
        <f t="shared" si="35"/>
        <v>LOW</v>
      </c>
      <c r="S1232" s="2"/>
      <c r="T1232" s="2"/>
      <c r="U1232" s="2"/>
      <c r="V1232" s="2"/>
      <c r="W1232" s="2"/>
      <c r="X1232" s="2"/>
      <c r="Y1232" s="2"/>
      <c r="Z1232" s="2"/>
    </row>
    <row r="1233" spans="1:26" ht="16.8" x14ac:dyDescent="0.3">
      <c r="A1233" s="4">
        <v>1727</v>
      </c>
      <c r="B1233" s="4" t="s">
        <v>43</v>
      </c>
      <c r="C1233" s="4">
        <v>46</v>
      </c>
      <c r="D1233" s="4" t="s">
        <v>45</v>
      </c>
      <c r="E1233" s="4" t="s">
        <v>54</v>
      </c>
      <c r="F1233" s="4">
        <v>5562</v>
      </c>
      <c r="G1233" s="4" t="s">
        <v>43</v>
      </c>
      <c r="H1233" s="4">
        <v>10</v>
      </c>
      <c r="I1233" s="4">
        <v>0</v>
      </c>
      <c r="J1233" s="4">
        <v>2</v>
      </c>
      <c r="K1233" s="4">
        <v>3</v>
      </c>
      <c r="L1233" s="4" t="str">
        <f t="shared" si="29"/>
        <v>NORMAL</v>
      </c>
      <c r="M1233" s="4" t="str">
        <f t="shared" si="30"/>
        <v>HIGH</v>
      </c>
      <c r="N1233" s="4" t="str">
        <f t="shared" si="31"/>
        <v>SENIOR</v>
      </c>
      <c r="O1233" s="4" t="str">
        <f t="shared" si="32"/>
        <v>RECENTLY PROMOTED</v>
      </c>
      <c r="P1233" s="5" t="str">
        <f t="shared" si="33"/>
        <v>Medium_Pressure</v>
      </c>
      <c r="Q1233" s="4" t="str">
        <f t="shared" si="34"/>
        <v>DISENGAGED</v>
      </c>
      <c r="R1233" s="4" t="str">
        <f t="shared" si="35"/>
        <v>LOW</v>
      </c>
      <c r="S1233" s="2"/>
      <c r="T1233" s="2"/>
      <c r="U1233" s="2"/>
      <c r="V1233" s="2"/>
      <c r="W1233" s="2"/>
      <c r="X1233" s="2"/>
      <c r="Y1233" s="2"/>
      <c r="Z1233" s="2"/>
    </row>
    <row r="1234" spans="1:26" ht="16.8" x14ac:dyDescent="0.3">
      <c r="A1234" s="4">
        <v>1728</v>
      </c>
      <c r="B1234" s="4" t="s">
        <v>43</v>
      </c>
      <c r="C1234" s="4">
        <v>35</v>
      </c>
      <c r="D1234" s="4" t="s">
        <v>45</v>
      </c>
      <c r="E1234" s="4" t="s">
        <v>53</v>
      </c>
      <c r="F1234" s="4">
        <v>6883</v>
      </c>
      <c r="G1234" s="4" t="s">
        <v>43</v>
      </c>
      <c r="H1234" s="4">
        <v>7</v>
      </c>
      <c r="I1234" s="4">
        <v>0</v>
      </c>
      <c r="J1234" s="4">
        <v>3</v>
      </c>
      <c r="K1234" s="4">
        <v>3</v>
      </c>
      <c r="L1234" s="4" t="str">
        <f t="shared" si="29"/>
        <v>NORMAL</v>
      </c>
      <c r="M1234" s="4" t="str">
        <f t="shared" si="30"/>
        <v>HIGH</v>
      </c>
      <c r="N1234" s="4" t="str">
        <f t="shared" si="31"/>
        <v>SENIOR</v>
      </c>
      <c r="O1234" s="4" t="str">
        <f t="shared" si="32"/>
        <v>RECENTLY PROMOTED</v>
      </c>
      <c r="P1234" s="5" t="str">
        <f t="shared" si="33"/>
        <v>Medium_Pressure</v>
      </c>
      <c r="Q1234" s="4" t="str">
        <f t="shared" si="34"/>
        <v>HIGHLY_ENGAGED</v>
      </c>
      <c r="R1234" s="4" t="str">
        <f t="shared" si="35"/>
        <v>LOW</v>
      </c>
      <c r="S1234" s="2"/>
      <c r="T1234" s="2"/>
      <c r="U1234" s="2"/>
      <c r="V1234" s="2"/>
      <c r="W1234" s="2"/>
      <c r="X1234" s="2"/>
      <c r="Y1234" s="2"/>
      <c r="Z1234" s="2"/>
    </row>
    <row r="1235" spans="1:26" ht="16.8" x14ac:dyDescent="0.3">
      <c r="A1235" s="4">
        <v>1729</v>
      </c>
      <c r="B1235" s="4" t="s">
        <v>43</v>
      </c>
      <c r="C1235" s="4">
        <v>30</v>
      </c>
      <c r="D1235" s="4" t="s">
        <v>45</v>
      </c>
      <c r="E1235" s="4" t="s">
        <v>47</v>
      </c>
      <c r="F1235" s="4">
        <v>2862</v>
      </c>
      <c r="G1235" s="4" t="s">
        <v>43</v>
      </c>
      <c r="H1235" s="4">
        <v>10</v>
      </c>
      <c r="I1235" s="4">
        <v>0</v>
      </c>
      <c r="J1235" s="4">
        <v>4</v>
      </c>
      <c r="K1235" s="4">
        <v>2</v>
      </c>
      <c r="L1235" s="4" t="str">
        <f t="shared" si="29"/>
        <v>NORMAL</v>
      </c>
      <c r="M1235" s="4" t="str">
        <f t="shared" si="30"/>
        <v>LOW</v>
      </c>
      <c r="N1235" s="4" t="str">
        <f t="shared" si="31"/>
        <v>SENIOR</v>
      </c>
      <c r="O1235" s="4" t="str">
        <f t="shared" si="32"/>
        <v>RECENTLY PROMOTED</v>
      </c>
      <c r="P1235" s="5" t="str">
        <f t="shared" si="33"/>
        <v>Low_Pressure</v>
      </c>
      <c r="Q1235" s="4" t="str">
        <f t="shared" si="34"/>
        <v>DISENGAGED</v>
      </c>
      <c r="R1235" s="4" t="str">
        <f t="shared" si="35"/>
        <v>LOW</v>
      </c>
      <c r="S1235" s="2"/>
      <c r="T1235" s="2"/>
      <c r="U1235" s="2"/>
      <c r="V1235" s="2"/>
      <c r="W1235" s="2"/>
      <c r="X1235" s="2"/>
      <c r="Y1235" s="2"/>
      <c r="Z1235" s="2"/>
    </row>
    <row r="1236" spans="1:26" ht="16.8" x14ac:dyDescent="0.3">
      <c r="A1236" s="4">
        <v>1731</v>
      </c>
      <c r="B1236" s="4" t="s">
        <v>43</v>
      </c>
      <c r="C1236" s="4">
        <v>47</v>
      </c>
      <c r="D1236" s="4" t="s">
        <v>37</v>
      </c>
      <c r="E1236" s="4" t="s">
        <v>40</v>
      </c>
      <c r="F1236" s="4">
        <v>4978</v>
      </c>
      <c r="G1236" s="4" t="s">
        <v>43</v>
      </c>
      <c r="H1236" s="4">
        <v>1</v>
      </c>
      <c r="I1236" s="4">
        <v>0</v>
      </c>
      <c r="J1236" s="4">
        <v>2</v>
      </c>
      <c r="K1236" s="4">
        <v>1</v>
      </c>
      <c r="L1236" s="4" t="str">
        <f t="shared" si="29"/>
        <v>NORMAL</v>
      </c>
      <c r="M1236" s="4" t="str">
        <f t="shared" si="30"/>
        <v>HIGH</v>
      </c>
      <c r="N1236" s="4" t="str">
        <f t="shared" si="31"/>
        <v>NEW</v>
      </c>
      <c r="O1236" s="4" t="str">
        <f t="shared" si="32"/>
        <v>RECENTLY PROMOTED</v>
      </c>
      <c r="P1236" s="5" t="str">
        <f t="shared" si="33"/>
        <v>Low_Pressure</v>
      </c>
      <c r="Q1236" s="4" t="str">
        <f t="shared" si="34"/>
        <v>DISENGAGED</v>
      </c>
      <c r="R1236" s="4" t="str">
        <f t="shared" si="35"/>
        <v>LOW</v>
      </c>
      <c r="S1236" s="2"/>
      <c r="T1236" s="2"/>
      <c r="U1236" s="2"/>
      <c r="V1236" s="2"/>
      <c r="W1236" s="2"/>
      <c r="X1236" s="2"/>
      <c r="Y1236" s="2"/>
      <c r="Z1236" s="2"/>
    </row>
    <row r="1237" spans="1:26" ht="16.8" x14ac:dyDescent="0.3">
      <c r="A1237" s="4">
        <v>1732</v>
      </c>
      <c r="B1237" s="4" t="s">
        <v>43</v>
      </c>
      <c r="C1237" s="4">
        <v>46</v>
      </c>
      <c r="D1237" s="4" t="s">
        <v>37</v>
      </c>
      <c r="E1237" s="4" t="s">
        <v>40</v>
      </c>
      <c r="F1237" s="4">
        <v>10368</v>
      </c>
      <c r="G1237" s="4" t="s">
        <v>35</v>
      </c>
      <c r="H1237" s="4">
        <v>10</v>
      </c>
      <c r="I1237" s="4">
        <v>0</v>
      </c>
      <c r="J1237" s="4">
        <v>4</v>
      </c>
      <c r="K1237" s="4">
        <v>2</v>
      </c>
      <c r="L1237" s="4" t="str">
        <f t="shared" si="29"/>
        <v>NORMAL</v>
      </c>
      <c r="M1237" s="4" t="str">
        <f t="shared" si="30"/>
        <v>MEDIUM</v>
      </c>
      <c r="N1237" s="4" t="str">
        <f t="shared" si="31"/>
        <v>SENIOR</v>
      </c>
      <c r="O1237" s="4" t="str">
        <f t="shared" si="32"/>
        <v>RECENTLY PROMOTED</v>
      </c>
      <c r="P1237" s="5" t="str">
        <f t="shared" si="33"/>
        <v>High_Pressure</v>
      </c>
      <c r="Q1237" s="4" t="str">
        <f t="shared" si="34"/>
        <v>DISENGAGED</v>
      </c>
      <c r="R1237" s="4" t="str">
        <f t="shared" si="35"/>
        <v>LOW</v>
      </c>
      <c r="S1237" s="2"/>
      <c r="T1237" s="2"/>
      <c r="U1237" s="2"/>
      <c r="V1237" s="2"/>
      <c r="W1237" s="2"/>
      <c r="X1237" s="2"/>
      <c r="Y1237" s="2"/>
      <c r="Z1237" s="2"/>
    </row>
    <row r="1238" spans="1:26" ht="16.8" x14ac:dyDescent="0.3">
      <c r="A1238" s="4">
        <v>1733</v>
      </c>
      <c r="B1238" s="4" t="s">
        <v>35</v>
      </c>
      <c r="C1238" s="4">
        <v>36</v>
      </c>
      <c r="D1238" s="4" t="s">
        <v>37</v>
      </c>
      <c r="E1238" s="4" t="s">
        <v>40</v>
      </c>
      <c r="F1238" s="4">
        <v>6134</v>
      </c>
      <c r="G1238" s="4" t="s">
        <v>35</v>
      </c>
      <c r="H1238" s="4">
        <v>2</v>
      </c>
      <c r="I1238" s="4">
        <v>2</v>
      </c>
      <c r="J1238" s="4">
        <v>1</v>
      </c>
      <c r="K1238" s="4">
        <v>3</v>
      </c>
      <c r="L1238" s="4" t="str">
        <f t="shared" si="29"/>
        <v>NORMAL</v>
      </c>
      <c r="M1238" s="4" t="str">
        <f t="shared" si="30"/>
        <v>HIGH</v>
      </c>
      <c r="N1238" s="4" t="str">
        <f t="shared" si="31"/>
        <v>NEW</v>
      </c>
      <c r="O1238" s="4" t="str">
        <f t="shared" si="32"/>
        <v>MODERATE-WAIT</v>
      </c>
      <c r="P1238" s="5" t="str">
        <f t="shared" si="33"/>
        <v>Medium_Pressure</v>
      </c>
      <c r="Q1238" s="4" t="str">
        <f t="shared" si="34"/>
        <v>DISENGAGED</v>
      </c>
      <c r="R1238" s="4" t="str">
        <f t="shared" si="35"/>
        <v>LOW</v>
      </c>
      <c r="S1238" s="2"/>
      <c r="T1238" s="2"/>
      <c r="U1238" s="2"/>
      <c r="V1238" s="2"/>
      <c r="W1238" s="2"/>
      <c r="X1238" s="2"/>
      <c r="Y1238" s="2"/>
      <c r="Z1238" s="2"/>
    </row>
    <row r="1239" spans="1:26" ht="16.8" x14ac:dyDescent="0.3">
      <c r="A1239" s="4">
        <v>1734</v>
      </c>
      <c r="B1239" s="4" t="s">
        <v>35</v>
      </c>
      <c r="C1239" s="4">
        <v>32</v>
      </c>
      <c r="D1239" s="4" t="s">
        <v>37</v>
      </c>
      <c r="E1239" s="4" t="s">
        <v>40</v>
      </c>
      <c r="F1239" s="4">
        <v>6735</v>
      </c>
      <c r="G1239" s="4" t="s">
        <v>43</v>
      </c>
      <c r="H1239" s="4">
        <v>0</v>
      </c>
      <c r="I1239" s="4">
        <v>0</v>
      </c>
      <c r="J1239" s="4">
        <v>2</v>
      </c>
      <c r="K1239" s="4">
        <v>3</v>
      </c>
      <c r="L1239" s="4" t="str">
        <f t="shared" si="29"/>
        <v>NORMAL</v>
      </c>
      <c r="M1239" s="4" t="str">
        <f t="shared" si="30"/>
        <v>HIGH</v>
      </c>
      <c r="N1239" s="4" t="str">
        <f t="shared" si="31"/>
        <v>NEW</v>
      </c>
      <c r="O1239" s="4" t="str">
        <f t="shared" si="32"/>
        <v>RECENTLY PROMOTED</v>
      </c>
      <c r="P1239" s="5" t="str">
        <f t="shared" si="33"/>
        <v>Medium_Pressure</v>
      </c>
      <c r="Q1239" s="4" t="str">
        <f t="shared" si="34"/>
        <v>DISENGAGED</v>
      </c>
      <c r="R1239" s="4" t="str">
        <f t="shared" si="35"/>
        <v>LOW</v>
      </c>
      <c r="S1239" s="2"/>
      <c r="T1239" s="2"/>
      <c r="U1239" s="2"/>
      <c r="V1239" s="2"/>
      <c r="W1239" s="2"/>
      <c r="X1239" s="2"/>
      <c r="Y1239" s="2"/>
      <c r="Z1239" s="2"/>
    </row>
    <row r="1240" spans="1:26" ht="16.8" x14ac:dyDescent="0.3">
      <c r="A1240" s="4">
        <v>1735</v>
      </c>
      <c r="B1240" s="4" t="s">
        <v>43</v>
      </c>
      <c r="C1240" s="4">
        <v>23</v>
      </c>
      <c r="D1240" s="4" t="s">
        <v>45</v>
      </c>
      <c r="E1240" s="4" t="s">
        <v>50</v>
      </c>
      <c r="F1240" s="4">
        <v>3295</v>
      </c>
      <c r="G1240" s="4" t="s">
        <v>43</v>
      </c>
      <c r="H1240" s="4">
        <v>3</v>
      </c>
      <c r="I1240" s="4">
        <v>1</v>
      </c>
      <c r="J1240" s="4">
        <v>2</v>
      </c>
      <c r="K1240" s="4">
        <v>1</v>
      </c>
      <c r="L1240" s="4" t="str">
        <f t="shared" si="29"/>
        <v>NORMAL</v>
      </c>
      <c r="M1240" s="4" t="str">
        <f t="shared" si="30"/>
        <v>LOW</v>
      </c>
      <c r="N1240" s="4" t="str">
        <f t="shared" si="31"/>
        <v>MID</v>
      </c>
      <c r="O1240" s="4" t="str">
        <f t="shared" si="32"/>
        <v>RECENTLY PROMOTED</v>
      </c>
      <c r="P1240" s="5" t="str">
        <f t="shared" si="33"/>
        <v>Low_Pressure</v>
      </c>
      <c r="Q1240" s="4" t="str">
        <f t="shared" si="34"/>
        <v>DISENGAGED</v>
      </c>
      <c r="R1240" s="4" t="str">
        <f t="shared" si="35"/>
        <v>LOW</v>
      </c>
      <c r="S1240" s="2"/>
      <c r="T1240" s="2"/>
      <c r="U1240" s="2"/>
      <c r="V1240" s="2"/>
      <c r="W1240" s="2"/>
      <c r="X1240" s="2"/>
      <c r="Y1240" s="2"/>
      <c r="Z1240" s="2"/>
    </row>
    <row r="1241" spans="1:26" ht="16.8" x14ac:dyDescent="0.3">
      <c r="A1241" s="4">
        <v>1736</v>
      </c>
      <c r="B1241" s="4" t="s">
        <v>43</v>
      </c>
      <c r="C1241" s="4">
        <v>31</v>
      </c>
      <c r="D1241" s="4" t="s">
        <v>45</v>
      </c>
      <c r="E1241" s="4" t="s">
        <v>53</v>
      </c>
      <c r="F1241" s="4">
        <v>5238</v>
      </c>
      <c r="G1241" s="4" t="s">
        <v>43</v>
      </c>
      <c r="H1241" s="4">
        <v>5</v>
      </c>
      <c r="I1241" s="4">
        <v>1</v>
      </c>
      <c r="J1241" s="4">
        <v>4</v>
      </c>
      <c r="K1241" s="4">
        <v>2</v>
      </c>
      <c r="L1241" s="4" t="str">
        <f t="shared" si="29"/>
        <v>NORMAL</v>
      </c>
      <c r="M1241" s="4" t="str">
        <f t="shared" si="30"/>
        <v>HIGH</v>
      </c>
      <c r="N1241" s="4" t="str">
        <f t="shared" si="31"/>
        <v>MID</v>
      </c>
      <c r="O1241" s="4" t="str">
        <f t="shared" si="32"/>
        <v>RECENTLY PROMOTED</v>
      </c>
      <c r="P1241" s="5" t="str">
        <f t="shared" si="33"/>
        <v>Low_Pressure</v>
      </c>
      <c r="Q1241" s="4" t="str">
        <f t="shared" si="34"/>
        <v>DISENGAGED</v>
      </c>
      <c r="R1241" s="4" t="str">
        <f t="shared" si="35"/>
        <v>LOW</v>
      </c>
      <c r="S1241" s="2"/>
      <c r="T1241" s="2"/>
      <c r="U1241" s="2"/>
      <c r="V1241" s="2"/>
      <c r="W1241" s="2"/>
      <c r="X1241" s="2"/>
      <c r="Y1241" s="2"/>
      <c r="Z1241" s="2"/>
    </row>
    <row r="1242" spans="1:26" ht="16.8" x14ac:dyDescent="0.3">
      <c r="A1242" s="4">
        <v>1737</v>
      </c>
      <c r="B1242" s="4" t="s">
        <v>43</v>
      </c>
      <c r="C1242" s="4">
        <v>39</v>
      </c>
      <c r="D1242" s="4" t="s">
        <v>45</v>
      </c>
      <c r="E1242" s="4" t="s">
        <v>50</v>
      </c>
      <c r="F1242" s="4">
        <v>6472</v>
      </c>
      <c r="G1242" s="4" t="s">
        <v>35</v>
      </c>
      <c r="H1242" s="4">
        <v>9</v>
      </c>
      <c r="I1242" s="4">
        <v>5</v>
      </c>
      <c r="J1242" s="4">
        <v>4</v>
      </c>
      <c r="K1242" s="4">
        <v>3</v>
      </c>
      <c r="L1242" s="4" t="str">
        <f t="shared" si="29"/>
        <v>NORMAL</v>
      </c>
      <c r="M1242" s="4" t="str">
        <f t="shared" si="30"/>
        <v>HIGH</v>
      </c>
      <c r="N1242" s="4" t="str">
        <f t="shared" si="31"/>
        <v>SENIOR</v>
      </c>
      <c r="O1242" s="4" t="str">
        <f t="shared" si="32"/>
        <v>STAGNANT</v>
      </c>
      <c r="P1242" s="5" t="str">
        <f t="shared" si="33"/>
        <v>Medium_Pressure</v>
      </c>
      <c r="Q1242" s="4" t="str">
        <f t="shared" si="34"/>
        <v>HIGHLY_ENGAGED</v>
      </c>
      <c r="R1242" s="4" t="str">
        <f t="shared" si="35"/>
        <v>LOW</v>
      </c>
      <c r="S1242" s="2"/>
      <c r="T1242" s="2"/>
      <c r="U1242" s="2"/>
      <c r="V1242" s="2"/>
      <c r="W1242" s="2"/>
      <c r="X1242" s="2"/>
      <c r="Y1242" s="2"/>
      <c r="Z1242" s="2"/>
    </row>
    <row r="1243" spans="1:26" ht="16.8" x14ac:dyDescent="0.3">
      <c r="A1243" s="4">
        <v>1739</v>
      </c>
      <c r="B1243" s="4" t="s">
        <v>43</v>
      </c>
      <c r="C1243" s="4">
        <v>32</v>
      </c>
      <c r="D1243" s="4" t="s">
        <v>37</v>
      </c>
      <c r="E1243" s="4" t="s">
        <v>40</v>
      </c>
      <c r="F1243" s="4">
        <v>9610</v>
      </c>
      <c r="G1243" s="4" t="s">
        <v>43</v>
      </c>
      <c r="H1243" s="4">
        <v>4</v>
      </c>
      <c r="I1243" s="4">
        <v>0</v>
      </c>
      <c r="J1243" s="4">
        <v>3</v>
      </c>
      <c r="K1243" s="4">
        <v>1</v>
      </c>
      <c r="L1243" s="4" t="str">
        <f t="shared" si="29"/>
        <v>NORMAL</v>
      </c>
      <c r="M1243" s="4" t="str">
        <f t="shared" si="30"/>
        <v>MEDIUM</v>
      </c>
      <c r="N1243" s="4" t="str">
        <f t="shared" si="31"/>
        <v>MID</v>
      </c>
      <c r="O1243" s="4" t="str">
        <f t="shared" si="32"/>
        <v>RECENTLY PROMOTED</v>
      </c>
      <c r="P1243" s="5" t="str">
        <f t="shared" si="33"/>
        <v>Low_Pressure</v>
      </c>
      <c r="Q1243" s="4" t="str">
        <f t="shared" si="34"/>
        <v>DISENGAGED</v>
      </c>
      <c r="R1243" s="4" t="str">
        <f t="shared" si="35"/>
        <v>LOW</v>
      </c>
      <c r="S1243" s="2"/>
      <c r="T1243" s="2"/>
      <c r="U1243" s="2"/>
      <c r="V1243" s="2"/>
      <c r="W1243" s="2"/>
      <c r="X1243" s="2"/>
      <c r="Y1243" s="2"/>
      <c r="Z1243" s="2"/>
    </row>
    <row r="1244" spans="1:26" ht="16.8" x14ac:dyDescent="0.3">
      <c r="A1244" s="4">
        <v>1740</v>
      </c>
      <c r="B1244" s="4" t="s">
        <v>43</v>
      </c>
      <c r="C1244" s="4">
        <v>40</v>
      </c>
      <c r="D1244" s="4" t="s">
        <v>37</v>
      </c>
      <c r="E1244" s="4" t="s">
        <v>56</v>
      </c>
      <c r="F1244" s="4">
        <v>19833</v>
      </c>
      <c r="G1244" s="4" t="s">
        <v>43</v>
      </c>
      <c r="H1244" s="4">
        <v>21</v>
      </c>
      <c r="I1244" s="4">
        <v>12</v>
      </c>
      <c r="J1244" s="4">
        <v>2</v>
      </c>
      <c r="K1244" s="4">
        <v>2</v>
      </c>
      <c r="L1244" s="4" t="str">
        <f t="shared" si="29"/>
        <v>NORMAL</v>
      </c>
      <c r="M1244" s="4" t="str">
        <f t="shared" si="30"/>
        <v>MEDIUM</v>
      </c>
      <c r="N1244" s="4" t="str">
        <f t="shared" si="31"/>
        <v>SENIOR</v>
      </c>
      <c r="O1244" s="4" t="str">
        <f t="shared" si="32"/>
        <v>STAGNANT</v>
      </c>
      <c r="P1244" s="5" t="str">
        <f t="shared" si="33"/>
        <v>Low_Pressure</v>
      </c>
      <c r="Q1244" s="4" t="str">
        <f t="shared" si="34"/>
        <v>DISENGAGED</v>
      </c>
      <c r="R1244" s="4" t="str">
        <f t="shared" si="35"/>
        <v>LOW</v>
      </c>
      <c r="S1244" s="2"/>
      <c r="T1244" s="2"/>
      <c r="U1244" s="2"/>
      <c r="V1244" s="2"/>
      <c r="W1244" s="2"/>
      <c r="X1244" s="2"/>
      <c r="Y1244" s="2"/>
      <c r="Z1244" s="2"/>
    </row>
    <row r="1245" spans="1:26" ht="16.8" x14ac:dyDescent="0.3">
      <c r="A1245" s="4">
        <v>1744</v>
      </c>
      <c r="B1245" s="4" t="s">
        <v>43</v>
      </c>
      <c r="C1245" s="4">
        <v>45</v>
      </c>
      <c r="D1245" s="4" t="s">
        <v>61</v>
      </c>
      <c r="E1245" s="4" t="s">
        <v>61</v>
      </c>
      <c r="F1245" s="4">
        <v>9756</v>
      </c>
      <c r="G1245" s="4" t="s">
        <v>43</v>
      </c>
      <c r="H1245" s="4">
        <v>5</v>
      </c>
      <c r="I1245" s="4">
        <v>0</v>
      </c>
      <c r="J1245" s="4">
        <v>3</v>
      </c>
      <c r="K1245" s="4">
        <v>4</v>
      </c>
      <c r="L1245" s="4" t="str">
        <f t="shared" si="29"/>
        <v>NORMAL</v>
      </c>
      <c r="M1245" s="4" t="str">
        <f t="shared" si="30"/>
        <v>MEDIUM</v>
      </c>
      <c r="N1245" s="4" t="str">
        <f t="shared" si="31"/>
        <v>MID</v>
      </c>
      <c r="O1245" s="4" t="str">
        <f t="shared" si="32"/>
        <v>RECENTLY PROMOTED</v>
      </c>
      <c r="P1245" s="5" t="str">
        <f t="shared" si="33"/>
        <v>Low_Pressure</v>
      </c>
      <c r="Q1245" s="4" t="str">
        <f t="shared" si="34"/>
        <v>HIGHLY_ENGAGED</v>
      </c>
      <c r="R1245" s="4" t="str">
        <f t="shared" si="35"/>
        <v>LOW</v>
      </c>
      <c r="S1245" s="2"/>
      <c r="T1245" s="2"/>
      <c r="U1245" s="2"/>
      <c r="V1245" s="2"/>
      <c r="W1245" s="2"/>
      <c r="X1245" s="2"/>
      <c r="Y1245" s="2"/>
      <c r="Z1245" s="2"/>
    </row>
    <row r="1246" spans="1:26" ht="16.8" x14ac:dyDescent="0.3">
      <c r="A1246" s="4">
        <v>1745</v>
      </c>
      <c r="B1246" s="4" t="s">
        <v>43</v>
      </c>
      <c r="C1246" s="4">
        <v>30</v>
      </c>
      <c r="D1246" s="4" t="s">
        <v>45</v>
      </c>
      <c r="E1246" s="4" t="s">
        <v>47</v>
      </c>
      <c r="F1246" s="4">
        <v>4968</v>
      </c>
      <c r="G1246" s="4" t="s">
        <v>43</v>
      </c>
      <c r="H1246" s="4">
        <v>9</v>
      </c>
      <c r="I1246" s="4">
        <v>0</v>
      </c>
      <c r="J1246" s="4">
        <v>1</v>
      </c>
      <c r="K1246" s="4">
        <v>3</v>
      </c>
      <c r="L1246" s="4" t="str">
        <f t="shared" si="29"/>
        <v>NORMAL</v>
      </c>
      <c r="M1246" s="4" t="str">
        <f t="shared" si="30"/>
        <v>HIGH</v>
      </c>
      <c r="N1246" s="4" t="str">
        <f t="shared" si="31"/>
        <v>SENIOR</v>
      </c>
      <c r="O1246" s="4" t="str">
        <f t="shared" si="32"/>
        <v>RECENTLY PROMOTED</v>
      </c>
      <c r="P1246" s="5" t="str">
        <f t="shared" si="33"/>
        <v>Medium_Pressure</v>
      </c>
      <c r="Q1246" s="4" t="str">
        <f t="shared" si="34"/>
        <v>DISENGAGED</v>
      </c>
      <c r="R1246" s="4" t="str">
        <f t="shared" si="35"/>
        <v>LOW</v>
      </c>
      <c r="S1246" s="2"/>
      <c r="T1246" s="2"/>
      <c r="U1246" s="2"/>
      <c r="V1246" s="2"/>
      <c r="W1246" s="2"/>
      <c r="X1246" s="2"/>
      <c r="Y1246" s="2"/>
      <c r="Z1246" s="2"/>
    </row>
    <row r="1247" spans="1:26" ht="16.8" x14ac:dyDescent="0.3">
      <c r="A1247" s="4">
        <v>1746</v>
      </c>
      <c r="B1247" s="4" t="s">
        <v>43</v>
      </c>
      <c r="C1247" s="4">
        <v>24</v>
      </c>
      <c r="D1247" s="4" t="s">
        <v>61</v>
      </c>
      <c r="E1247" s="4" t="s">
        <v>61</v>
      </c>
      <c r="F1247" s="4">
        <v>2145</v>
      </c>
      <c r="G1247" s="4" t="s">
        <v>43</v>
      </c>
      <c r="H1247" s="4">
        <v>2</v>
      </c>
      <c r="I1247" s="4">
        <v>2</v>
      </c>
      <c r="J1247" s="4">
        <v>4</v>
      </c>
      <c r="K1247" s="4">
        <v>3</v>
      </c>
      <c r="L1247" s="4" t="str">
        <f t="shared" si="29"/>
        <v>NORMAL</v>
      </c>
      <c r="M1247" s="4" t="str">
        <f t="shared" si="30"/>
        <v>LOW</v>
      </c>
      <c r="N1247" s="4" t="str">
        <f t="shared" si="31"/>
        <v>NEW</v>
      </c>
      <c r="O1247" s="4" t="str">
        <f t="shared" si="32"/>
        <v>MODERATE-WAIT</v>
      </c>
      <c r="P1247" s="5" t="str">
        <f t="shared" si="33"/>
        <v>Medium_Pressure</v>
      </c>
      <c r="Q1247" s="4" t="str">
        <f t="shared" si="34"/>
        <v>HIGHLY_ENGAGED</v>
      </c>
      <c r="R1247" s="4" t="str">
        <f t="shared" si="35"/>
        <v>LOW</v>
      </c>
      <c r="S1247" s="2"/>
      <c r="T1247" s="2"/>
      <c r="U1247" s="2"/>
      <c r="V1247" s="2"/>
      <c r="W1247" s="2"/>
      <c r="X1247" s="2"/>
      <c r="Y1247" s="2"/>
      <c r="Z1247" s="2"/>
    </row>
    <row r="1248" spans="1:26" ht="16.8" x14ac:dyDescent="0.3">
      <c r="A1248" s="4">
        <v>1747</v>
      </c>
      <c r="B1248" s="4" t="s">
        <v>35</v>
      </c>
      <c r="C1248" s="4">
        <v>30</v>
      </c>
      <c r="D1248" s="4" t="s">
        <v>61</v>
      </c>
      <c r="E1248" s="4" t="s">
        <v>61</v>
      </c>
      <c r="F1248" s="4">
        <v>2180</v>
      </c>
      <c r="G1248" s="4" t="s">
        <v>43</v>
      </c>
      <c r="H1248" s="4">
        <v>4</v>
      </c>
      <c r="I1248" s="4">
        <v>1</v>
      </c>
      <c r="J1248" s="4">
        <v>4</v>
      </c>
      <c r="K1248" s="4">
        <v>2</v>
      </c>
      <c r="L1248" s="4" t="str">
        <f t="shared" si="29"/>
        <v>NORMAL</v>
      </c>
      <c r="M1248" s="4" t="str">
        <f t="shared" si="30"/>
        <v>LOW</v>
      </c>
      <c r="N1248" s="4" t="str">
        <f t="shared" si="31"/>
        <v>MID</v>
      </c>
      <c r="O1248" s="4" t="str">
        <f t="shared" si="32"/>
        <v>RECENTLY PROMOTED</v>
      </c>
      <c r="P1248" s="5" t="str">
        <f t="shared" si="33"/>
        <v>Low_Pressure</v>
      </c>
      <c r="Q1248" s="4" t="str">
        <f t="shared" si="34"/>
        <v>DISENGAGED</v>
      </c>
      <c r="R1248" s="4" t="str">
        <f t="shared" si="35"/>
        <v>LOW</v>
      </c>
      <c r="S1248" s="2"/>
      <c r="T1248" s="2"/>
      <c r="U1248" s="2"/>
      <c r="V1248" s="2"/>
      <c r="W1248" s="2"/>
      <c r="X1248" s="2"/>
      <c r="Y1248" s="2"/>
      <c r="Z1248" s="2"/>
    </row>
    <row r="1249" spans="1:26" ht="16.8" x14ac:dyDescent="0.3">
      <c r="A1249" s="4">
        <v>1749</v>
      </c>
      <c r="B1249" s="4" t="s">
        <v>43</v>
      </c>
      <c r="C1249" s="4">
        <v>31</v>
      </c>
      <c r="D1249" s="4" t="s">
        <v>37</v>
      </c>
      <c r="E1249" s="4" t="s">
        <v>40</v>
      </c>
      <c r="F1249" s="4">
        <v>8346</v>
      </c>
      <c r="G1249" s="4" t="s">
        <v>43</v>
      </c>
      <c r="H1249" s="4">
        <v>5</v>
      </c>
      <c r="I1249" s="4">
        <v>0</v>
      </c>
      <c r="J1249" s="4">
        <v>3</v>
      </c>
      <c r="K1249" s="4">
        <v>3</v>
      </c>
      <c r="L1249" s="4" t="str">
        <f t="shared" si="29"/>
        <v>NORMAL</v>
      </c>
      <c r="M1249" s="4" t="str">
        <f t="shared" si="30"/>
        <v>HIGH</v>
      </c>
      <c r="N1249" s="4" t="str">
        <f t="shared" si="31"/>
        <v>MID</v>
      </c>
      <c r="O1249" s="4" t="str">
        <f t="shared" si="32"/>
        <v>RECENTLY PROMOTED</v>
      </c>
      <c r="P1249" s="5" t="str">
        <f t="shared" si="33"/>
        <v>Medium_Pressure</v>
      </c>
      <c r="Q1249" s="4" t="str">
        <f t="shared" si="34"/>
        <v>HIGHLY_ENGAGED</v>
      </c>
      <c r="R1249" s="4" t="str">
        <f t="shared" si="35"/>
        <v>LOW</v>
      </c>
      <c r="S1249" s="2"/>
      <c r="T1249" s="2"/>
      <c r="U1249" s="2"/>
      <c r="V1249" s="2"/>
      <c r="W1249" s="2"/>
      <c r="X1249" s="2"/>
      <c r="Y1249" s="2"/>
      <c r="Z1249" s="2"/>
    </row>
    <row r="1250" spans="1:26" ht="16.8" x14ac:dyDescent="0.3">
      <c r="A1250" s="4">
        <v>1751</v>
      </c>
      <c r="B1250" s="4" t="s">
        <v>43</v>
      </c>
      <c r="C1250" s="4">
        <v>27</v>
      </c>
      <c r="D1250" s="4" t="s">
        <v>45</v>
      </c>
      <c r="E1250" s="4" t="s">
        <v>47</v>
      </c>
      <c r="F1250" s="4">
        <v>3445</v>
      </c>
      <c r="G1250" s="4" t="s">
        <v>43</v>
      </c>
      <c r="H1250" s="4">
        <v>6</v>
      </c>
      <c r="I1250" s="4">
        <v>1</v>
      </c>
      <c r="J1250" s="4">
        <v>4</v>
      </c>
      <c r="K1250" s="4">
        <v>2</v>
      </c>
      <c r="L1250" s="4" t="str">
        <f t="shared" si="29"/>
        <v>NORMAL</v>
      </c>
      <c r="M1250" s="4" t="str">
        <f t="shared" si="30"/>
        <v>LOW</v>
      </c>
      <c r="N1250" s="4" t="str">
        <f t="shared" si="31"/>
        <v>MID</v>
      </c>
      <c r="O1250" s="4" t="str">
        <f t="shared" si="32"/>
        <v>RECENTLY PROMOTED</v>
      </c>
      <c r="P1250" s="5" t="str">
        <f t="shared" si="33"/>
        <v>Low_Pressure</v>
      </c>
      <c r="Q1250" s="4" t="str">
        <f t="shared" si="34"/>
        <v>DISENGAGED</v>
      </c>
      <c r="R1250" s="4" t="str">
        <f t="shared" si="35"/>
        <v>LOW</v>
      </c>
      <c r="S1250" s="2"/>
      <c r="T1250" s="2"/>
      <c r="U1250" s="2"/>
      <c r="V1250" s="2"/>
      <c r="W1250" s="2"/>
      <c r="X1250" s="2"/>
      <c r="Y1250" s="2"/>
      <c r="Z1250" s="2"/>
    </row>
    <row r="1251" spans="1:26" ht="16.8" x14ac:dyDescent="0.3">
      <c r="A1251" s="4">
        <v>1752</v>
      </c>
      <c r="B1251" s="4" t="s">
        <v>35</v>
      </c>
      <c r="C1251" s="4">
        <v>29</v>
      </c>
      <c r="D1251" s="4" t="s">
        <v>37</v>
      </c>
      <c r="E1251" s="4" t="s">
        <v>57</v>
      </c>
      <c r="F1251" s="4">
        <v>2760</v>
      </c>
      <c r="G1251" s="4" t="s">
        <v>43</v>
      </c>
      <c r="H1251" s="4">
        <v>2</v>
      </c>
      <c r="I1251" s="4">
        <v>2</v>
      </c>
      <c r="J1251" s="4">
        <v>2</v>
      </c>
      <c r="K1251" s="4">
        <v>3</v>
      </c>
      <c r="L1251" s="4" t="str">
        <f t="shared" si="29"/>
        <v>NORMAL</v>
      </c>
      <c r="M1251" s="4" t="str">
        <f t="shared" si="30"/>
        <v>LOW</v>
      </c>
      <c r="N1251" s="4" t="str">
        <f t="shared" si="31"/>
        <v>NEW</v>
      </c>
      <c r="O1251" s="4" t="str">
        <f t="shared" si="32"/>
        <v>MODERATE-WAIT</v>
      </c>
      <c r="P1251" s="5" t="str">
        <f t="shared" si="33"/>
        <v>Medium_Pressure</v>
      </c>
      <c r="Q1251" s="4" t="str">
        <f t="shared" si="34"/>
        <v>DISENGAGED</v>
      </c>
      <c r="R1251" s="4" t="str">
        <f t="shared" si="35"/>
        <v>LOW</v>
      </c>
      <c r="S1251" s="2"/>
      <c r="T1251" s="2"/>
      <c r="U1251" s="2"/>
      <c r="V1251" s="2"/>
      <c r="W1251" s="2"/>
      <c r="X1251" s="2"/>
      <c r="Y1251" s="2"/>
      <c r="Z1251" s="2"/>
    </row>
    <row r="1252" spans="1:26" ht="16.8" x14ac:dyDescent="0.3">
      <c r="A1252" s="4">
        <v>1753</v>
      </c>
      <c r="B1252" s="4" t="s">
        <v>43</v>
      </c>
      <c r="C1252" s="4">
        <v>29</v>
      </c>
      <c r="D1252" s="4" t="s">
        <v>45</v>
      </c>
      <c r="E1252" s="4" t="s">
        <v>54</v>
      </c>
      <c r="F1252" s="4">
        <v>6294</v>
      </c>
      <c r="G1252" s="4" t="s">
        <v>35</v>
      </c>
      <c r="H1252" s="4">
        <v>3</v>
      </c>
      <c r="I1252" s="4">
        <v>0</v>
      </c>
      <c r="J1252" s="4">
        <v>3</v>
      </c>
      <c r="K1252" s="4">
        <v>4</v>
      </c>
      <c r="L1252" s="4" t="str">
        <f t="shared" si="29"/>
        <v>NORMAL</v>
      </c>
      <c r="M1252" s="4" t="str">
        <f t="shared" si="30"/>
        <v>HIGH</v>
      </c>
      <c r="N1252" s="4" t="str">
        <f t="shared" si="31"/>
        <v>MID</v>
      </c>
      <c r="O1252" s="4" t="str">
        <f t="shared" si="32"/>
        <v>RECENTLY PROMOTED</v>
      </c>
      <c r="P1252" s="5" t="str">
        <f t="shared" si="33"/>
        <v>Medium_Pressure</v>
      </c>
      <c r="Q1252" s="4" t="str">
        <f t="shared" si="34"/>
        <v>HIGHLY_ENGAGED</v>
      </c>
      <c r="R1252" s="4" t="str">
        <f t="shared" si="35"/>
        <v>LOW</v>
      </c>
      <c r="S1252" s="2"/>
      <c r="T1252" s="2"/>
      <c r="U1252" s="2"/>
      <c r="V1252" s="2"/>
      <c r="W1252" s="2"/>
      <c r="X1252" s="2"/>
      <c r="Y1252" s="2"/>
      <c r="Z1252" s="2"/>
    </row>
    <row r="1253" spans="1:26" ht="16.8" x14ac:dyDescent="0.3">
      <c r="A1253" s="4">
        <v>1754</v>
      </c>
      <c r="B1253" s="4" t="s">
        <v>43</v>
      </c>
      <c r="C1253" s="4">
        <v>30</v>
      </c>
      <c r="D1253" s="4" t="s">
        <v>37</v>
      </c>
      <c r="E1253" s="4" t="s">
        <v>40</v>
      </c>
      <c r="F1253" s="4">
        <v>7140</v>
      </c>
      <c r="G1253" s="4" t="s">
        <v>43</v>
      </c>
      <c r="H1253" s="4">
        <v>7</v>
      </c>
      <c r="I1253" s="4">
        <v>1</v>
      </c>
      <c r="J1253" s="4">
        <v>1</v>
      </c>
      <c r="K1253" s="4">
        <v>3</v>
      </c>
      <c r="L1253" s="4" t="str">
        <f t="shared" si="29"/>
        <v>NORMAL</v>
      </c>
      <c r="M1253" s="4" t="str">
        <f t="shared" si="30"/>
        <v>HIGH</v>
      </c>
      <c r="N1253" s="4" t="str">
        <f t="shared" si="31"/>
        <v>SENIOR</v>
      </c>
      <c r="O1253" s="4" t="str">
        <f t="shared" si="32"/>
        <v>RECENTLY PROMOTED</v>
      </c>
      <c r="P1253" s="5" t="str">
        <f t="shared" si="33"/>
        <v>Medium_Pressure</v>
      </c>
      <c r="Q1253" s="4" t="str">
        <f t="shared" si="34"/>
        <v>DISENGAGED</v>
      </c>
      <c r="R1253" s="4" t="str">
        <f t="shared" si="35"/>
        <v>LOW</v>
      </c>
      <c r="S1253" s="2"/>
      <c r="T1253" s="2"/>
      <c r="U1253" s="2"/>
      <c r="V1253" s="2"/>
      <c r="W1253" s="2"/>
      <c r="X1253" s="2"/>
      <c r="Y1253" s="2"/>
      <c r="Z1253" s="2"/>
    </row>
    <row r="1254" spans="1:26" ht="16.8" x14ac:dyDescent="0.3">
      <c r="A1254" s="4">
        <v>1755</v>
      </c>
      <c r="B1254" s="4" t="s">
        <v>43</v>
      </c>
      <c r="C1254" s="4">
        <v>34</v>
      </c>
      <c r="D1254" s="4" t="s">
        <v>45</v>
      </c>
      <c r="E1254" s="4" t="s">
        <v>47</v>
      </c>
      <c r="F1254" s="4">
        <v>2932</v>
      </c>
      <c r="G1254" s="4" t="s">
        <v>35</v>
      </c>
      <c r="H1254" s="4">
        <v>5</v>
      </c>
      <c r="I1254" s="4">
        <v>1</v>
      </c>
      <c r="J1254" s="4">
        <v>4</v>
      </c>
      <c r="K1254" s="4">
        <v>3</v>
      </c>
      <c r="L1254" s="4" t="str">
        <f t="shared" si="29"/>
        <v>NORMAL</v>
      </c>
      <c r="M1254" s="4" t="str">
        <f t="shared" si="30"/>
        <v>LOW</v>
      </c>
      <c r="N1254" s="4" t="str">
        <f t="shared" si="31"/>
        <v>MID</v>
      </c>
      <c r="O1254" s="4" t="str">
        <f t="shared" si="32"/>
        <v>RECENTLY PROMOTED</v>
      </c>
      <c r="P1254" s="5" t="str">
        <f t="shared" si="33"/>
        <v>Medium_Pressure</v>
      </c>
      <c r="Q1254" s="4" t="str">
        <f t="shared" si="34"/>
        <v>HIGHLY_ENGAGED</v>
      </c>
      <c r="R1254" s="4" t="str">
        <f t="shared" si="35"/>
        <v>LOW</v>
      </c>
      <c r="S1254" s="2"/>
      <c r="T1254" s="2"/>
      <c r="U1254" s="2"/>
      <c r="V1254" s="2"/>
      <c r="W1254" s="2"/>
      <c r="X1254" s="2"/>
      <c r="Y1254" s="2"/>
      <c r="Z1254" s="2"/>
    </row>
    <row r="1255" spans="1:26" ht="16.8" x14ac:dyDescent="0.3">
      <c r="A1255" s="4">
        <v>1756</v>
      </c>
      <c r="B1255" s="4" t="s">
        <v>43</v>
      </c>
      <c r="C1255" s="4">
        <v>33</v>
      </c>
      <c r="D1255" s="4" t="s">
        <v>37</v>
      </c>
      <c r="E1255" s="4" t="s">
        <v>40</v>
      </c>
      <c r="F1255" s="4">
        <v>5147</v>
      </c>
      <c r="G1255" s="4" t="s">
        <v>43</v>
      </c>
      <c r="H1255" s="4">
        <v>11</v>
      </c>
      <c r="I1255" s="4">
        <v>1</v>
      </c>
      <c r="J1255" s="4">
        <v>2</v>
      </c>
      <c r="K1255" s="4">
        <v>2</v>
      </c>
      <c r="L1255" s="4" t="str">
        <f t="shared" si="29"/>
        <v>NORMAL</v>
      </c>
      <c r="M1255" s="4" t="str">
        <f t="shared" si="30"/>
        <v>HIGH</v>
      </c>
      <c r="N1255" s="4" t="str">
        <f t="shared" si="31"/>
        <v>SENIOR</v>
      </c>
      <c r="O1255" s="4" t="str">
        <f t="shared" si="32"/>
        <v>RECENTLY PROMOTED</v>
      </c>
      <c r="P1255" s="5" t="str">
        <f t="shared" si="33"/>
        <v>Low_Pressure</v>
      </c>
      <c r="Q1255" s="4" t="str">
        <f t="shared" si="34"/>
        <v>DISENGAGED</v>
      </c>
      <c r="R1255" s="4" t="str">
        <f t="shared" si="35"/>
        <v>LOW</v>
      </c>
      <c r="S1255" s="2"/>
      <c r="T1255" s="2"/>
      <c r="U1255" s="2"/>
      <c r="V1255" s="2"/>
      <c r="W1255" s="2"/>
      <c r="X1255" s="2"/>
      <c r="Y1255" s="2"/>
      <c r="Z1255" s="2"/>
    </row>
    <row r="1256" spans="1:26" ht="16.8" x14ac:dyDescent="0.3">
      <c r="A1256" s="4">
        <v>1757</v>
      </c>
      <c r="B1256" s="4" t="s">
        <v>43</v>
      </c>
      <c r="C1256" s="4">
        <v>49</v>
      </c>
      <c r="D1256" s="4" t="s">
        <v>37</v>
      </c>
      <c r="E1256" s="4" t="s">
        <v>40</v>
      </c>
      <c r="F1256" s="4">
        <v>4507</v>
      </c>
      <c r="G1256" s="4" t="s">
        <v>43</v>
      </c>
      <c r="H1256" s="4">
        <v>5</v>
      </c>
      <c r="I1256" s="4">
        <v>0</v>
      </c>
      <c r="J1256" s="4">
        <v>4</v>
      </c>
      <c r="K1256" s="4">
        <v>4</v>
      </c>
      <c r="L1256" s="4" t="str">
        <f t="shared" si="29"/>
        <v>NORMAL</v>
      </c>
      <c r="M1256" s="4" t="str">
        <f t="shared" si="30"/>
        <v>HIGH</v>
      </c>
      <c r="N1256" s="4" t="str">
        <f t="shared" si="31"/>
        <v>MID</v>
      </c>
      <c r="O1256" s="4" t="str">
        <f t="shared" si="32"/>
        <v>RECENTLY PROMOTED</v>
      </c>
      <c r="P1256" s="5" t="str">
        <f t="shared" si="33"/>
        <v>Low_Pressure</v>
      </c>
      <c r="Q1256" s="4" t="str">
        <f t="shared" si="34"/>
        <v>HIGHLY_ENGAGED</v>
      </c>
      <c r="R1256" s="4" t="str">
        <f t="shared" si="35"/>
        <v>LOW</v>
      </c>
      <c r="S1256" s="2"/>
      <c r="T1256" s="2"/>
      <c r="U1256" s="2"/>
      <c r="V1256" s="2"/>
      <c r="W1256" s="2"/>
      <c r="X1256" s="2"/>
      <c r="Y1256" s="2"/>
      <c r="Z1256" s="2"/>
    </row>
    <row r="1257" spans="1:26" ht="16.8" x14ac:dyDescent="0.3">
      <c r="A1257" s="4">
        <v>1758</v>
      </c>
      <c r="B1257" s="4" t="s">
        <v>35</v>
      </c>
      <c r="C1257" s="4">
        <v>33</v>
      </c>
      <c r="D1257" s="4" t="s">
        <v>37</v>
      </c>
      <c r="E1257" s="4" t="s">
        <v>40</v>
      </c>
      <c r="F1257" s="4">
        <v>8564</v>
      </c>
      <c r="G1257" s="4" t="s">
        <v>35</v>
      </c>
      <c r="H1257" s="4">
        <v>0</v>
      </c>
      <c r="I1257" s="4">
        <v>0</v>
      </c>
      <c r="J1257" s="4">
        <v>1</v>
      </c>
      <c r="K1257" s="4">
        <v>2</v>
      </c>
      <c r="L1257" s="4" t="str">
        <f t="shared" si="29"/>
        <v>NORMAL</v>
      </c>
      <c r="M1257" s="4" t="str">
        <f t="shared" si="30"/>
        <v>HIGH</v>
      </c>
      <c r="N1257" s="4" t="str">
        <f t="shared" si="31"/>
        <v>NEW</v>
      </c>
      <c r="O1257" s="4" t="str">
        <f t="shared" si="32"/>
        <v>RECENTLY PROMOTED</v>
      </c>
      <c r="P1257" s="5" t="str">
        <f t="shared" si="33"/>
        <v>High_Pressure</v>
      </c>
      <c r="Q1257" s="4" t="str">
        <f t="shared" si="34"/>
        <v>DISENGAGED</v>
      </c>
      <c r="R1257" s="4" t="str">
        <f t="shared" si="35"/>
        <v>LOW</v>
      </c>
      <c r="S1257" s="2"/>
      <c r="T1257" s="2"/>
      <c r="U1257" s="2"/>
      <c r="V1257" s="2"/>
      <c r="W1257" s="2"/>
      <c r="X1257" s="2"/>
      <c r="Y1257" s="2"/>
      <c r="Z1257" s="2"/>
    </row>
    <row r="1258" spans="1:26" ht="16.8" x14ac:dyDescent="0.3">
      <c r="A1258" s="4">
        <v>1760</v>
      </c>
      <c r="B1258" s="4" t="s">
        <v>43</v>
      </c>
      <c r="C1258" s="4">
        <v>38</v>
      </c>
      <c r="D1258" s="4" t="s">
        <v>45</v>
      </c>
      <c r="E1258" s="4" t="s">
        <v>50</v>
      </c>
      <c r="F1258" s="4">
        <v>2468</v>
      </c>
      <c r="G1258" s="4" t="s">
        <v>43</v>
      </c>
      <c r="H1258" s="4">
        <v>6</v>
      </c>
      <c r="I1258" s="4">
        <v>0</v>
      </c>
      <c r="J1258" s="4">
        <v>2</v>
      </c>
      <c r="K1258" s="4">
        <v>2</v>
      </c>
      <c r="L1258" s="4" t="str">
        <f t="shared" si="29"/>
        <v>NORMAL</v>
      </c>
      <c r="M1258" s="4" t="str">
        <f t="shared" si="30"/>
        <v>LOW</v>
      </c>
      <c r="N1258" s="4" t="str">
        <f t="shared" si="31"/>
        <v>MID</v>
      </c>
      <c r="O1258" s="4" t="str">
        <f t="shared" si="32"/>
        <v>RECENTLY PROMOTED</v>
      </c>
      <c r="P1258" s="5" t="str">
        <f t="shared" si="33"/>
        <v>Low_Pressure</v>
      </c>
      <c r="Q1258" s="4" t="str">
        <f t="shared" si="34"/>
        <v>DISENGAGED</v>
      </c>
      <c r="R1258" s="4" t="str">
        <f t="shared" si="35"/>
        <v>LOW</v>
      </c>
      <c r="S1258" s="2"/>
      <c r="T1258" s="2"/>
      <c r="U1258" s="2"/>
      <c r="V1258" s="2"/>
      <c r="W1258" s="2"/>
      <c r="X1258" s="2"/>
      <c r="Y1258" s="2"/>
      <c r="Z1258" s="2"/>
    </row>
    <row r="1259" spans="1:26" ht="16.8" x14ac:dyDescent="0.3">
      <c r="A1259" s="4">
        <v>1761</v>
      </c>
      <c r="B1259" s="4" t="s">
        <v>35</v>
      </c>
      <c r="C1259" s="4">
        <v>31</v>
      </c>
      <c r="D1259" s="4" t="s">
        <v>37</v>
      </c>
      <c r="E1259" s="4" t="s">
        <v>40</v>
      </c>
      <c r="F1259" s="4">
        <v>8161</v>
      </c>
      <c r="G1259" s="4" t="s">
        <v>43</v>
      </c>
      <c r="H1259" s="4">
        <v>1</v>
      </c>
      <c r="I1259" s="4">
        <v>0</v>
      </c>
      <c r="J1259" s="4">
        <v>3</v>
      </c>
      <c r="K1259" s="4">
        <v>3</v>
      </c>
      <c r="L1259" s="4" t="str">
        <f t="shared" si="29"/>
        <v>NORMAL</v>
      </c>
      <c r="M1259" s="4" t="str">
        <f t="shared" si="30"/>
        <v>HIGH</v>
      </c>
      <c r="N1259" s="4" t="str">
        <f t="shared" si="31"/>
        <v>NEW</v>
      </c>
      <c r="O1259" s="4" t="str">
        <f t="shared" si="32"/>
        <v>RECENTLY PROMOTED</v>
      </c>
      <c r="P1259" s="5" t="str">
        <f t="shared" si="33"/>
        <v>Medium_Pressure</v>
      </c>
      <c r="Q1259" s="4" t="str">
        <f t="shared" si="34"/>
        <v>HIGHLY_ENGAGED</v>
      </c>
      <c r="R1259" s="4" t="str">
        <f t="shared" si="35"/>
        <v>LOW</v>
      </c>
      <c r="S1259" s="2"/>
      <c r="T1259" s="2"/>
      <c r="U1259" s="2"/>
      <c r="V1259" s="2"/>
      <c r="W1259" s="2"/>
      <c r="X1259" s="2"/>
      <c r="Y1259" s="2"/>
      <c r="Z1259" s="2"/>
    </row>
    <row r="1260" spans="1:26" ht="16.8" x14ac:dyDescent="0.3">
      <c r="A1260" s="4">
        <v>1762</v>
      </c>
      <c r="B1260" s="4" t="s">
        <v>43</v>
      </c>
      <c r="C1260" s="4">
        <v>29</v>
      </c>
      <c r="D1260" s="4" t="s">
        <v>45</v>
      </c>
      <c r="E1260" s="4" t="s">
        <v>47</v>
      </c>
      <c r="F1260" s="4">
        <v>2109</v>
      </c>
      <c r="G1260" s="4" t="s">
        <v>43</v>
      </c>
      <c r="H1260" s="4">
        <v>1</v>
      </c>
      <c r="I1260" s="4">
        <v>0</v>
      </c>
      <c r="J1260" s="4">
        <v>1</v>
      </c>
      <c r="K1260" s="4">
        <v>3</v>
      </c>
      <c r="L1260" s="4" t="str">
        <f t="shared" si="29"/>
        <v>NORMAL</v>
      </c>
      <c r="M1260" s="4" t="str">
        <f t="shared" si="30"/>
        <v>LOW</v>
      </c>
      <c r="N1260" s="4" t="str">
        <f t="shared" si="31"/>
        <v>NEW</v>
      </c>
      <c r="O1260" s="4" t="str">
        <f t="shared" si="32"/>
        <v>RECENTLY PROMOTED</v>
      </c>
      <c r="P1260" s="5" t="str">
        <f t="shared" si="33"/>
        <v>Medium_Pressure</v>
      </c>
      <c r="Q1260" s="4" t="str">
        <f t="shared" si="34"/>
        <v>DISENGAGED</v>
      </c>
      <c r="R1260" s="4" t="str">
        <f t="shared" si="35"/>
        <v>LOW</v>
      </c>
      <c r="S1260" s="2"/>
      <c r="T1260" s="2"/>
      <c r="U1260" s="2"/>
      <c r="V1260" s="2"/>
      <c r="W1260" s="2"/>
      <c r="X1260" s="2"/>
      <c r="Y1260" s="2"/>
      <c r="Z1260" s="2"/>
    </row>
    <row r="1261" spans="1:26" ht="16.8" x14ac:dyDescent="0.3">
      <c r="A1261" s="4">
        <v>1763</v>
      </c>
      <c r="B1261" s="4" t="s">
        <v>43</v>
      </c>
      <c r="C1261" s="4">
        <v>30</v>
      </c>
      <c r="D1261" s="4" t="s">
        <v>45</v>
      </c>
      <c r="E1261" s="4" t="s">
        <v>54</v>
      </c>
      <c r="F1261" s="4">
        <v>5294</v>
      </c>
      <c r="G1261" s="4" t="s">
        <v>43</v>
      </c>
      <c r="H1261" s="4">
        <v>7</v>
      </c>
      <c r="I1261" s="4">
        <v>1</v>
      </c>
      <c r="J1261" s="4">
        <v>3</v>
      </c>
      <c r="K1261" s="4">
        <v>3</v>
      </c>
      <c r="L1261" s="4" t="str">
        <f t="shared" si="29"/>
        <v>NORMAL</v>
      </c>
      <c r="M1261" s="4" t="str">
        <f t="shared" si="30"/>
        <v>HIGH</v>
      </c>
      <c r="N1261" s="4" t="str">
        <f t="shared" si="31"/>
        <v>SENIOR</v>
      </c>
      <c r="O1261" s="4" t="str">
        <f t="shared" si="32"/>
        <v>RECENTLY PROMOTED</v>
      </c>
      <c r="P1261" s="5" t="str">
        <f t="shared" si="33"/>
        <v>Medium_Pressure</v>
      </c>
      <c r="Q1261" s="4" t="str">
        <f t="shared" si="34"/>
        <v>HIGHLY_ENGAGED</v>
      </c>
      <c r="R1261" s="4" t="str">
        <f t="shared" si="35"/>
        <v>LOW</v>
      </c>
      <c r="S1261" s="2"/>
      <c r="T1261" s="2"/>
      <c r="U1261" s="2"/>
      <c r="V1261" s="2"/>
      <c r="W1261" s="2"/>
      <c r="X1261" s="2"/>
      <c r="Y1261" s="2"/>
      <c r="Z1261" s="2"/>
    </row>
    <row r="1262" spans="1:26" ht="16.8" x14ac:dyDescent="0.3">
      <c r="A1262" s="4">
        <v>1764</v>
      </c>
      <c r="B1262" s="4" t="s">
        <v>43</v>
      </c>
      <c r="C1262" s="4">
        <v>32</v>
      </c>
      <c r="D1262" s="4" t="s">
        <v>45</v>
      </c>
      <c r="E1262" s="4" t="s">
        <v>47</v>
      </c>
      <c r="F1262" s="4">
        <v>2718</v>
      </c>
      <c r="G1262" s="4" t="s">
        <v>43</v>
      </c>
      <c r="H1262" s="4">
        <v>7</v>
      </c>
      <c r="I1262" s="4">
        <v>0</v>
      </c>
      <c r="J1262" s="4">
        <v>2</v>
      </c>
      <c r="K1262" s="4">
        <v>3</v>
      </c>
      <c r="L1262" s="4" t="str">
        <f t="shared" si="29"/>
        <v>NORMAL</v>
      </c>
      <c r="M1262" s="4" t="str">
        <f t="shared" si="30"/>
        <v>LOW</v>
      </c>
      <c r="N1262" s="4" t="str">
        <f t="shared" si="31"/>
        <v>SENIOR</v>
      </c>
      <c r="O1262" s="4" t="str">
        <f t="shared" si="32"/>
        <v>RECENTLY PROMOTED</v>
      </c>
      <c r="P1262" s="5" t="str">
        <f t="shared" si="33"/>
        <v>Medium_Pressure</v>
      </c>
      <c r="Q1262" s="4" t="str">
        <f t="shared" si="34"/>
        <v>DISENGAGED</v>
      </c>
      <c r="R1262" s="4" t="str">
        <f t="shared" si="35"/>
        <v>LOW</v>
      </c>
      <c r="S1262" s="2"/>
      <c r="T1262" s="2"/>
      <c r="U1262" s="2"/>
      <c r="V1262" s="2"/>
      <c r="W1262" s="2"/>
      <c r="X1262" s="2"/>
      <c r="Y1262" s="2"/>
      <c r="Z1262" s="2"/>
    </row>
    <row r="1263" spans="1:26" ht="16.8" x14ac:dyDescent="0.3">
      <c r="A1263" s="4">
        <v>1766</v>
      </c>
      <c r="B1263" s="4" t="s">
        <v>43</v>
      </c>
      <c r="C1263" s="4">
        <v>38</v>
      </c>
      <c r="D1263" s="4" t="s">
        <v>45</v>
      </c>
      <c r="E1263" s="4" t="s">
        <v>54</v>
      </c>
      <c r="F1263" s="4">
        <v>5811</v>
      </c>
      <c r="G1263" s="4" t="s">
        <v>35</v>
      </c>
      <c r="H1263" s="4">
        <v>1</v>
      </c>
      <c r="I1263" s="4">
        <v>1</v>
      </c>
      <c r="J1263" s="4">
        <v>4</v>
      </c>
      <c r="K1263" s="4">
        <v>3</v>
      </c>
      <c r="L1263" s="4" t="str">
        <f t="shared" si="29"/>
        <v>NORMAL</v>
      </c>
      <c r="M1263" s="4" t="str">
        <f t="shared" si="30"/>
        <v>HIGH</v>
      </c>
      <c r="N1263" s="4" t="str">
        <f t="shared" si="31"/>
        <v>NEW</v>
      </c>
      <c r="O1263" s="4" t="str">
        <f t="shared" si="32"/>
        <v>RECENTLY PROMOTED</v>
      </c>
      <c r="P1263" s="5" t="str">
        <f t="shared" si="33"/>
        <v>Medium_Pressure</v>
      </c>
      <c r="Q1263" s="4" t="str">
        <f t="shared" si="34"/>
        <v>HIGHLY_ENGAGED</v>
      </c>
      <c r="R1263" s="4" t="str">
        <f t="shared" si="35"/>
        <v>LOW</v>
      </c>
      <c r="S1263" s="2"/>
      <c r="T1263" s="2"/>
      <c r="U1263" s="2"/>
      <c r="V1263" s="2"/>
      <c r="W1263" s="2"/>
      <c r="X1263" s="2"/>
      <c r="Y1263" s="2"/>
      <c r="Z1263" s="2"/>
    </row>
    <row r="1264" spans="1:26" ht="16.8" x14ac:dyDescent="0.3">
      <c r="A1264" s="4">
        <v>1767</v>
      </c>
      <c r="B1264" s="4" t="s">
        <v>35</v>
      </c>
      <c r="C1264" s="4">
        <v>43</v>
      </c>
      <c r="D1264" s="4" t="s">
        <v>45</v>
      </c>
      <c r="E1264" s="4" t="s">
        <v>47</v>
      </c>
      <c r="F1264" s="4">
        <v>2437</v>
      </c>
      <c r="G1264" s="4" t="s">
        <v>35</v>
      </c>
      <c r="H1264" s="4">
        <v>1</v>
      </c>
      <c r="I1264" s="4">
        <v>0</v>
      </c>
      <c r="J1264" s="4">
        <v>3</v>
      </c>
      <c r="K1264" s="4">
        <v>3</v>
      </c>
      <c r="L1264" s="4" t="str">
        <f t="shared" si="29"/>
        <v>NORMAL</v>
      </c>
      <c r="M1264" s="4" t="str">
        <f t="shared" si="30"/>
        <v>LOW</v>
      </c>
      <c r="N1264" s="4" t="str">
        <f t="shared" si="31"/>
        <v>NEW</v>
      </c>
      <c r="O1264" s="4" t="str">
        <f t="shared" si="32"/>
        <v>RECENTLY PROMOTED</v>
      </c>
      <c r="P1264" s="5" t="str">
        <f t="shared" si="33"/>
        <v>Medium_Pressure</v>
      </c>
      <c r="Q1264" s="4" t="str">
        <f t="shared" si="34"/>
        <v>HIGHLY_ENGAGED</v>
      </c>
      <c r="R1264" s="4" t="str">
        <f t="shared" si="35"/>
        <v>LOW</v>
      </c>
      <c r="S1264" s="2"/>
      <c r="T1264" s="2"/>
      <c r="U1264" s="2"/>
      <c r="V1264" s="2"/>
      <c r="W1264" s="2"/>
      <c r="X1264" s="2"/>
      <c r="Y1264" s="2"/>
      <c r="Z1264" s="2"/>
    </row>
    <row r="1265" spans="1:26" ht="16.8" x14ac:dyDescent="0.3">
      <c r="A1265" s="4">
        <v>1768</v>
      </c>
      <c r="B1265" s="4" t="s">
        <v>43</v>
      </c>
      <c r="C1265" s="4">
        <v>42</v>
      </c>
      <c r="D1265" s="4" t="s">
        <v>45</v>
      </c>
      <c r="E1265" s="4" t="s">
        <v>50</v>
      </c>
      <c r="F1265" s="4">
        <v>2766</v>
      </c>
      <c r="G1265" s="4" t="s">
        <v>43</v>
      </c>
      <c r="H1265" s="4">
        <v>5</v>
      </c>
      <c r="I1265" s="4">
        <v>0</v>
      </c>
      <c r="J1265" s="4">
        <v>2</v>
      </c>
      <c r="K1265" s="4">
        <v>2</v>
      </c>
      <c r="L1265" s="4" t="str">
        <f t="shared" si="29"/>
        <v>NORMAL</v>
      </c>
      <c r="M1265" s="4" t="str">
        <f t="shared" si="30"/>
        <v>LOW</v>
      </c>
      <c r="N1265" s="4" t="str">
        <f t="shared" si="31"/>
        <v>MID</v>
      </c>
      <c r="O1265" s="4" t="str">
        <f t="shared" si="32"/>
        <v>RECENTLY PROMOTED</v>
      </c>
      <c r="P1265" s="5" t="str">
        <f t="shared" si="33"/>
        <v>Low_Pressure</v>
      </c>
      <c r="Q1265" s="4" t="str">
        <f t="shared" si="34"/>
        <v>DISENGAGED</v>
      </c>
      <c r="R1265" s="4" t="str">
        <f t="shared" si="35"/>
        <v>LOW</v>
      </c>
      <c r="S1265" s="2"/>
      <c r="T1265" s="2"/>
      <c r="U1265" s="2"/>
      <c r="V1265" s="2"/>
      <c r="W1265" s="2"/>
      <c r="X1265" s="2"/>
      <c r="Y1265" s="2"/>
      <c r="Z1265" s="2"/>
    </row>
    <row r="1266" spans="1:26" ht="16.8" x14ac:dyDescent="0.3">
      <c r="A1266" s="4">
        <v>1770</v>
      </c>
      <c r="B1266" s="4" t="s">
        <v>43</v>
      </c>
      <c r="C1266" s="4">
        <v>55</v>
      </c>
      <c r="D1266" s="4" t="s">
        <v>45</v>
      </c>
      <c r="E1266" s="4" t="s">
        <v>58</v>
      </c>
      <c r="F1266" s="4">
        <v>19038</v>
      </c>
      <c r="G1266" s="4" t="s">
        <v>43</v>
      </c>
      <c r="H1266" s="4">
        <v>1</v>
      </c>
      <c r="I1266" s="4">
        <v>0</v>
      </c>
      <c r="J1266" s="4">
        <v>1</v>
      </c>
      <c r="K1266" s="4">
        <v>3</v>
      </c>
      <c r="L1266" s="4" t="str">
        <f t="shared" si="29"/>
        <v>NORMAL</v>
      </c>
      <c r="M1266" s="4" t="str">
        <f t="shared" si="30"/>
        <v>MEDIUM</v>
      </c>
      <c r="N1266" s="4" t="str">
        <f t="shared" si="31"/>
        <v>NEW</v>
      </c>
      <c r="O1266" s="4" t="str">
        <f t="shared" si="32"/>
        <v>RECENTLY PROMOTED</v>
      </c>
      <c r="P1266" s="5" t="str">
        <f t="shared" si="33"/>
        <v>Medium_Pressure</v>
      </c>
      <c r="Q1266" s="4" t="str">
        <f t="shared" si="34"/>
        <v>DISENGAGED</v>
      </c>
      <c r="R1266" s="4" t="str">
        <f t="shared" si="35"/>
        <v>LOW</v>
      </c>
      <c r="S1266" s="2"/>
      <c r="T1266" s="2"/>
      <c r="U1266" s="2"/>
      <c r="V1266" s="2"/>
      <c r="W1266" s="2"/>
      <c r="X1266" s="2"/>
      <c r="Y1266" s="2"/>
      <c r="Z1266" s="2"/>
    </row>
    <row r="1267" spans="1:26" ht="16.8" x14ac:dyDescent="0.3">
      <c r="A1267" s="4">
        <v>1771</v>
      </c>
      <c r="B1267" s="4" t="s">
        <v>43</v>
      </c>
      <c r="C1267" s="4">
        <v>33</v>
      </c>
      <c r="D1267" s="4" t="s">
        <v>45</v>
      </c>
      <c r="E1267" s="4" t="s">
        <v>47</v>
      </c>
      <c r="F1267" s="4">
        <v>3055</v>
      </c>
      <c r="G1267" s="4" t="s">
        <v>43</v>
      </c>
      <c r="H1267" s="4">
        <v>9</v>
      </c>
      <c r="I1267" s="4">
        <v>1</v>
      </c>
      <c r="J1267" s="4">
        <v>2</v>
      </c>
      <c r="K1267" s="4">
        <v>2</v>
      </c>
      <c r="L1267" s="4" t="str">
        <f t="shared" si="29"/>
        <v>NORMAL</v>
      </c>
      <c r="M1267" s="4" t="str">
        <f t="shared" si="30"/>
        <v>LOW</v>
      </c>
      <c r="N1267" s="4" t="str">
        <f t="shared" si="31"/>
        <v>SENIOR</v>
      </c>
      <c r="O1267" s="4" t="str">
        <f t="shared" si="32"/>
        <v>RECENTLY PROMOTED</v>
      </c>
      <c r="P1267" s="5" t="str">
        <f t="shared" si="33"/>
        <v>Low_Pressure</v>
      </c>
      <c r="Q1267" s="4" t="str">
        <f t="shared" si="34"/>
        <v>DISENGAGED</v>
      </c>
      <c r="R1267" s="4" t="str">
        <f t="shared" si="35"/>
        <v>LOW</v>
      </c>
      <c r="S1267" s="2"/>
      <c r="T1267" s="2"/>
      <c r="U1267" s="2"/>
      <c r="V1267" s="2"/>
      <c r="W1267" s="2"/>
      <c r="X1267" s="2"/>
      <c r="Y1267" s="2"/>
      <c r="Z1267" s="2"/>
    </row>
    <row r="1268" spans="1:26" ht="16.8" x14ac:dyDescent="0.3">
      <c r="A1268" s="4">
        <v>1772</v>
      </c>
      <c r="B1268" s="4" t="s">
        <v>43</v>
      </c>
      <c r="C1268" s="4">
        <v>41</v>
      </c>
      <c r="D1268" s="4" t="s">
        <v>45</v>
      </c>
      <c r="E1268" s="4" t="s">
        <v>50</v>
      </c>
      <c r="F1268" s="4">
        <v>2289</v>
      </c>
      <c r="G1268" s="4" t="s">
        <v>43</v>
      </c>
      <c r="H1268" s="4">
        <v>5</v>
      </c>
      <c r="I1268" s="4">
        <v>0</v>
      </c>
      <c r="J1268" s="4">
        <v>1</v>
      </c>
      <c r="K1268" s="4">
        <v>3</v>
      </c>
      <c r="L1268" s="4" t="str">
        <f t="shared" si="29"/>
        <v>NORMAL</v>
      </c>
      <c r="M1268" s="4" t="str">
        <f t="shared" si="30"/>
        <v>LOW</v>
      </c>
      <c r="N1268" s="4" t="str">
        <f t="shared" si="31"/>
        <v>MID</v>
      </c>
      <c r="O1268" s="4" t="str">
        <f t="shared" si="32"/>
        <v>RECENTLY PROMOTED</v>
      </c>
      <c r="P1268" s="5" t="str">
        <f t="shared" si="33"/>
        <v>Medium_Pressure</v>
      </c>
      <c r="Q1268" s="4" t="str">
        <f t="shared" si="34"/>
        <v>DISENGAGED</v>
      </c>
      <c r="R1268" s="4" t="str">
        <f t="shared" si="35"/>
        <v>LOW</v>
      </c>
      <c r="S1268" s="2"/>
      <c r="T1268" s="2"/>
      <c r="U1268" s="2"/>
      <c r="V1268" s="2"/>
      <c r="W1268" s="2"/>
      <c r="X1268" s="2"/>
      <c r="Y1268" s="2"/>
      <c r="Z1268" s="2"/>
    </row>
    <row r="1269" spans="1:26" ht="16.8" x14ac:dyDescent="0.3">
      <c r="A1269" s="4">
        <v>1774</v>
      </c>
      <c r="B1269" s="4" t="s">
        <v>43</v>
      </c>
      <c r="C1269" s="4">
        <v>34</v>
      </c>
      <c r="D1269" s="4" t="s">
        <v>37</v>
      </c>
      <c r="E1269" s="4" t="s">
        <v>40</v>
      </c>
      <c r="F1269" s="4">
        <v>4001</v>
      </c>
      <c r="G1269" s="4" t="s">
        <v>35</v>
      </c>
      <c r="H1269" s="4">
        <v>15</v>
      </c>
      <c r="I1269" s="4">
        <v>0</v>
      </c>
      <c r="J1269" s="4">
        <v>3</v>
      </c>
      <c r="K1269" s="4">
        <v>3</v>
      </c>
      <c r="L1269" s="4" t="str">
        <f t="shared" si="29"/>
        <v>NORMAL</v>
      </c>
      <c r="M1269" s="4" t="str">
        <f t="shared" si="30"/>
        <v>HIGH</v>
      </c>
      <c r="N1269" s="4" t="str">
        <f t="shared" si="31"/>
        <v>SENIOR</v>
      </c>
      <c r="O1269" s="4" t="str">
        <f t="shared" si="32"/>
        <v>RECENTLY PROMOTED</v>
      </c>
      <c r="P1269" s="5" t="str">
        <f t="shared" si="33"/>
        <v>Medium_Pressure</v>
      </c>
      <c r="Q1269" s="4" t="str">
        <f t="shared" si="34"/>
        <v>HIGHLY_ENGAGED</v>
      </c>
      <c r="R1269" s="4" t="str">
        <f t="shared" si="35"/>
        <v>LOW</v>
      </c>
      <c r="S1269" s="2"/>
      <c r="T1269" s="2"/>
      <c r="U1269" s="2"/>
      <c r="V1269" s="2"/>
      <c r="W1269" s="2"/>
      <c r="X1269" s="2"/>
      <c r="Y1269" s="2"/>
      <c r="Z1269" s="2"/>
    </row>
    <row r="1270" spans="1:26" ht="16.8" x14ac:dyDescent="0.3">
      <c r="A1270" s="4">
        <v>1775</v>
      </c>
      <c r="B1270" s="4" t="s">
        <v>43</v>
      </c>
      <c r="C1270" s="4">
        <v>53</v>
      </c>
      <c r="D1270" s="4" t="s">
        <v>45</v>
      </c>
      <c r="E1270" s="4" t="s">
        <v>53</v>
      </c>
      <c r="F1270" s="4">
        <v>12965</v>
      </c>
      <c r="G1270" s="4" t="s">
        <v>35</v>
      </c>
      <c r="H1270" s="4">
        <v>3</v>
      </c>
      <c r="I1270" s="4">
        <v>0</v>
      </c>
      <c r="J1270" s="4">
        <v>3</v>
      </c>
      <c r="K1270" s="4">
        <v>2</v>
      </c>
      <c r="L1270" s="4" t="str">
        <f t="shared" si="29"/>
        <v>NORMAL</v>
      </c>
      <c r="M1270" s="4" t="str">
        <f t="shared" si="30"/>
        <v>MEDIUM</v>
      </c>
      <c r="N1270" s="4" t="str">
        <f t="shared" si="31"/>
        <v>MID</v>
      </c>
      <c r="O1270" s="4" t="str">
        <f t="shared" si="32"/>
        <v>RECENTLY PROMOTED</v>
      </c>
      <c r="P1270" s="5" t="str">
        <f t="shared" si="33"/>
        <v>High_Pressure</v>
      </c>
      <c r="Q1270" s="4" t="str">
        <f t="shared" si="34"/>
        <v>DISENGAGED</v>
      </c>
      <c r="R1270" s="4" t="str">
        <f t="shared" si="35"/>
        <v>LOW</v>
      </c>
      <c r="S1270" s="2"/>
      <c r="T1270" s="2"/>
      <c r="U1270" s="2"/>
      <c r="V1270" s="2"/>
      <c r="W1270" s="2"/>
      <c r="X1270" s="2"/>
      <c r="Y1270" s="2"/>
      <c r="Z1270" s="2"/>
    </row>
    <row r="1271" spans="1:26" ht="16.8" x14ac:dyDescent="0.3">
      <c r="A1271" s="4">
        <v>1778</v>
      </c>
      <c r="B1271" s="4" t="s">
        <v>43</v>
      </c>
      <c r="C1271" s="4">
        <v>43</v>
      </c>
      <c r="D1271" s="4" t="s">
        <v>61</v>
      </c>
      <c r="E1271" s="4" t="s">
        <v>61</v>
      </c>
      <c r="F1271" s="4">
        <v>3539</v>
      </c>
      <c r="G1271" s="4" t="s">
        <v>43</v>
      </c>
      <c r="H1271" s="4">
        <v>9</v>
      </c>
      <c r="I1271" s="4">
        <v>1</v>
      </c>
      <c r="J1271" s="4">
        <v>4</v>
      </c>
      <c r="K1271" s="4">
        <v>3</v>
      </c>
      <c r="L1271" s="4" t="str">
        <f t="shared" si="29"/>
        <v>NORMAL</v>
      </c>
      <c r="M1271" s="4" t="str">
        <f t="shared" si="30"/>
        <v>LOW</v>
      </c>
      <c r="N1271" s="4" t="str">
        <f t="shared" si="31"/>
        <v>SENIOR</v>
      </c>
      <c r="O1271" s="4" t="str">
        <f t="shared" si="32"/>
        <v>RECENTLY PROMOTED</v>
      </c>
      <c r="P1271" s="5" t="str">
        <f t="shared" si="33"/>
        <v>Medium_Pressure</v>
      </c>
      <c r="Q1271" s="4" t="str">
        <f t="shared" si="34"/>
        <v>HIGHLY_ENGAGED</v>
      </c>
      <c r="R1271" s="4" t="str">
        <f t="shared" si="35"/>
        <v>LOW</v>
      </c>
      <c r="S1271" s="2"/>
      <c r="T1271" s="2"/>
      <c r="U1271" s="2"/>
      <c r="V1271" s="2"/>
      <c r="W1271" s="2"/>
      <c r="X1271" s="2"/>
      <c r="Y1271" s="2"/>
      <c r="Z1271" s="2"/>
    </row>
    <row r="1272" spans="1:26" ht="16.8" x14ac:dyDescent="0.3">
      <c r="A1272" s="4">
        <v>1779</v>
      </c>
      <c r="B1272" s="4" t="s">
        <v>43</v>
      </c>
      <c r="C1272" s="4">
        <v>34</v>
      </c>
      <c r="D1272" s="4" t="s">
        <v>37</v>
      </c>
      <c r="E1272" s="4" t="s">
        <v>40</v>
      </c>
      <c r="F1272" s="4">
        <v>6029</v>
      </c>
      <c r="G1272" s="4" t="s">
        <v>43</v>
      </c>
      <c r="H1272" s="4">
        <v>2</v>
      </c>
      <c r="I1272" s="4">
        <v>2</v>
      </c>
      <c r="J1272" s="4">
        <v>4</v>
      </c>
      <c r="K1272" s="4">
        <v>3</v>
      </c>
      <c r="L1272" s="4" t="str">
        <f t="shared" si="29"/>
        <v>NORMAL</v>
      </c>
      <c r="M1272" s="4" t="str">
        <f t="shared" si="30"/>
        <v>HIGH</v>
      </c>
      <c r="N1272" s="4" t="str">
        <f t="shared" si="31"/>
        <v>NEW</v>
      </c>
      <c r="O1272" s="4" t="str">
        <f t="shared" si="32"/>
        <v>MODERATE-WAIT</v>
      </c>
      <c r="P1272" s="5" t="str">
        <f t="shared" si="33"/>
        <v>Medium_Pressure</v>
      </c>
      <c r="Q1272" s="4" t="str">
        <f t="shared" si="34"/>
        <v>HIGHLY_ENGAGED</v>
      </c>
      <c r="R1272" s="4" t="str">
        <f t="shared" si="35"/>
        <v>LOW</v>
      </c>
      <c r="S1272" s="2"/>
      <c r="T1272" s="2"/>
      <c r="U1272" s="2"/>
      <c r="V1272" s="2"/>
      <c r="W1272" s="2"/>
      <c r="X1272" s="2"/>
      <c r="Y1272" s="2"/>
      <c r="Z1272" s="2"/>
    </row>
    <row r="1273" spans="1:26" ht="16.8" x14ac:dyDescent="0.3">
      <c r="A1273" s="4">
        <v>1780</v>
      </c>
      <c r="B1273" s="4" t="s">
        <v>35</v>
      </c>
      <c r="C1273" s="4">
        <v>21</v>
      </c>
      <c r="D1273" s="4" t="s">
        <v>37</v>
      </c>
      <c r="E1273" s="4" t="s">
        <v>57</v>
      </c>
      <c r="F1273" s="4">
        <v>2679</v>
      </c>
      <c r="G1273" s="4" t="s">
        <v>43</v>
      </c>
      <c r="H1273" s="4">
        <v>1</v>
      </c>
      <c r="I1273" s="4">
        <v>1</v>
      </c>
      <c r="J1273" s="4">
        <v>2</v>
      </c>
      <c r="K1273" s="4">
        <v>3</v>
      </c>
      <c r="L1273" s="4" t="str">
        <f t="shared" si="29"/>
        <v>NORMAL</v>
      </c>
      <c r="M1273" s="4" t="str">
        <f t="shared" si="30"/>
        <v>LOW</v>
      </c>
      <c r="N1273" s="4" t="str">
        <f t="shared" si="31"/>
        <v>NEW</v>
      </c>
      <c r="O1273" s="4" t="str">
        <f t="shared" si="32"/>
        <v>RECENTLY PROMOTED</v>
      </c>
      <c r="P1273" s="5" t="str">
        <f t="shared" si="33"/>
        <v>Medium_Pressure</v>
      </c>
      <c r="Q1273" s="4" t="str">
        <f t="shared" si="34"/>
        <v>DISENGAGED</v>
      </c>
      <c r="R1273" s="4" t="str">
        <f t="shared" si="35"/>
        <v>LOW</v>
      </c>
      <c r="S1273" s="2"/>
      <c r="T1273" s="2"/>
      <c r="U1273" s="2"/>
      <c r="V1273" s="2"/>
      <c r="W1273" s="2"/>
      <c r="X1273" s="2"/>
      <c r="Y1273" s="2"/>
      <c r="Z1273" s="2"/>
    </row>
    <row r="1274" spans="1:26" ht="16.8" x14ac:dyDescent="0.3">
      <c r="A1274" s="4">
        <v>1782</v>
      </c>
      <c r="B1274" s="4" t="s">
        <v>43</v>
      </c>
      <c r="C1274" s="4">
        <v>38</v>
      </c>
      <c r="D1274" s="4" t="s">
        <v>45</v>
      </c>
      <c r="E1274" s="4" t="s">
        <v>50</v>
      </c>
      <c r="F1274" s="4">
        <v>3702</v>
      </c>
      <c r="G1274" s="4" t="s">
        <v>43</v>
      </c>
      <c r="H1274" s="4">
        <v>5</v>
      </c>
      <c r="I1274" s="4">
        <v>0</v>
      </c>
      <c r="J1274" s="4">
        <v>3</v>
      </c>
      <c r="K1274" s="4">
        <v>3</v>
      </c>
      <c r="L1274" s="4" t="str">
        <f t="shared" si="29"/>
        <v>NORMAL</v>
      </c>
      <c r="M1274" s="4" t="str">
        <f t="shared" si="30"/>
        <v>LOW</v>
      </c>
      <c r="N1274" s="4" t="str">
        <f t="shared" si="31"/>
        <v>MID</v>
      </c>
      <c r="O1274" s="4" t="str">
        <f t="shared" si="32"/>
        <v>RECENTLY PROMOTED</v>
      </c>
      <c r="P1274" s="5" t="str">
        <f t="shared" si="33"/>
        <v>Medium_Pressure</v>
      </c>
      <c r="Q1274" s="4" t="str">
        <f t="shared" si="34"/>
        <v>HIGHLY_ENGAGED</v>
      </c>
      <c r="R1274" s="4" t="str">
        <f t="shared" si="35"/>
        <v>LOW</v>
      </c>
      <c r="S1274" s="2"/>
      <c r="T1274" s="2"/>
      <c r="U1274" s="2"/>
      <c r="V1274" s="2"/>
      <c r="W1274" s="2"/>
      <c r="X1274" s="2"/>
      <c r="Y1274" s="2"/>
      <c r="Z1274" s="2"/>
    </row>
    <row r="1275" spans="1:26" ht="16.8" x14ac:dyDescent="0.3">
      <c r="A1275" s="4">
        <v>1783</v>
      </c>
      <c r="B1275" s="4" t="s">
        <v>35</v>
      </c>
      <c r="C1275" s="4">
        <v>22</v>
      </c>
      <c r="D1275" s="4" t="s">
        <v>45</v>
      </c>
      <c r="E1275" s="4" t="s">
        <v>50</v>
      </c>
      <c r="F1275" s="4">
        <v>2398</v>
      </c>
      <c r="G1275" s="4" t="s">
        <v>35</v>
      </c>
      <c r="H1275" s="4">
        <v>1</v>
      </c>
      <c r="I1275" s="4">
        <v>0</v>
      </c>
      <c r="J1275" s="4">
        <v>1</v>
      </c>
      <c r="K1275" s="4">
        <v>3</v>
      </c>
      <c r="L1275" s="4" t="str">
        <f t="shared" si="29"/>
        <v>NORMAL</v>
      </c>
      <c r="M1275" s="4" t="str">
        <f t="shared" si="30"/>
        <v>LOW</v>
      </c>
      <c r="N1275" s="4" t="str">
        <f t="shared" si="31"/>
        <v>NEW</v>
      </c>
      <c r="O1275" s="4" t="str">
        <f t="shared" si="32"/>
        <v>RECENTLY PROMOTED</v>
      </c>
      <c r="P1275" s="5" t="str">
        <f t="shared" si="33"/>
        <v>Medium_Pressure</v>
      </c>
      <c r="Q1275" s="4" t="str">
        <f t="shared" si="34"/>
        <v>DISENGAGED</v>
      </c>
      <c r="R1275" s="4" t="str">
        <f t="shared" si="35"/>
        <v>LOW</v>
      </c>
      <c r="S1275" s="2"/>
      <c r="T1275" s="2"/>
      <c r="U1275" s="2"/>
      <c r="V1275" s="2"/>
      <c r="W1275" s="2"/>
      <c r="X1275" s="2"/>
      <c r="Y1275" s="2"/>
      <c r="Z1275" s="2"/>
    </row>
    <row r="1276" spans="1:26" ht="16.8" x14ac:dyDescent="0.3">
      <c r="A1276" s="4">
        <v>1784</v>
      </c>
      <c r="B1276" s="4" t="s">
        <v>43</v>
      </c>
      <c r="C1276" s="4">
        <v>31</v>
      </c>
      <c r="D1276" s="4" t="s">
        <v>37</v>
      </c>
      <c r="E1276" s="4" t="s">
        <v>40</v>
      </c>
      <c r="F1276" s="4">
        <v>5468</v>
      </c>
      <c r="G1276" s="4" t="s">
        <v>43</v>
      </c>
      <c r="H1276" s="4">
        <v>12</v>
      </c>
      <c r="I1276" s="4">
        <v>5</v>
      </c>
      <c r="J1276" s="4">
        <v>4</v>
      </c>
      <c r="K1276" s="4">
        <v>3</v>
      </c>
      <c r="L1276" s="4" t="str">
        <f t="shared" si="29"/>
        <v>NORMAL</v>
      </c>
      <c r="M1276" s="4" t="str">
        <f t="shared" si="30"/>
        <v>HIGH</v>
      </c>
      <c r="N1276" s="4" t="str">
        <f t="shared" si="31"/>
        <v>SENIOR</v>
      </c>
      <c r="O1276" s="4" t="str">
        <f t="shared" si="32"/>
        <v>STAGNANT</v>
      </c>
      <c r="P1276" s="5" t="str">
        <f t="shared" si="33"/>
        <v>Medium_Pressure</v>
      </c>
      <c r="Q1276" s="4" t="str">
        <f t="shared" si="34"/>
        <v>HIGHLY_ENGAGED</v>
      </c>
      <c r="R1276" s="4" t="str">
        <f t="shared" si="35"/>
        <v>LOW</v>
      </c>
      <c r="S1276" s="2"/>
      <c r="T1276" s="2"/>
      <c r="U1276" s="2"/>
      <c r="V1276" s="2"/>
      <c r="W1276" s="2"/>
      <c r="X1276" s="2"/>
      <c r="Y1276" s="2"/>
      <c r="Z1276" s="2"/>
    </row>
    <row r="1277" spans="1:26" ht="16.8" x14ac:dyDescent="0.3">
      <c r="A1277" s="4">
        <v>1786</v>
      </c>
      <c r="B1277" s="4" t="s">
        <v>43</v>
      </c>
      <c r="C1277" s="4">
        <v>51</v>
      </c>
      <c r="D1277" s="4" t="s">
        <v>45</v>
      </c>
      <c r="E1277" s="4" t="s">
        <v>56</v>
      </c>
      <c r="F1277" s="4">
        <v>13116</v>
      </c>
      <c r="G1277" s="4" t="s">
        <v>43</v>
      </c>
      <c r="H1277" s="4">
        <v>2</v>
      </c>
      <c r="I1277" s="4">
        <v>2</v>
      </c>
      <c r="J1277" s="4">
        <v>3</v>
      </c>
      <c r="K1277" s="4">
        <v>3</v>
      </c>
      <c r="L1277" s="4" t="str">
        <f t="shared" ref="L1277:L1471" si="36">IF(AND(G1277="YES",J1277&lt;=2,I1277&gt;=3),"HIGH RISK","NORMAL")</f>
        <v>NORMAL</v>
      </c>
      <c r="M1277" s="4" t="str">
        <f t="shared" ref="M1277:M1471" si="37">IF(F1277&lt;=4000,"LOW",IF(F1277&gt;9000,"MEDIUM","HIGH"))</f>
        <v>MEDIUM</v>
      </c>
      <c r="N1277" s="4" t="str">
        <f t="shared" ref="N1277:N1471" si="38">IF(H1277&lt;=2,"NEW",IF(H1277&lt;=6,"MID","SENIOR"))</f>
        <v>NEW</v>
      </c>
      <c r="O1277" s="4" t="str">
        <f t="shared" ref="O1277:O1471" si="39">IF(I1277&lt;=1,"RECENTLY PROMOTED",IF(I1277&lt;=3,"MODERATE-WAIT","STAGNANT"))</f>
        <v>MODERATE-WAIT</v>
      </c>
      <c r="P1277" s="5" t="str">
        <f t="shared" ref="P1277:P1471" si="40">IF(AND(G1277="Yes",K1277&lt;=2),"High_Pressure",
 IF(OR(G1277="Yes",K1277=3),"Medium_Pressure",
 "Low_Pressure"))</f>
        <v>Medium_Pressure</v>
      </c>
      <c r="Q1277" s="4" t="str">
        <f t="shared" ref="Q1277:Q1471" si="41">IF(AND(J1277&gt;=3,K1277&gt;=3,L1277&gt;=3),
"HIGHLY_ENGAGED",
IF(OR(J1277&lt;=2,K1277&lt;=2,L1277&lt;=2),
"DISENGAGED",
"MODERATELY_ENGAGED"))</f>
        <v>HIGHLY_ENGAGED</v>
      </c>
      <c r="R1277" s="4" t="str">
        <f t="shared" si="35"/>
        <v>LOW</v>
      </c>
      <c r="S1277" s="2"/>
      <c r="T1277" s="2"/>
      <c r="U1277" s="2"/>
      <c r="V1277" s="2"/>
      <c r="W1277" s="2"/>
      <c r="X1277" s="2"/>
      <c r="Y1277" s="2"/>
      <c r="Z1277" s="2"/>
    </row>
    <row r="1278" spans="1:26" ht="16.8" x14ac:dyDescent="0.3">
      <c r="A1278" s="4">
        <v>1787</v>
      </c>
      <c r="B1278" s="4" t="s">
        <v>43</v>
      </c>
      <c r="C1278" s="4">
        <v>37</v>
      </c>
      <c r="D1278" s="4" t="s">
        <v>37</v>
      </c>
      <c r="E1278" s="4" t="s">
        <v>40</v>
      </c>
      <c r="F1278" s="4">
        <v>4189</v>
      </c>
      <c r="G1278" s="4" t="s">
        <v>43</v>
      </c>
      <c r="H1278" s="4">
        <v>5</v>
      </c>
      <c r="I1278" s="4">
        <v>0</v>
      </c>
      <c r="J1278" s="4">
        <v>2</v>
      </c>
      <c r="K1278" s="4">
        <v>3</v>
      </c>
      <c r="L1278" s="4" t="str">
        <f t="shared" si="36"/>
        <v>NORMAL</v>
      </c>
      <c r="M1278" s="4" t="str">
        <f t="shared" si="37"/>
        <v>HIGH</v>
      </c>
      <c r="N1278" s="4" t="str">
        <f t="shared" si="38"/>
        <v>MID</v>
      </c>
      <c r="O1278" s="4" t="str">
        <f t="shared" si="39"/>
        <v>RECENTLY PROMOTED</v>
      </c>
      <c r="P1278" s="5" t="str">
        <f t="shared" si="40"/>
        <v>Medium_Pressure</v>
      </c>
      <c r="Q1278" s="4" t="str">
        <f t="shared" si="41"/>
        <v>DISENGAGED</v>
      </c>
      <c r="R1278" s="4" t="str">
        <f t="shared" si="35"/>
        <v>LOW</v>
      </c>
      <c r="S1278" s="2"/>
      <c r="T1278" s="2"/>
      <c r="U1278" s="2"/>
      <c r="V1278" s="2"/>
      <c r="W1278" s="2"/>
      <c r="X1278" s="2"/>
      <c r="Y1278" s="2"/>
      <c r="Z1278" s="2"/>
    </row>
    <row r="1279" spans="1:26" ht="16.8" x14ac:dyDescent="0.3">
      <c r="A1279" s="4">
        <v>1789</v>
      </c>
      <c r="B1279" s="4" t="s">
        <v>43</v>
      </c>
      <c r="C1279" s="4">
        <v>46</v>
      </c>
      <c r="D1279" s="4" t="s">
        <v>45</v>
      </c>
      <c r="E1279" s="4" t="s">
        <v>58</v>
      </c>
      <c r="F1279" s="4">
        <v>19328</v>
      </c>
      <c r="G1279" s="4" t="s">
        <v>35</v>
      </c>
      <c r="H1279" s="4">
        <v>2</v>
      </c>
      <c r="I1279" s="4">
        <v>2</v>
      </c>
      <c r="J1279" s="4">
        <v>4</v>
      </c>
      <c r="K1279" s="4">
        <v>3</v>
      </c>
      <c r="L1279" s="4" t="str">
        <f t="shared" si="36"/>
        <v>NORMAL</v>
      </c>
      <c r="M1279" s="4" t="str">
        <f t="shared" si="37"/>
        <v>MEDIUM</v>
      </c>
      <c r="N1279" s="4" t="str">
        <f t="shared" si="38"/>
        <v>NEW</v>
      </c>
      <c r="O1279" s="4" t="str">
        <f t="shared" si="39"/>
        <v>MODERATE-WAIT</v>
      </c>
      <c r="P1279" s="5" t="str">
        <f t="shared" si="40"/>
        <v>Medium_Pressure</v>
      </c>
      <c r="Q1279" s="4" t="str">
        <f t="shared" si="41"/>
        <v>HIGHLY_ENGAGED</v>
      </c>
      <c r="R1279" s="4" t="str">
        <f t="shared" si="35"/>
        <v>LOW</v>
      </c>
      <c r="S1279" s="2"/>
      <c r="T1279" s="2"/>
      <c r="U1279" s="2"/>
      <c r="V1279" s="2"/>
      <c r="W1279" s="2"/>
      <c r="X1279" s="2"/>
      <c r="Y1279" s="2"/>
      <c r="Z1279" s="2"/>
    </row>
    <row r="1280" spans="1:26" ht="16.8" x14ac:dyDescent="0.3">
      <c r="A1280" s="4">
        <v>1790</v>
      </c>
      <c r="B1280" s="4" t="s">
        <v>43</v>
      </c>
      <c r="C1280" s="4">
        <v>36</v>
      </c>
      <c r="D1280" s="4" t="s">
        <v>45</v>
      </c>
      <c r="E1280" s="4" t="s">
        <v>54</v>
      </c>
      <c r="F1280" s="4">
        <v>8321</v>
      </c>
      <c r="G1280" s="4" t="s">
        <v>35</v>
      </c>
      <c r="H1280" s="4">
        <v>12</v>
      </c>
      <c r="I1280" s="4">
        <v>5</v>
      </c>
      <c r="J1280" s="4">
        <v>1</v>
      </c>
      <c r="K1280" s="4">
        <v>3</v>
      </c>
      <c r="L1280" s="4" t="str">
        <f t="shared" si="36"/>
        <v>HIGH RISK</v>
      </c>
      <c r="M1280" s="4" t="str">
        <f t="shared" si="37"/>
        <v>HIGH</v>
      </c>
      <c r="N1280" s="4" t="str">
        <f t="shared" si="38"/>
        <v>SENIOR</v>
      </c>
      <c r="O1280" s="4" t="str">
        <f t="shared" si="39"/>
        <v>STAGNANT</v>
      </c>
      <c r="P1280" s="5" t="str">
        <f t="shared" si="40"/>
        <v>Medium_Pressure</v>
      </c>
      <c r="Q1280" s="4" t="str">
        <f t="shared" si="41"/>
        <v>DISENGAGED</v>
      </c>
      <c r="R1280" s="4" t="str">
        <f t="shared" si="35"/>
        <v>LOW</v>
      </c>
      <c r="S1280" s="2"/>
      <c r="T1280" s="2"/>
      <c r="U1280" s="2"/>
      <c r="V1280" s="2"/>
      <c r="W1280" s="2"/>
      <c r="X1280" s="2"/>
      <c r="Y1280" s="2"/>
      <c r="Z1280" s="2"/>
    </row>
    <row r="1281" spans="1:26" ht="16.8" x14ac:dyDescent="0.3">
      <c r="A1281" s="4">
        <v>1792</v>
      </c>
      <c r="B1281" s="4" t="s">
        <v>35</v>
      </c>
      <c r="C1281" s="4">
        <v>44</v>
      </c>
      <c r="D1281" s="4" t="s">
        <v>45</v>
      </c>
      <c r="E1281" s="4" t="s">
        <v>47</v>
      </c>
      <c r="F1281" s="4">
        <v>2342</v>
      </c>
      <c r="G1281" s="4" t="s">
        <v>35</v>
      </c>
      <c r="H1281" s="4">
        <v>5</v>
      </c>
      <c r="I1281" s="4">
        <v>2</v>
      </c>
      <c r="J1281" s="4">
        <v>2</v>
      </c>
      <c r="K1281" s="4">
        <v>2</v>
      </c>
      <c r="L1281" s="4" t="str">
        <f t="shared" si="36"/>
        <v>NORMAL</v>
      </c>
      <c r="M1281" s="4" t="str">
        <f t="shared" si="37"/>
        <v>LOW</v>
      </c>
      <c r="N1281" s="4" t="str">
        <f t="shared" si="38"/>
        <v>MID</v>
      </c>
      <c r="O1281" s="4" t="str">
        <f t="shared" si="39"/>
        <v>MODERATE-WAIT</v>
      </c>
      <c r="P1281" s="5" t="str">
        <f t="shared" si="40"/>
        <v>High_Pressure</v>
      </c>
      <c r="Q1281" s="4" t="str">
        <f t="shared" si="41"/>
        <v>DISENGAGED</v>
      </c>
      <c r="R1281" s="4" t="str">
        <f t="shared" si="35"/>
        <v>LOW</v>
      </c>
      <c r="S1281" s="2"/>
      <c r="T1281" s="2"/>
      <c r="U1281" s="2"/>
      <c r="V1281" s="2"/>
      <c r="W1281" s="2"/>
      <c r="X1281" s="2"/>
      <c r="Y1281" s="2"/>
      <c r="Z1281" s="2"/>
    </row>
    <row r="1282" spans="1:26" ht="16.8" x14ac:dyDescent="0.3">
      <c r="A1282" s="4">
        <v>1794</v>
      </c>
      <c r="B1282" s="4" t="s">
        <v>43</v>
      </c>
      <c r="C1282" s="4">
        <v>37</v>
      </c>
      <c r="D1282" s="4" t="s">
        <v>61</v>
      </c>
      <c r="E1282" s="4" t="s">
        <v>61</v>
      </c>
      <c r="F1282" s="4">
        <v>4071</v>
      </c>
      <c r="G1282" s="4" t="s">
        <v>43</v>
      </c>
      <c r="H1282" s="4">
        <v>10</v>
      </c>
      <c r="I1282" s="4">
        <v>4</v>
      </c>
      <c r="J1282" s="4">
        <v>2</v>
      </c>
      <c r="K1282" s="4">
        <v>2</v>
      </c>
      <c r="L1282" s="4" t="str">
        <f t="shared" si="36"/>
        <v>NORMAL</v>
      </c>
      <c r="M1282" s="4" t="str">
        <f t="shared" si="37"/>
        <v>HIGH</v>
      </c>
      <c r="N1282" s="4" t="str">
        <f t="shared" si="38"/>
        <v>SENIOR</v>
      </c>
      <c r="O1282" s="4" t="str">
        <f t="shared" si="39"/>
        <v>STAGNANT</v>
      </c>
      <c r="P1282" s="5" t="str">
        <f t="shared" si="40"/>
        <v>Low_Pressure</v>
      </c>
      <c r="Q1282" s="4" t="str">
        <f t="shared" si="41"/>
        <v>DISENGAGED</v>
      </c>
      <c r="R1282" s="4" t="str">
        <f t="shared" si="35"/>
        <v>LOW</v>
      </c>
      <c r="S1282" s="2"/>
      <c r="T1282" s="2"/>
      <c r="U1282" s="2"/>
      <c r="V1282" s="2"/>
      <c r="W1282" s="2"/>
      <c r="X1282" s="2"/>
      <c r="Y1282" s="2"/>
      <c r="Z1282" s="2"/>
    </row>
    <row r="1283" spans="1:26" ht="16.8" x14ac:dyDescent="0.3">
      <c r="A1283" s="4">
        <v>1797</v>
      </c>
      <c r="B1283" s="4" t="s">
        <v>35</v>
      </c>
      <c r="C1283" s="4">
        <v>35</v>
      </c>
      <c r="D1283" s="4" t="s">
        <v>37</v>
      </c>
      <c r="E1283" s="4" t="s">
        <v>40</v>
      </c>
      <c r="F1283" s="4">
        <v>5813</v>
      </c>
      <c r="G1283" s="4" t="s">
        <v>35</v>
      </c>
      <c r="H1283" s="4">
        <v>10</v>
      </c>
      <c r="I1283" s="4">
        <v>7</v>
      </c>
      <c r="J1283" s="4">
        <v>4</v>
      </c>
      <c r="K1283" s="4">
        <v>3</v>
      </c>
      <c r="L1283" s="4" t="str">
        <f t="shared" si="36"/>
        <v>NORMAL</v>
      </c>
      <c r="M1283" s="4" t="str">
        <f t="shared" si="37"/>
        <v>HIGH</v>
      </c>
      <c r="N1283" s="4" t="str">
        <f t="shared" si="38"/>
        <v>SENIOR</v>
      </c>
      <c r="O1283" s="4" t="str">
        <f t="shared" si="39"/>
        <v>STAGNANT</v>
      </c>
      <c r="P1283" s="5" t="str">
        <f t="shared" si="40"/>
        <v>Medium_Pressure</v>
      </c>
      <c r="Q1283" s="4" t="str">
        <f t="shared" si="41"/>
        <v>HIGHLY_ENGAGED</v>
      </c>
      <c r="R1283" s="4" t="str">
        <f t="shared" si="35"/>
        <v>LOW</v>
      </c>
      <c r="S1283" s="2"/>
      <c r="T1283" s="2"/>
      <c r="U1283" s="2"/>
      <c r="V1283" s="2"/>
      <c r="W1283" s="2"/>
      <c r="X1283" s="2"/>
      <c r="Y1283" s="2"/>
      <c r="Z1283" s="2"/>
    </row>
    <row r="1284" spans="1:26" ht="16.8" x14ac:dyDescent="0.3">
      <c r="A1284" s="4">
        <v>1798</v>
      </c>
      <c r="B1284" s="4" t="s">
        <v>43</v>
      </c>
      <c r="C1284" s="4">
        <v>33</v>
      </c>
      <c r="D1284" s="4" t="s">
        <v>45</v>
      </c>
      <c r="E1284" s="4" t="s">
        <v>47</v>
      </c>
      <c r="F1284" s="4">
        <v>3143</v>
      </c>
      <c r="G1284" s="4" t="s">
        <v>43</v>
      </c>
      <c r="H1284" s="4">
        <v>10</v>
      </c>
      <c r="I1284" s="4">
        <v>7</v>
      </c>
      <c r="J1284" s="4">
        <v>1</v>
      </c>
      <c r="K1284" s="4">
        <v>3</v>
      </c>
      <c r="L1284" s="4" t="str">
        <f t="shared" si="36"/>
        <v>NORMAL</v>
      </c>
      <c r="M1284" s="4" t="str">
        <f t="shared" si="37"/>
        <v>LOW</v>
      </c>
      <c r="N1284" s="4" t="str">
        <f t="shared" si="38"/>
        <v>SENIOR</v>
      </c>
      <c r="O1284" s="4" t="str">
        <f t="shared" si="39"/>
        <v>STAGNANT</v>
      </c>
      <c r="P1284" s="5" t="str">
        <f t="shared" si="40"/>
        <v>Medium_Pressure</v>
      </c>
      <c r="Q1284" s="4" t="str">
        <f t="shared" si="41"/>
        <v>DISENGAGED</v>
      </c>
      <c r="R1284" s="4" t="str">
        <f t="shared" si="35"/>
        <v>LOW</v>
      </c>
      <c r="S1284" s="2"/>
      <c r="T1284" s="2"/>
      <c r="U1284" s="2"/>
      <c r="V1284" s="2"/>
      <c r="W1284" s="2"/>
      <c r="X1284" s="2"/>
      <c r="Y1284" s="2"/>
      <c r="Z1284" s="2"/>
    </row>
    <row r="1285" spans="1:26" ht="16.8" x14ac:dyDescent="0.3">
      <c r="A1285" s="4">
        <v>1799</v>
      </c>
      <c r="B1285" s="4" t="s">
        <v>43</v>
      </c>
      <c r="C1285" s="4">
        <v>28</v>
      </c>
      <c r="D1285" s="4" t="s">
        <v>45</v>
      </c>
      <c r="E1285" s="4" t="s">
        <v>47</v>
      </c>
      <c r="F1285" s="4">
        <v>2044</v>
      </c>
      <c r="G1285" s="4" t="s">
        <v>43</v>
      </c>
      <c r="H1285" s="4">
        <v>5</v>
      </c>
      <c r="I1285" s="4">
        <v>0</v>
      </c>
      <c r="J1285" s="4">
        <v>4</v>
      </c>
      <c r="K1285" s="4">
        <v>4</v>
      </c>
      <c r="L1285" s="4" t="str">
        <f t="shared" si="36"/>
        <v>NORMAL</v>
      </c>
      <c r="M1285" s="4" t="str">
        <f t="shared" si="37"/>
        <v>LOW</v>
      </c>
      <c r="N1285" s="4" t="str">
        <f t="shared" si="38"/>
        <v>MID</v>
      </c>
      <c r="O1285" s="4" t="str">
        <f t="shared" si="39"/>
        <v>RECENTLY PROMOTED</v>
      </c>
      <c r="P1285" s="5" t="str">
        <f t="shared" si="40"/>
        <v>Low_Pressure</v>
      </c>
      <c r="Q1285" s="4" t="str">
        <f t="shared" si="41"/>
        <v>HIGHLY_ENGAGED</v>
      </c>
      <c r="R1285" s="4" t="str">
        <f t="shared" si="35"/>
        <v>LOW</v>
      </c>
      <c r="S1285" s="2"/>
      <c r="T1285" s="2"/>
      <c r="U1285" s="2"/>
      <c r="V1285" s="2"/>
      <c r="W1285" s="2"/>
      <c r="X1285" s="2"/>
      <c r="Y1285" s="2"/>
      <c r="Z1285" s="2"/>
    </row>
    <row r="1286" spans="1:26" ht="16.8" x14ac:dyDescent="0.3">
      <c r="A1286" s="4">
        <v>1800</v>
      </c>
      <c r="B1286" s="4" t="s">
        <v>43</v>
      </c>
      <c r="C1286" s="4">
        <v>39</v>
      </c>
      <c r="D1286" s="4" t="s">
        <v>45</v>
      </c>
      <c r="E1286" s="4" t="s">
        <v>58</v>
      </c>
      <c r="F1286" s="4">
        <v>13464</v>
      </c>
      <c r="G1286" s="4" t="s">
        <v>43</v>
      </c>
      <c r="H1286" s="4">
        <v>4</v>
      </c>
      <c r="I1286" s="4">
        <v>2</v>
      </c>
      <c r="J1286" s="4">
        <v>3</v>
      </c>
      <c r="K1286" s="4">
        <v>3</v>
      </c>
      <c r="L1286" s="4" t="str">
        <f t="shared" si="36"/>
        <v>NORMAL</v>
      </c>
      <c r="M1286" s="4" t="str">
        <f t="shared" si="37"/>
        <v>MEDIUM</v>
      </c>
      <c r="N1286" s="4" t="str">
        <f t="shared" si="38"/>
        <v>MID</v>
      </c>
      <c r="O1286" s="4" t="str">
        <f t="shared" si="39"/>
        <v>MODERATE-WAIT</v>
      </c>
      <c r="P1286" s="5" t="str">
        <f t="shared" si="40"/>
        <v>Medium_Pressure</v>
      </c>
      <c r="Q1286" s="4" t="str">
        <f t="shared" si="41"/>
        <v>HIGHLY_ENGAGED</v>
      </c>
      <c r="R1286" s="4" t="str">
        <f t="shared" si="35"/>
        <v>LOW</v>
      </c>
      <c r="S1286" s="2"/>
      <c r="T1286" s="2"/>
      <c r="U1286" s="2"/>
      <c r="V1286" s="2"/>
      <c r="W1286" s="2"/>
      <c r="X1286" s="2"/>
      <c r="Y1286" s="2"/>
      <c r="Z1286" s="2"/>
    </row>
    <row r="1287" spans="1:26" ht="16.8" x14ac:dyDescent="0.3">
      <c r="A1287" s="4">
        <v>1801</v>
      </c>
      <c r="B1287" s="4" t="s">
        <v>43</v>
      </c>
      <c r="C1287" s="4">
        <v>46</v>
      </c>
      <c r="D1287" s="4" t="s">
        <v>37</v>
      </c>
      <c r="E1287" s="4" t="s">
        <v>40</v>
      </c>
      <c r="F1287" s="4">
        <v>7991</v>
      </c>
      <c r="G1287" s="4" t="s">
        <v>43</v>
      </c>
      <c r="H1287" s="4">
        <v>2</v>
      </c>
      <c r="I1287" s="4">
        <v>2</v>
      </c>
      <c r="J1287" s="4">
        <v>2</v>
      </c>
      <c r="K1287" s="4">
        <v>3</v>
      </c>
      <c r="L1287" s="4" t="str">
        <f t="shared" si="36"/>
        <v>NORMAL</v>
      </c>
      <c r="M1287" s="4" t="str">
        <f t="shared" si="37"/>
        <v>HIGH</v>
      </c>
      <c r="N1287" s="4" t="str">
        <f t="shared" si="38"/>
        <v>NEW</v>
      </c>
      <c r="O1287" s="4" t="str">
        <f t="shared" si="39"/>
        <v>MODERATE-WAIT</v>
      </c>
      <c r="P1287" s="5" t="str">
        <f t="shared" si="40"/>
        <v>Medium_Pressure</v>
      </c>
      <c r="Q1287" s="4" t="str">
        <f t="shared" si="41"/>
        <v>DISENGAGED</v>
      </c>
      <c r="R1287" s="4" t="str">
        <f t="shared" si="35"/>
        <v>LOW</v>
      </c>
      <c r="S1287" s="2"/>
      <c r="T1287" s="2"/>
      <c r="U1287" s="2"/>
      <c r="V1287" s="2"/>
      <c r="W1287" s="2"/>
      <c r="X1287" s="2"/>
      <c r="Y1287" s="2"/>
      <c r="Z1287" s="2"/>
    </row>
    <row r="1288" spans="1:26" ht="16.8" x14ac:dyDescent="0.3">
      <c r="A1288" s="4">
        <v>1802</v>
      </c>
      <c r="B1288" s="4" t="s">
        <v>43</v>
      </c>
      <c r="C1288" s="4">
        <v>40</v>
      </c>
      <c r="D1288" s="4" t="s">
        <v>45</v>
      </c>
      <c r="E1288" s="4" t="s">
        <v>50</v>
      </c>
      <c r="F1288" s="4">
        <v>3377</v>
      </c>
      <c r="G1288" s="4" t="s">
        <v>43</v>
      </c>
      <c r="H1288" s="4">
        <v>4</v>
      </c>
      <c r="I1288" s="4">
        <v>0</v>
      </c>
      <c r="J1288" s="4">
        <v>1</v>
      </c>
      <c r="K1288" s="4">
        <v>2</v>
      </c>
      <c r="L1288" s="4" t="str">
        <f t="shared" si="36"/>
        <v>NORMAL</v>
      </c>
      <c r="M1288" s="4" t="str">
        <f t="shared" si="37"/>
        <v>LOW</v>
      </c>
      <c r="N1288" s="4" t="str">
        <f t="shared" si="38"/>
        <v>MID</v>
      </c>
      <c r="O1288" s="4" t="str">
        <f t="shared" si="39"/>
        <v>RECENTLY PROMOTED</v>
      </c>
      <c r="P1288" s="5" t="str">
        <f t="shared" si="40"/>
        <v>Low_Pressure</v>
      </c>
      <c r="Q1288" s="4" t="str">
        <f t="shared" si="41"/>
        <v>DISENGAGED</v>
      </c>
      <c r="R1288" s="4" t="str">
        <f t="shared" si="35"/>
        <v>LOW</v>
      </c>
      <c r="S1288" s="2"/>
      <c r="T1288" s="2"/>
      <c r="U1288" s="2"/>
      <c r="V1288" s="2"/>
      <c r="W1288" s="2"/>
      <c r="X1288" s="2"/>
      <c r="Y1288" s="2"/>
      <c r="Z1288" s="2"/>
    </row>
    <row r="1289" spans="1:26" ht="16.8" x14ac:dyDescent="0.3">
      <c r="A1289" s="4">
        <v>1803</v>
      </c>
      <c r="B1289" s="4" t="s">
        <v>43</v>
      </c>
      <c r="C1289" s="4">
        <v>42</v>
      </c>
      <c r="D1289" s="4" t="s">
        <v>45</v>
      </c>
      <c r="E1289" s="4" t="s">
        <v>54</v>
      </c>
      <c r="F1289" s="4">
        <v>5538</v>
      </c>
      <c r="G1289" s="4" t="s">
        <v>43</v>
      </c>
      <c r="H1289" s="4">
        <v>0</v>
      </c>
      <c r="I1289" s="4">
        <v>0</v>
      </c>
      <c r="J1289" s="4">
        <v>1</v>
      </c>
      <c r="K1289" s="4">
        <v>2</v>
      </c>
      <c r="L1289" s="4" t="str">
        <f t="shared" si="36"/>
        <v>NORMAL</v>
      </c>
      <c r="M1289" s="4" t="str">
        <f t="shared" si="37"/>
        <v>HIGH</v>
      </c>
      <c r="N1289" s="4" t="str">
        <f t="shared" si="38"/>
        <v>NEW</v>
      </c>
      <c r="O1289" s="4" t="str">
        <f t="shared" si="39"/>
        <v>RECENTLY PROMOTED</v>
      </c>
      <c r="P1289" s="5" t="str">
        <f t="shared" si="40"/>
        <v>Low_Pressure</v>
      </c>
      <c r="Q1289" s="4" t="str">
        <f t="shared" si="41"/>
        <v>DISENGAGED</v>
      </c>
      <c r="R1289" s="4" t="str">
        <f t="shared" si="35"/>
        <v>LOW</v>
      </c>
      <c r="S1289" s="2"/>
      <c r="T1289" s="2"/>
      <c r="U1289" s="2"/>
      <c r="V1289" s="2"/>
      <c r="W1289" s="2"/>
      <c r="X1289" s="2"/>
      <c r="Y1289" s="2"/>
      <c r="Z1289" s="2"/>
    </row>
    <row r="1290" spans="1:26" ht="16.8" x14ac:dyDescent="0.3">
      <c r="A1290" s="4">
        <v>1804</v>
      </c>
      <c r="B1290" s="4" t="s">
        <v>43</v>
      </c>
      <c r="C1290" s="4">
        <v>35</v>
      </c>
      <c r="D1290" s="4" t="s">
        <v>45</v>
      </c>
      <c r="E1290" s="4" t="s">
        <v>53</v>
      </c>
      <c r="F1290" s="4">
        <v>5762</v>
      </c>
      <c r="G1290" s="4" t="s">
        <v>43</v>
      </c>
      <c r="H1290" s="4">
        <v>7</v>
      </c>
      <c r="I1290" s="4">
        <v>1</v>
      </c>
      <c r="J1290" s="4">
        <v>4</v>
      </c>
      <c r="K1290" s="4">
        <v>3</v>
      </c>
      <c r="L1290" s="4" t="str">
        <f t="shared" si="36"/>
        <v>NORMAL</v>
      </c>
      <c r="M1290" s="4" t="str">
        <f t="shared" si="37"/>
        <v>HIGH</v>
      </c>
      <c r="N1290" s="4" t="str">
        <f t="shared" si="38"/>
        <v>SENIOR</v>
      </c>
      <c r="O1290" s="4" t="str">
        <f t="shared" si="39"/>
        <v>RECENTLY PROMOTED</v>
      </c>
      <c r="P1290" s="5" t="str">
        <f t="shared" si="40"/>
        <v>Medium_Pressure</v>
      </c>
      <c r="Q1290" s="4" t="str">
        <f t="shared" si="41"/>
        <v>HIGHLY_ENGAGED</v>
      </c>
      <c r="R1290" s="4" t="str">
        <f t="shared" si="35"/>
        <v>LOW</v>
      </c>
      <c r="S1290" s="2"/>
      <c r="T1290" s="2"/>
      <c r="U1290" s="2"/>
      <c r="V1290" s="2"/>
      <c r="W1290" s="2"/>
      <c r="X1290" s="2"/>
      <c r="Y1290" s="2"/>
      <c r="Z1290" s="2"/>
    </row>
    <row r="1291" spans="1:26" ht="16.8" x14ac:dyDescent="0.3">
      <c r="A1291" s="4">
        <v>1805</v>
      </c>
      <c r="B1291" s="4" t="s">
        <v>43</v>
      </c>
      <c r="C1291" s="4">
        <v>38</v>
      </c>
      <c r="D1291" s="4" t="s">
        <v>61</v>
      </c>
      <c r="E1291" s="4" t="s">
        <v>61</v>
      </c>
      <c r="F1291" s="4">
        <v>2592</v>
      </c>
      <c r="G1291" s="4" t="s">
        <v>43</v>
      </c>
      <c r="H1291" s="4">
        <v>11</v>
      </c>
      <c r="I1291" s="4">
        <v>3</v>
      </c>
      <c r="J1291" s="4">
        <v>2</v>
      </c>
      <c r="K1291" s="4">
        <v>3</v>
      </c>
      <c r="L1291" s="4" t="str">
        <f t="shared" si="36"/>
        <v>NORMAL</v>
      </c>
      <c r="M1291" s="4" t="str">
        <f t="shared" si="37"/>
        <v>LOW</v>
      </c>
      <c r="N1291" s="4" t="str">
        <f t="shared" si="38"/>
        <v>SENIOR</v>
      </c>
      <c r="O1291" s="4" t="str">
        <f t="shared" si="39"/>
        <v>MODERATE-WAIT</v>
      </c>
      <c r="P1291" s="5" t="str">
        <f t="shared" si="40"/>
        <v>Medium_Pressure</v>
      </c>
      <c r="Q1291" s="4" t="str">
        <f t="shared" si="41"/>
        <v>DISENGAGED</v>
      </c>
      <c r="R1291" s="4" t="str">
        <f t="shared" si="35"/>
        <v>LOW</v>
      </c>
      <c r="S1291" s="2"/>
      <c r="T1291" s="2"/>
      <c r="U1291" s="2"/>
      <c r="V1291" s="2"/>
      <c r="W1291" s="2"/>
      <c r="X1291" s="2"/>
      <c r="Y1291" s="2"/>
      <c r="Z1291" s="2"/>
    </row>
    <row r="1292" spans="1:26" ht="16.8" x14ac:dyDescent="0.3">
      <c r="A1292" s="4">
        <v>1807</v>
      </c>
      <c r="B1292" s="4" t="s">
        <v>35</v>
      </c>
      <c r="C1292" s="4">
        <v>34</v>
      </c>
      <c r="D1292" s="4" t="s">
        <v>45</v>
      </c>
      <c r="E1292" s="4" t="s">
        <v>50</v>
      </c>
      <c r="F1292" s="4">
        <v>5346</v>
      </c>
      <c r="G1292" s="4" t="s">
        <v>43</v>
      </c>
      <c r="H1292" s="4">
        <v>7</v>
      </c>
      <c r="I1292" s="4">
        <v>0</v>
      </c>
      <c r="J1292" s="4">
        <v>1</v>
      </c>
      <c r="K1292" s="4">
        <v>2</v>
      </c>
      <c r="L1292" s="4" t="str">
        <f t="shared" si="36"/>
        <v>NORMAL</v>
      </c>
      <c r="M1292" s="4" t="str">
        <f t="shared" si="37"/>
        <v>HIGH</v>
      </c>
      <c r="N1292" s="4" t="str">
        <f t="shared" si="38"/>
        <v>SENIOR</v>
      </c>
      <c r="O1292" s="4" t="str">
        <f t="shared" si="39"/>
        <v>RECENTLY PROMOTED</v>
      </c>
      <c r="P1292" s="5" t="str">
        <f t="shared" si="40"/>
        <v>Low_Pressure</v>
      </c>
      <c r="Q1292" s="4" t="str">
        <f t="shared" si="41"/>
        <v>DISENGAGED</v>
      </c>
      <c r="R1292" s="4" t="str">
        <f t="shared" si="35"/>
        <v>LOW</v>
      </c>
      <c r="S1292" s="2"/>
      <c r="T1292" s="2"/>
      <c r="U1292" s="2"/>
      <c r="V1292" s="2"/>
      <c r="W1292" s="2"/>
      <c r="X1292" s="2"/>
      <c r="Y1292" s="2"/>
      <c r="Z1292" s="2"/>
    </row>
    <row r="1293" spans="1:26" ht="16.8" x14ac:dyDescent="0.3">
      <c r="A1293" s="4">
        <v>1809</v>
      </c>
      <c r="B1293" s="4" t="s">
        <v>35</v>
      </c>
      <c r="C1293" s="4">
        <v>37</v>
      </c>
      <c r="D1293" s="4" t="s">
        <v>45</v>
      </c>
      <c r="E1293" s="4" t="s">
        <v>53</v>
      </c>
      <c r="F1293" s="4">
        <v>4213</v>
      </c>
      <c r="G1293" s="4" t="s">
        <v>43</v>
      </c>
      <c r="H1293" s="4">
        <v>10</v>
      </c>
      <c r="I1293" s="4">
        <v>0</v>
      </c>
      <c r="J1293" s="4">
        <v>1</v>
      </c>
      <c r="K1293" s="4">
        <v>1</v>
      </c>
      <c r="L1293" s="4" t="str">
        <f t="shared" si="36"/>
        <v>NORMAL</v>
      </c>
      <c r="M1293" s="4" t="str">
        <f t="shared" si="37"/>
        <v>HIGH</v>
      </c>
      <c r="N1293" s="4" t="str">
        <f t="shared" si="38"/>
        <v>SENIOR</v>
      </c>
      <c r="O1293" s="4" t="str">
        <f t="shared" si="39"/>
        <v>RECENTLY PROMOTED</v>
      </c>
      <c r="P1293" s="5" t="str">
        <f t="shared" si="40"/>
        <v>Low_Pressure</v>
      </c>
      <c r="Q1293" s="4" t="str">
        <f t="shared" si="41"/>
        <v>DISENGAGED</v>
      </c>
      <c r="R1293" s="4" t="str">
        <f t="shared" si="35"/>
        <v>LOW</v>
      </c>
      <c r="S1293" s="2"/>
      <c r="T1293" s="2"/>
      <c r="U1293" s="2"/>
      <c r="V1293" s="2"/>
      <c r="W1293" s="2"/>
      <c r="X1293" s="2"/>
      <c r="Y1293" s="2"/>
      <c r="Z1293" s="2"/>
    </row>
    <row r="1294" spans="1:26" ht="16.8" x14ac:dyDescent="0.3">
      <c r="A1294" s="4">
        <v>1812</v>
      </c>
      <c r="B1294" s="4" t="s">
        <v>43</v>
      </c>
      <c r="C1294" s="4">
        <v>39</v>
      </c>
      <c r="D1294" s="4" t="s">
        <v>37</v>
      </c>
      <c r="E1294" s="4" t="s">
        <v>40</v>
      </c>
      <c r="F1294" s="4">
        <v>4127</v>
      </c>
      <c r="G1294" s="4" t="s">
        <v>43</v>
      </c>
      <c r="H1294" s="4">
        <v>2</v>
      </c>
      <c r="I1294" s="4">
        <v>2</v>
      </c>
      <c r="J1294" s="4">
        <v>4</v>
      </c>
      <c r="K1294" s="4">
        <v>3</v>
      </c>
      <c r="L1294" s="4" t="str">
        <f t="shared" si="36"/>
        <v>NORMAL</v>
      </c>
      <c r="M1294" s="4" t="str">
        <f t="shared" si="37"/>
        <v>HIGH</v>
      </c>
      <c r="N1294" s="4" t="str">
        <f t="shared" si="38"/>
        <v>NEW</v>
      </c>
      <c r="O1294" s="4" t="str">
        <f t="shared" si="39"/>
        <v>MODERATE-WAIT</v>
      </c>
      <c r="P1294" s="5" t="str">
        <f t="shared" si="40"/>
        <v>Medium_Pressure</v>
      </c>
      <c r="Q1294" s="4" t="str">
        <f t="shared" si="41"/>
        <v>HIGHLY_ENGAGED</v>
      </c>
      <c r="R1294" s="4" t="str">
        <f t="shared" si="35"/>
        <v>LOW</v>
      </c>
      <c r="S1294" s="2"/>
      <c r="T1294" s="2"/>
      <c r="U1294" s="2"/>
      <c r="V1294" s="2"/>
      <c r="W1294" s="2"/>
      <c r="X1294" s="2"/>
      <c r="Y1294" s="2"/>
      <c r="Z1294" s="2"/>
    </row>
    <row r="1295" spans="1:26" ht="16.8" x14ac:dyDescent="0.3">
      <c r="A1295" s="4">
        <v>1813</v>
      </c>
      <c r="B1295" s="4" t="s">
        <v>43</v>
      </c>
      <c r="C1295" s="4">
        <v>43</v>
      </c>
      <c r="D1295" s="4" t="s">
        <v>45</v>
      </c>
      <c r="E1295" s="4" t="s">
        <v>47</v>
      </c>
      <c r="F1295" s="4">
        <v>2438</v>
      </c>
      <c r="G1295" s="4" t="s">
        <v>43</v>
      </c>
      <c r="H1295" s="4">
        <v>3</v>
      </c>
      <c r="I1295" s="4">
        <v>1</v>
      </c>
      <c r="J1295" s="4">
        <v>3</v>
      </c>
      <c r="K1295" s="4">
        <v>2</v>
      </c>
      <c r="L1295" s="4" t="str">
        <f t="shared" si="36"/>
        <v>NORMAL</v>
      </c>
      <c r="M1295" s="4" t="str">
        <f t="shared" si="37"/>
        <v>LOW</v>
      </c>
      <c r="N1295" s="4" t="str">
        <f t="shared" si="38"/>
        <v>MID</v>
      </c>
      <c r="O1295" s="4" t="str">
        <f t="shared" si="39"/>
        <v>RECENTLY PROMOTED</v>
      </c>
      <c r="P1295" s="5" t="str">
        <f t="shared" si="40"/>
        <v>Low_Pressure</v>
      </c>
      <c r="Q1295" s="4" t="str">
        <f t="shared" si="41"/>
        <v>DISENGAGED</v>
      </c>
      <c r="R1295" s="4" t="str">
        <f t="shared" si="35"/>
        <v>LOW</v>
      </c>
      <c r="S1295" s="2"/>
      <c r="T1295" s="2"/>
      <c r="U1295" s="2"/>
      <c r="V1295" s="2"/>
      <c r="W1295" s="2"/>
      <c r="X1295" s="2"/>
      <c r="Y1295" s="2"/>
      <c r="Z1295" s="2"/>
    </row>
    <row r="1296" spans="1:26" ht="16.8" x14ac:dyDescent="0.3">
      <c r="A1296" s="4">
        <v>1814</v>
      </c>
      <c r="B1296" s="4" t="s">
        <v>43</v>
      </c>
      <c r="C1296" s="4">
        <v>41</v>
      </c>
      <c r="D1296" s="4" t="s">
        <v>45</v>
      </c>
      <c r="E1296" s="4" t="s">
        <v>54</v>
      </c>
      <c r="F1296" s="4">
        <v>6870</v>
      </c>
      <c r="G1296" s="4" t="s">
        <v>43</v>
      </c>
      <c r="H1296" s="4">
        <v>3</v>
      </c>
      <c r="I1296" s="4">
        <v>1</v>
      </c>
      <c r="J1296" s="4">
        <v>2</v>
      </c>
      <c r="K1296" s="4">
        <v>1</v>
      </c>
      <c r="L1296" s="4" t="str">
        <f t="shared" si="36"/>
        <v>NORMAL</v>
      </c>
      <c r="M1296" s="4" t="str">
        <f t="shared" si="37"/>
        <v>HIGH</v>
      </c>
      <c r="N1296" s="4" t="str">
        <f t="shared" si="38"/>
        <v>MID</v>
      </c>
      <c r="O1296" s="4" t="str">
        <f t="shared" si="39"/>
        <v>RECENTLY PROMOTED</v>
      </c>
      <c r="P1296" s="5" t="str">
        <f t="shared" si="40"/>
        <v>Low_Pressure</v>
      </c>
      <c r="Q1296" s="4" t="str">
        <f t="shared" si="41"/>
        <v>DISENGAGED</v>
      </c>
      <c r="R1296" s="4" t="str">
        <f t="shared" si="35"/>
        <v>LOW</v>
      </c>
      <c r="S1296" s="2"/>
      <c r="T1296" s="2"/>
      <c r="U1296" s="2"/>
      <c r="V1296" s="2"/>
      <c r="W1296" s="2"/>
      <c r="X1296" s="2"/>
      <c r="Y1296" s="2"/>
      <c r="Z1296" s="2"/>
    </row>
    <row r="1297" spans="1:26" ht="16.8" x14ac:dyDescent="0.3">
      <c r="A1297" s="4">
        <v>1815</v>
      </c>
      <c r="B1297" s="4" t="s">
        <v>43</v>
      </c>
      <c r="C1297" s="4">
        <v>41</v>
      </c>
      <c r="D1297" s="4" t="s">
        <v>37</v>
      </c>
      <c r="E1297" s="4" t="s">
        <v>40</v>
      </c>
      <c r="F1297" s="4">
        <v>10447</v>
      </c>
      <c r="G1297" s="4" t="s">
        <v>35</v>
      </c>
      <c r="H1297" s="4">
        <v>22</v>
      </c>
      <c r="I1297" s="4">
        <v>13</v>
      </c>
      <c r="J1297" s="4">
        <v>3</v>
      </c>
      <c r="K1297" s="4">
        <v>4</v>
      </c>
      <c r="L1297" s="4" t="str">
        <f t="shared" si="36"/>
        <v>NORMAL</v>
      </c>
      <c r="M1297" s="4" t="str">
        <f t="shared" si="37"/>
        <v>MEDIUM</v>
      </c>
      <c r="N1297" s="4" t="str">
        <f t="shared" si="38"/>
        <v>SENIOR</v>
      </c>
      <c r="O1297" s="4" t="str">
        <f t="shared" si="39"/>
        <v>STAGNANT</v>
      </c>
      <c r="P1297" s="5" t="str">
        <f t="shared" si="40"/>
        <v>Medium_Pressure</v>
      </c>
      <c r="Q1297" s="4" t="str">
        <f t="shared" si="41"/>
        <v>HIGHLY_ENGAGED</v>
      </c>
      <c r="R1297" s="4" t="str">
        <f t="shared" si="35"/>
        <v>LOW</v>
      </c>
      <c r="S1297" s="2"/>
      <c r="T1297" s="2"/>
      <c r="U1297" s="2"/>
      <c r="V1297" s="2"/>
      <c r="W1297" s="2"/>
      <c r="X1297" s="2"/>
      <c r="Y1297" s="2"/>
      <c r="Z1297" s="2"/>
    </row>
    <row r="1298" spans="1:26" ht="16.8" x14ac:dyDescent="0.3">
      <c r="A1298" s="4">
        <v>1816</v>
      </c>
      <c r="B1298" s="4" t="s">
        <v>43</v>
      </c>
      <c r="C1298" s="4">
        <v>30</v>
      </c>
      <c r="D1298" s="4" t="s">
        <v>45</v>
      </c>
      <c r="E1298" s="4" t="s">
        <v>53</v>
      </c>
      <c r="F1298" s="4">
        <v>9667</v>
      </c>
      <c r="G1298" s="4" t="s">
        <v>43</v>
      </c>
      <c r="H1298" s="4">
        <v>7</v>
      </c>
      <c r="I1298" s="4">
        <v>0</v>
      </c>
      <c r="J1298" s="4">
        <v>3</v>
      </c>
      <c r="K1298" s="4">
        <v>3</v>
      </c>
      <c r="L1298" s="4" t="str">
        <f t="shared" si="36"/>
        <v>NORMAL</v>
      </c>
      <c r="M1298" s="4" t="str">
        <f t="shared" si="37"/>
        <v>MEDIUM</v>
      </c>
      <c r="N1298" s="4" t="str">
        <f t="shared" si="38"/>
        <v>SENIOR</v>
      </c>
      <c r="O1298" s="4" t="str">
        <f t="shared" si="39"/>
        <v>RECENTLY PROMOTED</v>
      </c>
      <c r="P1298" s="5" t="str">
        <f t="shared" si="40"/>
        <v>Medium_Pressure</v>
      </c>
      <c r="Q1298" s="4" t="str">
        <f t="shared" si="41"/>
        <v>HIGHLY_ENGAGED</v>
      </c>
      <c r="R1298" s="4" t="str">
        <f t="shared" si="35"/>
        <v>LOW</v>
      </c>
      <c r="S1298" s="2"/>
      <c r="T1298" s="2"/>
      <c r="U1298" s="2"/>
      <c r="V1298" s="2"/>
      <c r="W1298" s="2"/>
      <c r="X1298" s="2"/>
      <c r="Y1298" s="2"/>
      <c r="Z1298" s="2"/>
    </row>
    <row r="1299" spans="1:26" ht="16.8" x14ac:dyDescent="0.3">
      <c r="A1299" s="4">
        <v>1818</v>
      </c>
      <c r="B1299" s="4" t="s">
        <v>35</v>
      </c>
      <c r="C1299" s="4">
        <v>26</v>
      </c>
      <c r="D1299" s="4" t="s">
        <v>61</v>
      </c>
      <c r="E1299" s="4" t="s">
        <v>61</v>
      </c>
      <c r="F1299" s="4">
        <v>2148</v>
      </c>
      <c r="G1299" s="4" t="s">
        <v>35</v>
      </c>
      <c r="H1299" s="4">
        <v>5</v>
      </c>
      <c r="I1299" s="4">
        <v>1</v>
      </c>
      <c r="J1299" s="4">
        <v>2</v>
      </c>
      <c r="K1299" s="4">
        <v>3</v>
      </c>
      <c r="L1299" s="4" t="str">
        <f t="shared" si="36"/>
        <v>NORMAL</v>
      </c>
      <c r="M1299" s="4" t="str">
        <f t="shared" si="37"/>
        <v>LOW</v>
      </c>
      <c r="N1299" s="4" t="str">
        <f t="shared" si="38"/>
        <v>MID</v>
      </c>
      <c r="O1299" s="4" t="str">
        <f t="shared" si="39"/>
        <v>RECENTLY PROMOTED</v>
      </c>
      <c r="P1299" s="5" t="str">
        <f t="shared" si="40"/>
        <v>Medium_Pressure</v>
      </c>
      <c r="Q1299" s="4" t="str">
        <f t="shared" si="41"/>
        <v>DISENGAGED</v>
      </c>
      <c r="R1299" s="4" t="str">
        <f t="shared" si="35"/>
        <v>LOW</v>
      </c>
      <c r="S1299" s="2"/>
      <c r="T1299" s="2"/>
      <c r="U1299" s="2"/>
      <c r="V1299" s="2"/>
      <c r="W1299" s="2"/>
      <c r="X1299" s="2"/>
      <c r="Y1299" s="2"/>
      <c r="Z1299" s="2"/>
    </row>
    <row r="1300" spans="1:26" ht="16.8" x14ac:dyDescent="0.3">
      <c r="A1300" s="4">
        <v>1821</v>
      </c>
      <c r="B1300" s="4" t="s">
        <v>35</v>
      </c>
      <c r="C1300" s="4">
        <v>46</v>
      </c>
      <c r="D1300" s="4" t="s">
        <v>45</v>
      </c>
      <c r="E1300" s="4" t="s">
        <v>54</v>
      </c>
      <c r="F1300" s="4">
        <v>8926</v>
      </c>
      <c r="G1300" s="4" t="s">
        <v>43</v>
      </c>
      <c r="H1300" s="4">
        <v>9</v>
      </c>
      <c r="I1300" s="4">
        <v>3</v>
      </c>
      <c r="J1300" s="4">
        <v>2</v>
      </c>
      <c r="K1300" s="4">
        <v>4</v>
      </c>
      <c r="L1300" s="4" t="str">
        <f t="shared" si="36"/>
        <v>NORMAL</v>
      </c>
      <c r="M1300" s="4" t="str">
        <f t="shared" si="37"/>
        <v>HIGH</v>
      </c>
      <c r="N1300" s="4" t="str">
        <f t="shared" si="38"/>
        <v>SENIOR</v>
      </c>
      <c r="O1300" s="4" t="str">
        <f t="shared" si="39"/>
        <v>MODERATE-WAIT</v>
      </c>
      <c r="P1300" s="5" t="str">
        <f t="shared" si="40"/>
        <v>Low_Pressure</v>
      </c>
      <c r="Q1300" s="4" t="str">
        <f t="shared" si="41"/>
        <v>DISENGAGED</v>
      </c>
      <c r="R1300" s="4" t="str">
        <f t="shared" si="35"/>
        <v>LOW</v>
      </c>
      <c r="S1300" s="2"/>
      <c r="T1300" s="2"/>
      <c r="U1300" s="2"/>
      <c r="V1300" s="2"/>
      <c r="W1300" s="2"/>
      <c r="X1300" s="2"/>
      <c r="Y1300" s="2"/>
      <c r="Z1300" s="2"/>
    </row>
    <row r="1301" spans="1:26" ht="16.8" x14ac:dyDescent="0.3">
      <c r="A1301" s="4">
        <v>1822</v>
      </c>
      <c r="B1301" s="4" t="s">
        <v>43</v>
      </c>
      <c r="C1301" s="4">
        <v>40</v>
      </c>
      <c r="D1301" s="4" t="s">
        <v>45</v>
      </c>
      <c r="E1301" s="4" t="s">
        <v>54</v>
      </c>
      <c r="F1301" s="4">
        <v>6513</v>
      </c>
      <c r="G1301" s="4" t="s">
        <v>43</v>
      </c>
      <c r="H1301" s="4">
        <v>5</v>
      </c>
      <c r="I1301" s="4">
        <v>0</v>
      </c>
      <c r="J1301" s="4">
        <v>4</v>
      </c>
      <c r="K1301" s="4">
        <v>3</v>
      </c>
      <c r="L1301" s="4" t="str">
        <f t="shared" si="36"/>
        <v>NORMAL</v>
      </c>
      <c r="M1301" s="4" t="str">
        <f t="shared" si="37"/>
        <v>HIGH</v>
      </c>
      <c r="N1301" s="4" t="str">
        <f t="shared" si="38"/>
        <v>MID</v>
      </c>
      <c r="O1301" s="4" t="str">
        <f t="shared" si="39"/>
        <v>RECENTLY PROMOTED</v>
      </c>
      <c r="P1301" s="5" t="str">
        <f t="shared" si="40"/>
        <v>Medium_Pressure</v>
      </c>
      <c r="Q1301" s="4" t="str">
        <f t="shared" si="41"/>
        <v>HIGHLY_ENGAGED</v>
      </c>
      <c r="R1301" s="4" t="str">
        <f t="shared" si="35"/>
        <v>LOW</v>
      </c>
      <c r="S1301" s="2"/>
      <c r="T1301" s="2"/>
      <c r="U1301" s="2"/>
      <c r="V1301" s="2"/>
      <c r="W1301" s="2"/>
      <c r="X1301" s="2"/>
      <c r="Y1301" s="2"/>
      <c r="Z1301" s="2"/>
    </row>
    <row r="1302" spans="1:26" ht="16.8" x14ac:dyDescent="0.3">
      <c r="A1302" s="4">
        <v>1823</v>
      </c>
      <c r="B1302" s="4" t="s">
        <v>43</v>
      </c>
      <c r="C1302" s="4">
        <v>34</v>
      </c>
      <c r="D1302" s="4" t="s">
        <v>37</v>
      </c>
      <c r="E1302" s="4" t="s">
        <v>40</v>
      </c>
      <c r="F1302" s="4">
        <v>6799</v>
      </c>
      <c r="G1302" s="4" t="s">
        <v>43</v>
      </c>
      <c r="H1302" s="4">
        <v>10</v>
      </c>
      <c r="I1302" s="4">
        <v>4</v>
      </c>
      <c r="J1302" s="4">
        <v>3</v>
      </c>
      <c r="K1302" s="4">
        <v>3</v>
      </c>
      <c r="L1302" s="4" t="str">
        <f t="shared" si="36"/>
        <v>NORMAL</v>
      </c>
      <c r="M1302" s="4" t="str">
        <f t="shared" si="37"/>
        <v>HIGH</v>
      </c>
      <c r="N1302" s="4" t="str">
        <f t="shared" si="38"/>
        <v>SENIOR</v>
      </c>
      <c r="O1302" s="4" t="str">
        <f t="shared" si="39"/>
        <v>STAGNANT</v>
      </c>
      <c r="P1302" s="5" t="str">
        <f t="shared" si="40"/>
        <v>Medium_Pressure</v>
      </c>
      <c r="Q1302" s="4" t="str">
        <f t="shared" si="41"/>
        <v>HIGHLY_ENGAGED</v>
      </c>
      <c r="R1302" s="4" t="str">
        <f t="shared" si="35"/>
        <v>LOW</v>
      </c>
      <c r="S1302" s="2"/>
      <c r="T1302" s="2"/>
      <c r="U1302" s="2"/>
      <c r="V1302" s="2"/>
      <c r="W1302" s="2"/>
      <c r="X1302" s="2"/>
      <c r="Y1302" s="2"/>
      <c r="Z1302" s="2"/>
    </row>
    <row r="1303" spans="1:26" ht="16.8" x14ac:dyDescent="0.3">
      <c r="A1303" s="4">
        <v>1824</v>
      </c>
      <c r="B1303" s="4" t="s">
        <v>43</v>
      </c>
      <c r="C1303" s="4">
        <v>58</v>
      </c>
      <c r="D1303" s="4" t="s">
        <v>37</v>
      </c>
      <c r="E1303" s="4" t="s">
        <v>56</v>
      </c>
      <c r="F1303" s="4">
        <v>16291</v>
      </c>
      <c r="G1303" s="4" t="s">
        <v>43</v>
      </c>
      <c r="H1303" s="4">
        <v>16</v>
      </c>
      <c r="I1303" s="4">
        <v>14</v>
      </c>
      <c r="J1303" s="4">
        <v>2</v>
      </c>
      <c r="K1303" s="4">
        <v>2</v>
      </c>
      <c r="L1303" s="4" t="str">
        <f t="shared" si="36"/>
        <v>NORMAL</v>
      </c>
      <c r="M1303" s="4" t="str">
        <f t="shared" si="37"/>
        <v>MEDIUM</v>
      </c>
      <c r="N1303" s="4" t="str">
        <f t="shared" si="38"/>
        <v>SENIOR</v>
      </c>
      <c r="O1303" s="4" t="str">
        <f t="shared" si="39"/>
        <v>STAGNANT</v>
      </c>
      <c r="P1303" s="5" t="str">
        <f t="shared" si="40"/>
        <v>Low_Pressure</v>
      </c>
      <c r="Q1303" s="4" t="str">
        <f t="shared" si="41"/>
        <v>DISENGAGED</v>
      </c>
      <c r="R1303" s="4" t="str">
        <f t="shared" si="35"/>
        <v>LOW</v>
      </c>
      <c r="S1303" s="2"/>
      <c r="T1303" s="2"/>
      <c r="U1303" s="2"/>
      <c r="V1303" s="2"/>
      <c r="W1303" s="2"/>
      <c r="X1303" s="2"/>
      <c r="Y1303" s="2"/>
      <c r="Z1303" s="2"/>
    </row>
    <row r="1304" spans="1:26" ht="16.8" x14ac:dyDescent="0.3">
      <c r="A1304" s="4">
        <v>1826</v>
      </c>
      <c r="B1304" s="4" t="s">
        <v>43</v>
      </c>
      <c r="C1304" s="4">
        <v>35</v>
      </c>
      <c r="D1304" s="4" t="s">
        <v>45</v>
      </c>
      <c r="E1304" s="4" t="s">
        <v>50</v>
      </c>
      <c r="F1304" s="4">
        <v>2705</v>
      </c>
      <c r="G1304" s="4" t="s">
        <v>43</v>
      </c>
      <c r="H1304" s="4">
        <v>5</v>
      </c>
      <c r="I1304" s="4">
        <v>0</v>
      </c>
      <c r="J1304" s="4">
        <v>3</v>
      </c>
      <c r="K1304" s="4">
        <v>4</v>
      </c>
      <c r="L1304" s="4" t="str">
        <f t="shared" si="36"/>
        <v>NORMAL</v>
      </c>
      <c r="M1304" s="4" t="str">
        <f t="shared" si="37"/>
        <v>LOW</v>
      </c>
      <c r="N1304" s="4" t="str">
        <f t="shared" si="38"/>
        <v>MID</v>
      </c>
      <c r="O1304" s="4" t="str">
        <f t="shared" si="39"/>
        <v>RECENTLY PROMOTED</v>
      </c>
      <c r="P1304" s="5" t="str">
        <f t="shared" si="40"/>
        <v>Low_Pressure</v>
      </c>
      <c r="Q1304" s="4" t="str">
        <f t="shared" si="41"/>
        <v>HIGHLY_ENGAGED</v>
      </c>
      <c r="R1304" s="4" t="str">
        <f t="shared" si="35"/>
        <v>LOW</v>
      </c>
      <c r="S1304" s="2"/>
      <c r="T1304" s="2"/>
      <c r="U1304" s="2"/>
      <c r="V1304" s="2"/>
      <c r="W1304" s="2"/>
      <c r="X1304" s="2"/>
      <c r="Y1304" s="2"/>
      <c r="Z1304" s="2"/>
    </row>
    <row r="1305" spans="1:26" ht="16.8" x14ac:dyDescent="0.3">
      <c r="A1305" s="4">
        <v>1827</v>
      </c>
      <c r="B1305" s="4" t="s">
        <v>43</v>
      </c>
      <c r="C1305" s="4">
        <v>47</v>
      </c>
      <c r="D1305" s="4" t="s">
        <v>45</v>
      </c>
      <c r="E1305" s="4" t="s">
        <v>53</v>
      </c>
      <c r="F1305" s="4">
        <v>10333</v>
      </c>
      <c r="G1305" s="4" t="s">
        <v>35</v>
      </c>
      <c r="H1305" s="4">
        <v>22</v>
      </c>
      <c r="I1305" s="4">
        <v>14</v>
      </c>
      <c r="J1305" s="4">
        <v>2</v>
      </c>
      <c r="K1305" s="4">
        <v>3</v>
      </c>
      <c r="L1305" s="4" t="str">
        <f t="shared" si="36"/>
        <v>HIGH RISK</v>
      </c>
      <c r="M1305" s="4" t="str">
        <f t="shared" si="37"/>
        <v>MEDIUM</v>
      </c>
      <c r="N1305" s="4" t="str">
        <f t="shared" si="38"/>
        <v>SENIOR</v>
      </c>
      <c r="O1305" s="4" t="str">
        <f t="shared" si="39"/>
        <v>STAGNANT</v>
      </c>
      <c r="P1305" s="5" t="str">
        <f t="shared" si="40"/>
        <v>Medium_Pressure</v>
      </c>
      <c r="Q1305" s="4" t="str">
        <f t="shared" si="41"/>
        <v>DISENGAGED</v>
      </c>
      <c r="R1305" s="4" t="str">
        <f t="shared" si="35"/>
        <v>LOW</v>
      </c>
      <c r="S1305" s="2"/>
      <c r="T1305" s="2"/>
      <c r="U1305" s="2"/>
      <c r="V1305" s="2"/>
      <c r="W1305" s="2"/>
      <c r="X1305" s="2"/>
      <c r="Y1305" s="2"/>
      <c r="Z1305" s="2"/>
    </row>
    <row r="1306" spans="1:26" ht="16.8" x14ac:dyDescent="0.3">
      <c r="A1306" s="4">
        <v>1829</v>
      </c>
      <c r="B1306" s="4" t="s">
        <v>43</v>
      </c>
      <c r="C1306" s="4">
        <v>40</v>
      </c>
      <c r="D1306" s="4" t="s">
        <v>45</v>
      </c>
      <c r="E1306" s="4" t="s">
        <v>54</v>
      </c>
      <c r="F1306" s="4">
        <v>4448</v>
      </c>
      <c r="G1306" s="4" t="s">
        <v>43</v>
      </c>
      <c r="H1306" s="4">
        <v>7</v>
      </c>
      <c r="I1306" s="4">
        <v>7</v>
      </c>
      <c r="J1306" s="4">
        <v>1</v>
      </c>
      <c r="K1306" s="4">
        <v>3</v>
      </c>
      <c r="L1306" s="4" t="str">
        <f t="shared" si="36"/>
        <v>NORMAL</v>
      </c>
      <c r="M1306" s="4" t="str">
        <f t="shared" si="37"/>
        <v>HIGH</v>
      </c>
      <c r="N1306" s="4" t="str">
        <f t="shared" si="38"/>
        <v>SENIOR</v>
      </c>
      <c r="O1306" s="4" t="str">
        <f t="shared" si="39"/>
        <v>STAGNANT</v>
      </c>
      <c r="P1306" s="5" t="str">
        <f t="shared" si="40"/>
        <v>Medium_Pressure</v>
      </c>
      <c r="Q1306" s="4" t="str">
        <f t="shared" si="41"/>
        <v>DISENGAGED</v>
      </c>
      <c r="R1306" s="4" t="str">
        <f t="shared" si="35"/>
        <v>LOW</v>
      </c>
      <c r="S1306" s="2"/>
      <c r="T1306" s="2"/>
      <c r="U1306" s="2"/>
      <c r="V1306" s="2"/>
      <c r="W1306" s="2"/>
      <c r="X1306" s="2"/>
      <c r="Y1306" s="2"/>
      <c r="Z1306" s="2"/>
    </row>
    <row r="1307" spans="1:26" ht="16.8" x14ac:dyDescent="0.3">
      <c r="A1307" s="4">
        <v>1830</v>
      </c>
      <c r="B1307" s="4" t="s">
        <v>43</v>
      </c>
      <c r="C1307" s="4">
        <v>54</v>
      </c>
      <c r="D1307" s="4" t="s">
        <v>45</v>
      </c>
      <c r="E1307" s="4" t="s">
        <v>47</v>
      </c>
      <c r="F1307" s="4">
        <v>6854</v>
      </c>
      <c r="G1307" s="4" t="s">
        <v>43</v>
      </c>
      <c r="H1307" s="4">
        <v>7</v>
      </c>
      <c r="I1307" s="4">
        <v>1</v>
      </c>
      <c r="J1307" s="4">
        <v>4</v>
      </c>
      <c r="K1307" s="4">
        <v>2</v>
      </c>
      <c r="L1307" s="4" t="str">
        <f t="shared" si="36"/>
        <v>NORMAL</v>
      </c>
      <c r="M1307" s="4" t="str">
        <f t="shared" si="37"/>
        <v>HIGH</v>
      </c>
      <c r="N1307" s="4" t="str">
        <f t="shared" si="38"/>
        <v>SENIOR</v>
      </c>
      <c r="O1307" s="4" t="str">
        <f t="shared" si="39"/>
        <v>RECENTLY PROMOTED</v>
      </c>
      <c r="P1307" s="5" t="str">
        <f t="shared" si="40"/>
        <v>Low_Pressure</v>
      </c>
      <c r="Q1307" s="4" t="str">
        <f t="shared" si="41"/>
        <v>DISENGAGED</v>
      </c>
      <c r="R1307" s="4" t="str">
        <f t="shared" si="35"/>
        <v>LOW</v>
      </c>
      <c r="S1307" s="2"/>
      <c r="T1307" s="2"/>
      <c r="U1307" s="2"/>
      <c r="V1307" s="2"/>
      <c r="W1307" s="2"/>
      <c r="X1307" s="2"/>
      <c r="Y1307" s="2"/>
      <c r="Z1307" s="2"/>
    </row>
    <row r="1308" spans="1:26" ht="16.8" x14ac:dyDescent="0.3">
      <c r="A1308" s="4">
        <v>1833</v>
      </c>
      <c r="B1308" s="4" t="s">
        <v>43</v>
      </c>
      <c r="C1308" s="4">
        <v>31</v>
      </c>
      <c r="D1308" s="4" t="s">
        <v>37</v>
      </c>
      <c r="E1308" s="4" t="s">
        <v>40</v>
      </c>
      <c r="F1308" s="4">
        <v>9637</v>
      </c>
      <c r="G1308" s="4" t="s">
        <v>43</v>
      </c>
      <c r="H1308" s="4">
        <v>3</v>
      </c>
      <c r="I1308" s="4">
        <v>2</v>
      </c>
      <c r="J1308" s="4">
        <v>1</v>
      </c>
      <c r="K1308" s="4">
        <v>3</v>
      </c>
      <c r="L1308" s="4" t="str">
        <f t="shared" si="36"/>
        <v>NORMAL</v>
      </c>
      <c r="M1308" s="4" t="str">
        <f t="shared" si="37"/>
        <v>MEDIUM</v>
      </c>
      <c r="N1308" s="4" t="str">
        <f t="shared" si="38"/>
        <v>MID</v>
      </c>
      <c r="O1308" s="4" t="str">
        <f t="shared" si="39"/>
        <v>MODERATE-WAIT</v>
      </c>
      <c r="P1308" s="5" t="str">
        <f t="shared" si="40"/>
        <v>Medium_Pressure</v>
      </c>
      <c r="Q1308" s="4" t="str">
        <f t="shared" si="41"/>
        <v>DISENGAGED</v>
      </c>
      <c r="R1308" s="4" t="str">
        <f t="shared" si="35"/>
        <v>LOW</v>
      </c>
      <c r="S1308" s="2"/>
      <c r="T1308" s="2"/>
      <c r="U1308" s="2"/>
      <c r="V1308" s="2"/>
      <c r="W1308" s="2"/>
      <c r="X1308" s="2"/>
      <c r="Y1308" s="2"/>
      <c r="Z1308" s="2"/>
    </row>
    <row r="1309" spans="1:26" ht="16.8" x14ac:dyDescent="0.3">
      <c r="A1309" s="4">
        <v>1834</v>
      </c>
      <c r="B1309" s="4" t="s">
        <v>43</v>
      </c>
      <c r="C1309" s="4">
        <v>28</v>
      </c>
      <c r="D1309" s="4" t="s">
        <v>45</v>
      </c>
      <c r="E1309" s="4" t="s">
        <v>47</v>
      </c>
      <c r="F1309" s="4">
        <v>3591</v>
      </c>
      <c r="G1309" s="4" t="s">
        <v>43</v>
      </c>
      <c r="H1309" s="4">
        <v>3</v>
      </c>
      <c r="I1309" s="4">
        <v>1</v>
      </c>
      <c r="J1309" s="4">
        <v>1</v>
      </c>
      <c r="K1309" s="4">
        <v>3</v>
      </c>
      <c r="L1309" s="4" t="str">
        <f t="shared" si="36"/>
        <v>NORMAL</v>
      </c>
      <c r="M1309" s="4" t="str">
        <f t="shared" si="37"/>
        <v>LOW</v>
      </c>
      <c r="N1309" s="4" t="str">
        <f t="shared" si="38"/>
        <v>MID</v>
      </c>
      <c r="O1309" s="4" t="str">
        <f t="shared" si="39"/>
        <v>RECENTLY PROMOTED</v>
      </c>
      <c r="P1309" s="5" t="str">
        <f t="shared" si="40"/>
        <v>Medium_Pressure</v>
      </c>
      <c r="Q1309" s="4" t="str">
        <f t="shared" si="41"/>
        <v>DISENGAGED</v>
      </c>
      <c r="R1309" s="4" t="str">
        <f t="shared" si="35"/>
        <v>LOW</v>
      </c>
      <c r="S1309" s="2"/>
      <c r="T1309" s="2"/>
      <c r="U1309" s="2"/>
      <c r="V1309" s="2"/>
      <c r="W1309" s="2"/>
      <c r="X1309" s="2"/>
      <c r="Y1309" s="2"/>
      <c r="Z1309" s="2"/>
    </row>
    <row r="1310" spans="1:26" ht="16.8" x14ac:dyDescent="0.3">
      <c r="A1310" s="4">
        <v>1835</v>
      </c>
      <c r="B1310" s="4" t="s">
        <v>43</v>
      </c>
      <c r="C1310" s="4">
        <v>38</v>
      </c>
      <c r="D1310" s="4" t="s">
        <v>37</v>
      </c>
      <c r="E1310" s="4" t="s">
        <v>57</v>
      </c>
      <c r="F1310" s="4">
        <v>5405</v>
      </c>
      <c r="G1310" s="4" t="s">
        <v>35</v>
      </c>
      <c r="H1310" s="4">
        <v>4</v>
      </c>
      <c r="I1310" s="4">
        <v>0</v>
      </c>
      <c r="J1310" s="4">
        <v>4</v>
      </c>
      <c r="K1310" s="4">
        <v>2</v>
      </c>
      <c r="L1310" s="4" t="str">
        <f t="shared" si="36"/>
        <v>NORMAL</v>
      </c>
      <c r="M1310" s="4" t="str">
        <f t="shared" si="37"/>
        <v>HIGH</v>
      </c>
      <c r="N1310" s="4" t="str">
        <f t="shared" si="38"/>
        <v>MID</v>
      </c>
      <c r="O1310" s="4" t="str">
        <f t="shared" si="39"/>
        <v>RECENTLY PROMOTED</v>
      </c>
      <c r="P1310" s="5" t="str">
        <f t="shared" si="40"/>
        <v>High_Pressure</v>
      </c>
      <c r="Q1310" s="4" t="str">
        <f t="shared" si="41"/>
        <v>DISENGAGED</v>
      </c>
      <c r="R1310" s="4" t="str">
        <f t="shared" si="35"/>
        <v>LOW</v>
      </c>
      <c r="S1310" s="2"/>
      <c r="T1310" s="2"/>
      <c r="U1310" s="2"/>
      <c r="V1310" s="2"/>
      <c r="W1310" s="2"/>
      <c r="X1310" s="2"/>
      <c r="Y1310" s="2"/>
      <c r="Z1310" s="2"/>
    </row>
    <row r="1311" spans="1:26" ht="16.8" x14ac:dyDescent="0.3">
      <c r="A1311" s="4">
        <v>1836</v>
      </c>
      <c r="B1311" s="4" t="s">
        <v>43</v>
      </c>
      <c r="C1311" s="4">
        <v>26</v>
      </c>
      <c r="D1311" s="4" t="s">
        <v>37</v>
      </c>
      <c r="E1311" s="4" t="s">
        <v>40</v>
      </c>
      <c r="F1311" s="4">
        <v>4684</v>
      </c>
      <c r="G1311" s="4" t="s">
        <v>43</v>
      </c>
      <c r="H1311" s="4">
        <v>5</v>
      </c>
      <c r="I1311" s="4">
        <v>1</v>
      </c>
      <c r="J1311" s="4">
        <v>4</v>
      </c>
      <c r="K1311" s="4">
        <v>3</v>
      </c>
      <c r="L1311" s="4" t="str">
        <f t="shared" si="36"/>
        <v>NORMAL</v>
      </c>
      <c r="M1311" s="4" t="str">
        <f t="shared" si="37"/>
        <v>HIGH</v>
      </c>
      <c r="N1311" s="4" t="str">
        <f t="shared" si="38"/>
        <v>MID</v>
      </c>
      <c r="O1311" s="4" t="str">
        <f t="shared" si="39"/>
        <v>RECENTLY PROMOTED</v>
      </c>
      <c r="P1311" s="5" t="str">
        <f t="shared" si="40"/>
        <v>Medium_Pressure</v>
      </c>
      <c r="Q1311" s="4" t="str">
        <f t="shared" si="41"/>
        <v>HIGHLY_ENGAGED</v>
      </c>
      <c r="R1311" s="4" t="str">
        <f t="shared" si="35"/>
        <v>LOW</v>
      </c>
      <c r="S1311" s="2"/>
      <c r="T1311" s="2"/>
      <c r="U1311" s="2"/>
      <c r="V1311" s="2"/>
      <c r="W1311" s="2"/>
      <c r="X1311" s="2"/>
      <c r="Y1311" s="2"/>
      <c r="Z1311" s="2"/>
    </row>
    <row r="1312" spans="1:26" ht="16.8" x14ac:dyDescent="0.3">
      <c r="A1312" s="4">
        <v>1837</v>
      </c>
      <c r="B1312" s="4" t="s">
        <v>43</v>
      </c>
      <c r="C1312" s="4">
        <v>58</v>
      </c>
      <c r="D1312" s="4" t="s">
        <v>45</v>
      </c>
      <c r="E1312" s="4" t="s">
        <v>58</v>
      </c>
      <c r="F1312" s="4">
        <v>15787</v>
      </c>
      <c r="G1312" s="4" t="s">
        <v>35</v>
      </c>
      <c r="H1312" s="4">
        <v>2</v>
      </c>
      <c r="I1312" s="4">
        <v>2</v>
      </c>
      <c r="J1312" s="4">
        <v>3</v>
      </c>
      <c r="K1312" s="4">
        <v>3</v>
      </c>
      <c r="L1312" s="4" t="str">
        <f t="shared" si="36"/>
        <v>NORMAL</v>
      </c>
      <c r="M1312" s="4" t="str">
        <f t="shared" si="37"/>
        <v>MEDIUM</v>
      </c>
      <c r="N1312" s="4" t="str">
        <f t="shared" si="38"/>
        <v>NEW</v>
      </c>
      <c r="O1312" s="4" t="str">
        <f t="shared" si="39"/>
        <v>MODERATE-WAIT</v>
      </c>
      <c r="P1312" s="5" t="str">
        <f t="shared" si="40"/>
        <v>Medium_Pressure</v>
      </c>
      <c r="Q1312" s="4" t="str">
        <f t="shared" si="41"/>
        <v>HIGHLY_ENGAGED</v>
      </c>
      <c r="R1312" s="4" t="str">
        <f t="shared" si="35"/>
        <v>LOW</v>
      </c>
      <c r="S1312" s="2"/>
      <c r="T1312" s="2"/>
      <c r="U1312" s="2"/>
      <c r="V1312" s="2"/>
      <c r="W1312" s="2"/>
      <c r="X1312" s="2"/>
      <c r="Y1312" s="2"/>
      <c r="Z1312" s="2"/>
    </row>
    <row r="1313" spans="1:26" ht="16.8" x14ac:dyDescent="0.3">
      <c r="A1313" s="4">
        <v>1839</v>
      </c>
      <c r="B1313" s="4" t="s">
        <v>43</v>
      </c>
      <c r="C1313" s="4">
        <v>18</v>
      </c>
      <c r="D1313" s="4" t="s">
        <v>45</v>
      </c>
      <c r="E1313" s="4" t="s">
        <v>47</v>
      </c>
      <c r="F1313" s="4">
        <v>1514</v>
      </c>
      <c r="G1313" s="4" t="s">
        <v>43</v>
      </c>
      <c r="H1313" s="4">
        <v>0</v>
      </c>
      <c r="I1313" s="4">
        <v>0</v>
      </c>
      <c r="J1313" s="4">
        <v>3</v>
      </c>
      <c r="K1313" s="4">
        <v>1</v>
      </c>
      <c r="L1313" s="4" t="str">
        <f t="shared" si="36"/>
        <v>NORMAL</v>
      </c>
      <c r="M1313" s="4" t="str">
        <f t="shared" si="37"/>
        <v>LOW</v>
      </c>
      <c r="N1313" s="4" t="str">
        <f t="shared" si="38"/>
        <v>NEW</v>
      </c>
      <c r="O1313" s="4" t="str">
        <f t="shared" si="39"/>
        <v>RECENTLY PROMOTED</v>
      </c>
      <c r="P1313" s="5" t="str">
        <f t="shared" si="40"/>
        <v>Low_Pressure</v>
      </c>
      <c r="Q1313" s="4" t="str">
        <f t="shared" si="41"/>
        <v>DISENGAGED</v>
      </c>
      <c r="R1313" s="4" t="str">
        <f t="shared" si="35"/>
        <v>LOW</v>
      </c>
      <c r="S1313" s="2"/>
      <c r="T1313" s="2"/>
      <c r="U1313" s="2"/>
      <c r="V1313" s="2"/>
      <c r="W1313" s="2"/>
      <c r="X1313" s="2"/>
      <c r="Y1313" s="2"/>
      <c r="Z1313" s="2"/>
    </row>
    <row r="1314" spans="1:26" ht="16.8" x14ac:dyDescent="0.3">
      <c r="A1314" s="4">
        <v>1842</v>
      </c>
      <c r="B1314" s="4" t="s">
        <v>35</v>
      </c>
      <c r="C1314" s="4">
        <v>31</v>
      </c>
      <c r="D1314" s="4" t="s">
        <v>61</v>
      </c>
      <c r="E1314" s="4" t="s">
        <v>61</v>
      </c>
      <c r="F1314" s="4">
        <v>2956</v>
      </c>
      <c r="G1314" s="4" t="s">
        <v>43</v>
      </c>
      <c r="H1314" s="4">
        <v>1</v>
      </c>
      <c r="I1314" s="4">
        <v>0</v>
      </c>
      <c r="J1314" s="4">
        <v>1</v>
      </c>
      <c r="K1314" s="4">
        <v>3</v>
      </c>
      <c r="L1314" s="4" t="str">
        <f t="shared" si="36"/>
        <v>NORMAL</v>
      </c>
      <c r="M1314" s="4" t="str">
        <f t="shared" si="37"/>
        <v>LOW</v>
      </c>
      <c r="N1314" s="4" t="str">
        <f t="shared" si="38"/>
        <v>NEW</v>
      </c>
      <c r="O1314" s="4" t="str">
        <f t="shared" si="39"/>
        <v>RECENTLY PROMOTED</v>
      </c>
      <c r="P1314" s="5" t="str">
        <f t="shared" si="40"/>
        <v>Medium_Pressure</v>
      </c>
      <c r="Q1314" s="4" t="str">
        <f t="shared" si="41"/>
        <v>DISENGAGED</v>
      </c>
      <c r="R1314" s="4" t="str">
        <f t="shared" si="35"/>
        <v>LOW</v>
      </c>
      <c r="S1314" s="2"/>
      <c r="T1314" s="2"/>
      <c r="U1314" s="2"/>
      <c r="V1314" s="2"/>
      <c r="W1314" s="2"/>
      <c r="X1314" s="2"/>
      <c r="Y1314" s="2"/>
      <c r="Z1314" s="2"/>
    </row>
    <row r="1315" spans="1:26" ht="16.8" x14ac:dyDescent="0.3">
      <c r="A1315" s="4">
        <v>1844</v>
      </c>
      <c r="B1315" s="4" t="s">
        <v>35</v>
      </c>
      <c r="C1315" s="4">
        <v>29</v>
      </c>
      <c r="D1315" s="4" t="s">
        <v>61</v>
      </c>
      <c r="E1315" s="4" t="s">
        <v>61</v>
      </c>
      <c r="F1315" s="4">
        <v>2335</v>
      </c>
      <c r="G1315" s="4" t="s">
        <v>35</v>
      </c>
      <c r="H1315" s="4">
        <v>2</v>
      </c>
      <c r="I1315" s="4">
        <v>2</v>
      </c>
      <c r="J1315" s="4">
        <v>1</v>
      </c>
      <c r="K1315" s="4">
        <v>3</v>
      </c>
      <c r="L1315" s="4" t="str">
        <f t="shared" si="36"/>
        <v>NORMAL</v>
      </c>
      <c r="M1315" s="4" t="str">
        <f t="shared" si="37"/>
        <v>LOW</v>
      </c>
      <c r="N1315" s="4" t="str">
        <f t="shared" si="38"/>
        <v>NEW</v>
      </c>
      <c r="O1315" s="4" t="str">
        <f t="shared" si="39"/>
        <v>MODERATE-WAIT</v>
      </c>
      <c r="P1315" s="5" t="str">
        <f t="shared" si="40"/>
        <v>Medium_Pressure</v>
      </c>
      <c r="Q1315" s="4" t="str">
        <f t="shared" si="41"/>
        <v>DISENGAGED</v>
      </c>
      <c r="R1315" s="4" t="str">
        <f t="shared" si="35"/>
        <v>LOW</v>
      </c>
      <c r="S1315" s="2"/>
      <c r="T1315" s="2"/>
      <c r="U1315" s="2"/>
      <c r="V1315" s="2"/>
      <c r="W1315" s="2"/>
      <c r="X1315" s="2"/>
      <c r="Y1315" s="2"/>
      <c r="Z1315" s="2"/>
    </row>
    <row r="1316" spans="1:26" ht="16.8" x14ac:dyDescent="0.3">
      <c r="A1316" s="4">
        <v>1845</v>
      </c>
      <c r="B1316" s="4" t="s">
        <v>43</v>
      </c>
      <c r="C1316" s="4">
        <v>45</v>
      </c>
      <c r="D1316" s="4" t="s">
        <v>37</v>
      </c>
      <c r="E1316" s="4" t="s">
        <v>40</v>
      </c>
      <c r="F1316" s="4">
        <v>5154</v>
      </c>
      <c r="G1316" s="4" t="s">
        <v>43</v>
      </c>
      <c r="H1316" s="4">
        <v>8</v>
      </c>
      <c r="I1316" s="4">
        <v>5</v>
      </c>
      <c r="J1316" s="4">
        <v>3</v>
      </c>
      <c r="K1316" s="4">
        <v>4</v>
      </c>
      <c r="L1316" s="4" t="str">
        <f t="shared" si="36"/>
        <v>NORMAL</v>
      </c>
      <c r="M1316" s="4" t="str">
        <f t="shared" si="37"/>
        <v>HIGH</v>
      </c>
      <c r="N1316" s="4" t="str">
        <f t="shared" si="38"/>
        <v>SENIOR</v>
      </c>
      <c r="O1316" s="4" t="str">
        <f t="shared" si="39"/>
        <v>STAGNANT</v>
      </c>
      <c r="P1316" s="5" t="str">
        <f t="shared" si="40"/>
        <v>Low_Pressure</v>
      </c>
      <c r="Q1316" s="4" t="str">
        <f t="shared" si="41"/>
        <v>HIGHLY_ENGAGED</v>
      </c>
      <c r="R1316" s="4" t="str">
        <f t="shared" si="35"/>
        <v>LOW</v>
      </c>
      <c r="S1316" s="2"/>
      <c r="T1316" s="2"/>
      <c r="U1316" s="2"/>
      <c r="V1316" s="2"/>
      <c r="W1316" s="2"/>
      <c r="X1316" s="2"/>
      <c r="Y1316" s="2"/>
      <c r="Z1316" s="2"/>
    </row>
    <row r="1317" spans="1:26" ht="16.8" x14ac:dyDescent="0.3">
      <c r="A1317" s="4">
        <v>1847</v>
      </c>
      <c r="B1317" s="4" t="s">
        <v>43</v>
      </c>
      <c r="C1317" s="4">
        <v>36</v>
      </c>
      <c r="D1317" s="4" t="s">
        <v>45</v>
      </c>
      <c r="E1317" s="4" t="s">
        <v>47</v>
      </c>
      <c r="F1317" s="4">
        <v>6962</v>
      </c>
      <c r="G1317" s="4" t="s">
        <v>35</v>
      </c>
      <c r="H1317" s="4">
        <v>1</v>
      </c>
      <c r="I1317" s="4">
        <v>0</v>
      </c>
      <c r="J1317" s="4">
        <v>2</v>
      </c>
      <c r="K1317" s="4">
        <v>3</v>
      </c>
      <c r="L1317" s="4" t="str">
        <f t="shared" si="36"/>
        <v>NORMAL</v>
      </c>
      <c r="M1317" s="4" t="str">
        <f t="shared" si="37"/>
        <v>HIGH</v>
      </c>
      <c r="N1317" s="4" t="str">
        <f t="shared" si="38"/>
        <v>NEW</v>
      </c>
      <c r="O1317" s="4" t="str">
        <f t="shared" si="39"/>
        <v>RECENTLY PROMOTED</v>
      </c>
      <c r="P1317" s="5" t="str">
        <f t="shared" si="40"/>
        <v>Medium_Pressure</v>
      </c>
      <c r="Q1317" s="4" t="str">
        <f t="shared" si="41"/>
        <v>DISENGAGED</v>
      </c>
      <c r="R1317" s="4" t="str">
        <f t="shared" si="35"/>
        <v>LOW</v>
      </c>
      <c r="S1317" s="2"/>
      <c r="T1317" s="2"/>
      <c r="U1317" s="2"/>
      <c r="V1317" s="2"/>
      <c r="W1317" s="2"/>
      <c r="X1317" s="2"/>
      <c r="Y1317" s="2"/>
      <c r="Z1317" s="2"/>
    </row>
    <row r="1318" spans="1:26" ht="16.8" x14ac:dyDescent="0.3">
      <c r="A1318" s="4">
        <v>1849</v>
      </c>
      <c r="B1318" s="4" t="s">
        <v>43</v>
      </c>
      <c r="C1318" s="4">
        <v>43</v>
      </c>
      <c r="D1318" s="4" t="s">
        <v>37</v>
      </c>
      <c r="E1318" s="4" t="s">
        <v>40</v>
      </c>
      <c r="F1318" s="4">
        <v>5675</v>
      </c>
      <c r="G1318" s="4" t="s">
        <v>43</v>
      </c>
      <c r="H1318" s="4">
        <v>7</v>
      </c>
      <c r="I1318" s="4">
        <v>7</v>
      </c>
      <c r="J1318" s="4">
        <v>4</v>
      </c>
      <c r="K1318" s="4">
        <v>3</v>
      </c>
      <c r="L1318" s="4" t="str">
        <f t="shared" si="36"/>
        <v>NORMAL</v>
      </c>
      <c r="M1318" s="4" t="str">
        <f t="shared" si="37"/>
        <v>HIGH</v>
      </c>
      <c r="N1318" s="4" t="str">
        <f t="shared" si="38"/>
        <v>SENIOR</v>
      </c>
      <c r="O1318" s="4" t="str">
        <f t="shared" si="39"/>
        <v>STAGNANT</v>
      </c>
      <c r="P1318" s="5" t="str">
        <f t="shared" si="40"/>
        <v>Medium_Pressure</v>
      </c>
      <c r="Q1318" s="4" t="str">
        <f t="shared" si="41"/>
        <v>HIGHLY_ENGAGED</v>
      </c>
      <c r="R1318" s="4" t="str">
        <f t="shared" si="35"/>
        <v>LOW</v>
      </c>
      <c r="S1318" s="2"/>
      <c r="T1318" s="2"/>
      <c r="U1318" s="2"/>
      <c r="V1318" s="2"/>
      <c r="W1318" s="2"/>
      <c r="X1318" s="2"/>
      <c r="Y1318" s="2"/>
      <c r="Z1318" s="2"/>
    </row>
    <row r="1319" spans="1:26" ht="16.8" x14ac:dyDescent="0.3">
      <c r="A1319" s="4">
        <v>1850</v>
      </c>
      <c r="B1319" s="4" t="s">
        <v>43</v>
      </c>
      <c r="C1319" s="4">
        <v>27</v>
      </c>
      <c r="D1319" s="4" t="s">
        <v>45</v>
      </c>
      <c r="E1319" s="4" t="s">
        <v>50</v>
      </c>
      <c r="F1319" s="4">
        <v>2379</v>
      </c>
      <c r="G1319" s="4" t="s">
        <v>35</v>
      </c>
      <c r="H1319" s="4">
        <v>5</v>
      </c>
      <c r="I1319" s="4">
        <v>0</v>
      </c>
      <c r="J1319" s="4">
        <v>4</v>
      </c>
      <c r="K1319" s="4">
        <v>2</v>
      </c>
      <c r="L1319" s="4" t="str">
        <f t="shared" si="36"/>
        <v>NORMAL</v>
      </c>
      <c r="M1319" s="4" t="str">
        <f t="shared" si="37"/>
        <v>LOW</v>
      </c>
      <c r="N1319" s="4" t="str">
        <f t="shared" si="38"/>
        <v>MID</v>
      </c>
      <c r="O1319" s="4" t="str">
        <f t="shared" si="39"/>
        <v>RECENTLY PROMOTED</v>
      </c>
      <c r="P1319" s="5" t="str">
        <f t="shared" si="40"/>
        <v>High_Pressure</v>
      </c>
      <c r="Q1319" s="4" t="str">
        <f t="shared" si="41"/>
        <v>DISENGAGED</v>
      </c>
      <c r="R1319" s="4" t="str">
        <f t="shared" si="35"/>
        <v>LOW</v>
      </c>
      <c r="S1319" s="2"/>
      <c r="T1319" s="2"/>
      <c r="U1319" s="2"/>
      <c r="V1319" s="2"/>
      <c r="W1319" s="2"/>
      <c r="X1319" s="2"/>
      <c r="Y1319" s="2"/>
      <c r="Z1319" s="2"/>
    </row>
    <row r="1320" spans="1:26" ht="16.8" x14ac:dyDescent="0.3">
      <c r="A1320" s="4">
        <v>1852</v>
      </c>
      <c r="B1320" s="4" t="s">
        <v>43</v>
      </c>
      <c r="C1320" s="4">
        <v>29</v>
      </c>
      <c r="D1320" s="4" t="s">
        <v>45</v>
      </c>
      <c r="E1320" s="4" t="s">
        <v>50</v>
      </c>
      <c r="F1320" s="4">
        <v>3812</v>
      </c>
      <c r="G1320" s="4" t="s">
        <v>43</v>
      </c>
      <c r="H1320" s="4">
        <v>11</v>
      </c>
      <c r="I1320" s="4">
        <v>3</v>
      </c>
      <c r="J1320" s="4">
        <v>4</v>
      </c>
      <c r="K1320" s="4">
        <v>4</v>
      </c>
      <c r="L1320" s="4" t="str">
        <f t="shared" si="36"/>
        <v>NORMAL</v>
      </c>
      <c r="M1320" s="4" t="str">
        <f t="shared" si="37"/>
        <v>LOW</v>
      </c>
      <c r="N1320" s="4" t="str">
        <f t="shared" si="38"/>
        <v>SENIOR</v>
      </c>
      <c r="O1320" s="4" t="str">
        <f t="shared" si="39"/>
        <v>MODERATE-WAIT</v>
      </c>
      <c r="P1320" s="5" t="str">
        <f t="shared" si="40"/>
        <v>Low_Pressure</v>
      </c>
      <c r="Q1320" s="4" t="str">
        <f t="shared" si="41"/>
        <v>HIGHLY_ENGAGED</v>
      </c>
      <c r="R1320" s="4" t="str">
        <f t="shared" si="35"/>
        <v>LOW</v>
      </c>
      <c r="S1320" s="2"/>
      <c r="T1320" s="2"/>
      <c r="U1320" s="2"/>
      <c r="V1320" s="2"/>
      <c r="W1320" s="2"/>
      <c r="X1320" s="2"/>
      <c r="Y1320" s="2"/>
      <c r="Z1320" s="2"/>
    </row>
    <row r="1321" spans="1:26" ht="16.8" x14ac:dyDescent="0.3">
      <c r="A1321" s="4">
        <v>1853</v>
      </c>
      <c r="B1321" s="4" t="s">
        <v>43</v>
      </c>
      <c r="C1321" s="4">
        <v>32</v>
      </c>
      <c r="D1321" s="4" t="s">
        <v>37</v>
      </c>
      <c r="E1321" s="4" t="s">
        <v>40</v>
      </c>
      <c r="F1321" s="4">
        <v>4648</v>
      </c>
      <c r="G1321" s="4" t="s">
        <v>43</v>
      </c>
      <c r="H1321" s="4">
        <v>0</v>
      </c>
      <c r="I1321" s="4">
        <v>0</v>
      </c>
      <c r="J1321" s="4">
        <v>4</v>
      </c>
      <c r="K1321" s="4">
        <v>4</v>
      </c>
      <c r="L1321" s="4" t="str">
        <f t="shared" si="36"/>
        <v>NORMAL</v>
      </c>
      <c r="M1321" s="4" t="str">
        <f t="shared" si="37"/>
        <v>HIGH</v>
      </c>
      <c r="N1321" s="4" t="str">
        <f t="shared" si="38"/>
        <v>NEW</v>
      </c>
      <c r="O1321" s="4" t="str">
        <f t="shared" si="39"/>
        <v>RECENTLY PROMOTED</v>
      </c>
      <c r="P1321" s="5" t="str">
        <f t="shared" si="40"/>
        <v>Low_Pressure</v>
      </c>
      <c r="Q1321" s="4" t="str">
        <f t="shared" si="41"/>
        <v>HIGHLY_ENGAGED</v>
      </c>
      <c r="R1321" s="4" t="str">
        <f t="shared" si="35"/>
        <v>LOW</v>
      </c>
      <c r="S1321" s="2"/>
      <c r="T1321" s="2"/>
      <c r="U1321" s="2"/>
      <c r="V1321" s="2"/>
      <c r="W1321" s="2"/>
      <c r="X1321" s="2"/>
      <c r="Y1321" s="2"/>
      <c r="Z1321" s="2"/>
    </row>
    <row r="1322" spans="1:26" ht="16.8" x14ac:dyDescent="0.3">
      <c r="A1322" s="4">
        <v>1854</v>
      </c>
      <c r="B1322" s="4" t="s">
        <v>43</v>
      </c>
      <c r="C1322" s="4">
        <v>42</v>
      </c>
      <c r="D1322" s="4" t="s">
        <v>45</v>
      </c>
      <c r="E1322" s="4" t="s">
        <v>47</v>
      </c>
      <c r="F1322" s="4">
        <v>2936</v>
      </c>
      <c r="G1322" s="4" t="s">
        <v>43</v>
      </c>
      <c r="H1322" s="4">
        <v>6</v>
      </c>
      <c r="I1322" s="4">
        <v>3</v>
      </c>
      <c r="J1322" s="4">
        <v>3</v>
      </c>
      <c r="K1322" s="4">
        <v>2</v>
      </c>
      <c r="L1322" s="4" t="str">
        <f t="shared" si="36"/>
        <v>NORMAL</v>
      </c>
      <c r="M1322" s="4" t="str">
        <f t="shared" si="37"/>
        <v>LOW</v>
      </c>
      <c r="N1322" s="4" t="str">
        <f t="shared" si="38"/>
        <v>MID</v>
      </c>
      <c r="O1322" s="4" t="str">
        <f t="shared" si="39"/>
        <v>MODERATE-WAIT</v>
      </c>
      <c r="P1322" s="5" t="str">
        <f t="shared" si="40"/>
        <v>Low_Pressure</v>
      </c>
      <c r="Q1322" s="4" t="str">
        <f t="shared" si="41"/>
        <v>DISENGAGED</v>
      </c>
      <c r="R1322" s="4" t="str">
        <f t="shared" si="35"/>
        <v>LOW</v>
      </c>
      <c r="S1322" s="2"/>
      <c r="T1322" s="2"/>
      <c r="U1322" s="2"/>
      <c r="V1322" s="2"/>
      <c r="W1322" s="2"/>
      <c r="X1322" s="2"/>
      <c r="Y1322" s="2"/>
      <c r="Z1322" s="2"/>
    </row>
    <row r="1323" spans="1:26" ht="16.8" x14ac:dyDescent="0.3">
      <c r="A1323" s="4">
        <v>1856</v>
      </c>
      <c r="B1323" s="4" t="s">
        <v>43</v>
      </c>
      <c r="C1323" s="4">
        <v>47</v>
      </c>
      <c r="D1323" s="4" t="s">
        <v>45</v>
      </c>
      <c r="E1323" s="4" t="s">
        <v>50</v>
      </c>
      <c r="F1323" s="4">
        <v>2105</v>
      </c>
      <c r="G1323" s="4" t="s">
        <v>43</v>
      </c>
      <c r="H1323" s="4">
        <v>2</v>
      </c>
      <c r="I1323" s="4">
        <v>2</v>
      </c>
      <c r="J1323" s="4">
        <v>3</v>
      </c>
      <c r="K1323" s="4">
        <v>3</v>
      </c>
      <c r="L1323" s="4" t="str">
        <f t="shared" si="36"/>
        <v>NORMAL</v>
      </c>
      <c r="M1323" s="4" t="str">
        <f t="shared" si="37"/>
        <v>LOW</v>
      </c>
      <c r="N1323" s="4" t="str">
        <f t="shared" si="38"/>
        <v>NEW</v>
      </c>
      <c r="O1323" s="4" t="str">
        <f t="shared" si="39"/>
        <v>MODERATE-WAIT</v>
      </c>
      <c r="P1323" s="5" t="str">
        <f t="shared" si="40"/>
        <v>Medium_Pressure</v>
      </c>
      <c r="Q1323" s="4" t="str">
        <f t="shared" si="41"/>
        <v>HIGHLY_ENGAGED</v>
      </c>
      <c r="R1323" s="4" t="str">
        <f t="shared" si="35"/>
        <v>LOW</v>
      </c>
      <c r="S1323" s="2"/>
      <c r="T1323" s="2"/>
      <c r="U1323" s="2"/>
      <c r="V1323" s="2"/>
      <c r="W1323" s="2"/>
      <c r="X1323" s="2"/>
      <c r="Y1323" s="2"/>
      <c r="Z1323" s="2"/>
    </row>
    <row r="1324" spans="1:26" ht="16.8" x14ac:dyDescent="0.3">
      <c r="A1324" s="4">
        <v>1857</v>
      </c>
      <c r="B1324" s="4" t="s">
        <v>43</v>
      </c>
      <c r="C1324" s="4">
        <v>46</v>
      </c>
      <c r="D1324" s="4" t="s">
        <v>45</v>
      </c>
      <c r="E1324" s="4" t="s">
        <v>53</v>
      </c>
      <c r="F1324" s="4">
        <v>8578</v>
      </c>
      <c r="G1324" s="4" t="s">
        <v>43</v>
      </c>
      <c r="H1324" s="4">
        <v>9</v>
      </c>
      <c r="I1324" s="4">
        <v>4</v>
      </c>
      <c r="J1324" s="4">
        <v>4</v>
      </c>
      <c r="K1324" s="4">
        <v>2</v>
      </c>
      <c r="L1324" s="4" t="str">
        <f t="shared" si="36"/>
        <v>NORMAL</v>
      </c>
      <c r="M1324" s="4" t="str">
        <f t="shared" si="37"/>
        <v>HIGH</v>
      </c>
      <c r="N1324" s="4" t="str">
        <f t="shared" si="38"/>
        <v>SENIOR</v>
      </c>
      <c r="O1324" s="4" t="str">
        <f t="shared" si="39"/>
        <v>STAGNANT</v>
      </c>
      <c r="P1324" s="5" t="str">
        <f t="shared" si="40"/>
        <v>Low_Pressure</v>
      </c>
      <c r="Q1324" s="4" t="str">
        <f t="shared" si="41"/>
        <v>DISENGAGED</v>
      </c>
      <c r="R1324" s="4" t="str">
        <f t="shared" si="35"/>
        <v>LOW</v>
      </c>
      <c r="S1324" s="2"/>
      <c r="T1324" s="2"/>
      <c r="U1324" s="2"/>
      <c r="V1324" s="2"/>
      <c r="W1324" s="2"/>
      <c r="X1324" s="2"/>
      <c r="Y1324" s="2"/>
      <c r="Z1324" s="2"/>
    </row>
    <row r="1325" spans="1:26" ht="16.8" x14ac:dyDescent="0.3">
      <c r="A1325" s="4">
        <v>1858</v>
      </c>
      <c r="B1325" s="4" t="s">
        <v>43</v>
      </c>
      <c r="C1325" s="4">
        <v>28</v>
      </c>
      <c r="D1325" s="4" t="s">
        <v>61</v>
      </c>
      <c r="E1325" s="4" t="s">
        <v>61</v>
      </c>
      <c r="F1325" s="4">
        <v>2706</v>
      </c>
      <c r="G1325" s="4" t="s">
        <v>43</v>
      </c>
      <c r="H1325" s="4">
        <v>3</v>
      </c>
      <c r="I1325" s="4">
        <v>2</v>
      </c>
      <c r="J1325" s="4">
        <v>4</v>
      </c>
      <c r="K1325" s="4">
        <v>3</v>
      </c>
      <c r="L1325" s="4" t="str">
        <f t="shared" si="36"/>
        <v>NORMAL</v>
      </c>
      <c r="M1325" s="4" t="str">
        <f t="shared" si="37"/>
        <v>LOW</v>
      </c>
      <c r="N1325" s="4" t="str">
        <f t="shared" si="38"/>
        <v>MID</v>
      </c>
      <c r="O1325" s="4" t="str">
        <f t="shared" si="39"/>
        <v>MODERATE-WAIT</v>
      </c>
      <c r="P1325" s="5" t="str">
        <f t="shared" si="40"/>
        <v>Medium_Pressure</v>
      </c>
      <c r="Q1325" s="4" t="str">
        <f t="shared" si="41"/>
        <v>HIGHLY_ENGAGED</v>
      </c>
      <c r="R1325" s="4" t="str">
        <f t="shared" si="35"/>
        <v>LOW</v>
      </c>
      <c r="S1325" s="2"/>
      <c r="T1325" s="2"/>
      <c r="U1325" s="2"/>
      <c r="V1325" s="2"/>
      <c r="W1325" s="2"/>
      <c r="X1325" s="2"/>
      <c r="Y1325" s="2"/>
      <c r="Z1325" s="2"/>
    </row>
    <row r="1326" spans="1:26" ht="16.8" x14ac:dyDescent="0.3">
      <c r="A1326" s="4">
        <v>1859</v>
      </c>
      <c r="B1326" s="4" t="s">
        <v>43</v>
      </c>
      <c r="C1326" s="4">
        <v>29</v>
      </c>
      <c r="D1326" s="4" t="s">
        <v>45</v>
      </c>
      <c r="E1326" s="4" t="s">
        <v>54</v>
      </c>
      <c r="F1326" s="4">
        <v>6384</v>
      </c>
      <c r="G1326" s="4" t="s">
        <v>43</v>
      </c>
      <c r="H1326" s="4">
        <v>7</v>
      </c>
      <c r="I1326" s="4">
        <v>1</v>
      </c>
      <c r="J1326" s="4">
        <v>3</v>
      </c>
      <c r="K1326" s="4">
        <v>3</v>
      </c>
      <c r="L1326" s="4" t="str">
        <f t="shared" si="36"/>
        <v>NORMAL</v>
      </c>
      <c r="M1326" s="4" t="str">
        <f t="shared" si="37"/>
        <v>HIGH</v>
      </c>
      <c r="N1326" s="4" t="str">
        <f t="shared" si="38"/>
        <v>SENIOR</v>
      </c>
      <c r="O1326" s="4" t="str">
        <f t="shared" si="39"/>
        <v>RECENTLY PROMOTED</v>
      </c>
      <c r="P1326" s="5" t="str">
        <f t="shared" si="40"/>
        <v>Medium_Pressure</v>
      </c>
      <c r="Q1326" s="4" t="str">
        <f t="shared" si="41"/>
        <v>HIGHLY_ENGAGED</v>
      </c>
      <c r="R1326" s="4" t="str">
        <f t="shared" si="35"/>
        <v>LOW</v>
      </c>
      <c r="S1326" s="2"/>
      <c r="T1326" s="2"/>
      <c r="U1326" s="2"/>
      <c r="V1326" s="2"/>
      <c r="W1326" s="2"/>
      <c r="X1326" s="2"/>
      <c r="Y1326" s="2"/>
      <c r="Z1326" s="2"/>
    </row>
    <row r="1327" spans="1:26" ht="16.8" x14ac:dyDescent="0.3">
      <c r="A1327" s="4">
        <v>1860</v>
      </c>
      <c r="B1327" s="4" t="s">
        <v>43</v>
      </c>
      <c r="C1327" s="4">
        <v>42</v>
      </c>
      <c r="D1327" s="4" t="s">
        <v>45</v>
      </c>
      <c r="E1327" s="4" t="s">
        <v>50</v>
      </c>
      <c r="F1327" s="4">
        <v>3968</v>
      </c>
      <c r="G1327" s="4" t="s">
        <v>43</v>
      </c>
      <c r="H1327" s="4">
        <v>0</v>
      </c>
      <c r="I1327" s="4">
        <v>0</v>
      </c>
      <c r="J1327" s="4">
        <v>3</v>
      </c>
      <c r="K1327" s="4">
        <v>3</v>
      </c>
      <c r="L1327" s="4" t="str">
        <f t="shared" si="36"/>
        <v>NORMAL</v>
      </c>
      <c r="M1327" s="4" t="str">
        <f t="shared" si="37"/>
        <v>LOW</v>
      </c>
      <c r="N1327" s="4" t="str">
        <f t="shared" si="38"/>
        <v>NEW</v>
      </c>
      <c r="O1327" s="4" t="str">
        <f t="shared" si="39"/>
        <v>RECENTLY PROMOTED</v>
      </c>
      <c r="P1327" s="5" t="str">
        <f t="shared" si="40"/>
        <v>Medium_Pressure</v>
      </c>
      <c r="Q1327" s="4" t="str">
        <f t="shared" si="41"/>
        <v>HIGHLY_ENGAGED</v>
      </c>
      <c r="R1327" s="4" t="str">
        <f t="shared" si="35"/>
        <v>LOW</v>
      </c>
      <c r="S1327" s="2"/>
      <c r="T1327" s="2"/>
      <c r="U1327" s="2"/>
      <c r="V1327" s="2"/>
      <c r="W1327" s="2"/>
      <c r="X1327" s="2"/>
      <c r="Y1327" s="2"/>
      <c r="Z1327" s="2"/>
    </row>
    <row r="1328" spans="1:26" ht="16.8" x14ac:dyDescent="0.3">
      <c r="A1328" s="4">
        <v>1862</v>
      </c>
      <c r="B1328" s="4" t="s">
        <v>35</v>
      </c>
      <c r="C1328" s="4">
        <v>32</v>
      </c>
      <c r="D1328" s="4" t="s">
        <v>37</v>
      </c>
      <c r="E1328" s="4" t="s">
        <v>40</v>
      </c>
      <c r="F1328" s="4">
        <v>9907</v>
      </c>
      <c r="G1328" s="4" t="s">
        <v>35</v>
      </c>
      <c r="H1328" s="4">
        <v>2</v>
      </c>
      <c r="I1328" s="4">
        <v>2</v>
      </c>
      <c r="J1328" s="4">
        <v>2</v>
      </c>
      <c r="K1328" s="4">
        <v>2</v>
      </c>
      <c r="L1328" s="4" t="str">
        <f t="shared" si="36"/>
        <v>NORMAL</v>
      </c>
      <c r="M1328" s="4" t="str">
        <f t="shared" si="37"/>
        <v>MEDIUM</v>
      </c>
      <c r="N1328" s="4" t="str">
        <f t="shared" si="38"/>
        <v>NEW</v>
      </c>
      <c r="O1328" s="4" t="str">
        <f t="shared" si="39"/>
        <v>MODERATE-WAIT</v>
      </c>
      <c r="P1328" s="5" t="str">
        <f t="shared" si="40"/>
        <v>High_Pressure</v>
      </c>
      <c r="Q1328" s="4" t="str">
        <f t="shared" si="41"/>
        <v>DISENGAGED</v>
      </c>
      <c r="R1328" s="4" t="str">
        <f t="shared" si="35"/>
        <v>LOW</v>
      </c>
      <c r="S1328" s="2"/>
      <c r="T1328" s="2"/>
      <c r="U1328" s="2"/>
      <c r="V1328" s="2"/>
      <c r="W1328" s="2"/>
      <c r="X1328" s="2"/>
      <c r="Y1328" s="2"/>
      <c r="Z1328" s="2"/>
    </row>
    <row r="1329" spans="1:26" ht="16.8" x14ac:dyDescent="0.3">
      <c r="A1329" s="4">
        <v>1863</v>
      </c>
      <c r="B1329" s="4" t="s">
        <v>43</v>
      </c>
      <c r="C1329" s="4">
        <v>46</v>
      </c>
      <c r="D1329" s="4" t="s">
        <v>37</v>
      </c>
      <c r="E1329" s="4" t="s">
        <v>40</v>
      </c>
      <c r="F1329" s="4">
        <v>13225</v>
      </c>
      <c r="G1329" s="4" t="s">
        <v>43</v>
      </c>
      <c r="H1329" s="4">
        <v>19</v>
      </c>
      <c r="I1329" s="4">
        <v>2</v>
      </c>
      <c r="J1329" s="4">
        <v>1</v>
      </c>
      <c r="K1329" s="4">
        <v>3</v>
      </c>
      <c r="L1329" s="4" t="str">
        <f t="shared" si="36"/>
        <v>NORMAL</v>
      </c>
      <c r="M1329" s="4" t="str">
        <f t="shared" si="37"/>
        <v>MEDIUM</v>
      </c>
      <c r="N1329" s="4" t="str">
        <f t="shared" si="38"/>
        <v>SENIOR</v>
      </c>
      <c r="O1329" s="4" t="str">
        <f t="shared" si="39"/>
        <v>MODERATE-WAIT</v>
      </c>
      <c r="P1329" s="5" t="str">
        <f t="shared" si="40"/>
        <v>Medium_Pressure</v>
      </c>
      <c r="Q1329" s="4" t="str">
        <f t="shared" si="41"/>
        <v>DISENGAGED</v>
      </c>
      <c r="R1329" s="4" t="str">
        <f t="shared" si="35"/>
        <v>LOW</v>
      </c>
      <c r="S1329" s="2"/>
      <c r="T1329" s="2"/>
      <c r="U1329" s="2"/>
      <c r="V1329" s="2"/>
      <c r="W1329" s="2"/>
      <c r="X1329" s="2"/>
      <c r="Y1329" s="2"/>
      <c r="Z1329" s="2"/>
    </row>
    <row r="1330" spans="1:26" ht="16.8" x14ac:dyDescent="0.3">
      <c r="A1330" s="4">
        <v>1864</v>
      </c>
      <c r="B1330" s="4" t="s">
        <v>43</v>
      </c>
      <c r="C1330" s="4">
        <v>27</v>
      </c>
      <c r="D1330" s="4" t="s">
        <v>37</v>
      </c>
      <c r="E1330" s="4" t="s">
        <v>57</v>
      </c>
      <c r="F1330" s="4">
        <v>3540</v>
      </c>
      <c r="G1330" s="4" t="s">
        <v>43</v>
      </c>
      <c r="H1330" s="4">
        <v>9</v>
      </c>
      <c r="I1330" s="4">
        <v>5</v>
      </c>
      <c r="J1330" s="4">
        <v>3</v>
      </c>
      <c r="K1330" s="4">
        <v>3</v>
      </c>
      <c r="L1330" s="4" t="str">
        <f t="shared" si="36"/>
        <v>NORMAL</v>
      </c>
      <c r="M1330" s="4" t="str">
        <f t="shared" si="37"/>
        <v>LOW</v>
      </c>
      <c r="N1330" s="4" t="str">
        <f t="shared" si="38"/>
        <v>SENIOR</v>
      </c>
      <c r="O1330" s="4" t="str">
        <f t="shared" si="39"/>
        <v>STAGNANT</v>
      </c>
      <c r="P1330" s="5" t="str">
        <f t="shared" si="40"/>
        <v>Medium_Pressure</v>
      </c>
      <c r="Q1330" s="4" t="str">
        <f t="shared" si="41"/>
        <v>HIGHLY_ENGAGED</v>
      </c>
      <c r="R1330" s="4" t="str">
        <f t="shared" si="35"/>
        <v>LOW</v>
      </c>
      <c r="S1330" s="2"/>
      <c r="T1330" s="2"/>
      <c r="U1330" s="2"/>
      <c r="V1330" s="2"/>
      <c r="W1330" s="2"/>
      <c r="X1330" s="2"/>
      <c r="Y1330" s="2"/>
      <c r="Z1330" s="2"/>
    </row>
    <row r="1331" spans="1:26" ht="16.8" x14ac:dyDescent="0.3">
      <c r="A1331" s="4">
        <v>1865</v>
      </c>
      <c r="B1331" s="4" t="s">
        <v>43</v>
      </c>
      <c r="C1331" s="4">
        <v>29</v>
      </c>
      <c r="D1331" s="4" t="s">
        <v>61</v>
      </c>
      <c r="E1331" s="4" t="s">
        <v>61</v>
      </c>
      <c r="F1331" s="4">
        <v>2804</v>
      </c>
      <c r="G1331" s="4" t="s">
        <v>43</v>
      </c>
      <c r="H1331" s="4">
        <v>1</v>
      </c>
      <c r="I1331" s="4">
        <v>0</v>
      </c>
      <c r="J1331" s="4">
        <v>2</v>
      </c>
      <c r="K1331" s="4">
        <v>3</v>
      </c>
      <c r="L1331" s="4" t="str">
        <f t="shared" si="36"/>
        <v>NORMAL</v>
      </c>
      <c r="M1331" s="4" t="str">
        <f t="shared" si="37"/>
        <v>LOW</v>
      </c>
      <c r="N1331" s="4" t="str">
        <f t="shared" si="38"/>
        <v>NEW</v>
      </c>
      <c r="O1331" s="4" t="str">
        <f t="shared" si="39"/>
        <v>RECENTLY PROMOTED</v>
      </c>
      <c r="P1331" s="5" t="str">
        <f t="shared" si="40"/>
        <v>Medium_Pressure</v>
      </c>
      <c r="Q1331" s="4" t="str">
        <f t="shared" si="41"/>
        <v>DISENGAGED</v>
      </c>
      <c r="R1331" s="4" t="str">
        <f t="shared" si="35"/>
        <v>LOW</v>
      </c>
      <c r="S1331" s="2"/>
      <c r="T1331" s="2"/>
      <c r="U1331" s="2"/>
      <c r="V1331" s="2"/>
      <c r="W1331" s="2"/>
      <c r="X1331" s="2"/>
      <c r="Y1331" s="2"/>
      <c r="Z1331" s="2"/>
    </row>
    <row r="1332" spans="1:26" ht="16.8" x14ac:dyDescent="0.3">
      <c r="A1332" s="4">
        <v>1866</v>
      </c>
      <c r="B1332" s="4" t="s">
        <v>43</v>
      </c>
      <c r="C1332" s="4">
        <v>43</v>
      </c>
      <c r="D1332" s="4" t="s">
        <v>45</v>
      </c>
      <c r="E1332" s="4" t="s">
        <v>56</v>
      </c>
      <c r="F1332" s="4">
        <v>19392</v>
      </c>
      <c r="G1332" s="4" t="s">
        <v>43</v>
      </c>
      <c r="H1332" s="4">
        <v>16</v>
      </c>
      <c r="I1332" s="4">
        <v>6</v>
      </c>
      <c r="J1332" s="4">
        <v>3</v>
      </c>
      <c r="K1332" s="4">
        <v>3</v>
      </c>
      <c r="L1332" s="4" t="str">
        <f t="shared" si="36"/>
        <v>NORMAL</v>
      </c>
      <c r="M1332" s="4" t="str">
        <f t="shared" si="37"/>
        <v>MEDIUM</v>
      </c>
      <c r="N1332" s="4" t="str">
        <f t="shared" si="38"/>
        <v>SENIOR</v>
      </c>
      <c r="O1332" s="4" t="str">
        <f t="shared" si="39"/>
        <v>STAGNANT</v>
      </c>
      <c r="P1332" s="5" t="str">
        <f t="shared" si="40"/>
        <v>Medium_Pressure</v>
      </c>
      <c r="Q1332" s="4" t="str">
        <f t="shared" si="41"/>
        <v>HIGHLY_ENGAGED</v>
      </c>
      <c r="R1332" s="4" t="str">
        <f t="shared" si="35"/>
        <v>LOW</v>
      </c>
      <c r="S1332" s="2"/>
      <c r="T1332" s="2"/>
      <c r="U1332" s="2"/>
      <c r="V1332" s="2"/>
      <c r="W1332" s="2"/>
      <c r="X1332" s="2"/>
      <c r="Y1332" s="2"/>
      <c r="Z1332" s="2"/>
    </row>
    <row r="1333" spans="1:26" ht="16.8" x14ac:dyDescent="0.3">
      <c r="A1333" s="4">
        <v>1867</v>
      </c>
      <c r="B1333" s="4" t="s">
        <v>43</v>
      </c>
      <c r="C1333" s="4">
        <v>48</v>
      </c>
      <c r="D1333" s="4" t="s">
        <v>45</v>
      </c>
      <c r="E1333" s="4" t="s">
        <v>58</v>
      </c>
      <c r="F1333" s="4">
        <v>19665</v>
      </c>
      <c r="G1333" s="4" t="s">
        <v>43</v>
      </c>
      <c r="H1333" s="4">
        <v>22</v>
      </c>
      <c r="I1333" s="4">
        <v>12</v>
      </c>
      <c r="J1333" s="4">
        <v>2</v>
      </c>
      <c r="K1333" s="4">
        <v>3</v>
      </c>
      <c r="L1333" s="4" t="str">
        <f t="shared" si="36"/>
        <v>NORMAL</v>
      </c>
      <c r="M1333" s="4" t="str">
        <f t="shared" si="37"/>
        <v>MEDIUM</v>
      </c>
      <c r="N1333" s="4" t="str">
        <f t="shared" si="38"/>
        <v>SENIOR</v>
      </c>
      <c r="O1333" s="4" t="str">
        <f t="shared" si="39"/>
        <v>STAGNANT</v>
      </c>
      <c r="P1333" s="5" t="str">
        <f t="shared" si="40"/>
        <v>Medium_Pressure</v>
      </c>
      <c r="Q1333" s="4" t="str">
        <f t="shared" si="41"/>
        <v>DISENGAGED</v>
      </c>
      <c r="R1333" s="4" t="str">
        <f t="shared" si="35"/>
        <v>LOW</v>
      </c>
      <c r="S1333" s="2"/>
      <c r="T1333" s="2"/>
      <c r="U1333" s="2"/>
      <c r="V1333" s="2"/>
      <c r="W1333" s="2"/>
      <c r="X1333" s="2"/>
      <c r="Y1333" s="2"/>
      <c r="Z1333" s="2"/>
    </row>
    <row r="1334" spans="1:26" ht="16.8" x14ac:dyDescent="0.3">
      <c r="A1334" s="4">
        <v>1868</v>
      </c>
      <c r="B1334" s="4" t="s">
        <v>35</v>
      </c>
      <c r="C1334" s="4">
        <v>29</v>
      </c>
      <c r="D1334" s="4" t="s">
        <v>45</v>
      </c>
      <c r="E1334" s="4" t="s">
        <v>47</v>
      </c>
      <c r="F1334" s="4">
        <v>2439</v>
      </c>
      <c r="G1334" s="4" t="s">
        <v>35</v>
      </c>
      <c r="H1334" s="4">
        <v>1</v>
      </c>
      <c r="I1334" s="4">
        <v>1</v>
      </c>
      <c r="J1334" s="4">
        <v>4</v>
      </c>
      <c r="K1334" s="4">
        <v>2</v>
      </c>
      <c r="L1334" s="4" t="str">
        <f t="shared" si="36"/>
        <v>NORMAL</v>
      </c>
      <c r="M1334" s="4" t="str">
        <f t="shared" si="37"/>
        <v>LOW</v>
      </c>
      <c r="N1334" s="4" t="str">
        <f t="shared" si="38"/>
        <v>NEW</v>
      </c>
      <c r="O1334" s="4" t="str">
        <f t="shared" si="39"/>
        <v>RECENTLY PROMOTED</v>
      </c>
      <c r="P1334" s="5" t="str">
        <f t="shared" si="40"/>
        <v>High_Pressure</v>
      </c>
      <c r="Q1334" s="4" t="str">
        <f t="shared" si="41"/>
        <v>DISENGAGED</v>
      </c>
      <c r="R1334" s="4" t="str">
        <f t="shared" si="35"/>
        <v>LOW</v>
      </c>
      <c r="S1334" s="2"/>
      <c r="T1334" s="2"/>
      <c r="U1334" s="2"/>
      <c r="V1334" s="2"/>
      <c r="W1334" s="2"/>
      <c r="X1334" s="2"/>
      <c r="Y1334" s="2"/>
      <c r="Z1334" s="2"/>
    </row>
    <row r="1335" spans="1:26" ht="16.8" x14ac:dyDescent="0.3">
      <c r="A1335" s="4">
        <v>1869</v>
      </c>
      <c r="B1335" s="4" t="s">
        <v>35</v>
      </c>
      <c r="C1335" s="4">
        <v>46</v>
      </c>
      <c r="D1335" s="4" t="s">
        <v>37</v>
      </c>
      <c r="E1335" s="4" t="s">
        <v>40</v>
      </c>
      <c r="F1335" s="4">
        <v>7314</v>
      </c>
      <c r="G1335" s="4" t="s">
        <v>43</v>
      </c>
      <c r="H1335" s="4">
        <v>8</v>
      </c>
      <c r="I1335" s="4">
        <v>0</v>
      </c>
      <c r="J1335" s="4">
        <v>2</v>
      </c>
      <c r="K1335" s="4">
        <v>3</v>
      </c>
      <c r="L1335" s="4" t="str">
        <f t="shared" si="36"/>
        <v>NORMAL</v>
      </c>
      <c r="M1335" s="4" t="str">
        <f t="shared" si="37"/>
        <v>HIGH</v>
      </c>
      <c r="N1335" s="4" t="str">
        <f t="shared" si="38"/>
        <v>SENIOR</v>
      </c>
      <c r="O1335" s="4" t="str">
        <f t="shared" si="39"/>
        <v>RECENTLY PROMOTED</v>
      </c>
      <c r="P1335" s="5" t="str">
        <f t="shared" si="40"/>
        <v>Medium_Pressure</v>
      </c>
      <c r="Q1335" s="4" t="str">
        <f t="shared" si="41"/>
        <v>DISENGAGED</v>
      </c>
      <c r="R1335" s="4" t="str">
        <f t="shared" si="35"/>
        <v>LOW</v>
      </c>
      <c r="S1335" s="2"/>
      <c r="T1335" s="2"/>
      <c r="U1335" s="2"/>
      <c r="V1335" s="2"/>
      <c r="W1335" s="2"/>
      <c r="X1335" s="2"/>
      <c r="Y1335" s="2"/>
      <c r="Z1335" s="2"/>
    </row>
    <row r="1336" spans="1:26" ht="16.8" x14ac:dyDescent="0.3">
      <c r="A1336" s="4">
        <v>1870</v>
      </c>
      <c r="B1336" s="4" t="s">
        <v>43</v>
      </c>
      <c r="C1336" s="4">
        <v>27</v>
      </c>
      <c r="D1336" s="4" t="s">
        <v>45</v>
      </c>
      <c r="E1336" s="4" t="s">
        <v>47</v>
      </c>
      <c r="F1336" s="4">
        <v>4774</v>
      </c>
      <c r="G1336" s="4" t="s">
        <v>43</v>
      </c>
      <c r="H1336" s="4">
        <v>7</v>
      </c>
      <c r="I1336" s="4">
        <v>7</v>
      </c>
      <c r="J1336" s="4">
        <v>1</v>
      </c>
      <c r="K1336" s="4">
        <v>2</v>
      </c>
      <c r="L1336" s="4" t="str">
        <f t="shared" si="36"/>
        <v>NORMAL</v>
      </c>
      <c r="M1336" s="4" t="str">
        <f t="shared" si="37"/>
        <v>HIGH</v>
      </c>
      <c r="N1336" s="4" t="str">
        <f t="shared" si="38"/>
        <v>SENIOR</v>
      </c>
      <c r="O1336" s="4" t="str">
        <f t="shared" si="39"/>
        <v>STAGNANT</v>
      </c>
      <c r="P1336" s="5" t="str">
        <f t="shared" si="40"/>
        <v>Low_Pressure</v>
      </c>
      <c r="Q1336" s="4" t="str">
        <f t="shared" si="41"/>
        <v>DISENGAGED</v>
      </c>
      <c r="R1336" s="4" t="str">
        <f t="shared" si="35"/>
        <v>LOW</v>
      </c>
      <c r="S1336" s="2"/>
      <c r="T1336" s="2"/>
      <c r="U1336" s="2"/>
      <c r="V1336" s="2"/>
      <c r="W1336" s="2"/>
      <c r="X1336" s="2"/>
      <c r="Y1336" s="2"/>
      <c r="Z1336" s="2"/>
    </row>
    <row r="1337" spans="1:26" ht="16.8" x14ac:dyDescent="0.3">
      <c r="A1337" s="4">
        <v>1871</v>
      </c>
      <c r="B1337" s="4" t="s">
        <v>43</v>
      </c>
      <c r="C1337" s="4">
        <v>39</v>
      </c>
      <c r="D1337" s="4" t="s">
        <v>45</v>
      </c>
      <c r="E1337" s="4" t="s">
        <v>47</v>
      </c>
      <c r="F1337" s="4">
        <v>3902</v>
      </c>
      <c r="G1337" s="4" t="s">
        <v>43</v>
      </c>
      <c r="H1337" s="4">
        <v>2</v>
      </c>
      <c r="I1337" s="4">
        <v>2</v>
      </c>
      <c r="J1337" s="4">
        <v>4</v>
      </c>
      <c r="K1337" s="4">
        <v>3</v>
      </c>
      <c r="L1337" s="4" t="str">
        <f t="shared" si="36"/>
        <v>NORMAL</v>
      </c>
      <c r="M1337" s="4" t="str">
        <f t="shared" si="37"/>
        <v>LOW</v>
      </c>
      <c r="N1337" s="4" t="str">
        <f t="shared" si="38"/>
        <v>NEW</v>
      </c>
      <c r="O1337" s="4" t="str">
        <f t="shared" si="39"/>
        <v>MODERATE-WAIT</v>
      </c>
      <c r="P1337" s="5" t="str">
        <f t="shared" si="40"/>
        <v>Medium_Pressure</v>
      </c>
      <c r="Q1337" s="4" t="str">
        <f t="shared" si="41"/>
        <v>HIGHLY_ENGAGED</v>
      </c>
      <c r="R1337" s="4" t="str">
        <f t="shared" si="35"/>
        <v>LOW</v>
      </c>
      <c r="S1337" s="2"/>
      <c r="T1337" s="2"/>
      <c r="U1337" s="2"/>
      <c r="V1337" s="2"/>
      <c r="W1337" s="2"/>
      <c r="X1337" s="2"/>
      <c r="Y1337" s="2"/>
      <c r="Z1337" s="2"/>
    </row>
    <row r="1338" spans="1:26" ht="16.8" x14ac:dyDescent="0.3">
      <c r="A1338" s="4">
        <v>1873</v>
      </c>
      <c r="B1338" s="4" t="s">
        <v>43</v>
      </c>
      <c r="C1338" s="4">
        <v>55</v>
      </c>
      <c r="D1338" s="4" t="s">
        <v>45</v>
      </c>
      <c r="E1338" s="4" t="s">
        <v>47</v>
      </c>
      <c r="F1338" s="4">
        <v>2662</v>
      </c>
      <c r="G1338" s="4" t="s">
        <v>43</v>
      </c>
      <c r="H1338" s="4">
        <v>5</v>
      </c>
      <c r="I1338" s="4">
        <v>0</v>
      </c>
      <c r="J1338" s="4">
        <v>4</v>
      </c>
      <c r="K1338" s="4">
        <v>4</v>
      </c>
      <c r="L1338" s="4" t="str">
        <f t="shared" si="36"/>
        <v>NORMAL</v>
      </c>
      <c r="M1338" s="4" t="str">
        <f t="shared" si="37"/>
        <v>LOW</v>
      </c>
      <c r="N1338" s="4" t="str">
        <f t="shared" si="38"/>
        <v>MID</v>
      </c>
      <c r="O1338" s="4" t="str">
        <f t="shared" si="39"/>
        <v>RECENTLY PROMOTED</v>
      </c>
      <c r="P1338" s="5" t="str">
        <f t="shared" si="40"/>
        <v>Low_Pressure</v>
      </c>
      <c r="Q1338" s="4" t="str">
        <f t="shared" si="41"/>
        <v>HIGHLY_ENGAGED</v>
      </c>
      <c r="R1338" s="4" t="str">
        <f t="shared" si="35"/>
        <v>LOW</v>
      </c>
      <c r="S1338" s="2"/>
      <c r="T1338" s="2"/>
      <c r="U1338" s="2"/>
      <c r="V1338" s="2"/>
      <c r="W1338" s="2"/>
      <c r="X1338" s="2"/>
      <c r="Y1338" s="2"/>
      <c r="Z1338" s="2"/>
    </row>
    <row r="1339" spans="1:26" ht="16.8" x14ac:dyDescent="0.3">
      <c r="A1339" s="4">
        <v>1875</v>
      </c>
      <c r="B1339" s="4" t="s">
        <v>43</v>
      </c>
      <c r="C1339" s="4">
        <v>28</v>
      </c>
      <c r="D1339" s="4" t="s">
        <v>37</v>
      </c>
      <c r="E1339" s="4" t="s">
        <v>57</v>
      </c>
      <c r="F1339" s="4">
        <v>2856</v>
      </c>
      <c r="G1339" s="4" t="s">
        <v>43</v>
      </c>
      <c r="H1339" s="4">
        <v>1</v>
      </c>
      <c r="I1339" s="4">
        <v>0</v>
      </c>
      <c r="J1339" s="4">
        <v>2</v>
      </c>
      <c r="K1339" s="4">
        <v>3</v>
      </c>
      <c r="L1339" s="4" t="str">
        <f t="shared" si="36"/>
        <v>NORMAL</v>
      </c>
      <c r="M1339" s="4" t="str">
        <f t="shared" si="37"/>
        <v>LOW</v>
      </c>
      <c r="N1339" s="4" t="str">
        <f t="shared" si="38"/>
        <v>NEW</v>
      </c>
      <c r="O1339" s="4" t="str">
        <f t="shared" si="39"/>
        <v>RECENTLY PROMOTED</v>
      </c>
      <c r="P1339" s="5" t="str">
        <f t="shared" si="40"/>
        <v>Medium_Pressure</v>
      </c>
      <c r="Q1339" s="4" t="str">
        <f t="shared" si="41"/>
        <v>DISENGAGED</v>
      </c>
      <c r="R1339" s="4" t="str">
        <f t="shared" si="35"/>
        <v>LOW</v>
      </c>
      <c r="S1339" s="2"/>
      <c r="T1339" s="2"/>
      <c r="U1339" s="2"/>
      <c r="V1339" s="2"/>
      <c r="W1339" s="2"/>
      <c r="X1339" s="2"/>
      <c r="Y1339" s="2"/>
      <c r="Z1339" s="2"/>
    </row>
    <row r="1340" spans="1:26" ht="16.8" x14ac:dyDescent="0.3">
      <c r="A1340" s="4">
        <v>1876</v>
      </c>
      <c r="B1340" s="4" t="s">
        <v>35</v>
      </c>
      <c r="C1340" s="4">
        <v>30</v>
      </c>
      <c r="D1340" s="4" t="s">
        <v>37</v>
      </c>
      <c r="E1340" s="4" t="s">
        <v>57</v>
      </c>
      <c r="F1340" s="4">
        <v>1081</v>
      </c>
      <c r="G1340" s="4" t="s">
        <v>43</v>
      </c>
      <c r="H1340" s="4">
        <v>1</v>
      </c>
      <c r="I1340" s="4">
        <v>0</v>
      </c>
      <c r="J1340" s="4">
        <v>4</v>
      </c>
      <c r="K1340" s="4">
        <v>2</v>
      </c>
      <c r="L1340" s="4" t="str">
        <f t="shared" si="36"/>
        <v>NORMAL</v>
      </c>
      <c r="M1340" s="4" t="str">
        <f t="shared" si="37"/>
        <v>LOW</v>
      </c>
      <c r="N1340" s="4" t="str">
        <f t="shared" si="38"/>
        <v>NEW</v>
      </c>
      <c r="O1340" s="4" t="str">
        <f t="shared" si="39"/>
        <v>RECENTLY PROMOTED</v>
      </c>
      <c r="P1340" s="5" t="str">
        <f t="shared" si="40"/>
        <v>Low_Pressure</v>
      </c>
      <c r="Q1340" s="4" t="str">
        <f t="shared" si="41"/>
        <v>DISENGAGED</v>
      </c>
      <c r="R1340" s="4" t="str">
        <f t="shared" si="35"/>
        <v>LOW</v>
      </c>
      <c r="S1340" s="2"/>
      <c r="T1340" s="2"/>
      <c r="U1340" s="2"/>
      <c r="V1340" s="2"/>
      <c r="W1340" s="2"/>
      <c r="X1340" s="2"/>
      <c r="Y1340" s="2"/>
      <c r="Z1340" s="2"/>
    </row>
    <row r="1341" spans="1:26" ht="16.8" x14ac:dyDescent="0.3">
      <c r="A1341" s="4">
        <v>1878</v>
      </c>
      <c r="B1341" s="4" t="s">
        <v>35</v>
      </c>
      <c r="C1341" s="4">
        <v>22</v>
      </c>
      <c r="D1341" s="4" t="s">
        <v>45</v>
      </c>
      <c r="E1341" s="4" t="s">
        <v>47</v>
      </c>
      <c r="F1341" s="4">
        <v>2472</v>
      </c>
      <c r="G1341" s="4" t="s">
        <v>35</v>
      </c>
      <c r="H1341" s="4">
        <v>1</v>
      </c>
      <c r="I1341" s="4">
        <v>0</v>
      </c>
      <c r="J1341" s="4">
        <v>2</v>
      </c>
      <c r="K1341" s="4">
        <v>3</v>
      </c>
      <c r="L1341" s="4" t="str">
        <f t="shared" si="36"/>
        <v>NORMAL</v>
      </c>
      <c r="M1341" s="4" t="str">
        <f t="shared" si="37"/>
        <v>LOW</v>
      </c>
      <c r="N1341" s="4" t="str">
        <f t="shared" si="38"/>
        <v>NEW</v>
      </c>
      <c r="O1341" s="4" t="str">
        <f t="shared" si="39"/>
        <v>RECENTLY PROMOTED</v>
      </c>
      <c r="P1341" s="5" t="str">
        <f t="shared" si="40"/>
        <v>Medium_Pressure</v>
      </c>
      <c r="Q1341" s="4" t="str">
        <f t="shared" si="41"/>
        <v>DISENGAGED</v>
      </c>
      <c r="R1341" s="4" t="str">
        <f t="shared" si="35"/>
        <v>LOW</v>
      </c>
      <c r="S1341" s="2"/>
      <c r="T1341" s="2"/>
      <c r="U1341" s="2"/>
      <c r="V1341" s="2"/>
      <c r="W1341" s="2"/>
      <c r="X1341" s="2"/>
      <c r="Y1341" s="2"/>
      <c r="Z1341" s="2"/>
    </row>
    <row r="1342" spans="1:26" ht="16.8" x14ac:dyDescent="0.3">
      <c r="A1342" s="4">
        <v>1880</v>
      </c>
      <c r="B1342" s="4" t="s">
        <v>43</v>
      </c>
      <c r="C1342" s="4">
        <v>36</v>
      </c>
      <c r="D1342" s="4" t="s">
        <v>37</v>
      </c>
      <c r="E1342" s="4" t="s">
        <v>40</v>
      </c>
      <c r="F1342" s="4">
        <v>5673</v>
      </c>
      <c r="G1342" s="4" t="s">
        <v>35</v>
      </c>
      <c r="H1342" s="4">
        <v>10</v>
      </c>
      <c r="I1342" s="4">
        <v>1</v>
      </c>
      <c r="J1342" s="4">
        <v>3</v>
      </c>
      <c r="K1342" s="4">
        <v>3</v>
      </c>
      <c r="L1342" s="4" t="str">
        <f t="shared" si="36"/>
        <v>NORMAL</v>
      </c>
      <c r="M1342" s="4" t="str">
        <f t="shared" si="37"/>
        <v>HIGH</v>
      </c>
      <c r="N1342" s="4" t="str">
        <f t="shared" si="38"/>
        <v>SENIOR</v>
      </c>
      <c r="O1342" s="4" t="str">
        <f t="shared" si="39"/>
        <v>RECENTLY PROMOTED</v>
      </c>
      <c r="P1342" s="5" t="str">
        <f t="shared" si="40"/>
        <v>Medium_Pressure</v>
      </c>
      <c r="Q1342" s="4" t="str">
        <f t="shared" si="41"/>
        <v>HIGHLY_ENGAGED</v>
      </c>
      <c r="R1342" s="4" t="str">
        <f t="shared" si="35"/>
        <v>LOW</v>
      </c>
      <c r="S1342" s="2"/>
      <c r="T1342" s="2"/>
      <c r="U1342" s="2"/>
      <c r="V1342" s="2"/>
      <c r="W1342" s="2"/>
      <c r="X1342" s="2"/>
      <c r="Y1342" s="2"/>
      <c r="Z1342" s="2"/>
    </row>
    <row r="1343" spans="1:26" ht="16.8" x14ac:dyDescent="0.3">
      <c r="A1343" s="4">
        <v>1881</v>
      </c>
      <c r="B1343" s="4" t="s">
        <v>43</v>
      </c>
      <c r="C1343" s="4">
        <v>31</v>
      </c>
      <c r="D1343" s="4" t="s">
        <v>45</v>
      </c>
      <c r="E1343" s="4" t="s">
        <v>50</v>
      </c>
      <c r="F1343" s="4">
        <v>4197</v>
      </c>
      <c r="G1343" s="4" t="s">
        <v>43</v>
      </c>
      <c r="H1343" s="4">
        <v>10</v>
      </c>
      <c r="I1343" s="4">
        <v>0</v>
      </c>
      <c r="J1343" s="4">
        <v>3</v>
      </c>
      <c r="K1343" s="4">
        <v>3</v>
      </c>
      <c r="L1343" s="4" t="str">
        <f t="shared" si="36"/>
        <v>NORMAL</v>
      </c>
      <c r="M1343" s="4" t="str">
        <f t="shared" si="37"/>
        <v>HIGH</v>
      </c>
      <c r="N1343" s="4" t="str">
        <f t="shared" si="38"/>
        <v>SENIOR</v>
      </c>
      <c r="O1343" s="4" t="str">
        <f t="shared" si="39"/>
        <v>RECENTLY PROMOTED</v>
      </c>
      <c r="P1343" s="5" t="str">
        <f t="shared" si="40"/>
        <v>Medium_Pressure</v>
      </c>
      <c r="Q1343" s="4" t="str">
        <f t="shared" si="41"/>
        <v>HIGHLY_ENGAGED</v>
      </c>
      <c r="R1343" s="4" t="str">
        <f t="shared" si="35"/>
        <v>LOW</v>
      </c>
      <c r="S1343" s="2"/>
      <c r="T1343" s="2"/>
      <c r="U1343" s="2"/>
      <c r="V1343" s="2"/>
      <c r="W1343" s="2"/>
      <c r="X1343" s="2"/>
      <c r="Y1343" s="2"/>
      <c r="Z1343" s="2"/>
    </row>
    <row r="1344" spans="1:26" ht="16.8" x14ac:dyDescent="0.3">
      <c r="A1344" s="4">
        <v>1882</v>
      </c>
      <c r="B1344" s="4" t="s">
        <v>43</v>
      </c>
      <c r="C1344" s="4">
        <v>34</v>
      </c>
      <c r="D1344" s="4" t="s">
        <v>37</v>
      </c>
      <c r="E1344" s="4" t="s">
        <v>40</v>
      </c>
      <c r="F1344" s="4">
        <v>9713</v>
      </c>
      <c r="G1344" s="4" t="s">
        <v>35</v>
      </c>
      <c r="H1344" s="4">
        <v>5</v>
      </c>
      <c r="I1344" s="4">
        <v>1</v>
      </c>
      <c r="J1344" s="4">
        <v>4</v>
      </c>
      <c r="K1344" s="4">
        <v>3</v>
      </c>
      <c r="L1344" s="4" t="str">
        <f t="shared" si="36"/>
        <v>NORMAL</v>
      </c>
      <c r="M1344" s="4" t="str">
        <f t="shared" si="37"/>
        <v>MEDIUM</v>
      </c>
      <c r="N1344" s="4" t="str">
        <f t="shared" si="38"/>
        <v>MID</v>
      </c>
      <c r="O1344" s="4" t="str">
        <f t="shared" si="39"/>
        <v>RECENTLY PROMOTED</v>
      </c>
      <c r="P1344" s="5" t="str">
        <f t="shared" si="40"/>
        <v>Medium_Pressure</v>
      </c>
      <c r="Q1344" s="4" t="str">
        <f t="shared" si="41"/>
        <v>HIGHLY_ENGAGED</v>
      </c>
      <c r="R1344" s="4" t="str">
        <f t="shared" si="35"/>
        <v>LOW</v>
      </c>
      <c r="S1344" s="2"/>
      <c r="T1344" s="2"/>
      <c r="U1344" s="2"/>
      <c r="V1344" s="2"/>
      <c r="W1344" s="2"/>
      <c r="X1344" s="2"/>
      <c r="Y1344" s="2"/>
      <c r="Z1344" s="2"/>
    </row>
    <row r="1345" spans="1:26" ht="16.8" x14ac:dyDescent="0.3">
      <c r="A1345" s="4">
        <v>1883</v>
      </c>
      <c r="B1345" s="4" t="s">
        <v>43</v>
      </c>
      <c r="C1345" s="4">
        <v>29</v>
      </c>
      <c r="D1345" s="4" t="s">
        <v>45</v>
      </c>
      <c r="E1345" s="4" t="s">
        <v>50</v>
      </c>
      <c r="F1345" s="4">
        <v>2062</v>
      </c>
      <c r="G1345" s="4" t="s">
        <v>43</v>
      </c>
      <c r="H1345" s="4">
        <v>3</v>
      </c>
      <c r="I1345" s="4">
        <v>1</v>
      </c>
      <c r="J1345" s="4">
        <v>1</v>
      </c>
      <c r="K1345" s="4">
        <v>3</v>
      </c>
      <c r="L1345" s="4" t="str">
        <f t="shared" si="36"/>
        <v>NORMAL</v>
      </c>
      <c r="M1345" s="4" t="str">
        <f t="shared" si="37"/>
        <v>LOW</v>
      </c>
      <c r="N1345" s="4" t="str">
        <f t="shared" si="38"/>
        <v>MID</v>
      </c>
      <c r="O1345" s="4" t="str">
        <f t="shared" si="39"/>
        <v>RECENTLY PROMOTED</v>
      </c>
      <c r="P1345" s="5" t="str">
        <f t="shared" si="40"/>
        <v>Medium_Pressure</v>
      </c>
      <c r="Q1345" s="4" t="str">
        <f t="shared" si="41"/>
        <v>DISENGAGED</v>
      </c>
      <c r="R1345" s="4" t="str">
        <f t="shared" si="35"/>
        <v>LOW</v>
      </c>
      <c r="S1345" s="2"/>
      <c r="T1345" s="2"/>
      <c r="U1345" s="2"/>
      <c r="V1345" s="2"/>
      <c r="W1345" s="2"/>
      <c r="X1345" s="2"/>
      <c r="Y1345" s="2"/>
      <c r="Z1345" s="2"/>
    </row>
    <row r="1346" spans="1:26" ht="16.8" x14ac:dyDescent="0.3">
      <c r="A1346" s="4">
        <v>1885</v>
      </c>
      <c r="B1346" s="4" t="s">
        <v>43</v>
      </c>
      <c r="C1346" s="4">
        <v>37</v>
      </c>
      <c r="D1346" s="4" t="s">
        <v>45</v>
      </c>
      <c r="E1346" s="4" t="s">
        <v>47</v>
      </c>
      <c r="F1346" s="4">
        <v>4284</v>
      </c>
      <c r="G1346" s="4" t="s">
        <v>35</v>
      </c>
      <c r="H1346" s="4">
        <v>5</v>
      </c>
      <c r="I1346" s="4">
        <v>0</v>
      </c>
      <c r="J1346" s="4">
        <v>1</v>
      </c>
      <c r="K1346" s="4">
        <v>3</v>
      </c>
      <c r="L1346" s="4" t="str">
        <f t="shared" si="36"/>
        <v>NORMAL</v>
      </c>
      <c r="M1346" s="4" t="str">
        <f t="shared" si="37"/>
        <v>HIGH</v>
      </c>
      <c r="N1346" s="4" t="str">
        <f t="shared" si="38"/>
        <v>MID</v>
      </c>
      <c r="O1346" s="4" t="str">
        <f t="shared" si="39"/>
        <v>RECENTLY PROMOTED</v>
      </c>
      <c r="P1346" s="5" t="str">
        <f t="shared" si="40"/>
        <v>Medium_Pressure</v>
      </c>
      <c r="Q1346" s="4" t="str">
        <f t="shared" si="41"/>
        <v>DISENGAGED</v>
      </c>
      <c r="R1346" s="4" t="str">
        <f t="shared" si="35"/>
        <v>LOW</v>
      </c>
      <c r="S1346" s="2"/>
      <c r="T1346" s="2"/>
      <c r="U1346" s="2"/>
      <c r="V1346" s="2"/>
      <c r="W1346" s="2"/>
      <c r="X1346" s="2"/>
      <c r="Y1346" s="2"/>
      <c r="Z1346" s="2"/>
    </row>
    <row r="1347" spans="1:26" ht="16.8" x14ac:dyDescent="0.3">
      <c r="A1347" s="4">
        <v>1886</v>
      </c>
      <c r="B1347" s="4" t="s">
        <v>43</v>
      </c>
      <c r="C1347" s="4">
        <v>35</v>
      </c>
      <c r="D1347" s="4" t="s">
        <v>45</v>
      </c>
      <c r="E1347" s="4" t="s">
        <v>53</v>
      </c>
      <c r="F1347" s="4">
        <v>4788</v>
      </c>
      <c r="G1347" s="4" t="s">
        <v>35</v>
      </c>
      <c r="H1347" s="4">
        <v>3</v>
      </c>
      <c r="I1347" s="4">
        <v>0</v>
      </c>
      <c r="J1347" s="4">
        <v>2</v>
      </c>
      <c r="K1347" s="4">
        <v>3</v>
      </c>
      <c r="L1347" s="4" t="str">
        <f t="shared" si="36"/>
        <v>NORMAL</v>
      </c>
      <c r="M1347" s="4" t="str">
        <f t="shared" si="37"/>
        <v>HIGH</v>
      </c>
      <c r="N1347" s="4" t="str">
        <f t="shared" si="38"/>
        <v>MID</v>
      </c>
      <c r="O1347" s="4" t="str">
        <f t="shared" si="39"/>
        <v>RECENTLY PROMOTED</v>
      </c>
      <c r="P1347" s="5" t="str">
        <f t="shared" si="40"/>
        <v>Medium_Pressure</v>
      </c>
      <c r="Q1347" s="4" t="str">
        <f t="shared" si="41"/>
        <v>DISENGAGED</v>
      </c>
      <c r="R1347" s="4" t="str">
        <f t="shared" si="35"/>
        <v>LOW</v>
      </c>
      <c r="S1347" s="2"/>
      <c r="T1347" s="2"/>
      <c r="U1347" s="2"/>
      <c r="V1347" s="2"/>
      <c r="W1347" s="2"/>
      <c r="X1347" s="2"/>
      <c r="Y1347" s="2"/>
      <c r="Z1347" s="2"/>
    </row>
    <row r="1348" spans="1:26" ht="16.8" x14ac:dyDescent="0.3">
      <c r="A1348" s="4">
        <v>1888</v>
      </c>
      <c r="B1348" s="4" t="s">
        <v>43</v>
      </c>
      <c r="C1348" s="4">
        <v>45</v>
      </c>
      <c r="D1348" s="4" t="s">
        <v>45</v>
      </c>
      <c r="E1348" s="4" t="s">
        <v>53</v>
      </c>
      <c r="F1348" s="4">
        <v>5906</v>
      </c>
      <c r="G1348" s="4" t="s">
        <v>43</v>
      </c>
      <c r="H1348" s="4">
        <v>9</v>
      </c>
      <c r="I1348" s="4">
        <v>3</v>
      </c>
      <c r="J1348" s="4">
        <v>4</v>
      </c>
      <c r="K1348" s="4">
        <v>2</v>
      </c>
      <c r="L1348" s="4" t="str">
        <f t="shared" si="36"/>
        <v>NORMAL</v>
      </c>
      <c r="M1348" s="4" t="str">
        <f t="shared" si="37"/>
        <v>HIGH</v>
      </c>
      <c r="N1348" s="4" t="str">
        <f t="shared" si="38"/>
        <v>SENIOR</v>
      </c>
      <c r="O1348" s="4" t="str">
        <f t="shared" si="39"/>
        <v>MODERATE-WAIT</v>
      </c>
      <c r="P1348" s="5" t="str">
        <f t="shared" si="40"/>
        <v>Low_Pressure</v>
      </c>
      <c r="Q1348" s="4" t="str">
        <f t="shared" si="41"/>
        <v>DISENGAGED</v>
      </c>
      <c r="R1348" s="4" t="str">
        <f t="shared" si="35"/>
        <v>LOW</v>
      </c>
      <c r="S1348" s="2"/>
      <c r="T1348" s="2"/>
      <c r="U1348" s="2"/>
      <c r="V1348" s="2"/>
      <c r="W1348" s="2"/>
      <c r="X1348" s="2"/>
      <c r="Y1348" s="2"/>
      <c r="Z1348" s="2"/>
    </row>
    <row r="1349" spans="1:26" ht="16.8" x14ac:dyDescent="0.3">
      <c r="A1349" s="4">
        <v>1890</v>
      </c>
      <c r="B1349" s="4" t="s">
        <v>43</v>
      </c>
      <c r="C1349" s="4">
        <v>36</v>
      </c>
      <c r="D1349" s="4" t="s">
        <v>61</v>
      </c>
      <c r="E1349" s="4" t="s">
        <v>61</v>
      </c>
      <c r="F1349" s="4">
        <v>3886</v>
      </c>
      <c r="G1349" s="4" t="s">
        <v>43</v>
      </c>
      <c r="H1349" s="4">
        <v>10</v>
      </c>
      <c r="I1349" s="4">
        <v>0</v>
      </c>
      <c r="J1349" s="4">
        <v>4</v>
      </c>
      <c r="K1349" s="4">
        <v>2</v>
      </c>
      <c r="L1349" s="4" t="str">
        <f t="shared" si="36"/>
        <v>NORMAL</v>
      </c>
      <c r="M1349" s="4" t="str">
        <f t="shared" si="37"/>
        <v>LOW</v>
      </c>
      <c r="N1349" s="4" t="str">
        <f t="shared" si="38"/>
        <v>SENIOR</v>
      </c>
      <c r="O1349" s="4" t="str">
        <f t="shared" si="39"/>
        <v>RECENTLY PROMOTED</v>
      </c>
      <c r="P1349" s="5" t="str">
        <f t="shared" si="40"/>
        <v>Low_Pressure</v>
      </c>
      <c r="Q1349" s="4" t="str">
        <f t="shared" si="41"/>
        <v>DISENGAGED</v>
      </c>
      <c r="R1349" s="4" t="str">
        <f t="shared" si="35"/>
        <v>LOW</v>
      </c>
      <c r="S1349" s="2"/>
      <c r="T1349" s="2"/>
      <c r="U1349" s="2"/>
      <c r="V1349" s="2"/>
      <c r="W1349" s="2"/>
      <c r="X1349" s="2"/>
      <c r="Y1349" s="2"/>
      <c r="Z1349" s="2"/>
    </row>
    <row r="1350" spans="1:26" ht="16.8" x14ac:dyDescent="0.3">
      <c r="A1350" s="4">
        <v>1892</v>
      </c>
      <c r="B1350" s="4" t="s">
        <v>43</v>
      </c>
      <c r="C1350" s="4">
        <v>40</v>
      </c>
      <c r="D1350" s="4" t="s">
        <v>45</v>
      </c>
      <c r="E1350" s="4" t="s">
        <v>56</v>
      </c>
      <c r="F1350" s="4">
        <v>16823</v>
      </c>
      <c r="G1350" s="4" t="s">
        <v>43</v>
      </c>
      <c r="H1350" s="4">
        <v>19</v>
      </c>
      <c r="I1350" s="4">
        <v>11</v>
      </c>
      <c r="J1350" s="4">
        <v>1</v>
      </c>
      <c r="K1350" s="4">
        <v>3</v>
      </c>
      <c r="L1350" s="4" t="str">
        <f t="shared" si="36"/>
        <v>NORMAL</v>
      </c>
      <c r="M1350" s="4" t="str">
        <f t="shared" si="37"/>
        <v>MEDIUM</v>
      </c>
      <c r="N1350" s="4" t="str">
        <f t="shared" si="38"/>
        <v>SENIOR</v>
      </c>
      <c r="O1350" s="4" t="str">
        <f t="shared" si="39"/>
        <v>STAGNANT</v>
      </c>
      <c r="P1350" s="5" t="str">
        <f t="shared" si="40"/>
        <v>Medium_Pressure</v>
      </c>
      <c r="Q1350" s="4" t="str">
        <f t="shared" si="41"/>
        <v>DISENGAGED</v>
      </c>
      <c r="R1350" s="4" t="str">
        <f t="shared" ref="R1350:R1471" si="42">IF(AND(L1350="HIGH",O1350="STAGNANT",P1350="HIGH_PRESSURE",Q1350="DISENGAGED"),
"CRITICAL",
IF(AND(L1350="HIGH",M1350="LOW",P1350="HIGH_PRESSURE",Q1350="MODERATELY_ENGAGED"),
"HIGH",
IF(AND(L1350="NORMAL",M1350="MEDIUM",O1350="MODERATE-WAIT",P1350="MEDIUM_PRESSURE",Q1350="MODERATELY_ENGAGED"),
"MEDIUM",
"LOW")))</f>
        <v>LOW</v>
      </c>
      <c r="S1350" s="2"/>
      <c r="T1350" s="2"/>
      <c r="U1350" s="2"/>
      <c r="V1350" s="2"/>
      <c r="W1350" s="2"/>
      <c r="X1350" s="2"/>
      <c r="Y1350" s="2"/>
      <c r="Z1350" s="2"/>
    </row>
    <row r="1351" spans="1:26" ht="16.8" x14ac:dyDescent="0.3">
      <c r="A1351" s="4">
        <v>1893</v>
      </c>
      <c r="B1351" s="4" t="s">
        <v>43</v>
      </c>
      <c r="C1351" s="4">
        <v>26</v>
      </c>
      <c r="D1351" s="4" t="s">
        <v>45</v>
      </c>
      <c r="E1351" s="4" t="s">
        <v>47</v>
      </c>
      <c r="F1351" s="4">
        <v>2933</v>
      </c>
      <c r="G1351" s="4" t="s">
        <v>35</v>
      </c>
      <c r="H1351" s="4">
        <v>1</v>
      </c>
      <c r="I1351" s="4">
        <v>1</v>
      </c>
      <c r="J1351" s="4">
        <v>3</v>
      </c>
      <c r="K1351" s="4">
        <v>2</v>
      </c>
      <c r="L1351" s="4" t="str">
        <f t="shared" si="36"/>
        <v>NORMAL</v>
      </c>
      <c r="M1351" s="4" t="str">
        <f t="shared" si="37"/>
        <v>LOW</v>
      </c>
      <c r="N1351" s="4" t="str">
        <f t="shared" si="38"/>
        <v>NEW</v>
      </c>
      <c r="O1351" s="4" t="str">
        <f t="shared" si="39"/>
        <v>RECENTLY PROMOTED</v>
      </c>
      <c r="P1351" s="5" t="str">
        <f t="shared" si="40"/>
        <v>High_Pressure</v>
      </c>
      <c r="Q1351" s="4" t="str">
        <f t="shared" si="41"/>
        <v>DISENGAGED</v>
      </c>
      <c r="R1351" s="4" t="str">
        <f t="shared" si="42"/>
        <v>LOW</v>
      </c>
      <c r="S1351" s="2"/>
      <c r="T1351" s="2"/>
      <c r="U1351" s="2"/>
      <c r="V1351" s="2"/>
      <c r="W1351" s="2"/>
      <c r="X1351" s="2"/>
      <c r="Y1351" s="2"/>
      <c r="Z1351" s="2"/>
    </row>
    <row r="1352" spans="1:26" ht="16.8" x14ac:dyDescent="0.3">
      <c r="A1352" s="4">
        <v>1898</v>
      </c>
      <c r="B1352" s="4" t="s">
        <v>43</v>
      </c>
      <c r="C1352" s="4">
        <v>27</v>
      </c>
      <c r="D1352" s="4" t="s">
        <v>37</v>
      </c>
      <c r="E1352" s="4" t="s">
        <v>40</v>
      </c>
      <c r="F1352" s="4">
        <v>6500</v>
      </c>
      <c r="G1352" s="4" t="s">
        <v>43</v>
      </c>
      <c r="H1352" s="4">
        <v>8</v>
      </c>
      <c r="I1352" s="4">
        <v>0</v>
      </c>
      <c r="J1352" s="4">
        <v>3</v>
      </c>
      <c r="K1352" s="4">
        <v>2</v>
      </c>
      <c r="L1352" s="4" t="str">
        <f t="shared" si="36"/>
        <v>NORMAL</v>
      </c>
      <c r="M1352" s="4" t="str">
        <f t="shared" si="37"/>
        <v>HIGH</v>
      </c>
      <c r="N1352" s="4" t="str">
        <f t="shared" si="38"/>
        <v>SENIOR</v>
      </c>
      <c r="O1352" s="4" t="str">
        <f t="shared" si="39"/>
        <v>RECENTLY PROMOTED</v>
      </c>
      <c r="P1352" s="5" t="str">
        <f t="shared" si="40"/>
        <v>Low_Pressure</v>
      </c>
      <c r="Q1352" s="4" t="str">
        <f t="shared" si="41"/>
        <v>DISENGAGED</v>
      </c>
      <c r="R1352" s="4" t="str">
        <f t="shared" si="42"/>
        <v>LOW</v>
      </c>
      <c r="S1352" s="2"/>
      <c r="T1352" s="2"/>
      <c r="U1352" s="2"/>
      <c r="V1352" s="2"/>
      <c r="W1352" s="2"/>
      <c r="X1352" s="2"/>
      <c r="Y1352" s="2"/>
      <c r="Z1352" s="2"/>
    </row>
    <row r="1353" spans="1:26" ht="16.8" x14ac:dyDescent="0.3">
      <c r="A1353" s="4">
        <v>1900</v>
      </c>
      <c r="B1353" s="4" t="s">
        <v>43</v>
      </c>
      <c r="C1353" s="4">
        <v>48</v>
      </c>
      <c r="D1353" s="4" t="s">
        <v>45</v>
      </c>
      <c r="E1353" s="4" t="s">
        <v>56</v>
      </c>
      <c r="F1353" s="4">
        <v>17174</v>
      </c>
      <c r="G1353" s="4" t="s">
        <v>43</v>
      </c>
      <c r="H1353" s="4">
        <v>22</v>
      </c>
      <c r="I1353" s="4">
        <v>4</v>
      </c>
      <c r="J1353" s="4">
        <v>4</v>
      </c>
      <c r="K1353" s="4">
        <v>3</v>
      </c>
      <c r="L1353" s="4" t="str">
        <f t="shared" si="36"/>
        <v>NORMAL</v>
      </c>
      <c r="M1353" s="4" t="str">
        <f t="shared" si="37"/>
        <v>MEDIUM</v>
      </c>
      <c r="N1353" s="4" t="str">
        <f t="shared" si="38"/>
        <v>SENIOR</v>
      </c>
      <c r="O1353" s="4" t="str">
        <f t="shared" si="39"/>
        <v>STAGNANT</v>
      </c>
      <c r="P1353" s="5" t="str">
        <f t="shared" si="40"/>
        <v>Medium_Pressure</v>
      </c>
      <c r="Q1353" s="4" t="str">
        <f t="shared" si="41"/>
        <v>HIGHLY_ENGAGED</v>
      </c>
      <c r="R1353" s="4" t="str">
        <f t="shared" si="42"/>
        <v>LOW</v>
      </c>
      <c r="S1353" s="2"/>
      <c r="T1353" s="2"/>
      <c r="U1353" s="2"/>
      <c r="V1353" s="2"/>
      <c r="W1353" s="2"/>
      <c r="X1353" s="2"/>
      <c r="Y1353" s="2"/>
      <c r="Z1353" s="2"/>
    </row>
    <row r="1354" spans="1:26" ht="16.8" x14ac:dyDescent="0.3">
      <c r="A1354" s="4">
        <v>1903</v>
      </c>
      <c r="B1354" s="4" t="s">
        <v>43</v>
      </c>
      <c r="C1354" s="4">
        <v>44</v>
      </c>
      <c r="D1354" s="4" t="s">
        <v>45</v>
      </c>
      <c r="E1354" s="4" t="s">
        <v>54</v>
      </c>
      <c r="F1354" s="4">
        <v>5033</v>
      </c>
      <c r="G1354" s="4" t="s">
        <v>43</v>
      </c>
      <c r="H1354" s="4">
        <v>2</v>
      </c>
      <c r="I1354" s="4">
        <v>2</v>
      </c>
      <c r="J1354" s="4">
        <v>1</v>
      </c>
      <c r="K1354" s="4">
        <v>3</v>
      </c>
      <c r="L1354" s="4" t="str">
        <f t="shared" si="36"/>
        <v>NORMAL</v>
      </c>
      <c r="M1354" s="4" t="str">
        <f t="shared" si="37"/>
        <v>HIGH</v>
      </c>
      <c r="N1354" s="4" t="str">
        <f t="shared" si="38"/>
        <v>NEW</v>
      </c>
      <c r="O1354" s="4" t="str">
        <f t="shared" si="39"/>
        <v>MODERATE-WAIT</v>
      </c>
      <c r="P1354" s="5" t="str">
        <f t="shared" si="40"/>
        <v>Medium_Pressure</v>
      </c>
      <c r="Q1354" s="4" t="str">
        <f t="shared" si="41"/>
        <v>DISENGAGED</v>
      </c>
      <c r="R1354" s="4" t="str">
        <f t="shared" si="42"/>
        <v>LOW</v>
      </c>
      <c r="S1354" s="2"/>
      <c r="T1354" s="2"/>
      <c r="U1354" s="2"/>
      <c r="V1354" s="2"/>
      <c r="W1354" s="2"/>
      <c r="X1354" s="2"/>
      <c r="Y1354" s="2"/>
      <c r="Z1354" s="2"/>
    </row>
    <row r="1355" spans="1:26" ht="16.8" x14ac:dyDescent="0.3">
      <c r="A1355" s="4">
        <v>1905</v>
      </c>
      <c r="B1355" s="4" t="s">
        <v>35</v>
      </c>
      <c r="C1355" s="4">
        <v>34</v>
      </c>
      <c r="D1355" s="4" t="s">
        <v>45</v>
      </c>
      <c r="E1355" s="4" t="s">
        <v>47</v>
      </c>
      <c r="F1355" s="4">
        <v>2307</v>
      </c>
      <c r="G1355" s="4" t="s">
        <v>35</v>
      </c>
      <c r="H1355" s="4">
        <v>5</v>
      </c>
      <c r="I1355" s="4">
        <v>3</v>
      </c>
      <c r="J1355" s="4">
        <v>1</v>
      </c>
      <c r="K1355" s="4">
        <v>3</v>
      </c>
      <c r="L1355" s="4" t="str">
        <f t="shared" si="36"/>
        <v>HIGH RISK</v>
      </c>
      <c r="M1355" s="4" t="str">
        <f t="shared" si="37"/>
        <v>LOW</v>
      </c>
      <c r="N1355" s="4" t="str">
        <f t="shared" si="38"/>
        <v>MID</v>
      </c>
      <c r="O1355" s="4" t="str">
        <f t="shared" si="39"/>
        <v>MODERATE-WAIT</v>
      </c>
      <c r="P1355" s="5" t="str">
        <f t="shared" si="40"/>
        <v>Medium_Pressure</v>
      </c>
      <c r="Q1355" s="4" t="str">
        <f t="shared" si="41"/>
        <v>DISENGAGED</v>
      </c>
      <c r="R1355" s="4" t="str">
        <f t="shared" si="42"/>
        <v>LOW</v>
      </c>
      <c r="S1355" s="2"/>
      <c r="T1355" s="2"/>
      <c r="U1355" s="2"/>
      <c r="V1355" s="2"/>
      <c r="W1355" s="2"/>
      <c r="X1355" s="2"/>
      <c r="Y1355" s="2"/>
      <c r="Z1355" s="2"/>
    </row>
    <row r="1356" spans="1:26" ht="16.8" x14ac:dyDescent="0.3">
      <c r="A1356" s="4">
        <v>1907</v>
      </c>
      <c r="B1356" s="4" t="s">
        <v>35</v>
      </c>
      <c r="C1356" s="4">
        <v>56</v>
      </c>
      <c r="D1356" s="4" t="s">
        <v>45</v>
      </c>
      <c r="E1356" s="4" t="s">
        <v>50</v>
      </c>
      <c r="F1356" s="4">
        <v>2587</v>
      </c>
      <c r="G1356" s="4" t="s">
        <v>43</v>
      </c>
      <c r="H1356" s="4">
        <v>4</v>
      </c>
      <c r="I1356" s="4">
        <v>1</v>
      </c>
      <c r="J1356" s="4">
        <v>4</v>
      </c>
      <c r="K1356" s="4">
        <v>3</v>
      </c>
      <c r="L1356" s="4" t="str">
        <f t="shared" si="36"/>
        <v>NORMAL</v>
      </c>
      <c r="M1356" s="4" t="str">
        <f t="shared" si="37"/>
        <v>LOW</v>
      </c>
      <c r="N1356" s="4" t="str">
        <f t="shared" si="38"/>
        <v>MID</v>
      </c>
      <c r="O1356" s="4" t="str">
        <f t="shared" si="39"/>
        <v>RECENTLY PROMOTED</v>
      </c>
      <c r="P1356" s="5" t="str">
        <f t="shared" si="40"/>
        <v>Medium_Pressure</v>
      </c>
      <c r="Q1356" s="4" t="str">
        <f t="shared" si="41"/>
        <v>HIGHLY_ENGAGED</v>
      </c>
      <c r="R1356" s="4" t="str">
        <f t="shared" si="42"/>
        <v>LOW</v>
      </c>
      <c r="S1356" s="2"/>
      <c r="T1356" s="2"/>
      <c r="U1356" s="2"/>
      <c r="V1356" s="2"/>
      <c r="W1356" s="2"/>
      <c r="X1356" s="2"/>
      <c r="Y1356" s="2"/>
      <c r="Z1356" s="2"/>
    </row>
    <row r="1357" spans="1:26" ht="16.8" x14ac:dyDescent="0.3">
      <c r="A1357" s="4">
        <v>1908</v>
      </c>
      <c r="B1357" s="4" t="s">
        <v>43</v>
      </c>
      <c r="C1357" s="4">
        <v>36</v>
      </c>
      <c r="D1357" s="4" t="s">
        <v>37</v>
      </c>
      <c r="E1357" s="4" t="s">
        <v>40</v>
      </c>
      <c r="F1357" s="4">
        <v>5507</v>
      </c>
      <c r="G1357" s="4" t="s">
        <v>43</v>
      </c>
      <c r="H1357" s="4">
        <v>4</v>
      </c>
      <c r="I1357" s="4">
        <v>1</v>
      </c>
      <c r="J1357" s="4">
        <v>2</v>
      </c>
      <c r="K1357" s="4">
        <v>1</v>
      </c>
      <c r="L1357" s="4" t="str">
        <f t="shared" si="36"/>
        <v>NORMAL</v>
      </c>
      <c r="M1357" s="4" t="str">
        <f t="shared" si="37"/>
        <v>HIGH</v>
      </c>
      <c r="N1357" s="4" t="str">
        <f t="shared" si="38"/>
        <v>MID</v>
      </c>
      <c r="O1357" s="4" t="str">
        <f t="shared" si="39"/>
        <v>RECENTLY PROMOTED</v>
      </c>
      <c r="P1357" s="5" t="str">
        <f t="shared" si="40"/>
        <v>Low_Pressure</v>
      </c>
      <c r="Q1357" s="4" t="str">
        <f t="shared" si="41"/>
        <v>DISENGAGED</v>
      </c>
      <c r="R1357" s="4" t="str">
        <f t="shared" si="42"/>
        <v>LOW</v>
      </c>
      <c r="S1357" s="2"/>
      <c r="T1357" s="2"/>
      <c r="U1357" s="2"/>
      <c r="V1357" s="2"/>
      <c r="W1357" s="2"/>
      <c r="X1357" s="2"/>
      <c r="Y1357" s="2"/>
      <c r="Z1357" s="2"/>
    </row>
    <row r="1358" spans="1:26" ht="16.8" x14ac:dyDescent="0.3">
      <c r="A1358" s="4">
        <v>1909</v>
      </c>
      <c r="B1358" s="4" t="s">
        <v>43</v>
      </c>
      <c r="C1358" s="4">
        <v>41</v>
      </c>
      <c r="D1358" s="4" t="s">
        <v>37</v>
      </c>
      <c r="E1358" s="4" t="s">
        <v>40</v>
      </c>
      <c r="F1358" s="4">
        <v>4393</v>
      </c>
      <c r="G1358" s="4" t="s">
        <v>43</v>
      </c>
      <c r="H1358" s="4">
        <v>5</v>
      </c>
      <c r="I1358" s="4">
        <v>1</v>
      </c>
      <c r="J1358" s="4">
        <v>2</v>
      </c>
      <c r="K1358" s="4">
        <v>3</v>
      </c>
      <c r="L1358" s="4" t="str">
        <f t="shared" si="36"/>
        <v>NORMAL</v>
      </c>
      <c r="M1358" s="4" t="str">
        <f t="shared" si="37"/>
        <v>HIGH</v>
      </c>
      <c r="N1358" s="4" t="str">
        <f t="shared" si="38"/>
        <v>MID</v>
      </c>
      <c r="O1358" s="4" t="str">
        <f t="shared" si="39"/>
        <v>RECENTLY PROMOTED</v>
      </c>
      <c r="P1358" s="5" t="str">
        <f t="shared" si="40"/>
        <v>Medium_Pressure</v>
      </c>
      <c r="Q1358" s="4" t="str">
        <f t="shared" si="41"/>
        <v>DISENGAGED</v>
      </c>
      <c r="R1358" s="4" t="str">
        <f t="shared" si="42"/>
        <v>LOW</v>
      </c>
      <c r="S1358" s="2"/>
      <c r="T1358" s="2"/>
      <c r="U1358" s="2"/>
      <c r="V1358" s="2"/>
      <c r="W1358" s="2"/>
      <c r="X1358" s="2"/>
      <c r="Y1358" s="2"/>
      <c r="Z1358" s="2"/>
    </row>
    <row r="1359" spans="1:26" ht="16.8" x14ac:dyDescent="0.3">
      <c r="A1359" s="4">
        <v>1911</v>
      </c>
      <c r="B1359" s="4" t="s">
        <v>43</v>
      </c>
      <c r="C1359" s="4">
        <v>42</v>
      </c>
      <c r="D1359" s="4" t="s">
        <v>45</v>
      </c>
      <c r="E1359" s="4" t="s">
        <v>58</v>
      </c>
      <c r="F1359" s="4">
        <v>13348</v>
      </c>
      <c r="G1359" s="4" t="s">
        <v>43</v>
      </c>
      <c r="H1359" s="4">
        <v>13</v>
      </c>
      <c r="I1359" s="4">
        <v>5</v>
      </c>
      <c r="J1359" s="4">
        <v>1</v>
      </c>
      <c r="K1359" s="4">
        <v>4</v>
      </c>
      <c r="L1359" s="4" t="str">
        <f t="shared" si="36"/>
        <v>NORMAL</v>
      </c>
      <c r="M1359" s="4" t="str">
        <f t="shared" si="37"/>
        <v>MEDIUM</v>
      </c>
      <c r="N1359" s="4" t="str">
        <f t="shared" si="38"/>
        <v>SENIOR</v>
      </c>
      <c r="O1359" s="4" t="str">
        <f t="shared" si="39"/>
        <v>STAGNANT</v>
      </c>
      <c r="P1359" s="5" t="str">
        <f t="shared" si="40"/>
        <v>Low_Pressure</v>
      </c>
      <c r="Q1359" s="4" t="str">
        <f t="shared" si="41"/>
        <v>DISENGAGED</v>
      </c>
      <c r="R1359" s="4" t="str">
        <f t="shared" si="42"/>
        <v>LOW</v>
      </c>
      <c r="S1359" s="2"/>
      <c r="T1359" s="2"/>
      <c r="U1359" s="2"/>
      <c r="V1359" s="2"/>
      <c r="W1359" s="2"/>
      <c r="X1359" s="2"/>
      <c r="Y1359" s="2"/>
      <c r="Z1359" s="2"/>
    </row>
    <row r="1360" spans="1:26" ht="16.8" x14ac:dyDescent="0.3">
      <c r="A1360" s="4">
        <v>1912</v>
      </c>
      <c r="B1360" s="4" t="s">
        <v>43</v>
      </c>
      <c r="C1360" s="4">
        <v>31</v>
      </c>
      <c r="D1360" s="4" t="s">
        <v>37</v>
      </c>
      <c r="E1360" s="4" t="s">
        <v>40</v>
      </c>
      <c r="F1360" s="4">
        <v>6583</v>
      </c>
      <c r="G1360" s="4" t="s">
        <v>35</v>
      </c>
      <c r="H1360" s="4">
        <v>5</v>
      </c>
      <c r="I1360" s="4">
        <v>1</v>
      </c>
      <c r="J1360" s="4">
        <v>4</v>
      </c>
      <c r="K1360" s="4">
        <v>3</v>
      </c>
      <c r="L1360" s="4" t="str">
        <f t="shared" si="36"/>
        <v>NORMAL</v>
      </c>
      <c r="M1360" s="4" t="str">
        <f t="shared" si="37"/>
        <v>HIGH</v>
      </c>
      <c r="N1360" s="4" t="str">
        <f t="shared" si="38"/>
        <v>MID</v>
      </c>
      <c r="O1360" s="4" t="str">
        <f t="shared" si="39"/>
        <v>RECENTLY PROMOTED</v>
      </c>
      <c r="P1360" s="5" t="str">
        <f t="shared" si="40"/>
        <v>Medium_Pressure</v>
      </c>
      <c r="Q1360" s="4" t="str">
        <f t="shared" si="41"/>
        <v>HIGHLY_ENGAGED</v>
      </c>
      <c r="R1360" s="4" t="str">
        <f t="shared" si="42"/>
        <v>LOW</v>
      </c>
      <c r="S1360" s="2"/>
      <c r="T1360" s="2"/>
      <c r="U1360" s="2"/>
      <c r="V1360" s="2"/>
      <c r="W1360" s="2"/>
      <c r="X1360" s="2"/>
      <c r="Y1360" s="2"/>
      <c r="Z1360" s="2"/>
    </row>
    <row r="1361" spans="1:26" ht="16.8" x14ac:dyDescent="0.3">
      <c r="A1361" s="4">
        <v>1915</v>
      </c>
      <c r="B1361" s="4" t="s">
        <v>43</v>
      </c>
      <c r="C1361" s="4">
        <v>34</v>
      </c>
      <c r="D1361" s="4" t="s">
        <v>37</v>
      </c>
      <c r="E1361" s="4" t="s">
        <v>40</v>
      </c>
      <c r="F1361" s="4">
        <v>8103</v>
      </c>
      <c r="G1361" s="4" t="s">
        <v>35</v>
      </c>
      <c r="H1361" s="4">
        <v>4</v>
      </c>
      <c r="I1361" s="4">
        <v>0</v>
      </c>
      <c r="J1361" s="4">
        <v>4</v>
      </c>
      <c r="K1361" s="4">
        <v>2</v>
      </c>
      <c r="L1361" s="4" t="str">
        <f t="shared" si="36"/>
        <v>NORMAL</v>
      </c>
      <c r="M1361" s="4" t="str">
        <f t="shared" si="37"/>
        <v>HIGH</v>
      </c>
      <c r="N1361" s="4" t="str">
        <f t="shared" si="38"/>
        <v>MID</v>
      </c>
      <c r="O1361" s="4" t="str">
        <f t="shared" si="39"/>
        <v>RECENTLY PROMOTED</v>
      </c>
      <c r="P1361" s="5" t="str">
        <f t="shared" si="40"/>
        <v>High_Pressure</v>
      </c>
      <c r="Q1361" s="4" t="str">
        <f t="shared" si="41"/>
        <v>DISENGAGED</v>
      </c>
      <c r="R1361" s="4" t="str">
        <f t="shared" si="42"/>
        <v>LOW</v>
      </c>
      <c r="S1361" s="2"/>
      <c r="T1361" s="2"/>
      <c r="U1361" s="2"/>
      <c r="V1361" s="2"/>
      <c r="W1361" s="2"/>
      <c r="X1361" s="2"/>
      <c r="Y1361" s="2"/>
      <c r="Z1361" s="2"/>
    </row>
    <row r="1362" spans="1:26" ht="16.8" x14ac:dyDescent="0.3">
      <c r="A1362" s="4">
        <v>1916</v>
      </c>
      <c r="B1362" s="4" t="s">
        <v>43</v>
      </c>
      <c r="C1362" s="4">
        <v>31</v>
      </c>
      <c r="D1362" s="4" t="s">
        <v>45</v>
      </c>
      <c r="E1362" s="4" t="s">
        <v>50</v>
      </c>
      <c r="F1362" s="4">
        <v>3978</v>
      </c>
      <c r="G1362" s="4" t="s">
        <v>43</v>
      </c>
      <c r="H1362" s="4">
        <v>2</v>
      </c>
      <c r="I1362" s="4">
        <v>2</v>
      </c>
      <c r="J1362" s="4">
        <v>3</v>
      </c>
      <c r="K1362" s="4">
        <v>2</v>
      </c>
      <c r="L1362" s="4" t="str">
        <f t="shared" si="36"/>
        <v>NORMAL</v>
      </c>
      <c r="M1362" s="4" t="str">
        <f t="shared" si="37"/>
        <v>LOW</v>
      </c>
      <c r="N1362" s="4" t="str">
        <f t="shared" si="38"/>
        <v>NEW</v>
      </c>
      <c r="O1362" s="4" t="str">
        <f t="shared" si="39"/>
        <v>MODERATE-WAIT</v>
      </c>
      <c r="P1362" s="5" t="str">
        <f t="shared" si="40"/>
        <v>Low_Pressure</v>
      </c>
      <c r="Q1362" s="4" t="str">
        <f t="shared" si="41"/>
        <v>DISENGAGED</v>
      </c>
      <c r="R1362" s="4" t="str">
        <f t="shared" si="42"/>
        <v>LOW</v>
      </c>
      <c r="S1362" s="2"/>
      <c r="T1362" s="2"/>
      <c r="U1362" s="2"/>
      <c r="V1362" s="2"/>
      <c r="W1362" s="2"/>
      <c r="X1362" s="2"/>
      <c r="Y1362" s="2"/>
      <c r="Z1362" s="2"/>
    </row>
    <row r="1363" spans="1:26" ht="16.8" x14ac:dyDescent="0.3">
      <c r="A1363" s="4">
        <v>1918</v>
      </c>
      <c r="B1363" s="4" t="s">
        <v>43</v>
      </c>
      <c r="C1363" s="4">
        <v>26</v>
      </c>
      <c r="D1363" s="4" t="s">
        <v>45</v>
      </c>
      <c r="E1363" s="4" t="s">
        <v>50</v>
      </c>
      <c r="F1363" s="4">
        <v>2544</v>
      </c>
      <c r="G1363" s="4" t="s">
        <v>43</v>
      </c>
      <c r="H1363" s="4">
        <v>7</v>
      </c>
      <c r="I1363" s="4">
        <v>7</v>
      </c>
      <c r="J1363" s="4">
        <v>4</v>
      </c>
      <c r="K1363" s="4">
        <v>3</v>
      </c>
      <c r="L1363" s="4" t="str">
        <f t="shared" si="36"/>
        <v>NORMAL</v>
      </c>
      <c r="M1363" s="4" t="str">
        <f t="shared" si="37"/>
        <v>LOW</v>
      </c>
      <c r="N1363" s="4" t="str">
        <f t="shared" si="38"/>
        <v>SENIOR</v>
      </c>
      <c r="O1363" s="4" t="str">
        <f t="shared" si="39"/>
        <v>STAGNANT</v>
      </c>
      <c r="P1363" s="5" t="str">
        <f t="shared" si="40"/>
        <v>Medium_Pressure</v>
      </c>
      <c r="Q1363" s="4" t="str">
        <f t="shared" si="41"/>
        <v>HIGHLY_ENGAGED</v>
      </c>
      <c r="R1363" s="4" t="str">
        <f t="shared" si="42"/>
        <v>LOW</v>
      </c>
      <c r="S1363" s="2"/>
      <c r="T1363" s="2"/>
      <c r="U1363" s="2"/>
      <c r="V1363" s="2"/>
      <c r="W1363" s="2"/>
      <c r="X1363" s="2"/>
      <c r="Y1363" s="2"/>
      <c r="Z1363" s="2"/>
    </row>
    <row r="1364" spans="1:26" ht="16.8" x14ac:dyDescent="0.3">
      <c r="A1364" s="4">
        <v>1922</v>
      </c>
      <c r="B1364" s="4" t="s">
        <v>43</v>
      </c>
      <c r="C1364" s="4">
        <v>45</v>
      </c>
      <c r="D1364" s="4" t="s">
        <v>45</v>
      </c>
      <c r="E1364" s="4" t="s">
        <v>54</v>
      </c>
      <c r="F1364" s="4">
        <v>5399</v>
      </c>
      <c r="G1364" s="4" t="s">
        <v>43</v>
      </c>
      <c r="H1364" s="4">
        <v>4</v>
      </c>
      <c r="I1364" s="4">
        <v>0</v>
      </c>
      <c r="J1364" s="4">
        <v>3</v>
      </c>
      <c r="K1364" s="4">
        <v>3</v>
      </c>
      <c r="L1364" s="4" t="str">
        <f t="shared" si="36"/>
        <v>NORMAL</v>
      </c>
      <c r="M1364" s="4" t="str">
        <f t="shared" si="37"/>
        <v>HIGH</v>
      </c>
      <c r="N1364" s="4" t="str">
        <f t="shared" si="38"/>
        <v>MID</v>
      </c>
      <c r="O1364" s="4" t="str">
        <f t="shared" si="39"/>
        <v>RECENTLY PROMOTED</v>
      </c>
      <c r="P1364" s="5" t="str">
        <f t="shared" si="40"/>
        <v>Medium_Pressure</v>
      </c>
      <c r="Q1364" s="4" t="str">
        <f t="shared" si="41"/>
        <v>HIGHLY_ENGAGED</v>
      </c>
      <c r="R1364" s="4" t="str">
        <f t="shared" si="42"/>
        <v>LOW</v>
      </c>
      <c r="S1364" s="2"/>
      <c r="T1364" s="2"/>
      <c r="U1364" s="2"/>
      <c r="V1364" s="2"/>
      <c r="W1364" s="2"/>
      <c r="X1364" s="2"/>
      <c r="Y1364" s="2"/>
      <c r="Z1364" s="2"/>
    </row>
    <row r="1365" spans="1:26" ht="16.8" x14ac:dyDescent="0.3">
      <c r="A1365" s="4">
        <v>1924</v>
      </c>
      <c r="B1365" s="4" t="s">
        <v>43</v>
      </c>
      <c r="C1365" s="4">
        <v>33</v>
      </c>
      <c r="D1365" s="4" t="s">
        <v>37</v>
      </c>
      <c r="E1365" s="4" t="s">
        <v>40</v>
      </c>
      <c r="F1365" s="4">
        <v>5487</v>
      </c>
      <c r="G1365" s="4" t="s">
        <v>43</v>
      </c>
      <c r="H1365" s="4">
        <v>10</v>
      </c>
      <c r="I1365" s="4">
        <v>0</v>
      </c>
      <c r="J1365" s="4">
        <v>3</v>
      </c>
      <c r="K1365" s="4">
        <v>2</v>
      </c>
      <c r="L1365" s="4" t="str">
        <f t="shared" si="36"/>
        <v>NORMAL</v>
      </c>
      <c r="M1365" s="4" t="str">
        <f t="shared" si="37"/>
        <v>HIGH</v>
      </c>
      <c r="N1365" s="4" t="str">
        <f t="shared" si="38"/>
        <v>SENIOR</v>
      </c>
      <c r="O1365" s="4" t="str">
        <f t="shared" si="39"/>
        <v>RECENTLY PROMOTED</v>
      </c>
      <c r="P1365" s="5" t="str">
        <f t="shared" si="40"/>
        <v>Low_Pressure</v>
      </c>
      <c r="Q1365" s="4" t="str">
        <f t="shared" si="41"/>
        <v>DISENGAGED</v>
      </c>
      <c r="R1365" s="4" t="str">
        <f t="shared" si="42"/>
        <v>LOW</v>
      </c>
      <c r="S1365" s="2"/>
      <c r="T1365" s="2"/>
      <c r="U1365" s="2"/>
      <c r="V1365" s="2"/>
      <c r="W1365" s="2"/>
      <c r="X1365" s="2"/>
      <c r="Y1365" s="2"/>
      <c r="Z1365" s="2"/>
    </row>
    <row r="1366" spans="1:26" ht="16.8" x14ac:dyDescent="0.3">
      <c r="A1366" s="4">
        <v>1927</v>
      </c>
      <c r="B1366" s="4" t="s">
        <v>43</v>
      </c>
      <c r="C1366" s="4">
        <v>28</v>
      </c>
      <c r="D1366" s="4" t="s">
        <v>37</v>
      </c>
      <c r="E1366" s="4" t="s">
        <v>40</v>
      </c>
      <c r="F1366" s="4">
        <v>6834</v>
      </c>
      <c r="G1366" s="4" t="s">
        <v>35</v>
      </c>
      <c r="H1366" s="4">
        <v>7</v>
      </c>
      <c r="I1366" s="4">
        <v>0</v>
      </c>
      <c r="J1366" s="4">
        <v>4</v>
      </c>
      <c r="K1366" s="4">
        <v>3</v>
      </c>
      <c r="L1366" s="4" t="str">
        <f t="shared" si="36"/>
        <v>NORMAL</v>
      </c>
      <c r="M1366" s="4" t="str">
        <f t="shared" si="37"/>
        <v>HIGH</v>
      </c>
      <c r="N1366" s="4" t="str">
        <f t="shared" si="38"/>
        <v>SENIOR</v>
      </c>
      <c r="O1366" s="4" t="str">
        <f t="shared" si="39"/>
        <v>RECENTLY PROMOTED</v>
      </c>
      <c r="P1366" s="5" t="str">
        <f t="shared" si="40"/>
        <v>Medium_Pressure</v>
      </c>
      <c r="Q1366" s="4" t="str">
        <f t="shared" si="41"/>
        <v>HIGHLY_ENGAGED</v>
      </c>
      <c r="R1366" s="4" t="str">
        <f t="shared" si="42"/>
        <v>LOW</v>
      </c>
      <c r="S1366" s="2"/>
      <c r="T1366" s="2"/>
      <c r="U1366" s="2"/>
      <c r="V1366" s="2"/>
      <c r="W1366" s="2"/>
      <c r="X1366" s="2"/>
      <c r="Y1366" s="2"/>
      <c r="Z1366" s="2"/>
    </row>
    <row r="1367" spans="1:26" ht="16.8" x14ac:dyDescent="0.3">
      <c r="A1367" s="4">
        <v>1928</v>
      </c>
      <c r="B1367" s="4" t="s">
        <v>35</v>
      </c>
      <c r="C1367" s="4">
        <v>29</v>
      </c>
      <c r="D1367" s="4" t="s">
        <v>37</v>
      </c>
      <c r="E1367" s="4" t="s">
        <v>57</v>
      </c>
      <c r="F1367" s="4">
        <v>1091</v>
      </c>
      <c r="G1367" s="4" t="s">
        <v>43</v>
      </c>
      <c r="H1367" s="4">
        <v>1</v>
      </c>
      <c r="I1367" s="4">
        <v>0</v>
      </c>
      <c r="J1367" s="4">
        <v>1</v>
      </c>
      <c r="K1367" s="4">
        <v>3</v>
      </c>
      <c r="L1367" s="4" t="str">
        <f t="shared" si="36"/>
        <v>NORMAL</v>
      </c>
      <c r="M1367" s="4" t="str">
        <f t="shared" si="37"/>
        <v>LOW</v>
      </c>
      <c r="N1367" s="4" t="str">
        <f t="shared" si="38"/>
        <v>NEW</v>
      </c>
      <c r="O1367" s="4" t="str">
        <f t="shared" si="39"/>
        <v>RECENTLY PROMOTED</v>
      </c>
      <c r="P1367" s="5" t="str">
        <f t="shared" si="40"/>
        <v>Medium_Pressure</v>
      </c>
      <c r="Q1367" s="4" t="str">
        <f t="shared" si="41"/>
        <v>DISENGAGED</v>
      </c>
      <c r="R1367" s="4" t="str">
        <f t="shared" si="42"/>
        <v>LOW</v>
      </c>
      <c r="S1367" s="2"/>
      <c r="T1367" s="2"/>
      <c r="U1367" s="2"/>
      <c r="V1367" s="2"/>
      <c r="W1367" s="2"/>
      <c r="X1367" s="2"/>
      <c r="Y1367" s="2"/>
      <c r="Z1367" s="2"/>
    </row>
    <row r="1368" spans="1:26" ht="16.8" x14ac:dyDescent="0.3">
      <c r="A1368" s="4">
        <v>1929</v>
      </c>
      <c r="B1368" s="4" t="s">
        <v>43</v>
      </c>
      <c r="C1368" s="4">
        <v>39</v>
      </c>
      <c r="D1368" s="4" t="s">
        <v>37</v>
      </c>
      <c r="E1368" s="4" t="s">
        <v>40</v>
      </c>
      <c r="F1368" s="4">
        <v>5736</v>
      </c>
      <c r="G1368" s="4" t="s">
        <v>43</v>
      </c>
      <c r="H1368" s="4">
        <v>3</v>
      </c>
      <c r="I1368" s="4">
        <v>1</v>
      </c>
      <c r="J1368" s="4">
        <v>3</v>
      </c>
      <c r="K1368" s="4">
        <v>3</v>
      </c>
      <c r="L1368" s="4" t="str">
        <f t="shared" si="36"/>
        <v>NORMAL</v>
      </c>
      <c r="M1368" s="4" t="str">
        <f t="shared" si="37"/>
        <v>HIGH</v>
      </c>
      <c r="N1368" s="4" t="str">
        <f t="shared" si="38"/>
        <v>MID</v>
      </c>
      <c r="O1368" s="4" t="str">
        <f t="shared" si="39"/>
        <v>RECENTLY PROMOTED</v>
      </c>
      <c r="P1368" s="5" t="str">
        <f t="shared" si="40"/>
        <v>Medium_Pressure</v>
      </c>
      <c r="Q1368" s="4" t="str">
        <f t="shared" si="41"/>
        <v>HIGHLY_ENGAGED</v>
      </c>
      <c r="R1368" s="4" t="str">
        <f t="shared" si="42"/>
        <v>LOW</v>
      </c>
      <c r="S1368" s="2"/>
      <c r="T1368" s="2"/>
      <c r="U1368" s="2"/>
      <c r="V1368" s="2"/>
      <c r="W1368" s="2"/>
      <c r="X1368" s="2"/>
      <c r="Y1368" s="2"/>
      <c r="Z1368" s="2"/>
    </row>
    <row r="1369" spans="1:26" ht="16.8" x14ac:dyDescent="0.3">
      <c r="A1369" s="4">
        <v>1931</v>
      </c>
      <c r="B1369" s="4" t="s">
        <v>43</v>
      </c>
      <c r="C1369" s="4">
        <v>27</v>
      </c>
      <c r="D1369" s="4" t="s">
        <v>45</v>
      </c>
      <c r="E1369" s="4" t="s">
        <v>47</v>
      </c>
      <c r="F1369" s="4">
        <v>2226</v>
      </c>
      <c r="G1369" s="4" t="s">
        <v>43</v>
      </c>
      <c r="H1369" s="4">
        <v>5</v>
      </c>
      <c r="I1369" s="4">
        <v>1</v>
      </c>
      <c r="J1369" s="4">
        <v>2</v>
      </c>
      <c r="K1369" s="4">
        <v>2</v>
      </c>
      <c r="L1369" s="4" t="str">
        <f t="shared" si="36"/>
        <v>NORMAL</v>
      </c>
      <c r="M1369" s="4" t="str">
        <f t="shared" si="37"/>
        <v>LOW</v>
      </c>
      <c r="N1369" s="4" t="str">
        <f t="shared" si="38"/>
        <v>MID</v>
      </c>
      <c r="O1369" s="4" t="str">
        <f t="shared" si="39"/>
        <v>RECENTLY PROMOTED</v>
      </c>
      <c r="P1369" s="5" t="str">
        <f t="shared" si="40"/>
        <v>Low_Pressure</v>
      </c>
      <c r="Q1369" s="4" t="str">
        <f t="shared" si="41"/>
        <v>DISENGAGED</v>
      </c>
      <c r="R1369" s="4" t="str">
        <f t="shared" si="42"/>
        <v>LOW</v>
      </c>
      <c r="S1369" s="2"/>
      <c r="T1369" s="2"/>
      <c r="U1369" s="2"/>
      <c r="V1369" s="2"/>
      <c r="W1369" s="2"/>
      <c r="X1369" s="2"/>
      <c r="Y1369" s="2"/>
      <c r="Z1369" s="2"/>
    </row>
    <row r="1370" spans="1:26" ht="16.8" x14ac:dyDescent="0.3">
      <c r="A1370" s="4">
        <v>1932</v>
      </c>
      <c r="B1370" s="4" t="s">
        <v>43</v>
      </c>
      <c r="C1370" s="4">
        <v>34</v>
      </c>
      <c r="D1370" s="4" t="s">
        <v>45</v>
      </c>
      <c r="E1370" s="4" t="s">
        <v>47</v>
      </c>
      <c r="F1370" s="4">
        <v>5747</v>
      </c>
      <c r="G1370" s="4" t="s">
        <v>35</v>
      </c>
      <c r="H1370" s="4">
        <v>15</v>
      </c>
      <c r="I1370" s="4">
        <v>6</v>
      </c>
      <c r="J1370" s="4">
        <v>4</v>
      </c>
      <c r="K1370" s="4">
        <v>3</v>
      </c>
      <c r="L1370" s="4" t="str">
        <f t="shared" si="36"/>
        <v>NORMAL</v>
      </c>
      <c r="M1370" s="4" t="str">
        <f t="shared" si="37"/>
        <v>HIGH</v>
      </c>
      <c r="N1370" s="4" t="str">
        <f t="shared" si="38"/>
        <v>SENIOR</v>
      </c>
      <c r="O1370" s="4" t="str">
        <f t="shared" si="39"/>
        <v>STAGNANT</v>
      </c>
      <c r="P1370" s="5" t="str">
        <f t="shared" si="40"/>
        <v>Medium_Pressure</v>
      </c>
      <c r="Q1370" s="4" t="str">
        <f t="shared" si="41"/>
        <v>HIGHLY_ENGAGED</v>
      </c>
      <c r="R1370" s="4" t="str">
        <f t="shared" si="42"/>
        <v>LOW</v>
      </c>
      <c r="S1370" s="2"/>
      <c r="T1370" s="2"/>
      <c r="U1370" s="2"/>
      <c r="V1370" s="2"/>
      <c r="W1370" s="2"/>
      <c r="X1370" s="2"/>
      <c r="Y1370" s="2"/>
      <c r="Z1370" s="2"/>
    </row>
    <row r="1371" spans="1:26" ht="16.8" x14ac:dyDescent="0.3">
      <c r="A1371" s="4">
        <v>1933</v>
      </c>
      <c r="B1371" s="4" t="s">
        <v>35</v>
      </c>
      <c r="C1371" s="4">
        <v>28</v>
      </c>
      <c r="D1371" s="4" t="s">
        <v>37</v>
      </c>
      <c r="E1371" s="4" t="s">
        <v>40</v>
      </c>
      <c r="F1371" s="4">
        <v>9854</v>
      </c>
      <c r="G1371" s="4" t="s">
        <v>35</v>
      </c>
      <c r="H1371" s="4">
        <v>2</v>
      </c>
      <c r="I1371" s="4">
        <v>2</v>
      </c>
      <c r="J1371" s="4">
        <v>3</v>
      </c>
      <c r="K1371" s="4">
        <v>3</v>
      </c>
      <c r="L1371" s="4" t="str">
        <f t="shared" si="36"/>
        <v>NORMAL</v>
      </c>
      <c r="M1371" s="4" t="str">
        <f t="shared" si="37"/>
        <v>MEDIUM</v>
      </c>
      <c r="N1371" s="4" t="str">
        <f t="shared" si="38"/>
        <v>NEW</v>
      </c>
      <c r="O1371" s="4" t="str">
        <f t="shared" si="39"/>
        <v>MODERATE-WAIT</v>
      </c>
      <c r="P1371" s="5" t="str">
        <f t="shared" si="40"/>
        <v>Medium_Pressure</v>
      </c>
      <c r="Q1371" s="4" t="str">
        <f t="shared" si="41"/>
        <v>HIGHLY_ENGAGED</v>
      </c>
      <c r="R1371" s="4" t="str">
        <f t="shared" si="42"/>
        <v>LOW</v>
      </c>
      <c r="S1371" s="2"/>
      <c r="T1371" s="2"/>
      <c r="U1371" s="2"/>
      <c r="V1371" s="2"/>
      <c r="W1371" s="2"/>
      <c r="X1371" s="2"/>
      <c r="Y1371" s="2"/>
      <c r="Z1371" s="2"/>
    </row>
    <row r="1372" spans="1:26" ht="16.8" x14ac:dyDescent="0.3">
      <c r="A1372" s="4">
        <v>1934</v>
      </c>
      <c r="B1372" s="4" t="s">
        <v>43</v>
      </c>
      <c r="C1372" s="4">
        <v>47</v>
      </c>
      <c r="D1372" s="4" t="s">
        <v>45</v>
      </c>
      <c r="E1372" s="4" t="s">
        <v>47</v>
      </c>
      <c r="F1372" s="4">
        <v>5467</v>
      </c>
      <c r="G1372" s="4" t="s">
        <v>43</v>
      </c>
      <c r="H1372" s="4">
        <v>8</v>
      </c>
      <c r="I1372" s="4">
        <v>1</v>
      </c>
      <c r="J1372" s="4">
        <v>2</v>
      </c>
      <c r="K1372" s="4">
        <v>4</v>
      </c>
      <c r="L1372" s="4" t="str">
        <f t="shared" si="36"/>
        <v>NORMAL</v>
      </c>
      <c r="M1372" s="4" t="str">
        <f t="shared" si="37"/>
        <v>HIGH</v>
      </c>
      <c r="N1372" s="4" t="str">
        <f t="shared" si="38"/>
        <v>SENIOR</v>
      </c>
      <c r="O1372" s="4" t="str">
        <f t="shared" si="39"/>
        <v>RECENTLY PROMOTED</v>
      </c>
      <c r="P1372" s="5" t="str">
        <f t="shared" si="40"/>
        <v>Low_Pressure</v>
      </c>
      <c r="Q1372" s="4" t="str">
        <f t="shared" si="41"/>
        <v>DISENGAGED</v>
      </c>
      <c r="R1372" s="4" t="str">
        <f t="shared" si="42"/>
        <v>LOW</v>
      </c>
      <c r="S1372" s="2"/>
      <c r="T1372" s="2"/>
      <c r="U1372" s="2"/>
      <c r="V1372" s="2"/>
      <c r="W1372" s="2"/>
      <c r="X1372" s="2"/>
      <c r="Y1372" s="2"/>
      <c r="Z1372" s="2"/>
    </row>
    <row r="1373" spans="1:26" ht="16.8" x14ac:dyDescent="0.3">
      <c r="A1373" s="4">
        <v>1935</v>
      </c>
      <c r="B1373" s="4" t="s">
        <v>43</v>
      </c>
      <c r="C1373" s="4">
        <v>56</v>
      </c>
      <c r="D1373" s="4" t="s">
        <v>37</v>
      </c>
      <c r="E1373" s="4" t="s">
        <v>40</v>
      </c>
      <c r="F1373" s="4">
        <v>5380</v>
      </c>
      <c r="G1373" s="4" t="s">
        <v>43</v>
      </c>
      <c r="H1373" s="4">
        <v>0</v>
      </c>
      <c r="I1373" s="4">
        <v>0</v>
      </c>
      <c r="J1373" s="4">
        <v>1</v>
      </c>
      <c r="K1373" s="4">
        <v>3</v>
      </c>
      <c r="L1373" s="4" t="str">
        <f t="shared" si="36"/>
        <v>NORMAL</v>
      </c>
      <c r="M1373" s="4" t="str">
        <f t="shared" si="37"/>
        <v>HIGH</v>
      </c>
      <c r="N1373" s="4" t="str">
        <f t="shared" si="38"/>
        <v>NEW</v>
      </c>
      <c r="O1373" s="4" t="str">
        <f t="shared" si="39"/>
        <v>RECENTLY PROMOTED</v>
      </c>
      <c r="P1373" s="5" t="str">
        <f t="shared" si="40"/>
        <v>Medium_Pressure</v>
      </c>
      <c r="Q1373" s="4" t="str">
        <f t="shared" si="41"/>
        <v>DISENGAGED</v>
      </c>
      <c r="R1373" s="4" t="str">
        <f t="shared" si="42"/>
        <v>LOW</v>
      </c>
      <c r="S1373" s="2"/>
      <c r="T1373" s="2"/>
      <c r="U1373" s="2"/>
      <c r="V1373" s="2"/>
      <c r="W1373" s="2"/>
      <c r="X1373" s="2"/>
      <c r="Y1373" s="2"/>
      <c r="Z1373" s="2"/>
    </row>
    <row r="1374" spans="1:26" ht="16.8" x14ac:dyDescent="0.3">
      <c r="A1374" s="4">
        <v>1936</v>
      </c>
      <c r="B1374" s="4" t="s">
        <v>43</v>
      </c>
      <c r="C1374" s="4">
        <v>39</v>
      </c>
      <c r="D1374" s="4" t="s">
        <v>45</v>
      </c>
      <c r="E1374" s="4" t="s">
        <v>53</v>
      </c>
      <c r="F1374" s="4">
        <v>5151</v>
      </c>
      <c r="G1374" s="4" t="s">
        <v>43</v>
      </c>
      <c r="H1374" s="4">
        <v>10</v>
      </c>
      <c r="I1374" s="4">
        <v>7</v>
      </c>
      <c r="J1374" s="4">
        <v>1</v>
      </c>
      <c r="K1374" s="4">
        <v>3</v>
      </c>
      <c r="L1374" s="4" t="str">
        <f t="shared" si="36"/>
        <v>NORMAL</v>
      </c>
      <c r="M1374" s="4" t="str">
        <f t="shared" si="37"/>
        <v>HIGH</v>
      </c>
      <c r="N1374" s="4" t="str">
        <f t="shared" si="38"/>
        <v>SENIOR</v>
      </c>
      <c r="O1374" s="4" t="str">
        <f t="shared" si="39"/>
        <v>STAGNANT</v>
      </c>
      <c r="P1374" s="5" t="str">
        <f t="shared" si="40"/>
        <v>Medium_Pressure</v>
      </c>
      <c r="Q1374" s="4" t="str">
        <f t="shared" si="41"/>
        <v>DISENGAGED</v>
      </c>
      <c r="R1374" s="4" t="str">
        <f t="shared" si="42"/>
        <v>LOW</v>
      </c>
      <c r="S1374" s="2"/>
      <c r="T1374" s="2"/>
      <c r="U1374" s="2"/>
      <c r="V1374" s="2"/>
      <c r="W1374" s="2"/>
      <c r="X1374" s="2"/>
      <c r="Y1374" s="2"/>
      <c r="Z1374" s="2"/>
    </row>
    <row r="1375" spans="1:26" ht="16.8" x14ac:dyDescent="0.3">
      <c r="A1375" s="4">
        <v>1937</v>
      </c>
      <c r="B1375" s="4" t="s">
        <v>43</v>
      </c>
      <c r="C1375" s="4">
        <v>38</v>
      </c>
      <c r="D1375" s="4" t="s">
        <v>45</v>
      </c>
      <c r="E1375" s="4" t="s">
        <v>47</v>
      </c>
      <c r="F1375" s="4">
        <v>2133</v>
      </c>
      <c r="G1375" s="4" t="s">
        <v>35</v>
      </c>
      <c r="H1375" s="4">
        <v>20</v>
      </c>
      <c r="I1375" s="4">
        <v>0</v>
      </c>
      <c r="J1375" s="4">
        <v>2</v>
      </c>
      <c r="K1375" s="4">
        <v>3</v>
      </c>
      <c r="L1375" s="4" t="str">
        <f t="shared" si="36"/>
        <v>NORMAL</v>
      </c>
      <c r="M1375" s="4" t="str">
        <f t="shared" si="37"/>
        <v>LOW</v>
      </c>
      <c r="N1375" s="4" t="str">
        <f t="shared" si="38"/>
        <v>SENIOR</v>
      </c>
      <c r="O1375" s="4" t="str">
        <f t="shared" si="39"/>
        <v>RECENTLY PROMOTED</v>
      </c>
      <c r="P1375" s="5" t="str">
        <f t="shared" si="40"/>
        <v>Medium_Pressure</v>
      </c>
      <c r="Q1375" s="4" t="str">
        <f t="shared" si="41"/>
        <v>DISENGAGED</v>
      </c>
      <c r="R1375" s="4" t="str">
        <f t="shared" si="42"/>
        <v>LOW</v>
      </c>
      <c r="S1375" s="2"/>
      <c r="T1375" s="2"/>
      <c r="U1375" s="2"/>
      <c r="V1375" s="2"/>
      <c r="W1375" s="2"/>
      <c r="X1375" s="2"/>
      <c r="Y1375" s="2"/>
      <c r="Z1375" s="2"/>
    </row>
    <row r="1376" spans="1:26" ht="16.8" x14ac:dyDescent="0.3">
      <c r="A1376" s="4">
        <v>1938</v>
      </c>
      <c r="B1376" s="4" t="s">
        <v>43</v>
      </c>
      <c r="C1376" s="4">
        <v>58</v>
      </c>
      <c r="D1376" s="4" t="s">
        <v>37</v>
      </c>
      <c r="E1376" s="4" t="s">
        <v>56</v>
      </c>
      <c r="F1376" s="4">
        <v>17875</v>
      </c>
      <c r="G1376" s="4" t="s">
        <v>35</v>
      </c>
      <c r="H1376" s="4">
        <v>1</v>
      </c>
      <c r="I1376" s="4">
        <v>0</v>
      </c>
      <c r="J1376" s="4">
        <v>4</v>
      </c>
      <c r="K1376" s="4">
        <v>2</v>
      </c>
      <c r="L1376" s="4" t="str">
        <f t="shared" si="36"/>
        <v>NORMAL</v>
      </c>
      <c r="M1376" s="4" t="str">
        <f t="shared" si="37"/>
        <v>MEDIUM</v>
      </c>
      <c r="N1376" s="4" t="str">
        <f t="shared" si="38"/>
        <v>NEW</v>
      </c>
      <c r="O1376" s="4" t="str">
        <f t="shared" si="39"/>
        <v>RECENTLY PROMOTED</v>
      </c>
      <c r="P1376" s="5" t="str">
        <f t="shared" si="40"/>
        <v>High_Pressure</v>
      </c>
      <c r="Q1376" s="4" t="str">
        <f t="shared" si="41"/>
        <v>DISENGAGED</v>
      </c>
      <c r="R1376" s="4" t="str">
        <f t="shared" si="42"/>
        <v>LOW</v>
      </c>
      <c r="S1376" s="2"/>
      <c r="T1376" s="2"/>
      <c r="U1376" s="2"/>
      <c r="V1376" s="2"/>
      <c r="W1376" s="2"/>
      <c r="X1376" s="2"/>
      <c r="Y1376" s="2"/>
      <c r="Z1376" s="2"/>
    </row>
    <row r="1377" spans="1:26" ht="16.8" x14ac:dyDescent="0.3">
      <c r="A1377" s="4">
        <v>1939</v>
      </c>
      <c r="B1377" s="4" t="s">
        <v>35</v>
      </c>
      <c r="C1377" s="4">
        <v>32</v>
      </c>
      <c r="D1377" s="4" t="s">
        <v>45</v>
      </c>
      <c r="E1377" s="4" t="s">
        <v>47</v>
      </c>
      <c r="F1377" s="4">
        <v>2432</v>
      </c>
      <c r="G1377" s="4" t="s">
        <v>35</v>
      </c>
      <c r="H1377" s="4">
        <v>4</v>
      </c>
      <c r="I1377" s="4">
        <v>0</v>
      </c>
      <c r="J1377" s="4">
        <v>3</v>
      </c>
      <c r="K1377" s="4">
        <v>3</v>
      </c>
      <c r="L1377" s="4" t="str">
        <f t="shared" si="36"/>
        <v>NORMAL</v>
      </c>
      <c r="M1377" s="4" t="str">
        <f t="shared" si="37"/>
        <v>LOW</v>
      </c>
      <c r="N1377" s="4" t="str">
        <f t="shared" si="38"/>
        <v>MID</v>
      </c>
      <c r="O1377" s="4" t="str">
        <f t="shared" si="39"/>
        <v>RECENTLY PROMOTED</v>
      </c>
      <c r="P1377" s="5" t="str">
        <f t="shared" si="40"/>
        <v>Medium_Pressure</v>
      </c>
      <c r="Q1377" s="4" t="str">
        <f t="shared" si="41"/>
        <v>HIGHLY_ENGAGED</v>
      </c>
      <c r="R1377" s="4" t="str">
        <f t="shared" si="42"/>
        <v>LOW</v>
      </c>
      <c r="S1377" s="2"/>
      <c r="T1377" s="2"/>
      <c r="U1377" s="2"/>
      <c r="V1377" s="2"/>
      <c r="W1377" s="2"/>
      <c r="X1377" s="2"/>
      <c r="Y1377" s="2"/>
      <c r="Z1377" s="2"/>
    </row>
    <row r="1378" spans="1:26" ht="16.8" x14ac:dyDescent="0.3">
      <c r="A1378" s="4">
        <v>1940</v>
      </c>
      <c r="B1378" s="4" t="s">
        <v>43</v>
      </c>
      <c r="C1378" s="4">
        <v>38</v>
      </c>
      <c r="D1378" s="4" t="s">
        <v>45</v>
      </c>
      <c r="E1378" s="4" t="s">
        <v>47</v>
      </c>
      <c r="F1378" s="4">
        <v>4771</v>
      </c>
      <c r="G1378" s="4" t="s">
        <v>43</v>
      </c>
      <c r="H1378" s="4">
        <v>5</v>
      </c>
      <c r="I1378" s="4">
        <v>0</v>
      </c>
      <c r="J1378" s="4">
        <v>4</v>
      </c>
      <c r="K1378" s="4">
        <v>4</v>
      </c>
      <c r="L1378" s="4" t="str">
        <f t="shared" si="36"/>
        <v>NORMAL</v>
      </c>
      <c r="M1378" s="4" t="str">
        <f t="shared" si="37"/>
        <v>HIGH</v>
      </c>
      <c r="N1378" s="4" t="str">
        <f t="shared" si="38"/>
        <v>MID</v>
      </c>
      <c r="O1378" s="4" t="str">
        <f t="shared" si="39"/>
        <v>RECENTLY PROMOTED</v>
      </c>
      <c r="P1378" s="5" t="str">
        <f t="shared" si="40"/>
        <v>Low_Pressure</v>
      </c>
      <c r="Q1378" s="4" t="str">
        <f t="shared" si="41"/>
        <v>HIGHLY_ENGAGED</v>
      </c>
      <c r="R1378" s="4" t="str">
        <f t="shared" si="42"/>
        <v>LOW</v>
      </c>
      <c r="S1378" s="2"/>
      <c r="T1378" s="2"/>
      <c r="U1378" s="2"/>
      <c r="V1378" s="2"/>
      <c r="W1378" s="2"/>
      <c r="X1378" s="2"/>
      <c r="Y1378" s="2"/>
      <c r="Z1378" s="2"/>
    </row>
    <row r="1379" spans="1:26" ht="16.8" x14ac:dyDescent="0.3">
      <c r="A1379" s="4">
        <v>1941</v>
      </c>
      <c r="B1379" s="4" t="s">
        <v>43</v>
      </c>
      <c r="C1379" s="4">
        <v>49</v>
      </c>
      <c r="D1379" s="4" t="s">
        <v>45</v>
      </c>
      <c r="E1379" s="4" t="s">
        <v>58</v>
      </c>
      <c r="F1379" s="4">
        <v>19161</v>
      </c>
      <c r="G1379" s="4" t="s">
        <v>43</v>
      </c>
      <c r="H1379" s="4">
        <v>5</v>
      </c>
      <c r="I1379" s="4">
        <v>4</v>
      </c>
      <c r="J1379" s="4">
        <v>4</v>
      </c>
      <c r="K1379" s="4">
        <v>3</v>
      </c>
      <c r="L1379" s="4" t="str">
        <f t="shared" si="36"/>
        <v>NORMAL</v>
      </c>
      <c r="M1379" s="4" t="str">
        <f t="shared" si="37"/>
        <v>MEDIUM</v>
      </c>
      <c r="N1379" s="4" t="str">
        <f t="shared" si="38"/>
        <v>MID</v>
      </c>
      <c r="O1379" s="4" t="str">
        <f t="shared" si="39"/>
        <v>STAGNANT</v>
      </c>
      <c r="P1379" s="5" t="str">
        <f t="shared" si="40"/>
        <v>Medium_Pressure</v>
      </c>
      <c r="Q1379" s="4" t="str">
        <f t="shared" si="41"/>
        <v>HIGHLY_ENGAGED</v>
      </c>
      <c r="R1379" s="4" t="str">
        <f t="shared" si="42"/>
        <v>LOW</v>
      </c>
      <c r="S1379" s="2"/>
      <c r="T1379" s="2"/>
      <c r="U1379" s="2"/>
      <c r="V1379" s="2"/>
      <c r="W1379" s="2"/>
      <c r="X1379" s="2"/>
      <c r="Y1379" s="2"/>
      <c r="Z1379" s="2"/>
    </row>
    <row r="1380" spans="1:26" ht="16.8" x14ac:dyDescent="0.3">
      <c r="A1380" s="4">
        <v>1943</v>
      </c>
      <c r="B1380" s="4" t="s">
        <v>43</v>
      </c>
      <c r="C1380" s="4">
        <v>42</v>
      </c>
      <c r="D1380" s="4" t="s">
        <v>37</v>
      </c>
      <c r="E1380" s="4" t="s">
        <v>40</v>
      </c>
      <c r="F1380" s="4">
        <v>5087</v>
      </c>
      <c r="G1380" s="4" t="s">
        <v>35</v>
      </c>
      <c r="H1380" s="4">
        <v>0</v>
      </c>
      <c r="I1380" s="4">
        <v>0</v>
      </c>
      <c r="J1380" s="4">
        <v>4</v>
      </c>
      <c r="K1380" s="4">
        <v>3</v>
      </c>
      <c r="L1380" s="4" t="str">
        <f t="shared" si="36"/>
        <v>NORMAL</v>
      </c>
      <c r="M1380" s="4" t="str">
        <f t="shared" si="37"/>
        <v>HIGH</v>
      </c>
      <c r="N1380" s="4" t="str">
        <f t="shared" si="38"/>
        <v>NEW</v>
      </c>
      <c r="O1380" s="4" t="str">
        <f t="shared" si="39"/>
        <v>RECENTLY PROMOTED</v>
      </c>
      <c r="P1380" s="5" t="str">
        <f t="shared" si="40"/>
        <v>Medium_Pressure</v>
      </c>
      <c r="Q1380" s="4" t="str">
        <f t="shared" si="41"/>
        <v>HIGHLY_ENGAGED</v>
      </c>
      <c r="R1380" s="4" t="str">
        <f t="shared" si="42"/>
        <v>LOW</v>
      </c>
      <c r="S1380" s="2"/>
      <c r="T1380" s="2"/>
      <c r="U1380" s="2"/>
      <c r="V1380" s="2"/>
      <c r="W1380" s="2"/>
      <c r="X1380" s="2"/>
      <c r="Y1380" s="2"/>
      <c r="Z1380" s="2"/>
    </row>
    <row r="1381" spans="1:26" ht="16.8" x14ac:dyDescent="0.3">
      <c r="A1381" s="4">
        <v>1944</v>
      </c>
      <c r="B1381" s="4" t="s">
        <v>35</v>
      </c>
      <c r="C1381" s="4">
        <v>27</v>
      </c>
      <c r="D1381" s="4" t="s">
        <v>61</v>
      </c>
      <c r="E1381" s="4" t="s">
        <v>61</v>
      </c>
      <c r="F1381" s="4">
        <v>2863</v>
      </c>
      <c r="G1381" s="4" t="s">
        <v>43</v>
      </c>
      <c r="H1381" s="4">
        <v>1</v>
      </c>
      <c r="I1381" s="4">
        <v>0</v>
      </c>
      <c r="J1381" s="4">
        <v>2</v>
      </c>
      <c r="K1381" s="4">
        <v>3</v>
      </c>
      <c r="L1381" s="4" t="str">
        <f t="shared" si="36"/>
        <v>NORMAL</v>
      </c>
      <c r="M1381" s="4" t="str">
        <f t="shared" si="37"/>
        <v>LOW</v>
      </c>
      <c r="N1381" s="4" t="str">
        <f t="shared" si="38"/>
        <v>NEW</v>
      </c>
      <c r="O1381" s="4" t="str">
        <f t="shared" si="39"/>
        <v>RECENTLY PROMOTED</v>
      </c>
      <c r="P1381" s="5" t="str">
        <f t="shared" si="40"/>
        <v>Medium_Pressure</v>
      </c>
      <c r="Q1381" s="4" t="str">
        <f t="shared" si="41"/>
        <v>DISENGAGED</v>
      </c>
      <c r="R1381" s="4" t="str">
        <f t="shared" si="42"/>
        <v>LOW</v>
      </c>
      <c r="S1381" s="2"/>
      <c r="T1381" s="2"/>
      <c r="U1381" s="2"/>
      <c r="V1381" s="2"/>
      <c r="W1381" s="2"/>
      <c r="X1381" s="2"/>
      <c r="Y1381" s="2"/>
      <c r="Z1381" s="2"/>
    </row>
    <row r="1382" spans="1:26" ht="16.8" x14ac:dyDescent="0.3">
      <c r="A1382" s="4">
        <v>1945</v>
      </c>
      <c r="B1382" s="4" t="s">
        <v>43</v>
      </c>
      <c r="C1382" s="4">
        <v>35</v>
      </c>
      <c r="D1382" s="4" t="s">
        <v>37</v>
      </c>
      <c r="E1382" s="4" t="s">
        <v>40</v>
      </c>
      <c r="F1382" s="4">
        <v>5561</v>
      </c>
      <c r="G1382" s="4" t="s">
        <v>43</v>
      </c>
      <c r="H1382" s="4">
        <v>5</v>
      </c>
      <c r="I1382" s="4">
        <v>0</v>
      </c>
      <c r="J1382" s="4">
        <v>1</v>
      </c>
      <c r="K1382" s="4">
        <v>1</v>
      </c>
      <c r="L1382" s="4" t="str">
        <f t="shared" si="36"/>
        <v>NORMAL</v>
      </c>
      <c r="M1382" s="4" t="str">
        <f t="shared" si="37"/>
        <v>HIGH</v>
      </c>
      <c r="N1382" s="4" t="str">
        <f t="shared" si="38"/>
        <v>MID</v>
      </c>
      <c r="O1382" s="4" t="str">
        <f t="shared" si="39"/>
        <v>RECENTLY PROMOTED</v>
      </c>
      <c r="P1382" s="5" t="str">
        <f t="shared" si="40"/>
        <v>Low_Pressure</v>
      </c>
      <c r="Q1382" s="4" t="str">
        <f t="shared" si="41"/>
        <v>DISENGAGED</v>
      </c>
      <c r="R1382" s="4" t="str">
        <f t="shared" si="42"/>
        <v>LOW</v>
      </c>
      <c r="S1382" s="2"/>
      <c r="T1382" s="2"/>
      <c r="U1382" s="2"/>
      <c r="V1382" s="2"/>
      <c r="W1382" s="2"/>
      <c r="X1382" s="2"/>
      <c r="Y1382" s="2"/>
      <c r="Z1382" s="2"/>
    </row>
    <row r="1383" spans="1:26" ht="16.8" x14ac:dyDescent="0.3">
      <c r="A1383" s="4">
        <v>1947</v>
      </c>
      <c r="B1383" s="4" t="s">
        <v>43</v>
      </c>
      <c r="C1383" s="4">
        <v>28</v>
      </c>
      <c r="D1383" s="4" t="s">
        <v>45</v>
      </c>
      <c r="E1383" s="4" t="s">
        <v>47</v>
      </c>
      <c r="F1383" s="4">
        <v>2144</v>
      </c>
      <c r="G1383" s="4" t="s">
        <v>43</v>
      </c>
      <c r="H1383" s="4">
        <v>5</v>
      </c>
      <c r="I1383" s="4">
        <v>1</v>
      </c>
      <c r="J1383" s="4">
        <v>3</v>
      </c>
      <c r="K1383" s="4">
        <v>2</v>
      </c>
      <c r="L1383" s="4" t="str">
        <f t="shared" si="36"/>
        <v>NORMAL</v>
      </c>
      <c r="M1383" s="4" t="str">
        <f t="shared" si="37"/>
        <v>LOW</v>
      </c>
      <c r="N1383" s="4" t="str">
        <f t="shared" si="38"/>
        <v>MID</v>
      </c>
      <c r="O1383" s="4" t="str">
        <f t="shared" si="39"/>
        <v>RECENTLY PROMOTED</v>
      </c>
      <c r="P1383" s="5" t="str">
        <f t="shared" si="40"/>
        <v>Low_Pressure</v>
      </c>
      <c r="Q1383" s="4" t="str">
        <f t="shared" si="41"/>
        <v>DISENGAGED</v>
      </c>
      <c r="R1383" s="4" t="str">
        <f t="shared" si="42"/>
        <v>LOW</v>
      </c>
      <c r="S1383" s="2"/>
      <c r="T1383" s="2"/>
      <c r="U1383" s="2"/>
      <c r="V1383" s="2"/>
      <c r="W1383" s="2"/>
      <c r="X1383" s="2"/>
      <c r="Y1383" s="2"/>
      <c r="Z1383" s="2"/>
    </row>
    <row r="1384" spans="1:26" ht="16.8" x14ac:dyDescent="0.3">
      <c r="A1384" s="4">
        <v>1948</v>
      </c>
      <c r="B1384" s="4" t="s">
        <v>43</v>
      </c>
      <c r="C1384" s="4">
        <v>31</v>
      </c>
      <c r="D1384" s="4" t="s">
        <v>45</v>
      </c>
      <c r="E1384" s="4" t="s">
        <v>47</v>
      </c>
      <c r="F1384" s="4">
        <v>3065</v>
      </c>
      <c r="G1384" s="4" t="s">
        <v>35</v>
      </c>
      <c r="H1384" s="4">
        <v>4</v>
      </c>
      <c r="I1384" s="4">
        <v>2</v>
      </c>
      <c r="J1384" s="4">
        <v>1</v>
      </c>
      <c r="K1384" s="4">
        <v>4</v>
      </c>
      <c r="L1384" s="4" t="str">
        <f t="shared" si="36"/>
        <v>NORMAL</v>
      </c>
      <c r="M1384" s="4" t="str">
        <f t="shared" si="37"/>
        <v>LOW</v>
      </c>
      <c r="N1384" s="4" t="str">
        <f t="shared" si="38"/>
        <v>MID</v>
      </c>
      <c r="O1384" s="4" t="str">
        <f t="shared" si="39"/>
        <v>MODERATE-WAIT</v>
      </c>
      <c r="P1384" s="5" t="str">
        <f t="shared" si="40"/>
        <v>Medium_Pressure</v>
      </c>
      <c r="Q1384" s="4" t="str">
        <f t="shared" si="41"/>
        <v>DISENGAGED</v>
      </c>
      <c r="R1384" s="4" t="str">
        <f t="shared" si="42"/>
        <v>LOW</v>
      </c>
      <c r="S1384" s="2"/>
      <c r="T1384" s="2"/>
      <c r="U1384" s="2"/>
      <c r="V1384" s="2"/>
      <c r="W1384" s="2"/>
      <c r="X1384" s="2"/>
      <c r="Y1384" s="2"/>
      <c r="Z1384" s="2"/>
    </row>
    <row r="1385" spans="1:26" ht="16.8" x14ac:dyDescent="0.3">
      <c r="A1385" s="4">
        <v>1949</v>
      </c>
      <c r="B1385" s="4" t="s">
        <v>43</v>
      </c>
      <c r="C1385" s="4">
        <v>36</v>
      </c>
      <c r="D1385" s="4" t="s">
        <v>45</v>
      </c>
      <c r="E1385" s="4" t="s">
        <v>50</v>
      </c>
      <c r="F1385" s="4">
        <v>2810</v>
      </c>
      <c r="G1385" s="4" t="s">
        <v>43</v>
      </c>
      <c r="H1385" s="4">
        <v>5</v>
      </c>
      <c r="I1385" s="4">
        <v>0</v>
      </c>
      <c r="J1385" s="4">
        <v>2</v>
      </c>
      <c r="K1385" s="4">
        <v>3</v>
      </c>
      <c r="L1385" s="4" t="str">
        <f t="shared" si="36"/>
        <v>NORMAL</v>
      </c>
      <c r="M1385" s="4" t="str">
        <f t="shared" si="37"/>
        <v>LOW</v>
      </c>
      <c r="N1385" s="4" t="str">
        <f t="shared" si="38"/>
        <v>MID</v>
      </c>
      <c r="O1385" s="4" t="str">
        <f t="shared" si="39"/>
        <v>RECENTLY PROMOTED</v>
      </c>
      <c r="P1385" s="5" t="str">
        <f t="shared" si="40"/>
        <v>Medium_Pressure</v>
      </c>
      <c r="Q1385" s="4" t="str">
        <f t="shared" si="41"/>
        <v>DISENGAGED</v>
      </c>
      <c r="R1385" s="4" t="str">
        <f t="shared" si="42"/>
        <v>LOW</v>
      </c>
      <c r="S1385" s="2"/>
      <c r="T1385" s="2"/>
      <c r="U1385" s="2"/>
      <c r="V1385" s="2"/>
      <c r="W1385" s="2"/>
      <c r="X1385" s="2"/>
      <c r="Y1385" s="2"/>
      <c r="Z1385" s="2"/>
    </row>
    <row r="1386" spans="1:26" ht="16.8" x14ac:dyDescent="0.3">
      <c r="A1386" s="4">
        <v>1950</v>
      </c>
      <c r="B1386" s="4" t="s">
        <v>43</v>
      </c>
      <c r="C1386" s="4">
        <v>34</v>
      </c>
      <c r="D1386" s="4" t="s">
        <v>37</v>
      </c>
      <c r="E1386" s="4" t="s">
        <v>40</v>
      </c>
      <c r="F1386" s="4">
        <v>9888</v>
      </c>
      <c r="G1386" s="4" t="s">
        <v>43</v>
      </c>
      <c r="H1386" s="4">
        <v>14</v>
      </c>
      <c r="I1386" s="4">
        <v>2</v>
      </c>
      <c r="J1386" s="4">
        <v>4</v>
      </c>
      <c r="K1386" s="4">
        <v>2</v>
      </c>
      <c r="L1386" s="4" t="str">
        <f t="shared" si="36"/>
        <v>NORMAL</v>
      </c>
      <c r="M1386" s="4" t="str">
        <f t="shared" si="37"/>
        <v>MEDIUM</v>
      </c>
      <c r="N1386" s="4" t="str">
        <f t="shared" si="38"/>
        <v>SENIOR</v>
      </c>
      <c r="O1386" s="4" t="str">
        <f t="shared" si="39"/>
        <v>MODERATE-WAIT</v>
      </c>
      <c r="P1386" s="5" t="str">
        <f t="shared" si="40"/>
        <v>Low_Pressure</v>
      </c>
      <c r="Q1386" s="4" t="str">
        <f t="shared" si="41"/>
        <v>DISENGAGED</v>
      </c>
      <c r="R1386" s="4" t="str">
        <f t="shared" si="42"/>
        <v>LOW</v>
      </c>
      <c r="S1386" s="2"/>
      <c r="T1386" s="2"/>
      <c r="U1386" s="2"/>
      <c r="V1386" s="2"/>
      <c r="W1386" s="2"/>
      <c r="X1386" s="2"/>
      <c r="Y1386" s="2"/>
      <c r="Z1386" s="2"/>
    </row>
    <row r="1387" spans="1:26" ht="16.8" x14ac:dyDescent="0.3">
      <c r="A1387" s="4">
        <v>1951</v>
      </c>
      <c r="B1387" s="4" t="s">
        <v>43</v>
      </c>
      <c r="C1387" s="4">
        <v>34</v>
      </c>
      <c r="D1387" s="4" t="s">
        <v>37</v>
      </c>
      <c r="E1387" s="4" t="s">
        <v>40</v>
      </c>
      <c r="F1387" s="4">
        <v>8628</v>
      </c>
      <c r="G1387" s="4" t="s">
        <v>43</v>
      </c>
      <c r="H1387" s="4">
        <v>8</v>
      </c>
      <c r="I1387" s="4">
        <v>1</v>
      </c>
      <c r="J1387" s="4">
        <v>3</v>
      </c>
      <c r="K1387" s="4">
        <v>2</v>
      </c>
      <c r="L1387" s="4" t="str">
        <f t="shared" si="36"/>
        <v>NORMAL</v>
      </c>
      <c r="M1387" s="4" t="str">
        <f t="shared" si="37"/>
        <v>HIGH</v>
      </c>
      <c r="N1387" s="4" t="str">
        <f t="shared" si="38"/>
        <v>SENIOR</v>
      </c>
      <c r="O1387" s="4" t="str">
        <f t="shared" si="39"/>
        <v>RECENTLY PROMOTED</v>
      </c>
      <c r="P1387" s="5" t="str">
        <f t="shared" si="40"/>
        <v>Low_Pressure</v>
      </c>
      <c r="Q1387" s="4" t="str">
        <f t="shared" si="41"/>
        <v>DISENGAGED</v>
      </c>
      <c r="R1387" s="4" t="str">
        <f t="shared" si="42"/>
        <v>LOW</v>
      </c>
      <c r="S1387" s="2"/>
      <c r="T1387" s="2"/>
      <c r="U1387" s="2"/>
      <c r="V1387" s="2"/>
      <c r="W1387" s="2"/>
      <c r="X1387" s="2"/>
      <c r="Y1387" s="2"/>
      <c r="Z1387" s="2"/>
    </row>
    <row r="1388" spans="1:26" ht="16.8" x14ac:dyDescent="0.3">
      <c r="A1388" s="4">
        <v>1952</v>
      </c>
      <c r="B1388" s="4" t="s">
        <v>43</v>
      </c>
      <c r="C1388" s="4">
        <v>26</v>
      </c>
      <c r="D1388" s="4" t="s">
        <v>45</v>
      </c>
      <c r="E1388" s="4" t="s">
        <v>50</v>
      </c>
      <c r="F1388" s="4">
        <v>2867</v>
      </c>
      <c r="G1388" s="4" t="s">
        <v>43</v>
      </c>
      <c r="H1388" s="4">
        <v>7</v>
      </c>
      <c r="I1388" s="4">
        <v>7</v>
      </c>
      <c r="J1388" s="4">
        <v>1</v>
      </c>
      <c r="K1388" s="4">
        <v>2</v>
      </c>
      <c r="L1388" s="4" t="str">
        <f t="shared" si="36"/>
        <v>NORMAL</v>
      </c>
      <c r="M1388" s="4" t="str">
        <f t="shared" si="37"/>
        <v>LOW</v>
      </c>
      <c r="N1388" s="4" t="str">
        <f t="shared" si="38"/>
        <v>SENIOR</v>
      </c>
      <c r="O1388" s="4" t="str">
        <f t="shared" si="39"/>
        <v>STAGNANT</v>
      </c>
      <c r="P1388" s="5" t="str">
        <f t="shared" si="40"/>
        <v>Low_Pressure</v>
      </c>
      <c r="Q1388" s="4" t="str">
        <f t="shared" si="41"/>
        <v>DISENGAGED</v>
      </c>
      <c r="R1388" s="4" t="str">
        <f t="shared" si="42"/>
        <v>LOW</v>
      </c>
      <c r="S1388" s="2"/>
      <c r="T1388" s="2"/>
      <c r="U1388" s="2"/>
      <c r="V1388" s="2"/>
      <c r="W1388" s="2"/>
      <c r="X1388" s="2"/>
      <c r="Y1388" s="2"/>
      <c r="Z1388" s="2"/>
    </row>
    <row r="1389" spans="1:26" ht="16.8" x14ac:dyDescent="0.3">
      <c r="A1389" s="4">
        <v>1954</v>
      </c>
      <c r="B1389" s="4" t="s">
        <v>43</v>
      </c>
      <c r="C1389" s="4">
        <v>29</v>
      </c>
      <c r="D1389" s="4" t="s">
        <v>45</v>
      </c>
      <c r="E1389" s="4" t="s">
        <v>54</v>
      </c>
      <c r="F1389" s="4">
        <v>5373</v>
      </c>
      <c r="G1389" s="4" t="s">
        <v>43</v>
      </c>
      <c r="H1389" s="4">
        <v>5</v>
      </c>
      <c r="I1389" s="4">
        <v>0</v>
      </c>
      <c r="J1389" s="4">
        <v>1</v>
      </c>
      <c r="K1389" s="4">
        <v>2</v>
      </c>
      <c r="L1389" s="4" t="str">
        <f t="shared" si="36"/>
        <v>NORMAL</v>
      </c>
      <c r="M1389" s="4" t="str">
        <f t="shared" si="37"/>
        <v>HIGH</v>
      </c>
      <c r="N1389" s="4" t="str">
        <f t="shared" si="38"/>
        <v>MID</v>
      </c>
      <c r="O1389" s="4" t="str">
        <f t="shared" si="39"/>
        <v>RECENTLY PROMOTED</v>
      </c>
      <c r="P1389" s="5" t="str">
        <f t="shared" si="40"/>
        <v>Low_Pressure</v>
      </c>
      <c r="Q1389" s="4" t="str">
        <f t="shared" si="41"/>
        <v>DISENGAGED</v>
      </c>
      <c r="R1389" s="4" t="str">
        <f t="shared" si="42"/>
        <v>LOW</v>
      </c>
      <c r="S1389" s="2"/>
      <c r="T1389" s="2"/>
      <c r="U1389" s="2"/>
      <c r="V1389" s="2"/>
      <c r="W1389" s="2"/>
      <c r="X1389" s="2"/>
      <c r="Y1389" s="2"/>
      <c r="Z1389" s="2"/>
    </row>
    <row r="1390" spans="1:26" ht="16.8" x14ac:dyDescent="0.3">
      <c r="A1390" s="4">
        <v>1955</v>
      </c>
      <c r="B1390" s="4" t="s">
        <v>43</v>
      </c>
      <c r="C1390" s="4">
        <v>32</v>
      </c>
      <c r="D1390" s="4" t="s">
        <v>45</v>
      </c>
      <c r="E1390" s="4" t="s">
        <v>54</v>
      </c>
      <c r="F1390" s="4">
        <v>6667</v>
      </c>
      <c r="G1390" s="4" t="s">
        <v>43</v>
      </c>
      <c r="H1390" s="4">
        <v>5</v>
      </c>
      <c r="I1390" s="4">
        <v>1</v>
      </c>
      <c r="J1390" s="4">
        <v>4</v>
      </c>
      <c r="K1390" s="4">
        <v>3</v>
      </c>
      <c r="L1390" s="4" t="str">
        <f t="shared" si="36"/>
        <v>NORMAL</v>
      </c>
      <c r="M1390" s="4" t="str">
        <f t="shared" si="37"/>
        <v>HIGH</v>
      </c>
      <c r="N1390" s="4" t="str">
        <f t="shared" si="38"/>
        <v>MID</v>
      </c>
      <c r="O1390" s="4" t="str">
        <f t="shared" si="39"/>
        <v>RECENTLY PROMOTED</v>
      </c>
      <c r="P1390" s="5" t="str">
        <f t="shared" si="40"/>
        <v>Medium_Pressure</v>
      </c>
      <c r="Q1390" s="4" t="str">
        <f t="shared" si="41"/>
        <v>HIGHLY_ENGAGED</v>
      </c>
      <c r="R1390" s="4" t="str">
        <f t="shared" si="42"/>
        <v>LOW</v>
      </c>
      <c r="S1390" s="2"/>
      <c r="T1390" s="2"/>
      <c r="U1390" s="2"/>
      <c r="V1390" s="2"/>
      <c r="W1390" s="2"/>
      <c r="X1390" s="2"/>
      <c r="Y1390" s="2"/>
      <c r="Z1390" s="2"/>
    </row>
    <row r="1391" spans="1:26" ht="16.8" x14ac:dyDescent="0.3">
      <c r="A1391" s="4">
        <v>1956</v>
      </c>
      <c r="B1391" s="4" t="s">
        <v>43</v>
      </c>
      <c r="C1391" s="4">
        <v>31</v>
      </c>
      <c r="D1391" s="4" t="s">
        <v>45</v>
      </c>
      <c r="E1391" s="4" t="s">
        <v>47</v>
      </c>
      <c r="F1391" s="4">
        <v>5003</v>
      </c>
      <c r="G1391" s="4" t="s">
        <v>43</v>
      </c>
      <c r="H1391" s="4">
        <v>10</v>
      </c>
      <c r="I1391" s="4">
        <v>8</v>
      </c>
      <c r="J1391" s="4">
        <v>1</v>
      </c>
      <c r="K1391" s="4">
        <v>3</v>
      </c>
      <c r="L1391" s="4" t="str">
        <f t="shared" si="36"/>
        <v>NORMAL</v>
      </c>
      <c r="M1391" s="4" t="str">
        <f t="shared" si="37"/>
        <v>HIGH</v>
      </c>
      <c r="N1391" s="4" t="str">
        <f t="shared" si="38"/>
        <v>SENIOR</v>
      </c>
      <c r="O1391" s="4" t="str">
        <f t="shared" si="39"/>
        <v>STAGNANT</v>
      </c>
      <c r="P1391" s="5" t="str">
        <f t="shared" si="40"/>
        <v>Medium_Pressure</v>
      </c>
      <c r="Q1391" s="4" t="str">
        <f t="shared" si="41"/>
        <v>DISENGAGED</v>
      </c>
      <c r="R1391" s="4" t="str">
        <f t="shared" si="42"/>
        <v>LOW</v>
      </c>
      <c r="S1391" s="2"/>
      <c r="T1391" s="2"/>
      <c r="U1391" s="2"/>
      <c r="V1391" s="2"/>
      <c r="W1391" s="2"/>
      <c r="X1391" s="2"/>
      <c r="Y1391" s="2"/>
      <c r="Z1391" s="2"/>
    </row>
    <row r="1392" spans="1:26" ht="16.8" x14ac:dyDescent="0.3">
      <c r="A1392" s="4">
        <v>1960</v>
      </c>
      <c r="B1392" s="4" t="s">
        <v>35</v>
      </c>
      <c r="C1392" s="4">
        <v>28</v>
      </c>
      <c r="D1392" s="4" t="s">
        <v>45</v>
      </c>
      <c r="E1392" s="4" t="s">
        <v>50</v>
      </c>
      <c r="F1392" s="4">
        <v>2367</v>
      </c>
      <c r="G1392" s="4" t="s">
        <v>43</v>
      </c>
      <c r="H1392" s="4">
        <v>4</v>
      </c>
      <c r="I1392" s="4">
        <v>0</v>
      </c>
      <c r="J1392" s="4">
        <v>4</v>
      </c>
      <c r="K1392" s="4">
        <v>2</v>
      </c>
      <c r="L1392" s="4" t="str">
        <f t="shared" si="36"/>
        <v>NORMAL</v>
      </c>
      <c r="M1392" s="4" t="str">
        <f t="shared" si="37"/>
        <v>LOW</v>
      </c>
      <c r="N1392" s="4" t="str">
        <f t="shared" si="38"/>
        <v>MID</v>
      </c>
      <c r="O1392" s="4" t="str">
        <f t="shared" si="39"/>
        <v>RECENTLY PROMOTED</v>
      </c>
      <c r="P1392" s="5" t="str">
        <f t="shared" si="40"/>
        <v>Low_Pressure</v>
      </c>
      <c r="Q1392" s="4" t="str">
        <f t="shared" si="41"/>
        <v>DISENGAGED</v>
      </c>
      <c r="R1392" s="4" t="str">
        <f t="shared" si="42"/>
        <v>LOW</v>
      </c>
      <c r="S1392" s="2"/>
      <c r="T1392" s="2"/>
      <c r="U1392" s="2"/>
      <c r="V1392" s="2"/>
      <c r="W1392" s="2"/>
      <c r="X1392" s="2"/>
      <c r="Y1392" s="2"/>
      <c r="Z1392" s="2"/>
    </row>
    <row r="1393" spans="1:26" ht="16.8" x14ac:dyDescent="0.3">
      <c r="A1393" s="4">
        <v>1961</v>
      </c>
      <c r="B1393" s="4" t="s">
        <v>43</v>
      </c>
      <c r="C1393" s="4">
        <v>38</v>
      </c>
      <c r="D1393" s="4" t="s">
        <v>37</v>
      </c>
      <c r="E1393" s="4" t="s">
        <v>57</v>
      </c>
      <c r="F1393" s="4">
        <v>2858</v>
      </c>
      <c r="G1393" s="4" t="s">
        <v>43</v>
      </c>
      <c r="H1393" s="4">
        <v>1</v>
      </c>
      <c r="I1393" s="4">
        <v>0</v>
      </c>
      <c r="J1393" s="4">
        <v>1</v>
      </c>
      <c r="K1393" s="4">
        <v>2</v>
      </c>
      <c r="L1393" s="4" t="str">
        <f t="shared" si="36"/>
        <v>NORMAL</v>
      </c>
      <c r="M1393" s="4" t="str">
        <f t="shared" si="37"/>
        <v>LOW</v>
      </c>
      <c r="N1393" s="4" t="str">
        <f t="shared" si="38"/>
        <v>NEW</v>
      </c>
      <c r="O1393" s="4" t="str">
        <f t="shared" si="39"/>
        <v>RECENTLY PROMOTED</v>
      </c>
      <c r="P1393" s="5" t="str">
        <f t="shared" si="40"/>
        <v>Low_Pressure</v>
      </c>
      <c r="Q1393" s="4" t="str">
        <f t="shared" si="41"/>
        <v>DISENGAGED</v>
      </c>
      <c r="R1393" s="4" t="str">
        <f t="shared" si="42"/>
        <v>LOW</v>
      </c>
      <c r="S1393" s="2"/>
      <c r="T1393" s="2"/>
      <c r="U1393" s="2"/>
      <c r="V1393" s="2"/>
      <c r="W1393" s="2"/>
      <c r="X1393" s="2"/>
      <c r="Y1393" s="2"/>
      <c r="Z1393" s="2"/>
    </row>
    <row r="1394" spans="1:26" ht="16.8" x14ac:dyDescent="0.3">
      <c r="A1394" s="4">
        <v>1962</v>
      </c>
      <c r="B1394" s="4" t="s">
        <v>43</v>
      </c>
      <c r="C1394" s="4">
        <v>35</v>
      </c>
      <c r="D1394" s="4" t="s">
        <v>37</v>
      </c>
      <c r="E1394" s="4" t="s">
        <v>40</v>
      </c>
      <c r="F1394" s="4">
        <v>5204</v>
      </c>
      <c r="G1394" s="4" t="s">
        <v>35</v>
      </c>
      <c r="H1394" s="4">
        <v>10</v>
      </c>
      <c r="I1394" s="4">
        <v>0</v>
      </c>
      <c r="J1394" s="4">
        <v>4</v>
      </c>
      <c r="K1394" s="4">
        <v>3</v>
      </c>
      <c r="L1394" s="4" t="str">
        <f t="shared" si="36"/>
        <v>NORMAL</v>
      </c>
      <c r="M1394" s="4" t="str">
        <f t="shared" si="37"/>
        <v>HIGH</v>
      </c>
      <c r="N1394" s="4" t="str">
        <f t="shared" si="38"/>
        <v>SENIOR</v>
      </c>
      <c r="O1394" s="4" t="str">
        <f t="shared" si="39"/>
        <v>RECENTLY PROMOTED</v>
      </c>
      <c r="P1394" s="5" t="str">
        <f t="shared" si="40"/>
        <v>Medium_Pressure</v>
      </c>
      <c r="Q1394" s="4" t="str">
        <f t="shared" si="41"/>
        <v>HIGHLY_ENGAGED</v>
      </c>
      <c r="R1394" s="4" t="str">
        <f t="shared" si="42"/>
        <v>LOW</v>
      </c>
      <c r="S1394" s="2"/>
      <c r="T1394" s="2"/>
      <c r="U1394" s="2"/>
      <c r="V1394" s="2"/>
      <c r="W1394" s="2"/>
      <c r="X1394" s="2"/>
      <c r="Y1394" s="2"/>
      <c r="Z1394" s="2"/>
    </row>
    <row r="1395" spans="1:26" ht="16.8" x14ac:dyDescent="0.3">
      <c r="A1395" s="4">
        <v>1965</v>
      </c>
      <c r="B1395" s="4" t="s">
        <v>43</v>
      </c>
      <c r="C1395" s="4">
        <v>27</v>
      </c>
      <c r="D1395" s="4" t="s">
        <v>37</v>
      </c>
      <c r="E1395" s="4" t="s">
        <v>40</v>
      </c>
      <c r="F1395" s="4">
        <v>4105</v>
      </c>
      <c r="G1395" s="4" t="s">
        <v>43</v>
      </c>
      <c r="H1395" s="4">
        <v>7</v>
      </c>
      <c r="I1395" s="4">
        <v>0</v>
      </c>
      <c r="J1395" s="4">
        <v>4</v>
      </c>
      <c r="K1395" s="4">
        <v>3</v>
      </c>
      <c r="L1395" s="4" t="str">
        <f t="shared" si="36"/>
        <v>NORMAL</v>
      </c>
      <c r="M1395" s="4" t="str">
        <f t="shared" si="37"/>
        <v>HIGH</v>
      </c>
      <c r="N1395" s="4" t="str">
        <f t="shared" si="38"/>
        <v>SENIOR</v>
      </c>
      <c r="O1395" s="4" t="str">
        <f t="shared" si="39"/>
        <v>RECENTLY PROMOTED</v>
      </c>
      <c r="P1395" s="5" t="str">
        <f t="shared" si="40"/>
        <v>Medium_Pressure</v>
      </c>
      <c r="Q1395" s="4" t="str">
        <f t="shared" si="41"/>
        <v>HIGHLY_ENGAGED</v>
      </c>
      <c r="R1395" s="4" t="str">
        <f t="shared" si="42"/>
        <v>LOW</v>
      </c>
      <c r="S1395" s="2"/>
      <c r="T1395" s="2"/>
      <c r="U1395" s="2"/>
      <c r="V1395" s="2"/>
      <c r="W1395" s="2"/>
      <c r="X1395" s="2"/>
      <c r="Y1395" s="2"/>
      <c r="Z1395" s="2"/>
    </row>
    <row r="1396" spans="1:26" ht="16.8" x14ac:dyDescent="0.3">
      <c r="A1396" s="4">
        <v>1966</v>
      </c>
      <c r="B1396" s="4" t="s">
        <v>43</v>
      </c>
      <c r="C1396" s="4">
        <v>32</v>
      </c>
      <c r="D1396" s="4" t="s">
        <v>45</v>
      </c>
      <c r="E1396" s="4" t="s">
        <v>53</v>
      </c>
      <c r="F1396" s="4">
        <v>9679</v>
      </c>
      <c r="G1396" s="4" t="s">
        <v>43</v>
      </c>
      <c r="H1396" s="4">
        <v>1</v>
      </c>
      <c r="I1396" s="4">
        <v>0</v>
      </c>
      <c r="J1396" s="4">
        <v>4</v>
      </c>
      <c r="K1396" s="4">
        <v>3</v>
      </c>
      <c r="L1396" s="4" t="str">
        <f t="shared" si="36"/>
        <v>NORMAL</v>
      </c>
      <c r="M1396" s="4" t="str">
        <f t="shared" si="37"/>
        <v>MEDIUM</v>
      </c>
      <c r="N1396" s="4" t="str">
        <f t="shared" si="38"/>
        <v>NEW</v>
      </c>
      <c r="O1396" s="4" t="str">
        <f t="shared" si="39"/>
        <v>RECENTLY PROMOTED</v>
      </c>
      <c r="P1396" s="5" t="str">
        <f t="shared" si="40"/>
        <v>Medium_Pressure</v>
      </c>
      <c r="Q1396" s="4" t="str">
        <f t="shared" si="41"/>
        <v>HIGHLY_ENGAGED</v>
      </c>
      <c r="R1396" s="4" t="str">
        <f t="shared" si="42"/>
        <v>LOW</v>
      </c>
      <c r="S1396" s="2"/>
      <c r="T1396" s="2"/>
      <c r="U1396" s="2"/>
      <c r="V1396" s="2"/>
      <c r="W1396" s="2"/>
      <c r="X1396" s="2"/>
      <c r="Y1396" s="2"/>
      <c r="Z1396" s="2"/>
    </row>
    <row r="1397" spans="1:26" ht="16.8" x14ac:dyDescent="0.3">
      <c r="A1397" s="4">
        <v>1967</v>
      </c>
      <c r="B1397" s="4" t="s">
        <v>35</v>
      </c>
      <c r="C1397" s="4">
        <v>31</v>
      </c>
      <c r="D1397" s="4" t="s">
        <v>37</v>
      </c>
      <c r="E1397" s="4" t="s">
        <v>40</v>
      </c>
      <c r="F1397" s="4">
        <v>5617</v>
      </c>
      <c r="G1397" s="4" t="s">
        <v>35</v>
      </c>
      <c r="H1397" s="4">
        <v>10</v>
      </c>
      <c r="I1397" s="4">
        <v>0</v>
      </c>
      <c r="J1397" s="4">
        <v>4</v>
      </c>
      <c r="K1397" s="4">
        <v>3</v>
      </c>
      <c r="L1397" s="4" t="str">
        <f t="shared" si="36"/>
        <v>NORMAL</v>
      </c>
      <c r="M1397" s="4" t="str">
        <f t="shared" si="37"/>
        <v>HIGH</v>
      </c>
      <c r="N1397" s="4" t="str">
        <f t="shared" si="38"/>
        <v>SENIOR</v>
      </c>
      <c r="O1397" s="4" t="str">
        <f t="shared" si="39"/>
        <v>RECENTLY PROMOTED</v>
      </c>
      <c r="P1397" s="5" t="str">
        <f t="shared" si="40"/>
        <v>Medium_Pressure</v>
      </c>
      <c r="Q1397" s="4" t="str">
        <f t="shared" si="41"/>
        <v>HIGHLY_ENGAGED</v>
      </c>
      <c r="R1397" s="4" t="str">
        <f t="shared" si="42"/>
        <v>LOW</v>
      </c>
      <c r="S1397" s="2"/>
      <c r="T1397" s="2"/>
      <c r="U1397" s="2"/>
      <c r="V1397" s="2"/>
      <c r="W1397" s="2"/>
      <c r="X1397" s="2"/>
      <c r="Y1397" s="2"/>
      <c r="Z1397" s="2"/>
    </row>
    <row r="1398" spans="1:26" ht="16.8" x14ac:dyDescent="0.3">
      <c r="A1398" s="4">
        <v>1968</v>
      </c>
      <c r="B1398" s="4" t="s">
        <v>35</v>
      </c>
      <c r="C1398" s="4">
        <v>53</v>
      </c>
      <c r="D1398" s="4" t="s">
        <v>37</v>
      </c>
      <c r="E1398" s="4" t="s">
        <v>40</v>
      </c>
      <c r="F1398" s="4">
        <v>10448</v>
      </c>
      <c r="G1398" s="4" t="s">
        <v>35</v>
      </c>
      <c r="H1398" s="4">
        <v>2</v>
      </c>
      <c r="I1398" s="4">
        <v>2</v>
      </c>
      <c r="J1398" s="4">
        <v>1</v>
      </c>
      <c r="K1398" s="4">
        <v>2</v>
      </c>
      <c r="L1398" s="4" t="str">
        <f t="shared" si="36"/>
        <v>NORMAL</v>
      </c>
      <c r="M1398" s="4" t="str">
        <f t="shared" si="37"/>
        <v>MEDIUM</v>
      </c>
      <c r="N1398" s="4" t="str">
        <f t="shared" si="38"/>
        <v>NEW</v>
      </c>
      <c r="O1398" s="4" t="str">
        <f t="shared" si="39"/>
        <v>MODERATE-WAIT</v>
      </c>
      <c r="P1398" s="5" t="str">
        <f t="shared" si="40"/>
        <v>High_Pressure</v>
      </c>
      <c r="Q1398" s="4" t="str">
        <f t="shared" si="41"/>
        <v>DISENGAGED</v>
      </c>
      <c r="R1398" s="4" t="str">
        <f t="shared" si="42"/>
        <v>LOW</v>
      </c>
      <c r="S1398" s="2"/>
      <c r="T1398" s="2"/>
      <c r="U1398" s="2"/>
      <c r="V1398" s="2"/>
      <c r="W1398" s="2"/>
      <c r="X1398" s="2"/>
      <c r="Y1398" s="2"/>
      <c r="Z1398" s="2"/>
    </row>
    <row r="1399" spans="1:26" ht="16.8" x14ac:dyDescent="0.3">
      <c r="A1399" s="4">
        <v>1969</v>
      </c>
      <c r="B1399" s="4" t="s">
        <v>43</v>
      </c>
      <c r="C1399" s="4">
        <v>54</v>
      </c>
      <c r="D1399" s="4" t="s">
        <v>45</v>
      </c>
      <c r="E1399" s="4" t="s">
        <v>47</v>
      </c>
      <c r="F1399" s="4">
        <v>2897</v>
      </c>
      <c r="G1399" s="4" t="s">
        <v>43</v>
      </c>
      <c r="H1399" s="4">
        <v>4</v>
      </c>
      <c r="I1399" s="4">
        <v>2</v>
      </c>
      <c r="J1399" s="4">
        <v>3</v>
      </c>
      <c r="K1399" s="4">
        <v>2</v>
      </c>
      <c r="L1399" s="4" t="str">
        <f t="shared" si="36"/>
        <v>NORMAL</v>
      </c>
      <c r="M1399" s="4" t="str">
        <f t="shared" si="37"/>
        <v>LOW</v>
      </c>
      <c r="N1399" s="4" t="str">
        <f t="shared" si="38"/>
        <v>MID</v>
      </c>
      <c r="O1399" s="4" t="str">
        <f t="shared" si="39"/>
        <v>MODERATE-WAIT</v>
      </c>
      <c r="P1399" s="5" t="str">
        <f t="shared" si="40"/>
        <v>Low_Pressure</v>
      </c>
      <c r="Q1399" s="4" t="str">
        <f t="shared" si="41"/>
        <v>DISENGAGED</v>
      </c>
      <c r="R1399" s="4" t="str">
        <f t="shared" si="42"/>
        <v>LOW</v>
      </c>
      <c r="S1399" s="2"/>
      <c r="T1399" s="2"/>
      <c r="U1399" s="2"/>
      <c r="V1399" s="2"/>
      <c r="W1399" s="2"/>
      <c r="X1399" s="2"/>
      <c r="Y1399" s="2"/>
      <c r="Z1399" s="2"/>
    </row>
    <row r="1400" spans="1:26" ht="16.8" x14ac:dyDescent="0.3">
      <c r="A1400" s="4">
        <v>1970</v>
      </c>
      <c r="B1400" s="4" t="s">
        <v>43</v>
      </c>
      <c r="C1400" s="4">
        <v>33</v>
      </c>
      <c r="D1400" s="4" t="s">
        <v>45</v>
      </c>
      <c r="E1400" s="4" t="s">
        <v>54</v>
      </c>
      <c r="F1400" s="4">
        <v>5968</v>
      </c>
      <c r="G1400" s="4" t="s">
        <v>43</v>
      </c>
      <c r="H1400" s="4">
        <v>9</v>
      </c>
      <c r="I1400" s="4">
        <v>2</v>
      </c>
      <c r="J1400" s="4">
        <v>3</v>
      </c>
      <c r="K1400" s="4">
        <v>3</v>
      </c>
      <c r="L1400" s="4" t="str">
        <f t="shared" si="36"/>
        <v>NORMAL</v>
      </c>
      <c r="M1400" s="4" t="str">
        <f t="shared" si="37"/>
        <v>HIGH</v>
      </c>
      <c r="N1400" s="4" t="str">
        <f t="shared" si="38"/>
        <v>SENIOR</v>
      </c>
      <c r="O1400" s="4" t="str">
        <f t="shared" si="39"/>
        <v>MODERATE-WAIT</v>
      </c>
      <c r="P1400" s="5" t="str">
        <f t="shared" si="40"/>
        <v>Medium_Pressure</v>
      </c>
      <c r="Q1400" s="4" t="str">
        <f t="shared" si="41"/>
        <v>HIGHLY_ENGAGED</v>
      </c>
      <c r="R1400" s="4" t="str">
        <f t="shared" si="42"/>
        <v>LOW</v>
      </c>
      <c r="S1400" s="2"/>
      <c r="T1400" s="2"/>
      <c r="U1400" s="2"/>
      <c r="V1400" s="2"/>
      <c r="W1400" s="2"/>
      <c r="X1400" s="2"/>
      <c r="Y1400" s="2"/>
      <c r="Z1400" s="2"/>
    </row>
    <row r="1401" spans="1:26" ht="16.8" x14ac:dyDescent="0.3">
      <c r="A1401" s="4">
        <v>1971</v>
      </c>
      <c r="B1401" s="4" t="s">
        <v>43</v>
      </c>
      <c r="C1401" s="4">
        <v>43</v>
      </c>
      <c r="D1401" s="4" t="s">
        <v>45</v>
      </c>
      <c r="E1401" s="4" t="s">
        <v>54</v>
      </c>
      <c r="F1401" s="4">
        <v>7510</v>
      </c>
      <c r="G1401" s="4" t="s">
        <v>43</v>
      </c>
      <c r="H1401" s="4">
        <v>10</v>
      </c>
      <c r="I1401" s="4">
        <v>0</v>
      </c>
      <c r="J1401" s="4">
        <v>3</v>
      </c>
      <c r="K1401" s="4">
        <v>3</v>
      </c>
      <c r="L1401" s="4" t="str">
        <f t="shared" si="36"/>
        <v>NORMAL</v>
      </c>
      <c r="M1401" s="4" t="str">
        <f t="shared" si="37"/>
        <v>HIGH</v>
      </c>
      <c r="N1401" s="4" t="str">
        <f t="shared" si="38"/>
        <v>SENIOR</v>
      </c>
      <c r="O1401" s="4" t="str">
        <f t="shared" si="39"/>
        <v>RECENTLY PROMOTED</v>
      </c>
      <c r="P1401" s="5" t="str">
        <f t="shared" si="40"/>
        <v>Medium_Pressure</v>
      </c>
      <c r="Q1401" s="4" t="str">
        <f t="shared" si="41"/>
        <v>HIGHLY_ENGAGED</v>
      </c>
      <c r="R1401" s="4" t="str">
        <f t="shared" si="42"/>
        <v>LOW</v>
      </c>
      <c r="S1401" s="2"/>
      <c r="T1401" s="2"/>
      <c r="U1401" s="2"/>
      <c r="V1401" s="2"/>
      <c r="W1401" s="2"/>
      <c r="X1401" s="2"/>
      <c r="Y1401" s="2"/>
      <c r="Z1401" s="2"/>
    </row>
    <row r="1402" spans="1:26" ht="16.8" x14ac:dyDescent="0.3">
      <c r="A1402" s="4">
        <v>1972</v>
      </c>
      <c r="B1402" s="4" t="s">
        <v>43</v>
      </c>
      <c r="C1402" s="4">
        <v>38</v>
      </c>
      <c r="D1402" s="4" t="s">
        <v>61</v>
      </c>
      <c r="E1402" s="4" t="s">
        <v>61</v>
      </c>
      <c r="F1402" s="4">
        <v>2991</v>
      </c>
      <c r="G1402" s="4" t="s">
        <v>35</v>
      </c>
      <c r="H1402" s="4">
        <v>6</v>
      </c>
      <c r="I1402" s="4">
        <v>1</v>
      </c>
      <c r="J1402" s="4">
        <v>2</v>
      </c>
      <c r="K1402" s="4">
        <v>3</v>
      </c>
      <c r="L1402" s="4" t="str">
        <f t="shared" si="36"/>
        <v>NORMAL</v>
      </c>
      <c r="M1402" s="4" t="str">
        <f t="shared" si="37"/>
        <v>LOW</v>
      </c>
      <c r="N1402" s="4" t="str">
        <f t="shared" si="38"/>
        <v>MID</v>
      </c>
      <c r="O1402" s="4" t="str">
        <f t="shared" si="39"/>
        <v>RECENTLY PROMOTED</v>
      </c>
      <c r="P1402" s="5" t="str">
        <f t="shared" si="40"/>
        <v>Medium_Pressure</v>
      </c>
      <c r="Q1402" s="4" t="str">
        <f t="shared" si="41"/>
        <v>DISENGAGED</v>
      </c>
      <c r="R1402" s="4" t="str">
        <f t="shared" si="42"/>
        <v>LOW</v>
      </c>
      <c r="S1402" s="2"/>
      <c r="T1402" s="2"/>
      <c r="U1402" s="2"/>
      <c r="V1402" s="2"/>
      <c r="W1402" s="2"/>
      <c r="X1402" s="2"/>
      <c r="Y1402" s="2"/>
      <c r="Z1402" s="2"/>
    </row>
    <row r="1403" spans="1:26" ht="16.8" x14ac:dyDescent="0.3">
      <c r="A1403" s="4">
        <v>1973</v>
      </c>
      <c r="B1403" s="4" t="s">
        <v>43</v>
      </c>
      <c r="C1403" s="4">
        <v>55</v>
      </c>
      <c r="D1403" s="4" t="s">
        <v>61</v>
      </c>
      <c r="E1403" s="4" t="s">
        <v>56</v>
      </c>
      <c r="F1403" s="4">
        <v>19636</v>
      </c>
      <c r="G1403" s="4" t="s">
        <v>35</v>
      </c>
      <c r="H1403" s="4">
        <v>10</v>
      </c>
      <c r="I1403" s="4">
        <v>1</v>
      </c>
      <c r="J1403" s="4">
        <v>2</v>
      </c>
      <c r="K1403" s="4">
        <v>3</v>
      </c>
      <c r="L1403" s="4" t="str">
        <f t="shared" si="36"/>
        <v>NORMAL</v>
      </c>
      <c r="M1403" s="4" t="str">
        <f t="shared" si="37"/>
        <v>MEDIUM</v>
      </c>
      <c r="N1403" s="4" t="str">
        <f t="shared" si="38"/>
        <v>SENIOR</v>
      </c>
      <c r="O1403" s="4" t="str">
        <f t="shared" si="39"/>
        <v>RECENTLY PROMOTED</v>
      </c>
      <c r="P1403" s="5" t="str">
        <f t="shared" si="40"/>
        <v>Medium_Pressure</v>
      </c>
      <c r="Q1403" s="4" t="str">
        <f t="shared" si="41"/>
        <v>DISENGAGED</v>
      </c>
      <c r="R1403" s="4" t="str">
        <f t="shared" si="42"/>
        <v>LOW</v>
      </c>
      <c r="S1403" s="2"/>
      <c r="T1403" s="2"/>
      <c r="U1403" s="2"/>
      <c r="V1403" s="2"/>
      <c r="W1403" s="2"/>
      <c r="X1403" s="2"/>
      <c r="Y1403" s="2"/>
      <c r="Z1403" s="2"/>
    </row>
    <row r="1404" spans="1:26" ht="16.8" x14ac:dyDescent="0.3">
      <c r="A1404" s="4">
        <v>1974</v>
      </c>
      <c r="B1404" s="4" t="s">
        <v>43</v>
      </c>
      <c r="C1404" s="4">
        <v>31</v>
      </c>
      <c r="D1404" s="4" t="s">
        <v>45</v>
      </c>
      <c r="E1404" s="4" t="s">
        <v>50</v>
      </c>
      <c r="F1404" s="4">
        <v>1129</v>
      </c>
      <c r="G1404" s="4" t="s">
        <v>35</v>
      </c>
      <c r="H1404" s="4">
        <v>1</v>
      </c>
      <c r="I1404" s="4">
        <v>0</v>
      </c>
      <c r="J1404" s="4">
        <v>4</v>
      </c>
      <c r="K1404" s="4">
        <v>3</v>
      </c>
      <c r="L1404" s="4" t="str">
        <f t="shared" si="36"/>
        <v>NORMAL</v>
      </c>
      <c r="M1404" s="4" t="str">
        <f t="shared" si="37"/>
        <v>LOW</v>
      </c>
      <c r="N1404" s="4" t="str">
        <f t="shared" si="38"/>
        <v>NEW</v>
      </c>
      <c r="O1404" s="4" t="str">
        <f t="shared" si="39"/>
        <v>RECENTLY PROMOTED</v>
      </c>
      <c r="P1404" s="5" t="str">
        <f t="shared" si="40"/>
        <v>Medium_Pressure</v>
      </c>
      <c r="Q1404" s="4" t="str">
        <f t="shared" si="41"/>
        <v>HIGHLY_ENGAGED</v>
      </c>
      <c r="R1404" s="4" t="str">
        <f t="shared" si="42"/>
        <v>LOW</v>
      </c>
      <c r="S1404" s="2"/>
      <c r="T1404" s="2"/>
      <c r="U1404" s="2"/>
      <c r="V1404" s="2"/>
      <c r="W1404" s="2"/>
      <c r="X1404" s="2"/>
      <c r="Y1404" s="2"/>
      <c r="Z1404" s="2"/>
    </row>
    <row r="1405" spans="1:26" ht="16.8" x14ac:dyDescent="0.3">
      <c r="A1405" s="4">
        <v>1975</v>
      </c>
      <c r="B1405" s="4" t="s">
        <v>43</v>
      </c>
      <c r="C1405" s="4">
        <v>39</v>
      </c>
      <c r="D1405" s="4" t="s">
        <v>37</v>
      </c>
      <c r="E1405" s="4" t="s">
        <v>40</v>
      </c>
      <c r="F1405" s="4">
        <v>13341</v>
      </c>
      <c r="G1405" s="4" t="s">
        <v>43</v>
      </c>
      <c r="H1405" s="4">
        <v>20</v>
      </c>
      <c r="I1405" s="4">
        <v>11</v>
      </c>
      <c r="J1405" s="4">
        <v>1</v>
      </c>
      <c r="K1405" s="4">
        <v>3</v>
      </c>
      <c r="L1405" s="4" t="str">
        <f t="shared" si="36"/>
        <v>NORMAL</v>
      </c>
      <c r="M1405" s="4" t="str">
        <f t="shared" si="37"/>
        <v>MEDIUM</v>
      </c>
      <c r="N1405" s="4" t="str">
        <f t="shared" si="38"/>
        <v>SENIOR</v>
      </c>
      <c r="O1405" s="4" t="str">
        <f t="shared" si="39"/>
        <v>STAGNANT</v>
      </c>
      <c r="P1405" s="5" t="str">
        <f t="shared" si="40"/>
        <v>Medium_Pressure</v>
      </c>
      <c r="Q1405" s="4" t="str">
        <f t="shared" si="41"/>
        <v>DISENGAGED</v>
      </c>
      <c r="R1405" s="4" t="str">
        <f t="shared" si="42"/>
        <v>LOW</v>
      </c>
      <c r="S1405" s="2"/>
      <c r="T1405" s="2"/>
      <c r="U1405" s="2"/>
      <c r="V1405" s="2"/>
      <c r="W1405" s="2"/>
      <c r="X1405" s="2"/>
      <c r="Y1405" s="2"/>
      <c r="Z1405" s="2"/>
    </row>
    <row r="1406" spans="1:26" ht="16.8" x14ac:dyDescent="0.3">
      <c r="A1406" s="4">
        <v>1976</v>
      </c>
      <c r="B1406" s="4" t="s">
        <v>43</v>
      </c>
      <c r="C1406" s="4">
        <v>42</v>
      </c>
      <c r="D1406" s="4" t="s">
        <v>45</v>
      </c>
      <c r="E1406" s="4" t="s">
        <v>47</v>
      </c>
      <c r="F1406" s="4">
        <v>4332</v>
      </c>
      <c r="G1406" s="4" t="s">
        <v>43</v>
      </c>
      <c r="H1406" s="4">
        <v>20</v>
      </c>
      <c r="I1406" s="4">
        <v>3</v>
      </c>
      <c r="J1406" s="4">
        <v>3</v>
      </c>
      <c r="K1406" s="4">
        <v>3</v>
      </c>
      <c r="L1406" s="4" t="str">
        <f t="shared" si="36"/>
        <v>NORMAL</v>
      </c>
      <c r="M1406" s="4" t="str">
        <f t="shared" si="37"/>
        <v>HIGH</v>
      </c>
      <c r="N1406" s="4" t="str">
        <f t="shared" si="38"/>
        <v>SENIOR</v>
      </c>
      <c r="O1406" s="4" t="str">
        <f t="shared" si="39"/>
        <v>MODERATE-WAIT</v>
      </c>
      <c r="P1406" s="5" t="str">
        <f t="shared" si="40"/>
        <v>Medium_Pressure</v>
      </c>
      <c r="Q1406" s="4" t="str">
        <f t="shared" si="41"/>
        <v>HIGHLY_ENGAGED</v>
      </c>
      <c r="R1406" s="4" t="str">
        <f t="shared" si="42"/>
        <v>LOW</v>
      </c>
      <c r="S1406" s="2"/>
      <c r="T1406" s="2"/>
      <c r="U1406" s="2"/>
      <c r="V1406" s="2"/>
      <c r="W1406" s="2"/>
      <c r="X1406" s="2"/>
      <c r="Y1406" s="2"/>
      <c r="Z1406" s="2"/>
    </row>
    <row r="1407" spans="1:26" ht="16.8" x14ac:dyDescent="0.3">
      <c r="A1407" s="4">
        <v>1979</v>
      </c>
      <c r="B1407" s="4" t="s">
        <v>43</v>
      </c>
      <c r="C1407" s="4">
        <v>31</v>
      </c>
      <c r="D1407" s="4" t="s">
        <v>45</v>
      </c>
      <c r="E1407" s="4" t="s">
        <v>58</v>
      </c>
      <c r="F1407" s="4">
        <v>11031</v>
      </c>
      <c r="G1407" s="4" t="s">
        <v>43</v>
      </c>
      <c r="H1407" s="4">
        <v>11</v>
      </c>
      <c r="I1407" s="4">
        <v>4</v>
      </c>
      <c r="J1407" s="4">
        <v>3</v>
      </c>
      <c r="K1407" s="4">
        <v>4</v>
      </c>
      <c r="L1407" s="4" t="str">
        <f t="shared" si="36"/>
        <v>NORMAL</v>
      </c>
      <c r="M1407" s="4" t="str">
        <f t="shared" si="37"/>
        <v>MEDIUM</v>
      </c>
      <c r="N1407" s="4" t="str">
        <f t="shared" si="38"/>
        <v>SENIOR</v>
      </c>
      <c r="O1407" s="4" t="str">
        <f t="shared" si="39"/>
        <v>STAGNANT</v>
      </c>
      <c r="P1407" s="5" t="str">
        <f t="shared" si="40"/>
        <v>Low_Pressure</v>
      </c>
      <c r="Q1407" s="4" t="str">
        <f t="shared" si="41"/>
        <v>HIGHLY_ENGAGED</v>
      </c>
      <c r="R1407" s="4" t="str">
        <f t="shared" si="42"/>
        <v>LOW</v>
      </c>
      <c r="S1407" s="2"/>
      <c r="T1407" s="2"/>
      <c r="U1407" s="2"/>
      <c r="V1407" s="2"/>
      <c r="W1407" s="2"/>
      <c r="X1407" s="2"/>
      <c r="Y1407" s="2"/>
      <c r="Z1407" s="2"/>
    </row>
    <row r="1408" spans="1:26" ht="16.8" x14ac:dyDescent="0.3">
      <c r="A1408" s="4">
        <v>1980</v>
      </c>
      <c r="B1408" s="4" t="s">
        <v>43</v>
      </c>
      <c r="C1408" s="4">
        <v>54</v>
      </c>
      <c r="D1408" s="4" t="s">
        <v>45</v>
      </c>
      <c r="E1408" s="4" t="s">
        <v>53</v>
      </c>
      <c r="F1408" s="4">
        <v>4440</v>
      </c>
      <c r="G1408" s="4" t="s">
        <v>35</v>
      </c>
      <c r="H1408" s="4">
        <v>5</v>
      </c>
      <c r="I1408" s="4">
        <v>1</v>
      </c>
      <c r="J1408" s="4">
        <v>1</v>
      </c>
      <c r="K1408" s="4">
        <v>3</v>
      </c>
      <c r="L1408" s="4" t="str">
        <f t="shared" si="36"/>
        <v>NORMAL</v>
      </c>
      <c r="M1408" s="4" t="str">
        <f t="shared" si="37"/>
        <v>HIGH</v>
      </c>
      <c r="N1408" s="4" t="str">
        <f t="shared" si="38"/>
        <v>MID</v>
      </c>
      <c r="O1408" s="4" t="str">
        <f t="shared" si="39"/>
        <v>RECENTLY PROMOTED</v>
      </c>
      <c r="P1408" s="5" t="str">
        <f t="shared" si="40"/>
        <v>Medium_Pressure</v>
      </c>
      <c r="Q1408" s="4" t="str">
        <f t="shared" si="41"/>
        <v>DISENGAGED</v>
      </c>
      <c r="R1408" s="4" t="str">
        <f t="shared" si="42"/>
        <v>LOW</v>
      </c>
      <c r="S1408" s="2"/>
      <c r="T1408" s="2"/>
      <c r="U1408" s="2"/>
      <c r="V1408" s="2"/>
      <c r="W1408" s="2"/>
      <c r="X1408" s="2"/>
      <c r="Y1408" s="2"/>
      <c r="Z1408" s="2"/>
    </row>
    <row r="1409" spans="1:26" ht="16.8" x14ac:dyDescent="0.3">
      <c r="A1409" s="4">
        <v>1981</v>
      </c>
      <c r="B1409" s="4" t="s">
        <v>43</v>
      </c>
      <c r="C1409" s="4">
        <v>24</v>
      </c>
      <c r="D1409" s="4" t="s">
        <v>45</v>
      </c>
      <c r="E1409" s="4" t="s">
        <v>54</v>
      </c>
      <c r="F1409" s="4">
        <v>4617</v>
      </c>
      <c r="G1409" s="4" t="s">
        <v>43</v>
      </c>
      <c r="H1409" s="4">
        <v>4</v>
      </c>
      <c r="I1409" s="4">
        <v>1</v>
      </c>
      <c r="J1409" s="4">
        <v>3</v>
      </c>
      <c r="K1409" s="4">
        <v>2</v>
      </c>
      <c r="L1409" s="4" t="str">
        <f t="shared" si="36"/>
        <v>NORMAL</v>
      </c>
      <c r="M1409" s="4" t="str">
        <f t="shared" si="37"/>
        <v>HIGH</v>
      </c>
      <c r="N1409" s="4" t="str">
        <f t="shared" si="38"/>
        <v>MID</v>
      </c>
      <c r="O1409" s="4" t="str">
        <f t="shared" si="39"/>
        <v>RECENTLY PROMOTED</v>
      </c>
      <c r="P1409" s="5" t="str">
        <f t="shared" si="40"/>
        <v>Low_Pressure</v>
      </c>
      <c r="Q1409" s="4" t="str">
        <f t="shared" si="41"/>
        <v>DISENGAGED</v>
      </c>
      <c r="R1409" s="4" t="str">
        <f t="shared" si="42"/>
        <v>LOW</v>
      </c>
      <c r="S1409" s="2"/>
      <c r="T1409" s="2"/>
      <c r="U1409" s="2"/>
      <c r="V1409" s="2"/>
      <c r="W1409" s="2"/>
      <c r="X1409" s="2"/>
      <c r="Y1409" s="2"/>
      <c r="Z1409" s="2"/>
    </row>
    <row r="1410" spans="1:26" ht="16.8" x14ac:dyDescent="0.3">
      <c r="A1410" s="4">
        <v>1982</v>
      </c>
      <c r="B1410" s="4" t="s">
        <v>43</v>
      </c>
      <c r="C1410" s="4">
        <v>23</v>
      </c>
      <c r="D1410" s="4" t="s">
        <v>45</v>
      </c>
      <c r="E1410" s="4" t="s">
        <v>50</v>
      </c>
      <c r="F1410" s="4">
        <v>2647</v>
      </c>
      <c r="G1410" s="4" t="s">
        <v>43</v>
      </c>
      <c r="H1410" s="4">
        <v>5</v>
      </c>
      <c r="I1410" s="4">
        <v>1</v>
      </c>
      <c r="J1410" s="4">
        <v>4</v>
      </c>
      <c r="K1410" s="4">
        <v>4</v>
      </c>
      <c r="L1410" s="4" t="str">
        <f t="shared" si="36"/>
        <v>NORMAL</v>
      </c>
      <c r="M1410" s="4" t="str">
        <f t="shared" si="37"/>
        <v>LOW</v>
      </c>
      <c r="N1410" s="4" t="str">
        <f t="shared" si="38"/>
        <v>MID</v>
      </c>
      <c r="O1410" s="4" t="str">
        <f t="shared" si="39"/>
        <v>RECENTLY PROMOTED</v>
      </c>
      <c r="P1410" s="5" t="str">
        <f t="shared" si="40"/>
        <v>Low_Pressure</v>
      </c>
      <c r="Q1410" s="4" t="str">
        <f t="shared" si="41"/>
        <v>HIGHLY_ENGAGED</v>
      </c>
      <c r="R1410" s="4" t="str">
        <f t="shared" si="42"/>
        <v>LOW</v>
      </c>
      <c r="S1410" s="2"/>
      <c r="T1410" s="2"/>
      <c r="U1410" s="2"/>
      <c r="V1410" s="2"/>
      <c r="W1410" s="2"/>
      <c r="X1410" s="2"/>
      <c r="Y1410" s="2"/>
      <c r="Z1410" s="2"/>
    </row>
    <row r="1411" spans="1:26" ht="16.8" x14ac:dyDescent="0.3">
      <c r="A1411" s="4">
        <v>1985</v>
      </c>
      <c r="B1411" s="4" t="s">
        <v>43</v>
      </c>
      <c r="C1411" s="4">
        <v>40</v>
      </c>
      <c r="D1411" s="4" t="s">
        <v>45</v>
      </c>
      <c r="E1411" s="4" t="s">
        <v>50</v>
      </c>
      <c r="F1411" s="4">
        <v>6323</v>
      </c>
      <c r="G1411" s="4" t="s">
        <v>43</v>
      </c>
      <c r="H1411" s="4">
        <v>10</v>
      </c>
      <c r="I1411" s="4">
        <v>9</v>
      </c>
      <c r="J1411" s="4">
        <v>3</v>
      </c>
      <c r="K1411" s="4">
        <v>4</v>
      </c>
      <c r="L1411" s="4" t="str">
        <f t="shared" si="36"/>
        <v>NORMAL</v>
      </c>
      <c r="M1411" s="4" t="str">
        <f t="shared" si="37"/>
        <v>HIGH</v>
      </c>
      <c r="N1411" s="4" t="str">
        <f t="shared" si="38"/>
        <v>SENIOR</v>
      </c>
      <c r="O1411" s="4" t="str">
        <f t="shared" si="39"/>
        <v>STAGNANT</v>
      </c>
      <c r="P1411" s="5" t="str">
        <f t="shared" si="40"/>
        <v>Low_Pressure</v>
      </c>
      <c r="Q1411" s="4" t="str">
        <f t="shared" si="41"/>
        <v>HIGHLY_ENGAGED</v>
      </c>
      <c r="R1411" s="4" t="str">
        <f t="shared" si="42"/>
        <v>LOW</v>
      </c>
      <c r="S1411" s="2"/>
      <c r="T1411" s="2"/>
      <c r="U1411" s="2"/>
      <c r="V1411" s="2"/>
      <c r="W1411" s="2"/>
      <c r="X1411" s="2"/>
      <c r="Y1411" s="2"/>
      <c r="Z1411" s="2"/>
    </row>
    <row r="1412" spans="1:26" ht="16.8" x14ac:dyDescent="0.3">
      <c r="A1412" s="4">
        <v>1986</v>
      </c>
      <c r="B1412" s="4" t="s">
        <v>43</v>
      </c>
      <c r="C1412" s="4">
        <v>40</v>
      </c>
      <c r="D1412" s="4" t="s">
        <v>37</v>
      </c>
      <c r="E1412" s="4" t="s">
        <v>40</v>
      </c>
      <c r="F1412" s="4">
        <v>5677</v>
      </c>
      <c r="G1412" s="4" t="s">
        <v>43</v>
      </c>
      <c r="H1412" s="4">
        <v>11</v>
      </c>
      <c r="I1412" s="4">
        <v>5</v>
      </c>
      <c r="J1412" s="4">
        <v>2</v>
      </c>
      <c r="K1412" s="4">
        <v>3</v>
      </c>
      <c r="L1412" s="4" t="str">
        <f t="shared" si="36"/>
        <v>NORMAL</v>
      </c>
      <c r="M1412" s="4" t="str">
        <f t="shared" si="37"/>
        <v>HIGH</v>
      </c>
      <c r="N1412" s="4" t="str">
        <f t="shared" si="38"/>
        <v>SENIOR</v>
      </c>
      <c r="O1412" s="4" t="str">
        <f t="shared" si="39"/>
        <v>STAGNANT</v>
      </c>
      <c r="P1412" s="5" t="str">
        <f t="shared" si="40"/>
        <v>Medium_Pressure</v>
      </c>
      <c r="Q1412" s="4" t="str">
        <f t="shared" si="41"/>
        <v>DISENGAGED</v>
      </c>
      <c r="R1412" s="4" t="str">
        <f t="shared" si="42"/>
        <v>LOW</v>
      </c>
      <c r="S1412" s="2"/>
      <c r="T1412" s="2"/>
      <c r="U1412" s="2"/>
      <c r="V1412" s="2"/>
      <c r="W1412" s="2"/>
      <c r="X1412" s="2"/>
      <c r="Y1412" s="2"/>
      <c r="Z1412" s="2"/>
    </row>
    <row r="1413" spans="1:26" ht="16.8" x14ac:dyDescent="0.3">
      <c r="A1413" s="4">
        <v>1987</v>
      </c>
      <c r="B1413" s="4" t="s">
        <v>43</v>
      </c>
      <c r="C1413" s="4">
        <v>25</v>
      </c>
      <c r="D1413" s="4" t="s">
        <v>61</v>
      </c>
      <c r="E1413" s="4" t="s">
        <v>61</v>
      </c>
      <c r="F1413" s="4">
        <v>2187</v>
      </c>
      <c r="G1413" s="4" t="s">
        <v>43</v>
      </c>
      <c r="H1413" s="4">
        <v>2</v>
      </c>
      <c r="I1413" s="4">
        <v>1</v>
      </c>
      <c r="J1413" s="4">
        <v>2</v>
      </c>
      <c r="K1413" s="4">
        <v>3</v>
      </c>
      <c r="L1413" s="4" t="str">
        <f t="shared" si="36"/>
        <v>NORMAL</v>
      </c>
      <c r="M1413" s="4" t="str">
        <f t="shared" si="37"/>
        <v>LOW</v>
      </c>
      <c r="N1413" s="4" t="str">
        <f t="shared" si="38"/>
        <v>NEW</v>
      </c>
      <c r="O1413" s="4" t="str">
        <f t="shared" si="39"/>
        <v>RECENTLY PROMOTED</v>
      </c>
      <c r="P1413" s="5" t="str">
        <f t="shared" si="40"/>
        <v>Medium_Pressure</v>
      </c>
      <c r="Q1413" s="4" t="str">
        <f t="shared" si="41"/>
        <v>DISENGAGED</v>
      </c>
      <c r="R1413" s="4" t="str">
        <f t="shared" si="42"/>
        <v>LOW</v>
      </c>
      <c r="S1413" s="2"/>
      <c r="T1413" s="2"/>
      <c r="U1413" s="2"/>
      <c r="V1413" s="2"/>
      <c r="W1413" s="2"/>
      <c r="X1413" s="2"/>
      <c r="Y1413" s="2"/>
      <c r="Z1413" s="2"/>
    </row>
    <row r="1414" spans="1:26" ht="16.8" x14ac:dyDescent="0.3">
      <c r="A1414" s="4">
        <v>1989</v>
      </c>
      <c r="B1414" s="4" t="s">
        <v>43</v>
      </c>
      <c r="C1414" s="4">
        <v>30</v>
      </c>
      <c r="D1414" s="4" t="s">
        <v>45</v>
      </c>
      <c r="E1414" s="4" t="s">
        <v>50</v>
      </c>
      <c r="F1414" s="4">
        <v>3748</v>
      </c>
      <c r="G1414" s="4" t="s">
        <v>43</v>
      </c>
      <c r="H1414" s="4">
        <v>12</v>
      </c>
      <c r="I1414" s="4">
        <v>1</v>
      </c>
      <c r="J1414" s="4">
        <v>2</v>
      </c>
      <c r="K1414" s="4">
        <v>2</v>
      </c>
      <c r="L1414" s="4" t="str">
        <f t="shared" si="36"/>
        <v>NORMAL</v>
      </c>
      <c r="M1414" s="4" t="str">
        <f t="shared" si="37"/>
        <v>LOW</v>
      </c>
      <c r="N1414" s="4" t="str">
        <f t="shared" si="38"/>
        <v>SENIOR</v>
      </c>
      <c r="O1414" s="4" t="str">
        <f t="shared" si="39"/>
        <v>RECENTLY PROMOTED</v>
      </c>
      <c r="P1414" s="5" t="str">
        <f t="shared" si="40"/>
        <v>Low_Pressure</v>
      </c>
      <c r="Q1414" s="4" t="str">
        <f t="shared" si="41"/>
        <v>DISENGAGED</v>
      </c>
      <c r="R1414" s="4" t="str">
        <f t="shared" si="42"/>
        <v>LOW</v>
      </c>
      <c r="S1414" s="2"/>
      <c r="T1414" s="2"/>
      <c r="U1414" s="2"/>
      <c r="V1414" s="2"/>
      <c r="W1414" s="2"/>
      <c r="X1414" s="2"/>
      <c r="Y1414" s="2"/>
      <c r="Z1414" s="2"/>
    </row>
    <row r="1415" spans="1:26" ht="16.8" x14ac:dyDescent="0.3">
      <c r="A1415" s="4">
        <v>1992</v>
      </c>
      <c r="B1415" s="4" t="s">
        <v>43</v>
      </c>
      <c r="C1415" s="4">
        <v>25</v>
      </c>
      <c r="D1415" s="4" t="s">
        <v>45</v>
      </c>
      <c r="E1415" s="4" t="s">
        <v>50</v>
      </c>
      <c r="F1415" s="4">
        <v>3977</v>
      </c>
      <c r="G1415" s="4" t="s">
        <v>35</v>
      </c>
      <c r="H1415" s="4">
        <v>2</v>
      </c>
      <c r="I1415" s="4">
        <v>0</v>
      </c>
      <c r="J1415" s="4">
        <v>3</v>
      </c>
      <c r="K1415" s="4">
        <v>2</v>
      </c>
      <c r="L1415" s="4" t="str">
        <f t="shared" si="36"/>
        <v>NORMAL</v>
      </c>
      <c r="M1415" s="4" t="str">
        <f t="shared" si="37"/>
        <v>LOW</v>
      </c>
      <c r="N1415" s="4" t="str">
        <f t="shared" si="38"/>
        <v>NEW</v>
      </c>
      <c r="O1415" s="4" t="str">
        <f t="shared" si="39"/>
        <v>RECENTLY PROMOTED</v>
      </c>
      <c r="P1415" s="5" t="str">
        <f t="shared" si="40"/>
        <v>High_Pressure</v>
      </c>
      <c r="Q1415" s="4" t="str">
        <f t="shared" si="41"/>
        <v>DISENGAGED</v>
      </c>
      <c r="R1415" s="4" t="str">
        <f t="shared" si="42"/>
        <v>LOW</v>
      </c>
      <c r="S1415" s="2"/>
      <c r="T1415" s="2"/>
      <c r="U1415" s="2"/>
      <c r="V1415" s="2"/>
      <c r="W1415" s="2"/>
      <c r="X1415" s="2"/>
      <c r="Y1415" s="2"/>
      <c r="Z1415" s="2"/>
    </row>
    <row r="1416" spans="1:26" ht="16.8" x14ac:dyDescent="0.3">
      <c r="A1416" s="4">
        <v>1993</v>
      </c>
      <c r="B1416" s="4" t="s">
        <v>43</v>
      </c>
      <c r="C1416" s="4">
        <v>47</v>
      </c>
      <c r="D1416" s="4" t="s">
        <v>45</v>
      </c>
      <c r="E1416" s="4" t="s">
        <v>54</v>
      </c>
      <c r="F1416" s="4">
        <v>8633</v>
      </c>
      <c r="G1416" s="4" t="s">
        <v>43</v>
      </c>
      <c r="H1416" s="4">
        <v>17</v>
      </c>
      <c r="I1416" s="4">
        <v>12</v>
      </c>
      <c r="J1416" s="4">
        <v>3</v>
      </c>
      <c r="K1416" s="4">
        <v>3</v>
      </c>
      <c r="L1416" s="4" t="str">
        <f t="shared" si="36"/>
        <v>NORMAL</v>
      </c>
      <c r="M1416" s="4" t="str">
        <f t="shared" si="37"/>
        <v>HIGH</v>
      </c>
      <c r="N1416" s="4" t="str">
        <f t="shared" si="38"/>
        <v>SENIOR</v>
      </c>
      <c r="O1416" s="4" t="str">
        <f t="shared" si="39"/>
        <v>STAGNANT</v>
      </c>
      <c r="P1416" s="5" t="str">
        <f t="shared" si="40"/>
        <v>Medium_Pressure</v>
      </c>
      <c r="Q1416" s="4" t="str">
        <f t="shared" si="41"/>
        <v>HIGHLY_ENGAGED</v>
      </c>
      <c r="R1416" s="4" t="str">
        <f t="shared" si="42"/>
        <v>LOW</v>
      </c>
      <c r="S1416" s="2"/>
      <c r="T1416" s="2"/>
      <c r="U1416" s="2"/>
      <c r="V1416" s="2"/>
      <c r="W1416" s="2"/>
      <c r="X1416" s="2"/>
      <c r="Y1416" s="2"/>
      <c r="Z1416" s="2"/>
    </row>
    <row r="1417" spans="1:26" ht="16.8" x14ac:dyDescent="0.3">
      <c r="A1417" s="4">
        <v>1994</v>
      </c>
      <c r="B1417" s="4" t="s">
        <v>43</v>
      </c>
      <c r="C1417" s="4">
        <v>33</v>
      </c>
      <c r="D1417" s="4" t="s">
        <v>45</v>
      </c>
      <c r="E1417" s="4" t="s">
        <v>50</v>
      </c>
      <c r="F1417" s="4">
        <v>2008</v>
      </c>
      <c r="G1417" s="4" t="s">
        <v>43</v>
      </c>
      <c r="H1417" s="4">
        <v>1</v>
      </c>
      <c r="I1417" s="4">
        <v>0</v>
      </c>
      <c r="J1417" s="4">
        <v>3</v>
      </c>
      <c r="K1417" s="4">
        <v>2</v>
      </c>
      <c r="L1417" s="4" t="str">
        <f t="shared" si="36"/>
        <v>NORMAL</v>
      </c>
      <c r="M1417" s="4" t="str">
        <f t="shared" si="37"/>
        <v>LOW</v>
      </c>
      <c r="N1417" s="4" t="str">
        <f t="shared" si="38"/>
        <v>NEW</v>
      </c>
      <c r="O1417" s="4" t="str">
        <f t="shared" si="39"/>
        <v>RECENTLY PROMOTED</v>
      </c>
      <c r="P1417" s="5" t="str">
        <f t="shared" si="40"/>
        <v>Low_Pressure</v>
      </c>
      <c r="Q1417" s="4" t="str">
        <f t="shared" si="41"/>
        <v>DISENGAGED</v>
      </c>
      <c r="R1417" s="4" t="str">
        <f t="shared" si="42"/>
        <v>LOW</v>
      </c>
      <c r="S1417" s="2"/>
      <c r="T1417" s="2"/>
      <c r="U1417" s="2"/>
      <c r="V1417" s="2"/>
      <c r="W1417" s="2"/>
      <c r="X1417" s="2"/>
      <c r="Y1417" s="2"/>
      <c r="Z1417" s="2"/>
    </row>
    <row r="1418" spans="1:26" ht="16.8" x14ac:dyDescent="0.3">
      <c r="A1418" s="4">
        <v>1995</v>
      </c>
      <c r="B1418" s="4" t="s">
        <v>43</v>
      </c>
      <c r="C1418" s="4">
        <v>38</v>
      </c>
      <c r="D1418" s="4" t="s">
        <v>37</v>
      </c>
      <c r="E1418" s="4" t="s">
        <v>40</v>
      </c>
      <c r="F1418" s="4">
        <v>4440</v>
      </c>
      <c r="G1418" s="4" t="s">
        <v>43</v>
      </c>
      <c r="H1418" s="4">
        <v>15</v>
      </c>
      <c r="I1418" s="4">
        <v>5</v>
      </c>
      <c r="J1418" s="4">
        <v>2</v>
      </c>
      <c r="K1418" s="4">
        <v>3</v>
      </c>
      <c r="L1418" s="4" t="str">
        <f t="shared" si="36"/>
        <v>NORMAL</v>
      </c>
      <c r="M1418" s="4" t="str">
        <f t="shared" si="37"/>
        <v>HIGH</v>
      </c>
      <c r="N1418" s="4" t="str">
        <f t="shared" si="38"/>
        <v>SENIOR</v>
      </c>
      <c r="O1418" s="4" t="str">
        <f t="shared" si="39"/>
        <v>STAGNANT</v>
      </c>
      <c r="P1418" s="5" t="str">
        <f t="shared" si="40"/>
        <v>Medium_Pressure</v>
      </c>
      <c r="Q1418" s="4" t="str">
        <f t="shared" si="41"/>
        <v>DISENGAGED</v>
      </c>
      <c r="R1418" s="4" t="str">
        <f t="shared" si="42"/>
        <v>LOW</v>
      </c>
      <c r="S1418" s="2"/>
      <c r="T1418" s="2"/>
      <c r="U1418" s="2"/>
      <c r="V1418" s="2"/>
      <c r="W1418" s="2"/>
      <c r="X1418" s="2"/>
      <c r="Y1418" s="2"/>
      <c r="Z1418" s="2"/>
    </row>
    <row r="1419" spans="1:26" ht="16.8" x14ac:dyDescent="0.3">
      <c r="A1419" s="4">
        <v>1996</v>
      </c>
      <c r="B1419" s="4" t="s">
        <v>43</v>
      </c>
      <c r="C1419" s="4">
        <v>31</v>
      </c>
      <c r="D1419" s="4" t="s">
        <v>37</v>
      </c>
      <c r="E1419" s="4" t="s">
        <v>57</v>
      </c>
      <c r="F1419" s="4">
        <v>3067</v>
      </c>
      <c r="G1419" s="4" t="s">
        <v>43</v>
      </c>
      <c r="H1419" s="4">
        <v>2</v>
      </c>
      <c r="I1419" s="4">
        <v>1</v>
      </c>
      <c r="J1419" s="4">
        <v>3</v>
      </c>
      <c r="K1419" s="4">
        <v>3</v>
      </c>
      <c r="L1419" s="4" t="str">
        <f t="shared" si="36"/>
        <v>NORMAL</v>
      </c>
      <c r="M1419" s="4" t="str">
        <f t="shared" si="37"/>
        <v>LOW</v>
      </c>
      <c r="N1419" s="4" t="str">
        <f t="shared" si="38"/>
        <v>NEW</v>
      </c>
      <c r="O1419" s="4" t="str">
        <f t="shared" si="39"/>
        <v>RECENTLY PROMOTED</v>
      </c>
      <c r="P1419" s="5" t="str">
        <f t="shared" si="40"/>
        <v>Medium_Pressure</v>
      </c>
      <c r="Q1419" s="4" t="str">
        <f t="shared" si="41"/>
        <v>HIGHLY_ENGAGED</v>
      </c>
      <c r="R1419" s="4" t="str">
        <f t="shared" si="42"/>
        <v>LOW</v>
      </c>
      <c r="S1419" s="2"/>
      <c r="T1419" s="2"/>
      <c r="U1419" s="2"/>
      <c r="V1419" s="2"/>
      <c r="W1419" s="2"/>
      <c r="X1419" s="2"/>
      <c r="Y1419" s="2"/>
      <c r="Z1419" s="2"/>
    </row>
    <row r="1420" spans="1:26" ht="16.8" x14ac:dyDescent="0.3">
      <c r="A1420" s="4">
        <v>1997</v>
      </c>
      <c r="B1420" s="4" t="s">
        <v>43</v>
      </c>
      <c r="C1420" s="4">
        <v>38</v>
      </c>
      <c r="D1420" s="4" t="s">
        <v>45</v>
      </c>
      <c r="E1420" s="4" t="s">
        <v>53</v>
      </c>
      <c r="F1420" s="4">
        <v>5321</v>
      </c>
      <c r="G1420" s="4" t="s">
        <v>43</v>
      </c>
      <c r="H1420" s="4">
        <v>8</v>
      </c>
      <c r="I1420" s="4">
        <v>7</v>
      </c>
      <c r="J1420" s="4">
        <v>3</v>
      </c>
      <c r="K1420" s="4">
        <v>3</v>
      </c>
      <c r="L1420" s="4" t="str">
        <f t="shared" si="36"/>
        <v>NORMAL</v>
      </c>
      <c r="M1420" s="4" t="str">
        <f t="shared" si="37"/>
        <v>HIGH</v>
      </c>
      <c r="N1420" s="4" t="str">
        <f t="shared" si="38"/>
        <v>SENIOR</v>
      </c>
      <c r="O1420" s="4" t="str">
        <f t="shared" si="39"/>
        <v>STAGNANT</v>
      </c>
      <c r="P1420" s="5" t="str">
        <f t="shared" si="40"/>
        <v>Medium_Pressure</v>
      </c>
      <c r="Q1420" s="4" t="str">
        <f t="shared" si="41"/>
        <v>HIGHLY_ENGAGED</v>
      </c>
      <c r="R1420" s="4" t="str">
        <f t="shared" si="42"/>
        <v>LOW</v>
      </c>
      <c r="S1420" s="2"/>
      <c r="T1420" s="2"/>
      <c r="U1420" s="2"/>
      <c r="V1420" s="2"/>
      <c r="W1420" s="2"/>
      <c r="X1420" s="2"/>
      <c r="Y1420" s="2"/>
      <c r="Z1420" s="2"/>
    </row>
    <row r="1421" spans="1:26" ht="16.8" x14ac:dyDescent="0.3">
      <c r="A1421" s="4">
        <v>1998</v>
      </c>
      <c r="B1421" s="4" t="s">
        <v>43</v>
      </c>
      <c r="C1421" s="4">
        <v>42</v>
      </c>
      <c r="D1421" s="4" t="s">
        <v>45</v>
      </c>
      <c r="E1421" s="4" t="s">
        <v>47</v>
      </c>
      <c r="F1421" s="4">
        <v>5410</v>
      </c>
      <c r="G1421" s="4" t="s">
        <v>35</v>
      </c>
      <c r="H1421" s="4">
        <v>4</v>
      </c>
      <c r="I1421" s="4">
        <v>1</v>
      </c>
      <c r="J1421" s="4">
        <v>1</v>
      </c>
      <c r="K1421" s="4">
        <v>2</v>
      </c>
      <c r="L1421" s="4" t="str">
        <f t="shared" si="36"/>
        <v>NORMAL</v>
      </c>
      <c r="M1421" s="4" t="str">
        <f t="shared" si="37"/>
        <v>HIGH</v>
      </c>
      <c r="N1421" s="4" t="str">
        <f t="shared" si="38"/>
        <v>MID</v>
      </c>
      <c r="O1421" s="4" t="str">
        <f t="shared" si="39"/>
        <v>RECENTLY PROMOTED</v>
      </c>
      <c r="P1421" s="5" t="str">
        <f t="shared" si="40"/>
        <v>High_Pressure</v>
      </c>
      <c r="Q1421" s="4" t="str">
        <f t="shared" si="41"/>
        <v>DISENGAGED</v>
      </c>
      <c r="R1421" s="4" t="str">
        <f t="shared" si="42"/>
        <v>LOW</v>
      </c>
      <c r="S1421" s="2"/>
      <c r="T1421" s="2"/>
      <c r="U1421" s="2"/>
      <c r="V1421" s="2"/>
      <c r="W1421" s="2"/>
      <c r="X1421" s="2"/>
      <c r="Y1421" s="2"/>
      <c r="Z1421" s="2"/>
    </row>
    <row r="1422" spans="1:26" ht="16.8" x14ac:dyDescent="0.3">
      <c r="A1422" s="4">
        <v>1999</v>
      </c>
      <c r="B1422" s="4" t="s">
        <v>43</v>
      </c>
      <c r="C1422" s="4">
        <v>41</v>
      </c>
      <c r="D1422" s="4" t="s">
        <v>45</v>
      </c>
      <c r="E1422" s="4" t="s">
        <v>47</v>
      </c>
      <c r="F1422" s="4">
        <v>2782</v>
      </c>
      <c r="G1422" s="4" t="s">
        <v>43</v>
      </c>
      <c r="H1422" s="4">
        <v>5</v>
      </c>
      <c r="I1422" s="4">
        <v>1</v>
      </c>
      <c r="J1422" s="4">
        <v>4</v>
      </c>
      <c r="K1422" s="4">
        <v>3</v>
      </c>
      <c r="L1422" s="4" t="str">
        <f t="shared" si="36"/>
        <v>NORMAL</v>
      </c>
      <c r="M1422" s="4" t="str">
        <f t="shared" si="37"/>
        <v>LOW</v>
      </c>
      <c r="N1422" s="4" t="str">
        <f t="shared" si="38"/>
        <v>MID</v>
      </c>
      <c r="O1422" s="4" t="str">
        <f t="shared" si="39"/>
        <v>RECENTLY PROMOTED</v>
      </c>
      <c r="P1422" s="5" t="str">
        <f t="shared" si="40"/>
        <v>Medium_Pressure</v>
      </c>
      <c r="Q1422" s="4" t="str">
        <f t="shared" si="41"/>
        <v>HIGHLY_ENGAGED</v>
      </c>
      <c r="R1422" s="4" t="str">
        <f t="shared" si="42"/>
        <v>LOW</v>
      </c>
      <c r="S1422" s="2"/>
      <c r="T1422" s="2"/>
      <c r="U1422" s="2"/>
      <c r="V1422" s="2"/>
      <c r="W1422" s="2"/>
      <c r="X1422" s="2"/>
      <c r="Y1422" s="2"/>
      <c r="Z1422" s="2"/>
    </row>
    <row r="1423" spans="1:26" ht="16.8" x14ac:dyDescent="0.3">
      <c r="A1423" s="4">
        <v>2000</v>
      </c>
      <c r="B1423" s="4" t="s">
        <v>43</v>
      </c>
      <c r="C1423" s="4">
        <v>47</v>
      </c>
      <c r="D1423" s="4" t="s">
        <v>45</v>
      </c>
      <c r="E1423" s="4" t="s">
        <v>58</v>
      </c>
      <c r="F1423" s="4">
        <v>11957</v>
      </c>
      <c r="G1423" s="4" t="s">
        <v>43</v>
      </c>
      <c r="H1423" s="4">
        <v>13</v>
      </c>
      <c r="I1423" s="4">
        <v>5</v>
      </c>
      <c r="J1423" s="4">
        <v>2</v>
      </c>
      <c r="K1423" s="4">
        <v>1</v>
      </c>
      <c r="L1423" s="4" t="str">
        <f t="shared" si="36"/>
        <v>NORMAL</v>
      </c>
      <c r="M1423" s="4" t="str">
        <f t="shared" si="37"/>
        <v>MEDIUM</v>
      </c>
      <c r="N1423" s="4" t="str">
        <f t="shared" si="38"/>
        <v>SENIOR</v>
      </c>
      <c r="O1423" s="4" t="str">
        <f t="shared" si="39"/>
        <v>STAGNANT</v>
      </c>
      <c r="P1423" s="5" t="str">
        <f t="shared" si="40"/>
        <v>Low_Pressure</v>
      </c>
      <c r="Q1423" s="4" t="str">
        <f t="shared" si="41"/>
        <v>DISENGAGED</v>
      </c>
      <c r="R1423" s="4" t="str">
        <f t="shared" si="42"/>
        <v>LOW</v>
      </c>
      <c r="S1423" s="2"/>
      <c r="T1423" s="2"/>
      <c r="U1423" s="2"/>
      <c r="V1423" s="2"/>
      <c r="W1423" s="2"/>
      <c r="X1423" s="2"/>
      <c r="Y1423" s="2"/>
      <c r="Z1423" s="2"/>
    </row>
    <row r="1424" spans="1:26" ht="16.8" x14ac:dyDescent="0.3">
      <c r="A1424" s="4">
        <v>2003</v>
      </c>
      <c r="B1424" s="4" t="s">
        <v>43</v>
      </c>
      <c r="C1424" s="4">
        <v>35</v>
      </c>
      <c r="D1424" s="4" t="s">
        <v>45</v>
      </c>
      <c r="E1424" s="4" t="s">
        <v>50</v>
      </c>
      <c r="F1424" s="4">
        <v>2660</v>
      </c>
      <c r="G1424" s="4" t="s">
        <v>35</v>
      </c>
      <c r="H1424" s="4">
        <v>2</v>
      </c>
      <c r="I1424" s="4">
        <v>2</v>
      </c>
      <c r="J1424" s="4">
        <v>3</v>
      </c>
      <c r="K1424" s="4">
        <v>3</v>
      </c>
      <c r="L1424" s="4" t="str">
        <f t="shared" si="36"/>
        <v>NORMAL</v>
      </c>
      <c r="M1424" s="4" t="str">
        <f t="shared" si="37"/>
        <v>LOW</v>
      </c>
      <c r="N1424" s="4" t="str">
        <f t="shared" si="38"/>
        <v>NEW</v>
      </c>
      <c r="O1424" s="4" t="str">
        <f t="shared" si="39"/>
        <v>MODERATE-WAIT</v>
      </c>
      <c r="P1424" s="5" t="str">
        <f t="shared" si="40"/>
        <v>Medium_Pressure</v>
      </c>
      <c r="Q1424" s="4" t="str">
        <f t="shared" si="41"/>
        <v>HIGHLY_ENGAGED</v>
      </c>
      <c r="R1424" s="4" t="str">
        <f t="shared" si="42"/>
        <v>LOW</v>
      </c>
      <c r="S1424" s="2"/>
      <c r="T1424" s="2"/>
      <c r="U1424" s="2"/>
      <c r="V1424" s="2"/>
      <c r="W1424" s="2"/>
      <c r="X1424" s="2"/>
      <c r="Y1424" s="2"/>
      <c r="Z1424" s="2"/>
    </row>
    <row r="1425" spans="1:26" ht="16.8" x14ac:dyDescent="0.3">
      <c r="A1425" s="4">
        <v>2007</v>
      </c>
      <c r="B1425" s="4" t="s">
        <v>43</v>
      </c>
      <c r="C1425" s="4">
        <v>22</v>
      </c>
      <c r="D1425" s="4" t="s">
        <v>45</v>
      </c>
      <c r="E1425" s="4" t="s">
        <v>47</v>
      </c>
      <c r="F1425" s="4">
        <v>3375</v>
      </c>
      <c r="G1425" s="4" t="s">
        <v>43</v>
      </c>
      <c r="H1425" s="4">
        <v>3</v>
      </c>
      <c r="I1425" s="4">
        <v>1</v>
      </c>
      <c r="J1425" s="4">
        <v>3</v>
      </c>
      <c r="K1425" s="4">
        <v>4</v>
      </c>
      <c r="L1425" s="4" t="str">
        <f t="shared" si="36"/>
        <v>NORMAL</v>
      </c>
      <c r="M1425" s="4" t="str">
        <f t="shared" si="37"/>
        <v>LOW</v>
      </c>
      <c r="N1425" s="4" t="str">
        <f t="shared" si="38"/>
        <v>MID</v>
      </c>
      <c r="O1425" s="4" t="str">
        <f t="shared" si="39"/>
        <v>RECENTLY PROMOTED</v>
      </c>
      <c r="P1425" s="5" t="str">
        <f t="shared" si="40"/>
        <v>Low_Pressure</v>
      </c>
      <c r="Q1425" s="4" t="str">
        <f t="shared" si="41"/>
        <v>HIGHLY_ENGAGED</v>
      </c>
      <c r="R1425" s="4" t="str">
        <f t="shared" si="42"/>
        <v>LOW</v>
      </c>
      <c r="S1425" s="2"/>
      <c r="T1425" s="2"/>
      <c r="U1425" s="2"/>
      <c r="V1425" s="2"/>
      <c r="W1425" s="2"/>
      <c r="X1425" s="2"/>
      <c r="Y1425" s="2"/>
      <c r="Z1425" s="2"/>
    </row>
    <row r="1426" spans="1:26" ht="16.8" x14ac:dyDescent="0.3">
      <c r="A1426" s="4">
        <v>2008</v>
      </c>
      <c r="B1426" s="4" t="s">
        <v>43</v>
      </c>
      <c r="C1426" s="4">
        <v>35</v>
      </c>
      <c r="D1426" s="4" t="s">
        <v>45</v>
      </c>
      <c r="E1426" s="4" t="s">
        <v>47</v>
      </c>
      <c r="F1426" s="4">
        <v>5098</v>
      </c>
      <c r="G1426" s="4" t="s">
        <v>43</v>
      </c>
      <c r="H1426" s="4">
        <v>10</v>
      </c>
      <c r="I1426" s="4">
        <v>0</v>
      </c>
      <c r="J1426" s="4">
        <v>3</v>
      </c>
      <c r="K1426" s="4">
        <v>3</v>
      </c>
      <c r="L1426" s="4" t="str">
        <f t="shared" si="36"/>
        <v>NORMAL</v>
      </c>
      <c r="M1426" s="4" t="str">
        <f t="shared" si="37"/>
        <v>HIGH</v>
      </c>
      <c r="N1426" s="4" t="str">
        <f t="shared" si="38"/>
        <v>SENIOR</v>
      </c>
      <c r="O1426" s="4" t="str">
        <f t="shared" si="39"/>
        <v>RECENTLY PROMOTED</v>
      </c>
      <c r="P1426" s="5" t="str">
        <f t="shared" si="40"/>
        <v>Medium_Pressure</v>
      </c>
      <c r="Q1426" s="4" t="str">
        <f t="shared" si="41"/>
        <v>HIGHLY_ENGAGED</v>
      </c>
      <c r="R1426" s="4" t="str">
        <f t="shared" si="42"/>
        <v>LOW</v>
      </c>
      <c r="S1426" s="2"/>
      <c r="T1426" s="2"/>
      <c r="U1426" s="2"/>
      <c r="V1426" s="2"/>
      <c r="W1426" s="2"/>
      <c r="X1426" s="2"/>
      <c r="Y1426" s="2"/>
      <c r="Z1426" s="2"/>
    </row>
    <row r="1427" spans="1:26" ht="16.8" x14ac:dyDescent="0.3">
      <c r="A1427" s="4">
        <v>2009</v>
      </c>
      <c r="B1427" s="4" t="s">
        <v>43</v>
      </c>
      <c r="C1427" s="4">
        <v>33</v>
      </c>
      <c r="D1427" s="4" t="s">
        <v>45</v>
      </c>
      <c r="E1427" s="4" t="s">
        <v>54</v>
      </c>
      <c r="F1427" s="4">
        <v>4878</v>
      </c>
      <c r="G1427" s="4" t="s">
        <v>35</v>
      </c>
      <c r="H1427" s="4">
        <v>9</v>
      </c>
      <c r="I1427" s="4">
        <v>8</v>
      </c>
      <c r="J1427" s="4">
        <v>4</v>
      </c>
      <c r="K1427" s="4">
        <v>3</v>
      </c>
      <c r="L1427" s="4" t="str">
        <f t="shared" si="36"/>
        <v>NORMAL</v>
      </c>
      <c r="M1427" s="4" t="str">
        <f t="shared" si="37"/>
        <v>HIGH</v>
      </c>
      <c r="N1427" s="4" t="str">
        <f t="shared" si="38"/>
        <v>SENIOR</v>
      </c>
      <c r="O1427" s="4" t="str">
        <f t="shared" si="39"/>
        <v>STAGNANT</v>
      </c>
      <c r="P1427" s="5" t="str">
        <f t="shared" si="40"/>
        <v>Medium_Pressure</v>
      </c>
      <c r="Q1427" s="4" t="str">
        <f t="shared" si="41"/>
        <v>HIGHLY_ENGAGED</v>
      </c>
      <c r="R1427" s="4" t="str">
        <f t="shared" si="42"/>
        <v>LOW</v>
      </c>
      <c r="S1427" s="2"/>
      <c r="T1427" s="2"/>
      <c r="U1427" s="2"/>
      <c r="V1427" s="2"/>
      <c r="W1427" s="2"/>
      <c r="X1427" s="2"/>
      <c r="Y1427" s="2"/>
      <c r="Z1427" s="2"/>
    </row>
    <row r="1428" spans="1:26" ht="16.8" x14ac:dyDescent="0.3">
      <c r="A1428" s="4">
        <v>2010</v>
      </c>
      <c r="B1428" s="4" t="s">
        <v>43</v>
      </c>
      <c r="C1428" s="4">
        <v>32</v>
      </c>
      <c r="D1428" s="4" t="s">
        <v>45</v>
      </c>
      <c r="E1428" s="4" t="s">
        <v>50</v>
      </c>
      <c r="F1428" s="4">
        <v>2837</v>
      </c>
      <c r="G1428" s="4" t="s">
        <v>43</v>
      </c>
      <c r="H1428" s="4">
        <v>6</v>
      </c>
      <c r="I1428" s="4">
        <v>4</v>
      </c>
      <c r="J1428" s="4">
        <v>2</v>
      </c>
      <c r="K1428" s="4">
        <v>3</v>
      </c>
      <c r="L1428" s="4" t="str">
        <f t="shared" si="36"/>
        <v>NORMAL</v>
      </c>
      <c r="M1428" s="4" t="str">
        <f t="shared" si="37"/>
        <v>LOW</v>
      </c>
      <c r="N1428" s="4" t="str">
        <f t="shared" si="38"/>
        <v>MID</v>
      </c>
      <c r="O1428" s="4" t="str">
        <f t="shared" si="39"/>
        <v>STAGNANT</v>
      </c>
      <c r="P1428" s="5" t="str">
        <f t="shared" si="40"/>
        <v>Medium_Pressure</v>
      </c>
      <c r="Q1428" s="4" t="str">
        <f t="shared" si="41"/>
        <v>DISENGAGED</v>
      </c>
      <c r="R1428" s="4" t="str">
        <f t="shared" si="42"/>
        <v>LOW</v>
      </c>
      <c r="S1428" s="2"/>
      <c r="T1428" s="2"/>
      <c r="U1428" s="2"/>
      <c r="V1428" s="2"/>
      <c r="W1428" s="2"/>
      <c r="X1428" s="2"/>
      <c r="Y1428" s="2"/>
      <c r="Z1428" s="2"/>
    </row>
    <row r="1429" spans="1:26" ht="16.8" x14ac:dyDescent="0.3">
      <c r="A1429" s="4">
        <v>2012</v>
      </c>
      <c r="B1429" s="4" t="s">
        <v>43</v>
      </c>
      <c r="C1429" s="4">
        <v>40</v>
      </c>
      <c r="D1429" s="4" t="s">
        <v>45</v>
      </c>
      <c r="E1429" s="4" t="s">
        <v>50</v>
      </c>
      <c r="F1429" s="4">
        <v>2406</v>
      </c>
      <c r="G1429" s="4" t="s">
        <v>43</v>
      </c>
      <c r="H1429" s="4">
        <v>1</v>
      </c>
      <c r="I1429" s="4">
        <v>0</v>
      </c>
      <c r="J1429" s="4">
        <v>4</v>
      </c>
      <c r="K1429" s="4">
        <v>2</v>
      </c>
      <c r="L1429" s="4" t="str">
        <f t="shared" si="36"/>
        <v>NORMAL</v>
      </c>
      <c r="M1429" s="4" t="str">
        <f t="shared" si="37"/>
        <v>LOW</v>
      </c>
      <c r="N1429" s="4" t="str">
        <f t="shared" si="38"/>
        <v>NEW</v>
      </c>
      <c r="O1429" s="4" t="str">
        <f t="shared" si="39"/>
        <v>RECENTLY PROMOTED</v>
      </c>
      <c r="P1429" s="5" t="str">
        <f t="shared" si="40"/>
        <v>Low_Pressure</v>
      </c>
      <c r="Q1429" s="4" t="str">
        <f t="shared" si="41"/>
        <v>DISENGAGED</v>
      </c>
      <c r="R1429" s="4" t="str">
        <f t="shared" si="42"/>
        <v>LOW</v>
      </c>
      <c r="S1429" s="2"/>
      <c r="T1429" s="2"/>
      <c r="U1429" s="2"/>
      <c r="V1429" s="2"/>
      <c r="W1429" s="2"/>
      <c r="X1429" s="2"/>
      <c r="Y1429" s="2"/>
      <c r="Z1429" s="2"/>
    </row>
    <row r="1430" spans="1:26" ht="16.8" x14ac:dyDescent="0.3">
      <c r="A1430" s="4">
        <v>2013</v>
      </c>
      <c r="B1430" s="4" t="s">
        <v>43</v>
      </c>
      <c r="C1430" s="4">
        <v>32</v>
      </c>
      <c r="D1430" s="4" t="s">
        <v>37</v>
      </c>
      <c r="E1430" s="4" t="s">
        <v>57</v>
      </c>
      <c r="F1430" s="4">
        <v>2269</v>
      </c>
      <c r="G1430" s="4" t="s">
        <v>43</v>
      </c>
      <c r="H1430" s="4">
        <v>2</v>
      </c>
      <c r="I1430" s="4">
        <v>2</v>
      </c>
      <c r="J1430" s="4">
        <v>2</v>
      </c>
      <c r="K1430" s="4">
        <v>3</v>
      </c>
      <c r="L1430" s="4" t="str">
        <f t="shared" si="36"/>
        <v>NORMAL</v>
      </c>
      <c r="M1430" s="4" t="str">
        <f t="shared" si="37"/>
        <v>LOW</v>
      </c>
      <c r="N1430" s="4" t="str">
        <f t="shared" si="38"/>
        <v>NEW</v>
      </c>
      <c r="O1430" s="4" t="str">
        <f t="shared" si="39"/>
        <v>MODERATE-WAIT</v>
      </c>
      <c r="P1430" s="5" t="str">
        <f t="shared" si="40"/>
        <v>Medium_Pressure</v>
      </c>
      <c r="Q1430" s="4" t="str">
        <f t="shared" si="41"/>
        <v>DISENGAGED</v>
      </c>
      <c r="R1430" s="4" t="str">
        <f t="shared" si="42"/>
        <v>LOW</v>
      </c>
      <c r="S1430" s="2"/>
      <c r="T1430" s="2"/>
      <c r="U1430" s="2"/>
      <c r="V1430" s="2"/>
      <c r="W1430" s="2"/>
      <c r="X1430" s="2"/>
      <c r="Y1430" s="2"/>
      <c r="Z1430" s="2"/>
    </row>
    <row r="1431" spans="1:26" ht="16.8" x14ac:dyDescent="0.3">
      <c r="A1431" s="4">
        <v>2014</v>
      </c>
      <c r="B1431" s="4" t="s">
        <v>43</v>
      </c>
      <c r="C1431" s="4">
        <v>39</v>
      </c>
      <c r="D1431" s="4" t="s">
        <v>45</v>
      </c>
      <c r="E1431" s="4" t="s">
        <v>47</v>
      </c>
      <c r="F1431" s="4">
        <v>4108</v>
      </c>
      <c r="G1431" s="4" t="s">
        <v>43</v>
      </c>
      <c r="H1431" s="4">
        <v>7</v>
      </c>
      <c r="I1431" s="4">
        <v>1</v>
      </c>
      <c r="J1431" s="4">
        <v>4</v>
      </c>
      <c r="K1431" s="4">
        <v>3</v>
      </c>
      <c r="L1431" s="4" t="str">
        <f t="shared" si="36"/>
        <v>NORMAL</v>
      </c>
      <c r="M1431" s="4" t="str">
        <f t="shared" si="37"/>
        <v>HIGH</v>
      </c>
      <c r="N1431" s="4" t="str">
        <f t="shared" si="38"/>
        <v>SENIOR</v>
      </c>
      <c r="O1431" s="4" t="str">
        <f t="shared" si="39"/>
        <v>RECENTLY PROMOTED</v>
      </c>
      <c r="P1431" s="5" t="str">
        <f t="shared" si="40"/>
        <v>Medium_Pressure</v>
      </c>
      <c r="Q1431" s="4" t="str">
        <f t="shared" si="41"/>
        <v>HIGHLY_ENGAGED</v>
      </c>
      <c r="R1431" s="4" t="str">
        <f t="shared" si="42"/>
        <v>LOW</v>
      </c>
      <c r="S1431" s="2"/>
      <c r="T1431" s="2"/>
      <c r="U1431" s="2"/>
      <c r="V1431" s="2"/>
      <c r="W1431" s="2"/>
      <c r="X1431" s="2"/>
      <c r="Y1431" s="2"/>
      <c r="Z1431" s="2"/>
    </row>
    <row r="1432" spans="1:26" ht="16.8" x14ac:dyDescent="0.3">
      <c r="A1432" s="4">
        <v>2015</v>
      </c>
      <c r="B1432" s="4" t="s">
        <v>43</v>
      </c>
      <c r="C1432" s="4">
        <v>38</v>
      </c>
      <c r="D1432" s="4" t="s">
        <v>45</v>
      </c>
      <c r="E1432" s="4" t="s">
        <v>58</v>
      </c>
      <c r="F1432" s="4">
        <v>13206</v>
      </c>
      <c r="G1432" s="4" t="s">
        <v>43</v>
      </c>
      <c r="H1432" s="4">
        <v>18</v>
      </c>
      <c r="I1432" s="4">
        <v>1</v>
      </c>
      <c r="J1432" s="4">
        <v>3</v>
      </c>
      <c r="K1432" s="4">
        <v>3</v>
      </c>
      <c r="L1432" s="4" t="str">
        <f t="shared" si="36"/>
        <v>NORMAL</v>
      </c>
      <c r="M1432" s="4" t="str">
        <f t="shared" si="37"/>
        <v>MEDIUM</v>
      </c>
      <c r="N1432" s="4" t="str">
        <f t="shared" si="38"/>
        <v>SENIOR</v>
      </c>
      <c r="O1432" s="4" t="str">
        <f t="shared" si="39"/>
        <v>RECENTLY PROMOTED</v>
      </c>
      <c r="P1432" s="5" t="str">
        <f t="shared" si="40"/>
        <v>Medium_Pressure</v>
      </c>
      <c r="Q1432" s="4" t="str">
        <f t="shared" si="41"/>
        <v>HIGHLY_ENGAGED</v>
      </c>
      <c r="R1432" s="4" t="str">
        <f t="shared" si="42"/>
        <v>LOW</v>
      </c>
      <c r="S1432" s="2"/>
      <c r="T1432" s="2"/>
      <c r="U1432" s="2"/>
      <c r="V1432" s="2"/>
      <c r="W1432" s="2"/>
      <c r="X1432" s="2"/>
      <c r="Y1432" s="2"/>
      <c r="Z1432" s="2"/>
    </row>
    <row r="1433" spans="1:26" ht="16.8" x14ac:dyDescent="0.3">
      <c r="A1433" s="4">
        <v>2016</v>
      </c>
      <c r="B1433" s="4" t="s">
        <v>43</v>
      </c>
      <c r="C1433" s="4">
        <v>32</v>
      </c>
      <c r="D1433" s="4" t="s">
        <v>37</v>
      </c>
      <c r="E1433" s="4" t="s">
        <v>40</v>
      </c>
      <c r="F1433" s="4">
        <v>10422</v>
      </c>
      <c r="G1433" s="4" t="s">
        <v>43</v>
      </c>
      <c r="H1433" s="4">
        <v>14</v>
      </c>
      <c r="I1433" s="4">
        <v>5</v>
      </c>
      <c r="J1433" s="4">
        <v>4</v>
      </c>
      <c r="K1433" s="4">
        <v>3</v>
      </c>
      <c r="L1433" s="4" t="str">
        <f t="shared" si="36"/>
        <v>NORMAL</v>
      </c>
      <c r="M1433" s="4" t="str">
        <f t="shared" si="37"/>
        <v>MEDIUM</v>
      </c>
      <c r="N1433" s="4" t="str">
        <f t="shared" si="38"/>
        <v>SENIOR</v>
      </c>
      <c r="O1433" s="4" t="str">
        <f t="shared" si="39"/>
        <v>STAGNANT</v>
      </c>
      <c r="P1433" s="5" t="str">
        <f t="shared" si="40"/>
        <v>Medium_Pressure</v>
      </c>
      <c r="Q1433" s="4" t="str">
        <f t="shared" si="41"/>
        <v>HIGHLY_ENGAGED</v>
      </c>
      <c r="R1433" s="4" t="str">
        <f t="shared" si="42"/>
        <v>LOW</v>
      </c>
      <c r="S1433" s="2"/>
      <c r="T1433" s="2"/>
      <c r="U1433" s="2"/>
      <c r="V1433" s="2"/>
      <c r="W1433" s="2"/>
      <c r="X1433" s="2"/>
      <c r="Y1433" s="2"/>
      <c r="Z1433" s="2"/>
    </row>
    <row r="1434" spans="1:26" ht="16.8" x14ac:dyDescent="0.3">
      <c r="A1434" s="4">
        <v>2017</v>
      </c>
      <c r="B1434" s="4" t="s">
        <v>43</v>
      </c>
      <c r="C1434" s="4">
        <v>37</v>
      </c>
      <c r="D1434" s="4" t="s">
        <v>45</v>
      </c>
      <c r="E1434" s="4" t="s">
        <v>58</v>
      </c>
      <c r="F1434" s="4">
        <v>13744</v>
      </c>
      <c r="G1434" s="4" t="s">
        <v>35</v>
      </c>
      <c r="H1434" s="4">
        <v>16</v>
      </c>
      <c r="I1434" s="4">
        <v>6</v>
      </c>
      <c r="J1434" s="4">
        <v>4</v>
      </c>
      <c r="K1434" s="4">
        <v>3</v>
      </c>
      <c r="L1434" s="4" t="str">
        <f t="shared" si="36"/>
        <v>NORMAL</v>
      </c>
      <c r="M1434" s="4" t="str">
        <f t="shared" si="37"/>
        <v>MEDIUM</v>
      </c>
      <c r="N1434" s="4" t="str">
        <f t="shared" si="38"/>
        <v>SENIOR</v>
      </c>
      <c r="O1434" s="4" t="str">
        <f t="shared" si="39"/>
        <v>STAGNANT</v>
      </c>
      <c r="P1434" s="5" t="str">
        <f t="shared" si="40"/>
        <v>Medium_Pressure</v>
      </c>
      <c r="Q1434" s="4" t="str">
        <f t="shared" si="41"/>
        <v>HIGHLY_ENGAGED</v>
      </c>
      <c r="R1434" s="4" t="str">
        <f t="shared" si="42"/>
        <v>LOW</v>
      </c>
      <c r="S1434" s="2"/>
      <c r="T1434" s="2"/>
      <c r="U1434" s="2"/>
      <c r="V1434" s="2"/>
      <c r="W1434" s="2"/>
      <c r="X1434" s="2"/>
      <c r="Y1434" s="2"/>
      <c r="Z1434" s="2"/>
    </row>
    <row r="1435" spans="1:26" ht="16.8" x14ac:dyDescent="0.3">
      <c r="A1435" s="4">
        <v>2018</v>
      </c>
      <c r="B1435" s="4" t="s">
        <v>43</v>
      </c>
      <c r="C1435" s="4">
        <v>25</v>
      </c>
      <c r="D1435" s="4" t="s">
        <v>37</v>
      </c>
      <c r="E1435" s="4" t="s">
        <v>40</v>
      </c>
      <c r="F1435" s="4">
        <v>4907</v>
      </c>
      <c r="G1435" s="4" t="s">
        <v>35</v>
      </c>
      <c r="H1435" s="4">
        <v>5</v>
      </c>
      <c r="I1435" s="4">
        <v>0</v>
      </c>
      <c r="J1435" s="4">
        <v>3</v>
      </c>
      <c r="K1435" s="4">
        <v>2</v>
      </c>
      <c r="L1435" s="4" t="str">
        <f t="shared" si="36"/>
        <v>NORMAL</v>
      </c>
      <c r="M1435" s="4" t="str">
        <f t="shared" si="37"/>
        <v>HIGH</v>
      </c>
      <c r="N1435" s="4" t="str">
        <f t="shared" si="38"/>
        <v>MID</v>
      </c>
      <c r="O1435" s="4" t="str">
        <f t="shared" si="39"/>
        <v>RECENTLY PROMOTED</v>
      </c>
      <c r="P1435" s="5" t="str">
        <f t="shared" si="40"/>
        <v>High_Pressure</v>
      </c>
      <c r="Q1435" s="4" t="str">
        <f t="shared" si="41"/>
        <v>DISENGAGED</v>
      </c>
      <c r="R1435" s="4" t="str">
        <f t="shared" si="42"/>
        <v>LOW</v>
      </c>
      <c r="S1435" s="2"/>
      <c r="T1435" s="2"/>
      <c r="U1435" s="2"/>
      <c r="V1435" s="2"/>
      <c r="W1435" s="2"/>
      <c r="X1435" s="2"/>
      <c r="Y1435" s="2"/>
      <c r="Z1435" s="2"/>
    </row>
    <row r="1436" spans="1:26" ht="16.8" x14ac:dyDescent="0.3">
      <c r="A1436" s="4">
        <v>2019</v>
      </c>
      <c r="B1436" s="4" t="s">
        <v>43</v>
      </c>
      <c r="C1436" s="4">
        <v>52</v>
      </c>
      <c r="D1436" s="4" t="s">
        <v>37</v>
      </c>
      <c r="E1436" s="4" t="s">
        <v>57</v>
      </c>
      <c r="F1436" s="4">
        <v>3482</v>
      </c>
      <c r="G1436" s="4" t="s">
        <v>43</v>
      </c>
      <c r="H1436" s="4">
        <v>9</v>
      </c>
      <c r="I1436" s="4">
        <v>0</v>
      </c>
      <c r="J1436" s="4">
        <v>4</v>
      </c>
      <c r="K1436" s="4">
        <v>2</v>
      </c>
      <c r="L1436" s="4" t="str">
        <f t="shared" si="36"/>
        <v>NORMAL</v>
      </c>
      <c r="M1436" s="4" t="str">
        <f t="shared" si="37"/>
        <v>LOW</v>
      </c>
      <c r="N1436" s="4" t="str">
        <f t="shared" si="38"/>
        <v>SENIOR</v>
      </c>
      <c r="O1436" s="4" t="str">
        <f t="shared" si="39"/>
        <v>RECENTLY PROMOTED</v>
      </c>
      <c r="P1436" s="5" t="str">
        <f t="shared" si="40"/>
        <v>Low_Pressure</v>
      </c>
      <c r="Q1436" s="4" t="str">
        <f t="shared" si="41"/>
        <v>DISENGAGED</v>
      </c>
      <c r="R1436" s="4" t="str">
        <f t="shared" si="42"/>
        <v>LOW</v>
      </c>
      <c r="S1436" s="2"/>
      <c r="T1436" s="2"/>
      <c r="U1436" s="2"/>
      <c r="V1436" s="2"/>
      <c r="W1436" s="2"/>
      <c r="X1436" s="2"/>
      <c r="Y1436" s="2"/>
      <c r="Z1436" s="2"/>
    </row>
    <row r="1437" spans="1:26" ht="16.8" x14ac:dyDescent="0.3">
      <c r="A1437" s="4">
        <v>2020</v>
      </c>
      <c r="B1437" s="4" t="s">
        <v>43</v>
      </c>
      <c r="C1437" s="4">
        <v>44</v>
      </c>
      <c r="D1437" s="4" t="s">
        <v>45</v>
      </c>
      <c r="E1437" s="4" t="s">
        <v>47</v>
      </c>
      <c r="F1437" s="4">
        <v>2436</v>
      </c>
      <c r="G1437" s="4" t="s">
        <v>35</v>
      </c>
      <c r="H1437" s="4">
        <v>4</v>
      </c>
      <c r="I1437" s="4">
        <v>1</v>
      </c>
      <c r="J1437" s="4">
        <v>4</v>
      </c>
      <c r="K1437" s="4">
        <v>3</v>
      </c>
      <c r="L1437" s="4" t="str">
        <f t="shared" si="36"/>
        <v>NORMAL</v>
      </c>
      <c r="M1437" s="4" t="str">
        <f t="shared" si="37"/>
        <v>LOW</v>
      </c>
      <c r="N1437" s="4" t="str">
        <f t="shared" si="38"/>
        <v>MID</v>
      </c>
      <c r="O1437" s="4" t="str">
        <f t="shared" si="39"/>
        <v>RECENTLY PROMOTED</v>
      </c>
      <c r="P1437" s="5" t="str">
        <f t="shared" si="40"/>
        <v>Medium_Pressure</v>
      </c>
      <c r="Q1437" s="4" t="str">
        <f t="shared" si="41"/>
        <v>HIGHLY_ENGAGED</v>
      </c>
      <c r="R1437" s="4" t="str">
        <f t="shared" si="42"/>
        <v>LOW</v>
      </c>
      <c r="S1437" s="2"/>
      <c r="T1437" s="2"/>
      <c r="U1437" s="2"/>
      <c r="V1437" s="2"/>
      <c r="W1437" s="2"/>
      <c r="X1437" s="2"/>
      <c r="Y1437" s="2"/>
      <c r="Z1437" s="2"/>
    </row>
    <row r="1438" spans="1:26" ht="16.8" x14ac:dyDescent="0.3">
      <c r="A1438" s="4">
        <v>2021</v>
      </c>
      <c r="B1438" s="4" t="s">
        <v>43</v>
      </c>
      <c r="C1438" s="4">
        <v>21</v>
      </c>
      <c r="D1438" s="4" t="s">
        <v>37</v>
      </c>
      <c r="E1438" s="4" t="s">
        <v>57</v>
      </c>
      <c r="F1438" s="4">
        <v>2380</v>
      </c>
      <c r="G1438" s="4" t="s">
        <v>35</v>
      </c>
      <c r="H1438" s="4">
        <v>2</v>
      </c>
      <c r="I1438" s="4">
        <v>1</v>
      </c>
      <c r="J1438" s="4">
        <v>1</v>
      </c>
      <c r="K1438" s="4">
        <v>3</v>
      </c>
      <c r="L1438" s="4" t="str">
        <f t="shared" si="36"/>
        <v>NORMAL</v>
      </c>
      <c r="M1438" s="4" t="str">
        <f t="shared" si="37"/>
        <v>LOW</v>
      </c>
      <c r="N1438" s="4" t="str">
        <f t="shared" si="38"/>
        <v>NEW</v>
      </c>
      <c r="O1438" s="4" t="str">
        <f t="shared" si="39"/>
        <v>RECENTLY PROMOTED</v>
      </c>
      <c r="P1438" s="5" t="str">
        <f t="shared" si="40"/>
        <v>Medium_Pressure</v>
      </c>
      <c r="Q1438" s="4" t="str">
        <f t="shared" si="41"/>
        <v>DISENGAGED</v>
      </c>
      <c r="R1438" s="4" t="str">
        <f t="shared" si="42"/>
        <v>LOW</v>
      </c>
      <c r="S1438" s="2"/>
      <c r="T1438" s="2"/>
      <c r="U1438" s="2"/>
      <c r="V1438" s="2"/>
      <c r="W1438" s="2"/>
      <c r="X1438" s="2"/>
      <c r="Y1438" s="2"/>
      <c r="Z1438" s="2"/>
    </row>
    <row r="1439" spans="1:26" ht="16.8" x14ac:dyDescent="0.3">
      <c r="A1439" s="4">
        <v>2022</v>
      </c>
      <c r="B1439" s="4" t="s">
        <v>43</v>
      </c>
      <c r="C1439" s="4">
        <v>39</v>
      </c>
      <c r="D1439" s="4" t="s">
        <v>45</v>
      </c>
      <c r="E1439" s="4" t="s">
        <v>56</v>
      </c>
      <c r="F1439" s="4">
        <v>19431</v>
      </c>
      <c r="G1439" s="4" t="s">
        <v>43</v>
      </c>
      <c r="H1439" s="4">
        <v>6</v>
      </c>
      <c r="I1439" s="4">
        <v>1</v>
      </c>
      <c r="J1439" s="4">
        <v>4</v>
      </c>
      <c r="K1439" s="4">
        <v>2</v>
      </c>
      <c r="L1439" s="4" t="str">
        <f t="shared" si="36"/>
        <v>NORMAL</v>
      </c>
      <c r="M1439" s="4" t="str">
        <f t="shared" si="37"/>
        <v>MEDIUM</v>
      </c>
      <c r="N1439" s="4" t="str">
        <f t="shared" si="38"/>
        <v>MID</v>
      </c>
      <c r="O1439" s="4" t="str">
        <f t="shared" si="39"/>
        <v>RECENTLY PROMOTED</v>
      </c>
      <c r="P1439" s="5" t="str">
        <f t="shared" si="40"/>
        <v>Low_Pressure</v>
      </c>
      <c r="Q1439" s="4" t="str">
        <f t="shared" si="41"/>
        <v>DISENGAGED</v>
      </c>
      <c r="R1439" s="4" t="str">
        <f t="shared" si="42"/>
        <v>LOW</v>
      </c>
      <c r="S1439" s="2"/>
      <c r="T1439" s="2"/>
      <c r="U1439" s="2"/>
      <c r="V1439" s="2"/>
      <c r="W1439" s="2"/>
      <c r="X1439" s="2"/>
      <c r="Y1439" s="2"/>
      <c r="Z1439" s="2"/>
    </row>
    <row r="1440" spans="1:26" ht="16.8" x14ac:dyDescent="0.3">
      <c r="A1440" s="4">
        <v>2023</v>
      </c>
      <c r="B1440" s="4" t="s">
        <v>35</v>
      </c>
      <c r="C1440" s="4">
        <v>23</v>
      </c>
      <c r="D1440" s="4" t="s">
        <v>37</v>
      </c>
      <c r="E1440" s="4" t="s">
        <v>57</v>
      </c>
      <c r="F1440" s="4">
        <v>1790</v>
      </c>
      <c r="G1440" s="4" t="s">
        <v>43</v>
      </c>
      <c r="H1440" s="4">
        <v>1</v>
      </c>
      <c r="I1440" s="4">
        <v>1</v>
      </c>
      <c r="J1440" s="4">
        <v>1</v>
      </c>
      <c r="K1440" s="4">
        <v>2</v>
      </c>
      <c r="L1440" s="4" t="str">
        <f t="shared" si="36"/>
        <v>NORMAL</v>
      </c>
      <c r="M1440" s="4" t="str">
        <f t="shared" si="37"/>
        <v>LOW</v>
      </c>
      <c r="N1440" s="4" t="str">
        <f t="shared" si="38"/>
        <v>NEW</v>
      </c>
      <c r="O1440" s="4" t="str">
        <f t="shared" si="39"/>
        <v>RECENTLY PROMOTED</v>
      </c>
      <c r="P1440" s="5" t="str">
        <f t="shared" si="40"/>
        <v>Low_Pressure</v>
      </c>
      <c r="Q1440" s="4" t="str">
        <f t="shared" si="41"/>
        <v>DISENGAGED</v>
      </c>
      <c r="R1440" s="4" t="str">
        <f t="shared" si="42"/>
        <v>LOW</v>
      </c>
      <c r="S1440" s="2"/>
      <c r="T1440" s="2"/>
      <c r="U1440" s="2"/>
      <c r="V1440" s="2"/>
      <c r="W1440" s="2"/>
      <c r="X1440" s="2"/>
      <c r="Y1440" s="2"/>
      <c r="Z1440" s="2"/>
    </row>
    <row r="1441" spans="1:26" ht="16.8" x14ac:dyDescent="0.3">
      <c r="A1441" s="4">
        <v>2024</v>
      </c>
      <c r="B1441" s="4" t="s">
        <v>43</v>
      </c>
      <c r="C1441" s="4">
        <v>36</v>
      </c>
      <c r="D1441" s="4" t="s">
        <v>37</v>
      </c>
      <c r="E1441" s="4" t="s">
        <v>40</v>
      </c>
      <c r="F1441" s="4">
        <v>7644</v>
      </c>
      <c r="G1441" s="4" t="s">
        <v>43</v>
      </c>
      <c r="H1441" s="4">
        <v>9</v>
      </c>
      <c r="I1441" s="4">
        <v>3</v>
      </c>
      <c r="J1441" s="4">
        <v>4</v>
      </c>
      <c r="K1441" s="4">
        <v>3</v>
      </c>
      <c r="L1441" s="4" t="str">
        <f t="shared" si="36"/>
        <v>NORMAL</v>
      </c>
      <c r="M1441" s="4" t="str">
        <f t="shared" si="37"/>
        <v>HIGH</v>
      </c>
      <c r="N1441" s="4" t="str">
        <f t="shared" si="38"/>
        <v>SENIOR</v>
      </c>
      <c r="O1441" s="4" t="str">
        <f t="shared" si="39"/>
        <v>MODERATE-WAIT</v>
      </c>
      <c r="P1441" s="5" t="str">
        <f t="shared" si="40"/>
        <v>Medium_Pressure</v>
      </c>
      <c r="Q1441" s="4" t="str">
        <f t="shared" si="41"/>
        <v>HIGHLY_ENGAGED</v>
      </c>
      <c r="R1441" s="4" t="str">
        <f t="shared" si="42"/>
        <v>LOW</v>
      </c>
      <c r="S1441" s="2"/>
      <c r="T1441" s="2"/>
      <c r="U1441" s="2"/>
      <c r="V1441" s="2"/>
      <c r="W1441" s="2"/>
      <c r="X1441" s="2"/>
      <c r="Y1441" s="2"/>
      <c r="Z1441" s="2"/>
    </row>
    <row r="1442" spans="1:26" ht="16.8" x14ac:dyDescent="0.3">
      <c r="A1442" s="4">
        <v>2025</v>
      </c>
      <c r="B1442" s="4" t="s">
        <v>43</v>
      </c>
      <c r="C1442" s="4">
        <v>36</v>
      </c>
      <c r="D1442" s="4" t="s">
        <v>45</v>
      </c>
      <c r="E1442" s="4" t="s">
        <v>53</v>
      </c>
      <c r="F1442" s="4">
        <v>5131</v>
      </c>
      <c r="G1442" s="4" t="s">
        <v>43</v>
      </c>
      <c r="H1442" s="4">
        <v>4</v>
      </c>
      <c r="I1442" s="4">
        <v>0</v>
      </c>
      <c r="J1442" s="4">
        <v>2</v>
      </c>
      <c r="K1442" s="4">
        <v>3</v>
      </c>
      <c r="L1442" s="4" t="str">
        <f t="shared" si="36"/>
        <v>NORMAL</v>
      </c>
      <c r="M1442" s="4" t="str">
        <f t="shared" si="37"/>
        <v>HIGH</v>
      </c>
      <c r="N1442" s="4" t="str">
        <f t="shared" si="38"/>
        <v>MID</v>
      </c>
      <c r="O1442" s="4" t="str">
        <f t="shared" si="39"/>
        <v>RECENTLY PROMOTED</v>
      </c>
      <c r="P1442" s="5" t="str">
        <f t="shared" si="40"/>
        <v>Medium_Pressure</v>
      </c>
      <c r="Q1442" s="4" t="str">
        <f t="shared" si="41"/>
        <v>DISENGAGED</v>
      </c>
      <c r="R1442" s="4" t="str">
        <f t="shared" si="42"/>
        <v>LOW</v>
      </c>
      <c r="S1442" s="2"/>
      <c r="T1442" s="2"/>
      <c r="U1442" s="2"/>
      <c r="V1442" s="2"/>
      <c r="W1442" s="2"/>
      <c r="X1442" s="2"/>
      <c r="Y1442" s="2"/>
      <c r="Z1442" s="2"/>
    </row>
    <row r="1443" spans="1:26" ht="16.8" x14ac:dyDescent="0.3">
      <c r="A1443" s="4">
        <v>2026</v>
      </c>
      <c r="B1443" s="4" t="s">
        <v>43</v>
      </c>
      <c r="C1443" s="4">
        <v>56</v>
      </c>
      <c r="D1443" s="4" t="s">
        <v>45</v>
      </c>
      <c r="E1443" s="4" t="s">
        <v>54</v>
      </c>
      <c r="F1443" s="4">
        <v>6306</v>
      </c>
      <c r="G1443" s="4" t="s">
        <v>43</v>
      </c>
      <c r="H1443" s="4">
        <v>13</v>
      </c>
      <c r="I1443" s="4">
        <v>1</v>
      </c>
      <c r="J1443" s="4">
        <v>3</v>
      </c>
      <c r="K1443" s="4">
        <v>2</v>
      </c>
      <c r="L1443" s="4" t="str">
        <f t="shared" si="36"/>
        <v>NORMAL</v>
      </c>
      <c r="M1443" s="4" t="str">
        <f t="shared" si="37"/>
        <v>HIGH</v>
      </c>
      <c r="N1443" s="4" t="str">
        <f t="shared" si="38"/>
        <v>SENIOR</v>
      </c>
      <c r="O1443" s="4" t="str">
        <f t="shared" si="39"/>
        <v>RECENTLY PROMOTED</v>
      </c>
      <c r="P1443" s="5" t="str">
        <f t="shared" si="40"/>
        <v>Low_Pressure</v>
      </c>
      <c r="Q1443" s="4" t="str">
        <f t="shared" si="41"/>
        <v>DISENGAGED</v>
      </c>
      <c r="R1443" s="4" t="str">
        <f t="shared" si="42"/>
        <v>LOW</v>
      </c>
      <c r="S1443" s="2"/>
      <c r="T1443" s="2"/>
      <c r="U1443" s="2"/>
      <c r="V1443" s="2"/>
      <c r="W1443" s="2"/>
      <c r="X1443" s="2"/>
      <c r="Y1443" s="2"/>
      <c r="Z1443" s="2"/>
    </row>
    <row r="1444" spans="1:26" ht="16.8" x14ac:dyDescent="0.3">
      <c r="A1444" s="4">
        <v>2027</v>
      </c>
      <c r="B1444" s="4" t="s">
        <v>35</v>
      </c>
      <c r="C1444" s="4">
        <v>29</v>
      </c>
      <c r="D1444" s="4" t="s">
        <v>45</v>
      </c>
      <c r="E1444" s="4" t="s">
        <v>47</v>
      </c>
      <c r="F1444" s="4">
        <v>4787</v>
      </c>
      <c r="G1444" s="4" t="s">
        <v>35</v>
      </c>
      <c r="H1444" s="4">
        <v>2</v>
      </c>
      <c r="I1444" s="4">
        <v>2</v>
      </c>
      <c r="J1444" s="4">
        <v>4</v>
      </c>
      <c r="K1444" s="4">
        <v>4</v>
      </c>
      <c r="L1444" s="4" t="str">
        <f t="shared" si="36"/>
        <v>NORMAL</v>
      </c>
      <c r="M1444" s="4" t="str">
        <f t="shared" si="37"/>
        <v>HIGH</v>
      </c>
      <c r="N1444" s="4" t="str">
        <f t="shared" si="38"/>
        <v>NEW</v>
      </c>
      <c r="O1444" s="4" t="str">
        <f t="shared" si="39"/>
        <v>MODERATE-WAIT</v>
      </c>
      <c r="P1444" s="5" t="str">
        <f t="shared" si="40"/>
        <v>Medium_Pressure</v>
      </c>
      <c r="Q1444" s="4" t="str">
        <f t="shared" si="41"/>
        <v>HIGHLY_ENGAGED</v>
      </c>
      <c r="R1444" s="4" t="str">
        <f t="shared" si="42"/>
        <v>LOW</v>
      </c>
      <c r="S1444" s="2"/>
      <c r="T1444" s="2"/>
      <c r="U1444" s="2"/>
      <c r="V1444" s="2"/>
      <c r="W1444" s="2"/>
      <c r="X1444" s="2"/>
      <c r="Y1444" s="2"/>
      <c r="Z1444" s="2"/>
    </row>
    <row r="1445" spans="1:26" ht="16.8" x14ac:dyDescent="0.3">
      <c r="A1445" s="4">
        <v>2031</v>
      </c>
      <c r="B1445" s="4" t="s">
        <v>43</v>
      </c>
      <c r="C1445" s="4">
        <v>42</v>
      </c>
      <c r="D1445" s="4" t="s">
        <v>45</v>
      </c>
      <c r="E1445" s="4" t="s">
        <v>56</v>
      </c>
      <c r="F1445" s="4">
        <v>18880</v>
      </c>
      <c r="G1445" s="4" t="s">
        <v>43</v>
      </c>
      <c r="H1445" s="4">
        <v>22</v>
      </c>
      <c r="I1445" s="4">
        <v>4</v>
      </c>
      <c r="J1445" s="4">
        <v>3</v>
      </c>
      <c r="K1445" s="4">
        <v>2</v>
      </c>
      <c r="L1445" s="4" t="str">
        <f t="shared" si="36"/>
        <v>NORMAL</v>
      </c>
      <c r="M1445" s="4" t="str">
        <f t="shared" si="37"/>
        <v>MEDIUM</v>
      </c>
      <c r="N1445" s="4" t="str">
        <f t="shared" si="38"/>
        <v>SENIOR</v>
      </c>
      <c r="O1445" s="4" t="str">
        <f t="shared" si="39"/>
        <v>STAGNANT</v>
      </c>
      <c r="P1445" s="5" t="str">
        <f t="shared" si="40"/>
        <v>Low_Pressure</v>
      </c>
      <c r="Q1445" s="4" t="str">
        <f t="shared" si="41"/>
        <v>DISENGAGED</v>
      </c>
      <c r="R1445" s="4" t="str">
        <f t="shared" si="42"/>
        <v>LOW</v>
      </c>
      <c r="S1445" s="2"/>
      <c r="T1445" s="2"/>
      <c r="U1445" s="2"/>
      <c r="V1445" s="2"/>
      <c r="W1445" s="2"/>
      <c r="X1445" s="2"/>
      <c r="Y1445" s="2"/>
      <c r="Z1445" s="2"/>
    </row>
    <row r="1446" spans="1:26" ht="16.8" x14ac:dyDescent="0.3">
      <c r="A1446" s="4">
        <v>2032</v>
      </c>
      <c r="B1446" s="4" t="s">
        <v>35</v>
      </c>
      <c r="C1446" s="4">
        <v>56</v>
      </c>
      <c r="D1446" s="4" t="s">
        <v>45</v>
      </c>
      <c r="E1446" s="4" t="s">
        <v>50</v>
      </c>
      <c r="F1446" s="4">
        <v>2339</v>
      </c>
      <c r="G1446" s="4" t="s">
        <v>43</v>
      </c>
      <c r="H1446" s="4">
        <v>10</v>
      </c>
      <c r="I1446" s="4">
        <v>9</v>
      </c>
      <c r="J1446" s="4">
        <v>3</v>
      </c>
      <c r="K1446" s="4">
        <v>1</v>
      </c>
      <c r="L1446" s="4" t="str">
        <f t="shared" si="36"/>
        <v>NORMAL</v>
      </c>
      <c r="M1446" s="4" t="str">
        <f t="shared" si="37"/>
        <v>LOW</v>
      </c>
      <c r="N1446" s="4" t="str">
        <f t="shared" si="38"/>
        <v>SENIOR</v>
      </c>
      <c r="O1446" s="4" t="str">
        <f t="shared" si="39"/>
        <v>STAGNANT</v>
      </c>
      <c r="P1446" s="5" t="str">
        <f t="shared" si="40"/>
        <v>Low_Pressure</v>
      </c>
      <c r="Q1446" s="4" t="str">
        <f t="shared" si="41"/>
        <v>DISENGAGED</v>
      </c>
      <c r="R1446" s="4" t="str">
        <f t="shared" si="42"/>
        <v>LOW</v>
      </c>
      <c r="S1446" s="2"/>
      <c r="T1446" s="2"/>
      <c r="U1446" s="2"/>
      <c r="V1446" s="2"/>
      <c r="W1446" s="2"/>
      <c r="X1446" s="2"/>
      <c r="Y1446" s="2"/>
      <c r="Z1446" s="2"/>
    </row>
    <row r="1447" spans="1:26" ht="16.8" x14ac:dyDescent="0.3">
      <c r="A1447" s="4">
        <v>2034</v>
      </c>
      <c r="B1447" s="4" t="s">
        <v>43</v>
      </c>
      <c r="C1447" s="4">
        <v>41</v>
      </c>
      <c r="D1447" s="4" t="s">
        <v>45</v>
      </c>
      <c r="E1447" s="4" t="s">
        <v>53</v>
      </c>
      <c r="F1447" s="4">
        <v>13570</v>
      </c>
      <c r="G1447" s="4" t="s">
        <v>43</v>
      </c>
      <c r="H1447" s="4">
        <v>20</v>
      </c>
      <c r="I1447" s="4">
        <v>0</v>
      </c>
      <c r="J1447" s="4">
        <v>2</v>
      </c>
      <c r="K1447" s="4">
        <v>3</v>
      </c>
      <c r="L1447" s="4" t="str">
        <f t="shared" si="36"/>
        <v>NORMAL</v>
      </c>
      <c r="M1447" s="4" t="str">
        <f t="shared" si="37"/>
        <v>MEDIUM</v>
      </c>
      <c r="N1447" s="4" t="str">
        <f t="shared" si="38"/>
        <v>SENIOR</v>
      </c>
      <c r="O1447" s="4" t="str">
        <f t="shared" si="39"/>
        <v>RECENTLY PROMOTED</v>
      </c>
      <c r="P1447" s="5" t="str">
        <f t="shared" si="40"/>
        <v>Medium_Pressure</v>
      </c>
      <c r="Q1447" s="4" t="str">
        <f t="shared" si="41"/>
        <v>DISENGAGED</v>
      </c>
      <c r="R1447" s="4" t="str">
        <f t="shared" si="42"/>
        <v>LOW</v>
      </c>
      <c r="S1447" s="2"/>
      <c r="T1447" s="2"/>
      <c r="U1447" s="2"/>
      <c r="V1447" s="2"/>
      <c r="W1447" s="2"/>
      <c r="X1447" s="2"/>
      <c r="Y1447" s="2"/>
      <c r="Z1447" s="2"/>
    </row>
    <row r="1448" spans="1:26" ht="16.8" x14ac:dyDescent="0.3">
      <c r="A1448" s="4">
        <v>2035</v>
      </c>
      <c r="B1448" s="4" t="s">
        <v>43</v>
      </c>
      <c r="C1448" s="4">
        <v>34</v>
      </c>
      <c r="D1448" s="4" t="s">
        <v>37</v>
      </c>
      <c r="E1448" s="4" t="s">
        <v>40</v>
      </c>
      <c r="F1448" s="4">
        <v>6712</v>
      </c>
      <c r="G1448" s="4" t="s">
        <v>43</v>
      </c>
      <c r="H1448" s="4">
        <v>8</v>
      </c>
      <c r="I1448" s="4">
        <v>1</v>
      </c>
      <c r="J1448" s="4">
        <v>3</v>
      </c>
      <c r="K1448" s="4">
        <v>3</v>
      </c>
      <c r="L1448" s="4" t="str">
        <f t="shared" si="36"/>
        <v>NORMAL</v>
      </c>
      <c r="M1448" s="4" t="str">
        <f t="shared" si="37"/>
        <v>HIGH</v>
      </c>
      <c r="N1448" s="4" t="str">
        <f t="shared" si="38"/>
        <v>SENIOR</v>
      </c>
      <c r="O1448" s="4" t="str">
        <f t="shared" si="39"/>
        <v>RECENTLY PROMOTED</v>
      </c>
      <c r="P1448" s="5" t="str">
        <f t="shared" si="40"/>
        <v>Medium_Pressure</v>
      </c>
      <c r="Q1448" s="4" t="str">
        <f t="shared" si="41"/>
        <v>HIGHLY_ENGAGED</v>
      </c>
      <c r="R1448" s="4" t="str">
        <f t="shared" si="42"/>
        <v>LOW</v>
      </c>
      <c r="S1448" s="2"/>
      <c r="T1448" s="2"/>
      <c r="U1448" s="2"/>
      <c r="V1448" s="2"/>
      <c r="W1448" s="2"/>
      <c r="X1448" s="2"/>
      <c r="Y1448" s="2"/>
      <c r="Z1448" s="2"/>
    </row>
    <row r="1449" spans="1:26" ht="16.8" x14ac:dyDescent="0.3">
      <c r="A1449" s="4">
        <v>2036</v>
      </c>
      <c r="B1449" s="4" t="s">
        <v>43</v>
      </c>
      <c r="C1449" s="4">
        <v>36</v>
      </c>
      <c r="D1449" s="4" t="s">
        <v>37</v>
      </c>
      <c r="E1449" s="4" t="s">
        <v>40</v>
      </c>
      <c r="F1449" s="4">
        <v>5406</v>
      </c>
      <c r="G1449" s="4" t="s">
        <v>43</v>
      </c>
      <c r="H1449" s="4">
        <v>15</v>
      </c>
      <c r="I1449" s="4">
        <v>11</v>
      </c>
      <c r="J1449" s="4">
        <v>4</v>
      </c>
      <c r="K1449" s="4">
        <v>2</v>
      </c>
      <c r="L1449" s="4" t="str">
        <f t="shared" si="36"/>
        <v>NORMAL</v>
      </c>
      <c r="M1449" s="4" t="str">
        <f t="shared" si="37"/>
        <v>HIGH</v>
      </c>
      <c r="N1449" s="4" t="str">
        <f t="shared" si="38"/>
        <v>SENIOR</v>
      </c>
      <c r="O1449" s="4" t="str">
        <f t="shared" si="39"/>
        <v>STAGNANT</v>
      </c>
      <c r="P1449" s="5" t="str">
        <f t="shared" si="40"/>
        <v>Low_Pressure</v>
      </c>
      <c r="Q1449" s="4" t="str">
        <f t="shared" si="41"/>
        <v>DISENGAGED</v>
      </c>
      <c r="R1449" s="4" t="str">
        <f t="shared" si="42"/>
        <v>LOW</v>
      </c>
      <c r="S1449" s="2"/>
      <c r="T1449" s="2"/>
      <c r="U1449" s="2"/>
      <c r="V1449" s="2"/>
      <c r="W1449" s="2"/>
      <c r="X1449" s="2"/>
      <c r="Y1449" s="2"/>
      <c r="Z1449" s="2"/>
    </row>
    <row r="1450" spans="1:26" ht="16.8" x14ac:dyDescent="0.3">
      <c r="A1450" s="4">
        <v>2037</v>
      </c>
      <c r="B1450" s="4" t="s">
        <v>43</v>
      </c>
      <c r="C1450" s="4">
        <v>41</v>
      </c>
      <c r="D1450" s="4" t="s">
        <v>37</v>
      </c>
      <c r="E1450" s="4" t="s">
        <v>40</v>
      </c>
      <c r="F1450" s="4">
        <v>8938</v>
      </c>
      <c r="G1450" s="4" t="s">
        <v>43</v>
      </c>
      <c r="H1450" s="4">
        <v>5</v>
      </c>
      <c r="I1450" s="4">
        <v>0</v>
      </c>
      <c r="J1450" s="4">
        <v>2</v>
      </c>
      <c r="K1450" s="4">
        <v>3</v>
      </c>
      <c r="L1450" s="4" t="str">
        <f t="shared" si="36"/>
        <v>NORMAL</v>
      </c>
      <c r="M1450" s="4" t="str">
        <f t="shared" si="37"/>
        <v>HIGH</v>
      </c>
      <c r="N1450" s="4" t="str">
        <f t="shared" si="38"/>
        <v>MID</v>
      </c>
      <c r="O1450" s="4" t="str">
        <f t="shared" si="39"/>
        <v>RECENTLY PROMOTED</v>
      </c>
      <c r="P1450" s="5" t="str">
        <f t="shared" si="40"/>
        <v>Medium_Pressure</v>
      </c>
      <c r="Q1450" s="4" t="str">
        <f t="shared" si="41"/>
        <v>DISENGAGED</v>
      </c>
      <c r="R1450" s="4" t="str">
        <f t="shared" si="42"/>
        <v>LOW</v>
      </c>
      <c r="S1450" s="2"/>
      <c r="T1450" s="2"/>
      <c r="U1450" s="2"/>
      <c r="V1450" s="2"/>
      <c r="W1450" s="2"/>
      <c r="X1450" s="2"/>
      <c r="Y1450" s="2"/>
      <c r="Z1450" s="2"/>
    </row>
    <row r="1451" spans="1:26" ht="16.8" x14ac:dyDescent="0.3">
      <c r="A1451" s="4">
        <v>2038</v>
      </c>
      <c r="B1451" s="4" t="s">
        <v>43</v>
      </c>
      <c r="C1451" s="4">
        <v>32</v>
      </c>
      <c r="D1451" s="4" t="s">
        <v>45</v>
      </c>
      <c r="E1451" s="4" t="s">
        <v>47</v>
      </c>
      <c r="F1451" s="4">
        <v>2439</v>
      </c>
      <c r="G1451" s="4" t="s">
        <v>43</v>
      </c>
      <c r="H1451" s="4">
        <v>4</v>
      </c>
      <c r="I1451" s="4">
        <v>1</v>
      </c>
      <c r="J1451" s="4">
        <v>1</v>
      </c>
      <c r="K1451" s="4">
        <v>3</v>
      </c>
      <c r="L1451" s="4" t="str">
        <f t="shared" si="36"/>
        <v>NORMAL</v>
      </c>
      <c r="M1451" s="4" t="str">
        <f t="shared" si="37"/>
        <v>LOW</v>
      </c>
      <c r="N1451" s="4" t="str">
        <f t="shared" si="38"/>
        <v>MID</v>
      </c>
      <c r="O1451" s="4" t="str">
        <f t="shared" si="39"/>
        <v>RECENTLY PROMOTED</v>
      </c>
      <c r="P1451" s="5" t="str">
        <f t="shared" si="40"/>
        <v>Medium_Pressure</v>
      </c>
      <c r="Q1451" s="4" t="str">
        <f t="shared" si="41"/>
        <v>DISENGAGED</v>
      </c>
      <c r="R1451" s="4" t="str">
        <f t="shared" si="42"/>
        <v>LOW</v>
      </c>
      <c r="S1451" s="2"/>
      <c r="T1451" s="2"/>
      <c r="U1451" s="2"/>
      <c r="V1451" s="2"/>
      <c r="W1451" s="2"/>
      <c r="X1451" s="2"/>
      <c r="Y1451" s="2"/>
      <c r="Z1451" s="2"/>
    </row>
    <row r="1452" spans="1:26" ht="16.8" x14ac:dyDescent="0.3">
      <c r="A1452" s="4">
        <v>2040</v>
      </c>
      <c r="B1452" s="4" t="s">
        <v>43</v>
      </c>
      <c r="C1452" s="4">
        <v>35</v>
      </c>
      <c r="D1452" s="4" t="s">
        <v>61</v>
      </c>
      <c r="E1452" s="4" t="s">
        <v>61</v>
      </c>
      <c r="F1452" s="4">
        <v>8837</v>
      </c>
      <c r="G1452" s="4" t="s">
        <v>35</v>
      </c>
      <c r="H1452" s="4">
        <v>9</v>
      </c>
      <c r="I1452" s="4">
        <v>1</v>
      </c>
      <c r="J1452" s="4">
        <v>4</v>
      </c>
      <c r="K1452" s="4">
        <v>3</v>
      </c>
      <c r="L1452" s="4" t="str">
        <f t="shared" si="36"/>
        <v>NORMAL</v>
      </c>
      <c r="M1452" s="4" t="str">
        <f t="shared" si="37"/>
        <v>HIGH</v>
      </c>
      <c r="N1452" s="4" t="str">
        <f t="shared" si="38"/>
        <v>SENIOR</v>
      </c>
      <c r="O1452" s="4" t="str">
        <f t="shared" si="39"/>
        <v>RECENTLY PROMOTED</v>
      </c>
      <c r="P1452" s="5" t="str">
        <f t="shared" si="40"/>
        <v>Medium_Pressure</v>
      </c>
      <c r="Q1452" s="4" t="str">
        <f t="shared" si="41"/>
        <v>HIGHLY_ENGAGED</v>
      </c>
      <c r="R1452" s="4" t="str">
        <f t="shared" si="42"/>
        <v>LOW</v>
      </c>
      <c r="S1452" s="2"/>
      <c r="T1452" s="2"/>
      <c r="U1452" s="2"/>
      <c r="V1452" s="2"/>
      <c r="W1452" s="2"/>
      <c r="X1452" s="2"/>
      <c r="Y1452" s="2"/>
      <c r="Z1452" s="2"/>
    </row>
    <row r="1453" spans="1:26" ht="16.8" x14ac:dyDescent="0.3">
      <c r="A1453" s="4">
        <v>2041</v>
      </c>
      <c r="B1453" s="4" t="s">
        <v>43</v>
      </c>
      <c r="C1453" s="4">
        <v>38</v>
      </c>
      <c r="D1453" s="4" t="s">
        <v>37</v>
      </c>
      <c r="E1453" s="4" t="s">
        <v>40</v>
      </c>
      <c r="F1453" s="4">
        <v>5343</v>
      </c>
      <c r="G1453" s="4" t="s">
        <v>43</v>
      </c>
      <c r="H1453" s="4">
        <v>10</v>
      </c>
      <c r="I1453" s="4">
        <v>1</v>
      </c>
      <c r="J1453" s="4">
        <v>4</v>
      </c>
      <c r="K1453" s="4">
        <v>3</v>
      </c>
      <c r="L1453" s="4" t="str">
        <f t="shared" si="36"/>
        <v>NORMAL</v>
      </c>
      <c r="M1453" s="4" t="str">
        <f t="shared" si="37"/>
        <v>HIGH</v>
      </c>
      <c r="N1453" s="4" t="str">
        <f t="shared" si="38"/>
        <v>SENIOR</v>
      </c>
      <c r="O1453" s="4" t="str">
        <f t="shared" si="39"/>
        <v>RECENTLY PROMOTED</v>
      </c>
      <c r="P1453" s="5" t="str">
        <f t="shared" si="40"/>
        <v>Medium_Pressure</v>
      </c>
      <c r="Q1453" s="4" t="str">
        <f t="shared" si="41"/>
        <v>HIGHLY_ENGAGED</v>
      </c>
      <c r="R1453" s="4" t="str">
        <f t="shared" si="42"/>
        <v>LOW</v>
      </c>
      <c r="S1453" s="2"/>
      <c r="T1453" s="2"/>
      <c r="U1453" s="2"/>
      <c r="V1453" s="2"/>
      <c r="W1453" s="2"/>
      <c r="X1453" s="2"/>
      <c r="Y1453" s="2"/>
      <c r="Z1453" s="2"/>
    </row>
    <row r="1454" spans="1:26" ht="16.8" x14ac:dyDescent="0.3">
      <c r="A1454" s="4">
        <v>2044</v>
      </c>
      <c r="B1454" s="4" t="s">
        <v>35</v>
      </c>
      <c r="C1454" s="4">
        <v>50</v>
      </c>
      <c r="D1454" s="4" t="s">
        <v>37</v>
      </c>
      <c r="E1454" s="4" t="s">
        <v>40</v>
      </c>
      <c r="F1454" s="4">
        <v>6728</v>
      </c>
      <c r="G1454" s="4" t="s">
        <v>43</v>
      </c>
      <c r="H1454" s="4">
        <v>6</v>
      </c>
      <c r="I1454" s="4">
        <v>0</v>
      </c>
      <c r="J1454" s="4">
        <v>3</v>
      </c>
      <c r="K1454" s="4">
        <v>3</v>
      </c>
      <c r="L1454" s="4" t="str">
        <f t="shared" si="36"/>
        <v>NORMAL</v>
      </c>
      <c r="M1454" s="4" t="str">
        <f t="shared" si="37"/>
        <v>HIGH</v>
      </c>
      <c r="N1454" s="4" t="str">
        <f t="shared" si="38"/>
        <v>MID</v>
      </c>
      <c r="O1454" s="4" t="str">
        <f t="shared" si="39"/>
        <v>RECENTLY PROMOTED</v>
      </c>
      <c r="P1454" s="5" t="str">
        <f t="shared" si="40"/>
        <v>Medium_Pressure</v>
      </c>
      <c r="Q1454" s="4" t="str">
        <f t="shared" si="41"/>
        <v>HIGHLY_ENGAGED</v>
      </c>
      <c r="R1454" s="4" t="str">
        <f t="shared" si="42"/>
        <v>LOW</v>
      </c>
      <c r="S1454" s="2"/>
      <c r="T1454" s="2"/>
      <c r="U1454" s="2"/>
      <c r="V1454" s="2"/>
      <c r="W1454" s="2"/>
      <c r="X1454" s="2"/>
      <c r="Y1454" s="2"/>
      <c r="Z1454" s="2"/>
    </row>
    <row r="1455" spans="1:26" ht="16.8" x14ac:dyDescent="0.3">
      <c r="A1455" s="4">
        <v>2045</v>
      </c>
      <c r="B1455" s="4" t="s">
        <v>43</v>
      </c>
      <c r="C1455" s="4">
        <v>36</v>
      </c>
      <c r="D1455" s="4" t="s">
        <v>37</v>
      </c>
      <c r="E1455" s="4" t="s">
        <v>40</v>
      </c>
      <c r="F1455" s="4">
        <v>6652</v>
      </c>
      <c r="G1455" s="4" t="s">
        <v>43</v>
      </c>
      <c r="H1455" s="4">
        <v>6</v>
      </c>
      <c r="I1455" s="4">
        <v>0</v>
      </c>
      <c r="J1455" s="4">
        <v>4</v>
      </c>
      <c r="K1455" s="4">
        <v>2</v>
      </c>
      <c r="L1455" s="4" t="str">
        <f t="shared" si="36"/>
        <v>NORMAL</v>
      </c>
      <c r="M1455" s="4" t="str">
        <f t="shared" si="37"/>
        <v>HIGH</v>
      </c>
      <c r="N1455" s="4" t="str">
        <f t="shared" si="38"/>
        <v>MID</v>
      </c>
      <c r="O1455" s="4" t="str">
        <f t="shared" si="39"/>
        <v>RECENTLY PROMOTED</v>
      </c>
      <c r="P1455" s="5" t="str">
        <f t="shared" si="40"/>
        <v>Low_Pressure</v>
      </c>
      <c r="Q1455" s="4" t="str">
        <f t="shared" si="41"/>
        <v>DISENGAGED</v>
      </c>
      <c r="R1455" s="4" t="str">
        <f t="shared" si="42"/>
        <v>LOW</v>
      </c>
      <c r="S1455" s="2"/>
      <c r="T1455" s="2"/>
      <c r="U1455" s="2"/>
      <c r="V1455" s="2"/>
      <c r="W1455" s="2"/>
      <c r="X1455" s="2"/>
      <c r="Y1455" s="2"/>
      <c r="Z1455" s="2"/>
    </row>
    <row r="1456" spans="1:26" ht="16.8" x14ac:dyDescent="0.3">
      <c r="A1456" s="4">
        <v>2046</v>
      </c>
      <c r="B1456" s="4" t="s">
        <v>43</v>
      </c>
      <c r="C1456" s="4">
        <v>45</v>
      </c>
      <c r="D1456" s="4" t="s">
        <v>37</v>
      </c>
      <c r="E1456" s="4" t="s">
        <v>40</v>
      </c>
      <c r="F1456" s="4">
        <v>4850</v>
      </c>
      <c r="G1456" s="4" t="s">
        <v>43</v>
      </c>
      <c r="H1456" s="4">
        <v>5</v>
      </c>
      <c r="I1456" s="4">
        <v>0</v>
      </c>
      <c r="J1456" s="4">
        <v>3</v>
      </c>
      <c r="K1456" s="4">
        <v>3</v>
      </c>
      <c r="L1456" s="4" t="str">
        <f t="shared" si="36"/>
        <v>NORMAL</v>
      </c>
      <c r="M1456" s="4" t="str">
        <f t="shared" si="37"/>
        <v>HIGH</v>
      </c>
      <c r="N1456" s="4" t="str">
        <f t="shared" si="38"/>
        <v>MID</v>
      </c>
      <c r="O1456" s="4" t="str">
        <f t="shared" si="39"/>
        <v>RECENTLY PROMOTED</v>
      </c>
      <c r="P1456" s="5" t="str">
        <f t="shared" si="40"/>
        <v>Medium_Pressure</v>
      </c>
      <c r="Q1456" s="4" t="str">
        <f t="shared" si="41"/>
        <v>HIGHLY_ENGAGED</v>
      </c>
      <c r="R1456" s="4" t="str">
        <f t="shared" si="42"/>
        <v>LOW</v>
      </c>
      <c r="S1456" s="2"/>
      <c r="T1456" s="2"/>
      <c r="U1456" s="2"/>
      <c r="V1456" s="2"/>
      <c r="W1456" s="2"/>
      <c r="X1456" s="2"/>
      <c r="Y1456" s="2"/>
      <c r="Z1456" s="2"/>
    </row>
    <row r="1457" spans="1:26" ht="16.8" x14ac:dyDescent="0.3">
      <c r="A1457" s="4">
        <v>2048</v>
      </c>
      <c r="B1457" s="4" t="s">
        <v>43</v>
      </c>
      <c r="C1457" s="4">
        <v>40</v>
      </c>
      <c r="D1457" s="4" t="s">
        <v>45</v>
      </c>
      <c r="E1457" s="4" t="s">
        <v>47</v>
      </c>
      <c r="F1457" s="4">
        <v>2809</v>
      </c>
      <c r="G1457" s="4" t="s">
        <v>43</v>
      </c>
      <c r="H1457" s="4">
        <v>2</v>
      </c>
      <c r="I1457" s="4">
        <v>2</v>
      </c>
      <c r="J1457" s="4">
        <v>3</v>
      </c>
      <c r="K1457" s="4">
        <v>3</v>
      </c>
      <c r="L1457" s="4" t="str">
        <f t="shared" si="36"/>
        <v>NORMAL</v>
      </c>
      <c r="M1457" s="4" t="str">
        <f t="shared" si="37"/>
        <v>LOW</v>
      </c>
      <c r="N1457" s="4" t="str">
        <f t="shared" si="38"/>
        <v>NEW</v>
      </c>
      <c r="O1457" s="4" t="str">
        <f t="shared" si="39"/>
        <v>MODERATE-WAIT</v>
      </c>
      <c r="P1457" s="5" t="str">
        <f t="shared" si="40"/>
        <v>Medium_Pressure</v>
      </c>
      <c r="Q1457" s="4" t="str">
        <f t="shared" si="41"/>
        <v>HIGHLY_ENGAGED</v>
      </c>
      <c r="R1457" s="4" t="str">
        <f t="shared" si="42"/>
        <v>LOW</v>
      </c>
      <c r="S1457" s="2"/>
      <c r="T1457" s="2"/>
      <c r="U1457" s="2"/>
      <c r="V1457" s="2"/>
      <c r="W1457" s="2"/>
      <c r="X1457" s="2"/>
      <c r="Y1457" s="2"/>
      <c r="Z1457" s="2"/>
    </row>
    <row r="1458" spans="1:26" ht="16.8" x14ac:dyDescent="0.3">
      <c r="A1458" s="4">
        <v>2049</v>
      </c>
      <c r="B1458" s="4" t="s">
        <v>43</v>
      </c>
      <c r="C1458" s="4">
        <v>35</v>
      </c>
      <c r="D1458" s="4" t="s">
        <v>45</v>
      </c>
      <c r="E1458" s="4" t="s">
        <v>54</v>
      </c>
      <c r="F1458" s="4">
        <v>5689</v>
      </c>
      <c r="G1458" s="4" t="s">
        <v>35</v>
      </c>
      <c r="H1458" s="4">
        <v>10</v>
      </c>
      <c r="I1458" s="4">
        <v>0</v>
      </c>
      <c r="J1458" s="4">
        <v>3</v>
      </c>
      <c r="K1458" s="4">
        <v>4</v>
      </c>
      <c r="L1458" s="4" t="str">
        <f t="shared" si="36"/>
        <v>NORMAL</v>
      </c>
      <c r="M1458" s="4" t="str">
        <f t="shared" si="37"/>
        <v>HIGH</v>
      </c>
      <c r="N1458" s="4" t="str">
        <f t="shared" si="38"/>
        <v>SENIOR</v>
      </c>
      <c r="O1458" s="4" t="str">
        <f t="shared" si="39"/>
        <v>RECENTLY PROMOTED</v>
      </c>
      <c r="P1458" s="5" t="str">
        <f t="shared" si="40"/>
        <v>Medium_Pressure</v>
      </c>
      <c r="Q1458" s="4" t="str">
        <f t="shared" si="41"/>
        <v>HIGHLY_ENGAGED</v>
      </c>
      <c r="R1458" s="4" t="str">
        <f t="shared" si="42"/>
        <v>LOW</v>
      </c>
      <c r="S1458" s="2"/>
      <c r="T1458" s="2"/>
      <c r="U1458" s="2"/>
      <c r="V1458" s="2"/>
      <c r="W1458" s="2"/>
      <c r="X1458" s="2"/>
      <c r="Y1458" s="2"/>
      <c r="Z1458" s="2"/>
    </row>
    <row r="1459" spans="1:26" ht="16.8" x14ac:dyDescent="0.3">
      <c r="A1459" s="4">
        <v>2051</v>
      </c>
      <c r="B1459" s="4" t="s">
        <v>43</v>
      </c>
      <c r="C1459" s="4">
        <v>40</v>
      </c>
      <c r="D1459" s="4" t="s">
        <v>45</v>
      </c>
      <c r="E1459" s="4" t="s">
        <v>47</v>
      </c>
      <c r="F1459" s="4">
        <v>2001</v>
      </c>
      <c r="G1459" s="4" t="s">
        <v>43</v>
      </c>
      <c r="H1459" s="4">
        <v>5</v>
      </c>
      <c r="I1459" s="4">
        <v>0</v>
      </c>
      <c r="J1459" s="4">
        <v>3</v>
      </c>
      <c r="K1459" s="4">
        <v>3</v>
      </c>
      <c r="L1459" s="4" t="str">
        <f t="shared" si="36"/>
        <v>NORMAL</v>
      </c>
      <c r="M1459" s="4" t="str">
        <f t="shared" si="37"/>
        <v>LOW</v>
      </c>
      <c r="N1459" s="4" t="str">
        <f t="shared" si="38"/>
        <v>MID</v>
      </c>
      <c r="O1459" s="4" t="str">
        <f t="shared" si="39"/>
        <v>RECENTLY PROMOTED</v>
      </c>
      <c r="P1459" s="5" t="str">
        <f t="shared" si="40"/>
        <v>Medium_Pressure</v>
      </c>
      <c r="Q1459" s="4" t="str">
        <f t="shared" si="41"/>
        <v>HIGHLY_ENGAGED</v>
      </c>
      <c r="R1459" s="4" t="str">
        <f t="shared" si="42"/>
        <v>LOW</v>
      </c>
      <c r="S1459" s="2"/>
      <c r="T1459" s="2"/>
      <c r="U1459" s="2"/>
      <c r="V1459" s="2"/>
      <c r="W1459" s="2"/>
      <c r="X1459" s="2"/>
      <c r="Y1459" s="2"/>
      <c r="Z1459" s="2"/>
    </row>
    <row r="1460" spans="1:26" ht="16.8" x14ac:dyDescent="0.3">
      <c r="A1460" s="4">
        <v>2052</v>
      </c>
      <c r="B1460" s="4" t="s">
        <v>43</v>
      </c>
      <c r="C1460" s="4">
        <v>35</v>
      </c>
      <c r="D1460" s="4" t="s">
        <v>45</v>
      </c>
      <c r="E1460" s="4" t="s">
        <v>47</v>
      </c>
      <c r="F1460" s="4">
        <v>2977</v>
      </c>
      <c r="G1460" s="4" t="s">
        <v>43</v>
      </c>
      <c r="H1460" s="4">
        <v>4</v>
      </c>
      <c r="I1460" s="4">
        <v>1</v>
      </c>
      <c r="J1460" s="4">
        <v>4</v>
      </c>
      <c r="K1460" s="4">
        <v>3</v>
      </c>
      <c r="L1460" s="4" t="str">
        <f t="shared" si="36"/>
        <v>NORMAL</v>
      </c>
      <c r="M1460" s="4" t="str">
        <f t="shared" si="37"/>
        <v>LOW</v>
      </c>
      <c r="N1460" s="4" t="str">
        <f t="shared" si="38"/>
        <v>MID</v>
      </c>
      <c r="O1460" s="4" t="str">
        <f t="shared" si="39"/>
        <v>RECENTLY PROMOTED</v>
      </c>
      <c r="P1460" s="5" t="str">
        <f t="shared" si="40"/>
        <v>Medium_Pressure</v>
      </c>
      <c r="Q1460" s="4" t="str">
        <f t="shared" si="41"/>
        <v>HIGHLY_ENGAGED</v>
      </c>
      <c r="R1460" s="4" t="str">
        <f t="shared" si="42"/>
        <v>LOW</v>
      </c>
      <c r="S1460" s="2"/>
      <c r="T1460" s="2"/>
      <c r="U1460" s="2"/>
      <c r="V1460" s="2"/>
      <c r="W1460" s="2"/>
      <c r="X1460" s="2"/>
      <c r="Y1460" s="2"/>
      <c r="Z1460" s="2"/>
    </row>
    <row r="1461" spans="1:26" ht="16.8" x14ac:dyDescent="0.3">
      <c r="A1461" s="4">
        <v>2053</v>
      </c>
      <c r="B1461" s="4" t="s">
        <v>43</v>
      </c>
      <c r="C1461" s="4">
        <v>29</v>
      </c>
      <c r="D1461" s="4" t="s">
        <v>45</v>
      </c>
      <c r="E1461" s="4" t="s">
        <v>50</v>
      </c>
      <c r="F1461" s="4">
        <v>4025</v>
      </c>
      <c r="G1461" s="4" t="s">
        <v>35</v>
      </c>
      <c r="H1461" s="4">
        <v>4</v>
      </c>
      <c r="I1461" s="4">
        <v>0</v>
      </c>
      <c r="J1461" s="4">
        <v>2</v>
      </c>
      <c r="K1461" s="4">
        <v>3</v>
      </c>
      <c r="L1461" s="4" t="str">
        <f t="shared" si="36"/>
        <v>NORMAL</v>
      </c>
      <c r="M1461" s="4" t="str">
        <f t="shared" si="37"/>
        <v>HIGH</v>
      </c>
      <c r="N1461" s="4" t="str">
        <f t="shared" si="38"/>
        <v>MID</v>
      </c>
      <c r="O1461" s="4" t="str">
        <f t="shared" si="39"/>
        <v>RECENTLY PROMOTED</v>
      </c>
      <c r="P1461" s="5" t="str">
        <f t="shared" si="40"/>
        <v>Medium_Pressure</v>
      </c>
      <c r="Q1461" s="4" t="str">
        <f t="shared" si="41"/>
        <v>DISENGAGED</v>
      </c>
      <c r="R1461" s="4" t="str">
        <f t="shared" si="42"/>
        <v>LOW</v>
      </c>
      <c r="S1461" s="2"/>
      <c r="T1461" s="2"/>
      <c r="U1461" s="2"/>
      <c r="V1461" s="2"/>
      <c r="W1461" s="2"/>
      <c r="X1461" s="2"/>
      <c r="Y1461" s="2"/>
      <c r="Z1461" s="2"/>
    </row>
    <row r="1462" spans="1:26" ht="16.8" x14ac:dyDescent="0.3">
      <c r="A1462" s="4">
        <v>2054</v>
      </c>
      <c r="B1462" s="4" t="s">
        <v>43</v>
      </c>
      <c r="C1462" s="4">
        <v>29</v>
      </c>
      <c r="D1462" s="4" t="s">
        <v>45</v>
      </c>
      <c r="E1462" s="4" t="s">
        <v>47</v>
      </c>
      <c r="F1462" s="4">
        <v>3785</v>
      </c>
      <c r="G1462" s="4" t="s">
        <v>43</v>
      </c>
      <c r="H1462" s="4">
        <v>5</v>
      </c>
      <c r="I1462" s="4">
        <v>0</v>
      </c>
      <c r="J1462" s="4">
        <v>1</v>
      </c>
      <c r="K1462" s="4">
        <v>1</v>
      </c>
      <c r="L1462" s="4" t="str">
        <f t="shared" si="36"/>
        <v>NORMAL</v>
      </c>
      <c r="M1462" s="4" t="str">
        <f t="shared" si="37"/>
        <v>LOW</v>
      </c>
      <c r="N1462" s="4" t="str">
        <f t="shared" si="38"/>
        <v>MID</v>
      </c>
      <c r="O1462" s="4" t="str">
        <f t="shared" si="39"/>
        <v>RECENTLY PROMOTED</v>
      </c>
      <c r="P1462" s="5" t="str">
        <f t="shared" si="40"/>
        <v>Low_Pressure</v>
      </c>
      <c r="Q1462" s="4" t="str">
        <f t="shared" si="41"/>
        <v>DISENGAGED</v>
      </c>
      <c r="R1462" s="4" t="str">
        <f t="shared" si="42"/>
        <v>LOW</v>
      </c>
      <c r="S1462" s="2"/>
      <c r="T1462" s="2"/>
      <c r="U1462" s="2"/>
      <c r="V1462" s="2"/>
      <c r="W1462" s="2"/>
      <c r="X1462" s="2"/>
      <c r="Y1462" s="2"/>
      <c r="Z1462" s="2"/>
    </row>
    <row r="1463" spans="1:26" ht="16.8" x14ac:dyDescent="0.3">
      <c r="A1463" s="4">
        <v>2055</v>
      </c>
      <c r="B1463" s="4" t="s">
        <v>35</v>
      </c>
      <c r="C1463" s="4">
        <v>50</v>
      </c>
      <c r="D1463" s="4" t="s">
        <v>37</v>
      </c>
      <c r="E1463" s="4" t="s">
        <v>40</v>
      </c>
      <c r="F1463" s="4">
        <v>10854</v>
      </c>
      <c r="G1463" s="4" t="s">
        <v>35</v>
      </c>
      <c r="H1463" s="4">
        <v>3</v>
      </c>
      <c r="I1463" s="4">
        <v>2</v>
      </c>
      <c r="J1463" s="4">
        <v>1</v>
      </c>
      <c r="K1463" s="4">
        <v>3</v>
      </c>
      <c r="L1463" s="4" t="str">
        <f t="shared" si="36"/>
        <v>NORMAL</v>
      </c>
      <c r="M1463" s="4" t="str">
        <f t="shared" si="37"/>
        <v>MEDIUM</v>
      </c>
      <c r="N1463" s="4" t="str">
        <f t="shared" si="38"/>
        <v>MID</v>
      </c>
      <c r="O1463" s="4" t="str">
        <f t="shared" si="39"/>
        <v>MODERATE-WAIT</v>
      </c>
      <c r="P1463" s="5" t="str">
        <f t="shared" si="40"/>
        <v>Medium_Pressure</v>
      </c>
      <c r="Q1463" s="4" t="str">
        <f t="shared" si="41"/>
        <v>DISENGAGED</v>
      </c>
      <c r="R1463" s="4" t="str">
        <f t="shared" si="42"/>
        <v>LOW</v>
      </c>
      <c r="S1463" s="2"/>
      <c r="T1463" s="2"/>
      <c r="U1463" s="2"/>
      <c r="V1463" s="2"/>
      <c r="W1463" s="2"/>
      <c r="X1463" s="2"/>
      <c r="Y1463" s="2"/>
      <c r="Z1463" s="2"/>
    </row>
    <row r="1464" spans="1:26" ht="16.8" x14ac:dyDescent="0.3">
      <c r="A1464" s="4">
        <v>2056</v>
      </c>
      <c r="B1464" s="4" t="s">
        <v>43</v>
      </c>
      <c r="C1464" s="4">
        <v>39</v>
      </c>
      <c r="D1464" s="4" t="s">
        <v>37</v>
      </c>
      <c r="E1464" s="4" t="s">
        <v>40</v>
      </c>
      <c r="F1464" s="4">
        <v>12031</v>
      </c>
      <c r="G1464" s="4" t="s">
        <v>43</v>
      </c>
      <c r="H1464" s="4">
        <v>20</v>
      </c>
      <c r="I1464" s="4">
        <v>9</v>
      </c>
      <c r="J1464" s="4">
        <v>4</v>
      </c>
      <c r="K1464" s="4">
        <v>2</v>
      </c>
      <c r="L1464" s="4" t="str">
        <f t="shared" si="36"/>
        <v>NORMAL</v>
      </c>
      <c r="M1464" s="4" t="str">
        <f t="shared" si="37"/>
        <v>MEDIUM</v>
      </c>
      <c r="N1464" s="4" t="str">
        <f t="shared" si="38"/>
        <v>SENIOR</v>
      </c>
      <c r="O1464" s="4" t="str">
        <f t="shared" si="39"/>
        <v>STAGNANT</v>
      </c>
      <c r="P1464" s="5" t="str">
        <f t="shared" si="40"/>
        <v>Low_Pressure</v>
      </c>
      <c r="Q1464" s="4" t="str">
        <f t="shared" si="41"/>
        <v>DISENGAGED</v>
      </c>
      <c r="R1464" s="4" t="str">
        <f t="shared" si="42"/>
        <v>LOW</v>
      </c>
      <c r="S1464" s="2"/>
      <c r="T1464" s="2"/>
      <c r="U1464" s="2"/>
      <c r="V1464" s="2"/>
      <c r="W1464" s="2"/>
      <c r="X1464" s="2"/>
      <c r="Y1464" s="2"/>
      <c r="Z1464" s="2"/>
    </row>
    <row r="1465" spans="1:26" ht="16.8" x14ac:dyDescent="0.3">
      <c r="A1465" s="4">
        <v>2057</v>
      </c>
      <c r="B1465" s="4" t="s">
        <v>43</v>
      </c>
      <c r="C1465" s="4">
        <v>31</v>
      </c>
      <c r="D1465" s="4" t="s">
        <v>45</v>
      </c>
      <c r="E1465" s="4" t="s">
        <v>53</v>
      </c>
      <c r="F1465" s="4">
        <v>9936</v>
      </c>
      <c r="G1465" s="4" t="s">
        <v>43</v>
      </c>
      <c r="H1465" s="4">
        <v>9</v>
      </c>
      <c r="I1465" s="4">
        <v>1</v>
      </c>
      <c r="J1465" s="4">
        <v>1</v>
      </c>
      <c r="K1465" s="4">
        <v>3</v>
      </c>
      <c r="L1465" s="4" t="str">
        <f t="shared" si="36"/>
        <v>NORMAL</v>
      </c>
      <c r="M1465" s="4" t="str">
        <f t="shared" si="37"/>
        <v>MEDIUM</v>
      </c>
      <c r="N1465" s="4" t="str">
        <f t="shared" si="38"/>
        <v>SENIOR</v>
      </c>
      <c r="O1465" s="4" t="str">
        <f t="shared" si="39"/>
        <v>RECENTLY PROMOTED</v>
      </c>
      <c r="P1465" s="5" t="str">
        <f t="shared" si="40"/>
        <v>Medium_Pressure</v>
      </c>
      <c r="Q1465" s="4" t="str">
        <f t="shared" si="41"/>
        <v>DISENGAGED</v>
      </c>
      <c r="R1465" s="4" t="str">
        <f t="shared" si="42"/>
        <v>LOW</v>
      </c>
      <c r="S1465" s="2"/>
      <c r="T1465" s="2"/>
      <c r="U1465" s="2"/>
      <c r="V1465" s="2"/>
      <c r="W1465" s="2"/>
      <c r="X1465" s="2"/>
      <c r="Y1465" s="2"/>
      <c r="Z1465" s="2"/>
    </row>
    <row r="1466" spans="1:26" ht="16.8" x14ac:dyDescent="0.3">
      <c r="A1466" s="4">
        <v>2060</v>
      </c>
      <c r="B1466" s="4" t="s">
        <v>43</v>
      </c>
      <c r="C1466" s="4">
        <v>26</v>
      </c>
      <c r="D1466" s="4" t="s">
        <v>37</v>
      </c>
      <c r="E1466" s="4" t="s">
        <v>57</v>
      </c>
      <c r="F1466" s="4">
        <v>2966</v>
      </c>
      <c r="G1466" s="4" t="s">
        <v>43</v>
      </c>
      <c r="H1466" s="4">
        <v>4</v>
      </c>
      <c r="I1466" s="4">
        <v>0</v>
      </c>
      <c r="J1466" s="4">
        <v>3</v>
      </c>
      <c r="K1466" s="4">
        <v>3</v>
      </c>
      <c r="L1466" s="4" t="str">
        <f t="shared" si="36"/>
        <v>NORMAL</v>
      </c>
      <c r="M1466" s="4" t="str">
        <f t="shared" si="37"/>
        <v>LOW</v>
      </c>
      <c r="N1466" s="4" t="str">
        <f t="shared" si="38"/>
        <v>MID</v>
      </c>
      <c r="O1466" s="4" t="str">
        <f t="shared" si="39"/>
        <v>RECENTLY PROMOTED</v>
      </c>
      <c r="P1466" s="5" t="str">
        <f t="shared" si="40"/>
        <v>Medium_Pressure</v>
      </c>
      <c r="Q1466" s="4" t="str">
        <f t="shared" si="41"/>
        <v>HIGHLY_ENGAGED</v>
      </c>
      <c r="R1466" s="4" t="str">
        <f t="shared" si="42"/>
        <v>LOW</v>
      </c>
      <c r="S1466" s="2"/>
      <c r="T1466" s="2"/>
      <c r="U1466" s="2"/>
      <c r="V1466" s="2"/>
      <c r="W1466" s="2"/>
      <c r="X1466" s="2"/>
      <c r="Y1466" s="2"/>
      <c r="Z1466" s="2"/>
    </row>
    <row r="1467" spans="1:26" ht="16.8" x14ac:dyDescent="0.3">
      <c r="A1467" s="4">
        <v>2061</v>
      </c>
      <c r="B1467" s="4" t="s">
        <v>43</v>
      </c>
      <c r="C1467" s="4">
        <v>36</v>
      </c>
      <c r="D1467" s="4" t="s">
        <v>45</v>
      </c>
      <c r="E1467" s="4" t="s">
        <v>50</v>
      </c>
      <c r="F1467" s="4">
        <v>2571</v>
      </c>
      <c r="G1467" s="4" t="s">
        <v>43</v>
      </c>
      <c r="H1467" s="4">
        <v>5</v>
      </c>
      <c r="I1467" s="4">
        <v>0</v>
      </c>
      <c r="J1467" s="4">
        <v>4</v>
      </c>
      <c r="K1467" s="4">
        <v>3</v>
      </c>
      <c r="L1467" s="4" t="str">
        <f t="shared" si="36"/>
        <v>NORMAL</v>
      </c>
      <c r="M1467" s="4" t="str">
        <f t="shared" si="37"/>
        <v>LOW</v>
      </c>
      <c r="N1467" s="4" t="str">
        <f t="shared" si="38"/>
        <v>MID</v>
      </c>
      <c r="O1467" s="4" t="str">
        <f t="shared" si="39"/>
        <v>RECENTLY PROMOTED</v>
      </c>
      <c r="P1467" s="5" t="str">
        <f t="shared" si="40"/>
        <v>Medium_Pressure</v>
      </c>
      <c r="Q1467" s="4" t="str">
        <f t="shared" si="41"/>
        <v>HIGHLY_ENGAGED</v>
      </c>
      <c r="R1467" s="4" t="str">
        <f t="shared" si="42"/>
        <v>LOW</v>
      </c>
      <c r="S1467" s="2"/>
      <c r="T1467" s="2"/>
      <c r="U1467" s="2"/>
      <c r="V1467" s="2"/>
      <c r="W1467" s="2"/>
      <c r="X1467" s="2"/>
      <c r="Y1467" s="2"/>
      <c r="Z1467" s="2"/>
    </row>
    <row r="1468" spans="1:26" ht="16.8" x14ac:dyDescent="0.3">
      <c r="A1468" s="4">
        <v>2062</v>
      </c>
      <c r="B1468" s="4" t="s">
        <v>43</v>
      </c>
      <c r="C1468" s="4">
        <v>39</v>
      </c>
      <c r="D1468" s="4" t="s">
        <v>45</v>
      </c>
      <c r="E1468" s="4" t="s">
        <v>54</v>
      </c>
      <c r="F1468" s="4">
        <v>9991</v>
      </c>
      <c r="G1468" s="4" t="s">
        <v>43</v>
      </c>
      <c r="H1468" s="4">
        <v>7</v>
      </c>
      <c r="I1468" s="4">
        <v>1</v>
      </c>
      <c r="J1468" s="4">
        <v>1</v>
      </c>
      <c r="K1468" s="4">
        <v>3</v>
      </c>
      <c r="L1468" s="4" t="str">
        <f t="shared" si="36"/>
        <v>NORMAL</v>
      </c>
      <c r="M1468" s="4" t="str">
        <f t="shared" si="37"/>
        <v>MEDIUM</v>
      </c>
      <c r="N1468" s="4" t="str">
        <f t="shared" si="38"/>
        <v>SENIOR</v>
      </c>
      <c r="O1468" s="4" t="str">
        <f t="shared" si="39"/>
        <v>RECENTLY PROMOTED</v>
      </c>
      <c r="P1468" s="5" t="str">
        <f t="shared" si="40"/>
        <v>Medium_Pressure</v>
      </c>
      <c r="Q1468" s="4" t="str">
        <f t="shared" si="41"/>
        <v>DISENGAGED</v>
      </c>
      <c r="R1468" s="4" t="str">
        <f t="shared" si="42"/>
        <v>LOW</v>
      </c>
      <c r="S1468" s="2"/>
      <c r="T1468" s="2"/>
      <c r="U1468" s="2"/>
      <c r="V1468" s="2"/>
      <c r="W1468" s="2"/>
      <c r="X1468" s="2"/>
      <c r="Y1468" s="2"/>
      <c r="Z1468" s="2"/>
    </row>
    <row r="1469" spans="1:26" ht="16.8" x14ac:dyDescent="0.3">
      <c r="A1469" s="4">
        <v>2064</v>
      </c>
      <c r="B1469" s="4" t="s">
        <v>43</v>
      </c>
      <c r="C1469" s="4">
        <v>27</v>
      </c>
      <c r="D1469" s="4" t="s">
        <v>45</v>
      </c>
      <c r="E1469" s="4" t="s">
        <v>53</v>
      </c>
      <c r="F1469" s="4">
        <v>6142</v>
      </c>
      <c r="G1469" s="4" t="s">
        <v>35</v>
      </c>
      <c r="H1469" s="4">
        <v>6</v>
      </c>
      <c r="I1469" s="4">
        <v>0</v>
      </c>
      <c r="J1469" s="4">
        <v>2</v>
      </c>
      <c r="K1469" s="4">
        <v>3</v>
      </c>
      <c r="L1469" s="4" t="str">
        <f t="shared" si="36"/>
        <v>NORMAL</v>
      </c>
      <c r="M1469" s="4" t="str">
        <f t="shared" si="37"/>
        <v>HIGH</v>
      </c>
      <c r="N1469" s="4" t="str">
        <f t="shared" si="38"/>
        <v>MID</v>
      </c>
      <c r="O1469" s="4" t="str">
        <f t="shared" si="39"/>
        <v>RECENTLY PROMOTED</v>
      </c>
      <c r="P1469" s="5" t="str">
        <f t="shared" si="40"/>
        <v>Medium_Pressure</v>
      </c>
      <c r="Q1469" s="4" t="str">
        <f t="shared" si="41"/>
        <v>DISENGAGED</v>
      </c>
      <c r="R1469" s="4" t="str">
        <f t="shared" si="42"/>
        <v>LOW</v>
      </c>
      <c r="S1469" s="2"/>
      <c r="T1469" s="2"/>
      <c r="U1469" s="2"/>
      <c r="V1469" s="2"/>
      <c r="W1469" s="2"/>
      <c r="X1469" s="2"/>
      <c r="Y1469" s="2"/>
      <c r="Z1469" s="2"/>
    </row>
    <row r="1470" spans="1:26" ht="16.8" x14ac:dyDescent="0.3">
      <c r="A1470" s="4">
        <v>2065</v>
      </c>
      <c r="B1470" s="4" t="s">
        <v>43</v>
      </c>
      <c r="C1470" s="4">
        <v>49</v>
      </c>
      <c r="D1470" s="4" t="s">
        <v>37</v>
      </c>
      <c r="E1470" s="4" t="s">
        <v>40</v>
      </c>
      <c r="F1470" s="4">
        <v>5390</v>
      </c>
      <c r="G1470" s="4" t="s">
        <v>43</v>
      </c>
      <c r="H1470" s="4">
        <v>9</v>
      </c>
      <c r="I1470" s="4">
        <v>0</v>
      </c>
      <c r="J1470" s="4">
        <v>2</v>
      </c>
      <c r="K1470" s="4">
        <v>2</v>
      </c>
      <c r="L1470" s="4" t="str">
        <f t="shared" si="36"/>
        <v>NORMAL</v>
      </c>
      <c r="M1470" s="4" t="str">
        <f t="shared" si="37"/>
        <v>HIGH</v>
      </c>
      <c r="N1470" s="4" t="str">
        <f t="shared" si="38"/>
        <v>SENIOR</v>
      </c>
      <c r="O1470" s="4" t="str">
        <f t="shared" si="39"/>
        <v>RECENTLY PROMOTED</v>
      </c>
      <c r="P1470" s="5" t="str">
        <f t="shared" si="40"/>
        <v>Low_Pressure</v>
      </c>
      <c r="Q1470" s="4" t="str">
        <f t="shared" si="41"/>
        <v>DISENGAGED</v>
      </c>
      <c r="R1470" s="4" t="str">
        <f t="shared" si="42"/>
        <v>LOW</v>
      </c>
      <c r="S1470" s="2"/>
      <c r="T1470" s="2"/>
      <c r="U1470" s="2"/>
      <c r="V1470" s="2"/>
      <c r="W1470" s="2"/>
      <c r="X1470" s="2"/>
      <c r="Y1470" s="2"/>
      <c r="Z1470" s="2"/>
    </row>
    <row r="1471" spans="1:26" ht="16.8" x14ac:dyDescent="0.3">
      <c r="A1471" s="4">
        <v>2068</v>
      </c>
      <c r="B1471" s="4" t="s">
        <v>43</v>
      </c>
      <c r="C1471" s="4">
        <v>34</v>
      </c>
      <c r="D1471" s="4" t="s">
        <v>45</v>
      </c>
      <c r="E1471" s="4" t="s">
        <v>50</v>
      </c>
      <c r="F1471" s="4">
        <v>4404</v>
      </c>
      <c r="G1471" s="4" t="s">
        <v>43</v>
      </c>
      <c r="H1471" s="4">
        <v>4</v>
      </c>
      <c r="I1471" s="4">
        <v>1</v>
      </c>
      <c r="J1471" s="4">
        <v>3</v>
      </c>
      <c r="K1471" s="4">
        <v>4</v>
      </c>
      <c r="L1471" s="4" t="str">
        <f t="shared" si="36"/>
        <v>NORMAL</v>
      </c>
      <c r="M1471" s="4" t="str">
        <f t="shared" si="37"/>
        <v>HIGH</v>
      </c>
      <c r="N1471" s="4" t="str">
        <f t="shared" si="38"/>
        <v>MID</v>
      </c>
      <c r="O1471" s="4" t="str">
        <f t="shared" si="39"/>
        <v>RECENTLY PROMOTED</v>
      </c>
      <c r="P1471" s="5" t="str">
        <f t="shared" si="40"/>
        <v>Low_Pressure</v>
      </c>
      <c r="Q1471" s="4" t="str">
        <f t="shared" si="41"/>
        <v>HIGHLY_ENGAGED</v>
      </c>
      <c r="R1471" s="4" t="str">
        <f t="shared" si="42"/>
        <v>LOW</v>
      </c>
      <c r="S1471" s="2"/>
      <c r="T1471" s="2"/>
      <c r="U1471" s="2"/>
      <c r="V1471" s="2"/>
      <c r="W1471" s="2"/>
      <c r="X1471" s="2"/>
      <c r="Y1471" s="2"/>
      <c r="Z147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47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6.33203125" customWidth="1"/>
    <col min="2" max="2" width="20" customWidth="1"/>
    <col min="3" max="4" width="22.44140625" customWidth="1"/>
    <col min="5" max="5" width="22.33203125" customWidth="1"/>
    <col min="6" max="6" width="25.88671875" customWidth="1"/>
    <col min="7" max="7" width="23.88671875" customWidth="1"/>
    <col min="8" max="8" width="26.88671875" customWidth="1"/>
    <col min="9" max="9" width="17.88671875" customWidth="1"/>
  </cols>
  <sheetData>
    <row r="1" spans="1:27" ht="15.75" customHeight="1" x14ac:dyDescent="0.3">
      <c r="A1" s="3" t="s">
        <v>81</v>
      </c>
      <c r="B1" s="3" t="s">
        <v>66</v>
      </c>
      <c r="C1" s="3" t="s">
        <v>74</v>
      </c>
      <c r="D1" s="3" t="s">
        <v>82</v>
      </c>
      <c r="E1" s="3" t="s">
        <v>79</v>
      </c>
      <c r="F1" s="3" t="s">
        <v>78</v>
      </c>
      <c r="G1" s="3" t="s">
        <v>75</v>
      </c>
      <c r="H1" s="3" t="s">
        <v>83</v>
      </c>
      <c r="I1" s="3" t="s">
        <v>84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5">
      <c r="A2" s="4">
        <v>1</v>
      </c>
      <c r="B2" s="4" t="s">
        <v>37</v>
      </c>
      <c r="C2" s="4" t="str">
        <f>FEATURES!L2</f>
        <v>NORMAL</v>
      </c>
      <c r="D2" s="4" t="str">
        <f>FEATURES!R2</f>
        <v>LOW</v>
      </c>
      <c r="E2" s="4" t="str">
        <f>FEATURES!Q2</f>
        <v>DISENGAGED</v>
      </c>
      <c r="F2" s="4" t="str">
        <f>FEATURES!P2</f>
        <v>High_Pressure</v>
      </c>
      <c r="G2" s="4" t="str">
        <f>FEATURES!M2</f>
        <v>HIGH</v>
      </c>
      <c r="H2" s="4" t="str">
        <f>FEATURES!O2</f>
        <v>RECENTLY PROMOTED</v>
      </c>
      <c r="I2" s="4" t="str">
        <f t="shared" ref="I2:I256" si="0">IF(AND(C2="HIGH",D2="HIGH",E2="DISENGAGED",F2="HIGH_PRESSURE",G2="LOW",H2="STAGNANT"),"HIGH RISK",IF(AND(C2="NORMAL",D2="MEDIUM",E2="MODERATELY ENGAGED",G2="MEDIUM",H2="MODERATE WAIT"),"MEDIUM RISK", "LOW RISK"))</f>
        <v>LOW RISK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25">
      <c r="A3" s="4">
        <v>2</v>
      </c>
      <c r="B3" s="4" t="s">
        <v>45</v>
      </c>
      <c r="C3" s="4" t="str">
        <f>FEATURES!L3</f>
        <v>NORMAL</v>
      </c>
      <c r="D3" s="4" t="str">
        <f>FEATURES!R3</f>
        <v>LOW</v>
      </c>
      <c r="E3" s="4" t="str">
        <f>FEATURES!Q3</f>
        <v>DISENGAGED</v>
      </c>
      <c r="F3" s="4" t="str">
        <f>FEATURES!P3</f>
        <v>Medium_Pressure</v>
      </c>
      <c r="G3" s="4" t="str">
        <f>FEATURES!M3</f>
        <v>HIGH</v>
      </c>
      <c r="H3" s="4" t="str">
        <f>FEATURES!O3</f>
        <v>RECENTLY PROMOTED</v>
      </c>
      <c r="I3" s="4" t="str">
        <f t="shared" si="0"/>
        <v>LOW RISK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25">
      <c r="A4" s="4">
        <v>4</v>
      </c>
      <c r="B4" s="4" t="s">
        <v>45</v>
      </c>
      <c r="C4" s="4" t="str">
        <f>FEATURES!L4</f>
        <v>NORMAL</v>
      </c>
      <c r="D4" s="4" t="str">
        <f>FEATURES!R4</f>
        <v>LOW</v>
      </c>
      <c r="E4" s="4" t="str">
        <f>FEATURES!Q4</f>
        <v>HIGHLY_ENGAGED</v>
      </c>
      <c r="F4" s="4" t="str">
        <f>FEATURES!P4</f>
        <v>Medium_Pressure</v>
      </c>
      <c r="G4" s="4" t="str">
        <f>FEATURES!M4</f>
        <v>LOW</v>
      </c>
      <c r="H4" s="4" t="str">
        <f>FEATURES!O4</f>
        <v>RECENTLY PROMOTED</v>
      </c>
      <c r="I4" s="4" t="str">
        <f t="shared" si="0"/>
        <v>LOW RISK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5">
      <c r="A5" s="4">
        <v>5</v>
      </c>
      <c r="B5" s="4" t="s">
        <v>45</v>
      </c>
      <c r="C5" s="4" t="str">
        <f>FEATURES!L5</f>
        <v>NORMAL</v>
      </c>
      <c r="D5" s="4" t="str">
        <f>FEATURES!R5</f>
        <v>LOW</v>
      </c>
      <c r="E5" s="4" t="str">
        <f>FEATURES!Q5</f>
        <v>HIGHLY_ENGAGED</v>
      </c>
      <c r="F5" s="4" t="str">
        <f>FEATURES!P5</f>
        <v>Medium_Pressure</v>
      </c>
      <c r="G5" s="4" t="str">
        <f>FEATURES!M5</f>
        <v>LOW</v>
      </c>
      <c r="H5" s="4" t="str">
        <f>FEATURES!O5</f>
        <v>MODERATE-WAIT</v>
      </c>
      <c r="I5" s="4" t="str">
        <f t="shared" si="0"/>
        <v>LOW RISK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5">
      <c r="A6" s="4">
        <v>7</v>
      </c>
      <c r="B6" s="4" t="s">
        <v>45</v>
      </c>
      <c r="C6" s="4" t="str">
        <f>FEATURES!L6</f>
        <v>NORMAL</v>
      </c>
      <c r="D6" s="4" t="str">
        <f>FEATURES!R6</f>
        <v>LOW</v>
      </c>
      <c r="E6" s="4" t="str">
        <f>FEATURES!Q6</f>
        <v>DISENGAGED</v>
      </c>
      <c r="F6" s="4" t="str">
        <f>FEATURES!P6</f>
        <v>Medium_Pressure</v>
      </c>
      <c r="G6" s="4" t="str">
        <f>FEATURES!M6</f>
        <v>LOW</v>
      </c>
      <c r="H6" s="4" t="str">
        <f>FEATURES!O6</f>
        <v>MODERATE-WAIT</v>
      </c>
      <c r="I6" s="4" t="str">
        <f t="shared" si="0"/>
        <v>LOW RISK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4">
        <v>8</v>
      </c>
      <c r="B7" s="4" t="s">
        <v>45</v>
      </c>
      <c r="C7" s="4" t="str">
        <f>FEATURES!L7</f>
        <v>NORMAL</v>
      </c>
      <c r="D7" s="4" t="str">
        <f>FEATURES!R7</f>
        <v>LOW</v>
      </c>
      <c r="E7" s="4" t="str">
        <f>FEATURES!Q7</f>
        <v>DISENGAGED</v>
      </c>
      <c r="F7" s="4" t="str">
        <f>FEATURES!P7</f>
        <v>Low_Pressure</v>
      </c>
      <c r="G7" s="4" t="str">
        <f>FEATURES!M7</f>
        <v>LOW</v>
      </c>
      <c r="H7" s="4" t="str">
        <f>FEATURES!O7</f>
        <v>MODERATE-WAIT</v>
      </c>
      <c r="I7" s="4" t="str">
        <f t="shared" si="0"/>
        <v>LOW RISK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25">
      <c r="A8" s="4">
        <v>10</v>
      </c>
      <c r="B8" s="4" t="s">
        <v>45</v>
      </c>
      <c r="C8" s="4" t="str">
        <f>FEATURES!L8</f>
        <v>NORMAL</v>
      </c>
      <c r="D8" s="4" t="str">
        <f>FEATURES!R8</f>
        <v>LOW</v>
      </c>
      <c r="E8" s="4" t="str">
        <f>FEATURES!Q8</f>
        <v>DISENGAGED</v>
      </c>
      <c r="F8" s="4" t="str">
        <f>FEATURES!P8</f>
        <v>High_Pressure</v>
      </c>
      <c r="G8" s="4" t="str">
        <f>FEATURES!M8</f>
        <v>LOW</v>
      </c>
      <c r="H8" s="4" t="str">
        <f>FEATURES!O8</f>
        <v>RECENTLY PROMOTED</v>
      </c>
      <c r="I8" s="4" t="str">
        <f t="shared" si="0"/>
        <v>LOW RISK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5">
      <c r="A9" s="4">
        <v>11</v>
      </c>
      <c r="B9" s="4" t="s">
        <v>45</v>
      </c>
      <c r="C9" s="4" t="str">
        <f>FEATURES!L9</f>
        <v>NORMAL</v>
      </c>
      <c r="D9" s="4" t="str">
        <f>FEATURES!R9</f>
        <v>LOW</v>
      </c>
      <c r="E9" s="4" t="str">
        <f>FEATURES!Q9</f>
        <v>HIGHLY_ENGAGED</v>
      </c>
      <c r="F9" s="4" t="str">
        <f>FEATURES!P9</f>
        <v>Medium_Pressure</v>
      </c>
      <c r="G9" s="4" t="str">
        <f>FEATURES!M9</f>
        <v>LOW</v>
      </c>
      <c r="H9" s="4" t="str">
        <f>FEATURES!O9</f>
        <v>RECENTLY PROMOTED</v>
      </c>
      <c r="I9" s="4" t="str">
        <f t="shared" si="0"/>
        <v>LOW RISK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>
        <v>12</v>
      </c>
      <c r="B10" s="4" t="s">
        <v>45</v>
      </c>
      <c r="C10" s="4" t="str">
        <f>FEATURES!L10</f>
        <v>NORMAL</v>
      </c>
      <c r="D10" s="4" t="str">
        <f>FEATURES!R10</f>
        <v>LOW</v>
      </c>
      <c r="E10" s="4" t="str">
        <f>FEATURES!Q10</f>
        <v>HIGHLY_ENGAGED</v>
      </c>
      <c r="F10" s="4" t="str">
        <f>FEATURES!P10</f>
        <v>Medium_Pressure</v>
      </c>
      <c r="G10" s="4" t="str">
        <f>FEATURES!M10</f>
        <v>MEDIUM</v>
      </c>
      <c r="H10" s="4" t="str">
        <f>FEATURES!O10</f>
        <v>RECENTLY PROMOTED</v>
      </c>
      <c r="I10" s="4" t="str">
        <f t="shared" si="0"/>
        <v>LOW RISK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>
        <v>13</v>
      </c>
      <c r="B11" s="4" t="s">
        <v>45</v>
      </c>
      <c r="C11" s="4" t="str">
        <f>FEATURES!L11</f>
        <v>NORMAL</v>
      </c>
      <c r="D11" s="4" t="str">
        <f>FEATURES!R11</f>
        <v>LOW</v>
      </c>
      <c r="E11" s="4" t="str">
        <f>FEATURES!Q11</f>
        <v>DISENGAGED</v>
      </c>
      <c r="F11" s="4" t="str">
        <f>FEATURES!P11</f>
        <v>Low_Pressure</v>
      </c>
      <c r="G11" s="4" t="str">
        <f>FEATURES!M11</f>
        <v>HIGH</v>
      </c>
      <c r="H11" s="4" t="str">
        <f>FEATURES!O11</f>
        <v>STAGNANT</v>
      </c>
      <c r="I11" s="4" t="str">
        <f t="shared" si="0"/>
        <v>LOW RISK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>
        <v>14</v>
      </c>
      <c r="B12" s="4" t="s">
        <v>45</v>
      </c>
      <c r="C12" s="4" t="str">
        <f>FEATURES!L12</f>
        <v>NORMAL</v>
      </c>
      <c r="D12" s="4" t="str">
        <f>FEATURES!R12</f>
        <v>LOW</v>
      </c>
      <c r="E12" s="4" t="str">
        <f>FEATURES!Q12</f>
        <v>DISENGAGED</v>
      </c>
      <c r="F12" s="4" t="str">
        <f>FEATURES!P12</f>
        <v>Medium_Pressure</v>
      </c>
      <c r="G12" s="4" t="str">
        <f>FEATURES!M12</f>
        <v>LOW</v>
      </c>
      <c r="H12" s="4" t="str">
        <f>FEATURES!O12</f>
        <v>RECENTLY PROMOTED</v>
      </c>
      <c r="I12" s="4" t="str">
        <f t="shared" si="0"/>
        <v>LOW RISK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>
        <v>15</v>
      </c>
      <c r="B13" s="4" t="s">
        <v>45</v>
      </c>
      <c r="C13" s="4" t="str">
        <f>FEATURES!L13</f>
        <v>NORMAL</v>
      </c>
      <c r="D13" s="4" t="str">
        <f>FEATURES!R13</f>
        <v>LOW</v>
      </c>
      <c r="E13" s="4" t="str">
        <f>FEATURES!Q13</f>
        <v>HIGHLY_ENGAGED</v>
      </c>
      <c r="F13" s="4" t="str">
        <f>FEATURES!P13</f>
        <v>Medium_Pressure</v>
      </c>
      <c r="G13" s="4" t="str">
        <f>FEATURES!M13</f>
        <v>HIGH</v>
      </c>
      <c r="H13" s="4" t="str">
        <f>FEATURES!O13</f>
        <v>RECENTLY PROMOTED</v>
      </c>
      <c r="I13" s="4" t="str">
        <f t="shared" si="0"/>
        <v>LOW RISK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>
        <v>16</v>
      </c>
      <c r="B14" s="4" t="s">
        <v>45</v>
      </c>
      <c r="C14" s="4" t="str">
        <f>FEATURES!L14</f>
        <v>NORMAL</v>
      </c>
      <c r="D14" s="4" t="str">
        <f>FEATURES!R14</f>
        <v>LOW</v>
      </c>
      <c r="E14" s="4" t="str">
        <f>FEATURES!Q14</f>
        <v>DISENGAGED</v>
      </c>
      <c r="F14" s="4" t="str">
        <f>FEATURES!P14</f>
        <v>Low_Pressure</v>
      </c>
      <c r="G14" s="4" t="str">
        <f>FEATURES!M14</f>
        <v>LOW</v>
      </c>
      <c r="H14" s="4" t="str">
        <f>FEATURES!O14</f>
        <v>STAGNANT</v>
      </c>
      <c r="I14" s="4" t="str">
        <f t="shared" si="0"/>
        <v>LOW RISK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>
        <v>18</v>
      </c>
      <c r="B15" s="4" t="s">
        <v>45</v>
      </c>
      <c r="C15" s="4" t="str">
        <f>FEATURES!L15</f>
        <v>NORMAL</v>
      </c>
      <c r="D15" s="4" t="str">
        <f>FEATURES!R15</f>
        <v>LOW</v>
      </c>
      <c r="E15" s="4" t="str">
        <f>FEATURES!Q15</f>
        <v>HIGHLY_ENGAGED</v>
      </c>
      <c r="F15" s="4" t="str">
        <f>FEATURES!P15</f>
        <v>Medium_Pressure</v>
      </c>
      <c r="G15" s="4" t="str">
        <f>FEATURES!M15</f>
        <v>LOW</v>
      </c>
      <c r="H15" s="4" t="str">
        <f>FEATURES!O15</f>
        <v>RECENTLY PROMOTED</v>
      </c>
      <c r="I15" s="4" t="str">
        <f t="shared" si="0"/>
        <v>LOW RISK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25">
      <c r="A16" s="4">
        <v>19</v>
      </c>
      <c r="B16" s="4" t="s">
        <v>45</v>
      </c>
      <c r="C16" s="4" t="str">
        <f>FEATURES!L16</f>
        <v>NORMAL</v>
      </c>
      <c r="D16" s="4" t="str">
        <f>FEATURES!R16</f>
        <v>LOW</v>
      </c>
      <c r="E16" s="4" t="str">
        <f>FEATURES!Q16</f>
        <v>HIGHLY_ENGAGED</v>
      </c>
      <c r="F16" s="4" t="str">
        <f>FEATURES!P16</f>
        <v>Medium_Pressure</v>
      </c>
      <c r="G16" s="4" t="str">
        <f>FEATURES!M16</f>
        <v>LOW</v>
      </c>
      <c r="H16" s="4" t="str">
        <f>FEATURES!O16</f>
        <v>RECENTLY PROMOTED</v>
      </c>
      <c r="I16" s="4" t="str">
        <f t="shared" si="0"/>
        <v>LOW RISK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3.2" x14ac:dyDescent="0.25">
      <c r="A17" s="4">
        <v>20</v>
      </c>
      <c r="B17" s="4" t="s">
        <v>45</v>
      </c>
      <c r="C17" s="4" t="str">
        <f>FEATURES!L17</f>
        <v>NORMAL</v>
      </c>
      <c r="D17" s="4" t="str">
        <f>FEATURES!R17</f>
        <v>LOW</v>
      </c>
      <c r="E17" s="4" t="str">
        <f>FEATURES!Q17</f>
        <v>DISENGAGED</v>
      </c>
      <c r="F17" s="4" t="str">
        <f>FEATURES!P17</f>
        <v>Medium_Pressure</v>
      </c>
      <c r="G17" s="4" t="str">
        <f>FEATURES!M17</f>
        <v>MEDIUM</v>
      </c>
      <c r="H17" s="4" t="str">
        <f>FEATURES!O17</f>
        <v>STAGNANT</v>
      </c>
      <c r="I17" s="4" t="str">
        <f t="shared" si="0"/>
        <v>LOW RISK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3.2" x14ac:dyDescent="0.25">
      <c r="A18" s="4">
        <v>21</v>
      </c>
      <c r="B18" s="4" t="s">
        <v>45</v>
      </c>
      <c r="C18" s="4" t="str">
        <f>FEATURES!L18</f>
        <v>NORMAL</v>
      </c>
      <c r="D18" s="4" t="str">
        <f>FEATURES!R18</f>
        <v>LOW</v>
      </c>
      <c r="E18" s="4" t="str">
        <f>FEATURES!Q18</f>
        <v>DISENGAGED</v>
      </c>
      <c r="F18" s="4" t="str">
        <f>FEATURES!P18</f>
        <v>High_Pressure</v>
      </c>
      <c r="G18" s="4" t="str">
        <f>FEATURES!M18</f>
        <v>LOW</v>
      </c>
      <c r="H18" s="4" t="str">
        <f>FEATURES!O18</f>
        <v>RECENTLY PROMOTED</v>
      </c>
      <c r="I18" s="4" t="str">
        <f t="shared" si="0"/>
        <v>LOW RISK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3.2" x14ac:dyDescent="0.25">
      <c r="A19" s="4">
        <v>22</v>
      </c>
      <c r="B19" s="4" t="s">
        <v>45</v>
      </c>
      <c r="C19" s="4" t="str">
        <f>FEATURES!L19</f>
        <v>NORMAL</v>
      </c>
      <c r="D19" s="4" t="str">
        <f>FEATURES!R19</f>
        <v>LOW</v>
      </c>
      <c r="E19" s="4" t="str">
        <f>FEATURES!Q19</f>
        <v>DISENGAGED</v>
      </c>
      <c r="F19" s="4" t="str">
        <f>FEATURES!P19</f>
        <v>High_Pressure</v>
      </c>
      <c r="G19" s="4" t="str">
        <f>FEATURES!M19</f>
        <v>LOW</v>
      </c>
      <c r="H19" s="4" t="str">
        <f>FEATURES!O19</f>
        <v>RECENTLY PROMOTED</v>
      </c>
      <c r="I19" s="4" t="str">
        <f t="shared" si="0"/>
        <v>LOW RISK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3.2" x14ac:dyDescent="0.25">
      <c r="A20" s="4">
        <v>23</v>
      </c>
      <c r="B20" s="4" t="s">
        <v>37</v>
      </c>
      <c r="C20" s="4" t="str">
        <f>FEATURES!L20</f>
        <v>NORMAL</v>
      </c>
      <c r="D20" s="4" t="str">
        <f>FEATURES!R20</f>
        <v>LOW</v>
      </c>
      <c r="E20" s="4" t="str">
        <f>FEATURES!Q20</f>
        <v>HIGHLY_ENGAGED</v>
      </c>
      <c r="F20" s="4" t="str">
        <f>FEATURES!P20</f>
        <v>Medium_Pressure</v>
      </c>
      <c r="G20" s="4" t="str">
        <f>FEATURES!M20</f>
        <v>MEDIUM</v>
      </c>
      <c r="H20" s="4" t="str">
        <f>FEATURES!O20</f>
        <v>MODERATE-WAIT</v>
      </c>
      <c r="I20" s="4" t="str">
        <f t="shared" si="0"/>
        <v>LOW RISK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3.2" x14ac:dyDescent="0.25">
      <c r="A21" s="4">
        <v>24</v>
      </c>
      <c r="B21" s="4" t="s">
        <v>45</v>
      </c>
      <c r="C21" s="4" t="str">
        <f>FEATURES!L21</f>
        <v>NORMAL</v>
      </c>
      <c r="D21" s="4" t="str">
        <f>FEATURES!R21</f>
        <v>LOW</v>
      </c>
      <c r="E21" s="4" t="str">
        <f>FEATURES!Q21</f>
        <v>HIGHLY_ENGAGED</v>
      </c>
      <c r="F21" s="4" t="str">
        <f>FEATURES!P21</f>
        <v>Medium_Pressure</v>
      </c>
      <c r="G21" s="4" t="str">
        <f>FEATURES!M21</f>
        <v>LOW</v>
      </c>
      <c r="H21" s="4" t="str">
        <f>FEATURES!O21</f>
        <v>RECENTLY PROMOTED</v>
      </c>
      <c r="I21" s="4" t="str">
        <f t="shared" si="0"/>
        <v>LOW RISK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3.2" x14ac:dyDescent="0.25">
      <c r="A22" s="4">
        <v>26</v>
      </c>
      <c r="B22" s="4" t="s">
        <v>45</v>
      </c>
      <c r="C22" s="4" t="str">
        <f>FEATURES!L22</f>
        <v>NORMAL</v>
      </c>
      <c r="D22" s="4" t="str">
        <f>FEATURES!R22</f>
        <v>LOW</v>
      </c>
      <c r="E22" s="4" t="str">
        <f>FEATURES!Q22</f>
        <v>DISENGAGED</v>
      </c>
      <c r="F22" s="4" t="str">
        <f>FEATURES!P22</f>
        <v>Low_Pressure</v>
      </c>
      <c r="G22" s="4" t="str">
        <f>FEATURES!M22</f>
        <v>HIGH</v>
      </c>
      <c r="H22" s="4" t="str">
        <f>FEATURES!O22</f>
        <v>RECENTLY PROMOTED</v>
      </c>
      <c r="I22" s="4" t="str">
        <f t="shared" si="0"/>
        <v>LOW RISK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3.2" x14ac:dyDescent="0.25">
      <c r="A23" s="4">
        <v>27</v>
      </c>
      <c r="B23" s="4" t="s">
        <v>37</v>
      </c>
      <c r="C23" s="4" t="str">
        <f>FEATURES!L23</f>
        <v>NORMAL</v>
      </c>
      <c r="D23" s="4" t="str">
        <f>FEATURES!R23</f>
        <v>LOW</v>
      </c>
      <c r="E23" s="4" t="str">
        <f>FEATURES!Q23</f>
        <v>DISENGAGED</v>
      </c>
      <c r="F23" s="4" t="str">
        <f>FEATURES!P23</f>
        <v>Medium_Pressure</v>
      </c>
      <c r="G23" s="4" t="str">
        <f>FEATURES!M23</f>
        <v>LOW</v>
      </c>
      <c r="H23" s="4" t="str">
        <f>FEATURES!O23</f>
        <v>RECENTLY PROMOTED</v>
      </c>
      <c r="I23" s="4" t="str">
        <f t="shared" si="0"/>
        <v>LOW RISK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3.2" x14ac:dyDescent="0.25">
      <c r="A24" s="4">
        <v>28</v>
      </c>
      <c r="B24" s="4" t="s">
        <v>45</v>
      </c>
      <c r="C24" s="4" t="str">
        <f>FEATURES!L24</f>
        <v>NORMAL</v>
      </c>
      <c r="D24" s="4" t="str">
        <f>FEATURES!R24</f>
        <v>LOW</v>
      </c>
      <c r="E24" s="4" t="str">
        <f>FEATURES!Q24</f>
        <v>DISENGAGED</v>
      </c>
      <c r="F24" s="4" t="str">
        <f>FEATURES!P24</f>
        <v>Medium_Pressure</v>
      </c>
      <c r="G24" s="4" t="str">
        <f>FEATURES!M24</f>
        <v>MEDIUM</v>
      </c>
      <c r="H24" s="4" t="str">
        <f>FEATURES!O24</f>
        <v>MODERATE-WAIT</v>
      </c>
      <c r="I24" s="4" t="str">
        <f t="shared" si="0"/>
        <v>LOW RISK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3.2" x14ac:dyDescent="0.25">
      <c r="A25" s="4">
        <v>30</v>
      </c>
      <c r="B25" s="4" t="s">
        <v>45</v>
      </c>
      <c r="C25" s="4" t="str">
        <f>FEATURES!L25</f>
        <v>NORMAL</v>
      </c>
      <c r="D25" s="4" t="str">
        <f>FEATURES!R25</f>
        <v>LOW</v>
      </c>
      <c r="E25" s="4" t="str">
        <f>FEATURES!Q25</f>
        <v>HIGHLY_ENGAGED</v>
      </c>
      <c r="F25" s="4" t="str">
        <f>FEATURES!P25</f>
        <v>Medium_Pressure</v>
      </c>
      <c r="G25" s="4" t="str">
        <f>FEATURES!M25</f>
        <v>LOW</v>
      </c>
      <c r="H25" s="4" t="str">
        <f>FEATURES!O25</f>
        <v>RECENTLY PROMOTED</v>
      </c>
      <c r="I25" s="4" t="str">
        <f t="shared" si="0"/>
        <v>LOW RISK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3.2" x14ac:dyDescent="0.25">
      <c r="A26" s="4">
        <v>31</v>
      </c>
      <c r="B26" s="4" t="s">
        <v>45</v>
      </c>
      <c r="C26" s="4" t="str">
        <f>FEATURES!L26</f>
        <v>NORMAL</v>
      </c>
      <c r="D26" s="4" t="str">
        <f>FEATURES!R26</f>
        <v>LOW</v>
      </c>
      <c r="E26" s="4" t="str">
        <f>FEATURES!Q26</f>
        <v>DISENGAGED</v>
      </c>
      <c r="F26" s="4" t="str">
        <f>FEATURES!P26</f>
        <v>Medium_Pressure</v>
      </c>
      <c r="G26" s="4" t="str">
        <f>FEATURES!M26</f>
        <v>LOW</v>
      </c>
      <c r="H26" s="4" t="str">
        <f>FEATURES!O26</f>
        <v>RECENTLY PROMOTED</v>
      </c>
      <c r="I26" s="4" t="str">
        <f t="shared" si="0"/>
        <v>LOW RISK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3.2" x14ac:dyDescent="0.25">
      <c r="A27" s="4">
        <v>32</v>
      </c>
      <c r="B27" s="4" t="s">
        <v>45</v>
      </c>
      <c r="C27" s="4" t="str">
        <f>FEATURES!L27</f>
        <v>NORMAL</v>
      </c>
      <c r="D27" s="4" t="str">
        <f>FEATURES!R27</f>
        <v>LOW</v>
      </c>
      <c r="E27" s="4" t="str">
        <f>FEATURES!Q27</f>
        <v>DISENGAGED</v>
      </c>
      <c r="F27" s="4" t="str">
        <f>FEATURES!P27</f>
        <v>Low_Pressure</v>
      </c>
      <c r="G27" s="4" t="str">
        <f>FEATURES!M27</f>
        <v>MEDIUM</v>
      </c>
      <c r="H27" s="4" t="str">
        <f>FEATURES!O27</f>
        <v>STAGNANT</v>
      </c>
      <c r="I27" s="4" t="str">
        <f t="shared" si="0"/>
        <v>LOW RISK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3.2" x14ac:dyDescent="0.25">
      <c r="A28" s="4">
        <v>33</v>
      </c>
      <c r="B28" s="4" t="s">
        <v>45</v>
      </c>
      <c r="C28" s="4" t="str">
        <f>FEATURES!L28</f>
        <v>HIGH RISK</v>
      </c>
      <c r="D28" s="4" t="str">
        <f>FEATURES!R28</f>
        <v>LOW</v>
      </c>
      <c r="E28" s="4" t="str">
        <f>FEATURES!Q28</f>
        <v>DISENGAGED</v>
      </c>
      <c r="F28" s="4" t="str">
        <f>FEATURES!P28</f>
        <v>Medium_Pressure</v>
      </c>
      <c r="G28" s="4" t="str">
        <f>FEATURES!M28</f>
        <v>LOW</v>
      </c>
      <c r="H28" s="4" t="str">
        <f>FEATURES!O28</f>
        <v>STAGNANT</v>
      </c>
      <c r="I28" s="4" t="str">
        <f t="shared" si="0"/>
        <v>LOW RISK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3.2" x14ac:dyDescent="0.25">
      <c r="A29" s="4">
        <v>35</v>
      </c>
      <c r="B29" s="4" t="s">
        <v>37</v>
      </c>
      <c r="C29" s="4" t="str">
        <f>FEATURES!L29</f>
        <v>NORMAL</v>
      </c>
      <c r="D29" s="4" t="str">
        <f>FEATURES!R29</f>
        <v>LOW</v>
      </c>
      <c r="E29" s="4" t="str">
        <f>FEATURES!Q29</f>
        <v>DISENGAGED</v>
      </c>
      <c r="F29" s="4" t="str">
        <f>FEATURES!P29</f>
        <v>Medium_Pressure</v>
      </c>
      <c r="G29" s="4" t="str">
        <f>FEATURES!M29</f>
        <v>HIGH</v>
      </c>
      <c r="H29" s="4" t="str">
        <f>FEATURES!O29</f>
        <v>STAGNANT</v>
      </c>
      <c r="I29" s="4" t="str">
        <f t="shared" si="0"/>
        <v>LOW RISK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3.2" x14ac:dyDescent="0.25">
      <c r="A30" s="4">
        <v>36</v>
      </c>
      <c r="B30" s="4" t="s">
        <v>45</v>
      </c>
      <c r="C30" s="4" t="str">
        <f>FEATURES!L30</f>
        <v>NORMAL</v>
      </c>
      <c r="D30" s="4" t="str">
        <f>FEATURES!R30</f>
        <v>LOW</v>
      </c>
      <c r="E30" s="4" t="str">
        <f>FEATURES!Q30</f>
        <v>HIGHLY_ENGAGED</v>
      </c>
      <c r="F30" s="4" t="str">
        <f>FEATURES!P30</f>
        <v>Medium_Pressure</v>
      </c>
      <c r="G30" s="4" t="str">
        <f>FEATURES!M30</f>
        <v>MEDIUM</v>
      </c>
      <c r="H30" s="4" t="str">
        <f>FEATURES!O30</f>
        <v>STAGNANT</v>
      </c>
      <c r="I30" s="4" t="str">
        <f t="shared" si="0"/>
        <v>LOW RISK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3.2" x14ac:dyDescent="0.25">
      <c r="A31" s="4">
        <v>38</v>
      </c>
      <c r="B31" s="4" t="s">
        <v>37</v>
      </c>
      <c r="C31" s="4" t="str">
        <f>FEATURES!L31</f>
        <v>NORMAL</v>
      </c>
      <c r="D31" s="4" t="str">
        <f>FEATURES!R31</f>
        <v>LOW</v>
      </c>
      <c r="E31" s="4" t="str">
        <f>FEATURES!Q31</f>
        <v>DISENGAGED</v>
      </c>
      <c r="F31" s="4" t="str">
        <f>FEATURES!P31</f>
        <v>Low_Pressure</v>
      </c>
      <c r="G31" s="4" t="str">
        <f>FEATURES!M31</f>
        <v>MEDIUM</v>
      </c>
      <c r="H31" s="4" t="str">
        <f>FEATURES!O31</f>
        <v>MODERATE-WAIT</v>
      </c>
      <c r="I31" s="4" t="str">
        <f t="shared" si="0"/>
        <v>LOW RISK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3.2" x14ac:dyDescent="0.25">
      <c r="A32" s="4">
        <v>39</v>
      </c>
      <c r="B32" s="4" t="s">
        <v>45</v>
      </c>
      <c r="C32" s="4" t="str">
        <f>FEATURES!L32</f>
        <v>NORMAL</v>
      </c>
      <c r="D32" s="4" t="str">
        <f>FEATURES!R32</f>
        <v>LOW</v>
      </c>
      <c r="E32" s="4" t="str">
        <f>FEATURES!Q32</f>
        <v>HIGHLY_ENGAGED</v>
      </c>
      <c r="F32" s="4" t="str">
        <f>FEATURES!P32</f>
        <v>Medium_Pressure</v>
      </c>
      <c r="G32" s="4" t="str">
        <f>FEATURES!M32</f>
        <v>LOW</v>
      </c>
      <c r="H32" s="4" t="str">
        <f>FEATURES!O32</f>
        <v>RECENTLY PROMOTED</v>
      </c>
      <c r="I32" s="4" t="str">
        <f t="shared" si="0"/>
        <v>LOW RISK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3.2" x14ac:dyDescent="0.25">
      <c r="A33" s="4">
        <v>40</v>
      </c>
      <c r="B33" s="4" t="s">
        <v>45</v>
      </c>
      <c r="C33" s="4" t="str">
        <f>FEATURES!L33</f>
        <v>NORMAL</v>
      </c>
      <c r="D33" s="4" t="str">
        <f>FEATURES!R33</f>
        <v>LOW</v>
      </c>
      <c r="E33" s="4" t="str">
        <f>FEATURES!Q33</f>
        <v>HIGHLY_ENGAGED</v>
      </c>
      <c r="F33" s="4" t="str">
        <f>FEATURES!P33</f>
        <v>Medium_Pressure</v>
      </c>
      <c r="G33" s="4" t="str">
        <f>FEATURES!M33</f>
        <v>HIGH</v>
      </c>
      <c r="H33" s="4" t="str">
        <f>FEATURES!O33</f>
        <v>RECENTLY PROMOTED</v>
      </c>
      <c r="I33" s="4" t="str">
        <f t="shared" si="0"/>
        <v>LOW RISK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3.2" x14ac:dyDescent="0.25">
      <c r="A34" s="4">
        <v>41</v>
      </c>
      <c r="B34" s="4" t="s">
        <v>45</v>
      </c>
      <c r="C34" s="4" t="str">
        <f>FEATURES!L34</f>
        <v>NORMAL</v>
      </c>
      <c r="D34" s="4" t="str">
        <f>FEATURES!R34</f>
        <v>LOW</v>
      </c>
      <c r="E34" s="4" t="str">
        <f>FEATURES!Q34</f>
        <v>HIGHLY_ENGAGED</v>
      </c>
      <c r="F34" s="4" t="str">
        <f>FEATURES!P34</f>
        <v>Medium_Pressure</v>
      </c>
      <c r="G34" s="4" t="str">
        <f>FEATURES!M34</f>
        <v>LOW</v>
      </c>
      <c r="H34" s="4" t="str">
        <f>FEATURES!O34</f>
        <v>RECENTLY PROMOTED</v>
      </c>
      <c r="I34" s="4" t="str">
        <f t="shared" si="0"/>
        <v>LOW RISK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3.2" x14ac:dyDescent="0.25">
      <c r="A35" s="4">
        <v>42</v>
      </c>
      <c r="B35" s="4" t="s">
        <v>37</v>
      </c>
      <c r="C35" s="4" t="str">
        <f>FEATURES!L35</f>
        <v>NORMAL</v>
      </c>
      <c r="D35" s="4" t="str">
        <f>FEATURES!R35</f>
        <v>LOW</v>
      </c>
      <c r="E35" s="4" t="str">
        <f>FEATURES!Q35</f>
        <v>HIGHLY_ENGAGED</v>
      </c>
      <c r="F35" s="4" t="str">
        <f>FEATURES!P35</f>
        <v>Low_Pressure</v>
      </c>
      <c r="G35" s="4" t="str">
        <f>FEATURES!M35</f>
        <v>LOW</v>
      </c>
      <c r="H35" s="4" t="str">
        <f>FEATURES!O35</f>
        <v>RECENTLY PROMOTED</v>
      </c>
      <c r="I35" s="4" t="str">
        <f t="shared" si="0"/>
        <v>LOW RISK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3.2" x14ac:dyDescent="0.25">
      <c r="A36" s="4">
        <v>45</v>
      </c>
      <c r="B36" s="4" t="s">
        <v>45</v>
      </c>
      <c r="C36" s="4" t="str">
        <f>FEATURES!L36</f>
        <v>NORMAL</v>
      </c>
      <c r="D36" s="4" t="str">
        <f>FEATURES!R36</f>
        <v>LOW</v>
      </c>
      <c r="E36" s="4" t="str">
        <f>FEATURES!Q36</f>
        <v>DISENGAGED</v>
      </c>
      <c r="F36" s="4" t="str">
        <f>FEATURES!P36</f>
        <v>High_Pressure</v>
      </c>
      <c r="G36" s="4" t="str">
        <f>FEATURES!M36</f>
        <v>LOW</v>
      </c>
      <c r="H36" s="4" t="str">
        <f>FEATURES!O36</f>
        <v>MODERATE-WAIT</v>
      </c>
      <c r="I36" s="4" t="str">
        <f t="shared" si="0"/>
        <v>LOW RISK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3.2" x14ac:dyDescent="0.25">
      <c r="A37" s="4">
        <v>46</v>
      </c>
      <c r="B37" s="4" t="s">
        <v>45</v>
      </c>
      <c r="C37" s="4" t="str">
        <f>FEATURES!L37</f>
        <v>NORMAL</v>
      </c>
      <c r="D37" s="4" t="str">
        <f>FEATURES!R37</f>
        <v>LOW</v>
      </c>
      <c r="E37" s="4" t="str">
        <f>FEATURES!Q37</f>
        <v>DISENGAGED</v>
      </c>
      <c r="F37" s="4" t="str">
        <f>FEATURES!P37</f>
        <v>Low_Pressure</v>
      </c>
      <c r="G37" s="4" t="str">
        <f>FEATURES!M37</f>
        <v>LOW</v>
      </c>
      <c r="H37" s="4" t="str">
        <f>FEATURES!O37</f>
        <v>RECENTLY PROMOTED</v>
      </c>
      <c r="I37" s="4" t="str">
        <f t="shared" si="0"/>
        <v>LOW RISK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3.2" x14ac:dyDescent="0.25">
      <c r="A38" s="4">
        <v>47</v>
      </c>
      <c r="B38" s="4" t="s">
        <v>37</v>
      </c>
      <c r="C38" s="4" t="str">
        <f>FEATURES!L38</f>
        <v>NORMAL</v>
      </c>
      <c r="D38" s="4" t="str">
        <f>FEATURES!R38</f>
        <v>LOW</v>
      </c>
      <c r="E38" s="4" t="str">
        <f>FEATURES!Q38</f>
        <v>HIGHLY_ENGAGED</v>
      </c>
      <c r="F38" s="4" t="str">
        <f>FEATURES!P38</f>
        <v>Medium_Pressure</v>
      </c>
      <c r="G38" s="4" t="str">
        <f>FEATURES!M38</f>
        <v>LOW</v>
      </c>
      <c r="H38" s="4" t="str">
        <f>FEATURES!O38</f>
        <v>RECENTLY PROMOTED</v>
      </c>
      <c r="I38" s="4" t="str">
        <f t="shared" si="0"/>
        <v>LOW RISK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3.2" x14ac:dyDescent="0.25">
      <c r="A39" s="4">
        <v>49</v>
      </c>
      <c r="B39" s="4" t="s">
        <v>37</v>
      </c>
      <c r="C39" s="4" t="str">
        <f>FEATURES!L39</f>
        <v>NORMAL</v>
      </c>
      <c r="D39" s="4" t="str">
        <f>FEATURES!R39</f>
        <v>LOW</v>
      </c>
      <c r="E39" s="4" t="str">
        <f>FEATURES!Q39</f>
        <v>HIGHLY_ENGAGED</v>
      </c>
      <c r="F39" s="4" t="str">
        <f>FEATURES!P39</f>
        <v>Medium_Pressure</v>
      </c>
      <c r="G39" s="4" t="str">
        <f>FEATURES!M39</f>
        <v>LOW</v>
      </c>
      <c r="H39" s="4" t="str">
        <f>FEATURES!O39</f>
        <v>MODERATE-WAIT</v>
      </c>
      <c r="I39" s="4" t="str">
        <f t="shared" si="0"/>
        <v>LOW RISK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3.2" x14ac:dyDescent="0.25">
      <c r="A40" s="4">
        <v>51</v>
      </c>
      <c r="B40" s="4" t="s">
        <v>45</v>
      </c>
      <c r="C40" s="4" t="str">
        <f>FEATURES!L40</f>
        <v>NORMAL</v>
      </c>
      <c r="D40" s="4" t="str">
        <f>FEATURES!R40</f>
        <v>LOW</v>
      </c>
      <c r="E40" s="4" t="str">
        <f>FEATURES!Q40</f>
        <v>DISENGAGED</v>
      </c>
      <c r="F40" s="4" t="str">
        <f>FEATURES!P40</f>
        <v>Medium_Pressure</v>
      </c>
      <c r="G40" s="4" t="str">
        <f>FEATURES!M40</f>
        <v>LOW</v>
      </c>
      <c r="H40" s="4" t="str">
        <f>FEATURES!O40</f>
        <v>RECENTLY PROMOTED</v>
      </c>
      <c r="I40" s="4" t="str">
        <f t="shared" si="0"/>
        <v>LOW RISK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3.2" x14ac:dyDescent="0.25">
      <c r="A41" s="4">
        <v>52</v>
      </c>
      <c r="B41" s="4" t="s">
        <v>37</v>
      </c>
      <c r="C41" s="4" t="str">
        <f>FEATURES!L41</f>
        <v>NORMAL</v>
      </c>
      <c r="D41" s="4" t="str">
        <f>FEATURES!R41</f>
        <v>LOW</v>
      </c>
      <c r="E41" s="4" t="str">
        <f>FEATURES!Q41</f>
        <v>DISENGAGED</v>
      </c>
      <c r="F41" s="4" t="str">
        <f>FEATURES!P41</f>
        <v>Medium_Pressure</v>
      </c>
      <c r="G41" s="4" t="str">
        <f>FEATURES!M41</f>
        <v>HIGH</v>
      </c>
      <c r="H41" s="4" t="str">
        <f>FEATURES!O41</f>
        <v>RECENTLY PROMOTED</v>
      </c>
      <c r="I41" s="4" t="str">
        <f t="shared" si="0"/>
        <v>LOW RISK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3.2" x14ac:dyDescent="0.25">
      <c r="A42" s="4">
        <v>53</v>
      </c>
      <c r="B42" s="4" t="s">
        <v>45</v>
      </c>
      <c r="C42" s="4" t="str">
        <f>FEATURES!L42</f>
        <v>NORMAL</v>
      </c>
      <c r="D42" s="4" t="str">
        <f>FEATURES!R42</f>
        <v>LOW</v>
      </c>
      <c r="E42" s="4" t="str">
        <f>FEATURES!Q42</f>
        <v>HIGHLY_ENGAGED</v>
      </c>
      <c r="F42" s="4" t="str">
        <f>FEATURES!P42</f>
        <v>Medium_Pressure</v>
      </c>
      <c r="G42" s="4" t="str">
        <f>FEATURES!M42</f>
        <v>LOW</v>
      </c>
      <c r="H42" s="4" t="str">
        <f>FEATURES!O42</f>
        <v>RECENTLY PROMOTED</v>
      </c>
      <c r="I42" s="4" t="str">
        <f t="shared" si="0"/>
        <v>LOW RISK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3.2" x14ac:dyDescent="0.25">
      <c r="A43" s="4">
        <v>54</v>
      </c>
      <c r="B43" s="4" t="s">
        <v>45</v>
      </c>
      <c r="C43" s="4" t="str">
        <f>FEATURES!L43</f>
        <v>NORMAL</v>
      </c>
      <c r="D43" s="4" t="str">
        <f>FEATURES!R43</f>
        <v>LOW</v>
      </c>
      <c r="E43" s="4" t="str">
        <f>FEATURES!Q43</f>
        <v>DISENGAGED</v>
      </c>
      <c r="F43" s="4" t="str">
        <f>FEATURES!P43</f>
        <v>Medium_Pressure</v>
      </c>
      <c r="G43" s="4" t="str">
        <f>FEATURES!M43</f>
        <v>LOW</v>
      </c>
      <c r="H43" s="4" t="str">
        <f>FEATURES!O43</f>
        <v>RECENTLY PROMOTED</v>
      </c>
      <c r="I43" s="4" t="str">
        <f t="shared" si="0"/>
        <v>LOW RISK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3.2" x14ac:dyDescent="0.25">
      <c r="A44" s="4">
        <v>55</v>
      </c>
      <c r="B44" s="4" t="s">
        <v>45</v>
      </c>
      <c r="C44" s="4" t="str">
        <f>FEATURES!L44</f>
        <v>NORMAL</v>
      </c>
      <c r="D44" s="4" t="str">
        <f>FEATURES!R44</f>
        <v>LOW</v>
      </c>
      <c r="E44" s="4" t="str">
        <f>FEATURES!Q44</f>
        <v>DISENGAGED</v>
      </c>
      <c r="F44" s="4" t="str">
        <f>FEATURES!P44</f>
        <v>Low_Pressure</v>
      </c>
      <c r="G44" s="4" t="str">
        <f>FEATURES!M44</f>
        <v>LOW</v>
      </c>
      <c r="H44" s="4" t="str">
        <f>FEATURES!O44</f>
        <v>RECENTLY PROMOTED</v>
      </c>
      <c r="I44" s="4" t="str">
        <f t="shared" si="0"/>
        <v>LOW RISK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3.2" x14ac:dyDescent="0.25">
      <c r="A45" s="4">
        <v>56</v>
      </c>
      <c r="B45" s="4" t="s">
        <v>37</v>
      </c>
      <c r="C45" s="4" t="str">
        <f>FEATURES!L45</f>
        <v>NORMAL</v>
      </c>
      <c r="D45" s="4" t="str">
        <f>FEATURES!R45</f>
        <v>LOW</v>
      </c>
      <c r="E45" s="4" t="str">
        <f>FEATURES!Q45</f>
        <v>HIGHLY_ENGAGED</v>
      </c>
      <c r="F45" s="4" t="str">
        <f>FEATURES!P45</f>
        <v>Medium_Pressure</v>
      </c>
      <c r="G45" s="4" t="str">
        <f>FEATURES!M45</f>
        <v>HIGH</v>
      </c>
      <c r="H45" s="4" t="str">
        <f>FEATURES!O45</f>
        <v>RECENTLY PROMOTED</v>
      </c>
      <c r="I45" s="4" t="str">
        <f t="shared" si="0"/>
        <v>LOW RISK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3.2" x14ac:dyDescent="0.25">
      <c r="A46" s="4">
        <v>57</v>
      </c>
      <c r="B46" s="4" t="s">
        <v>45</v>
      </c>
      <c r="C46" s="4" t="str">
        <f>FEATURES!L46</f>
        <v>NORMAL</v>
      </c>
      <c r="D46" s="4" t="str">
        <f>FEATURES!R46</f>
        <v>LOW</v>
      </c>
      <c r="E46" s="4" t="str">
        <f>FEATURES!Q46</f>
        <v>HIGHLY_ENGAGED</v>
      </c>
      <c r="F46" s="4" t="str">
        <f>FEATURES!P46</f>
        <v>Medium_Pressure</v>
      </c>
      <c r="G46" s="4" t="str">
        <f>FEATURES!M46</f>
        <v>HIGH</v>
      </c>
      <c r="H46" s="4" t="str">
        <f>FEATURES!O46</f>
        <v>MODERATE-WAIT</v>
      </c>
      <c r="I46" s="4" t="str">
        <f t="shared" si="0"/>
        <v>LOW RISK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3.2" x14ac:dyDescent="0.25">
      <c r="A47" s="4">
        <v>58</v>
      </c>
      <c r="B47" s="4" t="s">
        <v>45</v>
      </c>
      <c r="C47" s="4" t="str">
        <f>FEATURES!L47</f>
        <v>NORMAL</v>
      </c>
      <c r="D47" s="4" t="str">
        <f>FEATURES!R47</f>
        <v>LOW</v>
      </c>
      <c r="E47" s="4" t="str">
        <f>FEATURES!Q47</f>
        <v>HIGHLY_ENGAGED</v>
      </c>
      <c r="F47" s="4" t="str">
        <f>FEATURES!P47</f>
        <v>Medium_Pressure</v>
      </c>
      <c r="G47" s="4" t="str">
        <f>FEATURES!M47</f>
        <v>MEDIUM</v>
      </c>
      <c r="H47" s="4" t="str">
        <f>FEATURES!O47</f>
        <v>STAGNANT</v>
      </c>
      <c r="I47" s="4" t="str">
        <f t="shared" si="0"/>
        <v>LOW RISK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3.2" x14ac:dyDescent="0.25">
      <c r="A48" s="4">
        <v>60</v>
      </c>
      <c r="B48" s="4" t="s">
        <v>37</v>
      </c>
      <c r="C48" s="4" t="str">
        <f>FEATURES!L48</f>
        <v>NORMAL</v>
      </c>
      <c r="D48" s="4" t="str">
        <f>FEATURES!R48</f>
        <v>LOW</v>
      </c>
      <c r="E48" s="4" t="str">
        <f>FEATURES!Q48</f>
        <v>HIGHLY_ENGAGED</v>
      </c>
      <c r="F48" s="4" t="str">
        <f>FEATURES!P48</f>
        <v>Medium_Pressure</v>
      </c>
      <c r="G48" s="4" t="str">
        <f>FEATURES!M48</f>
        <v>HIGH</v>
      </c>
      <c r="H48" s="4" t="str">
        <f>FEATURES!O48</f>
        <v>STAGNANT</v>
      </c>
      <c r="I48" s="4" t="str">
        <f t="shared" si="0"/>
        <v>LOW RISK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3.2" x14ac:dyDescent="0.25">
      <c r="A49" s="4">
        <v>61</v>
      </c>
      <c r="B49" s="4" t="s">
        <v>45</v>
      </c>
      <c r="C49" s="4" t="str">
        <f>FEATURES!L49</f>
        <v>NORMAL</v>
      </c>
      <c r="D49" s="4" t="str">
        <f>FEATURES!R49</f>
        <v>LOW</v>
      </c>
      <c r="E49" s="4" t="str">
        <f>FEATURES!Q49</f>
        <v>DISENGAGED</v>
      </c>
      <c r="F49" s="4" t="str">
        <f>FEATURES!P49</f>
        <v>Medium_Pressure</v>
      </c>
      <c r="G49" s="4" t="str">
        <f>FEATURES!M49</f>
        <v>LOW</v>
      </c>
      <c r="H49" s="4" t="str">
        <f>FEATURES!O49</f>
        <v>RECENTLY PROMOTED</v>
      </c>
      <c r="I49" s="4" t="str">
        <f t="shared" si="0"/>
        <v>LOW RISK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3.2" x14ac:dyDescent="0.25">
      <c r="A50" s="4">
        <v>62</v>
      </c>
      <c r="B50" s="4" t="s">
        <v>37</v>
      </c>
      <c r="C50" s="4" t="str">
        <f>FEATURES!L50</f>
        <v>NORMAL</v>
      </c>
      <c r="D50" s="4" t="str">
        <f>FEATURES!R50</f>
        <v>LOW</v>
      </c>
      <c r="E50" s="4" t="str">
        <f>FEATURES!Q50</f>
        <v>HIGHLY_ENGAGED</v>
      </c>
      <c r="F50" s="4" t="str">
        <f>FEATURES!P50</f>
        <v>Medium_Pressure</v>
      </c>
      <c r="G50" s="4" t="str">
        <f>FEATURES!M50</f>
        <v>HIGH</v>
      </c>
      <c r="H50" s="4" t="str">
        <f>FEATURES!O50</f>
        <v>RECENTLY PROMOTED</v>
      </c>
      <c r="I50" s="4" t="str">
        <f t="shared" si="0"/>
        <v>LOW RISK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3.2" x14ac:dyDescent="0.25">
      <c r="A51" s="4">
        <v>63</v>
      </c>
      <c r="B51" s="4" t="s">
        <v>45</v>
      </c>
      <c r="C51" s="4" t="str">
        <f>FEATURES!L51</f>
        <v>NORMAL</v>
      </c>
      <c r="D51" s="4" t="str">
        <f>FEATURES!R51</f>
        <v>LOW</v>
      </c>
      <c r="E51" s="4" t="str">
        <f>FEATURES!Q51</f>
        <v>HIGHLY_ENGAGED</v>
      </c>
      <c r="F51" s="4" t="str">
        <f>FEATURES!P51</f>
        <v>Medium_Pressure</v>
      </c>
      <c r="G51" s="4" t="str">
        <f>FEATURES!M51</f>
        <v>LOW</v>
      </c>
      <c r="H51" s="4" t="str">
        <f>FEATURES!O51</f>
        <v>RECENTLY PROMOTED</v>
      </c>
      <c r="I51" s="4" t="str">
        <f t="shared" si="0"/>
        <v>LOW RISK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3.2" x14ac:dyDescent="0.25">
      <c r="A52" s="4">
        <v>64</v>
      </c>
      <c r="B52" s="4" t="s">
        <v>45</v>
      </c>
      <c r="C52" s="4" t="str">
        <f>FEATURES!L52</f>
        <v>NORMAL</v>
      </c>
      <c r="D52" s="4" t="str">
        <f>FEATURES!R52</f>
        <v>LOW</v>
      </c>
      <c r="E52" s="4" t="str">
        <f>FEATURES!Q52</f>
        <v>HIGHLY_ENGAGED</v>
      </c>
      <c r="F52" s="4" t="str">
        <f>FEATURES!P52</f>
        <v>Medium_Pressure</v>
      </c>
      <c r="G52" s="4" t="str">
        <f>FEATURES!M52</f>
        <v>HIGH</v>
      </c>
      <c r="H52" s="4" t="str">
        <f>FEATURES!O52</f>
        <v>RECENTLY PROMOTED</v>
      </c>
      <c r="I52" s="4" t="str">
        <f t="shared" si="0"/>
        <v>LOW RISK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3.2" x14ac:dyDescent="0.25">
      <c r="A53" s="4">
        <v>65</v>
      </c>
      <c r="B53" s="4" t="s">
        <v>45</v>
      </c>
      <c r="C53" s="4" t="str">
        <f>FEATURES!L53</f>
        <v>NORMAL</v>
      </c>
      <c r="D53" s="4" t="str">
        <f>FEATURES!R53</f>
        <v>LOW</v>
      </c>
      <c r="E53" s="4" t="str">
        <f>FEATURES!Q53</f>
        <v>DISENGAGED</v>
      </c>
      <c r="F53" s="4" t="str">
        <f>FEATURES!P53</f>
        <v>High_Pressure</v>
      </c>
      <c r="G53" s="4" t="str">
        <f>FEATURES!M53</f>
        <v>LOW</v>
      </c>
      <c r="H53" s="4" t="str">
        <f>FEATURES!O53</f>
        <v>MODERATE-WAIT</v>
      </c>
      <c r="I53" s="4" t="str">
        <f t="shared" si="0"/>
        <v>LOW RISK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3.2" x14ac:dyDescent="0.25">
      <c r="A54" s="4">
        <v>68</v>
      </c>
      <c r="B54" s="4" t="s">
        <v>37</v>
      </c>
      <c r="C54" s="4" t="str">
        <f>FEATURES!L54</f>
        <v>NORMAL</v>
      </c>
      <c r="D54" s="4" t="str">
        <f>FEATURES!R54</f>
        <v>LOW</v>
      </c>
      <c r="E54" s="4" t="str">
        <f>FEATURES!Q54</f>
        <v>DISENGAGED</v>
      </c>
      <c r="F54" s="4" t="str">
        <f>FEATURES!P54</f>
        <v>High_Pressure</v>
      </c>
      <c r="G54" s="4" t="str">
        <f>FEATURES!M54</f>
        <v>HIGH</v>
      </c>
      <c r="H54" s="4" t="str">
        <f>FEATURES!O54</f>
        <v>RECENTLY PROMOTED</v>
      </c>
      <c r="I54" s="4" t="str">
        <f t="shared" si="0"/>
        <v>LOW RISK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3.2" x14ac:dyDescent="0.25">
      <c r="A55" s="4">
        <v>70</v>
      </c>
      <c r="B55" s="4" t="s">
        <v>45</v>
      </c>
      <c r="C55" s="4" t="str">
        <f>FEATURES!L55</f>
        <v>NORMAL</v>
      </c>
      <c r="D55" s="4" t="str">
        <f>FEATURES!R55</f>
        <v>LOW</v>
      </c>
      <c r="E55" s="4" t="str">
        <f>FEATURES!Q55</f>
        <v>DISENGAGED</v>
      </c>
      <c r="F55" s="4" t="str">
        <f>FEATURES!P55</f>
        <v>Medium_Pressure</v>
      </c>
      <c r="G55" s="4" t="str">
        <f>FEATURES!M55</f>
        <v>MEDIUM</v>
      </c>
      <c r="H55" s="4" t="str">
        <f>FEATURES!O55</f>
        <v>MODERATE-WAIT</v>
      </c>
      <c r="I55" s="4" t="str">
        <f t="shared" si="0"/>
        <v>LOW RISK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3.2" x14ac:dyDescent="0.25">
      <c r="A56" s="4">
        <v>72</v>
      </c>
      <c r="B56" s="4" t="s">
        <v>37</v>
      </c>
      <c r="C56" s="4" t="str">
        <f>FEATURES!L56</f>
        <v>NORMAL</v>
      </c>
      <c r="D56" s="4" t="str">
        <f>FEATURES!R56</f>
        <v>LOW</v>
      </c>
      <c r="E56" s="4" t="str">
        <f>FEATURES!Q56</f>
        <v>DISENGAGED</v>
      </c>
      <c r="F56" s="4" t="str">
        <f>FEATURES!P56</f>
        <v>High_Pressure</v>
      </c>
      <c r="G56" s="4" t="str">
        <f>FEATURES!M56</f>
        <v>HIGH</v>
      </c>
      <c r="H56" s="4" t="str">
        <f>FEATURES!O56</f>
        <v>RECENTLY PROMOTED</v>
      </c>
      <c r="I56" s="4" t="str">
        <f t="shared" si="0"/>
        <v>LOW RISK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3.2" x14ac:dyDescent="0.25">
      <c r="A57" s="4">
        <v>73</v>
      </c>
      <c r="B57" s="4" t="s">
        <v>45</v>
      </c>
      <c r="C57" s="4" t="str">
        <f>FEATURES!L57</f>
        <v>NORMAL</v>
      </c>
      <c r="D57" s="4" t="str">
        <f>FEATURES!R57</f>
        <v>LOW</v>
      </c>
      <c r="E57" s="4" t="str">
        <f>FEATURES!Q57</f>
        <v>HIGHLY_ENGAGED</v>
      </c>
      <c r="F57" s="4" t="str">
        <f>FEATURES!P57</f>
        <v>Medium_Pressure</v>
      </c>
      <c r="G57" s="4" t="str">
        <f>FEATURES!M57</f>
        <v>MEDIUM</v>
      </c>
      <c r="H57" s="4" t="str">
        <f>FEATURES!O57</f>
        <v>STAGNANT</v>
      </c>
      <c r="I57" s="4" t="str">
        <f t="shared" si="0"/>
        <v>LOW RISK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3.2" x14ac:dyDescent="0.25">
      <c r="A58" s="4">
        <v>74</v>
      </c>
      <c r="B58" s="4" t="s">
        <v>37</v>
      </c>
      <c r="C58" s="4" t="str">
        <f>FEATURES!L58</f>
        <v>NORMAL</v>
      </c>
      <c r="D58" s="4" t="str">
        <f>FEATURES!R58</f>
        <v>LOW</v>
      </c>
      <c r="E58" s="4" t="str">
        <f>FEATURES!Q58</f>
        <v>DISENGAGED</v>
      </c>
      <c r="F58" s="4" t="str">
        <f>FEATURES!P58</f>
        <v>Low_Pressure</v>
      </c>
      <c r="G58" s="4" t="str">
        <f>FEATURES!M58</f>
        <v>MEDIUM</v>
      </c>
      <c r="H58" s="4" t="str">
        <f>FEATURES!O58</f>
        <v>RECENTLY PROMOTED</v>
      </c>
      <c r="I58" s="4" t="str">
        <f t="shared" si="0"/>
        <v>LOW RISK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3.2" x14ac:dyDescent="0.25">
      <c r="A59" s="4">
        <v>75</v>
      </c>
      <c r="B59" s="4" t="s">
        <v>45</v>
      </c>
      <c r="C59" s="4" t="str">
        <f>FEATURES!L59</f>
        <v>NORMAL</v>
      </c>
      <c r="D59" s="4" t="str">
        <f>FEATURES!R59</f>
        <v>LOW</v>
      </c>
      <c r="E59" s="4" t="str">
        <f>FEATURES!Q59</f>
        <v>DISENGAGED</v>
      </c>
      <c r="F59" s="4" t="str">
        <f>FEATURES!P59</f>
        <v>Medium_Pressure</v>
      </c>
      <c r="G59" s="4" t="str">
        <f>FEATURES!M59</f>
        <v>HIGH</v>
      </c>
      <c r="H59" s="4" t="str">
        <f>FEATURES!O59</f>
        <v>MODERATE-WAIT</v>
      </c>
      <c r="I59" s="4" t="str">
        <f t="shared" si="0"/>
        <v>LOW RISK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3.2" x14ac:dyDescent="0.25">
      <c r="A60" s="4">
        <v>76</v>
      </c>
      <c r="B60" s="4" t="s">
        <v>45</v>
      </c>
      <c r="C60" s="4" t="str">
        <f>FEATURES!L60</f>
        <v>NORMAL</v>
      </c>
      <c r="D60" s="4" t="str">
        <f>FEATURES!R60</f>
        <v>LOW</v>
      </c>
      <c r="E60" s="4" t="str">
        <f>FEATURES!Q60</f>
        <v>DISENGAGED</v>
      </c>
      <c r="F60" s="4" t="str">
        <f>FEATURES!P60</f>
        <v>Low_Pressure</v>
      </c>
      <c r="G60" s="4" t="str">
        <f>FEATURES!M60</f>
        <v>HIGH</v>
      </c>
      <c r="H60" s="4" t="str">
        <f>FEATURES!O60</f>
        <v>RECENTLY PROMOTED</v>
      </c>
      <c r="I60" s="4" t="str">
        <f t="shared" si="0"/>
        <v>LOW RISK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3.2" x14ac:dyDescent="0.25">
      <c r="A61" s="4">
        <v>77</v>
      </c>
      <c r="B61" s="4" t="s">
        <v>45</v>
      </c>
      <c r="C61" s="4" t="str">
        <f>FEATURES!L61</f>
        <v>NORMAL</v>
      </c>
      <c r="D61" s="4" t="str">
        <f>FEATURES!R61</f>
        <v>LOW</v>
      </c>
      <c r="E61" s="4" t="str">
        <f>FEATURES!Q61</f>
        <v>HIGHLY_ENGAGED</v>
      </c>
      <c r="F61" s="4" t="str">
        <f>FEATURES!P61</f>
        <v>Low_Pressure</v>
      </c>
      <c r="G61" s="4" t="str">
        <f>FEATURES!M61</f>
        <v>HIGH</v>
      </c>
      <c r="H61" s="4" t="str">
        <f>FEATURES!O61</f>
        <v>RECENTLY PROMOTED</v>
      </c>
      <c r="I61" s="4" t="str">
        <f t="shared" si="0"/>
        <v>LOW RISK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3.2" x14ac:dyDescent="0.25">
      <c r="A62" s="4">
        <v>78</v>
      </c>
      <c r="B62" s="4" t="s">
        <v>45</v>
      </c>
      <c r="C62" s="4" t="str">
        <f>FEATURES!L62</f>
        <v>NORMAL</v>
      </c>
      <c r="D62" s="4" t="str">
        <f>FEATURES!R62</f>
        <v>LOW</v>
      </c>
      <c r="E62" s="4" t="str">
        <f>FEATURES!Q62</f>
        <v>HIGHLY_ENGAGED</v>
      </c>
      <c r="F62" s="4" t="str">
        <f>FEATURES!P62</f>
        <v>Medium_Pressure</v>
      </c>
      <c r="G62" s="4" t="str">
        <f>FEATURES!M62</f>
        <v>HIGH</v>
      </c>
      <c r="H62" s="4" t="str">
        <f>FEATURES!O62</f>
        <v>STAGNANT</v>
      </c>
      <c r="I62" s="4" t="str">
        <f t="shared" si="0"/>
        <v>LOW RISK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3.2" x14ac:dyDescent="0.25">
      <c r="A63" s="4">
        <v>79</v>
      </c>
      <c r="B63" s="4" t="s">
        <v>45</v>
      </c>
      <c r="C63" s="4" t="str">
        <f>FEATURES!L63</f>
        <v>NORMAL</v>
      </c>
      <c r="D63" s="4" t="str">
        <f>FEATURES!R63</f>
        <v>LOW</v>
      </c>
      <c r="E63" s="4" t="str">
        <f>FEATURES!Q63</f>
        <v>HIGHLY_ENGAGED</v>
      </c>
      <c r="F63" s="4" t="str">
        <f>FEATURES!P63</f>
        <v>Medium_Pressure</v>
      </c>
      <c r="G63" s="4" t="str">
        <f>FEATURES!M63</f>
        <v>LOW</v>
      </c>
      <c r="H63" s="4" t="str">
        <f>FEATURES!O63</f>
        <v>STAGNANT</v>
      </c>
      <c r="I63" s="4" t="str">
        <f t="shared" si="0"/>
        <v>LOW RISK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3.2" x14ac:dyDescent="0.25">
      <c r="A64" s="4">
        <v>80</v>
      </c>
      <c r="B64" s="4" t="s">
        <v>45</v>
      </c>
      <c r="C64" s="4" t="str">
        <f>FEATURES!L64</f>
        <v>NORMAL</v>
      </c>
      <c r="D64" s="4" t="str">
        <f>FEATURES!R64</f>
        <v>LOW</v>
      </c>
      <c r="E64" s="4" t="str">
        <f>FEATURES!Q64</f>
        <v>DISENGAGED</v>
      </c>
      <c r="F64" s="4" t="str">
        <f>FEATURES!P64</f>
        <v>High_Pressure</v>
      </c>
      <c r="G64" s="4" t="str">
        <f>FEATURES!M64</f>
        <v>MEDIUM</v>
      </c>
      <c r="H64" s="4" t="str">
        <f>FEATURES!O64</f>
        <v>STAGNANT</v>
      </c>
      <c r="I64" s="4" t="str">
        <f t="shared" si="0"/>
        <v>LOW RISK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3.2" x14ac:dyDescent="0.25">
      <c r="A65" s="4">
        <v>81</v>
      </c>
      <c r="B65" s="4" t="s">
        <v>37</v>
      </c>
      <c r="C65" s="4" t="str">
        <f>FEATURES!L65</f>
        <v>NORMAL</v>
      </c>
      <c r="D65" s="4" t="str">
        <f>FEATURES!R65</f>
        <v>LOW</v>
      </c>
      <c r="E65" s="4" t="str">
        <f>FEATURES!Q65</f>
        <v>DISENGAGED</v>
      </c>
      <c r="F65" s="4" t="str">
        <f>FEATURES!P65</f>
        <v>Low_Pressure</v>
      </c>
      <c r="G65" s="4" t="str">
        <f>FEATURES!M65</f>
        <v>HIGH</v>
      </c>
      <c r="H65" s="4" t="str">
        <f>FEATURES!O65</f>
        <v>STAGNANT</v>
      </c>
      <c r="I65" s="4" t="str">
        <f t="shared" si="0"/>
        <v>LOW RISK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3.2" x14ac:dyDescent="0.25">
      <c r="A66" s="4">
        <v>83</v>
      </c>
      <c r="B66" s="4" t="s">
        <v>45</v>
      </c>
      <c r="C66" s="4" t="str">
        <f>FEATURES!L66</f>
        <v>NORMAL</v>
      </c>
      <c r="D66" s="4" t="str">
        <f>FEATURES!R66</f>
        <v>LOW</v>
      </c>
      <c r="E66" s="4" t="str">
        <f>FEATURES!Q66</f>
        <v>HIGHLY_ENGAGED</v>
      </c>
      <c r="F66" s="4" t="str">
        <f>FEATURES!P66</f>
        <v>Medium_Pressure</v>
      </c>
      <c r="G66" s="4" t="str">
        <f>FEATURES!M66</f>
        <v>MEDIUM</v>
      </c>
      <c r="H66" s="4" t="str">
        <f>FEATURES!O66</f>
        <v>STAGNANT</v>
      </c>
      <c r="I66" s="4" t="str">
        <f t="shared" si="0"/>
        <v>LOW RISK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3.2" x14ac:dyDescent="0.25">
      <c r="A67" s="4">
        <v>84</v>
      </c>
      <c r="B67" s="4" t="s">
        <v>45</v>
      </c>
      <c r="C67" s="4" t="str">
        <f>FEATURES!L67</f>
        <v>NORMAL</v>
      </c>
      <c r="D67" s="4" t="str">
        <f>FEATURES!R67</f>
        <v>LOW</v>
      </c>
      <c r="E67" s="4" t="str">
        <f>FEATURES!Q67</f>
        <v>HIGHLY_ENGAGED</v>
      </c>
      <c r="F67" s="4" t="str">
        <f>FEATURES!P67</f>
        <v>Medium_Pressure</v>
      </c>
      <c r="G67" s="4" t="str">
        <f>FEATURES!M67</f>
        <v>MEDIUM</v>
      </c>
      <c r="H67" s="4" t="str">
        <f>FEATURES!O67</f>
        <v>RECENTLY PROMOTED</v>
      </c>
      <c r="I67" s="4" t="str">
        <f t="shared" si="0"/>
        <v>LOW RISK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3.2" x14ac:dyDescent="0.25">
      <c r="A68" s="4">
        <v>85</v>
      </c>
      <c r="B68" s="4" t="s">
        <v>45</v>
      </c>
      <c r="C68" s="4" t="str">
        <f>FEATURES!L68</f>
        <v>NORMAL</v>
      </c>
      <c r="D68" s="4" t="str">
        <f>FEATURES!R68</f>
        <v>LOW</v>
      </c>
      <c r="E68" s="4" t="str">
        <f>FEATURES!Q68</f>
        <v>DISENGAGED</v>
      </c>
      <c r="F68" s="4" t="str">
        <f>FEATURES!P68</f>
        <v>Medium_Pressure</v>
      </c>
      <c r="G68" s="4" t="str">
        <f>FEATURES!M68</f>
        <v>HIGH</v>
      </c>
      <c r="H68" s="4" t="str">
        <f>FEATURES!O68</f>
        <v>RECENTLY PROMOTED</v>
      </c>
      <c r="I68" s="4" t="str">
        <f t="shared" si="0"/>
        <v>LOW RISK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3.2" x14ac:dyDescent="0.25">
      <c r="A69" s="4">
        <v>86</v>
      </c>
      <c r="B69" s="4" t="s">
        <v>45</v>
      </c>
      <c r="C69" s="4" t="str">
        <f>FEATURES!L69</f>
        <v>NORMAL</v>
      </c>
      <c r="D69" s="4" t="str">
        <f>FEATURES!R69</f>
        <v>LOW</v>
      </c>
      <c r="E69" s="4" t="str">
        <f>FEATURES!Q69</f>
        <v>DISENGAGED</v>
      </c>
      <c r="F69" s="4" t="str">
        <f>FEATURES!P69</f>
        <v>Medium_Pressure</v>
      </c>
      <c r="G69" s="4" t="str">
        <f>FEATURES!M69</f>
        <v>MEDIUM</v>
      </c>
      <c r="H69" s="4" t="str">
        <f>FEATURES!O69</f>
        <v>RECENTLY PROMOTED</v>
      </c>
      <c r="I69" s="4" t="str">
        <f t="shared" si="0"/>
        <v>LOW RISK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3.2" x14ac:dyDescent="0.25">
      <c r="A70" s="4">
        <v>88</v>
      </c>
      <c r="B70" s="4" t="s">
        <v>45</v>
      </c>
      <c r="C70" s="4" t="str">
        <f>FEATURES!L70</f>
        <v>NORMAL</v>
      </c>
      <c r="D70" s="4" t="str">
        <f>FEATURES!R70</f>
        <v>LOW</v>
      </c>
      <c r="E70" s="4" t="str">
        <f>FEATURES!Q70</f>
        <v>DISENGAGED</v>
      </c>
      <c r="F70" s="4" t="str">
        <f>FEATURES!P70</f>
        <v>Low_Pressure</v>
      </c>
      <c r="G70" s="4" t="str">
        <f>FEATURES!M70</f>
        <v>LOW</v>
      </c>
      <c r="H70" s="4" t="str">
        <f>FEATURES!O70</f>
        <v>RECENTLY PROMOTED</v>
      </c>
      <c r="I70" s="4" t="str">
        <f t="shared" si="0"/>
        <v>LOW RISK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3.2" x14ac:dyDescent="0.25">
      <c r="A71" s="4">
        <v>90</v>
      </c>
      <c r="B71" s="4" t="s">
        <v>45</v>
      </c>
      <c r="C71" s="4" t="str">
        <f>FEATURES!L71</f>
        <v>NORMAL</v>
      </c>
      <c r="D71" s="4" t="str">
        <f>FEATURES!R71</f>
        <v>LOW</v>
      </c>
      <c r="E71" s="4" t="str">
        <f>FEATURES!Q71</f>
        <v>DISENGAGED</v>
      </c>
      <c r="F71" s="4" t="str">
        <f>FEATURES!P71</f>
        <v>High_Pressure</v>
      </c>
      <c r="G71" s="4" t="str">
        <f>FEATURES!M71</f>
        <v>LOW</v>
      </c>
      <c r="H71" s="4" t="str">
        <f>FEATURES!O71</f>
        <v>RECENTLY PROMOTED</v>
      </c>
      <c r="I71" s="4" t="str">
        <f t="shared" si="0"/>
        <v>LOW RISK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3.2" x14ac:dyDescent="0.25">
      <c r="A72" s="4">
        <v>91</v>
      </c>
      <c r="B72" s="4" t="s">
        <v>37</v>
      </c>
      <c r="C72" s="4" t="str">
        <f>FEATURES!L72</f>
        <v>NORMAL</v>
      </c>
      <c r="D72" s="4" t="str">
        <f>FEATURES!R72</f>
        <v>LOW</v>
      </c>
      <c r="E72" s="4" t="str">
        <f>FEATURES!Q72</f>
        <v>DISENGAGED</v>
      </c>
      <c r="F72" s="4" t="str">
        <f>FEATURES!P72</f>
        <v>Low_Pressure</v>
      </c>
      <c r="G72" s="4" t="str">
        <f>FEATURES!M72</f>
        <v>HIGH</v>
      </c>
      <c r="H72" s="4" t="str">
        <f>FEATURES!O72</f>
        <v>RECENTLY PROMOTED</v>
      </c>
      <c r="I72" s="4" t="str">
        <f t="shared" si="0"/>
        <v>LOW RISK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3.2" x14ac:dyDescent="0.25">
      <c r="A73" s="4">
        <v>94</v>
      </c>
      <c r="B73" s="4" t="s">
        <v>45</v>
      </c>
      <c r="C73" s="4" t="str">
        <f>FEATURES!L73</f>
        <v>NORMAL</v>
      </c>
      <c r="D73" s="4" t="str">
        <f>FEATURES!R73</f>
        <v>LOW</v>
      </c>
      <c r="E73" s="4" t="str">
        <f>FEATURES!Q73</f>
        <v>DISENGAGED</v>
      </c>
      <c r="F73" s="4" t="str">
        <f>FEATURES!P73</f>
        <v>Medium_Pressure</v>
      </c>
      <c r="G73" s="4" t="str">
        <f>FEATURES!M73</f>
        <v>LOW</v>
      </c>
      <c r="H73" s="4" t="str">
        <f>FEATURES!O73</f>
        <v>RECENTLY PROMOTED</v>
      </c>
      <c r="I73" s="4" t="str">
        <f t="shared" si="0"/>
        <v>LOW RISK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3.2" x14ac:dyDescent="0.25">
      <c r="A74" s="4">
        <v>95</v>
      </c>
      <c r="B74" s="4" t="s">
        <v>45</v>
      </c>
      <c r="C74" s="4" t="str">
        <f>FEATURES!L74</f>
        <v>NORMAL</v>
      </c>
      <c r="D74" s="4" t="str">
        <f>FEATURES!R74</f>
        <v>LOW</v>
      </c>
      <c r="E74" s="4" t="str">
        <f>FEATURES!Q74</f>
        <v>DISENGAGED</v>
      </c>
      <c r="F74" s="4" t="str">
        <f>FEATURES!P74</f>
        <v>Medium_Pressure</v>
      </c>
      <c r="G74" s="4" t="str">
        <f>FEATURES!M74</f>
        <v>LOW</v>
      </c>
      <c r="H74" s="4" t="str">
        <f>FEATURES!O74</f>
        <v>RECENTLY PROMOTED</v>
      </c>
      <c r="I74" s="4" t="str">
        <f t="shared" si="0"/>
        <v>LOW RISK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3.2" x14ac:dyDescent="0.25">
      <c r="A75" s="4">
        <v>96</v>
      </c>
      <c r="B75" s="4" t="s">
        <v>45</v>
      </c>
      <c r="C75" s="4" t="str">
        <f>FEATURES!L75</f>
        <v>NORMAL</v>
      </c>
      <c r="D75" s="4" t="str">
        <f>FEATURES!R75</f>
        <v>LOW</v>
      </c>
      <c r="E75" s="4" t="str">
        <f>FEATURES!Q75</f>
        <v>DISENGAGED</v>
      </c>
      <c r="F75" s="4" t="str">
        <f>FEATURES!P75</f>
        <v>Medium_Pressure</v>
      </c>
      <c r="G75" s="4" t="str">
        <f>FEATURES!M75</f>
        <v>HIGH</v>
      </c>
      <c r="H75" s="4" t="str">
        <f>FEATURES!O75</f>
        <v>RECENTLY PROMOTED</v>
      </c>
      <c r="I75" s="4" t="str">
        <f t="shared" si="0"/>
        <v>LOW RISK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3.2" x14ac:dyDescent="0.25">
      <c r="A76" s="4">
        <v>97</v>
      </c>
      <c r="B76" s="4" t="s">
        <v>45</v>
      </c>
      <c r="C76" s="4" t="str">
        <f>FEATURES!L76</f>
        <v>NORMAL</v>
      </c>
      <c r="D76" s="4" t="str">
        <f>FEATURES!R76</f>
        <v>LOW</v>
      </c>
      <c r="E76" s="4" t="str">
        <f>FEATURES!Q76</f>
        <v>HIGHLY_ENGAGED</v>
      </c>
      <c r="F76" s="4" t="str">
        <f>FEATURES!P76</f>
        <v>Medium_Pressure</v>
      </c>
      <c r="G76" s="4" t="str">
        <f>FEATURES!M76</f>
        <v>LOW</v>
      </c>
      <c r="H76" s="4" t="str">
        <f>FEATURES!O76</f>
        <v>RECENTLY PROMOTED</v>
      </c>
      <c r="I76" s="4" t="str">
        <f t="shared" si="0"/>
        <v>LOW RISK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3.2" x14ac:dyDescent="0.25">
      <c r="A77" s="4">
        <v>98</v>
      </c>
      <c r="B77" s="4" t="s">
        <v>45</v>
      </c>
      <c r="C77" s="4" t="str">
        <f>FEATURES!L77</f>
        <v>NORMAL</v>
      </c>
      <c r="D77" s="4" t="str">
        <f>FEATURES!R77</f>
        <v>LOW</v>
      </c>
      <c r="E77" s="4" t="str">
        <f>FEATURES!Q77</f>
        <v>HIGHLY_ENGAGED</v>
      </c>
      <c r="F77" s="4" t="str">
        <f>FEATURES!P77</f>
        <v>Medium_Pressure</v>
      </c>
      <c r="G77" s="4" t="str">
        <f>FEATURES!M77</f>
        <v>HIGH</v>
      </c>
      <c r="H77" s="4" t="str">
        <f>FEATURES!O77</f>
        <v>RECENTLY PROMOTED</v>
      </c>
      <c r="I77" s="4" t="str">
        <f t="shared" si="0"/>
        <v>LOW RISK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3.2" x14ac:dyDescent="0.25">
      <c r="A78" s="4">
        <v>100</v>
      </c>
      <c r="B78" s="4" t="s">
        <v>37</v>
      </c>
      <c r="C78" s="4" t="str">
        <f>FEATURES!L78</f>
        <v>NORMAL</v>
      </c>
      <c r="D78" s="4" t="str">
        <f>FEATURES!R78</f>
        <v>LOW</v>
      </c>
      <c r="E78" s="4" t="str">
        <f>FEATURES!Q78</f>
        <v>DISENGAGED</v>
      </c>
      <c r="F78" s="4" t="str">
        <f>FEATURES!P78</f>
        <v>Medium_Pressure</v>
      </c>
      <c r="G78" s="4" t="str">
        <f>FEATURES!M78</f>
        <v>HIGH</v>
      </c>
      <c r="H78" s="4" t="str">
        <f>FEATURES!O78</f>
        <v>MODERATE-WAIT</v>
      </c>
      <c r="I78" s="4" t="str">
        <f t="shared" si="0"/>
        <v>LOW RISK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3.2" x14ac:dyDescent="0.25">
      <c r="A79" s="4">
        <v>101</v>
      </c>
      <c r="B79" s="4" t="s">
        <v>45</v>
      </c>
      <c r="C79" s="4" t="str">
        <f>FEATURES!L79</f>
        <v>NORMAL</v>
      </c>
      <c r="D79" s="4" t="str">
        <f>FEATURES!R79</f>
        <v>LOW</v>
      </c>
      <c r="E79" s="4" t="str">
        <f>FEATURES!Q79</f>
        <v>DISENGAGED</v>
      </c>
      <c r="F79" s="4" t="str">
        <f>FEATURES!P79</f>
        <v>Medium_Pressure</v>
      </c>
      <c r="G79" s="4" t="str">
        <f>FEATURES!M79</f>
        <v>MEDIUM</v>
      </c>
      <c r="H79" s="4" t="str">
        <f>FEATURES!O79</f>
        <v>RECENTLY PROMOTED</v>
      </c>
      <c r="I79" s="4" t="str">
        <f t="shared" si="0"/>
        <v>LOW RISK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3.2" x14ac:dyDescent="0.25">
      <c r="A80" s="4">
        <v>102</v>
      </c>
      <c r="B80" s="4" t="s">
        <v>45</v>
      </c>
      <c r="C80" s="4" t="str">
        <f>FEATURES!L80</f>
        <v>NORMAL</v>
      </c>
      <c r="D80" s="4" t="str">
        <f>FEATURES!R80</f>
        <v>LOW</v>
      </c>
      <c r="E80" s="4" t="str">
        <f>FEATURES!Q80</f>
        <v>HIGHLY_ENGAGED</v>
      </c>
      <c r="F80" s="4" t="str">
        <f>FEATURES!P80</f>
        <v>Low_Pressure</v>
      </c>
      <c r="G80" s="4" t="str">
        <f>FEATURES!M80</f>
        <v>MEDIUM</v>
      </c>
      <c r="H80" s="4" t="str">
        <f>FEATURES!O80</f>
        <v>RECENTLY PROMOTED</v>
      </c>
      <c r="I80" s="4" t="str">
        <f t="shared" si="0"/>
        <v>LOW RISK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3.2" x14ac:dyDescent="0.25">
      <c r="A81" s="4">
        <v>103</v>
      </c>
      <c r="B81" s="4" t="s">
        <v>61</v>
      </c>
      <c r="C81" s="4" t="str">
        <f>FEATURES!L81</f>
        <v>NORMAL</v>
      </c>
      <c r="D81" s="4" t="str">
        <f>FEATURES!R81</f>
        <v>LOW</v>
      </c>
      <c r="E81" s="4" t="str">
        <f>FEATURES!Q81</f>
        <v>DISENGAGED</v>
      </c>
      <c r="F81" s="4" t="str">
        <f>FEATURES!P81</f>
        <v>Medium_Pressure</v>
      </c>
      <c r="G81" s="4" t="str">
        <f>FEATURES!M81</f>
        <v>HIGH</v>
      </c>
      <c r="H81" s="4" t="str">
        <f>FEATURES!O81</f>
        <v>RECENTLY PROMOTED</v>
      </c>
      <c r="I81" s="4" t="str">
        <f t="shared" si="0"/>
        <v>LOW RISK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3.2" x14ac:dyDescent="0.25">
      <c r="A82" s="4">
        <v>104</v>
      </c>
      <c r="B82" s="4" t="s">
        <v>45</v>
      </c>
      <c r="C82" s="4" t="str">
        <f>FEATURES!L82</f>
        <v>NORMAL</v>
      </c>
      <c r="D82" s="4" t="str">
        <f>FEATURES!R82</f>
        <v>LOW</v>
      </c>
      <c r="E82" s="4" t="str">
        <f>FEATURES!Q82</f>
        <v>DISENGAGED</v>
      </c>
      <c r="F82" s="4" t="str">
        <f>FEATURES!P82</f>
        <v>High_Pressure</v>
      </c>
      <c r="G82" s="4" t="str">
        <f>FEATURES!M82</f>
        <v>HIGH</v>
      </c>
      <c r="H82" s="4" t="str">
        <f>FEATURES!O82</f>
        <v>MODERATE-WAIT</v>
      </c>
      <c r="I82" s="4" t="str">
        <f t="shared" si="0"/>
        <v>LOW RISK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3.2" x14ac:dyDescent="0.25">
      <c r="A83" s="4">
        <v>105</v>
      </c>
      <c r="B83" s="4" t="s">
        <v>45</v>
      </c>
      <c r="C83" s="4" t="str">
        <f>FEATURES!L83</f>
        <v>NORMAL</v>
      </c>
      <c r="D83" s="4" t="str">
        <f>FEATURES!R83</f>
        <v>LOW</v>
      </c>
      <c r="E83" s="4" t="str">
        <f>FEATURES!Q83</f>
        <v>HIGHLY_ENGAGED</v>
      </c>
      <c r="F83" s="4" t="str">
        <f>FEATURES!P83</f>
        <v>Medium_Pressure</v>
      </c>
      <c r="G83" s="4" t="str">
        <f>FEATURES!M83</f>
        <v>LOW</v>
      </c>
      <c r="H83" s="4" t="str">
        <f>FEATURES!O83</f>
        <v>RECENTLY PROMOTED</v>
      </c>
      <c r="I83" s="4" t="str">
        <f t="shared" si="0"/>
        <v>LOW RISK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3.2" x14ac:dyDescent="0.25">
      <c r="A84" s="4">
        <v>106</v>
      </c>
      <c r="B84" s="4" t="s">
        <v>37</v>
      </c>
      <c r="C84" s="4" t="str">
        <f>FEATURES!L84</f>
        <v>NORMAL</v>
      </c>
      <c r="D84" s="4" t="str">
        <f>FEATURES!R84</f>
        <v>LOW</v>
      </c>
      <c r="E84" s="4" t="str">
        <f>FEATURES!Q84</f>
        <v>HIGHLY_ENGAGED</v>
      </c>
      <c r="F84" s="4" t="str">
        <f>FEATURES!P84</f>
        <v>Medium_Pressure</v>
      </c>
      <c r="G84" s="4" t="str">
        <f>FEATURES!M84</f>
        <v>MEDIUM</v>
      </c>
      <c r="H84" s="4" t="str">
        <f>FEATURES!O84</f>
        <v>RECENTLY PROMOTED</v>
      </c>
      <c r="I84" s="4" t="str">
        <f t="shared" si="0"/>
        <v>LOW RISK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3.2" x14ac:dyDescent="0.25">
      <c r="A85" s="4">
        <v>107</v>
      </c>
      <c r="B85" s="4" t="s">
        <v>45</v>
      </c>
      <c r="C85" s="4" t="str">
        <f>FEATURES!L85</f>
        <v>NORMAL</v>
      </c>
      <c r="D85" s="4" t="str">
        <f>FEATURES!R85</f>
        <v>LOW</v>
      </c>
      <c r="E85" s="4" t="str">
        <f>FEATURES!Q85</f>
        <v>HIGHLY_ENGAGED</v>
      </c>
      <c r="F85" s="4" t="str">
        <f>FEATURES!P85</f>
        <v>Medium_Pressure</v>
      </c>
      <c r="G85" s="4" t="str">
        <f>FEATURES!M85</f>
        <v>HIGH</v>
      </c>
      <c r="H85" s="4" t="str">
        <f>FEATURES!O85</f>
        <v>RECENTLY PROMOTED</v>
      </c>
      <c r="I85" s="4" t="str">
        <f t="shared" si="0"/>
        <v>LOW RISK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3.2" x14ac:dyDescent="0.25">
      <c r="A86" s="4">
        <v>110</v>
      </c>
      <c r="B86" s="4" t="s">
        <v>45</v>
      </c>
      <c r="C86" s="4" t="str">
        <f>FEATURES!L86</f>
        <v>NORMAL</v>
      </c>
      <c r="D86" s="4" t="str">
        <f>FEATURES!R86</f>
        <v>LOW</v>
      </c>
      <c r="E86" s="4" t="str">
        <f>FEATURES!Q86</f>
        <v>DISENGAGED</v>
      </c>
      <c r="F86" s="4" t="str">
        <f>FEATURES!P86</f>
        <v>Medium_Pressure</v>
      </c>
      <c r="G86" s="4" t="str">
        <f>FEATURES!M86</f>
        <v>HIGH</v>
      </c>
      <c r="H86" s="4" t="str">
        <f>FEATURES!O86</f>
        <v>RECENTLY PROMOTED</v>
      </c>
      <c r="I86" s="4" t="str">
        <f t="shared" si="0"/>
        <v>LOW RISK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3.2" x14ac:dyDescent="0.25">
      <c r="A87" s="4">
        <v>112</v>
      </c>
      <c r="B87" s="4" t="s">
        <v>45</v>
      </c>
      <c r="C87" s="4" t="str">
        <f>FEATURES!L87</f>
        <v>NORMAL</v>
      </c>
      <c r="D87" s="4" t="str">
        <f>FEATURES!R87</f>
        <v>LOW</v>
      </c>
      <c r="E87" s="4" t="str">
        <f>FEATURES!Q87</f>
        <v>DISENGAGED</v>
      </c>
      <c r="F87" s="4" t="str">
        <f>FEATURES!P87</f>
        <v>Low_Pressure</v>
      </c>
      <c r="G87" s="4" t="str">
        <f>FEATURES!M87</f>
        <v>HIGH</v>
      </c>
      <c r="H87" s="4" t="str">
        <f>FEATURES!O87</f>
        <v>RECENTLY PROMOTED</v>
      </c>
      <c r="I87" s="4" t="str">
        <f t="shared" si="0"/>
        <v>LOW RISK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3.2" x14ac:dyDescent="0.25">
      <c r="A88" s="4">
        <v>113</v>
      </c>
      <c r="B88" s="4" t="s">
        <v>37</v>
      </c>
      <c r="C88" s="4" t="str">
        <f>FEATURES!L88</f>
        <v>NORMAL</v>
      </c>
      <c r="D88" s="4" t="str">
        <f>FEATURES!R88</f>
        <v>LOW</v>
      </c>
      <c r="E88" s="4" t="str">
        <f>FEATURES!Q88</f>
        <v>DISENGAGED</v>
      </c>
      <c r="F88" s="4" t="str">
        <f>FEATURES!P88</f>
        <v>Medium_Pressure</v>
      </c>
      <c r="G88" s="4" t="str">
        <f>FEATURES!M88</f>
        <v>LOW</v>
      </c>
      <c r="H88" s="4" t="str">
        <f>FEATURES!O88</f>
        <v>RECENTLY PROMOTED</v>
      </c>
      <c r="I88" s="4" t="str">
        <f t="shared" si="0"/>
        <v>LOW RISK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3.2" x14ac:dyDescent="0.25">
      <c r="A89" s="4">
        <v>116</v>
      </c>
      <c r="B89" s="4" t="s">
        <v>45</v>
      </c>
      <c r="C89" s="4" t="str">
        <f>FEATURES!L89</f>
        <v>NORMAL</v>
      </c>
      <c r="D89" s="4" t="str">
        <f>FEATURES!R89</f>
        <v>LOW</v>
      </c>
      <c r="E89" s="4" t="str">
        <f>FEATURES!Q89</f>
        <v>HIGHLY_ENGAGED</v>
      </c>
      <c r="F89" s="4" t="str">
        <f>FEATURES!P89</f>
        <v>Medium_Pressure</v>
      </c>
      <c r="G89" s="4" t="str">
        <f>FEATURES!M89</f>
        <v>LOW</v>
      </c>
      <c r="H89" s="4" t="str">
        <f>FEATURES!O89</f>
        <v>RECENTLY PROMOTED</v>
      </c>
      <c r="I89" s="4" t="str">
        <f t="shared" si="0"/>
        <v>LOW RISK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3.2" x14ac:dyDescent="0.25">
      <c r="A90" s="4">
        <v>117</v>
      </c>
      <c r="B90" s="4" t="s">
        <v>45</v>
      </c>
      <c r="C90" s="4" t="str">
        <f>FEATURES!L90</f>
        <v>NORMAL</v>
      </c>
      <c r="D90" s="4" t="str">
        <f>FEATURES!R90</f>
        <v>LOW</v>
      </c>
      <c r="E90" s="4" t="str">
        <f>FEATURES!Q90</f>
        <v>HIGHLY_ENGAGED</v>
      </c>
      <c r="F90" s="4" t="str">
        <f>FEATURES!P90</f>
        <v>Medium_Pressure</v>
      </c>
      <c r="G90" s="4" t="str">
        <f>FEATURES!M90</f>
        <v>HIGH</v>
      </c>
      <c r="H90" s="4" t="str">
        <f>FEATURES!O90</f>
        <v>STAGNANT</v>
      </c>
      <c r="I90" s="4" t="str">
        <f t="shared" si="0"/>
        <v>LOW RISK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3.2" x14ac:dyDescent="0.25">
      <c r="A91" s="4">
        <v>118</v>
      </c>
      <c r="B91" s="4" t="s">
        <v>37</v>
      </c>
      <c r="C91" s="4" t="str">
        <f>FEATURES!L91</f>
        <v>NORMAL</v>
      </c>
      <c r="D91" s="4" t="str">
        <f>FEATURES!R91</f>
        <v>LOW</v>
      </c>
      <c r="E91" s="4" t="str">
        <f>FEATURES!Q91</f>
        <v>HIGHLY_ENGAGED</v>
      </c>
      <c r="F91" s="4" t="str">
        <f>FEATURES!P91</f>
        <v>Medium_Pressure</v>
      </c>
      <c r="G91" s="4" t="str">
        <f>FEATURES!M91</f>
        <v>MEDIUM</v>
      </c>
      <c r="H91" s="4" t="str">
        <f>FEATURES!O91</f>
        <v>STAGNANT</v>
      </c>
      <c r="I91" s="4" t="str">
        <f t="shared" si="0"/>
        <v>LOW RISK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3.2" x14ac:dyDescent="0.25">
      <c r="A92" s="4">
        <v>119</v>
      </c>
      <c r="B92" s="4" t="s">
        <v>45</v>
      </c>
      <c r="C92" s="4" t="str">
        <f>FEATURES!L92</f>
        <v>NORMAL</v>
      </c>
      <c r="D92" s="4" t="str">
        <f>FEATURES!R92</f>
        <v>LOW</v>
      </c>
      <c r="E92" s="4" t="str">
        <f>FEATURES!Q92</f>
        <v>DISENGAGED</v>
      </c>
      <c r="F92" s="4" t="str">
        <f>FEATURES!P92</f>
        <v>Low_Pressure</v>
      </c>
      <c r="G92" s="4" t="str">
        <f>FEATURES!M92</f>
        <v>MEDIUM</v>
      </c>
      <c r="H92" s="4" t="str">
        <f>FEATURES!O92</f>
        <v>STAGNANT</v>
      </c>
      <c r="I92" s="4" t="str">
        <f t="shared" si="0"/>
        <v>LOW RISK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3.2" x14ac:dyDescent="0.25">
      <c r="A93" s="4">
        <v>120</v>
      </c>
      <c r="B93" s="4" t="s">
        <v>37</v>
      </c>
      <c r="C93" s="4" t="str">
        <f>FEATURES!L93</f>
        <v>NORMAL</v>
      </c>
      <c r="D93" s="4" t="str">
        <f>FEATURES!R93</f>
        <v>LOW</v>
      </c>
      <c r="E93" s="4" t="str">
        <f>FEATURES!Q93</f>
        <v>DISENGAGED</v>
      </c>
      <c r="F93" s="4" t="str">
        <f>FEATURES!P93</f>
        <v>High_Pressure</v>
      </c>
      <c r="G93" s="4" t="str">
        <f>FEATURES!M93</f>
        <v>HIGH</v>
      </c>
      <c r="H93" s="4" t="str">
        <f>FEATURES!O93</f>
        <v>RECENTLY PROMOTED</v>
      </c>
      <c r="I93" s="4" t="str">
        <f t="shared" si="0"/>
        <v>LOW RISK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3.2" x14ac:dyDescent="0.25">
      <c r="A94" s="4">
        <v>121</v>
      </c>
      <c r="B94" s="4" t="s">
        <v>37</v>
      </c>
      <c r="C94" s="4" t="str">
        <f>FEATURES!L94</f>
        <v>NORMAL</v>
      </c>
      <c r="D94" s="4" t="str">
        <f>FEATURES!R94</f>
        <v>LOW</v>
      </c>
      <c r="E94" s="4" t="str">
        <f>FEATURES!Q94</f>
        <v>DISENGAGED</v>
      </c>
      <c r="F94" s="4" t="str">
        <f>FEATURES!P94</f>
        <v>High_Pressure</v>
      </c>
      <c r="G94" s="4" t="str">
        <f>FEATURES!M94</f>
        <v>HIGH</v>
      </c>
      <c r="H94" s="4" t="str">
        <f>FEATURES!O94</f>
        <v>MODERATE-WAIT</v>
      </c>
      <c r="I94" s="4" t="str">
        <f t="shared" si="0"/>
        <v>LOW RISK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3.2" x14ac:dyDescent="0.25">
      <c r="A95" s="4">
        <v>124</v>
      </c>
      <c r="B95" s="4" t="s">
        <v>45</v>
      </c>
      <c r="C95" s="4" t="str">
        <f>FEATURES!L95</f>
        <v>HIGH RISK</v>
      </c>
      <c r="D95" s="4" t="str">
        <f>FEATURES!R95</f>
        <v>LOW</v>
      </c>
      <c r="E95" s="4" t="str">
        <f>FEATURES!Q95</f>
        <v>DISENGAGED</v>
      </c>
      <c r="F95" s="4" t="str">
        <f>FEATURES!P95</f>
        <v>High_Pressure</v>
      </c>
      <c r="G95" s="4" t="str">
        <f>FEATURES!M95</f>
        <v>MEDIUM</v>
      </c>
      <c r="H95" s="4" t="str">
        <f>FEATURES!O95</f>
        <v>STAGNANT</v>
      </c>
      <c r="I95" s="4" t="str">
        <f t="shared" si="0"/>
        <v>LOW RISK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3.2" x14ac:dyDescent="0.25">
      <c r="A96" s="4">
        <v>125</v>
      </c>
      <c r="B96" s="4" t="s">
        <v>37</v>
      </c>
      <c r="C96" s="4" t="str">
        <f>FEATURES!L96</f>
        <v>NORMAL</v>
      </c>
      <c r="D96" s="4" t="str">
        <f>FEATURES!R96</f>
        <v>LOW</v>
      </c>
      <c r="E96" s="4" t="str">
        <f>FEATURES!Q96</f>
        <v>HIGHLY_ENGAGED</v>
      </c>
      <c r="F96" s="4" t="str">
        <f>FEATURES!P96</f>
        <v>Medium_Pressure</v>
      </c>
      <c r="G96" s="4" t="str">
        <f>FEATURES!M96</f>
        <v>HIGH</v>
      </c>
      <c r="H96" s="4" t="str">
        <f>FEATURES!O96</f>
        <v>STAGNANT</v>
      </c>
      <c r="I96" s="4" t="str">
        <f t="shared" si="0"/>
        <v>LOW RISK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3.2" x14ac:dyDescent="0.25">
      <c r="A97" s="4">
        <v>126</v>
      </c>
      <c r="B97" s="4" t="s">
        <v>45</v>
      </c>
      <c r="C97" s="4" t="str">
        <f>FEATURES!L97</f>
        <v>NORMAL</v>
      </c>
      <c r="D97" s="4" t="str">
        <f>FEATURES!R97</f>
        <v>LOW</v>
      </c>
      <c r="E97" s="4" t="str">
        <f>FEATURES!Q97</f>
        <v>DISENGAGED</v>
      </c>
      <c r="F97" s="4" t="str">
        <f>FEATURES!P97</f>
        <v>Low_Pressure</v>
      </c>
      <c r="G97" s="4" t="str">
        <f>FEATURES!M97</f>
        <v>MEDIUM</v>
      </c>
      <c r="H97" s="4" t="str">
        <f>FEATURES!O97</f>
        <v>RECENTLY PROMOTED</v>
      </c>
      <c r="I97" s="4" t="str">
        <f t="shared" si="0"/>
        <v>LOW RISK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3.2" x14ac:dyDescent="0.25">
      <c r="A98" s="4">
        <v>128</v>
      </c>
      <c r="B98" s="4" t="s">
        <v>37</v>
      </c>
      <c r="C98" s="4" t="str">
        <f>FEATURES!L98</f>
        <v>NORMAL</v>
      </c>
      <c r="D98" s="4" t="str">
        <f>FEATURES!R98</f>
        <v>LOW</v>
      </c>
      <c r="E98" s="4" t="str">
        <f>FEATURES!Q98</f>
        <v>DISENGAGED</v>
      </c>
      <c r="F98" s="4" t="str">
        <f>FEATURES!P98</f>
        <v>Low_Pressure</v>
      </c>
      <c r="G98" s="4" t="str">
        <f>FEATURES!M98</f>
        <v>HIGH</v>
      </c>
      <c r="H98" s="4" t="str">
        <f>FEATURES!O98</f>
        <v>RECENTLY PROMOTED</v>
      </c>
      <c r="I98" s="4" t="str">
        <f t="shared" si="0"/>
        <v>LOW RISK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3.2" x14ac:dyDescent="0.25">
      <c r="A99" s="4">
        <v>129</v>
      </c>
      <c r="B99" s="4" t="s">
        <v>37</v>
      </c>
      <c r="C99" s="4" t="str">
        <f>FEATURES!L99</f>
        <v>NORMAL</v>
      </c>
      <c r="D99" s="4" t="str">
        <f>FEATURES!R99</f>
        <v>LOW</v>
      </c>
      <c r="E99" s="4" t="str">
        <f>FEATURES!Q99</f>
        <v>HIGHLY_ENGAGED</v>
      </c>
      <c r="F99" s="4" t="str">
        <f>FEATURES!P99</f>
        <v>Low_Pressure</v>
      </c>
      <c r="G99" s="4" t="str">
        <f>FEATURES!M99</f>
        <v>HIGH</v>
      </c>
      <c r="H99" s="4" t="str">
        <f>FEATURES!O99</f>
        <v>RECENTLY PROMOTED</v>
      </c>
      <c r="I99" s="4" t="str">
        <f t="shared" si="0"/>
        <v>LOW RISK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3.2" x14ac:dyDescent="0.25">
      <c r="A100" s="4">
        <v>131</v>
      </c>
      <c r="B100" s="4" t="s">
        <v>37</v>
      </c>
      <c r="C100" s="4" t="str">
        <f>FEATURES!L100</f>
        <v>NORMAL</v>
      </c>
      <c r="D100" s="4" t="str">
        <f>FEATURES!R100</f>
        <v>LOW</v>
      </c>
      <c r="E100" s="4" t="str">
        <f>FEATURES!Q100</f>
        <v>DISENGAGED</v>
      </c>
      <c r="F100" s="4" t="str">
        <f>FEATURES!P100</f>
        <v>Low_Pressure</v>
      </c>
      <c r="G100" s="4" t="str">
        <f>FEATURES!M100</f>
        <v>MEDIUM</v>
      </c>
      <c r="H100" s="4" t="str">
        <f>FEATURES!O100</f>
        <v>RECENTLY PROMOTED</v>
      </c>
      <c r="I100" s="4" t="str">
        <f t="shared" si="0"/>
        <v>LOW RISK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3.2" x14ac:dyDescent="0.25">
      <c r="A101" s="4">
        <v>132</v>
      </c>
      <c r="B101" s="4" t="s">
        <v>45</v>
      </c>
      <c r="C101" s="4" t="str">
        <f>FEATURES!L101</f>
        <v>NORMAL</v>
      </c>
      <c r="D101" s="4" t="str">
        <f>FEATURES!R101</f>
        <v>LOW</v>
      </c>
      <c r="E101" s="4" t="str">
        <f>FEATURES!Q101</f>
        <v>DISENGAGED</v>
      </c>
      <c r="F101" s="4" t="str">
        <f>FEATURES!P101</f>
        <v>Low_Pressure</v>
      </c>
      <c r="G101" s="4" t="str">
        <f>FEATURES!M101</f>
        <v>LOW</v>
      </c>
      <c r="H101" s="4" t="str">
        <f>FEATURES!O101</f>
        <v>RECENTLY PROMOTED</v>
      </c>
      <c r="I101" s="4" t="str">
        <f t="shared" si="0"/>
        <v>LOW RISK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3.2" x14ac:dyDescent="0.25">
      <c r="A102" s="4">
        <v>133</v>
      </c>
      <c r="B102" s="4" t="s">
        <v>61</v>
      </c>
      <c r="C102" s="4" t="str">
        <f>FEATURES!L102</f>
        <v>NORMAL</v>
      </c>
      <c r="D102" s="4" t="str">
        <f>FEATURES!R102</f>
        <v>LOW</v>
      </c>
      <c r="E102" s="4" t="str">
        <f>FEATURES!Q102</f>
        <v>DISENGAGED</v>
      </c>
      <c r="F102" s="4" t="str">
        <f>FEATURES!P102</f>
        <v>Medium_Pressure</v>
      </c>
      <c r="G102" s="4" t="str">
        <f>FEATURES!M102</f>
        <v>LOW</v>
      </c>
      <c r="H102" s="4" t="str">
        <f>FEATURES!O102</f>
        <v>RECENTLY PROMOTED</v>
      </c>
      <c r="I102" s="4" t="str">
        <f t="shared" si="0"/>
        <v>LOW RISK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3.2" x14ac:dyDescent="0.25">
      <c r="A103" s="4">
        <v>134</v>
      </c>
      <c r="B103" s="4" t="s">
        <v>45</v>
      </c>
      <c r="C103" s="4" t="str">
        <f>FEATURES!L103</f>
        <v>NORMAL</v>
      </c>
      <c r="D103" s="4" t="str">
        <f>FEATURES!R103</f>
        <v>LOW</v>
      </c>
      <c r="E103" s="4" t="str">
        <f>FEATURES!Q103</f>
        <v>DISENGAGED</v>
      </c>
      <c r="F103" s="4" t="str">
        <f>FEATURES!P103</f>
        <v>Medium_Pressure</v>
      </c>
      <c r="G103" s="4" t="str">
        <f>FEATURES!M103</f>
        <v>LOW</v>
      </c>
      <c r="H103" s="4" t="str">
        <f>FEATURES!O103</f>
        <v>RECENTLY PROMOTED</v>
      </c>
      <c r="I103" s="4" t="str">
        <f t="shared" si="0"/>
        <v>LOW RISK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3.2" x14ac:dyDescent="0.25">
      <c r="A104" s="4">
        <v>137</v>
      </c>
      <c r="B104" s="4" t="s">
        <v>45</v>
      </c>
      <c r="C104" s="4" t="str">
        <f>FEATURES!L104</f>
        <v>NORMAL</v>
      </c>
      <c r="D104" s="4" t="str">
        <f>FEATURES!R104</f>
        <v>LOW</v>
      </c>
      <c r="E104" s="4" t="str">
        <f>FEATURES!Q104</f>
        <v>HIGHLY_ENGAGED</v>
      </c>
      <c r="F104" s="4" t="str">
        <f>FEATURES!P104</f>
        <v>Medium_Pressure</v>
      </c>
      <c r="G104" s="4" t="str">
        <f>FEATURES!M104</f>
        <v>LOW</v>
      </c>
      <c r="H104" s="4" t="str">
        <f>FEATURES!O104</f>
        <v>RECENTLY PROMOTED</v>
      </c>
      <c r="I104" s="4" t="str">
        <f t="shared" si="0"/>
        <v>LOW RISK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3.2" x14ac:dyDescent="0.25">
      <c r="A105" s="4">
        <v>138</v>
      </c>
      <c r="B105" s="4" t="s">
        <v>45</v>
      </c>
      <c r="C105" s="4" t="str">
        <f>FEATURES!L105</f>
        <v>NORMAL</v>
      </c>
      <c r="D105" s="4" t="str">
        <f>FEATURES!R105</f>
        <v>LOW</v>
      </c>
      <c r="E105" s="4" t="str">
        <f>FEATURES!Q105</f>
        <v>HIGHLY_ENGAGED</v>
      </c>
      <c r="F105" s="4" t="str">
        <f>FEATURES!P105</f>
        <v>Medium_Pressure</v>
      </c>
      <c r="G105" s="4" t="str">
        <f>FEATURES!M105</f>
        <v>HIGH</v>
      </c>
      <c r="H105" s="4" t="str">
        <f>FEATURES!O105</f>
        <v>MODERATE-WAIT</v>
      </c>
      <c r="I105" s="4" t="str">
        <f t="shared" si="0"/>
        <v>LOW RISK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3.2" x14ac:dyDescent="0.25">
      <c r="A106" s="4">
        <v>139</v>
      </c>
      <c r="B106" s="4" t="s">
        <v>45</v>
      </c>
      <c r="C106" s="4" t="str">
        <f>FEATURES!L106</f>
        <v>NORMAL</v>
      </c>
      <c r="D106" s="4" t="str">
        <f>FEATURES!R106</f>
        <v>LOW</v>
      </c>
      <c r="E106" s="4" t="str">
        <f>FEATURES!Q106</f>
        <v>HIGHLY_ENGAGED</v>
      </c>
      <c r="F106" s="4" t="str">
        <f>FEATURES!P106</f>
        <v>Low_Pressure</v>
      </c>
      <c r="G106" s="4" t="str">
        <f>FEATURES!M106</f>
        <v>HIGH</v>
      </c>
      <c r="H106" s="4" t="str">
        <f>FEATURES!O106</f>
        <v>RECENTLY PROMOTED</v>
      </c>
      <c r="I106" s="4" t="str">
        <f t="shared" si="0"/>
        <v>LOW RISK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3.2" x14ac:dyDescent="0.25">
      <c r="A107" s="4">
        <v>140</v>
      </c>
      <c r="B107" s="4" t="s">
        <v>61</v>
      </c>
      <c r="C107" s="4" t="str">
        <f>FEATURES!L107</f>
        <v>NORMAL</v>
      </c>
      <c r="D107" s="4" t="str">
        <f>FEATURES!R107</f>
        <v>LOW</v>
      </c>
      <c r="E107" s="4" t="str">
        <f>FEATURES!Q107</f>
        <v>HIGHLY_ENGAGED</v>
      </c>
      <c r="F107" s="4" t="str">
        <f>FEATURES!P107</f>
        <v>Medium_Pressure</v>
      </c>
      <c r="G107" s="4" t="str">
        <f>FEATURES!M107</f>
        <v>MEDIUM</v>
      </c>
      <c r="H107" s="4" t="str">
        <f>FEATURES!O107</f>
        <v>MODERATE-WAIT</v>
      </c>
      <c r="I107" s="4" t="str">
        <f t="shared" si="0"/>
        <v>LOW RISK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3.2" x14ac:dyDescent="0.25">
      <c r="A108" s="4">
        <v>141</v>
      </c>
      <c r="B108" s="4" t="s">
        <v>45</v>
      </c>
      <c r="C108" s="4" t="str">
        <f>FEATURES!L108</f>
        <v>NORMAL</v>
      </c>
      <c r="D108" s="4" t="str">
        <f>FEATURES!R108</f>
        <v>LOW</v>
      </c>
      <c r="E108" s="4" t="str">
        <f>FEATURES!Q108</f>
        <v>DISENGAGED</v>
      </c>
      <c r="F108" s="4" t="str">
        <f>FEATURES!P108</f>
        <v>High_Pressure</v>
      </c>
      <c r="G108" s="4" t="str">
        <f>FEATURES!M108</f>
        <v>MEDIUM</v>
      </c>
      <c r="H108" s="4" t="str">
        <f>FEATURES!O108</f>
        <v>RECENTLY PROMOTED</v>
      </c>
      <c r="I108" s="4" t="str">
        <f t="shared" si="0"/>
        <v>LOW RISK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3.2" x14ac:dyDescent="0.25">
      <c r="A109" s="4">
        <v>142</v>
      </c>
      <c r="B109" s="4" t="s">
        <v>37</v>
      </c>
      <c r="C109" s="4" t="str">
        <f>FEATURES!L109</f>
        <v>NORMAL</v>
      </c>
      <c r="D109" s="4" t="str">
        <f>FEATURES!R109</f>
        <v>LOW</v>
      </c>
      <c r="E109" s="4" t="str">
        <f>FEATURES!Q109</f>
        <v>HIGHLY_ENGAGED</v>
      </c>
      <c r="F109" s="4" t="str">
        <f>FEATURES!P109</f>
        <v>Medium_Pressure</v>
      </c>
      <c r="G109" s="4" t="str">
        <f>FEATURES!M109</f>
        <v>HIGH</v>
      </c>
      <c r="H109" s="4" t="str">
        <f>FEATURES!O109</f>
        <v>RECENTLY PROMOTED</v>
      </c>
      <c r="I109" s="4" t="str">
        <f t="shared" si="0"/>
        <v>LOW RISK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3.2" x14ac:dyDescent="0.25">
      <c r="A110" s="4">
        <v>143</v>
      </c>
      <c r="B110" s="4" t="s">
        <v>45</v>
      </c>
      <c r="C110" s="4" t="str">
        <f>FEATURES!L110</f>
        <v>NORMAL</v>
      </c>
      <c r="D110" s="4" t="str">
        <f>FEATURES!R110</f>
        <v>LOW</v>
      </c>
      <c r="E110" s="4" t="str">
        <f>FEATURES!Q110</f>
        <v>HIGHLY_ENGAGED</v>
      </c>
      <c r="F110" s="4" t="str">
        <f>FEATURES!P110</f>
        <v>Medium_Pressure</v>
      </c>
      <c r="G110" s="4" t="str">
        <f>FEATURES!M110</f>
        <v>LOW</v>
      </c>
      <c r="H110" s="4" t="str">
        <f>FEATURES!O110</f>
        <v>MODERATE-WAIT</v>
      </c>
      <c r="I110" s="4" t="str">
        <f t="shared" si="0"/>
        <v>LOW RISK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3.2" x14ac:dyDescent="0.25">
      <c r="A111" s="4">
        <v>144</v>
      </c>
      <c r="B111" s="4" t="s">
        <v>45</v>
      </c>
      <c r="C111" s="4" t="str">
        <f>FEATURES!L111</f>
        <v>NORMAL</v>
      </c>
      <c r="D111" s="4" t="str">
        <f>FEATURES!R111</f>
        <v>LOW</v>
      </c>
      <c r="E111" s="4" t="str">
        <f>FEATURES!Q111</f>
        <v>HIGHLY_ENGAGED</v>
      </c>
      <c r="F111" s="4" t="str">
        <f>FEATURES!P111</f>
        <v>Medium_Pressure</v>
      </c>
      <c r="G111" s="4" t="str">
        <f>FEATURES!M111</f>
        <v>LOW</v>
      </c>
      <c r="H111" s="4" t="str">
        <f>FEATURES!O111</f>
        <v>RECENTLY PROMOTED</v>
      </c>
      <c r="I111" s="4" t="str">
        <f t="shared" si="0"/>
        <v>LOW RISK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3.2" x14ac:dyDescent="0.25">
      <c r="A112" s="4">
        <v>145</v>
      </c>
      <c r="B112" s="4" t="s">
        <v>45</v>
      </c>
      <c r="C112" s="4" t="str">
        <f>FEATURES!L112</f>
        <v>NORMAL</v>
      </c>
      <c r="D112" s="4" t="str">
        <f>FEATURES!R112</f>
        <v>LOW</v>
      </c>
      <c r="E112" s="4" t="str">
        <f>FEATURES!Q112</f>
        <v>DISENGAGED</v>
      </c>
      <c r="F112" s="4" t="str">
        <f>FEATURES!P112</f>
        <v>Low_Pressure</v>
      </c>
      <c r="G112" s="4" t="str">
        <f>FEATURES!M112</f>
        <v>HIGH</v>
      </c>
      <c r="H112" s="4" t="str">
        <f>FEATURES!O112</f>
        <v>STAGNANT</v>
      </c>
      <c r="I112" s="4" t="str">
        <f t="shared" si="0"/>
        <v>LOW RISK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3.2" x14ac:dyDescent="0.25">
      <c r="A113" s="4">
        <v>147</v>
      </c>
      <c r="B113" s="4" t="s">
        <v>45</v>
      </c>
      <c r="C113" s="4" t="str">
        <f>FEATURES!L113</f>
        <v>NORMAL</v>
      </c>
      <c r="D113" s="4" t="str">
        <f>FEATURES!R113</f>
        <v>LOW</v>
      </c>
      <c r="E113" s="4" t="str">
        <f>FEATURES!Q113</f>
        <v>HIGHLY_ENGAGED</v>
      </c>
      <c r="F113" s="4" t="str">
        <f>FEATURES!P113</f>
        <v>Medium_Pressure</v>
      </c>
      <c r="G113" s="4" t="str">
        <f>FEATURES!M113</f>
        <v>HIGH</v>
      </c>
      <c r="H113" s="4" t="str">
        <f>FEATURES!O113</f>
        <v>RECENTLY PROMOTED</v>
      </c>
      <c r="I113" s="4" t="str">
        <f t="shared" si="0"/>
        <v>LOW RISK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3.2" x14ac:dyDescent="0.25">
      <c r="A114" s="4">
        <v>148</v>
      </c>
      <c r="B114" s="4" t="s">
        <v>61</v>
      </c>
      <c r="C114" s="4" t="str">
        <f>FEATURES!L114</f>
        <v>NORMAL</v>
      </c>
      <c r="D114" s="4" t="str">
        <f>FEATURES!R114</f>
        <v>LOW</v>
      </c>
      <c r="E114" s="4" t="str">
        <f>FEATURES!Q114</f>
        <v>HIGHLY_ENGAGED</v>
      </c>
      <c r="F114" s="4" t="str">
        <f>FEATURES!P114</f>
        <v>Medium_Pressure</v>
      </c>
      <c r="G114" s="4" t="str">
        <f>FEATURES!M114</f>
        <v>MEDIUM</v>
      </c>
      <c r="H114" s="4" t="str">
        <f>FEATURES!O114</f>
        <v>STAGNANT</v>
      </c>
      <c r="I114" s="4" t="str">
        <f t="shared" si="0"/>
        <v>LOW RISK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3.2" x14ac:dyDescent="0.25">
      <c r="A115" s="4">
        <v>150</v>
      </c>
      <c r="B115" s="4" t="s">
        <v>45</v>
      </c>
      <c r="C115" s="4" t="str">
        <f>FEATURES!L115</f>
        <v>NORMAL</v>
      </c>
      <c r="D115" s="4" t="str">
        <f>FEATURES!R115</f>
        <v>LOW</v>
      </c>
      <c r="E115" s="4" t="str">
        <f>FEATURES!Q115</f>
        <v>HIGHLY_ENGAGED</v>
      </c>
      <c r="F115" s="4" t="str">
        <f>FEATURES!P115</f>
        <v>Medium_Pressure</v>
      </c>
      <c r="G115" s="4" t="str">
        <f>FEATURES!M115</f>
        <v>LOW</v>
      </c>
      <c r="H115" s="4" t="str">
        <f>FEATURES!O115</f>
        <v>RECENTLY PROMOTED</v>
      </c>
      <c r="I115" s="4" t="str">
        <f t="shared" si="0"/>
        <v>LOW RISK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3.2" x14ac:dyDescent="0.25">
      <c r="A116" s="4">
        <v>151</v>
      </c>
      <c r="B116" s="4" t="s">
        <v>45</v>
      </c>
      <c r="C116" s="4" t="str">
        <f>FEATURES!L116</f>
        <v>NORMAL</v>
      </c>
      <c r="D116" s="4" t="str">
        <f>FEATURES!R116</f>
        <v>LOW</v>
      </c>
      <c r="E116" s="4" t="str">
        <f>FEATURES!Q116</f>
        <v>DISENGAGED</v>
      </c>
      <c r="F116" s="4" t="str">
        <f>FEATURES!P116</f>
        <v>Medium_Pressure</v>
      </c>
      <c r="G116" s="4" t="str">
        <f>FEATURES!M116</f>
        <v>HIGH</v>
      </c>
      <c r="H116" s="4" t="str">
        <f>FEATURES!O116</f>
        <v>RECENTLY PROMOTED</v>
      </c>
      <c r="I116" s="4" t="str">
        <f t="shared" si="0"/>
        <v>LOW RISK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3.2" x14ac:dyDescent="0.25">
      <c r="A117" s="4">
        <v>152</v>
      </c>
      <c r="B117" s="4" t="s">
        <v>37</v>
      </c>
      <c r="C117" s="4" t="str">
        <f>FEATURES!L117</f>
        <v>NORMAL</v>
      </c>
      <c r="D117" s="4" t="str">
        <f>FEATURES!R117</f>
        <v>LOW</v>
      </c>
      <c r="E117" s="4" t="str">
        <f>FEATURES!Q117</f>
        <v>HIGHLY_ENGAGED</v>
      </c>
      <c r="F117" s="4" t="str">
        <f>FEATURES!P117</f>
        <v>Medium_Pressure</v>
      </c>
      <c r="G117" s="4" t="str">
        <f>FEATURES!M117</f>
        <v>HIGH</v>
      </c>
      <c r="H117" s="4" t="str">
        <f>FEATURES!O117</f>
        <v>RECENTLY PROMOTED</v>
      </c>
      <c r="I117" s="4" t="str">
        <f t="shared" si="0"/>
        <v>LOW RISK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3.2" x14ac:dyDescent="0.25">
      <c r="A118" s="4">
        <v>153</v>
      </c>
      <c r="B118" s="4" t="s">
        <v>45</v>
      </c>
      <c r="C118" s="4" t="str">
        <f>FEATURES!L118</f>
        <v>NORMAL</v>
      </c>
      <c r="D118" s="4" t="str">
        <f>FEATURES!R118</f>
        <v>LOW</v>
      </c>
      <c r="E118" s="4" t="str">
        <f>FEATURES!Q118</f>
        <v>DISENGAGED</v>
      </c>
      <c r="F118" s="4" t="str">
        <f>FEATURES!P118</f>
        <v>Medium_Pressure</v>
      </c>
      <c r="G118" s="4" t="str">
        <f>FEATURES!M118</f>
        <v>MEDIUM</v>
      </c>
      <c r="H118" s="4" t="str">
        <f>FEATURES!O118</f>
        <v>STAGNANT</v>
      </c>
      <c r="I118" s="4" t="str">
        <f t="shared" si="0"/>
        <v>LOW RISK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3.2" x14ac:dyDescent="0.25">
      <c r="A119" s="4">
        <v>154</v>
      </c>
      <c r="B119" s="4" t="s">
        <v>37</v>
      </c>
      <c r="C119" s="4" t="str">
        <f>FEATURES!L119</f>
        <v>NORMAL</v>
      </c>
      <c r="D119" s="4" t="str">
        <f>FEATURES!R119</f>
        <v>LOW</v>
      </c>
      <c r="E119" s="4" t="str">
        <f>FEATURES!Q119</f>
        <v>HIGHLY_ENGAGED</v>
      </c>
      <c r="F119" s="4" t="str">
        <f>FEATURES!P119</f>
        <v>Medium_Pressure</v>
      </c>
      <c r="G119" s="4" t="str">
        <f>FEATURES!M119</f>
        <v>MEDIUM</v>
      </c>
      <c r="H119" s="4" t="str">
        <f>FEATURES!O119</f>
        <v>MODERATE-WAIT</v>
      </c>
      <c r="I119" s="4" t="str">
        <f t="shared" si="0"/>
        <v>LOW RISK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3.2" x14ac:dyDescent="0.25">
      <c r="A120" s="4">
        <v>155</v>
      </c>
      <c r="B120" s="4" t="s">
        <v>45</v>
      </c>
      <c r="C120" s="4" t="str">
        <f>FEATURES!L120</f>
        <v>NORMAL</v>
      </c>
      <c r="D120" s="4" t="str">
        <f>FEATURES!R120</f>
        <v>LOW</v>
      </c>
      <c r="E120" s="4" t="str">
        <f>FEATURES!Q120</f>
        <v>HIGHLY_ENGAGED</v>
      </c>
      <c r="F120" s="4" t="str">
        <f>FEATURES!P120</f>
        <v>Medium_Pressure</v>
      </c>
      <c r="G120" s="4" t="str">
        <f>FEATURES!M120</f>
        <v>LOW</v>
      </c>
      <c r="H120" s="4" t="str">
        <f>FEATURES!O120</f>
        <v>RECENTLY PROMOTED</v>
      </c>
      <c r="I120" s="4" t="str">
        <f t="shared" si="0"/>
        <v>LOW RISK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3.2" x14ac:dyDescent="0.25">
      <c r="A121" s="4">
        <v>158</v>
      </c>
      <c r="B121" s="4" t="s">
        <v>37</v>
      </c>
      <c r="C121" s="4" t="str">
        <f>FEATURES!L121</f>
        <v>NORMAL</v>
      </c>
      <c r="D121" s="4" t="str">
        <f>FEATURES!R121</f>
        <v>LOW</v>
      </c>
      <c r="E121" s="4" t="str">
        <f>FEATURES!Q121</f>
        <v>HIGHLY_ENGAGED</v>
      </c>
      <c r="F121" s="4" t="str">
        <f>FEATURES!P121</f>
        <v>Medium_Pressure</v>
      </c>
      <c r="G121" s="4" t="str">
        <f>FEATURES!M121</f>
        <v>MEDIUM</v>
      </c>
      <c r="H121" s="4" t="str">
        <f>FEATURES!O121</f>
        <v>STAGNANT</v>
      </c>
      <c r="I121" s="4" t="str">
        <f t="shared" si="0"/>
        <v>LOW RISK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3.2" x14ac:dyDescent="0.25">
      <c r="A122" s="4">
        <v>159</v>
      </c>
      <c r="B122" s="4" t="s">
        <v>45</v>
      </c>
      <c r="C122" s="4" t="str">
        <f>FEATURES!L122</f>
        <v>NORMAL</v>
      </c>
      <c r="D122" s="4" t="str">
        <f>FEATURES!R122</f>
        <v>LOW</v>
      </c>
      <c r="E122" s="4" t="str">
        <f>FEATURES!Q122</f>
        <v>DISENGAGED</v>
      </c>
      <c r="F122" s="4" t="str">
        <f>FEATURES!P122</f>
        <v>Low_Pressure</v>
      </c>
      <c r="G122" s="4" t="str">
        <f>FEATURES!M122</f>
        <v>LOW</v>
      </c>
      <c r="H122" s="4" t="str">
        <f>FEATURES!O122</f>
        <v>RECENTLY PROMOTED</v>
      </c>
      <c r="I122" s="4" t="str">
        <f t="shared" si="0"/>
        <v>LOW RISK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3.2" x14ac:dyDescent="0.25">
      <c r="A123" s="4">
        <v>160</v>
      </c>
      <c r="B123" s="4" t="s">
        <v>37</v>
      </c>
      <c r="C123" s="4" t="str">
        <f>FEATURES!L123</f>
        <v>NORMAL</v>
      </c>
      <c r="D123" s="4" t="str">
        <f>FEATURES!R123</f>
        <v>LOW</v>
      </c>
      <c r="E123" s="4" t="str">
        <f>FEATURES!Q123</f>
        <v>DISENGAGED</v>
      </c>
      <c r="F123" s="4" t="str">
        <f>FEATURES!P123</f>
        <v>Low_Pressure</v>
      </c>
      <c r="G123" s="4" t="str">
        <f>FEATURES!M123</f>
        <v>HIGH</v>
      </c>
      <c r="H123" s="4" t="str">
        <f>FEATURES!O123</f>
        <v>RECENTLY PROMOTED</v>
      </c>
      <c r="I123" s="4" t="str">
        <f t="shared" si="0"/>
        <v>LOW RISK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3.2" x14ac:dyDescent="0.25">
      <c r="A124" s="4">
        <v>161</v>
      </c>
      <c r="B124" s="4" t="s">
        <v>45</v>
      </c>
      <c r="C124" s="4" t="str">
        <f>FEATURES!L124</f>
        <v>HIGH RISK</v>
      </c>
      <c r="D124" s="4" t="str">
        <f>FEATURES!R124</f>
        <v>LOW</v>
      </c>
      <c r="E124" s="4" t="str">
        <f>FEATURES!Q124</f>
        <v>DISENGAGED</v>
      </c>
      <c r="F124" s="4" t="str">
        <f>FEATURES!P124</f>
        <v>Medium_Pressure</v>
      </c>
      <c r="G124" s="4" t="str">
        <f>FEATURES!M124</f>
        <v>HIGH</v>
      </c>
      <c r="H124" s="4" t="str">
        <f>FEATURES!O124</f>
        <v>STAGNANT</v>
      </c>
      <c r="I124" s="4" t="str">
        <f t="shared" si="0"/>
        <v>LOW RISK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3.2" x14ac:dyDescent="0.25">
      <c r="A125" s="4">
        <v>162</v>
      </c>
      <c r="B125" s="4" t="s">
        <v>45</v>
      </c>
      <c r="C125" s="4" t="str">
        <f>FEATURES!L125</f>
        <v>NORMAL</v>
      </c>
      <c r="D125" s="4" t="str">
        <f>FEATURES!R125</f>
        <v>LOW</v>
      </c>
      <c r="E125" s="4" t="str">
        <f>FEATURES!Q125</f>
        <v>HIGHLY_ENGAGED</v>
      </c>
      <c r="F125" s="4" t="str">
        <f>FEATURES!P125</f>
        <v>Medium_Pressure</v>
      </c>
      <c r="G125" s="4" t="str">
        <f>FEATURES!M125</f>
        <v>MEDIUM</v>
      </c>
      <c r="H125" s="4" t="str">
        <f>FEATURES!O125</f>
        <v>STAGNANT</v>
      </c>
      <c r="I125" s="4" t="str">
        <f t="shared" si="0"/>
        <v>LOW RISK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3.2" x14ac:dyDescent="0.25">
      <c r="A126" s="4">
        <v>163</v>
      </c>
      <c r="B126" s="4" t="s">
        <v>37</v>
      </c>
      <c r="C126" s="4" t="str">
        <f>FEATURES!L126</f>
        <v>NORMAL</v>
      </c>
      <c r="D126" s="4" t="str">
        <f>FEATURES!R126</f>
        <v>LOW</v>
      </c>
      <c r="E126" s="4" t="str">
        <f>FEATURES!Q126</f>
        <v>DISENGAGED</v>
      </c>
      <c r="F126" s="4" t="str">
        <f>FEATURES!P126</f>
        <v>High_Pressure</v>
      </c>
      <c r="G126" s="4" t="str">
        <f>FEATURES!M126</f>
        <v>HIGH</v>
      </c>
      <c r="H126" s="4" t="str">
        <f>FEATURES!O126</f>
        <v>STAGNANT</v>
      </c>
      <c r="I126" s="4" t="str">
        <f t="shared" si="0"/>
        <v>LOW RISK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3.2" x14ac:dyDescent="0.25">
      <c r="A127" s="4">
        <v>164</v>
      </c>
      <c r="B127" s="4" t="s">
        <v>45</v>
      </c>
      <c r="C127" s="4" t="str">
        <f>FEATURES!L127</f>
        <v>NORMAL</v>
      </c>
      <c r="D127" s="4" t="str">
        <f>FEATURES!R127</f>
        <v>LOW</v>
      </c>
      <c r="E127" s="4" t="str">
        <f>FEATURES!Q127</f>
        <v>DISENGAGED</v>
      </c>
      <c r="F127" s="4" t="str">
        <f>FEATURES!P127</f>
        <v>Low_Pressure</v>
      </c>
      <c r="G127" s="4" t="str">
        <f>FEATURES!M127</f>
        <v>LOW</v>
      </c>
      <c r="H127" s="4" t="str">
        <f>FEATURES!O127</f>
        <v>STAGNANT</v>
      </c>
      <c r="I127" s="4" t="str">
        <f t="shared" si="0"/>
        <v>LOW RISK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3.2" x14ac:dyDescent="0.25">
      <c r="A128" s="4">
        <v>165</v>
      </c>
      <c r="B128" s="4" t="s">
        <v>45</v>
      </c>
      <c r="C128" s="4" t="str">
        <f>FEATURES!L128</f>
        <v>NORMAL</v>
      </c>
      <c r="D128" s="4" t="str">
        <f>FEATURES!R128</f>
        <v>LOW</v>
      </c>
      <c r="E128" s="4" t="str">
        <f>FEATURES!Q128</f>
        <v>DISENGAGED</v>
      </c>
      <c r="F128" s="4" t="str">
        <f>FEATURES!P128</f>
        <v>Low_Pressure</v>
      </c>
      <c r="G128" s="4" t="str">
        <f>FEATURES!M128</f>
        <v>MEDIUM</v>
      </c>
      <c r="H128" s="4" t="str">
        <f>FEATURES!O128</f>
        <v>STAGNANT</v>
      </c>
      <c r="I128" s="4" t="str">
        <f t="shared" si="0"/>
        <v>LOW RISK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3.2" x14ac:dyDescent="0.25">
      <c r="A129" s="4">
        <v>167</v>
      </c>
      <c r="B129" s="4" t="s">
        <v>37</v>
      </c>
      <c r="C129" s="4" t="str">
        <f>FEATURES!L129</f>
        <v>NORMAL</v>
      </c>
      <c r="D129" s="4" t="str">
        <f>FEATURES!R129</f>
        <v>LOW</v>
      </c>
      <c r="E129" s="4" t="str">
        <f>FEATURES!Q129</f>
        <v>DISENGAGED</v>
      </c>
      <c r="F129" s="4" t="str">
        <f>FEATURES!P129</f>
        <v>High_Pressure</v>
      </c>
      <c r="G129" s="4" t="str">
        <f>FEATURES!M129</f>
        <v>LOW</v>
      </c>
      <c r="H129" s="4" t="str">
        <f>FEATURES!O129</f>
        <v>RECENTLY PROMOTED</v>
      </c>
      <c r="I129" s="4" t="str">
        <f t="shared" si="0"/>
        <v>LOW RISK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3.2" x14ac:dyDescent="0.25">
      <c r="A130" s="4">
        <v>169</v>
      </c>
      <c r="B130" s="4" t="s">
        <v>45</v>
      </c>
      <c r="C130" s="4" t="str">
        <f>FEATURES!L130</f>
        <v>NORMAL</v>
      </c>
      <c r="D130" s="4" t="str">
        <f>FEATURES!R130</f>
        <v>LOW</v>
      </c>
      <c r="E130" s="4" t="str">
        <f>FEATURES!Q130</f>
        <v>HIGHLY_ENGAGED</v>
      </c>
      <c r="F130" s="4" t="str">
        <f>FEATURES!P130</f>
        <v>Medium_Pressure</v>
      </c>
      <c r="G130" s="4" t="str">
        <f>FEATURES!M130</f>
        <v>LOW</v>
      </c>
      <c r="H130" s="4" t="str">
        <f>FEATURES!O130</f>
        <v>MODERATE-WAIT</v>
      </c>
      <c r="I130" s="4" t="str">
        <f t="shared" si="0"/>
        <v>LOW RISK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3.2" x14ac:dyDescent="0.25">
      <c r="A131" s="4">
        <v>170</v>
      </c>
      <c r="B131" s="4" t="s">
        <v>45</v>
      </c>
      <c r="C131" s="4" t="str">
        <f>FEATURES!L131</f>
        <v>NORMAL</v>
      </c>
      <c r="D131" s="4" t="str">
        <f>FEATURES!R131</f>
        <v>LOW</v>
      </c>
      <c r="E131" s="4" t="str">
        <f>FEATURES!Q131</f>
        <v>DISENGAGED</v>
      </c>
      <c r="F131" s="4" t="str">
        <f>FEATURES!P131</f>
        <v>Low_Pressure</v>
      </c>
      <c r="G131" s="4" t="str">
        <f>FEATURES!M131</f>
        <v>HIGH</v>
      </c>
      <c r="H131" s="4" t="str">
        <f>FEATURES!O131</f>
        <v>STAGNANT</v>
      </c>
      <c r="I131" s="4" t="str">
        <f t="shared" si="0"/>
        <v>LOW RISK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3.2" x14ac:dyDescent="0.25">
      <c r="A132" s="4">
        <v>171</v>
      </c>
      <c r="B132" s="4" t="s">
        <v>45</v>
      </c>
      <c r="C132" s="4" t="str">
        <f>FEATURES!L132</f>
        <v>NORMAL</v>
      </c>
      <c r="D132" s="4" t="str">
        <f>FEATURES!R132</f>
        <v>LOW</v>
      </c>
      <c r="E132" s="4" t="str">
        <f>FEATURES!Q132</f>
        <v>HIGHLY_ENGAGED</v>
      </c>
      <c r="F132" s="4" t="str">
        <f>FEATURES!P132</f>
        <v>Medium_Pressure</v>
      </c>
      <c r="G132" s="4" t="str">
        <f>FEATURES!M132</f>
        <v>HIGH</v>
      </c>
      <c r="H132" s="4" t="str">
        <f>FEATURES!O132</f>
        <v>RECENTLY PROMOTED</v>
      </c>
      <c r="I132" s="4" t="str">
        <f t="shared" si="0"/>
        <v>LOW RISK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3.2" x14ac:dyDescent="0.25">
      <c r="A133" s="4">
        <v>174</v>
      </c>
      <c r="B133" s="4" t="s">
        <v>37</v>
      </c>
      <c r="C133" s="4" t="str">
        <f>FEATURES!L133</f>
        <v>NORMAL</v>
      </c>
      <c r="D133" s="4" t="str">
        <f>FEATURES!R133</f>
        <v>LOW</v>
      </c>
      <c r="E133" s="4" t="str">
        <f>FEATURES!Q133</f>
        <v>HIGHLY_ENGAGED</v>
      </c>
      <c r="F133" s="4" t="str">
        <f>FEATURES!P133</f>
        <v>Medium_Pressure</v>
      </c>
      <c r="G133" s="4" t="str">
        <f>FEATURES!M133</f>
        <v>MEDIUM</v>
      </c>
      <c r="H133" s="4" t="str">
        <f>FEATURES!O133</f>
        <v>MODERATE-WAIT</v>
      </c>
      <c r="I133" s="4" t="str">
        <f t="shared" si="0"/>
        <v>LOW RISK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3.2" x14ac:dyDescent="0.25">
      <c r="A134" s="4">
        <v>175</v>
      </c>
      <c r="B134" s="4" t="s">
        <v>37</v>
      </c>
      <c r="C134" s="4" t="str">
        <f>FEATURES!L134</f>
        <v>NORMAL</v>
      </c>
      <c r="D134" s="4" t="str">
        <f>FEATURES!R134</f>
        <v>LOW</v>
      </c>
      <c r="E134" s="4" t="str">
        <f>FEATURES!Q134</f>
        <v>HIGHLY_ENGAGED</v>
      </c>
      <c r="F134" s="4" t="str">
        <f>FEATURES!P134</f>
        <v>Medium_Pressure</v>
      </c>
      <c r="G134" s="4" t="str">
        <f>FEATURES!M134</f>
        <v>HIGH</v>
      </c>
      <c r="H134" s="4" t="str">
        <f>FEATURES!O134</f>
        <v>MODERATE-WAIT</v>
      </c>
      <c r="I134" s="4" t="str">
        <f t="shared" si="0"/>
        <v>LOW RISK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3.2" x14ac:dyDescent="0.25">
      <c r="A135" s="4">
        <v>176</v>
      </c>
      <c r="B135" s="4" t="s">
        <v>37</v>
      </c>
      <c r="C135" s="4" t="str">
        <f>FEATURES!L135</f>
        <v>NORMAL</v>
      </c>
      <c r="D135" s="4" t="str">
        <f>FEATURES!R135</f>
        <v>LOW</v>
      </c>
      <c r="E135" s="4" t="str">
        <f>FEATURES!Q135</f>
        <v>HIGHLY_ENGAGED</v>
      </c>
      <c r="F135" s="4" t="str">
        <f>FEATURES!P135</f>
        <v>Medium_Pressure</v>
      </c>
      <c r="G135" s="4" t="str">
        <f>FEATURES!M135</f>
        <v>HIGH</v>
      </c>
      <c r="H135" s="4" t="str">
        <f>FEATURES!O135</f>
        <v>RECENTLY PROMOTED</v>
      </c>
      <c r="I135" s="4" t="str">
        <f t="shared" si="0"/>
        <v>LOW RISK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3.2" x14ac:dyDescent="0.25">
      <c r="A136" s="4">
        <v>177</v>
      </c>
      <c r="B136" s="4" t="s">
        <v>61</v>
      </c>
      <c r="C136" s="4" t="str">
        <f>FEATURES!L136</f>
        <v>NORMAL</v>
      </c>
      <c r="D136" s="4" t="str">
        <f>FEATURES!R136</f>
        <v>LOW</v>
      </c>
      <c r="E136" s="4" t="str">
        <f>FEATURES!Q136</f>
        <v>HIGHLY_ENGAGED</v>
      </c>
      <c r="F136" s="4" t="str">
        <f>FEATURES!P136</f>
        <v>Medium_Pressure</v>
      </c>
      <c r="G136" s="4" t="str">
        <f>FEATURES!M136</f>
        <v>LOW</v>
      </c>
      <c r="H136" s="4" t="str">
        <f>FEATURES!O136</f>
        <v>STAGNANT</v>
      </c>
      <c r="I136" s="4" t="str">
        <f t="shared" si="0"/>
        <v>LOW RISK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3.2" x14ac:dyDescent="0.25">
      <c r="A137" s="4">
        <v>178</v>
      </c>
      <c r="B137" s="4" t="s">
        <v>45</v>
      </c>
      <c r="C137" s="4" t="str">
        <f>FEATURES!L137</f>
        <v>NORMAL</v>
      </c>
      <c r="D137" s="4" t="str">
        <f>FEATURES!R137</f>
        <v>LOW</v>
      </c>
      <c r="E137" s="4" t="str">
        <f>FEATURES!Q137</f>
        <v>DISENGAGED</v>
      </c>
      <c r="F137" s="4" t="str">
        <f>FEATURES!P137</f>
        <v>Medium_Pressure</v>
      </c>
      <c r="G137" s="4" t="str">
        <f>FEATURES!M137</f>
        <v>HIGH</v>
      </c>
      <c r="H137" s="4" t="str">
        <f>FEATURES!O137</f>
        <v>RECENTLY PROMOTED</v>
      </c>
      <c r="I137" s="4" t="str">
        <f t="shared" si="0"/>
        <v>LOW RISK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3.2" x14ac:dyDescent="0.25">
      <c r="A138" s="4">
        <v>179</v>
      </c>
      <c r="B138" s="4" t="s">
        <v>45</v>
      </c>
      <c r="C138" s="4" t="str">
        <f>FEATURES!L138</f>
        <v>NORMAL</v>
      </c>
      <c r="D138" s="4" t="str">
        <f>FEATURES!R138</f>
        <v>LOW</v>
      </c>
      <c r="E138" s="4" t="str">
        <f>FEATURES!Q138</f>
        <v>HIGHLY_ENGAGED</v>
      </c>
      <c r="F138" s="4" t="str">
        <f>FEATURES!P138</f>
        <v>Medium_Pressure</v>
      </c>
      <c r="G138" s="4" t="str">
        <f>FEATURES!M138</f>
        <v>MEDIUM</v>
      </c>
      <c r="H138" s="4" t="str">
        <f>FEATURES!O138</f>
        <v>RECENTLY PROMOTED</v>
      </c>
      <c r="I138" s="4" t="str">
        <f t="shared" si="0"/>
        <v>LOW RISK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3.2" x14ac:dyDescent="0.25">
      <c r="A139" s="4">
        <v>182</v>
      </c>
      <c r="B139" s="4" t="s">
        <v>37</v>
      </c>
      <c r="C139" s="4" t="str">
        <f>FEATURES!L139</f>
        <v>NORMAL</v>
      </c>
      <c r="D139" s="4" t="str">
        <f>FEATURES!R139</f>
        <v>LOW</v>
      </c>
      <c r="E139" s="4" t="str">
        <f>FEATURES!Q139</f>
        <v>HIGHLY_ENGAGED</v>
      </c>
      <c r="F139" s="4" t="str">
        <f>FEATURES!P139</f>
        <v>Low_Pressure</v>
      </c>
      <c r="G139" s="4" t="str">
        <f>FEATURES!M139</f>
        <v>HIGH</v>
      </c>
      <c r="H139" s="4" t="str">
        <f>FEATURES!O139</f>
        <v>STAGNANT</v>
      </c>
      <c r="I139" s="4" t="str">
        <f t="shared" si="0"/>
        <v>LOW RISK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3.2" x14ac:dyDescent="0.25">
      <c r="A140" s="4">
        <v>183</v>
      </c>
      <c r="B140" s="4" t="s">
        <v>37</v>
      </c>
      <c r="C140" s="4" t="str">
        <f>FEATURES!L140</f>
        <v>NORMAL</v>
      </c>
      <c r="D140" s="4" t="str">
        <f>FEATURES!R140</f>
        <v>LOW</v>
      </c>
      <c r="E140" s="4" t="str">
        <f>FEATURES!Q140</f>
        <v>HIGHLY_ENGAGED</v>
      </c>
      <c r="F140" s="4" t="str">
        <f>FEATURES!P140</f>
        <v>Medium_Pressure</v>
      </c>
      <c r="G140" s="4" t="str">
        <f>FEATURES!M140</f>
        <v>HIGH</v>
      </c>
      <c r="H140" s="4" t="str">
        <f>FEATURES!O140</f>
        <v>MODERATE-WAIT</v>
      </c>
      <c r="I140" s="4" t="str">
        <f t="shared" si="0"/>
        <v>LOW RISK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3.2" x14ac:dyDescent="0.25">
      <c r="A141" s="4">
        <v>184</v>
      </c>
      <c r="B141" s="4" t="s">
        <v>61</v>
      </c>
      <c r="C141" s="4" t="str">
        <f>FEATURES!L141</f>
        <v>NORMAL</v>
      </c>
      <c r="D141" s="4" t="str">
        <f>FEATURES!R141</f>
        <v>LOW</v>
      </c>
      <c r="E141" s="4" t="str">
        <f>FEATURES!Q141</f>
        <v>DISENGAGED</v>
      </c>
      <c r="F141" s="4" t="str">
        <f>FEATURES!P141</f>
        <v>High_Pressure</v>
      </c>
      <c r="G141" s="4" t="str">
        <f>FEATURES!M141</f>
        <v>HIGH</v>
      </c>
      <c r="H141" s="4" t="str">
        <f>FEATURES!O141</f>
        <v>STAGNANT</v>
      </c>
      <c r="I141" s="4" t="str">
        <f t="shared" si="0"/>
        <v>LOW RISK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3.2" x14ac:dyDescent="0.25">
      <c r="A142" s="4">
        <v>190</v>
      </c>
      <c r="B142" s="4" t="s">
        <v>45</v>
      </c>
      <c r="C142" s="4" t="str">
        <f>FEATURES!L142</f>
        <v>NORMAL</v>
      </c>
      <c r="D142" s="4" t="str">
        <f>FEATURES!R142</f>
        <v>LOW</v>
      </c>
      <c r="E142" s="4" t="str">
        <f>FEATURES!Q142</f>
        <v>DISENGAGED</v>
      </c>
      <c r="F142" s="4" t="str">
        <f>FEATURES!P142</f>
        <v>Low_Pressure</v>
      </c>
      <c r="G142" s="4" t="str">
        <f>FEATURES!M142</f>
        <v>HIGH</v>
      </c>
      <c r="H142" s="4" t="str">
        <f>FEATURES!O142</f>
        <v>RECENTLY PROMOTED</v>
      </c>
      <c r="I142" s="4" t="str">
        <f t="shared" si="0"/>
        <v>LOW RISK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3.2" x14ac:dyDescent="0.25">
      <c r="A143" s="4">
        <v>192</v>
      </c>
      <c r="B143" s="4" t="s">
        <v>45</v>
      </c>
      <c r="C143" s="4" t="str">
        <f>FEATURES!L143</f>
        <v>NORMAL</v>
      </c>
      <c r="D143" s="4" t="str">
        <f>FEATURES!R143</f>
        <v>LOW</v>
      </c>
      <c r="E143" s="4" t="str">
        <f>FEATURES!Q143</f>
        <v>DISENGAGED</v>
      </c>
      <c r="F143" s="4" t="str">
        <f>FEATURES!P143</f>
        <v>Low_Pressure</v>
      </c>
      <c r="G143" s="4" t="str">
        <f>FEATURES!M143</f>
        <v>LOW</v>
      </c>
      <c r="H143" s="4" t="str">
        <f>FEATURES!O143</f>
        <v>RECENTLY PROMOTED</v>
      </c>
      <c r="I143" s="4" t="str">
        <f t="shared" si="0"/>
        <v>LOW RISK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3.2" x14ac:dyDescent="0.25">
      <c r="A144" s="4">
        <v>193</v>
      </c>
      <c r="B144" s="4" t="s">
        <v>45</v>
      </c>
      <c r="C144" s="4" t="str">
        <f>FEATURES!L144</f>
        <v>NORMAL</v>
      </c>
      <c r="D144" s="4" t="str">
        <f>FEATURES!R144</f>
        <v>LOW</v>
      </c>
      <c r="E144" s="4" t="str">
        <f>FEATURES!Q144</f>
        <v>HIGHLY_ENGAGED</v>
      </c>
      <c r="F144" s="4" t="str">
        <f>FEATURES!P144</f>
        <v>Medium_Pressure</v>
      </c>
      <c r="G144" s="4" t="str">
        <f>FEATURES!M144</f>
        <v>HIGH</v>
      </c>
      <c r="H144" s="4" t="str">
        <f>FEATURES!O144</f>
        <v>MODERATE-WAIT</v>
      </c>
      <c r="I144" s="4" t="str">
        <f t="shared" si="0"/>
        <v>LOW RISK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3.2" x14ac:dyDescent="0.25">
      <c r="A145" s="4">
        <v>194</v>
      </c>
      <c r="B145" s="4" t="s">
        <v>45</v>
      </c>
      <c r="C145" s="4" t="str">
        <f>FEATURES!L145</f>
        <v>NORMAL</v>
      </c>
      <c r="D145" s="4" t="str">
        <f>FEATURES!R145</f>
        <v>LOW</v>
      </c>
      <c r="E145" s="4" t="str">
        <f>FEATURES!Q145</f>
        <v>DISENGAGED</v>
      </c>
      <c r="F145" s="4" t="str">
        <f>FEATURES!P145</f>
        <v>Low_Pressure</v>
      </c>
      <c r="G145" s="4" t="str">
        <f>FEATURES!M145</f>
        <v>LOW</v>
      </c>
      <c r="H145" s="4" t="str">
        <f>FEATURES!O145</f>
        <v>RECENTLY PROMOTED</v>
      </c>
      <c r="I145" s="4" t="str">
        <f t="shared" si="0"/>
        <v>LOW RISK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3.2" x14ac:dyDescent="0.25">
      <c r="A146" s="4">
        <v>195</v>
      </c>
      <c r="B146" s="4" t="s">
        <v>37</v>
      </c>
      <c r="C146" s="4" t="str">
        <f>FEATURES!L146</f>
        <v>NORMAL</v>
      </c>
      <c r="D146" s="4" t="str">
        <f>FEATURES!R146</f>
        <v>LOW</v>
      </c>
      <c r="E146" s="4" t="str">
        <f>FEATURES!Q146</f>
        <v>HIGHLY_ENGAGED</v>
      </c>
      <c r="F146" s="4" t="str">
        <f>FEATURES!P146</f>
        <v>Low_Pressure</v>
      </c>
      <c r="G146" s="4" t="str">
        <f>FEATURES!M146</f>
        <v>HIGH</v>
      </c>
      <c r="H146" s="4" t="str">
        <f>FEATURES!O146</f>
        <v>RECENTLY PROMOTED</v>
      </c>
      <c r="I146" s="4" t="str">
        <f t="shared" si="0"/>
        <v>LOW RISK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3.2" x14ac:dyDescent="0.25">
      <c r="A147" s="4">
        <v>197</v>
      </c>
      <c r="B147" s="4" t="s">
        <v>45</v>
      </c>
      <c r="C147" s="4" t="str">
        <f>FEATURES!L147</f>
        <v>NORMAL</v>
      </c>
      <c r="D147" s="4" t="str">
        <f>FEATURES!R147</f>
        <v>LOW</v>
      </c>
      <c r="E147" s="4" t="str">
        <f>FEATURES!Q147</f>
        <v>DISENGAGED</v>
      </c>
      <c r="F147" s="4" t="str">
        <f>FEATURES!P147</f>
        <v>Medium_Pressure</v>
      </c>
      <c r="G147" s="4" t="str">
        <f>FEATURES!M147</f>
        <v>LOW</v>
      </c>
      <c r="H147" s="4" t="str">
        <f>FEATURES!O147</f>
        <v>MODERATE-WAIT</v>
      </c>
      <c r="I147" s="4" t="str">
        <f t="shared" si="0"/>
        <v>LOW RISK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3.2" x14ac:dyDescent="0.25">
      <c r="A148" s="4">
        <v>198</v>
      </c>
      <c r="B148" s="4" t="s">
        <v>45</v>
      </c>
      <c r="C148" s="4" t="str">
        <f>FEATURES!L148</f>
        <v>NORMAL</v>
      </c>
      <c r="D148" s="4" t="str">
        <f>FEATURES!R148</f>
        <v>LOW</v>
      </c>
      <c r="E148" s="4" t="str">
        <f>FEATURES!Q148</f>
        <v>HIGHLY_ENGAGED</v>
      </c>
      <c r="F148" s="4" t="str">
        <f>FEATURES!P148</f>
        <v>Medium_Pressure</v>
      </c>
      <c r="G148" s="4" t="str">
        <f>FEATURES!M148</f>
        <v>LOW</v>
      </c>
      <c r="H148" s="4" t="str">
        <f>FEATURES!O148</f>
        <v>RECENTLY PROMOTED</v>
      </c>
      <c r="I148" s="4" t="str">
        <f t="shared" si="0"/>
        <v>LOW RISK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3.2" x14ac:dyDescent="0.25">
      <c r="A149" s="4">
        <v>199</v>
      </c>
      <c r="B149" s="4" t="s">
        <v>45</v>
      </c>
      <c r="C149" s="4" t="str">
        <f>FEATURES!L149</f>
        <v>NORMAL</v>
      </c>
      <c r="D149" s="4" t="str">
        <f>FEATURES!R149</f>
        <v>LOW</v>
      </c>
      <c r="E149" s="4" t="str">
        <f>FEATURES!Q149</f>
        <v>DISENGAGED</v>
      </c>
      <c r="F149" s="4" t="str">
        <f>FEATURES!P149</f>
        <v>Low_Pressure</v>
      </c>
      <c r="G149" s="4" t="str">
        <f>FEATURES!M149</f>
        <v>MEDIUM</v>
      </c>
      <c r="H149" s="4" t="str">
        <f>FEATURES!O149</f>
        <v>STAGNANT</v>
      </c>
      <c r="I149" s="4" t="str">
        <f t="shared" si="0"/>
        <v>LOW RISK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3.2" x14ac:dyDescent="0.25">
      <c r="A150" s="4">
        <v>200</v>
      </c>
      <c r="B150" s="4" t="s">
        <v>45</v>
      </c>
      <c r="C150" s="4" t="str">
        <f>FEATURES!L150</f>
        <v>NORMAL</v>
      </c>
      <c r="D150" s="4" t="str">
        <f>FEATURES!R150</f>
        <v>LOW</v>
      </c>
      <c r="E150" s="4" t="str">
        <f>FEATURES!Q150</f>
        <v>DISENGAGED</v>
      </c>
      <c r="F150" s="4" t="str">
        <f>FEATURES!P150</f>
        <v>Medium_Pressure</v>
      </c>
      <c r="G150" s="4" t="str">
        <f>FEATURES!M150</f>
        <v>LOW</v>
      </c>
      <c r="H150" s="4" t="str">
        <f>FEATURES!O150</f>
        <v>RECENTLY PROMOTED</v>
      </c>
      <c r="I150" s="4" t="str">
        <f t="shared" si="0"/>
        <v>LOW RISK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3.2" x14ac:dyDescent="0.25">
      <c r="A151" s="4">
        <v>201</v>
      </c>
      <c r="B151" s="4" t="s">
        <v>45</v>
      </c>
      <c r="C151" s="4" t="str">
        <f>FEATURES!L151</f>
        <v>NORMAL</v>
      </c>
      <c r="D151" s="4" t="str">
        <f>FEATURES!R151</f>
        <v>LOW</v>
      </c>
      <c r="E151" s="4" t="str">
        <f>FEATURES!Q151</f>
        <v>DISENGAGED</v>
      </c>
      <c r="F151" s="4" t="str">
        <f>FEATURES!P151</f>
        <v>Medium_Pressure</v>
      </c>
      <c r="G151" s="4" t="str">
        <f>FEATURES!M151</f>
        <v>LOW</v>
      </c>
      <c r="H151" s="4" t="str">
        <f>FEATURES!O151</f>
        <v>RECENTLY PROMOTED</v>
      </c>
      <c r="I151" s="4" t="str">
        <f t="shared" si="0"/>
        <v>LOW RISK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3.2" x14ac:dyDescent="0.25">
      <c r="A152" s="4">
        <v>202</v>
      </c>
      <c r="B152" s="4" t="s">
        <v>45</v>
      </c>
      <c r="C152" s="4" t="str">
        <f>FEATURES!L152</f>
        <v>NORMAL</v>
      </c>
      <c r="D152" s="4" t="str">
        <f>FEATURES!R152</f>
        <v>LOW</v>
      </c>
      <c r="E152" s="4" t="str">
        <f>FEATURES!Q152</f>
        <v>DISENGAGED</v>
      </c>
      <c r="F152" s="4" t="str">
        <f>FEATURES!P152</f>
        <v>Medium_Pressure</v>
      </c>
      <c r="G152" s="4" t="str">
        <f>FEATURES!M152</f>
        <v>HIGH</v>
      </c>
      <c r="H152" s="4" t="str">
        <f>FEATURES!O152</f>
        <v>MODERATE-WAIT</v>
      </c>
      <c r="I152" s="4" t="str">
        <f t="shared" si="0"/>
        <v>LOW RISK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3.2" x14ac:dyDescent="0.25">
      <c r="A153" s="4">
        <v>204</v>
      </c>
      <c r="B153" s="4" t="s">
        <v>37</v>
      </c>
      <c r="C153" s="4" t="str">
        <f>FEATURES!L153</f>
        <v>NORMAL</v>
      </c>
      <c r="D153" s="4" t="str">
        <f>FEATURES!R153</f>
        <v>LOW</v>
      </c>
      <c r="E153" s="4" t="str">
        <f>FEATURES!Q153</f>
        <v>DISENGAGED</v>
      </c>
      <c r="F153" s="4" t="str">
        <f>FEATURES!P153</f>
        <v>Medium_Pressure</v>
      </c>
      <c r="G153" s="4" t="str">
        <f>FEATURES!M153</f>
        <v>HIGH</v>
      </c>
      <c r="H153" s="4" t="str">
        <f>FEATURES!O153</f>
        <v>RECENTLY PROMOTED</v>
      </c>
      <c r="I153" s="4" t="str">
        <f t="shared" si="0"/>
        <v>LOW RISK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3.2" x14ac:dyDescent="0.25">
      <c r="A154" s="4">
        <v>205</v>
      </c>
      <c r="B154" s="4" t="s">
        <v>37</v>
      </c>
      <c r="C154" s="4" t="str">
        <f>FEATURES!L154</f>
        <v>NORMAL</v>
      </c>
      <c r="D154" s="4" t="str">
        <f>FEATURES!R154</f>
        <v>LOW</v>
      </c>
      <c r="E154" s="4" t="str">
        <f>FEATURES!Q154</f>
        <v>DISENGAGED</v>
      </c>
      <c r="F154" s="4" t="str">
        <f>FEATURES!P154</f>
        <v>High_Pressure</v>
      </c>
      <c r="G154" s="4" t="str">
        <f>FEATURES!M154</f>
        <v>LOW</v>
      </c>
      <c r="H154" s="4" t="str">
        <f>FEATURES!O154</f>
        <v>STAGNANT</v>
      </c>
      <c r="I154" s="4" t="str">
        <f t="shared" si="0"/>
        <v>LOW RISK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3.2" x14ac:dyDescent="0.25">
      <c r="A155" s="4">
        <v>206</v>
      </c>
      <c r="B155" s="4" t="s">
        <v>45</v>
      </c>
      <c r="C155" s="4" t="str">
        <f>FEATURES!L155</f>
        <v>NORMAL</v>
      </c>
      <c r="D155" s="4" t="str">
        <f>FEATURES!R155</f>
        <v>LOW</v>
      </c>
      <c r="E155" s="4" t="str">
        <f>FEATURES!Q155</f>
        <v>DISENGAGED</v>
      </c>
      <c r="F155" s="4" t="str">
        <f>FEATURES!P155</f>
        <v>Low_Pressure</v>
      </c>
      <c r="G155" s="4" t="str">
        <f>FEATURES!M155</f>
        <v>LOW</v>
      </c>
      <c r="H155" s="4" t="str">
        <f>FEATURES!O155</f>
        <v>RECENTLY PROMOTED</v>
      </c>
      <c r="I155" s="4" t="str">
        <f t="shared" si="0"/>
        <v>LOW RISK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3.2" x14ac:dyDescent="0.25">
      <c r="A156" s="4">
        <v>207</v>
      </c>
      <c r="B156" s="4" t="s">
        <v>37</v>
      </c>
      <c r="C156" s="4" t="str">
        <f>FEATURES!L156</f>
        <v>NORMAL</v>
      </c>
      <c r="D156" s="4" t="str">
        <f>FEATURES!R156</f>
        <v>LOW</v>
      </c>
      <c r="E156" s="4" t="str">
        <f>FEATURES!Q156</f>
        <v>HIGHLY_ENGAGED</v>
      </c>
      <c r="F156" s="4" t="str">
        <f>FEATURES!P156</f>
        <v>Medium_Pressure</v>
      </c>
      <c r="G156" s="4" t="str">
        <f>FEATURES!M156</f>
        <v>HIGH</v>
      </c>
      <c r="H156" s="4" t="str">
        <f>FEATURES!O156</f>
        <v>MODERATE-WAIT</v>
      </c>
      <c r="I156" s="4" t="str">
        <f t="shared" si="0"/>
        <v>LOW RISK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3.2" x14ac:dyDescent="0.25">
      <c r="A157" s="4">
        <v>208</v>
      </c>
      <c r="B157" s="4" t="s">
        <v>45</v>
      </c>
      <c r="C157" s="4" t="str">
        <f>FEATURES!L157</f>
        <v>NORMAL</v>
      </c>
      <c r="D157" s="4" t="str">
        <f>FEATURES!R157</f>
        <v>LOW</v>
      </c>
      <c r="E157" s="4" t="str">
        <f>FEATURES!Q157</f>
        <v>HIGHLY_ENGAGED</v>
      </c>
      <c r="F157" s="4" t="str">
        <f>FEATURES!P157</f>
        <v>Medium_Pressure</v>
      </c>
      <c r="G157" s="4" t="str">
        <f>FEATURES!M157</f>
        <v>HIGH</v>
      </c>
      <c r="H157" s="4" t="str">
        <f>FEATURES!O157</f>
        <v>RECENTLY PROMOTED</v>
      </c>
      <c r="I157" s="4" t="str">
        <f t="shared" si="0"/>
        <v>LOW RISK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3.2" x14ac:dyDescent="0.25">
      <c r="A158" s="4">
        <v>211</v>
      </c>
      <c r="B158" s="4" t="s">
        <v>45</v>
      </c>
      <c r="C158" s="4" t="str">
        <f>FEATURES!L158</f>
        <v>NORMAL</v>
      </c>
      <c r="D158" s="4" t="str">
        <f>FEATURES!R158</f>
        <v>LOW</v>
      </c>
      <c r="E158" s="4" t="str">
        <f>FEATURES!Q158</f>
        <v>HIGHLY_ENGAGED</v>
      </c>
      <c r="F158" s="4" t="str">
        <f>FEATURES!P158</f>
        <v>Medium_Pressure</v>
      </c>
      <c r="G158" s="4" t="str">
        <f>FEATURES!M158</f>
        <v>HIGH</v>
      </c>
      <c r="H158" s="4" t="str">
        <f>FEATURES!O158</f>
        <v>RECENTLY PROMOTED</v>
      </c>
      <c r="I158" s="4" t="str">
        <f t="shared" si="0"/>
        <v>LOW RISK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3.2" x14ac:dyDescent="0.25">
      <c r="A159" s="4">
        <v>214</v>
      </c>
      <c r="B159" s="4" t="s">
        <v>45</v>
      </c>
      <c r="C159" s="4" t="str">
        <f>FEATURES!L159</f>
        <v>NORMAL</v>
      </c>
      <c r="D159" s="4" t="str">
        <f>FEATURES!R159</f>
        <v>LOW</v>
      </c>
      <c r="E159" s="4" t="str">
        <f>FEATURES!Q159</f>
        <v>DISENGAGED</v>
      </c>
      <c r="F159" s="4" t="str">
        <f>FEATURES!P159</f>
        <v>High_Pressure</v>
      </c>
      <c r="G159" s="4" t="str">
        <f>FEATURES!M159</f>
        <v>LOW</v>
      </c>
      <c r="H159" s="4" t="str">
        <f>FEATURES!O159</f>
        <v>RECENTLY PROMOTED</v>
      </c>
      <c r="I159" s="4" t="str">
        <f t="shared" si="0"/>
        <v>LOW RISK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3.2" x14ac:dyDescent="0.25">
      <c r="A160" s="4">
        <v>215</v>
      </c>
      <c r="B160" s="4" t="s">
        <v>37</v>
      </c>
      <c r="C160" s="4" t="str">
        <f>FEATURES!L160</f>
        <v>NORMAL</v>
      </c>
      <c r="D160" s="4" t="str">
        <f>FEATURES!R160</f>
        <v>LOW</v>
      </c>
      <c r="E160" s="4" t="str">
        <f>FEATURES!Q160</f>
        <v>DISENGAGED</v>
      </c>
      <c r="F160" s="4" t="str">
        <f>FEATURES!P160</f>
        <v>Low_Pressure</v>
      </c>
      <c r="G160" s="4" t="str">
        <f>FEATURES!M160</f>
        <v>MEDIUM</v>
      </c>
      <c r="H160" s="4" t="str">
        <f>FEATURES!O160</f>
        <v>MODERATE-WAIT</v>
      </c>
      <c r="I160" s="4" t="str">
        <f t="shared" si="0"/>
        <v>LOW RISK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3.2" x14ac:dyDescent="0.25">
      <c r="A161" s="4">
        <v>216</v>
      </c>
      <c r="B161" s="4" t="s">
        <v>37</v>
      </c>
      <c r="C161" s="4" t="str">
        <f>FEATURES!L161</f>
        <v>NORMAL</v>
      </c>
      <c r="D161" s="4" t="str">
        <f>FEATURES!R161</f>
        <v>LOW</v>
      </c>
      <c r="E161" s="4" t="str">
        <f>FEATURES!Q161</f>
        <v>HIGHLY_ENGAGED</v>
      </c>
      <c r="F161" s="4" t="str">
        <f>FEATURES!P161</f>
        <v>Medium_Pressure</v>
      </c>
      <c r="G161" s="4" t="str">
        <f>FEATURES!M161</f>
        <v>LOW</v>
      </c>
      <c r="H161" s="4" t="str">
        <f>FEATURES!O161</f>
        <v>RECENTLY PROMOTED</v>
      </c>
      <c r="I161" s="4" t="str">
        <f t="shared" si="0"/>
        <v>LOW RISK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3.2" x14ac:dyDescent="0.25">
      <c r="A162" s="4">
        <v>217</v>
      </c>
      <c r="B162" s="4" t="s">
        <v>45</v>
      </c>
      <c r="C162" s="4" t="str">
        <f>FEATURES!L162</f>
        <v>NORMAL</v>
      </c>
      <c r="D162" s="4" t="str">
        <f>FEATURES!R162</f>
        <v>LOW</v>
      </c>
      <c r="E162" s="4" t="str">
        <f>FEATURES!Q162</f>
        <v>HIGHLY_ENGAGED</v>
      </c>
      <c r="F162" s="4" t="str">
        <f>FEATURES!P162</f>
        <v>Medium_Pressure</v>
      </c>
      <c r="G162" s="4" t="str">
        <f>FEATURES!M162</f>
        <v>LOW</v>
      </c>
      <c r="H162" s="4" t="str">
        <f>FEATURES!O162</f>
        <v>MODERATE-WAIT</v>
      </c>
      <c r="I162" s="4" t="str">
        <f t="shared" si="0"/>
        <v>LOW RISK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3.2" x14ac:dyDescent="0.25">
      <c r="A163" s="4">
        <v>218</v>
      </c>
      <c r="B163" s="4" t="s">
        <v>45</v>
      </c>
      <c r="C163" s="4" t="str">
        <f>FEATURES!L163</f>
        <v>NORMAL</v>
      </c>
      <c r="D163" s="4" t="str">
        <f>FEATURES!R163</f>
        <v>LOW</v>
      </c>
      <c r="E163" s="4" t="str">
        <f>FEATURES!Q163</f>
        <v>DISENGAGED</v>
      </c>
      <c r="F163" s="4" t="str">
        <f>FEATURES!P163</f>
        <v>Low_Pressure</v>
      </c>
      <c r="G163" s="4" t="str">
        <f>FEATURES!M163</f>
        <v>LOW</v>
      </c>
      <c r="H163" s="4" t="str">
        <f>FEATURES!O163</f>
        <v>MODERATE-WAIT</v>
      </c>
      <c r="I163" s="4" t="str">
        <f t="shared" si="0"/>
        <v>LOW RISK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3.2" x14ac:dyDescent="0.25">
      <c r="A164" s="4">
        <v>221</v>
      </c>
      <c r="B164" s="4" t="s">
        <v>45</v>
      </c>
      <c r="C164" s="4" t="str">
        <f>FEATURES!L164</f>
        <v>NORMAL</v>
      </c>
      <c r="D164" s="4" t="str">
        <f>FEATURES!R164</f>
        <v>LOW</v>
      </c>
      <c r="E164" s="4" t="str">
        <f>FEATURES!Q164</f>
        <v>DISENGAGED</v>
      </c>
      <c r="F164" s="4" t="str">
        <f>FEATURES!P164</f>
        <v>Low_Pressure</v>
      </c>
      <c r="G164" s="4" t="str">
        <f>FEATURES!M164</f>
        <v>LOW</v>
      </c>
      <c r="H164" s="4" t="str">
        <f>FEATURES!O164</f>
        <v>RECENTLY PROMOTED</v>
      </c>
      <c r="I164" s="4" t="str">
        <f t="shared" si="0"/>
        <v>LOW RISK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3.2" x14ac:dyDescent="0.25">
      <c r="A165" s="4">
        <v>223</v>
      </c>
      <c r="B165" s="4" t="s">
        <v>45</v>
      </c>
      <c r="C165" s="4" t="str">
        <f>FEATURES!L165</f>
        <v>NORMAL</v>
      </c>
      <c r="D165" s="4" t="str">
        <f>FEATURES!R165</f>
        <v>LOW</v>
      </c>
      <c r="E165" s="4" t="str">
        <f>FEATURES!Q165</f>
        <v>DISENGAGED</v>
      </c>
      <c r="F165" s="4" t="str">
        <f>FEATURES!P165</f>
        <v>High_Pressure</v>
      </c>
      <c r="G165" s="4" t="str">
        <f>FEATURES!M165</f>
        <v>MEDIUM</v>
      </c>
      <c r="H165" s="4" t="str">
        <f>FEATURES!O165</f>
        <v>RECENTLY PROMOTED</v>
      </c>
      <c r="I165" s="4" t="str">
        <f t="shared" si="0"/>
        <v>LOW RISK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3.2" x14ac:dyDescent="0.25">
      <c r="A166" s="4">
        <v>224</v>
      </c>
      <c r="B166" s="4" t="s">
        <v>45</v>
      </c>
      <c r="C166" s="4" t="str">
        <f>FEATURES!L166</f>
        <v>NORMAL</v>
      </c>
      <c r="D166" s="4" t="str">
        <f>FEATURES!R166</f>
        <v>LOW</v>
      </c>
      <c r="E166" s="4" t="str">
        <f>FEATURES!Q166</f>
        <v>DISENGAGED</v>
      </c>
      <c r="F166" s="4" t="str">
        <f>FEATURES!P166</f>
        <v>High_Pressure</v>
      </c>
      <c r="G166" s="4" t="str">
        <f>FEATURES!M166</f>
        <v>LOW</v>
      </c>
      <c r="H166" s="4" t="str">
        <f>FEATURES!O166</f>
        <v>RECENTLY PROMOTED</v>
      </c>
      <c r="I166" s="4" t="str">
        <f t="shared" si="0"/>
        <v>LOW RISK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3.2" x14ac:dyDescent="0.25">
      <c r="A167" s="4">
        <v>226</v>
      </c>
      <c r="B167" s="4" t="s">
        <v>45</v>
      </c>
      <c r="C167" s="4" t="str">
        <f>FEATURES!L167</f>
        <v>NORMAL</v>
      </c>
      <c r="D167" s="4" t="str">
        <f>FEATURES!R167</f>
        <v>LOW</v>
      </c>
      <c r="E167" s="4" t="str">
        <f>FEATURES!Q167</f>
        <v>DISENGAGED</v>
      </c>
      <c r="F167" s="4" t="str">
        <f>FEATURES!P167</f>
        <v>Medium_Pressure</v>
      </c>
      <c r="G167" s="4" t="str">
        <f>FEATURES!M167</f>
        <v>MEDIUM</v>
      </c>
      <c r="H167" s="4" t="str">
        <f>FEATURES!O167</f>
        <v>STAGNANT</v>
      </c>
      <c r="I167" s="4" t="str">
        <f t="shared" si="0"/>
        <v>LOW RISK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3.2" x14ac:dyDescent="0.25">
      <c r="A168" s="4">
        <v>227</v>
      </c>
      <c r="B168" s="4" t="s">
        <v>45</v>
      </c>
      <c r="C168" s="4" t="str">
        <f>FEATURES!L168</f>
        <v>NORMAL</v>
      </c>
      <c r="D168" s="4" t="str">
        <f>FEATURES!R168</f>
        <v>LOW</v>
      </c>
      <c r="E168" s="4" t="str">
        <f>FEATURES!Q168</f>
        <v>HIGHLY_ENGAGED</v>
      </c>
      <c r="F168" s="4" t="str">
        <f>FEATURES!P168</f>
        <v>Medium_Pressure</v>
      </c>
      <c r="G168" s="4" t="str">
        <f>FEATURES!M168</f>
        <v>LOW</v>
      </c>
      <c r="H168" s="4" t="str">
        <f>FEATURES!O168</f>
        <v>RECENTLY PROMOTED</v>
      </c>
      <c r="I168" s="4" t="str">
        <f t="shared" si="0"/>
        <v>LOW RISK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3.2" x14ac:dyDescent="0.25">
      <c r="A169" s="4">
        <v>228</v>
      </c>
      <c r="B169" s="4" t="s">
        <v>37</v>
      </c>
      <c r="C169" s="4" t="str">
        <f>FEATURES!L169</f>
        <v>NORMAL</v>
      </c>
      <c r="D169" s="4" t="str">
        <f>FEATURES!R169</f>
        <v>LOW</v>
      </c>
      <c r="E169" s="4" t="str">
        <f>FEATURES!Q169</f>
        <v>HIGHLY_ENGAGED</v>
      </c>
      <c r="F169" s="4" t="str">
        <f>FEATURES!P169</f>
        <v>Medium_Pressure</v>
      </c>
      <c r="G169" s="4" t="str">
        <f>FEATURES!M169</f>
        <v>MEDIUM</v>
      </c>
      <c r="H169" s="4" t="str">
        <f>FEATURES!O169</f>
        <v>STAGNANT</v>
      </c>
      <c r="I169" s="4" t="str">
        <f t="shared" si="0"/>
        <v>LOW RISK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3.2" x14ac:dyDescent="0.25">
      <c r="A170" s="4">
        <v>230</v>
      </c>
      <c r="B170" s="4" t="s">
        <v>37</v>
      </c>
      <c r="C170" s="4" t="str">
        <f>FEATURES!L170</f>
        <v>NORMAL</v>
      </c>
      <c r="D170" s="4" t="str">
        <f>FEATURES!R170</f>
        <v>LOW</v>
      </c>
      <c r="E170" s="4" t="str">
        <f>FEATURES!Q170</f>
        <v>HIGHLY_ENGAGED</v>
      </c>
      <c r="F170" s="4" t="str">
        <f>FEATURES!P170</f>
        <v>Low_Pressure</v>
      </c>
      <c r="G170" s="4" t="str">
        <f>FEATURES!M170</f>
        <v>HIGH</v>
      </c>
      <c r="H170" s="4" t="str">
        <f>FEATURES!O170</f>
        <v>RECENTLY PROMOTED</v>
      </c>
      <c r="I170" s="4" t="str">
        <f t="shared" si="0"/>
        <v>LOW RISK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3.2" x14ac:dyDescent="0.25">
      <c r="A171" s="4">
        <v>231</v>
      </c>
      <c r="B171" s="4" t="s">
        <v>45</v>
      </c>
      <c r="C171" s="4" t="str">
        <f>FEATURES!L171</f>
        <v>NORMAL</v>
      </c>
      <c r="D171" s="4" t="str">
        <f>FEATURES!R171</f>
        <v>LOW</v>
      </c>
      <c r="E171" s="4" t="str">
        <f>FEATURES!Q171</f>
        <v>HIGHLY_ENGAGED</v>
      </c>
      <c r="F171" s="4" t="str">
        <f>FEATURES!P171</f>
        <v>Medium_Pressure</v>
      </c>
      <c r="G171" s="4" t="str">
        <f>FEATURES!M171</f>
        <v>LOW</v>
      </c>
      <c r="H171" s="4" t="str">
        <f>FEATURES!O171</f>
        <v>RECENTLY PROMOTED</v>
      </c>
      <c r="I171" s="4" t="str">
        <f t="shared" si="0"/>
        <v>LOW RISK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3.2" x14ac:dyDescent="0.25">
      <c r="A172" s="4">
        <v>233</v>
      </c>
      <c r="B172" s="4" t="s">
        <v>45</v>
      </c>
      <c r="C172" s="4" t="str">
        <f>FEATURES!L172</f>
        <v>NORMAL</v>
      </c>
      <c r="D172" s="4" t="str">
        <f>FEATURES!R172</f>
        <v>LOW</v>
      </c>
      <c r="E172" s="4" t="str">
        <f>FEATURES!Q172</f>
        <v>DISENGAGED</v>
      </c>
      <c r="F172" s="4" t="str">
        <f>FEATURES!P172</f>
        <v>High_Pressure</v>
      </c>
      <c r="G172" s="4" t="str">
        <f>FEATURES!M172</f>
        <v>LOW</v>
      </c>
      <c r="H172" s="4" t="str">
        <f>FEATURES!O172</f>
        <v>RECENTLY PROMOTED</v>
      </c>
      <c r="I172" s="4" t="str">
        <f t="shared" si="0"/>
        <v>LOW RISK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3.2" x14ac:dyDescent="0.25">
      <c r="A173" s="4">
        <v>235</v>
      </c>
      <c r="B173" s="4" t="s">
        <v>37</v>
      </c>
      <c r="C173" s="4" t="str">
        <f>FEATURES!L173</f>
        <v>NORMAL</v>
      </c>
      <c r="D173" s="4" t="str">
        <f>FEATURES!R173</f>
        <v>LOW</v>
      </c>
      <c r="E173" s="4" t="str">
        <f>FEATURES!Q173</f>
        <v>DISENGAGED</v>
      </c>
      <c r="F173" s="4" t="str">
        <f>FEATURES!P173</f>
        <v>Low_Pressure</v>
      </c>
      <c r="G173" s="4" t="str">
        <f>FEATURES!M173</f>
        <v>LOW</v>
      </c>
      <c r="H173" s="4" t="str">
        <f>FEATURES!O173</f>
        <v>RECENTLY PROMOTED</v>
      </c>
      <c r="I173" s="4" t="str">
        <f t="shared" si="0"/>
        <v>LOW RISK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3.2" x14ac:dyDescent="0.25">
      <c r="A174" s="4">
        <v>238</v>
      </c>
      <c r="B174" s="4" t="s">
        <v>45</v>
      </c>
      <c r="C174" s="4" t="str">
        <f>FEATURES!L174</f>
        <v>NORMAL</v>
      </c>
      <c r="D174" s="4" t="str">
        <f>FEATURES!R174</f>
        <v>LOW</v>
      </c>
      <c r="E174" s="4" t="str">
        <f>FEATURES!Q174</f>
        <v>DISENGAGED</v>
      </c>
      <c r="F174" s="4" t="str">
        <f>FEATURES!P174</f>
        <v>Low_Pressure</v>
      </c>
      <c r="G174" s="4" t="str">
        <f>FEATURES!M174</f>
        <v>LOW</v>
      </c>
      <c r="H174" s="4" t="str">
        <f>FEATURES!O174</f>
        <v>STAGNANT</v>
      </c>
      <c r="I174" s="4" t="str">
        <f t="shared" si="0"/>
        <v>LOW RISK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3.2" x14ac:dyDescent="0.25">
      <c r="A175" s="4">
        <v>239</v>
      </c>
      <c r="B175" s="4" t="s">
        <v>45</v>
      </c>
      <c r="C175" s="4" t="str">
        <f>FEATURES!L175</f>
        <v>NORMAL</v>
      </c>
      <c r="D175" s="4" t="str">
        <f>FEATURES!R175</f>
        <v>LOW</v>
      </c>
      <c r="E175" s="4" t="str">
        <f>FEATURES!Q175</f>
        <v>DISENGAGED</v>
      </c>
      <c r="F175" s="4" t="str">
        <f>FEATURES!P175</f>
        <v>Medium_Pressure</v>
      </c>
      <c r="G175" s="4" t="str">
        <f>FEATURES!M175</f>
        <v>LOW</v>
      </c>
      <c r="H175" s="4" t="str">
        <f>FEATURES!O175</f>
        <v>STAGNANT</v>
      </c>
      <c r="I175" s="4" t="str">
        <f t="shared" si="0"/>
        <v>LOW RISK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3.2" x14ac:dyDescent="0.25">
      <c r="A176" s="4">
        <v>240</v>
      </c>
      <c r="B176" s="4" t="s">
        <v>37</v>
      </c>
      <c r="C176" s="4" t="str">
        <f>FEATURES!L176</f>
        <v>NORMAL</v>
      </c>
      <c r="D176" s="4" t="str">
        <f>FEATURES!R176</f>
        <v>LOW</v>
      </c>
      <c r="E176" s="4" t="str">
        <f>FEATURES!Q176</f>
        <v>DISENGAGED</v>
      </c>
      <c r="F176" s="4" t="str">
        <f>FEATURES!P176</f>
        <v>Medium_Pressure</v>
      </c>
      <c r="G176" s="4" t="str">
        <f>FEATURES!M176</f>
        <v>HIGH</v>
      </c>
      <c r="H176" s="4" t="str">
        <f>FEATURES!O176</f>
        <v>RECENTLY PROMOTED</v>
      </c>
      <c r="I176" s="4" t="str">
        <f t="shared" si="0"/>
        <v>LOW RISK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3.2" x14ac:dyDescent="0.25">
      <c r="A177" s="4">
        <v>241</v>
      </c>
      <c r="B177" s="4" t="s">
        <v>45</v>
      </c>
      <c r="C177" s="4" t="str">
        <f>FEATURES!L177</f>
        <v>NORMAL</v>
      </c>
      <c r="D177" s="4" t="str">
        <f>FEATURES!R177</f>
        <v>LOW</v>
      </c>
      <c r="E177" s="4" t="str">
        <f>FEATURES!Q177</f>
        <v>DISENGAGED</v>
      </c>
      <c r="F177" s="4" t="str">
        <f>FEATURES!P177</f>
        <v>Medium_Pressure</v>
      </c>
      <c r="G177" s="4" t="str">
        <f>FEATURES!M177</f>
        <v>HIGH</v>
      </c>
      <c r="H177" s="4" t="str">
        <f>FEATURES!O177</f>
        <v>MODERATE-WAIT</v>
      </c>
      <c r="I177" s="4" t="str">
        <f t="shared" si="0"/>
        <v>LOW RISK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3.2" x14ac:dyDescent="0.25">
      <c r="A178" s="4">
        <v>242</v>
      </c>
      <c r="B178" s="4" t="s">
        <v>45</v>
      </c>
      <c r="C178" s="4" t="str">
        <f>FEATURES!L178</f>
        <v>NORMAL</v>
      </c>
      <c r="D178" s="4" t="str">
        <f>FEATURES!R178</f>
        <v>LOW</v>
      </c>
      <c r="E178" s="4" t="str">
        <f>FEATURES!Q178</f>
        <v>HIGHLY_ENGAGED</v>
      </c>
      <c r="F178" s="4" t="str">
        <f>FEATURES!P178</f>
        <v>Low_Pressure</v>
      </c>
      <c r="G178" s="4" t="str">
        <f>FEATURES!M178</f>
        <v>LOW</v>
      </c>
      <c r="H178" s="4" t="str">
        <f>FEATURES!O178</f>
        <v>RECENTLY PROMOTED</v>
      </c>
      <c r="I178" s="4" t="str">
        <f t="shared" si="0"/>
        <v>LOW RISK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3.2" x14ac:dyDescent="0.25">
      <c r="A179" s="4">
        <v>243</v>
      </c>
      <c r="B179" s="4" t="s">
        <v>45</v>
      </c>
      <c r="C179" s="4" t="str">
        <f>FEATURES!L179</f>
        <v>NORMAL</v>
      </c>
      <c r="D179" s="4" t="str">
        <f>FEATURES!R179</f>
        <v>LOW</v>
      </c>
      <c r="E179" s="4" t="str">
        <f>FEATURES!Q179</f>
        <v>DISENGAGED</v>
      </c>
      <c r="F179" s="4" t="str">
        <f>FEATURES!P179</f>
        <v>Low_Pressure</v>
      </c>
      <c r="G179" s="4" t="str">
        <f>FEATURES!M179</f>
        <v>LOW</v>
      </c>
      <c r="H179" s="4" t="str">
        <f>FEATURES!O179</f>
        <v>RECENTLY PROMOTED</v>
      </c>
      <c r="I179" s="4" t="str">
        <f t="shared" si="0"/>
        <v>LOW RISK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3.2" x14ac:dyDescent="0.25">
      <c r="A180" s="4">
        <v>244</v>
      </c>
      <c r="B180" s="4" t="s">
        <v>37</v>
      </c>
      <c r="C180" s="4" t="str">
        <f>FEATURES!L180</f>
        <v>NORMAL</v>
      </c>
      <c r="D180" s="4" t="str">
        <f>FEATURES!R180</f>
        <v>LOW</v>
      </c>
      <c r="E180" s="4" t="str">
        <f>FEATURES!Q180</f>
        <v>DISENGAGED</v>
      </c>
      <c r="F180" s="4" t="str">
        <f>FEATURES!P180</f>
        <v>Medium_Pressure</v>
      </c>
      <c r="G180" s="4" t="str">
        <f>FEATURES!M180</f>
        <v>MEDIUM</v>
      </c>
      <c r="H180" s="4" t="str">
        <f>FEATURES!O180</f>
        <v>STAGNANT</v>
      </c>
      <c r="I180" s="4" t="str">
        <f t="shared" si="0"/>
        <v>LOW RISK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3.2" x14ac:dyDescent="0.25">
      <c r="A181" s="4">
        <v>245</v>
      </c>
      <c r="B181" s="4" t="s">
        <v>45</v>
      </c>
      <c r="C181" s="4" t="str">
        <f>FEATURES!L181</f>
        <v>NORMAL</v>
      </c>
      <c r="D181" s="4" t="str">
        <f>FEATURES!R181</f>
        <v>LOW</v>
      </c>
      <c r="E181" s="4" t="str">
        <f>FEATURES!Q181</f>
        <v>HIGHLY_ENGAGED</v>
      </c>
      <c r="F181" s="4" t="str">
        <f>FEATURES!P181</f>
        <v>Medium_Pressure</v>
      </c>
      <c r="G181" s="4" t="str">
        <f>FEATURES!M181</f>
        <v>LOW</v>
      </c>
      <c r="H181" s="4" t="str">
        <f>FEATURES!O181</f>
        <v>MODERATE-WAIT</v>
      </c>
      <c r="I181" s="4" t="str">
        <f t="shared" si="0"/>
        <v>LOW RISK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3.2" x14ac:dyDescent="0.25">
      <c r="A182" s="4">
        <v>246</v>
      </c>
      <c r="B182" s="4" t="s">
        <v>45</v>
      </c>
      <c r="C182" s="4" t="str">
        <f>FEATURES!L182</f>
        <v>NORMAL</v>
      </c>
      <c r="D182" s="4" t="str">
        <f>FEATURES!R182</f>
        <v>LOW</v>
      </c>
      <c r="E182" s="4" t="str">
        <f>FEATURES!Q182</f>
        <v>HIGHLY_ENGAGED</v>
      </c>
      <c r="F182" s="4" t="str">
        <f>FEATURES!P182</f>
        <v>Medium_Pressure</v>
      </c>
      <c r="G182" s="4" t="str">
        <f>FEATURES!M182</f>
        <v>LOW</v>
      </c>
      <c r="H182" s="4" t="str">
        <f>FEATURES!O182</f>
        <v>RECENTLY PROMOTED</v>
      </c>
      <c r="I182" s="4" t="str">
        <f t="shared" si="0"/>
        <v>LOW RISK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3.2" x14ac:dyDescent="0.25">
      <c r="A183" s="4">
        <v>247</v>
      </c>
      <c r="B183" s="4" t="s">
        <v>45</v>
      </c>
      <c r="C183" s="4" t="str">
        <f>FEATURES!L183</f>
        <v>NORMAL</v>
      </c>
      <c r="D183" s="4" t="str">
        <f>FEATURES!R183</f>
        <v>LOW</v>
      </c>
      <c r="E183" s="4" t="str">
        <f>FEATURES!Q183</f>
        <v>DISENGAGED</v>
      </c>
      <c r="F183" s="4" t="str">
        <f>FEATURES!P183</f>
        <v>Medium_Pressure</v>
      </c>
      <c r="G183" s="4" t="str">
        <f>FEATURES!M183</f>
        <v>LOW</v>
      </c>
      <c r="H183" s="4" t="str">
        <f>FEATURES!O183</f>
        <v>RECENTLY PROMOTED</v>
      </c>
      <c r="I183" s="4" t="str">
        <f t="shared" si="0"/>
        <v>LOW RISK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3.2" x14ac:dyDescent="0.25">
      <c r="A184" s="4">
        <v>248</v>
      </c>
      <c r="B184" s="4" t="s">
        <v>37</v>
      </c>
      <c r="C184" s="4" t="str">
        <f>FEATURES!L184</f>
        <v>NORMAL</v>
      </c>
      <c r="D184" s="4" t="str">
        <f>FEATURES!R184</f>
        <v>LOW</v>
      </c>
      <c r="E184" s="4" t="str">
        <f>FEATURES!Q184</f>
        <v>DISENGAGED</v>
      </c>
      <c r="F184" s="4" t="str">
        <f>FEATURES!P184</f>
        <v>High_Pressure</v>
      </c>
      <c r="G184" s="4" t="str">
        <f>FEATURES!M184</f>
        <v>LOW</v>
      </c>
      <c r="H184" s="4" t="str">
        <f>FEATURES!O184</f>
        <v>RECENTLY PROMOTED</v>
      </c>
      <c r="I184" s="4" t="str">
        <f t="shared" si="0"/>
        <v>LOW RISK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3.2" x14ac:dyDescent="0.25">
      <c r="A185" s="4">
        <v>249</v>
      </c>
      <c r="B185" s="4" t="s">
        <v>45</v>
      </c>
      <c r="C185" s="4" t="str">
        <f>FEATURES!L185</f>
        <v>NORMAL</v>
      </c>
      <c r="D185" s="4" t="str">
        <f>FEATURES!R185</f>
        <v>LOW</v>
      </c>
      <c r="E185" s="4" t="str">
        <f>FEATURES!Q185</f>
        <v>DISENGAGED</v>
      </c>
      <c r="F185" s="4" t="str">
        <f>FEATURES!P185</f>
        <v>Low_Pressure</v>
      </c>
      <c r="G185" s="4" t="str">
        <f>FEATURES!M185</f>
        <v>LOW</v>
      </c>
      <c r="H185" s="4" t="str">
        <f>FEATURES!O185</f>
        <v>RECENTLY PROMOTED</v>
      </c>
      <c r="I185" s="4" t="str">
        <f t="shared" si="0"/>
        <v>LOW RISK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3.2" x14ac:dyDescent="0.25">
      <c r="A186" s="4">
        <v>250</v>
      </c>
      <c r="B186" s="4" t="s">
        <v>45</v>
      </c>
      <c r="C186" s="4" t="str">
        <f>FEATURES!L186</f>
        <v>NORMAL</v>
      </c>
      <c r="D186" s="4" t="str">
        <f>FEATURES!R186</f>
        <v>LOW</v>
      </c>
      <c r="E186" s="4" t="str">
        <f>FEATURES!Q186</f>
        <v>DISENGAGED</v>
      </c>
      <c r="F186" s="4" t="str">
        <f>FEATURES!P186</f>
        <v>Medium_Pressure</v>
      </c>
      <c r="G186" s="4" t="str">
        <f>FEATURES!M186</f>
        <v>HIGH</v>
      </c>
      <c r="H186" s="4" t="str">
        <f>FEATURES!O186</f>
        <v>RECENTLY PROMOTED</v>
      </c>
      <c r="I186" s="4" t="str">
        <f t="shared" si="0"/>
        <v>LOW RISK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3.2" x14ac:dyDescent="0.25">
      <c r="A187" s="4">
        <v>252</v>
      </c>
      <c r="B187" s="4" t="s">
        <v>45</v>
      </c>
      <c r="C187" s="4" t="str">
        <f>FEATURES!L187</f>
        <v>NORMAL</v>
      </c>
      <c r="D187" s="4" t="str">
        <f>FEATURES!R187</f>
        <v>LOW</v>
      </c>
      <c r="E187" s="4" t="str">
        <f>FEATURES!Q187</f>
        <v>DISENGAGED</v>
      </c>
      <c r="F187" s="4" t="str">
        <f>FEATURES!P187</f>
        <v>Medium_Pressure</v>
      </c>
      <c r="G187" s="4" t="str">
        <f>FEATURES!M187</f>
        <v>LOW</v>
      </c>
      <c r="H187" s="4" t="str">
        <f>FEATURES!O187</f>
        <v>RECENTLY PROMOTED</v>
      </c>
      <c r="I187" s="4" t="str">
        <f t="shared" si="0"/>
        <v>LOW RISK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3.2" x14ac:dyDescent="0.25">
      <c r="A188" s="4">
        <v>253</v>
      </c>
      <c r="B188" s="4" t="s">
        <v>45</v>
      </c>
      <c r="C188" s="4" t="str">
        <f>FEATURES!L188</f>
        <v>NORMAL</v>
      </c>
      <c r="D188" s="4" t="str">
        <f>FEATURES!R188</f>
        <v>LOW</v>
      </c>
      <c r="E188" s="4" t="str">
        <f>FEATURES!Q188</f>
        <v>HIGHLY_ENGAGED</v>
      </c>
      <c r="F188" s="4" t="str">
        <f>FEATURES!P188</f>
        <v>Medium_Pressure</v>
      </c>
      <c r="G188" s="4" t="str">
        <f>FEATURES!M188</f>
        <v>MEDIUM</v>
      </c>
      <c r="H188" s="4" t="str">
        <f>FEATURES!O188</f>
        <v>STAGNANT</v>
      </c>
      <c r="I188" s="4" t="str">
        <f t="shared" si="0"/>
        <v>LOW RISK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3.2" x14ac:dyDescent="0.25">
      <c r="A189" s="4">
        <v>254</v>
      </c>
      <c r="B189" s="4" t="s">
        <v>45</v>
      </c>
      <c r="C189" s="4" t="str">
        <f>FEATURES!L189</f>
        <v>NORMAL</v>
      </c>
      <c r="D189" s="4" t="str">
        <f>FEATURES!R189</f>
        <v>LOW</v>
      </c>
      <c r="E189" s="4" t="str">
        <f>FEATURES!Q189</f>
        <v>DISENGAGED</v>
      </c>
      <c r="F189" s="4" t="str">
        <f>FEATURES!P189</f>
        <v>Medium_Pressure</v>
      </c>
      <c r="G189" s="4" t="str">
        <f>FEATURES!M189</f>
        <v>MEDIUM</v>
      </c>
      <c r="H189" s="4" t="str">
        <f>FEATURES!O189</f>
        <v>MODERATE-WAIT</v>
      </c>
      <c r="I189" s="4" t="str">
        <f t="shared" si="0"/>
        <v>LOW RISK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3.2" x14ac:dyDescent="0.25">
      <c r="A190" s="4">
        <v>256</v>
      </c>
      <c r="B190" s="4" t="s">
        <v>45</v>
      </c>
      <c r="C190" s="4" t="str">
        <f>FEATURES!L190</f>
        <v>NORMAL</v>
      </c>
      <c r="D190" s="4" t="str">
        <f>FEATURES!R190</f>
        <v>LOW</v>
      </c>
      <c r="E190" s="4" t="str">
        <f>FEATURES!Q190</f>
        <v>DISENGAGED</v>
      </c>
      <c r="F190" s="4" t="str">
        <f>FEATURES!P190</f>
        <v>Low_Pressure</v>
      </c>
      <c r="G190" s="4" t="str">
        <f>FEATURES!M190</f>
        <v>MEDIUM</v>
      </c>
      <c r="H190" s="4" t="str">
        <f>FEATURES!O190</f>
        <v>RECENTLY PROMOTED</v>
      </c>
      <c r="I190" s="4" t="str">
        <f t="shared" si="0"/>
        <v>LOW RISK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3.2" x14ac:dyDescent="0.25">
      <c r="A191" s="4">
        <v>258</v>
      </c>
      <c r="B191" s="4" t="s">
        <v>45</v>
      </c>
      <c r="C191" s="4" t="str">
        <f>FEATURES!L191</f>
        <v>NORMAL</v>
      </c>
      <c r="D191" s="4" t="str">
        <f>FEATURES!R191</f>
        <v>LOW</v>
      </c>
      <c r="E191" s="4" t="str">
        <f>FEATURES!Q191</f>
        <v>DISENGAGED</v>
      </c>
      <c r="F191" s="4" t="str">
        <f>FEATURES!P191</f>
        <v>Medium_Pressure</v>
      </c>
      <c r="G191" s="4" t="str">
        <f>FEATURES!M191</f>
        <v>MEDIUM</v>
      </c>
      <c r="H191" s="4" t="str">
        <f>FEATURES!O191</f>
        <v>RECENTLY PROMOTED</v>
      </c>
      <c r="I191" s="4" t="str">
        <f t="shared" si="0"/>
        <v>LOW RISK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3.2" x14ac:dyDescent="0.25">
      <c r="A192" s="4">
        <v>259</v>
      </c>
      <c r="B192" s="4" t="s">
        <v>45</v>
      </c>
      <c r="C192" s="4" t="str">
        <f>FEATURES!L192</f>
        <v>NORMAL</v>
      </c>
      <c r="D192" s="4" t="str">
        <f>FEATURES!R192</f>
        <v>LOW</v>
      </c>
      <c r="E192" s="4" t="str">
        <f>FEATURES!Q192</f>
        <v>HIGHLY_ENGAGED</v>
      </c>
      <c r="F192" s="4" t="str">
        <f>FEATURES!P192</f>
        <v>Medium_Pressure</v>
      </c>
      <c r="G192" s="4" t="str">
        <f>FEATURES!M192</f>
        <v>MEDIUM</v>
      </c>
      <c r="H192" s="4" t="str">
        <f>FEATURES!O192</f>
        <v>STAGNANT</v>
      </c>
      <c r="I192" s="4" t="str">
        <f t="shared" si="0"/>
        <v>LOW RISK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3.2" x14ac:dyDescent="0.25">
      <c r="A193" s="4">
        <v>260</v>
      </c>
      <c r="B193" s="4" t="s">
        <v>45</v>
      </c>
      <c r="C193" s="4" t="str">
        <f>FEATURES!L193</f>
        <v>NORMAL</v>
      </c>
      <c r="D193" s="4" t="str">
        <f>FEATURES!R193</f>
        <v>LOW</v>
      </c>
      <c r="E193" s="4" t="str">
        <f>FEATURES!Q193</f>
        <v>DISENGAGED</v>
      </c>
      <c r="F193" s="4" t="str">
        <f>FEATURES!P193</f>
        <v>Low_Pressure</v>
      </c>
      <c r="G193" s="4" t="str">
        <f>FEATURES!M193</f>
        <v>LOW</v>
      </c>
      <c r="H193" s="4" t="str">
        <f>FEATURES!O193</f>
        <v>RECENTLY PROMOTED</v>
      </c>
      <c r="I193" s="4" t="str">
        <f t="shared" si="0"/>
        <v>LOW RISK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3.2" x14ac:dyDescent="0.25">
      <c r="A194" s="4">
        <v>261</v>
      </c>
      <c r="B194" s="4" t="s">
        <v>45</v>
      </c>
      <c r="C194" s="4" t="str">
        <f>FEATURES!L194</f>
        <v>NORMAL</v>
      </c>
      <c r="D194" s="4" t="str">
        <f>FEATURES!R194</f>
        <v>LOW</v>
      </c>
      <c r="E194" s="4" t="str">
        <f>FEATURES!Q194</f>
        <v>HIGHLY_ENGAGED</v>
      </c>
      <c r="F194" s="4" t="str">
        <f>FEATURES!P194</f>
        <v>Medium_Pressure</v>
      </c>
      <c r="G194" s="4" t="str">
        <f>FEATURES!M194</f>
        <v>HIGH</v>
      </c>
      <c r="H194" s="4" t="str">
        <f>FEATURES!O194</f>
        <v>RECENTLY PROMOTED</v>
      </c>
      <c r="I194" s="4" t="str">
        <f t="shared" si="0"/>
        <v>LOW RISK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3.2" x14ac:dyDescent="0.25">
      <c r="A195" s="4">
        <v>262</v>
      </c>
      <c r="B195" s="4" t="s">
        <v>45</v>
      </c>
      <c r="C195" s="4" t="str">
        <f>FEATURES!L195</f>
        <v>NORMAL</v>
      </c>
      <c r="D195" s="4" t="str">
        <f>FEATURES!R195</f>
        <v>LOW</v>
      </c>
      <c r="E195" s="4" t="str">
        <f>FEATURES!Q195</f>
        <v>HIGHLY_ENGAGED</v>
      </c>
      <c r="F195" s="4" t="str">
        <f>FEATURES!P195</f>
        <v>Low_Pressure</v>
      </c>
      <c r="G195" s="4" t="str">
        <f>FEATURES!M195</f>
        <v>LOW</v>
      </c>
      <c r="H195" s="4" t="str">
        <f>FEATURES!O195</f>
        <v>MODERATE-WAIT</v>
      </c>
      <c r="I195" s="4" t="str">
        <f t="shared" si="0"/>
        <v>LOW RISK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3.2" x14ac:dyDescent="0.25">
      <c r="A196" s="4">
        <v>264</v>
      </c>
      <c r="B196" s="4" t="s">
        <v>45</v>
      </c>
      <c r="C196" s="4" t="str">
        <f>FEATURES!L196</f>
        <v>NORMAL</v>
      </c>
      <c r="D196" s="4" t="str">
        <f>FEATURES!R196</f>
        <v>LOW</v>
      </c>
      <c r="E196" s="4" t="str">
        <f>FEATURES!Q196</f>
        <v>HIGHLY_ENGAGED</v>
      </c>
      <c r="F196" s="4" t="str">
        <f>FEATURES!P196</f>
        <v>Medium_Pressure</v>
      </c>
      <c r="G196" s="4" t="str">
        <f>FEATURES!M196</f>
        <v>MEDIUM</v>
      </c>
      <c r="H196" s="4" t="str">
        <f>FEATURES!O196</f>
        <v>STAGNANT</v>
      </c>
      <c r="I196" s="4" t="str">
        <f t="shared" si="0"/>
        <v>LOW RISK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3.2" x14ac:dyDescent="0.25">
      <c r="A197" s="4">
        <v>267</v>
      </c>
      <c r="B197" s="4" t="s">
        <v>45</v>
      </c>
      <c r="C197" s="4" t="str">
        <f>FEATURES!L197</f>
        <v>NORMAL</v>
      </c>
      <c r="D197" s="4" t="str">
        <f>FEATURES!R197</f>
        <v>LOW</v>
      </c>
      <c r="E197" s="4" t="str">
        <f>FEATURES!Q197</f>
        <v>DISENGAGED</v>
      </c>
      <c r="F197" s="4" t="str">
        <f>FEATURES!P197</f>
        <v>High_Pressure</v>
      </c>
      <c r="G197" s="4" t="str">
        <f>FEATURES!M197</f>
        <v>LOW</v>
      </c>
      <c r="H197" s="4" t="str">
        <f>FEATURES!O197</f>
        <v>RECENTLY PROMOTED</v>
      </c>
      <c r="I197" s="4" t="str">
        <f t="shared" si="0"/>
        <v>LOW RISK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3.2" x14ac:dyDescent="0.25">
      <c r="A198" s="4">
        <v>269</v>
      </c>
      <c r="B198" s="4" t="s">
        <v>45</v>
      </c>
      <c r="C198" s="4" t="str">
        <f>FEATURES!L198</f>
        <v>NORMAL</v>
      </c>
      <c r="D198" s="4" t="str">
        <f>FEATURES!R198</f>
        <v>LOW</v>
      </c>
      <c r="E198" s="4" t="str">
        <f>FEATURES!Q198</f>
        <v>DISENGAGED</v>
      </c>
      <c r="F198" s="4" t="str">
        <f>FEATURES!P198</f>
        <v>Medium_Pressure</v>
      </c>
      <c r="G198" s="4" t="str">
        <f>FEATURES!M198</f>
        <v>HIGH</v>
      </c>
      <c r="H198" s="4" t="str">
        <f>FEATURES!O198</f>
        <v>RECENTLY PROMOTED</v>
      </c>
      <c r="I198" s="4" t="str">
        <f t="shared" si="0"/>
        <v>LOW RISK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3.2" x14ac:dyDescent="0.25">
      <c r="A199" s="4">
        <v>270</v>
      </c>
      <c r="B199" s="4" t="s">
        <v>45</v>
      </c>
      <c r="C199" s="4" t="str">
        <f>FEATURES!L199</f>
        <v>NORMAL</v>
      </c>
      <c r="D199" s="4" t="str">
        <f>FEATURES!R199</f>
        <v>LOW</v>
      </c>
      <c r="E199" s="4" t="str">
        <f>FEATURES!Q199</f>
        <v>HIGHLY_ENGAGED</v>
      </c>
      <c r="F199" s="4" t="str">
        <f>FEATURES!P199</f>
        <v>Medium_Pressure</v>
      </c>
      <c r="G199" s="4" t="str">
        <f>FEATURES!M199</f>
        <v>HIGH</v>
      </c>
      <c r="H199" s="4" t="str">
        <f>FEATURES!O199</f>
        <v>RECENTLY PROMOTED</v>
      </c>
      <c r="I199" s="4" t="str">
        <f t="shared" si="0"/>
        <v>LOW RISK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3.2" x14ac:dyDescent="0.25">
      <c r="A200" s="4">
        <v>271</v>
      </c>
      <c r="B200" s="4" t="s">
        <v>45</v>
      </c>
      <c r="C200" s="4" t="str">
        <f>FEATURES!L200</f>
        <v>NORMAL</v>
      </c>
      <c r="D200" s="4" t="str">
        <f>FEATURES!R200</f>
        <v>LOW</v>
      </c>
      <c r="E200" s="4" t="str">
        <f>FEATURES!Q200</f>
        <v>HIGHLY_ENGAGED</v>
      </c>
      <c r="F200" s="4" t="str">
        <f>FEATURES!P200</f>
        <v>Medium_Pressure</v>
      </c>
      <c r="G200" s="4" t="str">
        <f>FEATURES!M200</f>
        <v>HIGH</v>
      </c>
      <c r="H200" s="4" t="str">
        <f>FEATURES!O200</f>
        <v>RECENTLY PROMOTED</v>
      </c>
      <c r="I200" s="4" t="str">
        <f t="shared" si="0"/>
        <v>LOW RISK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3.2" x14ac:dyDescent="0.25">
      <c r="A201" s="4">
        <v>273</v>
      </c>
      <c r="B201" s="4" t="s">
        <v>45</v>
      </c>
      <c r="C201" s="4" t="str">
        <f>FEATURES!L201</f>
        <v>NORMAL</v>
      </c>
      <c r="D201" s="4" t="str">
        <f>FEATURES!R201</f>
        <v>LOW</v>
      </c>
      <c r="E201" s="4" t="str">
        <f>FEATURES!Q201</f>
        <v>DISENGAGED</v>
      </c>
      <c r="F201" s="4" t="str">
        <f>FEATURES!P201</f>
        <v>Low_Pressure</v>
      </c>
      <c r="G201" s="4" t="str">
        <f>FEATURES!M201</f>
        <v>HIGH</v>
      </c>
      <c r="H201" s="4" t="str">
        <f>FEATURES!O201</f>
        <v>RECENTLY PROMOTED</v>
      </c>
      <c r="I201" s="4" t="str">
        <f t="shared" si="0"/>
        <v>LOW RISK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3.2" x14ac:dyDescent="0.25">
      <c r="A202" s="4">
        <v>274</v>
      </c>
      <c r="B202" s="4" t="s">
        <v>45</v>
      </c>
      <c r="C202" s="4" t="str">
        <f>FEATURES!L202</f>
        <v>NORMAL</v>
      </c>
      <c r="D202" s="4" t="str">
        <f>FEATURES!R202</f>
        <v>LOW</v>
      </c>
      <c r="E202" s="4" t="str">
        <f>FEATURES!Q202</f>
        <v>DISENGAGED</v>
      </c>
      <c r="F202" s="4" t="str">
        <f>FEATURES!P202</f>
        <v>Medium_Pressure</v>
      </c>
      <c r="G202" s="4" t="str">
        <f>FEATURES!M202</f>
        <v>HIGH</v>
      </c>
      <c r="H202" s="4" t="str">
        <f>FEATURES!O202</f>
        <v>MODERATE-WAIT</v>
      </c>
      <c r="I202" s="4" t="str">
        <f t="shared" si="0"/>
        <v>LOW RISK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3.2" x14ac:dyDescent="0.25">
      <c r="A203" s="4">
        <v>275</v>
      </c>
      <c r="B203" s="4" t="s">
        <v>45</v>
      </c>
      <c r="C203" s="4" t="str">
        <f>FEATURES!L203</f>
        <v>NORMAL</v>
      </c>
      <c r="D203" s="4" t="str">
        <f>FEATURES!R203</f>
        <v>LOW</v>
      </c>
      <c r="E203" s="4" t="str">
        <f>FEATURES!Q203</f>
        <v>HIGHLY_ENGAGED</v>
      </c>
      <c r="F203" s="4" t="str">
        <f>FEATURES!P203</f>
        <v>Medium_Pressure</v>
      </c>
      <c r="G203" s="4" t="str">
        <f>FEATURES!M203</f>
        <v>HIGH</v>
      </c>
      <c r="H203" s="4" t="str">
        <f>FEATURES!O203</f>
        <v>RECENTLY PROMOTED</v>
      </c>
      <c r="I203" s="4" t="str">
        <f t="shared" si="0"/>
        <v>LOW RISK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3.2" x14ac:dyDescent="0.25">
      <c r="A204" s="4">
        <v>277</v>
      </c>
      <c r="B204" s="4" t="s">
        <v>45</v>
      </c>
      <c r="C204" s="4" t="str">
        <f>FEATURES!L204</f>
        <v>NORMAL</v>
      </c>
      <c r="D204" s="4" t="str">
        <f>FEATURES!R204</f>
        <v>LOW</v>
      </c>
      <c r="E204" s="4" t="str">
        <f>FEATURES!Q204</f>
        <v>HIGHLY_ENGAGED</v>
      </c>
      <c r="F204" s="4" t="str">
        <f>FEATURES!P204</f>
        <v>Medium_Pressure</v>
      </c>
      <c r="G204" s="4" t="str">
        <f>FEATURES!M204</f>
        <v>LOW</v>
      </c>
      <c r="H204" s="4" t="str">
        <f>FEATURES!O204</f>
        <v>MODERATE-WAIT</v>
      </c>
      <c r="I204" s="4" t="str">
        <f t="shared" si="0"/>
        <v>LOW RISK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3.2" x14ac:dyDescent="0.25">
      <c r="A205" s="4">
        <v>281</v>
      </c>
      <c r="B205" s="4" t="s">
        <v>45</v>
      </c>
      <c r="C205" s="4" t="str">
        <f>FEATURES!L205</f>
        <v>NORMAL</v>
      </c>
      <c r="D205" s="4" t="str">
        <f>FEATURES!R205</f>
        <v>LOW</v>
      </c>
      <c r="E205" s="4" t="str">
        <f>FEATURES!Q205</f>
        <v>HIGHLY_ENGAGED</v>
      </c>
      <c r="F205" s="4" t="str">
        <f>FEATURES!P205</f>
        <v>Medium_Pressure</v>
      </c>
      <c r="G205" s="4" t="str">
        <f>FEATURES!M205</f>
        <v>LOW</v>
      </c>
      <c r="H205" s="4" t="str">
        <f>FEATURES!O205</f>
        <v>MODERATE-WAIT</v>
      </c>
      <c r="I205" s="4" t="str">
        <f t="shared" si="0"/>
        <v>LOW RISK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3.2" x14ac:dyDescent="0.25">
      <c r="A206" s="4">
        <v>282</v>
      </c>
      <c r="B206" s="4" t="s">
        <v>45</v>
      </c>
      <c r="C206" s="4" t="str">
        <f>FEATURES!L206</f>
        <v>NORMAL</v>
      </c>
      <c r="D206" s="4" t="str">
        <f>FEATURES!R206</f>
        <v>LOW</v>
      </c>
      <c r="E206" s="4" t="str">
        <f>FEATURES!Q206</f>
        <v>DISENGAGED</v>
      </c>
      <c r="F206" s="4" t="str">
        <f>FEATURES!P206</f>
        <v>Medium_Pressure</v>
      </c>
      <c r="G206" s="4" t="str">
        <f>FEATURES!M206</f>
        <v>HIGH</v>
      </c>
      <c r="H206" s="4" t="str">
        <f>FEATURES!O206</f>
        <v>RECENTLY PROMOTED</v>
      </c>
      <c r="I206" s="4" t="str">
        <f t="shared" si="0"/>
        <v>LOW RISK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3.2" x14ac:dyDescent="0.25">
      <c r="A207" s="4">
        <v>283</v>
      </c>
      <c r="B207" s="4" t="s">
        <v>37</v>
      </c>
      <c r="C207" s="4" t="str">
        <f>FEATURES!L207</f>
        <v>NORMAL</v>
      </c>
      <c r="D207" s="4" t="str">
        <f>FEATURES!R207</f>
        <v>LOW</v>
      </c>
      <c r="E207" s="4" t="str">
        <f>FEATURES!Q207</f>
        <v>DISENGAGED</v>
      </c>
      <c r="F207" s="4" t="str">
        <f>FEATURES!P207</f>
        <v>Low_Pressure</v>
      </c>
      <c r="G207" s="4" t="str">
        <f>FEATURES!M207</f>
        <v>HIGH</v>
      </c>
      <c r="H207" s="4" t="str">
        <f>FEATURES!O207</f>
        <v>RECENTLY PROMOTED</v>
      </c>
      <c r="I207" s="4" t="str">
        <f t="shared" si="0"/>
        <v>LOW RISK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3.2" x14ac:dyDescent="0.25">
      <c r="A208" s="4">
        <v>284</v>
      </c>
      <c r="B208" s="4" t="s">
        <v>45</v>
      </c>
      <c r="C208" s="4" t="str">
        <f>FEATURES!L208</f>
        <v>NORMAL</v>
      </c>
      <c r="D208" s="4" t="str">
        <f>FEATURES!R208</f>
        <v>LOW</v>
      </c>
      <c r="E208" s="4" t="str">
        <f>FEATURES!Q208</f>
        <v>DISENGAGED</v>
      </c>
      <c r="F208" s="4" t="str">
        <f>FEATURES!P208</f>
        <v>High_Pressure</v>
      </c>
      <c r="G208" s="4" t="str">
        <f>FEATURES!M208</f>
        <v>LOW</v>
      </c>
      <c r="H208" s="4" t="str">
        <f>FEATURES!O208</f>
        <v>MODERATE-WAIT</v>
      </c>
      <c r="I208" s="4" t="str">
        <f t="shared" si="0"/>
        <v>LOW RISK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3.2" x14ac:dyDescent="0.25">
      <c r="A209" s="4">
        <v>286</v>
      </c>
      <c r="B209" s="4" t="s">
        <v>45</v>
      </c>
      <c r="C209" s="4" t="str">
        <f>FEATURES!L209</f>
        <v>NORMAL</v>
      </c>
      <c r="D209" s="4" t="str">
        <f>FEATURES!R209</f>
        <v>LOW</v>
      </c>
      <c r="E209" s="4" t="str">
        <f>FEATURES!Q209</f>
        <v>HIGHLY_ENGAGED</v>
      </c>
      <c r="F209" s="4" t="str">
        <f>FEATURES!P209</f>
        <v>Medium_Pressure</v>
      </c>
      <c r="G209" s="4" t="str">
        <f>FEATURES!M209</f>
        <v>LOW</v>
      </c>
      <c r="H209" s="4" t="str">
        <f>FEATURES!O209</f>
        <v>RECENTLY PROMOTED</v>
      </c>
      <c r="I209" s="4" t="str">
        <f t="shared" si="0"/>
        <v>LOW RISK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3.2" x14ac:dyDescent="0.25">
      <c r="A210" s="4">
        <v>287</v>
      </c>
      <c r="B210" s="4" t="s">
        <v>45</v>
      </c>
      <c r="C210" s="4" t="str">
        <f>FEATURES!L210</f>
        <v>NORMAL</v>
      </c>
      <c r="D210" s="4" t="str">
        <f>FEATURES!R210</f>
        <v>LOW</v>
      </c>
      <c r="E210" s="4" t="str">
        <f>FEATURES!Q210</f>
        <v>DISENGAGED</v>
      </c>
      <c r="F210" s="4" t="str">
        <f>FEATURES!P210</f>
        <v>Low_Pressure</v>
      </c>
      <c r="G210" s="4" t="str">
        <f>FEATURES!M210</f>
        <v>HIGH</v>
      </c>
      <c r="H210" s="4" t="str">
        <f>FEATURES!O210</f>
        <v>RECENTLY PROMOTED</v>
      </c>
      <c r="I210" s="4" t="str">
        <f t="shared" si="0"/>
        <v>LOW RISK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3.2" x14ac:dyDescent="0.25">
      <c r="A211" s="4">
        <v>288</v>
      </c>
      <c r="B211" s="4" t="s">
        <v>45</v>
      </c>
      <c r="C211" s="4" t="str">
        <f>FEATURES!L211</f>
        <v>NORMAL</v>
      </c>
      <c r="D211" s="4" t="str">
        <f>FEATURES!R211</f>
        <v>LOW</v>
      </c>
      <c r="E211" s="4" t="str">
        <f>FEATURES!Q211</f>
        <v>DISENGAGED</v>
      </c>
      <c r="F211" s="4" t="str">
        <f>FEATURES!P211</f>
        <v>Medium_Pressure</v>
      </c>
      <c r="G211" s="4" t="str">
        <f>FEATURES!M211</f>
        <v>MEDIUM</v>
      </c>
      <c r="H211" s="4" t="str">
        <f>FEATURES!O211</f>
        <v>RECENTLY PROMOTED</v>
      </c>
      <c r="I211" s="4" t="str">
        <f t="shared" si="0"/>
        <v>LOW RISK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3.2" x14ac:dyDescent="0.25">
      <c r="A212" s="4">
        <v>291</v>
      </c>
      <c r="B212" s="4" t="s">
        <v>37</v>
      </c>
      <c r="C212" s="4" t="str">
        <f>FEATURES!L212</f>
        <v>NORMAL</v>
      </c>
      <c r="D212" s="4" t="str">
        <f>FEATURES!R212</f>
        <v>LOW</v>
      </c>
      <c r="E212" s="4" t="str">
        <f>FEATURES!Q212</f>
        <v>DISENGAGED</v>
      </c>
      <c r="F212" s="4" t="str">
        <f>FEATURES!P212</f>
        <v>Low_Pressure</v>
      </c>
      <c r="G212" s="4" t="str">
        <f>FEATURES!M212</f>
        <v>MEDIUM</v>
      </c>
      <c r="H212" s="4" t="str">
        <f>FEATURES!O212</f>
        <v>STAGNANT</v>
      </c>
      <c r="I212" s="4" t="str">
        <f t="shared" si="0"/>
        <v>LOW RISK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3.2" x14ac:dyDescent="0.25">
      <c r="A213" s="4">
        <v>292</v>
      </c>
      <c r="B213" s="4" t="s">
        <v>45</v>
      </c>
      <c r="C213" s="4" t="str">
        <f>FEATURES!L213</f>
        <v>NORMAL</v>
      </c>
      <c r="D213" s="4" t="str">
        <f>FEATURES!R213</f>
        <v>LOW</v>
      </c>
      <c r="E213" s="4" t="str">
        <f>FEATURES!Q213</f>
        <v>HIGHLY_ENGAGED</v>
      </c>
      <c r="F213" s="4" t="str">
        <f>FEATURES!P213</f>
        <v>Medium_Pressure</v>
      </c>
      <c r="G213" s="4" t="str">
        <f>FEATURES!M213</f>
        <v>HIGH</v>
      </c>
      <c r="H213" s="4" t="str">
        <f>FEATURES!O213</f>
        <v>STAGNANT</v>
      </c>
      <c r="I213" s="4" t="str">
        <f t="shared" si="0"/>
        <v>LOW RISK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3.2" x14ac:dyDescent="0.25">
      <c r="A214" s="4">
        <v>293</v>
      </c>
      <c r="B214" s="4" t="s">
        <v>37</v>
      </c>
      <c r="C214" s="4" t="str">
        <f>FEATURES!L214</f>
        <v>NORMAL</v>
      </c>
      <c r="D214" s="4" t="str">
        <f>FEATURES!R214</f>
        <v>LOW</v>
      </c>
      <c r="E214" s="4" t="str">
        <f>FEATURES!Q214</f>
        <v>HIGHLY_ENGAGED</v>
      </c>
      <c r="F214" s="4" t="str">
        <f>FEATURES!P214</f>
        <v>Medium_Pressure</v>
      </c>
      <c r="G214" s="4" t="str">
        <f>FEATURES!M214</f>
        <v>MEDIUM</v>
      </c>
      <c r="H214" s="4" t="str">
        <f>FEATURES!O214</f>
        <v>RECENTLY PROMOTED</v>
      </c>
      <c r="I214" s="4" t="str">
        <f t="shared" si="0"/>
        <v>LOW RISK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3.2" x14ac:dyDescent="0.25">
      <c r="A215" s="4">
        <v>296</v>
      </c>
      <c r="B215" s="4" t="s">
        <v>45</v>
      </c>
      <c r="C215" s="4" t="str">
        <f>FEATURES!L215</f>
        <v>NORMAL</v>
      </c>
      <c r="D215" s="4" t="str">
        <f>FEATURES!R215</f>
        <v>LOW</v>
      </c>
      <c r="E215" s="4" t="str">
        <f>FEATURES!Q215</f>
        <v>DISENGAGED</v>
      </c>
      <c r="F215" s="4" t="str">
        <f>FEATURES!P215</f>
        <v>Low_Pressure</v>
      </c>
      <c r="G215" s="4" t="str">
        <f>FEATURES!M215</f>
        <v>MEDIUM</v>
      </c>
      <c r="H215" s="4" t="str">
        <f>FEATURES!O215</f>
        <v>STAGNANT</v>
      </c>
      <c r="I215" s="4" t="str">
        <f t="shared" si="0"/>
        <v>LOW RISK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3.2" x14ac:dyDescent="0.25">
      <c r="A216" s="4">
        <v>297</v>
      </c>
      <c r="B216" s="4" t="s">
        <v>45</v>
      </c>
      <c r="C216" s="4" t="str">
        <f>FEATURES!L216</f>
        <v>NORMAL</v>
      </c>
      <c r="D216" s="4" t="str">
        <f>FEATURES!R216</f>
        <v>LOW</v>
      </c>
      <c r="E216" s="4" t="str">
        <f>FEATURES!Q216</f>
        <v>DISENGAGED</v>
      </c>
      <c r="F216" s="4" t="str">
        <f>FEATURES!P216</f>
        <v>Medium_Pressure</v>
      </c>
      <c r="G216" s="4" t="str">
        <f>FEATURES!M216</f>
        <v>LOW</v>
      </c>
      <c r="H216" s="4" t="str">
        <f>FEATURES!O216</f>
        <v>RECENTLY PROMOTED</v>
      </c>
      <c r="I216" s="4" t="str">
        <f t="shared" si="0"/>
        <v>LOW RISK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3.2" x14ac:dyDescent="0.25">
      <c r="A217" s="4">
        <v>298</v>
      </c>
      <c r="B217" s="4" t="s">
        <v>37</v>
      </c>
      <c r="C217" s="4" t="str">
        <f>FEATURES!L217</f>
        <v>NORMAL</v>
      </c>
      <c r="D217" s="4" t="str">
        <f>FEATURES!R217</f>
        <v>LOW</v>
      </c>
      <c r="E217" s="4" t="str">
        <f>FEATURES!Q217</f>
        <v>HIGHLY_ENGAGED</v>
      </c>
      <c r="F217" s="4" t="str">
        <f>FEATURES!P217</f>
        <v>Medium_Pressure</v>
      </c>
      <c r="G217" s="4" t="str">
        <f>FEATURES!M217</f>
        <v>MEDIUM</v>
      </c>
      <c r="H217" s="4" t="str">
        <f>FEATURES!O217</f>
        <v>RECENTLY PROMOTED</v>
      </c>
      <c r="I217" s="4" t="str">
        <f t="shared" si="0"/>
        <v>LOW RISK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3.2" x14ac:dyDescent="0.25">
      <c r="A218" s="4">
        <v>299</v>
      </c>
      <c r="B218" s="4" t="s">
        <v>37</v>
      </c>
      <c r="C218" s="4" t="str">
        <f>FEATURES!L218</f>
        <v>NORMAL</v>
      </c>
      <c r="D218" s="4" t="str">
        <f>FEATURES!R218</f>
        <v>LOW</v>
      </c>
      <c r="E218" s="4" t="str">
        <f>FEATURES!Q218</f>
        <v>DISENGAGED</v>
      </c>
      <c r="F218" s="4" t="str">
        <f>FEATURES!P218</f>
        <v>Low_Pressure</v>
      </c>
      <c r="G218" s="4" t="str">
        <f>FEATURES!M218</f>
        <v>HIGH</v>
      </c>
      <c r="H218" s="4" t="str">
        <f>FEATURES!O218</f>
        <v>RECENTLY PROMOTED</v>
      </c>
      <c r="I218" s="4" t="str">
        <f t="shared" si="0"/>
        <v>LOW RISK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3.2" x14ac:dyDescent="0.25">
      <c r="A219" s="4">
        <v>300</v>
      </c>
      <c r="B219" s="4" t="s">
        <v>45</v>
      </c>
      <c r="C219" s="4" t="str">
        <f>FEATURES!L219</f>
        <v>NORMAL</v>
      </c>
      <c r="D219" s="4" t="str">
        <f>FEATURES!R219</f>
        <v>LOW</v>
      </c>
      <c r="E219" s="4" t="str">
        <f>FEATURES!Q219</f>
        <v>DISENGAGED</v>
      </c>
      <c r="F219" s="4" t="str">
        <f>FEATURES!P219</f>
        <v>Low_Pressure</v>
      </c>
      <c r="G219" s="4" t="str">
        <f>FEATURES!M219</f>
        <v>LOW</v>
      </c>
      <c r="H219" s="4" t="str">
        <f>FEATURES!O219</f>
        <v>RECENTLY PROMOTED</v>
      </c>
      <c r="I219" s="4" t="str">
        <f t="shared" si="0"/>
        <v>LOW RISK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3.2" x14ac:dyDescent="0.25">
      <c r="A220" s="4">
        <v>302</v>
      </c>
      <c r="B220" s="4" t="s">
        <v>37</v>
      </c>
      <c r="C220" s="4" t="str">
        <f>FEATURES!L220</f>
        <v>NORMAL</v>
      </c>
      <c r="D220" s="4" t="str">
        <f>FEATURES!R220</f>
        <v>LOW</v>
      </c>
      <c r="E220" s="4" t="str">
        <f>FEATURES!Q220</f>
        <v>HIGHLY_ENGAGED</v>
      </c>
      <c r="F220" s="4" t="str">
        <f>FEATURES!P220</f>
        <v>Medium_Pressure</v>
      </c>
      <c r="G220" s="4" t="str">
        <f>FEATURES!M220</f>
        <v>HIGH</v>
      </c>
      <c r="H220" s="4" t="str">
        <f>FEATURES!O220</f>
        <v>STAGNANT</v>
      </c>
      <c r="I220" s="4" t="str">
        <f t="shared" si="0"/>
        <v>LOW RISK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3.2" x14ac:dyDescent="0.25">
      <c r="A221" s="4">
        <v>303</v>
      </c>
      <c r="B221" s="4" t="s">
        <v>37</v>
      </c>
      <c r="C221" s="4" t="str">
        <f>FEATURES!L221</f>
        <v>NORMAL</v>
      </c>
      <c r="D221" s="4" t="str">
        <f>FEATURES!R221</f>
        <v>LOW</v>
      </c>
      <c r="E221" s="4" t="str">
        <f>FEATURES!Q221</f>
        <v>DISENGAGED</v>
      </c>
      <c r="F221" s="4" t="str">
        <f>FEATURES!P221</f>
        <v>Medium_Pressure</v>
      </c>
      <c r="G221" s="4" t="str">
        <f>FEATURES!M221</f>
        <v>HIGH</v>
      </c>
      <c r="H221" s="4" t="str">
        <f>FEATURES!O221</f>
        <v>RECENTLY PROMOTED</v>
      </c>
      <c r="I221" s="4" t="str">
        <f t="shared" si="0"/>
        <v>LOW RISK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3.2" x14ac:dyDescent="0.25">
      <c r="A222" s="4">
        <v>304</v>
      </c>
      <c r="B222" s="4" t="s">
        <v>45</v>
      </c>
      <c r="C222" s="4" t="str">
        <f>FEATURES!L222</f>
        <v>NORMAL</v>
      </c>
      <c r="D222" s="4" t="str">
        <f>FEATURES!R222</f>
        <v>LOW</v>
      </c>
      <c r="E222" s="4" t="str">
        <f>FEATURES!Q222</f>
        <v>DISENGAGED</v>
      </c>
      <c r="F222" s="4" t="str">
        <f>FEATURES!P222</f>
        <v>Low_Pressure</v>
      </c>
      <c r="G222" s="4" t="str">
        <f>FEATURES!M222</f>
        <v>HIGH</v>
      </c>
      <c r="H222" s="4" t="str">
        <f>FEATURES!O222</f>
        <v>MODERATE-WAIT</v>
      </c>
      <c r="I222" s="4" t="str">
        <f t="shared" si="0"/>
        <v>LOW RISK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3.2" x14ac:dyDescent="0.25">
      <c r="A223" s="4">
        <v>305</v>
      </c>
      <c r="B223" s="4" t="s">
        <v>45</v>
      </c>
      <c r="C223" s="4" t="str">
        <f>FEATURES!L223</f>
        <v>NORMAL</v>
      </c>
      <c r="D223" s="4" t="str">
        <f>FEATURES!R223</f>
        <v>LOW</v>
      </c>
      <c r="E223" s="4" t="str">
        <f>FEATURES!Q223</f>
        <v>DISENGAGED</v>
      </c>
      <c r="F223" s="4" t="str">
        <f>FEATURES!P223</f>
        <v>Medium_Pressure</v>
      </c>
      <c r="G223" s="4" t="str">
        <f>FEATURES!M223</f>
        <v>LOW</v>
      </c>
      <c r="H223" s="4" t="str">
        <f>FEATURES!O223</f>
        <v>RECENTLY PROMOTED</v>
      </c>
      <c r="I223" s="4" t="str">
        <f t="shared" si="0"/>
        <v>LOW RISK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3.2" x14ac:dyDescent="0.25">
      <c r="A224" s="4">
        <v>306</v>
      </c>
      <c r="B224" s="4" t="s">
        <v>45</v>
      </c>
      <c r="C224" s="4" t="str">
        <f>FEATURES!L224</f>
        <v>NORMAL</v>
      </c>
      <c r="D224" s="4" t="str">
        <f>FEATURES!R224</f>
        <v>LOW</v>
      </c>
      <c r="E224" s="4" t="str">
        <f>FEATURES!Q224</f>
        <v>HIGHLY_ENGAGED</v>
      </c>
      <c r="F224" s="4" t="str">
        <f>FEATURES!P224</f>
        <v>Medium_Pressure</v>
      </c>
      <c r="G224" s="4" t="str">
        <f>FEATURES!M224</f>
        <v>MEDIUM</v>
      </c>
      <c r="H224" s="4" t="str">
        <f>FEATURES!O224</f>
        <v>RECENTLY PROMOTED</v>
      </c>
      <c r="I224" s="4" t="str">
        <f t="shared" si="0"/>
        <v>LOW RISK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3.2" x14ac:dyDescent="0.25">
      <c r="A225" s="4">
        <v>307</v>
      </c>
      <c r="B225" s="4" t="s">
        <v>37</v>
      </c>
      <c r="C225" s="4" t="str">
        <f>FEATURES!L225</f>
        <v>NORMAL</v>
      </c>
      <c r="D225" s="4" t="str">
        <f>FEATURES!R225</f>
        <v>LOW</v>
      </c>
      <c r="E225" s="4" t="str">
        <f>FEATURES!Q225</f>
        <v>DISENGAGED</v>
      </c>
      <c r="F225" s="4" t="str">
        <f>FEATURES!P225</f>
        <v>Low_Pressure</v>
      </c>
      <c r="G225" s="4" t="str">
        <f>FEATURES!M225</f>
        <v>MEDIUM</v>
      </c>
      <c r="H225" s="4" t="str">
        <f>FEATURES!O225</f>
        <v>STAGNANT</v>
      </c>
      <c r="I225" s="4" t="str">
        <f t="shared" si="0"/>
        <v>LOW RISK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3.2" x14ac:dyDescent="0.25">
      <c r="A226" s="4">
        <v>308</v>
      </c>
      <c r="B226" s="4" t="s">
        <v>45</v>
      </c>
      <c r="C226" s="4" t="str">
        <f>FEATURES!L226</f>
        <v>NORMAL</v>
      </c>
      <c r="D226" s="4" t="str">
        <f>FEATURES!R226</f>
        <v>LOW</v>
      </c>
      <c r="E226" s="4" t="str">
        <f>FEATURES!Q226</f>
        <v>HIGHLY_ENGAGED</v>
      </c>
      <c r="F226" s="4" t="str">
        <f>FEATURES!P226</f>
        <v>Medium_Pressure</v>
      </c>
      <c r="G226" s="4" t="str">
        <f>FEATURES!M226</f>
        <v>HIGH</v>
      </c>
      <c r="H226" s="4" t="str">
        <f>FEATURES!O226</f>
        <v>RECENTLY PROMOTED</v>
      </c>
      <c r="I226" s="4" t="str">
        <f t="shared" si="0"/>
        <v>LOW RISK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3.2" x14ac:dyDescent="0.25">
      <c r="A227" s="4">
        <v>309</v>
      </c>
      <c r="B227" s="4" t="s">
        <v>45</v>
      </c>
      <c r="C227" s="4" t="str">
        <f>FEATURES!L227</f>
        <v>NORMAL</v>
      </c>
      <c r="D227" s="4" t="str">
        <f>FEATURES!R227</f>
        <v>LOW</v>
      </c>
      <c r="E227" s="4" t="str">
        <f>FEATURES!Q227</f>
        <v>HIGHLY_ENGAGED</v>
      </c>
      <c r="F227" s="4" t="str">
        <f>FEATURES!P227</f>
        <v>Medium_Pressure</v>
      </c>
      <c r="G227" s="4" t="str">
        <f>FEATURES!M227</f>
        <v>LOW</v>
      </c>
      <c r="H227" s="4" t="str">
        <f>FEATURES!O227</f>
        <v>RECENTLY PROMOTED</v>
      </c>
      <c r="I227" s="4" t="str">
        <f t="shared" si="0"/>
        <v>LOW RISK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3.2" x14ac:dyDescent="0.25">
      <c r="A228" s="4">
        <v>311</v>
      </c>
      <c r="B228" s="4" t="s">
        <v>37</v>
      </c>
      <c r="C228" s="4" t="str">
        <f>FEATURES!L228</f>
        <v>NORMAL</v>
      </c>
      <c r="D228" s="4" t="str">
        <f>FEATURES!R228</f>
        <v>LOW</v>
      </c>
      <c r="E228" s="4" t="str">
        <f>FEATURES!Q228</f>
        <v>HIGHLY_ENGAGED</v>
      </c>
      <c r="F228" s="4" t="str">
        <f>FEATURES!P228</f>
        <v>Medium_Pressure</v>
      </c>
      <c r="G228" s="4" t="str">
        <f>FEATURES!M228</f>
        <v>LOW</v>
      </c>
      <c r="H228" s="4" t="str">
        <f>FEATURES!O228</f>
        <v>STAGNANT</v>
      </c>
      <c r="I228" s="4" t="str">
        <f t="shared" si="0"/>
        <v>LOW RISK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3.2" x14ac:dyDescent="0.25">
      <c r="A229" s="4">
        <v>312</v>
      </c>
      <c r="B229" s="4" t="s">
        <v>37</v>
      </c>
      <c r="C229" s="4" t="str">
        <f>FEATURES!L229</f>
        <v>NORMAL</v>
      </c>
      <c r="D229" s="4" t="str">
        <f>FEATURES!R229</f>
        <v>LOW</v>
      </c>
      <c r="E229" s="4" t="str">
        <f>FEATURES!Q229</f>
        <v>HIGHLY_ENGAGED</v>
      </c>
      <c r="F229" s="4" t="str">
        <f>FEATURES!P229</f>
        <v>Medium_Pressure</v>
      </c>
      <c r="G229" s="4" t="str">
        <f>FEATURES!M229</f>
        <v>HIGH</v>
      </c>
      <c r="H229" s="4" t="str">
        <f>FEATURES!O229</f>
        <v>STAGNANT</v>
      </c>
      <c r="I229" s="4" t="str">
        <f t="shared" si="0"/>
        <v>LOW RISK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3.2" x14ac:dyDescent="0.25">
      <c r="A230" s="4">
        <v>314</v>
      </c>
      <c r="B230" s="4" t="s">
        <v>37</v>
      </c>
      <c r="C230" s="4" t="str">
        <f>FEATURES!L230</f>
        <v>NORMAL</v>
      </c>
      <c r="D230" s="4" t="str">
        <f>FEATURES!R230</f>
        <v>LOW</v>
      </c>
      <c r="E230" s="4" t="str">
        <f>FEATURES!Q230</f>
        <v>HIGHLY_ENGAGED</v>
      </c>
      <c r="F230" s="4" t="str">
        <f>FEATURES!P230</f>
        <v>Low_Pressure</v>
      </c>
      <c r="G230" s="4" t="str">
        <f>FEATURES!M230</f>
        <v>HIGH</v>
      </c>
      <c r="H230" s="4" t="str">
        <f>FEATURES!O230</f>
        <v>RECENTLY PROMOTED</v>
      </c>
      <c r="I230" s="4" t="str">
        <f t="shared" si="0"/>
        <v>LOW RISK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3.2" x14ac:dyDescent="0.25">
      <c r="A231" s="4">
        <v>315</v>
      </c>
      <c r="B231" s="4" t="s">
        <v>45</v>
      </c>
      <c r="C231" s="4" t="str">
        <f>FEATURES!L231</f>
        <v>NORMAL</v>
      </c>
      <c r="D231" s="4" t="str">
        <f>FEATURES!R231</f>
        <v>LOW</v>
      </c>
      <c r="E231" s="4" t="str">
        <f>FEATURES!Q231</f>
        <v>DISENGAGED</v>
      </c>
      <c r="F231" s="4" t="str">
        <f>FEATURES!P231</f>
        <v>High_Pressure</v>
      </c>
      <c r="G231" s="4" t="str">
        <f>FEATURES!M231</f>
        <v>LOW</v>
      </c>
      <c r="H231" s="4" t="str">
        <f>FEATURES!O231</f>
        <v>RECENTLY PROMOTED</v>
      </c>
      <c r="I231" s="4" t="str">
        <f t="shared" si="0"/>
        <v>LOW RISK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3.2" x14ac:dyDescent="0.25">
      <c r="A232" s="4">
        <v>316</v>
      </c>
      <c r="B232" s="4" t="s">
        <v>45</v>
      </c>
      <c r="C232" s="4" t="str">
        <f>FEATURES!L232</f>
        <v>NORMAL</v>
      </c>
      <c r="D232" s="4" t="str">
        <f>FEATURES!R232</f>
        <v>LOW</v>
      </c>
      <c r="E232" s="4" t="str">
        <f>FEATURES!Q232</f>
        <v>DISENGAGED</v>
      </c>
      <c r="F232" s="4" t="str">
        <f>FEATURES!P232</f>
        <v>Low_Pressure</v>
      </c>
      <c r="G232" s="4" t="str">
        <f>FEATURES!M232</f>
        <v>LOW</v>
      </c>
      <c r="H232" s="4" t="str">
        <f>FEATURES!O232</f>
        <v>MODERATE-WAIT</v>
      </c>
      <c r="I232" s="4" t="str">
        <f t="shared" si="0"/>
        <v>LOW RISK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3.2" x14ac:dyDescent="0.25">
      <c r="A233" s="4">
        <v>319</v>
      </c>
      <c r="B233" s="4" t="s">
        <v>45</v>
      </c>
      <c r="C233" s="4" t="str">
        <f>FEATURES!L233</f>
        <v>NORMAL</v>
      </c>
      <c r="D233" s="4" t="str">
        <f>FEATURES!R233</f>
        <v>LOW</v>
      </c>
      <c r="E233" s="4" t="str">
        <f>FEATURES!Q233</f>
        <v>HIGHLY_ENGAGED</v>
      </c>
      <c r="F233" s="4" t="str">
        <f>FEATURES!P233</f>
        <v>Medium_Pressure</v>
      </c>
      <c r="G233" s="4" t="str">
        <f>FEATURES!M233</f>
        <v>MEDIUM</v>
      </c>
      <c r="H233" s="4" t="str">
        <f>FEATURES!O233</f>
        <v>STAGNANT</v>
      </c>
      <c r="I233" s="4" t="str">
        <f t="shared" si="0"/>
        <v>LOW RISK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3.2" x14ac:dyDescent="0.25">
      <c r="A234" s="4">
        <v>321</v>
      </c>
      <c r="B234" s="4" t="s">
        <v>61</v>
      </c>
      <c r="C234" s="4" t="str">
        <f>FEATURES!L234</f>
        <v>NORMAL</v>
      </c>
      <c r="D234" s="4" t="str">
        <f>FEATURES!R234</f>
        <v>LOW</v>
      </c>
      <c r="E234" s="4" t="str">
        <f>FEATURES!Q234</f>
        <v>DISENGAGED</v>
      </c>
      <c r="F234" s="4" t="str">
        <f>FEATURES!P234</f>
        <v>Low_Pressure</v>
      </c>
      <c r="G234" s="4" t="str">
        <f>FEATURES!M234</f>
        <v>LOW</v>
      </c>
      <c r="H234" s="4" t="str">
        <f>FEATURES!O234</f>
        <v>MODERATE-WAIT</v>
      </c>
      <c r="I234" s="4" t="str">
        <f t="shared" si="0"/>
        <v>LOW RISK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3.2" x14ac:dyDescent="0.25">
      <c r="A235" s="4">
        <v>323</v>
      </c>
      <c r="B235" s="4" t="s">
        <v>37</v>
      </c>
      <c r="C235" s="4" t="str">
        <f>FEATURES!L235</f>
        <v>NORMAL</v>
      </c>
      <c r="D235" s="4" t="str">
        <f>FEATURES!R235</f>
        <v>LOW</v>
      </c>
      <c r="E235" s="4" t="str">
        <f>FEATURES!Q235</f>
        <v>DISENGAGED</v>
      </c>
      <c r="F235" s="4" t="str">
        <f>FEATURES!P235</f>
        <v>Low_Pressure</v>
      </c>
      <c r="G235" s="4" t="str">
        <f>FEATURES!M235</f>
        <v>MEDIUM</v>
      </c>
      <c r="H235" s="4" t="str">
        <f>FEATURES!O235</f>
        <v>RECENTLY PROMOTED</v>
      </c>
      <c r="I235" s="4" t="str">
        <f t="shared" si="0"/>
        <v>LOW RISK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3.2" x14ac:dyDescent="0.25">
      <c r="A236" s="4">
        <v>325</v>
      </c>
      <c r="B236" s="4" t="s">
        <v>45</v>
      </c>
      <c r="C236" s="4" t="str">
        <f>FEATURES!L236</f>
        <v>NORMAL</v>
      </c>
      <c r="D236" s="4" t="str">
        <f>FEATURES!R236</f>
        <v>LOW</v>
      </c>
      <c r="E236" s="4" t="str">
        <f>FEATURES!Q236</f>
        <v>DISENGAGED</v>
      </c>
      <c r="F236" s="4" t="str">
        <f>FEATURES!P236</f>
        <v>High_Pressure</v>
      </c>
      <c r="G236" s="4" t="str">
        <f>FEATURES!M236</f>
        <v>LOW</v>
      </c>
      <c r="H236" s="4" t="str">
        <f>FEATURES!O236</f>
        <v>RECENTLY PROMOTED</v>
      </c>
      <c r="I236" s="4" t="str">
        <f t="shared" si="0"/>
        <v>LOW RISK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3.2" x14ac:dyDescent="0.25">
      <c r="A237" s="4">
        <v>327</v>
      </c>
      <c r="B237" s="4" t="s">
        <v>37</v>
      </c>
      <c r="C237" s="4" t="str">
        <f>FEATURES!L237</f>
        <v>NORMAL</v>
      </c>
      <c r="D237" s="4" t="str">
        <f>FEATURES!R237</f>
        <v>LOW</v>
      </c>
      <c r="E237" s="4" t="str">
        <f>FEATURES!Q237</f>
        <v>HIGHLY_ENGAGED</v>
      </c>
      <c r="F237" s="4" t="str">
        <f>FEATURES!P237</f>
        <v>Medium_Pressure</v>
      </c>
      <c r="G237" s="4" t="str">
        <f>FEATURES!M237</f>
        <v>MEDIUM</v>
      </c>
      <c r="H237" s="4" t="str">
        <f>FEATURES!O237</f>
        <v>RECENTLY PROMOTED</v>
      </c>
      <c r="I237" s="4" t="str">
        <f t="shared" si="0"/>
        <v>LOW RISK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3.2" x14ac:dyDescent="0.25">
      <c r="A238" s="4">
        <v>328</v>
      </c>
      <c r="B238" s="4" t="s">
        <v>45</v>
      </c>
      <c r="C238" s="4" t="str">
        <f>FEATURES!L238</f>
        <v>NORMAL</v>
      </c>
      <c r="D238" s="4" t="str">
        <f>FEATURES!R238</f>
        <v>LOW</v>
      </c>
      <c r="E238" s="4" t="str">
        <f>FEATURES!Q238</f>
        <v>DISENGAGED</v>
      </c>
      <c r="F238" s="4" t="str">
        <f>FEATURES!P238</f>
        <v>Low_Pressure</v>
      </c>
      <c r="G238" s="4" t="str">
        <f>FEATURES!M238</f>
        <v>LOW</v>
      </c>
      <c r="H238" s="4" t="str">
        <f>FEATURES!O238</f>
        <v>RECENTLY PROMOTED</v>
      </c>
      <c r="I238" s="4" t="str">
        <f t="shared" si="0"/>
        <v>LOW RISK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3.2" x14ac:dyDescent="0.25">
      <c r="A239" s="4">
        <v>329</v>
      </c>
      <c r="B239" s="4" t="s">
        <v>37</v>
      </c>
      <c r="C239" s="4" t="str">
        <f>FEATURES!L239</f>
        <v>NORMAL</v>
      </c>
      <c r="D239" s="4" t="str">
        <f>FEATURES!R239</f>
        <v>LOW</v>
      </c>
      <c r="E239" s="4" t="str">
        <f>FEATURES!Q239</f>
        <v>HIGHLY_ENGAGED</v>
      </c>
      <c r="F239" s="4" t="str">
        <f>FEATURES!P239</f>
        <v>Medium_Pressure</v>
      </c>
      <c r="G239" s="4" t="str">
        <f>FEATURES!M239</f>
        <v>MEDIUM</v>
      </c>
      <c r="H239" s="4" t="str">
        <f>FEATURES!O239</f>
        <v>STAGNANT</v>
      </c>
      <c r="I239" s="4" t="str">
        <f t="shared" si="0"/>
        <v>LOW RISK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3.2" x14ac:dyDescent="0.25">
      <c r="A240" s="4">
        <v>330</v>
      </c>
      <c r="B240" s="4" t="s">
        <v>37</v>
      </c>
      <c r="C240" s="4" t="str">
        <f>FEATURES!L240</f>
        <v>NORMAL</v>
      </c>
      <c r="D240" s="4" t="str">
        <f>FEATURES!R240</f>
        <v>LOW</v>
      </c>
      <c r="E240" s="4" t="str">
        <f>FEATURES!Q240</f>
        <v>DISENGAGED</v>
      </c>
      <c r="F240" s="4" t="str">
        <f>FEATURES!P240</f>
        <v>Medium_Pressure</v>
      </c>
      <c r="G240" s="4" t="str">
        <f>FEATURES!M240</f>
        <v>LOW</v>
      </c>
      <c r="H240" s="4" t="str">
        <f>FEATURES!O240</f>
        <v>RECENTLY PROMOTED</v>
      </c>
      <c r="I240" s="4" t="str">
        <f t="shared" si="0"/>
        <v>LOW RISK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3.2" x14ac:dyDescent="0.25">
      <c r="A241" s="4">
        <v>331</v>
      </c>
      <c r="B241" s="4" t="s">
        <v>45</v>
      </c>
      <c r="C241" s="4" t="str">
        <f>FEATURES!L241</f>
        <v>NORMAL</v>
      </c>
      <c r="D241" s="4" t="str">
        <f>FEATURES!R241</f>
        <v>LOW</v>
      </c>
      <c r="E241" s="4" t="str">
        <f>FEATURES!Q241</f>
        <v>DISENGAGED</v>
      </c>
      <c r="F241" s="4" t="str">
        <f>FEATURES!P241</f>
        <v>High_Pressure</v>
      </c>
      <c r="G241" s="4" t="str">
        <f>FEATURES!M241</f>
        <v>LOW</v>
      </c>
      <c r="H241" s="4" t="str">
        <f>FEATURES!O241</f>
        <v>RECENTLY PROMOTED</v>
      </c>
      <c r="I241" s="4" t="str">
        <f t="shared" si="0"/>
        <v>LOW RISK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3.2" x14ac:dyDescent="0.25">
      <c r="A242" s="4">
        <v>332</v>
      </c>
      <c r="B242" s="4" t="s">
        <v>45</v>
      </c>
      <c r="C242" s="4" t="str">
        <f>FEATURES!L242</f>
        <v>NORMAL</v>
      </c>
      <c r="D242" s="4" t="str">
        <f>FEATURES!R242</f>
        <v>LOW</v>
      </c>
      <c r="E242" s="4" t="str">
        <f>FEATURES!Q242</f>
        <v>HIGHLY_ENGAGED</v>
      </c>
      <c r="F242" s="4" t="str">
        <f>FEATURES!P242</f>
        <v>Medium_Pressure</v>
      </c>
      <c r="G242" s="4" t="str">
        <f>FEATURES!M242</f>
        <v>LOW</v>
      </c>
      <c r="H242" s="4" t="str">
        <f>FEATURES!O242</f>
        <v>RECENTLY PROMOTED</v>
      </c>
      <c r="I242" s="4" t="str">
        <f t="shared" si="0"/>
        <v>LOW RISK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3.2" x14ac:dyDescent="0.25">
      <c r="A243" s="4">
        <v>333</v>
      </c>
      <c r="B243" s="4" t="s">
        <v>37</v>
      </c>
      <c r="C243" s="4" t="str">
        <f>FEATURES!L243</f>
        <v>NORMAL</v>
      </c>
      <c r="D243" s="4" t="str">
        <f>FEATURES!R243</f>
        <v>LOW</v>
      </c>
      <c r="E243" s="4" t="str">
        <f>FEATURES!Q243</f>
        <v>HIGHLY_ENGAGED</v>
      </c>
      <c r="F243" s="4" t="str">
        <f>FEATURES!P243</f>
        <v>Medium_Pressure</v>
      </c>
      <c r="G243" s="4" t="str">
        <f>FEATURES!M243</f>
        <v>HIGH</v>
      </c>
      <c r="H243" s="4" t="str">
        <f>FEATURES!O243</f>
        <v>MODERATE-WAIT</v>
      </c>
      <c r="I243" s="4" t="str">
        <f t="shared" si="0"/>
        <v>LOW RISK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3.2" x14ac:dyDescent="0.25">
      <c r="A244" s="4">
        <v>334</v>
      </c>
      <c r="B244" s="4" t="s">
        <v>45</v>
      </c>
      <c r="C244" s="4" t="str">
        <f>FEATURES!L244</f>
        <v>NORMAL</v>
      </c>
      <c r="D244" s="4" t="str">
        <f>FEATURES!R244</f>
        <v>LOW</v>
      </c>
      <c r="E244" s="4" t="str">
        <f>FEATURES!Q244</f>
        <v>DISENGAGED</v>
      </c>
      <c r="F244" s="4" t="str">
        <f>FEATURES!P244</f>
        <v>Low_Pressure</v>
      </c>
      <c r="G244" s="4" t="str">
        <f>FEATURES!M244</f>
        <v>LOW</v>
      </c>
      <c r="H244" s="4" t="str">
        <f>FEATURES!O244</f>
        <v>RECENTLY PROMOTED</v>
      </c>
      <c r="I244" s="4" t="str">
        <f t="shared" si="0"/>
        <v>LOW RISK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3.2" x14ac:dyDescent="0.25">
      <c r="A245" s="4">
        <v>335</v>
      </c>
      <c r="B245" s="4" t="s">
        <v>45</v>
      </c>
      <c r="C245" s="4" t="str">
        <f>FEATURES!L245</f>
        <v>NORMAL</v>
      </c>
      <c r="D245" s="4" t="str">
        <f>FEATURES!R245</f>
        <v>LOW</v>
      </c>
      <c r="E245" s="4" t="str">
        <f>FEATURES!Q245</f>
        <v>HIGHLY_ENGAGED</v>
      </c>
      <c r="F245" s="4" t="str">
        <f>FEATURES!P245</f>
        <v>Medium_Pressure</v>
      </c>
      <c r="G245" s="4" t="str">
        <f>FEATURES!M245</f>
        <v>LOW</v>
      </c>
      <c r="H245" s="4" t="str">
        <f>FEATURES!O245</f>
        <v>STAGNANT</v>
      </c>
      <c r="I245" s="4" t="str">
        <f t="shared" si="0"/>
        <v>LOW RISK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3.2" x14ac:dyDescent="0.25">
      <c r="A246" s="4">
        <v>336</v>
      </c>
      <c r="B246" s="4" t="s">
        <v>45</v>
      </c>
      <c r="C246" s="4" t="str">
        <f>FEATURES!L246</f>
        <v>NORMAL</v>
      </c>
      <c r="D246" s="4" t="str">
        <f>FEATURES!R246</f>
        <v>LOW</v>
      </c>
      <c r="E246" s="4" t="str">
        <f>FEATURES!Q246</f>
        <v>HIGHLY_ENGAGED</v>
      </c>
      <c r="F246" s="4" t="str">
        <f>FEATURES!P246</f>
        <v>Medium_Pressure</v>
      </c>
      <c r="G246" s="4" t="str">
        <f>FEATURES!M246</f>
        <v>MEDIUM</v>
      </c>
      <c r="H246" s="4" t="str">
        <f>FEATURES!O246</f>
        <v>RECENTLY PROMOTED</v>
      </c>
      <c r="I246" s="4" t="str">
        <f t="shared" si="0"/>
        <v>LOW RISK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3.2" x14ac:dyDescent="0.25">
      <c r="A247" s="4">
        <v>337</v>
      </c>
      <c r="B247" s="4" t="s">
        <v>45</v>
      </c>
      <c r="C247" s="4" t="str">
        <f>FEATURES!L247</f>
        <v>NORMAL</v>
      </c>
      <c r="D247" s="4" t="str">
        <f>FEATURES!R247</f>
        <v>LOW</v>
      </c>
      <c r="E247" s="4" t="str">
        <f>FEATURES!Q247</f>
        <v>HIGHLY_ENGAGED</v>
      </c>
      <c r="F247" s="4" t="str">
        <f>FEATURES!P247</f>
        <v>Medium_Pressure</v>
      </c>
      <c r="G247" s="4" t="str">
        <f>FEATURES!M247</f>
        <v>MEDIUM</v>
      </c>
      <c r="H247" s="4" t="str">
        <f>FEATURES!O247</f>
        <v>MODERATE-WAIT</v>
      </c>
      <c r="I247" s="4" t="str">
        <f t="shared" si="0"/>
        <v>LOW RISK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3.2" x14ac:dyDescent="0.25">
      <c r="A248" s="4">
        <v>338</v>
      </c>
      <c r="B248" s="4" t="s">
        <v>45</v>
      </c>
      <c r="C248" s="4" t="str">
        <f>FEATURES!L248</f>
        <v>NORMAL</v>
      </c>
      <c r="D248" s="4" t="str">
        <f>FEATURES!R248</f>
        <v>LOW</v>
      </c>
      <c r="E248" s="4" t="str">
        <f>FEATURES!Q248</f>
        <v>DISENGAGED</v>
      </c>
      <c r="F248" s="4" t="str">
        <f>FEATURES!P248</f>
        <v>Low_Pressure</v>
      </c>
      <c r="G248" s="4" t="str">
        <f>FEATURES!M248</f>
        <v>LOW</v>
      </c>
      <c r="H248" s="4" t="str">
        <f>FEATURES!O248</f>
        <v>RECENTLY PROMOTED</v>
      </c>
      <c r="I248" s="4" t="str">
        <f t="shared" si="0"/>
        <v>LOW RISK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3.2" x14ac:dyDescent="0.25">
      <c r="A249" s="4">
        <v>339</v>
      </c>
      <c r="B249" s="4" t="s">
        <v>45</v>
      </c>
      <c r="C249" s="4" t="str">
        <f>FEATURES!L249</f>
        <v>NORMAL</v>
      </c>
      <c r="D249" s="4" t="str">
        <f>FEATURES!R249</f>
        <v>LOW</v>
      </c>
      <c r="E249" s="4" t="str">
        <f>FEATURES!Q249</f>
        <v>DISENGAGED</v>
      </c>
      <c r="F249" s="4" t="str">
        <f>FEATURES!P249</f>
        <v>Medium_Pressure</v>
      </c>
      <c r="G249" s="4" t="str">
        <f>FEATURES!M249</f>
        <v>HIGH</v>
      </c>
      <c r="H249" s="4" t="str">
        <f>FEATURES!O249</f>
        <v>STAGNANT</v>
      </c>
      <c r="I249" s="4" t="str">
        <f t="shared" si="0"/>
        <v>LOW RISK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3.2" x14ac:dyDescent="0.25">
      <c r="A250" s="4">
        <v>340</v>
      </c>
      <c r="B250" s="4" t="s">
        <v>45</v>
      </c>
      <c r="C250" s="4" t="str">
        <f>FEATURES!L250</f>
        <v>NORMAL</v>
      </c>
      <c r="D250" s="4" t="str">
        <f>FEATURES!R250</f>
        <v>LOW</v>
      </c>
      <c r="E250" s="4" t="str">
        <f>FEATURES!Q250</f>
        <v>DISENGAGED</v>
      </c>
      <c r="F250" s="4" t="str">
        <f>FEATURES!P250</f>
        <v>Low_Pressure</v>
      </c>
      <c r="G250" s="4" t="str">
        <f>FEATURES!M250</f>
        <v>LOW</v>
      </c>
      <c r="H250" s="4" t="str">
        <f>FEATURES!O250</f>
        <v>RECENTLY PROMOTED</v>
      </c>
      <c r="I250" s="4" t="str">
        <f t="shared" si="0"/>
        <v>LOW RISK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3.2" x14ac:dyDescent="0.25">
      <c r="A251" s="4">
        <v>341</v>
      </c>
      <c r="B251" s="4" t="s">
        <v>45</v>
      </c>
      <c r="C251" s="4" t="str">
        <f>FEATURES!L251</f>
        <v>NORMAL</v>
      </c>
      <c r="D251" s="4" t="str">
        <f>FEATURES!R251</f>
        <v>LOW</v>
      </c>
      <c r="E251" s="4" t="str">
        <f>FEATURES!Q251</f>
        <v>HIGHLY_ENGAGED</v>
      </c>
      <c r="F251" s="4" t="str">
        <f>FEATURES!P251</f>
        <v>Medium_Pressure</v>
      </c>
      <c r="G251" s="4" t="str">
        <f>FEATURES!M251</f>
        <v>HIGH</v>
      </c>
      <c r="H251" s="4" t="str">
        <f>FEATURES!O251</f>
        <v>RECENTLY PROMOTED</v>
      </c>
      <c r="I251" s="4" t="str">
        <f t="shared" si="0"/>
        <v>LOW RISK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3.2" x14ac:dyDescent="0.25">
      <c r="A252" s="4">
        <v>342</v>
      </c>
      <c r="B252" s="4" t="s">
        <v>45</v>
      </c>
      <c r="C252" s="4" t="str">
        <f>FEATURES!L252</f>
        <v>NORMAL</v>
      </c>
      <c r="D252" s="4" t="str">
        <f>FEATURES!R252</f>
        <v>LOW</v>
      </c>
      <c r="E252" s="4" t="str">
        <f>FEATURES!Q252</f>
        <v>HIGHLY_ENGAGED</v>
      </c>
      <c r="F252" s="4" t="str">
        <f>FEATURES!P252</f>
        <v>Medium_Pressure</v>
      </c>
      <c r="G252" s="4" t="str">
        <f>FEATURES!M252</f>
        <v>MEDIUM</v>
      </c>
      <c r="H252" s="4" t="str">
        <f>FEATURES!O252</f>
        <v>RECENTLY PROMOTED</v>
      </c>
      <c r="I252" s="4" t="str">
        <f t="shared" si="0"/>
        <v>LOW RISK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3.2" x14ac:dyDescent="0.25">
      <c r="A253" s="4">
        <v>343</v>
      </c>
      <c r="B253" s="4" t="s">
        <v>45</v>
      </c>
      <c r="C253" s="4" t="str">
        <f>FEATURES!L253</f>
        <v>NORMAL</v>
      </c>
      <c r="D253" s="4" t="str">
        <f>FEATURES!R253</f>
        <v>LOW</v>
      </c>
      <c r="E253" s="4" t="str">
        <f>FEATURES!Q253</f>
        <v>HIGHLY_ENGAGED</v>
      </c>
      <c r="F253" s="4" t="str">
        <f>FEATURES!P253</f>
        <v>Medium_Pressure</v>
      </c>
      <c r="G253" s="4" t="str">
        <f>FEATURES!M253</f>
        <v>MEDIUM</v>
      </c>
      <c r="H253" s="4" t="str">
        <f>FEATURES!O253</f>
        <v>STAGNANT</v>
      </c>
      <c r="I253" s="4" t="str">
        <f t="shared" si="0"/>
        <v>LOW RISK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3.2" x14ac:dyDescent="0.25">
      <c r="A254" s="4">
        <v>346</v>
      </c>
      <c r="B254" s="4" t="s">
        <v>45</v>
      </c>
      <c r="C254" s="4" t="str">
        <f>FEATURES!L254</f>
        <v>NORMAL</v>
      </c>
      <c r="D254" s="4" t="str">
        <f>FEATURES!R254</f>
        <v>LOW</v>
      </c>
      <c r="E254" s="4" t="str">
        <f>FEATURES!Q254</f>
        <v>HIGHLY_ENGAGED</v>
      </c>
      <c r="F254" s="4" t="str">
        <f>FEATURES!P254</f>
        <v>Medium_Pressure</v>
      </c>
      <c r="G254" s="4" t="str">
        <f>FEATURES!M254</f>
        <v>LOW</v>
      </c>
      <c r="H254" s="4" t="str">
        <f>FEATURES!O254</f>
        <v>RECENTLY PROMOTED</v>
      </c>
      <c r="I254" s="4" t="str">
        <f t="shared" si="0"/>
        <v>LOW RISK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3.2" x14ac:dyDescent="0.25">
      <c r="A255" s="4">
        <v>347</v>
      </c>
      <c r="B255" s="4" t="s">
        <v>45</v>
      </c>
      <c r="C255" s="4" t="str">
        <f>FEATURES!L255</f>
        <v>NORMAL</v>
      </c>
      <c r="D255" s="4" t="str">
        <f>FEATURES!R255</f>
        <v>LOW</v>
      </c>
      <c r="E255" s="4" t="str">
        <f>FEATURES!Q255</f>
        <v>DISENGAGED</v>
      </c>
      <c r="F255" s="4" t="str">
        <f>FEATURES!P255</f>
        <v>Medium_Pressure</v>
      </c>
      <c r="G255" s="4" t="str">
        <f>FEATURES!M255</f>
        <v>HIGH</v>
      </c>
      <c r="H255" s="4" t="str">
        <f>FEATURES!O255</f>
        <v>RECENTLY PROMOTED</v>
      </c>
      <c r="I255" s="4" t="str">
        <f t="shared" si="0"/>
        <v>LOW RISK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3.2" x14ac:dyDescent="0.25">
      <c r="A256" s="4">
        <v>349</v>
      </c>
      <c r="B256" s="4" t="s">
        <v>37</v>
      </c>
      <c r="C256" s="4" t="str">
        <f>FEATURES!L256</f>
        <v>NORMAL</v>
      </c>
      <c r="D256" s="4" t="str">
        <f>FEATURES!R256</f>
        <v>LOW</v>
      </c>
      <c r="E256" s="4" t="str">
        <f>FEATURES!Q256</f>
        <v>HIGHLY_ENGAGED</v>
      </c>
      <c r="F256" s="4" t="str">
        <f>FEATURES!P256</f>
        <v>Medium_Pressure</v>
      </c>
      <c r="G256" s="4" t="str">
        <f>FEATURES!M256</f>
        <v>HIGH</v>
      </c>
      <c r="H256" s="4" t="str">
        <f>FEATURES!O256</f>
        <v>RECENTLY PROMOTED</v>
      </c>
      <c r="I256" s="4" t="str">
        <f t="shared" si="0"/>
        <v>LOW RISK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3.2" x14ac:dyDescent="0.25">
      <c r="A257" s="4">
        <v>350</v>
      </c>
      <c r="B257" s="4" t="s">
        <v>45</v>
      </c>
      <c r="C257" s="4" t="str">
        <f>FEATURES!L257</f>
        <v>NORMAL</v>
      </c>
      <c r="D257" s="4" t="str">
        <f>FEATURES!R257</f>
        <v>LOW</v>
      </c>
      <c r="E257" s="4" t="str">
        <f>FEATURES!Q257</f>
        <v>HIGHLY_ENGAGED</v>
      </c>
      <c r="F257" s="4" t="str">
        <f>FEATURES!P257</f>
        <v>Medium_Pressure</v>
      </c>
      <c r="G257" s="4" t="str">
        <f>FEATURES!M257</f>
        <v>HIGH</v>
      </c>
      <c r="H257" s="4" t="str">
        <f>FEATURES!O257</f>
        <v>RECENTLY PROMOTED</v>
      </c>
      <c r="I257" s="4" t="str">
        <f t="shared" ref="I257:I511" si="1">IF(AND(C257="HIGH",D257="HIGH",E257="DISENGAGED",F257="HIGH_PRESSURE",G257="LOW",H257="STAGNANT"),"HIGH RISK",IF(AND(C257="NORMAL",D257="MEDIUM",E257="MODERATELY ENGAGED",G257="MEDIUM",H257="MODERATE WAIT"),"MEDIUM RISK", "LOW RISK"))</f>
        <v>LOW RISK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3.2" x14ac:dyDescent="0.25">
      <c r="A258" s="4">
        <v>351</v>
      </c>
      <c r="B258" s="4" t="s">
        <v>45</v>
      </c>
      <c r="C258" s="4" t="str">
        <f>FEATURES!L258</f>
        <v>HIGH RISK</v>
      </c>
      <c r="D258" s="4" t="str">
        <f>FEATURES!R258</f>
        <v>LOW</v>
      </c>
      <c r="E258" s="4" t="str">
        <f>FEATURES!Q258</f>
        <v>DISENGAGED</v>
      </c>
      <c r="F258" s="4" t="str">
        <f>FEATURES!P258</f>
        <v>Medium_Pressure</v>
      </c>
      <c r="G258" s="4" t="str">
        <f>FEATURES!M258</f>
        <v>LOW</v>
      </c>
      <c r="H258" s="4" t="str">
        <f>FEATURES!O258</f>
        <v>STAGNANT</v>
      </c>
      <c r="I258" s="4" t="str">
        <f t="shared" si="1"/>
        <v>LOW RISK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3.2" x14ac:dyDescent="0.25">
      <c r="A259" s="4">
        <v>352</v>
      </c>
      <c r="B259" s="4" t="s">
        <v>45</v>
      </c>
      <c r="C259" s="4" t="str">
        <f>FEATURES!L259</f>
        <v>NORMAL</v>
      </c>
      <c r="D259" s="4" t="str">
        <f>FEATURES!R259</f>
        <v>LOW</v>
      </c>
      <c r="E259" s="4" t="str">
        <f>FEATURES!Q259</f>
        <v>HIGHLY_ENGAGED</v>
      </c>
      <c r="F259" s="4" t="str">
        <f>FEATURES!P259</f>
        <v>Medium_Pressure</v>
      </c>
      <c r="G259" s="4" t="str">
        <f>FEATURES!M259</f>
        <v>MEDIUM</v>
      </c>
      <c r="H259" s="4" t="str">
        <f>FEATURES!O259</f>
        <v>MODERATE-WAIT</v>
      </c>
      <c r="I259" s="4" t="str">
        <f t="shared" si="1"/>
        <v>LOW RISK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3.2" x14ac:dyDescent="0.25">
      <c r="A260" s="4">
        <v>353</v>
      </c>
      <c r="B260" s="4" t="s">
        <v>45</v>
      </c>
      <c r="C260" s="4" t="str">
        <f>FEATURES!L260</f>
        <v>NORMAL</v>
      </c>
      <c r="D260" s="4" t="str">
        <f>FEATURES!R260</f>
        <v>LOW</v>
      </c>
      <c r="E260" s="4" t="str">
        <f>FEATURES!Q260</f>
        <v>DISENGAGED</v>
      </c>
      <c r="F260" s="4" t="str">
        <f>FEATURES!P260</f>
        <v>Low_Pressure</v>
      </c>
      <c r="G260" s="4" t="str">
        <f>FEATURES!M260</f>
        <v>LOW</v>
      </c>
      <c r="H260" s="4" t="str">
        <f>FEATURES!O260</f>
        <v>RECENTLY PROMOTED</v>
      </c>
      <c r="I260" s="4" t="str">
        <f t="shared" si="1"/>
        <v>LOW RISK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3.2" x14ac:dyDescent="0.25">
      <c r="A261" s="4">
        <v>355</v>
      </c>
      <c r="B261" s="4" t="s">
        <v>45</v>
      </c>
      <c r="C261" s="4" t="str">
        <f>FEATURES!L261</f>
        <v>NORMAL</v>
      </c>
      <c r="D261" s="4" t="str">
        <f>FEATURES!R261</f>
        <v>LOW</v>
      </c>
      <c r="E261" s="4" t="str">
        <f>FEATURES!Q261</f>
        <v>DISENGAGED</v>
      </c>
      <c r="F261" s="4" t="str">
        <f>FEATURES!P261</f>
        <v>Low_Pressure</v>
      </c>
      <c r="G261" s="4" t="str">
        <f>FEATURES!M261</f>
        <v>LOW</v>
      </c>
      <c r="H261" s="4" t="str">
        <f>FEATURES!O261</f>
        <v>RECENTLY PROMOTED</v>
      </c>
      <c r="I261" s="4" t="str">
        <f t="shared" si="1"/>
        <v>LOW RISK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3.2" x14ac:dyDescent="0.25">
      <c r="A262" s="4">
        <v>359</v>
      </c>
      <c r="B262" s="4" t="s">
        <v>45</v>
      </c>
      <c r="C262" s="4" t="str">
        <f>FEATURES!L262</f>
        <v>NORMAL</v>
      </c>
      <c r="D262" s="4" t="str">
        <f>FEATURES!R262</f>
        <v>LOW</v>
      </c>
      <c r="E262" s="4" t="str">
        <f>FEATURES!Q262</f>
        <v>DISENGAGED</v>
      </c>
      <c r="F262" s="4" t="str">
        <f>FEATURES!P262</f>
        <v>Low_Pressure</v>
      </c>
      <c r="G262" s="4" t="str">
        <f>FEATURES!M262</f>
        <v>LOW</v>
      </c>
      <c r="H262" s="4" t="str">
        <f>FEATURES!O262</f>
        <v>RECENTLY PROMOTED</v>
      </c>
      <c r="I262" s="4" t="str">
        <f t="shared" si="1"/>
        <v>LOW RISK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3.2" x14ac:dyDescent="0.25">
      <c r="A263" s="4">
        <v>361</v>
      </c>
      <c r="B263" s="4" t="s">
        <v>37</v>
      </c>
      <c r="C263" s="4" t="str">
        <f>FEATURES!L263</f>
        <v>NORMAL</v>
      </c>
      <c r="D263" s="4" t="str">
        <f>FEATURES!R263</f>
        <v>LOW</v>
      </c>
      <c r="E263" s="4" t="str">
        <f>FEATURES!Q263</f>
        <v>HIGHLY_ENGAGED</v>
      </c>
      <c r="F263" s="4" t="str">
        <f>FEATURES!P263</f>
        <v>Medium_Pressure</v>
      </c>
      <c r="G263" s="4" t="str">
        <f>FEATURES!M263</f>
        <v>HIGH</v>
      </c>
      <c r="H263" s="4" t="str">
        <f>FEATURES!O263</f>
        <v>STAGNANT</v>
      </c>
      <c r="I263" s="4" t="str">
        <f t="shared" si="1"/>
        <v>LOW RISK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3.2" x14ac:dyDescent="0.25">
      <c r="A264" s="4">
        <v>362</v>
      </c>
      <c r="B264" s="4" t="s">
        <v>45</v>
      </c>
      <c r="C264" s="4" t="str">
        <f>FEATURES!L264</f>
        <v>NORMAL</v>
      </c>
      <c r="D264" s="4" t="str">
        <f>FEATURES!R264</f>
        <v>LOW</v>
      </c>
      <c r="E264" s="4" t="str">
        <f>FEATURES!Q264</f>
        <v>DISENGAGED</v>
      </c>
      <c r="F264" s="4" t="str">
        <f>FEATURES!P264</f>
        <v>Medium_Pressure</v>
      </c>
      <c r="G264" s="4" t="str">
        <f>FEATURES!M264</f>
        <v>LOW</v>
      </c>
      <c r="H264" s="4" t="str">
        <f>FEATURES!O264</f>
        <v>RECENTLY PROMOTED</v>
      </c>
      <c r="I264" s="4" t="str">
        <f t="shared" si="1"/>
        <v>LOW RISK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3.2" x14ac:dyDescent="0.25">
      <c r="A265" s="4">
        <v>363</v>
      </c>
      <c r="B265" s="4" t="s">
        <v>37</v>
      </c>
      <c r="C265" s="4" t="str">
        <f>FEATURES!L265</f>
        <v>HIGH RISK</v>
      </c>
      <c r="D265" s="4" t="str">
        <f>FEATURES!R265</f>
        <v>LOW</v>
      </c>
      <c r="E265" s="4" t="str">
        <f>FEATURES!Q265</f>
        <v>DISENGAGED</v>
      </c>
      <c r="F265" s="4" t="str">
        <f>FEATURES!P265</f>
        <v>High_Pressure</v>
      </c>
      <c r="G265" s="4" t="str">
        <f>FEATURES!M265</f>
        <v>MEDIUM</v>
      </c>
      <c r="H265" s="4" t="str">
        <f>FEATURES!O265</f>
        <v>STAGNANT</v>
      </c>
      <c r="I265" s="4" t="str">
        <f t="shared" si="1"/>
        <v>LOW RISK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3.2" x14ac:dyDescent="0.25">
      <c r="A266" s="4">
        <v>364</v>
      </c>
      <c r="B266" s="4" t="s">
        <v>45</v>
      </c>
      <c r="C266" s="4" t="str">
        <f>FEATURES!L266</f>
        <v>NORMAL</v>
      </c>
      <c r="D266" s="4" t="str">
        <f>FEATURES!R266</f>
        <v>LOW</v>
      </c>
      <c r="E266" s="4" t="str">
        <f>FEATURES!Q266</f>
        <v>DISENGAGED</v>
      </c>
      <c r="F266" s="4" t="str">
        <f>FEATURES!P266</f>
        <v>Low_Pressure</v>
      </c>
      <c r="G266" s="4" t="str">
        <f>FEATURES!M266</f>
        <v>LOW</v>
      </c>
      <c r="H266" s="4" t="str">
        <f>FEATURES!O266</f>
        <v>RECENTLY PROMOTED</v>
      </c>
      <c r="I266" s="4" t="str">
        <f t="shared" si="1"/>
        <v>LOW RISK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3.2" x14ac:dyDescent="0.25">
      <c r="A267" s="4">
        <v>366</v>
      </c>
      <c r="B267" s="4" t="s">
        <v>37</v>
      </c>
      <c r="C267" s="4" t="str">
        <f>FEATURES!L267</f>
        <v>NORMAL</v>
      </c>
      <c r="D267" s="4" t="str">
        <f>FEATURES!R267</f>
        <v>LOW</v>
      </c>
      <c r="E267" s="4" t="str">
        <f>FEATURES!Q267</f>
        <v>DISENGAGED</v>
      </c>
      <c r="F267" s="4" t="str">
        <f>FEATURES!P267</f>
        <v>Medium_Pressure</v>
      </c>
      <c r="G267" s="4" t="str">
        <f>FEATURES!M267</f>
        <v>HIGH</v>
      </c>
      <c r="H267" s="4" t="str">
        <f>FEATURES!O267</f>
        <v>RECENTLY PROMOTED</v>
      </c>
      <c r="I267" s="4" t="str">
        <f t="shared" si="1"/>
        <v>LOW RISK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3.2" x14ac:dyDescent="0.25">
      <c r="A268" s="4">
        <v>367</v>
      </c>
      <c r="B268" s="4" t="s">
        <v>45</v>
      </c>
      <c r="C268" s="4" t="str">
        <f>FEATURES!L268</f>
        <v>NORMAL</v>
      </c>
      <c r="D268" s="4" t="str">
        <f>FEATURES!R268</f>
        <v>LOW</v>
      </c>
      <c r="E268" s="4" t="str">
        <f>FEATURES!Q268</f>
        <v>HIGHLY_ENGAGED</v>
      </c>
      <c r="F268" s="4" t="str">
        <f>FEATURES!P268</f>
        <v>Medium_Pressure</v>
      </c>
      <c r="G268" s="4" t="str">
        <f>FEATURES!M268</f>
        <v>HIGH</v>
      </c>
      <c r="H268" s="4" t="str">
        <f>FEATURES!O268</f>
        <v>STAGNANT</v>
      </c>
      <c r="I268" s="4" t="str">
        <f t="shared" si="1"/>
        <v>LOW RISK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3.2" x14ac:dyDescent="0.25">
      <c r="A269" s="4">
        <v>369</v>
      </c>
      <c r="B269" s="4" t="s">
        <v>45</v>
      </c>
      <c r="C269" s="4" t="str">
        <f>FEATURES!L269</f>
        <v>NORMAL</v>
      </c>
      <c r="D269" s="4" t="str">
        <f>FEATURES!R269</f>
        <v>LOW</v>
      </c>
      <c r="E269" s="4" t="str">
        <f>FEATURES!Q269</f>
        <v>DISENGAGED</v>
      </c>
      <c r="F269" s="4" t="str">
        <f>FEATURES!P269</f>
        <v>Medium_Pressure</v>
      </c>
      <c r="G269" s="4" t="str">
        <f>FEATURES!M269</f>
        <v>LOW</v>
      </c>
      <c r="H269" s="4" t="str">
        <f>FEATURES!O269</f>
        <v>RECENTLY PROMOTED</v>
      </c>
      <c r="I269" s="4" t="str">
        <f t="shared" si="1"/>
        <v>LOW RISK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3.2" x14ac:dyDescent="0.25">
      <c r="A270" s="4">
        <v>372</v>
      </c>
      <c r="B270" s="4" t="s">
        <v>45</v>
      </c>
      <c r="C270" s="4" t="str">
        <f>FEATURES!L270</f>
        <v>NORMAL</v>
      </c>
      <c r="D270" s="4" t="str">
        <f>FEATURES!R270</f>
        <v>LOW</v>
      </c>
      <c r="E270" s="4" t="str">
        <f>FEATURES!Q270</f>
        <v>HIGHLY_ENGAGED</v>
      </c>
      <c r="F270" s="4" t="str">
        <f>FEATURES!P270</f>
        <v>Medium_Pressure</v>
      </c>
      <c r="G270" s="4" t="str">
        <f>FEATURES!M270</f>
        <v>MEDIUM</v>
      </c>
      <c r="H270" s="4" t="str">
        <f>FEATURES!O270</f>
        <v>STAGNANT</v>
      </c>
      <c r="I270" s="4" t="str">
        <f t="shared" si="1"/>
        <v>LOW RISK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3.2" x14ac:dyDescent="0.25">
      <c r="A271" s="4">
        <v>373</v>
      </c>
      <c r="B271" s="4" t="s">
        <v>45</v>
      </c>
      <c r="C271" s="4" t="str">
        <f>FEATURES!L271</f>
        <v>NORMAL</v>
      </c>
      <c r="D271" s="4" t="str">
        <f>FEATURES!R271</f>
        <v>LOW</v>
      </c>
      <c r="E271" s="4" t="str">
        <f>FEATURES!Q271</f>
        <v>HIGHLY_ENGAGED</v>
      </c>
      <c r="F271" s="4" t="str">
        <f>FEATURES!P271</f>
        <v>Medium_Pressure</v>
      </c>
      <c r="G271" s="4" t="str">
        <f>FEATURES!M271</f>
        <v>LOW</v>
      </c>
      <c r="H271" s="4" t="str">
        <f>FEATURES!O271</f>
        <v>STAGNANT</v>
      </c>
      <c r="I271" s="4" t="str">
        <f t="shared" si="1"/>
        <v>LOW RISK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3.2" x14ac:dyDescent="0.25">
      <c r="A272" s="4">
        <v>374</v>
      </c>
      <c r="B272" s="4" t="s">
        <v>45</v>
      </c>
      <c r="C272" s="4" t="str">
        <f>FEATURES!L272</f>
        <v>HIGH RISK</v>
      </c>
      <c r="D272" s="4" t="str">
        <f>FEATURES!R272</f>
        <v>LOW</v>
      </c>
      <c r="E272" s="4" t="str">
        <f>FEATURES!Q272</f>
        <v>DISENGAGED</v>
      </c>
      <c r="F272" s="4" t="str">
        <f>FEATURES!P272</f>
        <v>Medium_Pressure</v>
      </c>
      <c r="G272" s="4" t="str">
        <f>FEATURES!M272</f>
        <v>MEDIUM</v>
      </c>
      <c r="H272" s="4" t="str">
        <f>FEATURES!O272</f>
        <v>STAGNANT</v>
      </c>
      <c r="I272" s="4" t="str">
        <f t="shared" si="1"/>
        <v>LOW RISK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3.2" x14ac:dyDescent="0.25">
      <c r="A273" s="4">
        <v>376</v>
      </c>
      <c r="B273" s="4" t="s">
        <v>45</v>
      </c>
      <c r="C273" s="4" t="str">
        <f>FEATURES!L273</f>
        <v>HIGH RISK</v>
      </c>
      <c r="D273" s="4" t="str">
        <f>FEATURES!R273</f>
        <v>LOW</v>
      </c>
      <c r="E273" s="4" t="str">
        <f>FEATURES!Q273</f>
        <v>DISENGAGED</v>
      </c>
      <c r="F273" s="4" t="str">
        <f>FEATURES!P273</f>
        <v>High_Pressure</v>
      </c>
      <c r="G273" s="4" t="str">
        <f>FEATURES!M273</f>
        <v>MEDIUM</v>
      </c>
      <c r="H273" s="4" t="str">
        <f>FEATURES!O273</f>
        <v>STAGNANT</v>
      </c>
      <c r="I273" s="4" t="str">
        <f t="shared" si="1"/>
        <v>LOW RISK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3.2" x14ac:dyDescent="0.25">
      <c r="A274" s="4">
        <v>377</v>
      </c>
      <c r="B274" s="4" t="s">
        <v>45</v>
      </c>
      <c r="C274" s="4" t="str">
        <f>FEATURES!L274</f>
        <v>NORMAL</v>
      </c>
      <c r="D274" s="4" t="str">
        <f>FEATURES!R274</f>
        <v>LOW</v>
      </c>
      <c r="E274" s="4" t="str">
        <f>FEATURES!Q274</f>
        <v>DISENGAGED</v>
      </c>
      <c r="F274" s="4" t="str">
        <f>FEATURES!P274</f>
        <v>Low_Pressure</v>
      </c>
      <c r="G274" s="4" t="str">
        <f>FEATURES!M274</f>
        <v>LOW</v>
      </c>
      <c r="H274" s="4" t="str">
        <f>FEATURES!O274</f>
        <v>RECENTLY PROMOTED</v>
      </c>
      <c r="I274" s="4" t="str">
        <f t="shared" si="1"/>
        <v>LOW RISK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3.2" x14ac:dyDescent="0.25">
      <c r="A275" s="4">
        <v>378</v>
      </c>
      <c r="B275" s="4" t="s">
        <v>37</v>
      </c>
      <c r="C275" s="4" t="str">
        <f>FEATURES!L275</f>
        <v>NORMAL</v>
      </c>
      <c r="D275" s="4" t="str">
        <f>FEATURES!R275</f>
        <v>LOW</v>
      </c>
      <c r="E275" s="4" t="str">
        <f>FEATURES!Q275</f>
        <v>HIGHLY_ENGAGED</v>
      </c>
      <c r="F275" s="4" t="str">
        <f>FEATURES!P275</f>
        <v>Low_Pressure</v>
      </c>
      <c r="G275" s="4" t="str">
        <f>FEATURES!M275</f>
        <v>HIGH</v>
      </c>
      <c r="H275" s="4" t="str">
        <f>FEATURES!O275</f>
        <v>RECENTLY PROMOTED</v>
      </c>
      <c r="I275" s="4" t="str">
        <f t="shared" si="1"/>
        <v>LOW RISK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3.2" x14ac:dyDescent="0.25">
      <c r="A276" s="4">
        <v>379</v>
      </c>
      <c r="B276" s="4" t="s">
        <v>45</v>
      </c>
      <c r="C276" s="4" t="str">
        <f>FEATURES!L276</f>
        <v>NORMAL</v>
      </c>
      <c r="D276" s="4" t="str">
        <f>FEATURES!R276</f>
        <v>LOW</v>
      </c>
      <c r="E276" s="4" t="str">
        <f>FEATURES!Q276</f>
        <v>HIGHLY_ENGAGED</v>
      </c>
      <c r="F276" s="4" t="str">
        <f>FEATURES!P276</f>
        <v>Low_Pressure</v>
      </c>
      <c r="G276" s="4" t="str">
        <f>FEATURES!M276</f>
        <v>LOW</v>
      </c>
      <c r="H276" s="4" t="str">
        <f>FEATURES!O276</f>
        <v>RECENTLY PROMOTED</v>
      </c>
      <c r="I276" s="4" t="str">
        <f t="shared" si="1"/>
        <v>LOW RISK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3.2" x14ac:dyDescent="0.25">
      <c r="A277" s="4">
        <v>380</v>
      </c>
      <c r="B277" s="4" t="s">
        <v>45</v>
      </c>
      <c r="C277" s="4" t="str">
        <f>FEATURES!L277</f>
        <v>NORMAL</v>
      </c>
      <c r="D277" s="4" t="str">
        <f>FEATURES!R277</f>
        <v>LOW</v>
      </c>
      <c r="E277" s="4" t="str">
        <f>FEATURES!Q277</f>
        <v>HIGHLY_ENGAGED</v>
      </c>
      <c r="F277" s="4" t="str">
        <f>FEATURES!P277</f>
        <v>Medium_Pressure</v>
      </c>
      <c r="G277" s="4" t="str">
        <f>FEATURES!M277</f>
        <v>MEDIUM</v>
      </c>
      <c r="H277" s="4" t="str">
        <f>FEATURES!O277</f>
        <v>RECENTLY PROMOTED</v>
      </c>
      <c r="I277" s="4" t="str">
        <f t="shared" si="1"/>
        <v>LOW RISK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3.2" x14ac:dyDescent="0.25">
      <c r="A278" s="4">
        <v>381</v>
      </c>
      <c r="B278" s="4" t="s">
        <v>45</v>
      </c>
      <c r="C278" s="4" t="str">
        <f>FEATURES!L278</f>
        <v>NORMAL</v>
      </c>
      <c r="D278" s="4" t="str">
        <f>FEATURES!R278</f>
        <v>LOW</v>
      </c>
      <c r="E278" s="4" t="str">
        <f>FEATURES!Q278</f>
        <v>DISENGAGED</v>
      </c>
      <c r="F278" s="4" t="str">
        <f>FEATURES!P278</f>
        <v>Low_Pressure</v>
      </c>
      <c r="G278" s="4" t="str">
        <f>FEATURES!M278</f>
        <v>MEDIUM</v>
      </c>
      <c r="H278" s="4" t="str">
        <f>FEATURES!O278</f>
        <v>STAGNANT</v>
      </c>
      <c r="I278" s="4" t="str">
        <f t="shared" si="1"/>
        <v>LOW RISK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3.2" x14ac:dyDescent="0.25">
      <c r="A279" s="4">
        <v>382</v>
      </c>
      <c r="B279" s="4" t="s">
        <v>37</v>
      </c>
      <c r="C279" s="4" t="str">
        <f>FEATURES!L279</f>
        <v>HIGH RISK</v>
      </c>
      <c r="D279" s="4" t="str">
        <f>FEATURES!R279</f>
        <v>LOW</v>
      </c>
      <c r="E279" s="4" t="str">
        <f>FEATURES!Q279</f>
        <v>DISENGAGED</v>
      </c>
      <c r="F279" s="4" t="str">
        <f>FEATURES!P279</f>
        <v>Medium_Pressure</v>
      </c>
      <c r="G279" s="4" t="str">
        <f>FEATURES!M279</f>
        <v>HIGH</v>
      </c>
      <c r="H279" s="4" t="str">
        <f>FEATURES!O279</f>
        <v>STAGNANT</v>
      </c>
      <c r="I279" s="4" t="str">
        <f t="shared" si="1"/>
        <v>LOW RISK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3.2" x14ac:dyDescent="0.25">
      <c r="A280" s="4">
        <v>384</v>
      </c>
      <c r="B280" s="4" t="s">
        <v>45</v>
      </c>
      <c r="C280" s="4" t="str">
        <f>FEATURES!L280</f>
        <v>NORMAL</v>
      </c>
      <c r="D280" s="4" t="str">
        <f>FEATURES!R280</f>
        <v>LOW</v>
      </c>
      <c r="E280" s="4" t="str">
        <f>FEATURES!Q280</f>
        <v>DISENGAGED</v>
      </c>
      <c r="F280" s="4" t="str">
        <f>FEATURES!P280</f>
        <v>Low_Pressure</v>
      </c>
      <c r="G280" s="4" t="str">
        <f>FEATURES!M280</f>
        <v>HIGH</v>
      </c>
      <c r="H280" s="4" t="str">
        <f>FEATURES!O280</f>
        <v>RECENTLY PROMOTED</v>
      </c>
      <c r="I280" s="4" t="str">
        <f t="shared" si="1"/>
        <v>LOW RISK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3.2" x14ac:dyDescent="0.25">
      <c r="A281" s="4">
        <v>385</v>
      </c>
      <c r="B281" s="4" t="s">
        <v>45</v>
      </c>
      <c r="C281" s="4" t="str">
        <f>FEATURES!L281</f>
        <v>NORMAL</v>
      </c>
      <c r="D281" s="4" t="str">
        <f>FEATURES!R281</f>
        <v>LOW</v>
      </c>
      <c r="E281" s="4" t="str">
        <f>FEATURES!Q281</f>
        <v>DISENGAGED</v>
      </c>
      <c r="F281" s="4" t="str">
        <f>FEATURES!P281</f>
        <v>Low_Pressure</v>
      </c>
      <c r="G281" s="4" t="str">
        <f>FEATURES!M281</f>
        <v>MEDIUM</v>
      </c>
      <c r="H281" s="4" t="str">
        <f>FEATURES!O281</f>
        <v>RECENTLY PROMOTED</v>
      </c>
      <c r="I281" s="4" t="str">
        <f t="shared" si="1"/>
        <v>LOW RISK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3.2" x14ac:dyDescent="0.25">
      <c r="A282" s="4">
        <v>386</v>
      </c>
      <c r="B282" s="4" t="s">
        <v>45</v>
      </c>
      <c r="C282" s="4" t="str">
        <f>FEATURES!L282</f>
        <v>NORMAL</v>
      </c>
      <c r="D282" s="4" t="str">
        <f>FEATURES!R282</f>
        <v>LOW</v>
      </c>
      <c r="E282" s="4" t="str">
        <f>FEATURES!Q282</f>
        <v>DISENGAGED</v>
      </c>
      <c r="F282" s="4" t="str">
        <f>FEATURES!P282</f>
        <v>High_Pressure</v>
      </c>
      <c r="G282" s="4" t="str">
        <f>FEATURES!M282</f>
        <v>MEDIUM</v>
      </c>
      <c r="H282" s="4" t="str">
        <f>FEATURES!O282</f>
        <v>RECENTLY PROMOTED</v>
      </c>
      <c r="I282" s="4" t="str">
        <f t="shared" si="1"/>
        <v>LOW RISK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3.2" x14ac:dyDescent="0.25">
      <c r="A283" s="4">
        <v>387</v>
      </c>
      <c r="B283" s="4" t="s">
        <v>37</v>
      </c>
      <c r="C283" s="4" t="str">
        <f>FEATURES!L283</f>
        <v>NORMAL</v>
      </c>
      <c r="D283" s="4" t="str">
        <f>FEATURES!R283</f>
        <v>LOW</v>
      </c>
      <c r="E283" s="4" t="str">
        <f>FEATURES!Q283</f>
        <v>HIGHLY_ENGAGED</v>
      </c>
      <c r="F283" s="4" t="str">
        <f>FEATURES!P283</f>
        <v>Medium_Pressure</v>
      </c>
      <c r="G283" s="4" t="str">
        <f>FEATURES!M283</f>
        <v>HIGH</v>
      </c>
      <c r="H283" s="4" t="str">
        <f>FEATURES!O283</f>
        <v>STAGNANT</v>
      </c>
      <c r="I283" s="4" t="str">
        <f t="shared" si="1"/>
        <v>LOW RISK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3.2" x14ac:dyDescent="0.25">
      <c r="A284" s="4">
        <v>388</v>
      </c>
      <c r="B284" s="4" t="s">
        <v>37</v>
      </c>
      <c r="C284" s="4" t="str">
        <f>FEATURES!L284</f>
        <v>NORMAL</v>
      </c>
      <c r="D284" s="4" t="str">
        <f>FEATURES!R284</f>
        <v>LOW</v>
      </c>
      <c r="E284" s="4" t="str">
        <f>FEATURES!Q284</f>
        <v>DISENGAGED</v>
      </c>
      <c r="F284" s="4" t="str">
        <f>FEATURES!P284</f>
        <v>Low_Pressure</v>
      </c>
      <c r="G284" s="4" t="str">
        <f>FEATURES!M284</f>
        <v>HIGH</v>
      </c>
      <c r="H284" s="4" t="str">
        <f>FEATURES!O284</f>
        <v>RECENTLY PROMOTED</v>
      </c>
      <c r="I284" s="4" t="str">
        <f t="shared" si="1"/>
        <v>LOW RISK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3.2" x14ac:dyDescent="0.25">
      <c r="A285" s="4">
        <v>389</v>
      </c>
      <c r="B285" s="4" t="s">
        <v>45</v>
      </c>
      <c r="C285" s="4" t="str">
        <f>FEATURES!L285</f>
        <v>NORMAL</v>
      </c>
      <c r="D285" s="4" t="str">
        <f>FEATURES!R285</f>
        <v>LOW</v>
      </c>
      <c r="E285" s="4" t="str">
        <f>FEATURES!Q285</f>
        <v>HIGHLY_ENGAGED</v>
      </c>
      <c r="F285" s="4" t="str">
        <f>FEATURES!P285</f>
        <v>Medium_Pressure</v>
      </c>
      <c r="G285" s="4" t="str">
        <f>FEATURES!M285</f>
        <v>HIGH</v>
      </c>
      <c r="H285" s="4" t="str">
        <f>FEATURES!O285</f>
        <v>RECENTLY PROMOTED</v>
      </c>
      <c r="I285" s="4" t="str">
        <f t="shared" si="1"/>
        <v>LOW RISK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3.2" x14ac:dyDescent="0.25">
      <c r="A286" s="4">
        <v>390</v>
      </c>
      <c r="B286" s="4" t="s">
        <v>45</v>
      </c>
      <c r="C286" s="4" t="str">
        <f>FEATURES!L286</f>
        <v>HIGH RISK</v>
      </c>
      <c r="D286" s="4" t="str">
        <f>FEATURES!R286</f>
        <v>LOW</v>
      </c>
      <c r="E286" s="4" t="str">
        <f>FEATURES!Q286</f>
        <v>DISENGAGED</v>
      </c>
      <c r="F286" s="4" t="str">
        <f>FEATURES!P286</f>
        <v>Medium_Pressure</v>
      </c>
      <c r="G286" s="4" t="str">
        <f>FEATURES!M286</f>
        <v>HIGH</v>
      </c>
      <c r="H286" s="4" t="str">
        <f>FEATURES!O286</f>
        <v>MODERATE-WAIT</v>
      </c>
      <c r="I286" s="4" t="str">
        <f t="shared" si="1"/>
        <v>LOW RISK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3.2" x14ac:dyDescent="0.25">
      <c r="A287" s="4">
        <v>391</v>
      </c>
      <c r="B287" s="4" t="s">
        <v>45</v>
      </c>
      <c r="C287" s="4" t="str">
        <f>FEATURES!L287</f>
        <v>NORMAL</v>
      </c>
      <c r="D287" s="4" t="str">
        <f>FEATURES!R287</f>
        <v>LOW</v>
      </c>
      <c r="E287" s="4" t="str">
        <f>FEATURES!Q287</f>
        <v>HIGHLY_ENGAGED</v>
      </c>
      <c r="F287" s="4" t="str">
        <f>FEATURES!P287</f>
        <v>Medium_Pressure</v>
      </c>
      <c r="G287" s="4" t="str">
        <f>FEATURES!M287</f>
        <v>LOW</v>
      </c>
      <c r="H287" s="4" t="str">
        <f>FEATURES!O287</f>
        <v>STAGNANT</v>
      </c>
      <c r="I287" s="4" t="str">
        <f t="shared" si="1"/>
        <v>LOW RISK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3.2" x14ac:dyDescent="0.25">
      <c r="A288" s="4">
        <v>392</v>
      </c>
      <c r="B288" s="4" t="s">
        <v>45</v>
      </c>
      <c r="C288" s="4" t="str">
        <f>FEATURES!L288</f>
        <v>NORMAL</v>
      </c>
      <c r="D288" s="4" t="str">
        <f>FEATURES!R288</f>
        <v>LOW</v>
      </c>
      <c r="E288" s="4" t="str">
        <f>FEATURES!Q288</f>
        <v>DISENGAGED</v>
      </c>
      <c r="F288" s="4" t="str">
        <f>FEATURES!P288</f>
        <v>High_Pressure</v>
      </c>
      <c r="G288" s="4" t="str">
        <f>FEATURES!M288</f>
        <v>LOW</v>
      </c>
      <c r="H288" s="4" t="str">
        <f>FEATURES!O288</f>
        <v>RECENTLY PROMOTED</v>
      </c>
      <c r="I288" s="4" t="str">
        <f t="shared" si="1"/>
        <v>LOW RISK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3.2" x14ac:dyDescent="0.25">
      <c r="A289" s="4">
        <v>393</v>
      </c>
      <c r="B289" s="4" t="s">
        <v>45</v>
      </c>
      <c r="C289" s="4" t="str">
        <f>FEATURES!L289</f>
        <v>NORMAL</v>
      </c>
      <c r="D289" s="4" t="str">
        <f>FEATURES!R289</f>
        <v>LOW</v>
      </c>
      <c r="E289" s="4" t="str">
        <f>FEATURES!Q289</f>
        <v>HIGHLY_ENGAGED</v>
      </c>
      <c r="F289" s="4" t="str">
        <f>FEATURES!P289</f>
        <v>Medium_Pressure</v>
      </c>
      <c r="G289" s="4" t="str">
        <f>FEATURES!M289</f>
        <v>HIGH</v>
      </c>
      <c r="H289" s="4" t="str">
        <f>FEATURES!O289</f>
        <v>RECENTLY PROMOTED</v>
      </c>
      <c r="I289" s="4" t="str">
        <f t="shared" si="1"/>
        <v>LOW RISK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3.2" x14ac:dyDescent="0.25">
      <c r="A290" s="4">
        <v>394</v>
      </c>
      <c r="B290" s="4" t="s">
        <v>45</v>
      </c>
      <c r="C290" s="4" t="str">
        <f>FEATURES!L290</f>
        <v>NORMAL</v>
      </c>
      <c r="D290" s="4" t="str">
        <f>FEATURES!R290</f>
        <v>LOW</v>
      </c>
      <c r="E290" s="4" t="str">
        <f>FEATURES!Q290</f>
        <v>DISENGAGED</v>
      </c>
      <c r="F290" s="4" t="str">
        <f>FEATURES!P290</f>
        <v>Medium_Pressure</v>
      </c>
      <c r="G290" s="4" t="str">
        <f>FEATURES!M290</f>
        <v>LOW</v>
      </c>
      <c r="H290" s="4" t="str">
        <f>FEATURES!O290</f>
        <v>RECENTLY PROMOTED</v>
      </c>
      <c r="I290" s="4" t="str">
        <f t="shared" si="1"/>
        <v>LOW RISK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3.2" x14ac:dyDescent="0.25">
      <c r="A291" s="4">
        <v>395</v>
      </c>
      <c r="B291" s="4" t="s">
        <v>45</v>
      </c>
      <c r="C291" s="4" t="str">
        <f>FEATURES!L291</f>
        <v>NORMAL</v>
      </c>
      <c r="D291" s="4" t="str">
        <f>FEATURES!R291</f>
        <v>LOW</v>
      </c>
      <c r="E291" s="4" t="str">
        <f>FEATURES!Q291</f>
        <v>HIGHLY_ENGAGED</v>
      </c>
      <c r="F291" s="4" t="str">
        <f>FEATURES!P291</f>
        <v>Medium_Pressure</v>
      </c>
      <c r="G291" s="4" t="str">
        <f>FEATURES!M291</f>
        <v>LOW</v>
      </c>
      <c r="H291" s="4" t="str">
        <f>FEATURES!O291</f>
        <v>RECENTLY PROMOTED</v>
      </c>
      <c r="I291" s="4" t="str">
        <f t="shared" si="1"/>
        <v>LOW RISK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3.2" x14ac:dyDescent="0.25">
      <c r="A292" s="4">
        <v>396</v>
      </c>
      <c r="B292" s="4" t="s">
        <v>45</v>
      </c>
      <c r="C292" s="4" t="str">
        <f>FEATURES!L292</f>
        <v>NORMAL</v>
      </c>
      <c r="D292" s="4" t="str">
        <f>FEATURES!R292</f>
        <v>LOW</v>
      </c>
      <c r="E292" s="4" t="str">
        <f>FEATURES!Q292</f>
        <v>DISENGAGED</v>
      </c>
      <c r="F292" s="4" t="str">
        <f>FEATURES!P292</f>
        <v>Medium_Pressure</v>
      </c>
      <c r="G292" s="4" t="str">
        <f>FEATURES!M292</f>
        <v>MEDIUM</v>
      </c>
      <c r="H292" s="4" t="str">
        <f>FEATURES!O292</f>
        <v>RECENTLY PROMOTED</v>
      </c>
      <c r="I292" s="4" t="str">
        <f t="shared" si="1"/>
        <v>LOW RISK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3.2" x14ac:dyDescent="0.25">
      <c r="A293" s="4">
        <v>397</v>
      </c>
      <c r="B293" s="4" t="s">
        <v>45</v>
      </c>
      <c r="C293" s="4" t="str">
        <f>FEATURES!L293</f>
        <v>NORMAL</v>
      </c>
      <c r="D293" s="4" t="str">
        <f>FEATURES!R293</f>
        <v>LOW</v>
      </c>
      <c r="E293" s="4" t="str">
        <f>FEATURES!Q293</f>
        <v>DISENGAGED</v>
      </c>
      <c r="F293" s="4" t="str">
        <f>FEATURES!P293</f>
        <v>Medium_Pressure</v>
      </c>
      <c r="G293" s="4" t="str">
        <f>FEATURES!M293</f>
        <v>HIGH</v>
      </c>
      <c r="H293" s="4" t="str">
        <f>FEATURES!O293</f>
        <v>STAGNANT</v>
      </c>
      <c r="I293" s="4" t="str">
        <f t="shared" si="1"/>
        <v>LOW RISK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3.2" x14ac:dyDescent="0.25">
      <c r="A294" s="4">
        <v>399</v>
      </c>
      <c r="B294" s="4" t="s">
        <v>37</v>
      </c>
      <c r="C294" s="4" t="str">
        <f>FEATURES!L294</f>
        <v>NORMAL</v>
      </c>
      <c r="D294" s="4" t="str">
        <f>FEATURES!R294</f>
        <v>LOW</v>
      </c>
      <c r="E294" s="4" t="str">
        <f>FEATURES!Q294</f>
        <v>DISENGAGED</v>
      </c>
      <c r="F294" s="4" t="str">
        <f>FEATURES!P294</f>
        <v>Low_Pressure</v>
      </c>
      <c r="G294" s="4" t="str">
        <f>FEATURES!M294</f>
        <v>LOW</v>
      </c>
      <c r="H294" s="4" t="str">
        <f>FEATURES!O294</f>
        <v>MODERATE-WAIT</v>
      </c>
      <c r="I294" s="4" t="str">
        <f t="shared" si="1"/>
        <v>LOW RISK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3.2" x14ac:dyDescent="0.25">
      <c r="A295" s="4">
        <v>401</v>
      </c>
      <c r="B295" s="4" t="s">
        <v>37</v>
      </c>
      <c r="C295" s="4" t="str">
        <f>FEATURES!L295</f>
        <v>NORMAL</v>
      </c>
      <c r="D295" s="4" t="str">
        <f>FEATURES!R295</f>
        <v>LOW</v>
      </c>
      <c r="E295" s="4" t="str">
        <f>FEATURES!Q295</f>
        <v>HIGHLY_ENGAGED</v>
      </c>
      <c r="F295" s="4" t="str">
        <f>FEATURES!P295</f>
        <v>Medium_Pressure</v>
      </c>
      <c r="G295" s="4" t="str">
        <f>FEATURES!M295</f>
        <v>HIGH</v>
      </c>
      <c r="H295" s="4" t="str">
        <f>FEATURES!O295</f>
        <v>STAGNANT</v>
      </c>
      <c r="I295" s="4" t="str">
        <f t="shared" si="1"/>
        <v>LOW RISK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3.2" x14ac:dyDescent="0.25">
      <c r="A296" s="4">
        <v>403</v>
      </c>
      <c r="B296" s="4" t="s">
        <v>45</v>
      </c>
      <c r="C296" s="4" t="str">
        <f>FEATURES!L296</f>
        <v>NORMAL</v>
      </c>
      <c r="D296" s="4" t="str">
        <f>FEATURES!R296</f>
        <v>LOW</v>
      </c>
      <c r="E296" s="4" t="str">
        <f>FEATURES!Q296</f>
        <v>DISENGAGED</v>
      </c>
      <c r="F296" s="4" t="str">
        <f>FEATURES!P296</f>
        <v>High_Pressure</v>
      </c>
      <c r="G296" s="4" t="str">
        <f>FEATURES!M296</f>
        <v>LOW</v>
      </c>
      <c r="H296" s="4" t="str">
        <f>FEATURES!O296</f>
        <v>RECENTLY PROMOTED</v>
      </c>
      <c r="I296" s="4" t="str">
        <f t="shared" si="1"/>
        <v>LOW RISK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3.2" x14ac:dyDescent="0.25">
      <c r="A297" s="4">
        <v>404</v>
      </c>
      <c r="B297" s="4" t="s">
        <v>37</v>
      </c>
      <c r="C297" s="4" t="str">
        <f>FEATURES!L297</f>
        <v>NORMAL</v>
      </c>
      <c r="D297" s="4" t="str">
        <f>FEATURES!R297</f>
        <v>LOW</v>
      </c>
      <c r="E297" s="4" t="str">
        <f>FEATURES!Q297</f>
        <v>DISENGAGED</v>
      </c>
      <c r="F297" s="4" t="str">
        <f>FEATURES!P297</f>
        <v>Low_Pressure</v>
      </c>
      <c r="G297" s="4" t="str">
        <f>FEATURES!M297</f>
        <v>MEDIUM</v>
      </c>
      <c r="H297" s="4" t="str">
        <f>FEATURES!O297</f>
        <v>STAGNANT</v>
      </c>
      <c r="I297" s="4" t="str">
        <f t="shared" si="1"/>
        <v>LOW RISK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3.2" x14ac:dyDescent="0.25">
      <c r="A298" s="4">
        <v>405</v>
      </c>
      <c r="B298" s="4" t="s">
        <v>45</v>
      </c>
      <c r="C298" s="4" t="str">
        <f>FEATURES!L298</f>
        <v>NORMAL</v>
      </c>
      <c r="D298" s="4" t="str">
        <f>FEATURES!R298</f>
        <v>LOW</v>
      </c>
      <c r="E298" s="4" t="str">
        <f>FEATURES!Q298</f>
        <v>HIGHLY_ENGAGED</v>
      </c>
      <c r="F298" s="4" t="str">
        <f>FEATURES!P298</f>
        <v>Medium_Pressure</v>
      </c>
      <c r="G298" s="4" t="str">
        <f>FEATURES!M298</f>
        <v>LOW</v>
      </c>
      <c r="H298" s="4" t="str">
        <f>FEATURES!O298</f>
        <v>RECENTLY PROMOTED</v>
      </c>
      <c r="I298" s="4" t="str">
        <f t="shared" si="1"/>
        <v>LOW RISK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3.2" x14ac:dyDescent="0.25">
      <c r="A299" s="4">
        <v>406</v>
      </c>
      <c r="B299" s="4" t="s">
        <v>37</v>
      </c>
      <c r="C299" s="4" t="str">
        <f>FEATURES!L299</f>
        <v>NORMAL</v>
      </c>
      <c r="D299" s="4" t="str">
        <f>FEATURES!R299</f>
        <v>LOW</v>
      </c>
      <c r="E299" s="4" t="str">
        <f>FEATURES!Q299</f>
        <v>DISENGAGED</v>
      </c>
      <c r="F299" s="4" t="str">
        <f>FEATURES!P299</f>
        <v>Low_Pressure</v>
      </c>
      <c r="G299" s="4" t="str">
        <f>FEATURES!M299</f>
        <v>HIGH</v>
      </c>
      <c r="H299" s="4" t="str">
        <f>FEATURES!O299</f>
        <v>STAGNANT</v>
      </c>
      <c r="I299" s="4" t="str">
        <f t="shared" si="1"/>
        <v>LOW RISK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3.2" x14ac:dyDescent="0.25">
      <c r="A300" s="4">
        <v>407</v>
      </c>
      <c r="B300" s="4" t="s">
        <v>45</v>
      </c>
      <c r="C300" s="4" t="str">
        <f>FEATURES!L300</f>
        <v>NORMAL</v>
      </c>
      <c r="D300" s="4" t="str">
        <f>FEATURES!R300</f>
        <v>LOW</v>
      </c>
      <c r="E300" s="4" t="str">
        <f>FEATURES!Q300</f>
        <v>HIGHLY_ENGAGED</v>
      </c>
      <c r="F300" s="4" t="str">
        <f>FEATURES!P300</f>
        <v>Medium_Pressure</v>
      </c>
      <c r="G300" s="4" t="str">
        <f>FEATURES!M300</f>
        <v>LOW</v>
      </c>
      <c r="H300" s="4" t="str">
        <f>FEATURES!O300</f>
        <v>RECENTLY PROMOTED</v>
      </c>
      <c r="I300" s="4" t="str">
        <f t="shared" si="1"/>
        <v>LOW RISK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3.2" x14ac:dyDescent="0.25">
      <c r="A301" s="4">
        <v>408</v>
      </c>
      <c r="B301" s="4" t="s">
        <v>45</v>
      </c>
      <c r="C301" s="4" t="str">
        <f>FEATURES!L301</f>
        <v>NORMAL</v>
      </c>
      <c r="D301" s="4" t="str">
        <f>FEATURES!R301</f>
        <v>LOW</v>
      </c>
      <c r="E301" s="4" t="str">
        <f>FEATURES!Q301</f>
        <v>DISENGAGED</v>
      </c>
      <c r="F301" s="4" t="str">
        <f>FEATURES!P301</f>
        <v>Medium_Pressure</v>
      </c>
      <c r="G301" s="4" t="str">
        <f>FEATURES!M301</f>
        <v>HIGH</v>
      </c>
      <c r="H301" s="4" t="str">
        <f>FEATURES!O301</f>
        <v>RECENTLY PROMOTED</v>
      </c>
      <c r="I301" s="4" t="str">
        <f t="shared" si="1"/>
        <v>LOW RISK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3.2" x14ac:dyDescent="0.25">
      <c r="A302" s="4">
        <v>410</v>
      </c>
      <c r="B302" s="4" t="s">
        <v>37</v>
      </c>
      <c r="C302" s="4" t="str">
        <f>FEATURES!L302</f>
        <v>NORMAL</v>
      </c>
      <c r="D302" s="4" t="str">
        <f>FEATURES!R302</f>
        <v>LOW</v>
      </c>
      <c r="E302" s="4" t="str">
        <f>FEATURES!Q302</f>
        <v>DISENGAGED</v>
      </c>
      <c r="F302" s="4" t="str">
        <f>FEATURES!P302</f>
        <v>Medium_Pressure</v>
      </c>
      <c r="G302" s="4" t="str">
        <f>FEATURES!M302</f>
        <v>MEDIUM</v>
      </c>
      <c r="H302" s="4" t="str">
        <f>FEATURES!O302</f>
        <v>RECENTLY PROMOTED</v>
      </c>
      <c r="I302" s="4" t="str">
        <f t="shared" si="1"/>
        <v>LOW RISK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3.2" x14ac:dyDescent="0.25">
      <c r="A303" s="4">
        <v>411</v>
      </c>
      <c r="B303" s="4" t="s">
        <v>37</v>
      </c>
      <c r="C303" s="4" t="str">
        <f>FEATURES!L303</f>
        <v>NORMAL</v>
      </c>
      <c r="D303" s="4" t="str">
        <f>FEATURES!R303</f>
        <v>LOW</v>
      </c>
      <c r="E303" s="4" t="str">
        <f>FEATURES!Q303</f>
        <v>HIGHLY_ENGAGED</v>
      </c>
      <c r="F303" s="4" t="str">
        <f>FEATURES!P303</f>
        <v>Medium_Pressure</v>
      </c>
      <c r="G303" s="4" t="str">
        <f>FEATURES!M303</f>
        <v>LOW</v>
      </c>
      <c r="H303" s="4" t="str">
        <f>FEATURES!O303</f>
        <v>RECENTLY PROMOTED</v>
      </c>
      <c r="I303" s="4" t="str">
        <f t="shared" si="1"/>
        <v>LOW RISK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3.2" x14ac:dyDescent="0.25">
      <c r="A304" s="4">
        <v>412</v>
      </c>
      <c r="B304" s="4" t="s">
        <v>45</v>
      </c>
      <c r="C304" s="4" t="str">
        <f>FEATURES!L304</f>
        <v>NORMAL</v>
      </c>
      <c r="D304" s="4" t="str">
        <f>FEATURES!R304</f>
        <v>LOW</v>
      </c>
      <c r="E304" s="4" t="str">
        <f>FEATURES!Q304</f>
        <v>DISENGAGED</v>
      </c>
      <c r="F304" s="4" t="str">
        <f>FEATURES!P304</f>
        <v>Medium_Pressure</v>
      </c>
      <c r="G304" s="4" t="str">
        <f>FEATURES!M304</f>
        <v>HIGH</v>
      </c>
      <c r="H304" s="4" t="str">
        <f>FEATURES!O304</f>
        <v>RECENTLY PROMOTED</v>
      </c>
      <c r="I304" s="4" t="str">
        <f t="shared" si="1"/>
        <v>LOW RISK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3.2" x14ac:dyDescent="0.25">
      <c r="A305" s="4">
        <v>416</v>
      </c>
      <c r="B305" s="4" t="s">
        <v>37</v>
      </c>
      <c r="C305" s="4" t="str">
        <f>FEATURES!L305</f>
        <v>NORMAL</v>
      </c>
      <c r="D305" s="4" t="str">
        <f>FEATURES!R305</f>
        <v>LOW</v>
      </c>
      <c r="E305" s="4" t="str">
        <f>FEATURES!Q305</f>
        <v>DISENGAGED</v>
      </c>
      <c r="F305" s="4" t="str">
        <f>FEATURES!P305</f>
        <v>Low_Pressure</v>
      </c>
      <c r="G305" s="4" t="str">
        <f>FEATURES!M305</f>
        <v>HIGH</v>
      </c>
      <c r="H305" s="4" t="str">
        <f>FEATURES!O305</f>
        <v>STAGNANT</v>
      </c>
      <c r="I305" s="4" t="str">
        <f t="shared" si="1"/>
        <v>LOW RISK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3.2" x14ac:dyDescent="0.25">
      <c r="A306" s="4">
        <v>417</v>
      </c>
      <c r="B306" s="4" t="s">
        <v>45</v>
      </c>
      <c r="C306" s="4" t="str">
        <f>FEATURES!L306</f>
        <v>NORMAL</v>
      </c>
      <c r="D306" s="4" t="str">
        <f>FEATURES!R306</f>
        <v>LOW</v>
      </c>
      <c r="E306" s="4" t="str">
        <f>FEATURES!Q306</f>
        <v>DISENGAGED</v>
      </c>
      <c r="F306" s="4" t="str">
        <f>FEATURES!P306</f>
        <v>Low_Pressure</v>
      </c>
      <c r="G306" s="4" t="str">
        <f>FEATURES!M306</f>
        <v>MEDIUM</v>
      </c>
      <c r="H306" s="4" t="str">
        <f>FEATURES!O306</f>
        <v>MODERATE-WAIT</v>
      </c>
      <c r="I306" s="4" t="str">
        <f t="shared" si="1"/>
        <v>LOW RISK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3.2" x14ac:dyDescent="0.25">
      <c r="A307" s="4">
        <v>419</v>
      </c>
      <c r="B307" s="4" t="s">
        <v>45</v>
      </c>
      <c r="C307" s="4" t="str">
        <f>FEATURES!L307</f>
        <v>NORMAL</v>
      </c>
      <c r="D307" s="4" t="str">
        <f>FEATURES!R307</f>
        <v>LOW</v>
      </c>
      <c r="E307" s="4" t="str">
        <f>FEATURES!Q307</f>
        <v>DISENGAGED</v>
      </c>
      <c r="F307" s="4" t="str">
        <f>FEATURES!P307</f>
        <v>Medium_Pressure</v>
      </c>
      <c r="G307" s="4" t="str">
        <f>FEATURES!M307</f>
        <v>HIGH</v>
      </c>
      <c r="H307" s="4" t="str">
        <f>FEATURES!O307</f>
        <v>RECENTLY PROMOTED</v>
      </c>
      <c r="I307" s="4" t="str">
        <f t="shared" si="1"/>
        <v>LOW RISK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3.2" x14ac:dyDescent="0.25">
      <c r="A308" s="4">
        <v>420</v>
      </c>
      <c r="B308" s="4" t="s">
        <v>37</v>
      </c>
      <c r="C308" s="4" t="str">
        <f>FEATURES!L308</f>
        <v>NORMAL</v>
      </c>
      <c r="D308" s="4" t="str">
        <f>FEATURES!R308</f>
        <v>LOW</v>
      </c>
      <c r="E308" s="4" t="str">
        <f>FEATURES!Q308</f>
        <v>DISENGAGED</v>
      </c>
      <c r="F308" s="4" t="str">
        <f>FEATURES!P308</f>
        <v>Low_Pressure</v>
      </c>
      <c r="G308" s="4" t="str">
        <f>FEATURES!M308</f>
        <v>HIGH</v>
      </c>
      <c r="H308" s="4" t="str">
        <f>FEATURES!O308</f>
        <v>STAGNANT</v>
      </c>
      <c r="I308" s="4" t="str">
        <f t="shared" si="1"/>
        <v>LOW RISK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3.2" x14ac:dyDescent="0.25">
      <c r="A309" s="4">
        <v>421</v>
      </c>
      <c r="B309" s="4" t="s">
        <v>45</v>
      </c>
      <c r="C309" s="4" t="str">
        <f>FEATURES!L309</f>
        <v>NORMAL</v>
      </c>
      <c r="D309" s="4" t="str">
        <f>FEATURES!R309</f>
        <v>LOW</v>
      </c>
      <c r="E309" s="4" t="str">
        <f>FEATURES!Q309</f>
        <v>DISENGAGED</v>
      </c>
      <c r="F309" s="4" t="str">
        <f>FEATURES!P309</f>
        <v>Medium_Pressure</v>
      </c>
      <c r="G309" s="4" t="str">
        <f>FEATURES!M309</f>
        <v>MEDIUM</v>
      </c>
      <c r="H309" s="4" t="str">
        <f>FEATURES!O309</f>
        <v>RECENTLY PROMOTED</v>
      </c>
      <c r="I309" s="4" t="str">
        <f t="shared" si="1"/>
        <v>LOW RISK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3.2" x14ac:dyDescent="0.25">
      <c r="A310" s="4">
        <v>422</v>
      </c>
      <c r="B310" s="4" t="s">
        <v>45</v>
      </c>
      <c r="C310" s="4" t="str">
        <f>FEATURES!L310</f>
        <v>NORMAL</v>
      </c>
      <c r="D310" s="4" t="str">
        <f>FEATURES!R310</f>
        <v>LOW</v>
      </c>
      <c r="E310" s="4" t="str">
        <f>FEATURES!Q310</f>
        <v>HIGHLY_ENGAGED</v>
      </c>
      <c r="F310" s="4" t="str">
        <f>FEATURES!P310</f>
        <v>Medium_Pressure</v>
      </c>
      <c r="G310" s="4" t="str">
        <f>FEATURES!M310</f>
        <v>HIGH</v>
      </c>
      <c r="H310" s="4" t="str">
        <f>FEATURES!O310</f>
        <v>RECENTLY PROMOTED</v>
      </c>
      <c r="I310" s="4" t="str">
        <f t="shared" si="1"/>
        <v>LOW RISK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3.2" x14ac:dyDescent="0.25">
      <c r="A311" s="4">
        <v>423</v>
      </c>
      <c r="B311" s="4" t="s">
        <v>45</v>
      </c>
      <c r="C311" s="4" t="str">
        <f>FEATURES!L311</f>
        <v>NORMAL</v>
      </c>
      <c r="D311" s="4" t="str">
        <f>FEATURES!R311</f>
        <v>LOW</v>
      </c>
      <c r="E311" s="4" t="str">
        <f>FEATURES!Q311</f>
        <v>HIGHLY_ENGAGED</v>
      </c>
      <c r="F311" s="4" t="str">
        <f>FEATURES!P311</f>
        <v>Medium_Pressure</v>
      </c>
      <c r="G311" s="4" t="str">
        <f>FEATURES!M311</f>
        <v>HIGH</v>
      </c>
      <c r="H311" s="4" t="str">
        <f>FEATURES!O311</f>
        <v>RECENTLY PROMOTED</v>
      </c>
      <c r="I311" s="4" t="str">
        <f t="shared" si="1"/>
        <v>LOW RISK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3.2" x14ac:dyDescent="0.25">
      <c r="A312" s="4">
        <v>424</v>
      </c>
      <c r="B312" s="4" t="s">
        <v>61</v>
      </c>
      <c r="C312" s="4" t="str">
        <f>FEATURES!L312</f>
        <v>NORMAL</v>
      </c>
      <c r="D312" s="4" t="str">
        <f>FEATURES!R312</f>
        <v>LOW</v>
      </c>
      <c r="E312" s="4" t="str">
        <f>FEATURES!Q312</f>
        <v>DISENGAGED</v>
      </c>
      <c r="F312" s="4" t="str">
        <f>FEATURES!P312</f>
        <v>Medium_Pressure</v>
      </c>
      <c r="G312" s="4" t="str">
        <f>FEATURES!M312</f>
        <v>HIGH</v>
      </c>
      <c r="H312" s="4" t="str">
        <f>FEATURES!O312</f>
        <v>RECENTLY PROMOTED</v>
      </c>
      <c r="I312" s="4" t="str">
        <f t="shared" si="1"/>
        <v>LOW RISK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3.2" x14ac:dyDescent="0.25">
      <c r="A313" s="4">
        <v>425</v>
      </c>
      <c r="B313" s="4" t="s">
        <v>45</v>
      </c>
      <c r="C313" s="4" t="str">
        <f>FEATURES!L313</f>
        <v>NORMAL</v>
      </c>
      <c r="D313" s="4" t="str">
        <f>FEATURES!R313</f>
        <v>LOW</v>
      </c>
      <c r="E313" s="4" t="str">
        <f>FEATURES!Q313</f>
        <v>DISENGAGED</v>
      </c>
      <c r="F313" s="4" t="str">
        <f>FEATURES!P313</f>
        <v>Medium_Pressure</v>
      </c>
      <c r="G313" s="4" t="str">
        <f>FEATURES!M313</f>
        <v>HIGH</v>
      </c>
      <c r="H313" s="4" t="str">
        <f>FEATURES!O313</f>
        <v>STAGNANT</v>
      </c>
      <c r="I313" s="4" t="str">
        <f t="shared" si="1"/>
        <v>LOW RISK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3.2" x14ac:dyDescent="0.25">
      <c r="A314" s="4">
        <v>426</v>
      </c>
      <c r="B314" s="4" t="s">
        <v>45</v>
      </c>
      <c r="C314" s="4" t="str">
        <f>FEATURES!L314</f>
        <v>NORMAL</v>
      </c>
      <c r="D314" s="4" t="str">
        <f>FEATURES!R314</f>
        <v>LOW</v>
      </c>
      <c r="E314" s="4" t="str">
        <f>FEATURES!Q314</f>
        <v>DISENGAGED</v>
      </c>
      <c r="F314" s="4" t="str">
        <f>FEATURES!P314</f>
        <v>High_Pressure</v>
      </c>
      <c r="G314" s="4" t="str">
        <f>FEATURES!M314</f>
        <v>LOW</v>
      </c>
      <c r="H314" s="4" t="str">
        <f>FEATURES!O314</f>
        <v>MODERATE-WAIT</v>
      </c>
      <c r="I314" s="4" t="str">
        <f t="shared" si="1"/>
        <v>LOW RISK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3.2" x14ac:dyDescent="0.25">
      <c r="A315" s="4">
        <v>428</v>
      </c>
      <c r="B315" s="4" t="s">
        <v>45</v>
      </c>
      <c r="C315" s="4" t="str">
        <f>FEATURES!L315</f>
        <v>NORMAL</v>
      </c>
      <c r="D315" s="4" t="str">
        <f>FEATURES!R315</f>
        <v>LOW</v>
      </c>
      <c r="E315" s="4" t="str">
        <f>FEATURES!Q315</f>
        <v>DISENGAGED</v>
      </c>
      <c r="F315" s="4" t="str">
        <f>FEATURES!P315</f>
        <v>Medium_Pressure</v>
      </c>
      <c r="G315" s="4" t="str">
        <f>FEATURES!M315</f>
        <v>MEDIUM</v>
      </c>
      <c r="H315" s="4" t="str">
        <f>FEATURES!O315</f>
        <v>STAGNANT</v>
      </c>
      <c r="I315" s="4" t="str">
        <f t="shared" si="1"/>
        <v>LOW RISK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3.2" x14ac:dyDescent="0.25">
      <c r="A316" s="4">
        <v>429</v>
      </c>
      <c r="B316" s="4" t="s">
        <v>45</v>
      </c>
      <c r="C316" s="4" t="str">
        <f>FEATURES!L316</f>
        <v>HIGH RISK</v>
      </c>
      <c r="D316" s="4" t="str">
        <f>FEATURES!R316</f>
        <v>LOW</v>
      </c>
      <c r="E316" s="4" t="str">
        <f>FEATURES!Q316</f>
        <v>DISENGAGED</v>
      </c>
      <c r="F316" s="4" t="str">
        <f>FEATURES!P316</f>
        <v>Medium_Pressure</v>
      </c>
      <c r="G316" s="4" t="str">
        <f>FEATURES!M316</f>
        <v>MEDIUM</v>
      </c>
      <c r="H316" s="4" t="str">
        <f>FEATURES!O316</f>
        <v>STAGNANT</v>
      </c>
      <c r="I316" s="4" t="str">
        <f t="shared" si="1"/>
        <v>LOW RISK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3.2" x14ac:dyDescent="0.25">
      <c r="A317" s="4">
        <v>430</v>
      </c>
      <c r="B317" s="4" t="s">
        <v>45</v>
      </c>
      <c r="C317" s="4" t="str">
        <f>FEATURES!L317</f>
        <v>NORMAL</v>
      </c>
      <c r="D317" s="4" t="str">
        <f>FEATURES!R317</f>
        <v>LOW</v>
      </c>
      <c r="E317" s="4" t="str">
        <f>FEATURES!Q317</f>
        <v>HIGHLY_ENGAGED</v>
      </c>
      <c r="F317" s="4" t="str">
        <f>FEATURES!P317</f>
        <v>Medium_Pressure</v>
      </c>
      <c r="G317" s="4" t="str">
        <f>FEATURES!M317</f>
        <v>LOW</v>
      </c>
      <c r="H317" s="4" t="str">
        <f>FEATURES!O317</f>
        <v>RECENTLY PROMOTED</v>
      </c>
      <c r="I317" s="4" t="str">
        <f t="shared" si="1"/>
        <v>LOW RISK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3.2" x14ac:dyDescent="0.25">
      <c r="A318" s="4">
        <v>431</v>
      </c>
      <c r="B318" s="4" t="s">
        <v>45</v>
      </c>
      <c r="C318" s="4" t="str">
        <f>FEATURES!L318</f>
        <v>NORMAL</v>
      </c>
      <c r="D318" s="4" t="str">
        <f>FEATURES!R318</f>
        <v>LOW</v>
      </c>
      <c r="E318" s="4" t="str">
        <f>FEATURES!Q318</f>
        <v>HIGHLY_ENGAGED</v>
      </c>
      <c r="F318" s="4" t="str">
        <f>FEATURES!P318</f>
        <v>Medium_Pressure</v>
      </c>
      <c r="G318" s="4" t="str">
        <f>FEATURES!M318</f>
        <v>MEDIUM</v>
      </c>
      <c r="H318" s="4" t="str">
        <f>FEATURES!O318</f>
        <v>RECENTLY PROMOTED</v>
      </c>
      <c r="I318" s="4" t="str">
        <f t="shared" si="1"/>
        <v>LOW RISK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3.2" x14ac:dyDescent="0.25">
      <c r="A319" s="4">
        <v>433</v>
      </c>
      <c r="B319" s="4" t="s">
        <v>45</v>
      </c>
      <c r="C319" s="4" t="str">
        <f>FEATURES!L319</f>
        <v>NORMAL</v>
      </c>
      <c r="D319" s="4" t="str">
        <f>FEATURES!R319</f>
        <v>LOW</v>
      </c>
      <c r="E319" s="4" t="str">
        <f>FEATURES!Q319</f>
        <v>DISENGAGED</v>
      </c>
      <c r="F319" s="4" t="str">
        <f>FEATURES!P319</f>
        <v>Low_Pressure</v>
      </c>
      <c r="G319" s="4" t="str">
        <f>FEATURES!M319</f>
        <v>HIGH</v>
      </c>
      <c r="H319" s="4" t="str">
        <f>FEATURES!O319</f>
        <v>STAGNANT</v>
      </c>
      <c r="I319" s="4" t="str">
        <f t="shared" si="1"/>
        <v>LOW RISK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3.2" x14ac:dyDescent="0.25">
      <c r="A320" s="4">
        <v>434</v>
      </c>
      <c r="B320" s="4" t="s">
        <v>45</v>
      </c>
      <c r="C320" s="4" t="str">
        <f>FEATURES!L320</f>
        <v>NORMAL</v>
      </c>
      <c r="D320" s="4" t="str">
        <f>FEATURES!R320</f>
        <v>LOW</v>
      </c>
      <c r="E320" s="4" t="str">
        <f>FEATURES!Q320</f>
        <v>DISENGAGED</v>
      </c>
      <c r="F320" s="4" t="str">
        <f>FEATURES!P320</f>
        <v>High_Pressure</v>
      </c>
      <c r="G320" s="4" t="str">
        <f>FEATURES!M320</f>
        <v>LOW</v>
      </c>
      <c r="H320" s="4" t="str">
        <f>FEATURES!O320</f>
        <v>RECENTLY PROMOTED</v>
      </c>
      <c r="I320" s="4" t="str">
        <f t="shared" si="1"/>
        <v>LOW RISK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3.2" x14ac:dyDescent="0.25">
      <c r="A321" s="4">
        <v>436</v>
      </c>
      <c r="B321" s="4" t="s">
        <v>37</v>
      </c>
      <c r="C321" s="4" t="str">
        <f>FEATURES!L321</f>
        <v>HIGH RISK</v>
      </c>
      <c r="D321" s="4" t="str">
        <f>FEATURES!R321</f>
        <v>LOW</v>
      </c>
      <c r="E321" s="4" t="str">
        <f>FEATURES!Q321</f>
        <v>DISENGAGED</v>
      </c>
      <c r="F321" s="4" t="str">
        <f>FEATURES!P321</f>
        <v>Medium_Pressure</v>
      </c>
      <c r="G321" s="4" t="str">
        <f>FEATURES!M321</f>
        <v>HIGH</v>
      </c>
      <c r="H321" s="4" t="str">
        <f>FEATURES!O321</f>
        <v>STAGNANT</v>
      </c>
      <c r="I321" s="4" t="str">
        <f t="shared" si="1"/>
        <v>LOW RISK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3.2" x14ac:dyDescent="0.25">
      <c r="A322" s="4">
        <v>437</v>
      </c>
      <c r="B322" s="4" t="s">
        <v>37</v>
      </c>
      <c r="C322" s="4" t="str">
        <f>FEATURES!L322</f>
        <v>NORMAL</v>
      </c>
      <c r="D322" s="4" t="str">
        <f>FEATURES!R322</f>
        <v>LOW</v>
      </c>
      <c r="E322" s="4" t="str">
        <f>FEATURES!Q322</f>
        <v>HIGHLY_ENGAGED</v>
      </c>
      <c r="F322" s="4" t="str">
        <f>FEATURES!P322</f>
        <v>Medium_Pressure</v>
      </c>
      <c r="G322" s="4" t="str">
        <f>FEATURES!M322</f>
        <v>HIGH</v>
      </c>
      <c r="H322" s="4" t="str">
        <f>FEATURES!O322</f>
        <v>RECENTLY PROMOTED</v>
      </c>
      <c r="I322" s="4" t="str">
        <f t="shared" si="1"/>
        <v>LOW RISK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3.2" x14ac:dyDescent="0.25">
      <c r="A323" s="4">
        <v>438</v>
      </c>
      <c r="B323" s="4" t="s">
        <v>37</v>
      </c>
      <c r="C323" s="4" t="str">
        <f>FEATURES!L323</f>
        <v>NORMAL</v>
      </c>
      <c r="D323" s="4" t="str">
        <f>FEATURES!R323</f>
        <v>LOW</v>
      </c>
      <c r="E323" s="4" t="str">
        <f>FEATURES!Q323</f>
        <v>HIGHLY_ENGAGED</v>
      </c>
      <c r="F323" s="4" t="str">
        <f>FEATURES!P323</f>
        <v>Medium_Pressure</v>
      </c>
      <c r="G323" s="4" t="str">
        <f>FEATURES!M323</f>
        <v>HIGH</v>
      </c>
      <c r="H323" s="4" t="str">
        <f>FEATURES!O323</f>
        <v>RECENTLY PROMOTED</v>
      </c>
      <c r="I323" s="4" t="str">
        <f t="shared" si="1"/>
        <v>LOW RISK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3.2" x14ac:dyDescent="0.25">
      <c r="A324" s="4">
        <v>439</v>
      </c>
      <c r="B324" s="4" t="s">
        <v>45</v>
      </c>
      <c r="C324" s="4" t="str">
        <f>FEATURES!L324</f>
        <v>NORMAL</v>
      </c>
      <c r="D324" s="4" t="str">
        <f>FEATURES!R324</f>
        <v>LOW</v>
      </c>
      <c r="E324" s="4" t="str">
        <f>FEATURES!Q324</f>
        <v>DISENGAGED</v>
      </c>
      <c r="F324" s="4" t="str">
        <f>FEATURES!P324</f>
        <v>Low_Pressure</v>
      </c>
      <c r="G324" s="4" t="str">
        <f>FEATURES!M324</f>
        <v>HIGH</v>
      </c>
      <c r="H324" s="4" t="str">
        <f>FEATURES!O324</f>
        <v>RECENTLY PROMOTED</v>
      </c>
      <c r="I324" s="4" t="str">
        <f t="shared" si="1"/>
        <v>LOW RISK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3.2" x14ac:dyDescent="0.25">
      <c r="A325" s="4">
        <v>440</v>
      </c>
      <c r="B325" s="4" t="s">
        <v>45</v>
      </c>
      <c r="C325" s="4" t="str">
        <f>FEATURES!L325</f>
        <v>NORMAL</v>
      </c>
      <c r="D325" s="4" t="str">
        <f>FEATURES!R325</f>
        <v>LOW</v>
      </c>
      <c r="E325" s="4" t="str">
        <f>FEATURES!Q325</f>
        <v>DISENGAGED</v>
      </c>
      <c r="F325" s="4" t="str">
        <f>FEATURES!P325</f>
        <v>High_Pressure</v>
      </c>
      <c r="G325" s="4" t="str">
        <f>FEATURES!M325</f>
        <v>LOW</v>
      </c>
      <c r="H325" s="4" t="str">
        <f>FEATURES!O325</f>
        <v>MODERATE-WAIT</v>
      </c>
      <c r="I325" s="4" t="str">
        <f t="shared" si="1"/>
        <v>LOW RISK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3.2" x14ac:dyDescent="0.25">
      <c r="A326" s="4">
        <v>441</v>
      </c>
      <c r="B326" s="4" t="s">
        <v>45</v>
      </c>
      <c r="C326" s="4" t="str">
        <f>FEATURES!L326</f>
        <v>NORMAL</v>
      </c>
      <c r="D326" s="4" t="str">
        <f>FEATURES!R326</f>
        <v>LOW</v>
      </c>
      <c r="E326" s="4" t="str">
        <f>FEATURES!Q326</f>
        <v>HIGHLY_ENGAGED</v>
      </c>
      <c r="F326" s="4" t="str">
        <f>FEATURES!P326</f>
        <v>Medium_Pressure</v>
      </c>
      <c r="G326" s="4" t="str">
        <f>FEATURES!M326</f>
        <v>HIGH</v>
      </c>
      <c r="H326" s="4" t="str">
        <f>FEATURES!O326</f>
        <v>RECENTLY PROMOTED</v>
      </c>
      <c r="I326" s="4" t="str">
        <f t="shared" si="1"/>
        <v>LOW RISK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3.2" x14ac:dyDescent="0.25">
      <c r="A327" s="4">
        <v>442</v>
      </c>
      <c r="B327" s="4" t="s">
        <v>45</v>
      </c>
      <c r="C327" s="4" t="str">
        <f>FEATURES!L327</f>
        <v>NORMAL</v>
      </c>
      <c r="D327" s="4" t="str">
        <f>FEATURES!R327</f>
        <v>LOW</v>
      </c>
      <c r="E327" s="4" t="str">
        <f>FEATURES!Q327</f>
        <v>HIGHLY_ENGAGED</v>
      </c>
      <c r="F327" s="4" t="str">
        <f>FEATURES!P327</f>
        <v>Medium_Pressure</v>
      </c>
      <c r="G327" s="4" t="str">
        <f>FEATURES!M327</f>
        <v>HIGH</v>
      </c>
      <c r="H327" s="4" t="str">
        <f>FEATURES!O327</f>
        <v>STAGNANT</v>
      </c>
      <c r="I327" s="4" t="str">
        <f t="shared" si="1"/>
        <v>LOW RISK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3.2" x14ac:dyDescent="0.25">
      <c r="A328" s="4">
        <v>444</v>
      </c>
      <c r="B328" s="4" t="s">
        <v>45</v>
      </c>
      <c r="C328" s="4" t="str">
        <f>FEATURES!L328</f>
        <v>NORMAL</v>
      </c>
      <c r="D328" s="4" t="str">
        <f>FEATURES!R328</f>
        <v>LOW</v>
      </c>
      <c r="E328" s="4" t="str">
        <f>FEATURES!Q328</f>
        <v>HIGHLY_ENGAGED</v>
      </c>
      <c r="F328" s="4" t="str">
        <f>FEATURES!P328</f>
        <v>Medium_Pressure</v>
      </c>
      <c r="G328" s="4" t="str">
        <f>FEATURES!M328</f>
        <v>MEDIUM</v>
      </c>
      <c r="H328" s="4" t="str">
        <f>FEATURES!O328</f>
        <v>STAGNANT</v>
      </c>
      <c r="I328" s="4" t="str">
        <f t="shared" si="1"/>
        <v>LOW RISK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3.2" x14ac:dyDescent="0.25">
      <c r="A329" s="4">
        <v>445</v>
      </c>
      <c r="B329" s="4" t="s">
        <v>37</v>
      </c>
      <c r="C329" s="4" t="str">
        <f>FEATURES!L329</f>
        <v>NORMAL</v>
      </c>
      <c r="D329" s="4" t="str">
        <f>FEATURES!R329</f>
        <v>LOW</v>
      </c>
      <c r="E329" s="4" t="str">
        <f>FEATURES!Q329</f>
        <v>DISENGAGED</v>
      </c>
      <c r="F329" s="4" t="str">
        <f>FEATURES!P329</f>
        <v>High_Pressure</v>
      </c>
      <c r="G329" s="4" t="str">
        <f>FEATURES!M329</f>
        <v>HIGH</v>
      </c>
      <c r="H329" s="4" t="str">
        <f>FEATURES!O329</f>
        <v>RECENTLY PROMOTED</v>
      </c>
      <c r="I329" s="4" t="str">
        <f t="shared" si="1"/>
        <v>LOW RISK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3.2" x14ac:dyDescent="0.25">
      <c r="A330" s="4">
        <v>446</v>
      </c>
      <c r="B330" s="4" t="s">
        <v>37</v>
      </c>
      <c r="C330" s="4" t="str">
        <f>FEATURES!L330</f>
        <v>NORMAL</v>
      </c>
      <c r="D330" s="4" t="str">
        <f>FEATURES!R330</f>
        <v>LOW</v>
      </c>
      <c r="E330" s="4" t="str">
        <f>FEATURES!Q330</f>
        <v>DISENGAGED</v>
      </c>
      <c r="F330" s="4" t="str">
        <f>FEATURES!P330</f>
        <v>Low_Pressure</v>
      </c>
      <c r="G330" s="4" t="str">
        <f>FEATURES!M330</f>
        <v>HIGH</v>
      </c>
      <c r="H330" s="4" t="str">
        <f>FEATURES!O330</f>
        <v>RECENTLY PROMOTED</v>
      </c>
      <c r="I330" s="4" t="str">
        <f t="shared" si="1"/>
        <v>LOW RISK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3.2" x14ac:dyDescent="0.25">
      <c r="A331" s="4">
        <v>447</v>
      </c>
      <c r="B331" s="4" t="s">
        <v>45</v>
      </c>
      <c r="C331" s="4" t="str">
        <f>FEATURES!L331</f>
        <v>NORMAL</v>
      </c>
      <c r="D331" s="4" t="str">
        <f>FEATURES!R331</f>
        <v>LOW</v>
      </c>
      <c r="E331" s="4" t="str">
        <f>FEATURES!Q331</f>
        <v>HIGHLY_ENGAGED</v>
      </c>
      <c r="F331" s="4" t="str">
        <f>FEATURES!P331</f>
        <v>Medium_Pressure</v>
      </c>
      <c r="G331" s="4" t="str">
        <f>FEATURES!M331</f>
        <v>MEDIUM</v>
      </c>
      <c r="H331" s="4" t="str">
        <f>FEATURES!O331</f>
        <v>RECENTLY PROMOTED</v>
      </c>
      <c r="I331" s="4" t="str">
        <f t="shared" si="1"/>
        <v>LOW RISK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3.2" x14ac:dyDescent="0.25">
      <c r="A332" s="4">
        <v>448</v>
      </c>
      <c r="B332" s="4" t="s">
        <v>45</v>
      </c>
      <c r="C332" s="4" t="str">
        <f>FEATURES!L332</f>
        <v>NORMAL</v>
      </c>
      <c r="D332" s="4" t="str">
        <f>FEATURES!R332</f>
        <v>LOW</v>
      </c>
      <c r="E332" s="4" t="str">
        <f>FEATURES!Q332</f>
        <v>HIGHLY_ENGAGED</v>
      </c>
      <c r="F332" s="4" t="str">
        <f>FEATURES!P332</f>
        <v>Low_Pressure</v>
      </c>
      <c r="G332" s="4" t="str">
        <f>FEATURES!M332</f>
        <v>HIGH</v>
      </c>
      <c r="H332" s="4" t="str">
        <f>FEATURES!O332</f>
        <v>RECENTLY PROMOTED</v>
      </c>
      <c r="I332" s="4" t="str">
        <f t="shared" si="1"/>
        <v>LOW RISK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3.2" x14ac:dyDescent="0.25">
      <c r="A333" s="4">
        <v>449</v>
      </c>
      <c r="B333" s="4" t="s">
        <v>37</v>
      </c>
      <c r="C333" s="4" t="str">
        <f>FEATURES!L333</f>
        <v>NORMAL</v>
      </c>
      <c r="D333" s="4" t="str">
        <f>FEATURES!R333</f>
        <v>LOW</v>
      </c>
      <c r="E333" s="4" t="str">
        <f>FEATURES!Q333</f>
        <v>DISENGAGED</v>
      </c>
      <c r="F333" s="4" t="str">
        <f>FEATURES!P333</f>
        <v>Medium_Pressure</v>
      </c>
      <c r="G333" s="4" t="str">
        <f>FEATURES!M333</f>
        <v>HIGH</v>
      </c>
      <c r="H333" s="4" t="str">
        <f>FEATURES!O333</f>
        <v>RECENTLY PROMOTED</v>
      </c>
      <c r="I333" s="4" t="str">
        <f t="shared" si="1"/>
        <v>LOW RISK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3.2" x14ac:dyDescent="0.25">
      <c r="A334" s="4">
        <v>450</v>
      </c>
      <c r="B334" s="4" t="s">
        <v>45</v>
      </c>
      <c r="C334" s="4" t="str">
        <f>FEATURES!L334</f>
        <v>NORMAL</v>
      </c>
      <c r="D334" s="4" t="str">
        <f>FEATURES!R334</f>
        <v>LOW</v>
      </c>
      <c r="E334" s="4" t="str">
        <f>FEATURES!Q334</f>
        <v>DISENGAGED</v>
      </c>
      <c r="F334" s="4" t="str">
        <f>FEATURES!P334</f>
        <v>Low_Pressure</v>
      </c>
      <c r="G334" s="4" t="str">
        <f>FEATURES!M334</f>
        <v>HIGH</v>
      </c>
      <c r="H334" s="4" t="str">
        <f>FEATURES!O334</f>
        <v>RECENTLY PROMOTED</v>
      </c>
      <c r="I334" s="4" t="str">
        <f t="shared" si="1"/>
        <v>LOW RISK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3.2" x14ac:dyDescent="0.25">
      <c r="A335" s="4">
        <v>451</v>
      </c>
      <c r="B335" s="4" t="s">
        <v>45</v>
      </c>
      <c r="C335" s="4" t="str">
        <f>FEATURES!L335</f>
        <v>NORMAL</v>
      </c>
      <c r="D335" s="4" t="str">
        <f>FEATURES!R335</f>
        <v>LOW</v>
      </c>
      <c r="E335" s="4" t="str">
        <f>FEATURES!Q335</f>
        <v>DISENGAGED</v>
      </c>
      <c r="F335" s="4" t="str">
        <f>FEATURES!P335</f>
        <v>Low_Pressure</v>
      </c>
      <c r="G335" s="4" t="str">
        <f>FEATURES!M335</f>
        <v>MEDIUM</v>
      </c>
      <c r="H335" s="4" t="str">
        <f>FEATURES!O335</f>
        <v>RECENTLY PROMOTED</v>
      </c>
      <c r="I335" s="4" t="str">
        <f t="shared" si="1"/>
        <v>LOW RISK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3.2" x14ac:dyDescent="0.25">
      <c r="A336" s="4">
        <v>452</v>
      </c>
      <c r="B336" s="4" t="s">
        <v>45</v>
      </c>
      <c r="C336" s="4" t="str">
        <f>FEATURES!L336</f>
        <v>NORMAL</v>
      </c>
      <c r="D336" s="4" t="str">
        <f>FEATURES!R336</f>
        <v>LOW</v>
      </c>
      <c r="E336" s="4" t="str">
        <f>FEATURES!Q336</f>
        <v>HIGHLY_ENGAGED</v>
      </c>
      <c r="F336" s="4" t="str">
        <f>FEATURES!P336</f>
        <v>Medium_Pressure</v>
      </c>
      <c r="G336" s="4" t="str">
        <f>FEATURES!M336</f>
        <v>LOW</v>
      </c>
      <c r="H336" s="4" t="str">
        <f>FEATURES!O336</f>
        <v>STAGNANT</v>
      </c>
      <c r="I336" s="4" t="str">
        <f t="shared" si="1"/>
        <v>LOW RISK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3.2" x14ac:dyDescent="0.25">
      <c r="A337" s="4">
        <v>453</v>
      </c>
      <c r="B337" s="4" t="s">
        <v>37</v>
      </c>
      <c r="C337" s="4" t="str">
        <f>FEATURES!L337</f>
        <v>NORMAL</v>
      </c>
      <c r="D337" s="4" t="str">
        <f>FEATURES!R337</f>
        <v>LOW</v>
      </c>
      <c r="E337" s="4" t="str">
        <f>FEATURES!Q337</f>
        <v>DISENGAGED</v>
      </c>
      <c r="F337" s="4" t="str">
        <f>FEATURES!P337</f>
        <v>High_Pressure</v>
      </c>
      <c r="G337" s="4" t="str">
        <f>FEATURES!M337</f>
        <v>HIGH</v>
      </c>
      <c r="H337" s="4" t="str">
        <f>FEATURES!O337</f>
        <v>RECENTLY PROMOTED</v>
      </c>
      <c r="I337" s="4" t="str">
        <f t="shared" si="1"/>
        <v>LOW RISK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3.2" x14ac:dyDescent="0.25">
      <c r="A338" s="4">
        <v>454</v>
      </c>
      <c r="B338" s="4" t="s">
        <v>45</v>
      </c>
      <c r="C338" s="4" t="str">
        <f>FEATURES!L338</f>
        <v>NORMAL</v>
      </c>
      <c r="D338" s="4" t="str">
        <f>FEATURES!R338</f>
        <v>LOW</v>
      </c>
      <c r="E338" s="4" t="str">
        <f>FEATURES!Q338</f>
        <v>DISENGAGED</v>
      </c>
      <c r="F338" s="4" t="str">
        <f>FEATURES!P338</f>
        <v>High_Pressure</v>
      </c>
      <c r="G338" s="4" t="str">
        <f>FEATURES!M338</f>
        <v>LOW</v>
      </c>
      <c r="H338" s="4" t="str">
        <f>FEATURES!O338</f>
        <v>RECENTLY PROMOTED</v>
      </c>
      <c r="I338" s="4" t="str">
        <f t="shared" si="1"/>
        <v>LOW RISK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3.2" x14ac:dyDescent="0.25">
      <c r="A339" s="4">
        <v>455</v>
      </c>
      <c r="B339" s="4" t="s">
        <v>45</v>
      </c>
      <c r="C339" s="4" t="str">
        <f>FEATURES!L339</f>
        <v>NORMAL</v>
      </c>
      <c r="D339" s="4" t="str">
        <f>FEATURES!R339</f>
        <v>LOW</v>
      </c>
      <c r="E339" s="4" t="str">
        <f>FEATURES!Q339</f>
        <v>HIGHLY_ENGAGED</v>
      </c>
      <c r="F339" s="4" t="str">
        <f>FEATURES!P339</f>
        <v>Medium_Pressure</v>
      </c>
      <c r="G339" s="4" t="str">
        <f>FEATURES!M339</f>
        <v>LOW</v>
      </c>
      <c r="H339" s="4" t="str">
        <f>FEATURES!O339</f>
        <v>MODERATE-WAIT</v>
      </c>
      <c r="I339" s="4" t="str">
        <f t="shared" si="1"/>
        <v>LOW RISK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3.2" x14ac:dyDescent="0.25">
      <c r="A340" s="4">
        <v>456</v>
      </c>
      <c r="B340" s="4" t="s">
        <v>37</v>
      </c>
      <c r="C340" s="4" t="str">
        <f>FEATURES!L340</f>
        <v>NORMAL</v>
      </c>
      <c r="D340" s="4" t="str">
        <f>FEATURES!R340</f>
        <v>LOW</v>
      </c>
      <c r="E340" s="4" t="str">
        <f>FEATURES!Q340</f>
        <v>HIGHLY_ENGAGED</v>
      </c>
      <c r="F340" s="4" t="str">
        <f>FEATURES!P340</f>
        <v>Medium_Pressure</v>
      </c>
      <c r="G340" s="4" t="str">
        <f>FEATURES!M340</f>
        <v>HIGH</v>
      </c>
      <c r="H340" s="4" t="str">
        <f>FEATURES!O340</f>
        <v>RECENTLY PROMOTED</v>
      </c>
      <c r="I340" s="4" t="str">
        <f t="shared" si="1"/>
        <v>LOW RISK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3.2" x14ac:dyDescent="0.25">
      <c r="A341" s="4">
        <v>458</v>
      </c>
      <c r="B341" s="4" t="s">
        <v>37</v>
      </c>
      <c r="C341" s="4" t="str">
        <f>FEATURES!L341</f>
        <v>NORMAL</v>
      </c>
      <c r="D341" s="4" t="str">
        <f>FEATURES!R341</f>
        <v>LOW</v>
      </c>
      <c r="E341" s="4" t="str">
        <f>FEATURES!Q341</f>
        <v>DISENGAGED</v>
      </c>
      <c r="F341" s="4" t="str">
        <f>FEATURES!P341</f>
        <v>Medium_Pressure</v>
      </c>
      <c r="G341" s="4" t="str">
        <f>FEATURES!M341</f>
        <v>HIGH</v>
      </c>
      <c r="H341" s="4" t="str">
        <f>FEATURES!O341</f>
        <v>RECENTLY PROMOTED</v>
      </c>
      <c r="I341" s="4" t="str">
        <f t="shared" si="1"/>
        <v>LOW RISK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3.2" x14ac:dyDescent="0.25">
      <c r="A342" s="4">
        <v>460</v>
      </c>
      <c r="B342" s="4" t="s">
        <v>45</v>
      </c>
      <c r="C342" s="4" t="str">
        <f>FEATURES!L342</f>
        <v>NORMAL</v>
      </c>
      <c r="D342" s="4" t="str">
        <f>FEATURES!R342</f>
        <v>LOW</v>
      </c>
      <c r="E342" s="4" t="str">
        <f>FEATURES!Q342</f>
        <v>DISENGAGED</v>
      </c>
      <c r="F342" s="4" t="str">
        <f>FEATURES!P342</f>
        <v>Low_Pressure</v>
      </c>
      <c r="G342" s="4" t="str">
        <f>FEATURES!M342</f>
        <v>HIGH</v>
      </c>
      <c r="H342" s="4" t="str">
        <f>FEATURES!O342</f>
        <v>RECENTLY PROMOTED</v>
      </c>
      <c r="I342" s="4" t="str">
        <f t="shared" si="1"/>
        <v>LOW RISK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3.2" x14ac:dyDescent="0.25">
      <c r="A343" s="4">
        <v>461</v>
      </c>
      <c r="B343" s="4" t="s">
        <v>45</v>
      </c>
      <c r="C343" s="4" t="str">
        <f>FEATURES!L343</f>
        <v>NORMAL</v>
      </c>
      <c r="D343" s="4" t="str">
        <f>FEATURES!R343</f>
        <v>LOW</v>
      </c>
      <c r="E343" s="4" t="str">
        <f>FEATURES!Q343</f>
        <v>HIGHLY_ENGAGED</v>
      </c>
      <c r="F343" s="4" t="str">
        <f>FEATURES!P343</f>
        <v>Medium_Pressure</v>
      </c>
      <c r="G343" s="4" t="str">
        <f>FEATURES!M343</f>
        <v>MEDIUM</v>
      </c>
      <c r="H343" s="4" t="str">
        <f>FEATURES!O343</f>
        <v>MODERATE-WAIT</v>
      </c>
      <c r="I343" s="4" t="str">
        <f t="shared" si="1"/>
        <v>LOW RISK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3.2" x14ac:dyDescent="0.25">
      <c r="A344" s="4">
        <v>462</v>
      </c>
      <c r="B344" s="4" t="s">
        <v>45</v>
      </c>
      <c r="C344" s="4" t="str">
        <f>FEATURES!L344</f>
        <v>NORMAL</v>
      </c>
      <c r="D344" s="4" t="str">
        <f>FEATURES!R344</f>
        <v>LOW</v>
      </c>
      <c r="E344" s="4" t="str">
        <f>FEATURES!Q344</f>
        <v>DISENGAGED</v>
      </c>
      <c r="F344" s="4" t="str">
        <f>FEATURES!P344</f>
        <v>High_Pressure</v>
      </c>
      <c r="G344" s="4" t="str">
        <f>FEATURES!M344</f>
        <v>HIGH</v>
      </c>
      <c r="H344" s="4" t="str">
        <f>FEATURES!O344</f>
        <v>STAGNANT</v>
      </c>
      <c r="I344" s="4" t="str">
        <f t="shared" si="1"/>
        <v>LOW RISK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3.2" x14ac:dyDescent="0.25">
      <c r="A345" s="4">
        <v>463</v>
      </c>
      <c r="B345" s="4" t="s">
        <v>37</v>
      </c>
      <c r="C345" s="4" t="str">
        <f>FEATURES!L345</f>
        <v>NORMAL</v>
      </c>
      <c r="D345" s="4" t="str">
        <f>FEATURES!R345</f>
        <v>LOW</v>
      </c>
      <c r="E345" s="4" t="str">
        <f>FEATURES!Q345</f>
        <v>DISENGAGED</v>
      </c>
      <c r="F345" s="4" t="str">
        <f>FEATURES!P345</f>
        <v>Medium_Pressure</v>
      </c>
      <c r="G345" s="4" t="str">
        <f>FEATURES!M345</f>
        <v>HIGH</v>
      </c>
      <c r="H345" s="4" t="str">
        <f>FEATURES!O345</f>
        <v>RECENTLY PROMOTED</v>
      </c>
      <c r="I345" s="4" t="str">
        <f t="shared" si="1"/>
        <v>LOW RISK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3.2" x14ac:dyDescent="0.25">
      <c r="A346" s="4">
        <v>464</v>
      </c>
      <c r="B346" s="4" t="s">
        <v>45</v>
      </c>
      <c r="C346" s="4" t="str">
        <f>FEATURES!L346</f>
        <v>NORMAL</v>
      </c>
      <c r="D346" s="4" t="str">
        <f>FEATURES!R346</f>
        <v>LOW</v>
      </c>
      <c r="E346" s="4" t="str">
        <f>FEATURES!Q346</f>
        <v>DISENGAGED</v>
      </c>
      <c r="F346" s="4" t="str">
        <f>FEATURES!P346</f>
        <v>Medium_Pressure</v>
      </c>
      <c r="G346" s="4" t="str">
        <f>FEATURES!M346</f>
        <v>HIGH</v>
      </c>
      <c r="H346" s="4" t="str">
        <f>FEATURES!O346</f>
        <v>RECENTLY PROMOTED</v>
      </c>
      <c r="I346" s="4" t="str">
        <f t="shared" si="1"/>
        <v>LOW RISK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3.2" x14ac:dyDescent="0.25">
      <c r="A347" s="4">
        <v>465</v>
      </c>
      <c r="B347" s="4" t="s">
        <v>45</v>
      </c>
      <c r="C347" s="4" t="str">
        <f>FEATURES!L347</f>
        <v>NORMAL</v>
      </c>
      <c r="D347" s="4" t="str">
        <f>FEATURES!R347</f>
        <v>LOW</v>
      </c>
      <c r="E347" s="4" t="str">
        <f>FEATURES!Q347</f>
        <v>DISENGAGED</v>
      </c>
      <c r="F347" s="4" t="str">
        <f>FEATURES!P347</f>
        <v>Low_Pressure</v>
      </c>
      <c r="G347" s="4" t="str">
        <f>FEATURES!M347</f>
        <v>LOW</v>
      </c>
      <c r="H347" s="4" t="str">
        <f>FEATURES!O347</f>
        <v>RECENTLY PROMOTED</v>
      </c>
      <c r="I347" s="4" t="str">
        <f t="shared" si="1"/>
        <v>LOW RISK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3.2" x14ac:dyDescent="0.25">
      <c r="A348" s="4">
        <v>466</v>
      </c>
      <c r="B348" s="4" t="s">
        <v>45</v>
      </c>
      <c r="C348" s="4" t="str">
        <f>FEATURES!L348</f>
        <v>NORMAL</v>
      </c>
      <c r="D348" s="4" t="str">
        <f>FEATURES!R348</f>
        <v>LOW</v>
      </c>
      <c r="E348" s="4" t="str">
        <f>FEATURES!Q348</f>
        <v>DISENGAGED</v>
      </c>
      <c r="F348" s="4" t="str">
        <f>FEATURES!P348</f>
        <v>Medium_Pressure</v>
      </c>
      <c r="G348" s="4" t="str">
        <f>FEATURES!M348</f>
        <v>HIGH</v>
      </c>
      <c r="H348" s="4" t="str">
        <f>FEATURES!O348</f>
        <v>RECENTLY PROMOTED</v>
      </c>
      <c r="I348" s="4" t="str">
        <f t="shared" si="1"/>
        <v>LOW RISK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3.2" x14ac:dyDescent="0.25">
      <c r="A349" s="4">
        <v>467</v>
      </c>
      <c r="B349" s="4" t="s">
        <v>37</v>
      </c>
      <c r="C349" s="4" t="str">
        <f>FEATURES!L349</f>
        <v>NORMAL</v>
      </c>
      <c r="D349" s="4" t="str">
        <f>FEATURES!R349</f>
        <v>LOW</v>
      </c>
      <c r="E349" s="4" t="str">
        <f>FEATURES!Q349</f>
        <v>HIGHLY_ENGAGED</v>
      </c>
      <c r="F349" s="4" t="str">
        <f>FEATURES!P349</f>
        <v>Medium_Pressure</v>
      </c>
      <c r="G349" s="4" t="str">
        <f>FEATURES!M349</f>
        <v>LOW</v>
      </c>
      <c r="H349" s="4" t="str">
        <f>FEATURES!O349</f>
        <v>RECENTLY PROMOTED</v>
      </c>
      <c r="I349" s="4" t="str">
        <f t="shared" si="1"/>
        <v>LOW RISK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3.2" x14ac:dyDescent="0.25">
      <c r="A350" s="4">
        <v>468</v>
      </c>
      <c r="B350" s="4" t="s">
        <v>45</v>
      </c>
      <c r="C350" s="4" t="str">
        <f>FEATURES!L350</f>
        <v>NORMAL</v>
      </c>
      <c r="D350" s="4" t="str">
        <f>FEATURES!R350</f>
        <v>LOW</v>
      </c>
      <c r="E350" s="4" t="str">
        <f>FEATURES!Q350</f>
        <v>HIGHLY_ENGAGED</v>
      </c>
      <c r="F350" s="4" t="str">
        <f>FEATURES!P350</f>
        <v>Medium_Pressure</v>
      </c>
      <c r="G350" s="4" t="str">
        <f>FEATURES!M350</f>
        <v>MEDIUM</v>
      </c>
      <c r="H350" s="4" t="str">
        <f>FEATURES!O350</f>
        <v>RECENTLY PROMOTED</v>
      </c>
      <c r="I350" s="4" t="str">
        <f t="shared" si="1"/>
        <v>LOW RISK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3.2" x14ac:dyDescent="0.25">
      <c r="A351" s="4">
        <v>469</v>
      </c>
      <c r="B351" s="4" t="s">
        <v>37</v>
      </c>
      <c r="C351" s="4" t="str">
        <f>FEATURES!L351</f>
        <v>NORMAL</v>
      </c>
      <c r="D351" s="4" t="str">
        <f>FEATURES!R351</f>
        <v>LOW</v>
      </c>
      <c r="E351" s="4" t="str">
        <f>FEATURES!Q351</f>
        <v>DISENGAGED</v>
      </c>
      <c r="F351" s="4" t="str">
        <f>FEATURES!P351</f>
        <v>Low_Pressure</v>
      </c>
      <c r="G351" s="4" t="str">
        <f>FEATURES!M351</f>
        <v>HIGH</v>
      </c>
      <c r="H351" s="4" t="str">
        <f>FEATURES!O351</f>
        <v>RECENTLY PROMOTED</v>
      </c>
      <c r="I351" s="4" t="str">
        <f t="shared" si="1"/>
        <v>LOW RISK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3.2" x14ac:dyDescent="0.25">
      <c r="A352" s="4">
        <v>470</v>
      </c>
      <c r="B352" s="4" t="s">
        <v>61</v>
      </c>
      <c r="C352" s="4" t="str">
        <f>FEATURES!L352</f>
        <v>NORMAL</v>
      </c>
      <c r="D352" s="4" t="str">
        <f>FEATURES!R352</f>
        <v>LOW</v>
      </c>
      <c r="E352" s="4" t="str">
        <f>FEATURES!Q352</f>
        <v>HIGHLY_ENGAGED</v>
      </c>
      <c r="F352" s="4" t="str">
        <f>FEATURES!P352</f>
        <v>Medium_Pressure</v>
      </c>
      <c r="G352" s="4" t="str">
        <f>FEATURES!M352</f>
        <v>LOW</v>
      </c>
      <c r="H352" s="4" t="str">
        <f>FEATURES!O352</f>
        <v>RECENTLY PROMOTED</v>
      </c>
      <c r="I352" s="4" t="str">
        <f t="shared" si="1"/>
        <v>LOW RISK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3.2" x14ac:dyDescent="0.25">
      <c r="A353" s="4">
        <v>471</v>
      </c>
      <c r="B353" s="4" t="s">
        <v>45</v>
      </c>
      <c r="C353" s="4" t="str">
        <f>FEATURES!L353</f>
        <v>NORMAL</v>
      </c>
      <c r="D353" s="4" t="str">
        <f>FEATURES!R353</f>
        <v>LOW</v>
      </c>
      <c r="E353" s="4" t="str">
        <f>FEATURES!Q353</f>
        <v>DISENGAGED</v>
      </c>
      <c r="F353" s="4" t="str">
        <f>FEATURES!P353</f>
        <v>Medium_Pressure</v>
      </c>
      <c r="G353" s="4" t="str">
        <f>FEATURES!M353</f>
        <v>LOW</v>
      </c>
      <c r="H353" s="4" t="str">
        <f>FEATURES!O353</f>
        <v>RECENTLY PROMOTED</v>
      </c>
      <c r="I353" s="4" t="str">
        <f t="shared" si="1"/>
        <v>LOW RISK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3.2" x14ac:dyDescent="0.25">
      <c r="A354" s="4">
        <v>473</v>
      </c>
      <c r="B354" s="4" t="s">
        <v>37</v>
      </c>
      <c r="C354" s="4" t="str">
        <f>FEATURES!L354</f>
        <v>NORMAL</v>
      </c>
      <c r="D354" s="4" t="str">
        <f>FEATURES!R354</f>
        <v>LOW</v>
      </c>
      <c r="E354" s="4" t="str">
        <f>FEATURES!Q354</f>
        <v>DISENGAGED</v>
      </c>
      <c r="F354" s="4" t="str">
        <f>FEATURES!P354</f>
        <v>Low_Pressure</v>
      </c>
      <c r="G354" s="4" t="str">
        <f>FEATURES!M354</f>
        <v>MEDIUM</v>
      </c>
      <c r="H354" s="4" t="str">
        <f>FEATURES!O354</f>
        <v>RECENTLY PROMOTED</v>
      </c>
      <c r="I354" s="4" t="str">
        <f t="shared" si="1"/>
        <v>LOW RISK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3.2" x14ac:dyDescent="0.25">
      <c r="A355" s="4">
        <v>474</v>
      </c>
      <c r="B355" s="4" t="s">
        <v>45</v>
      </c>
      <c r="C355" s="4" t="str">
        <f>FEATURES!L355</f>
        <v>HIGH RISK</v>
      </c>
      <c r="D355" s="4" t="str">
        <f>FEATURES!R355</f>
        <v>LOW</v>
      </c>
      <c r="E355" s="4" t="str">
        <f>FEATURES!Q355</f>
        <v>DISENGAGED</v>
      </c>
      <c r="F355" s="4" t="str">
        <f>FEATURES!P355</f>
        <v>Medium_Pressure</v>
      </c>
      <c r="G355" s="4" t="str">
        <f>FEATURES!M355</f>
        <v>HIGH</v>
      </c>
      <c r="H355" s="4" t="str">
        <f>FEATURES!O355</f>
        <v>STAGNANT</v>
      </c>
      <c r="I355" s="4" t="str">
        <f t="shared" si="1"/>
        <v>LOW RISK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3.2" x14ac:dyDescent="0.25">
      <c r="A356" s="4">
        <v>475</v>
      </c>
      <c r="B356" s="4" t="s">
        <v>37</v>
      </c>
      <c r="C356" s="4" t="str">
        <f>FEATURES!L356</f>
        <v>NORMAL</v>
      </c>
      <c r="D356" s="4" t="str">
        <f>FEATURES!R356</f>
        <v>LOW</v>
      </c>
      <c r="E356" s="4" t="str">
        <f>FEATURES!Q356</f>
        <v>HIGHLY_ENGAGED</v>
      </c>
      <c r="F356" s="4" t="str">
        <f>FEATURES!P356</f>
        <v>Medium_Pressure</v>
      </c>
      <c r="G356" s="4" t="str">
        <f>FEATURES!M356</f>
        <v>HIGH</v>
      </c>
      <c r="H356" s="4" t="str">
        <f>FEATURES!O356</f>
        <v>MODERATE-WAIT</v>
      </c>
      <c r="I356" s="4" t="str">
        <f t="shared" si="1"/>
        <v>LOW RISK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3.2" x14ac:dyDescent="0.25">
      <c r="A357" s="4">
        <v>476</v>
      </c>
      <c r="B357" s="4" t="s">
        <v>37</v>
      </c>
      <c r="C357" s="4" t="str">
        <f>FEATURES!L357</f>
        <v>NORMAL</v>
      </c>
      <c r="D357" s="4" t="str">
        <f>FEATURES!R357</f>
        <v>LOW</v>
      </c>
      <c r="E357" s="4" t="str">
        <f>FEATURES!Q357</f>
        <v>HIGHLY_ENGAGED</v>
      </c>
      <c r="F357" s="4" t="str">
        <f>FEATURES!P357</f>
        <v>Medium_Pressure</v>
      </c>
      <c r="G357" s="4" t="str">
        <f>FEATURES!M357</f>
        <v>HIGH</v>
      </c>
      <c r="H357" s="4" t="str">
        <f>FEATURES!O357</f>
        <v>STAGNANT</v>
      </c>
      <c r="I357" s="4" t="str">
        <f t="shared" si="1"/>
        <v>LOW RISK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3.2" x14ac:dyDescent="0.25">
      <c r="A358" s="4">
        <v>477</v>
      </c>
      <c r="B358" s="4" t="s">
        <v>45</v>
      </c>
      <c r="C358" s="4" t="str">
        <f>FEATURES!L358</f>
        <v>NORMAL</v>
      </c>
      <c r="D358" s="4" t="str">
        <f>FEATURES!R358</f>
        <v>LOW</v>
      </c>
      <c r="E358" s="4" t="str">
        <f>FEATURES!Q358</f>
        <v>HIGHLY_ENGAGED</v>
      </c>
      <c r="F358" s="4" t="str">
        <f>FEATURES!P358</f>
        <v>Medium_Pressure</v>
      </c>
      <c r="G358" s="4" t="str">
        <f>FEATURES!M358</f>
        <v>HIGH</v>
      </c>
      <c r="H358" s="4" t="str">
        <f>FEATURES!O358</f>
        <v>RECENTLY PROMOTED</v>
      </c>
      <c r="I358" s="4" t="str">
        <f t="shared" si="1"/>
        <v>LOW RISK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3.2" x14ac:dyDescent="0.25">
      <c r="A359" s="4">
        <v>478</v>
      </c>
      <c r="B359" s="4" t="s">
        <v>37</v>
      </c>
      <c r="C359" s="4" t="str">
        <f>FEATURES!L359</f>
        <v>NORMAL</v>
      </c>
      <c r="D359" s="4" t="str">
        <f>FEATURES!R359</f>
        <v>LOW</v>
      </c>
      <c r="E359" s="4" t="str">
        <f>FEATURES!Q359</f>
        <v>DISENGAGED</v>
      </c>
      <c r="F359" s="4" t="str">
        <f>FEATURES!P359</f>
        <v>Medium_Pressure</v>
      </c>
      <c r="G359" s="4" t="str">
        <f>FEATURES!M359</f>
        <v>LOW</v>
      </c>
      <c r="H359" s="4" t="str">
        <f>FEATURES!O359</f>
        <v>RECENTLY PROMOTED</v>
      </c>
      <c r="I359" s="4" t="str">
        <f t="shared" si="1"/>
        <v>LOW RISK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3.2" x14ac:dyDescent="0.25">
      <c r="A360" s="4">
        <v>479</v>
      </c>
      <c r="B360" s="4" t="s">
        <v>37</v>
      </c>
      <c r="C360" s="4" t="str">
        <f>FEATURES!L360</f>
        <v>NORMAL</v>
      </c>
      <c r="D360" s="4" t="str">
        <f>FEATURES!R360</f>
        <v>LOW</v>
      </c>
      <c r="E360" s="4" t="str">
        <f>FEATURES!Q360</f>
        <v>HIGHLY_ENGAGED</v>
      </c>
      <c r="F360" s="4" t="str">
        <f>FEATURES!P360</f>
        <v>Medium_Pressure</v>
      </c>
      <c r="G360" s="4" t="str">
        <f>FEATURES!M360</f>
        <v>HIGH</v>
      </c>
      <c r="H360" s="4" t="str">
        <f>FEATURES!O360</f>
        <v>RECENTLY PROMOTED</v>
      </c>
      <c r="I360" s="4" t="str">
        <f t="shared" si="1"/>
        <v>LOW RISK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3.2" x14ac:dyDescent="0.25">
      <c r="A361" s="4">
        <v>481</v>
      </c>
      <c r="B361" s="4" t="s">
        <v>37</v>
      </c>
      <c r="C361" s="4" t="str">
        <f>FEATURES!L361</f>
        <v>NORMAL</v>
      </c>
      <c r="D361" s="4" t="str">
        <f>FEATURES!R361</f>
        <v>LOW</v>
      </c>
      <c r="E361" s="4" t="str">
        <f>FEATURES!Q361</f>
        <v>HIGHLY_ENGAGED</v>
      </c>
      <c r="F361" s="4" t="str">
        <f>FEATURES!P361</f>
        <v>Medium_Pressure</v>
      </c>
      <c r="G361" s="4" t="str">
        <f>FEATURES!M361</f>
        <v>MEDIUM</v>
      </c>
      <c r="H361" s="4" t="str">
        <f>FEATURES!O361</f>
        <v>RECENTLY PROMOTED</v>
      </c>
      <c r="I361" s="4" t="str">
        <f t="shared" si="1"/>
        <v>LOW RISK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3.2" x14ac:dyDescent="0.25">
      <c r="A362" s="4">
        <v>482</v>
      </c>
      <c r="B362" s="4" t="s">
        <v>45</v>
      </c>
      <c r="C362" s="4" t="str">
        <f>FEATURES!L362</f>
        <v>NORMAL</v>
      </c>
      <c r="D362" s="4" t="str">
        <f>FEATURES!R362</f>
        <v>LOW</v>
      </c>
      <c r="E362" s="4" t="str">
        <f>FEATURES!Q362</f>
        <v>HIGHLY_ENGAGED</v>
      </c>
      <c r="F362" s="4" t="str">
        <f>FEATURES!P362</f>
        <v>Medium_Pressure</v>
      </c>
      <c r="G362" s="4" t="str">
        <f>FEATURES!M362</f>
        <v>HIGH</v>
      </c>
      <c r="H362" s="4" t="str">
        <f>FEATURES!O362</f>
        <v>RECENTLY PROMOTED</v>
      </c>
      <c r="I362" s="4" t="str">
        <f t="shared" si="1"/>
        <v>LOW RISK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3.2" x14ac:dyDescent="0.25">
      <c r="A363" s="4">
        <v>483</v>
      </c>
      <c r="B363" s="4" t="s">
        <v>45</v>
      </c>
      <c r="C363" s="4" t="str">
        <f>FEATURES!L363</f>
        <v>NORMAL</v>
      </c>
      <c r="D363" s="4" t="str">
        <f>FEATURES!R363</f>
        <v>LOW</v>
      </c>
      <c r="E363" s="4" t="str">
        <f>FEATURES!Q363</f>
        <v>HIGHLY_ENGAGED</v>
      </c>
      <c r="F363" s="4" t="str">
        <f>FEATURES!P363</f>
        <v>Medium_Pressure</v>
      </c>
      <c r="G363" s="4" t="str">
        <f>FEATURES!M363</f>
        <v>LOW</v>
      </c>
      <c r="H363" s="4" t="str">
        <f>FEATURES!O363</f>
        <v>RECENTLY PROMOTED</v>
      </c>
      <c r="I363" s="4" t="str">
        <f t="shared" si="1"/>
        <v>LOW RISK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3.2" x14ac:dyDescent="0.25">
      <c r="A364" s="4">
        <v>484</v>
      </c>
      <c r="B364" s="4" t="s">
        <v>37</v>
      </c>
      <c r="C364" s="4" t="str">
        <f>FEATURES!L364</f>
        <v>NORMAL</v>
      </c>
      <c r="D364" s="4" t="str">
        <f>FEATURES!R364</f>
        <v>LOW</v>
      </c>
      <c r="E364" s="4" t="str">
        <f>FEATURES!Q364</f>
        <v>DISENGAGED</v>
      </c>
      <c r="F364" s="4" t="str">
        <f>FEATURES!P364</f>
        <v>Low_Pressure</v>
      </c>
      <c r="G364" s="4" t="str">
        <f>FEATURES!M364</f>
        <v>LOW</v>
      </c>
      <c r="H364" s="4" t="str">
        <f>FEATURES!O364</f>
        <v>MODERATE-WAIT</v>
      </c>
      <c r="I364" s="4" t="str">
        <f t="shared" si="1"/>
        <v>LOW RISK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3.2" x14ac:dyDescent="0.25">
      <c r="A365" s="4">
        <v>485</v>
      </c>
      <c r="B365" s="4" t="s">
        <v>37</v>
      </c>
      <c r="C365" s="4" t="str">
        <f>FEATURES!L365</f>
        <v>NORMAL</v>
      </c>
      <c r="D365" s="4" t="str">
        <f>FEATURES!R365</f>
        <v>LOW</v>
      </c>
      <c r="E365" s="4" t="str">
        <f>FEATURES!Q365</f>
        <v>HIGHLY_ENGAGED</v>
      </c>
      <c r="F365" s="4" t="str">
        <f>FEATURES!P365</f>
        <v>Medium_Pressure</v>
      </c>
      <c r="G365" s="4" t="str">
        <f>FEATURES!M365</f>
        <v>LOW</v>
      </c>
      <c r="H365" s="4" t="str">
        <f>FEATURES!O365</f>
        <v>RECENTLY PROMOTED</v>
      </c>
      <c r="I365" s="4" t="str">
        <f t="shared" si="1"/>
        <v>LOW RISK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3.2" x14ac:dyDescent="0.25">
      <c r="A366" s="4">
        <v>486</v>
      </c>
      <c r="B366" s="4" t="s">
        <v>45</v>
      </c>
      <c r="C366" s="4" t="str">
        <f>FEATURES!L366</f>
        <v>NORMAL</v>
      </c>
      <c r="D366" s="4" t="str">
        <f>FEATURES!R366</f>
        <v>LOW</v>
      </c>
      <c r="E366" s="4" t="str">
        <f>FEATURES!Q366</f>
        <v>DISENGAGED</v>
      </c>
      <c r="F366" s="4" t="str">
        <f>FEATURES!P366</f>
        <v>Medium_Pressure</v>
      </c>
      <c r="G366" s="4" t="str">
        <f>FEATURES!M366</f>
        <v>LOW</v>
      </c>
      <c r="H366" s="4" t="str">
        <f>FEATURES!O366</f>
        <v>RECENTLY PROMOTED</v>
      </c>
      <c r="I366" s="4" t="str">
        <f t="shared" si="1"/>
        <v>LOW RISK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3.2" x14ac:dyDescent="0.25">
      <c r="A367" s="4">
        <v>487</v>
      </c>
      <c r="B367" s="4" t="s">
        <v>45</v>
      </c>
      <c r="C367" s="4" t="str">
        <f>FEATURES!L367</f>
        <v>NORMAL</v>
      </c>
      <c r="D367" s="4" t="str">
        <f>FEATURES!R367</f>
        <v>LOW</v>
      </c>
      <c r="E367" s="4" t="str">
        <f>FEATURES!Q367</f>
        <v>HIGHLY_ENGAGED</v>
      </c>
      <c r="F367" s="4" t="str">
        <f>FEATURES!P367</f>
        <v>Low_Pressure</v>
      </c>
      <c r="G367" s="4" t="str">
        <f>FEATURES!M367</f>
        <v>HIGH</v>
      </c>
      <c r="H367" s="4" t="str">
        <f>FEATURES!O367</f>
        <v>RECENTLY PROMOTED</v>
      </c>
      <c r="I367" s="4" t="str">
        <f t="shared" si="1"/>
        <v>LOW RISK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3.2" x14ac:dyDescent="0.25">
      <c r="A368" s="4">
        <v>488</v>
      </c>
      <c r="B368" s="4" t="s">
        <v>37</v>
      </c>
      <c r="C368" s="4" t="str">
        <f>FEATURES!L368</f>
        <v>NORMAL</v>
      </c>
      <c r="D368" s="4" t="str">
        <f>FEATURES!R368</f>
        <v>LOW</v>
      </c>
      <c r="E368" s="4" t="str">
        <f>FEATURES!Q368</f>
        <v>DISENGAGED</v>
      </c>
      <c r="F368" s="4" t="str">
        <f>FEATURES!P368</f>
        <v>Medium_Pressure</v>
      </c>
      <c r="G368" s="4" t="str">
        <f>FEATURES!M368</f>
        <v>MEDIUM</v>
      </c>
      <c r="H368" s="4" t="str">
        <f>FEATURES!O368</f>
        <v>STAGNANT</v>
      </c>
      <c r="I368" s="4" t="str">
        <f t="shared" si="1"/>
        <v>LOW RISK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3.2" x14ac:dyDescent="0.25">
      <c r="A369" s="4">
        <v>491</v>
      </c>
      <c r="B369" s="4" t="s">
        <v>45</v>
      </c>
      <c r="C369" s="4" t="str">
        <f>FEATURES!L369</f>
        <v>NORMAL</v>
      </c>
      <c r="D369" s="4" t="str">
        <f>FEATURES!R369</f>
        <v>LOW</v>
      </c>
      <c r="E369" s="4" t="str">
        <f>FEATURES!Q369</f>
        <v>HIGHLY_ENGAGED</v>
      </c>
      <c r="F369" s="4" t="str">
        <f>FEATURES!P369</f>
        <v>Medium_Pressure</v>
      </c>
      <c r="G369" s="4" t="str">
        <f>FEATURES!M369</f>
        <v>MEDIUM</v>
      </c>
      <c r="H369" s="4" t="str">
        <f>FEATURES!O369</f>
        <v>RECENTLY PROMOTED</v>
      </c>
      <c r="I369" s="4" t="str">
        <f t="shared" si="1"/>
        <v>LOW RISK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3.2" x14ac:dyDescent="0.25">
      <c r="A370" s="4">
        <v>492</v>
      </c>
      <c r="B370" s="4" t="s">
        <v>37</v>
      </c>
      <c r="C370" s="4" t="str">
        <f>FEATURES!L370</f>
        <v>NORMAL</v>
      </c>
      <c r="D370" s="4" t="str">
        <f>FEATURES!R370</f>
        <v>LOW</v>
      </c>
      <c r="E370" s="4" t="str">
        <f>FEATURES!Q370</f>
        <v>HIGHLY_ENGAGED</v>
      </c>
      <c r="F370" s="4" t="str">
        <f>FEATURES!P370</f>
        <v>Medium_Pressure</v>
      </c>
      <c r="G370" s="4" t="str">
        <f>FEATURES!M370</f>
        <v>HIGH</v>
      </c>
      <c r="H370" s="4" t="str">
        <f>FEATURES!O370</f>
        <v>RECENTLY PROMOTED</v>
      </c>
      <c r="I370" s="4" t="str">
        <f t="shared" si="1"/>
        <v>LOW RISK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3.2" x14ac:dyDescent="0.25">
      <c r="A371" s="4">
        <v>493</v>
      </c>
      <c r="B371" s="4" t="s">
        <v>45</v>
      </c>
      <c r="C371" s="4" t="str">
        <f>FEATURES!L371</f>
        <v>NORMAL</v>
      </c>
      <c r="D371" s="4" t="str">
        <f>FEATURES!R371</f>
        <v>LOW</v>
      </c>
      <c r="E371" s="4" t="str">
        <f>FEATURES!Q371</f>
        <v>DISENGAGED</v>
      </c>
      <c r="F371" s="4" t="str">
        <f>FEATURES!P371</f>
        <v>Medium_Pressure</v>
      </c>
      <c r="G371" s="4" t="str">
        <f>FEATURES!M371</f>
        <v>LOW</v>
      </c>
      <c r="H371" s="4" t="str">
        <f>FEATURES!O371</f>
        <v>MODERATE-WAIT</v>
      </c>
      <c r="I371" s="4" t="str">
        <f t="shared" si="1"/>
        <v>LOW RISK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3.2" x14ac:dyDescent="0.25">
      <c r="A372" s="4">
        <v>494</v>
      </c>
      <c r="B372" s="4" t="s">
        <v>37</v>
      </c>
      <c r="C372" s="4" t="str">
        <f>FEATURES!L372</f>
        <v>NORMAL</v>
      </c>
      <c r="D372" s="4" t="str">
        <f>FEATURES!R372</f>
        <v>LOW</v>
      </c>
      <c r="E372" s="4" t="str">
        <f>FEATURES!Q372</f>
        <v>DISENGAGED</v>
      </c>
      <c r="F372" s="4" t="str">
        <f>FEATURES!P372</f>
        <v>Medium_Pressure</v>
      </c>
      <c r="G372" s="4" t="str">
        <f>FEATURES!M372</f>
        <v>LOW</v>
      </c>
      <c r="H372" s="4" t="str">
        <f>FEATURES!O372</f>
        <v>RECENTLY PROMOTED</v>
      </c>
      <c r="I372" s="4" t="str">
        <f t="shared" si="1"/>
        <v>LOW RISK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3.2" x14ac:dyDescent="0.25">
      <c r="A373" s="4">
        <v>495</v>
      </c>
      <c r="B373" s="4" t="s">
        <v>45</v>
      </c>
      <c r="C373" s="4" t="str">
        <f>FEATURES!L373</f>
        <v>NORMAL</v>
      </c>
      <c r="D373" s="4" t="str">
        <f>FEATURES!R373</f>
        <v>LOW</v>
      </c>
      <c r="E373" s="4" t="str">
        <f>FEATURES!Q373</f>
        <v>HIGHLY_ENGAGED</v>
      </c>
      <c r="F373" s="4" t="str">
        <f>FEATURES!P373</f>
        <v>Medium_Pressure</v>
      </c>
      <c r="G373" s="4" t="str">
        <f>FEATURES!M373</f>
        <v>LOW</v>
      </c>
      <c r="H373" s="4" t="str">
        <f>FEATURES!O373</f>
        <v>RECENTLY PROMOTED</v>
      </c>
      <c r="I373" s="4" t="str">
        <f t="shared" si="1"/>
        <v>LOW RISK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3.2" x14ac:dyDescent="0.25">
      <c r="A374" s="4">
        <v>496</v>
      </c>
      <c r="B374" s="4" t="s">
        <v>45</v>
      </c>
      <c r="C374" s="4" t="str">
        <f>FEATURES!L374</f>
        <v>NORMAL</v>
      </c>
      <c r="D374" s="4" t="str">
        <f>FEATURES!R374</f>
        <v>LOW</v>
      </c>
      <c r="E374" s="4" t="str">
        <f>FEATURES!Q374</f>
        <v>DISENGAGED</v>
      </c>
      <c r="F374" s="4" t="str">
        <f>FEATURES!P374</f>
        <v>Medium_Pressure</v>
      </c>
      <c r="G374" s="4" t="str">
        <f>FEATURES!M374</f>
        <v>HIGH</v>
      </c>
      <c r="H374" s="4" t="str">
        <f>FEATURES!O374</f>
        <v>RECENTLY PROMOTED</v>
      </c>
      <c r="I374" s="4" t="str">
        <f t="shared" si="1"/>
        <v>LOW RISK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3.2" x14ac:dyDescent="0.25">
      <c r="A375" s="4">
        <v>497</v>
      </c>
      <c r="B375" s="4" t="s">
        <v>45</v>
      </c>
      <c r="C375" s="4" t="str">
        <f>FEATURES!L375</f>
        <v>NORMAL</v>
      </c>
      <c r="D375" s="4" t="str">
        <f>FEATURES!R375</f>
        <v>LOW</v>
      </c>
      <c r="E375" s="4" t="str">
        <f>FEATURES!Q375</f>
        <v>DISENGAGED</v>
      </c>
      <c r="F375" s="4" t="str">
        <f>FEATURES!P375</f>
        <v>Medium_Pressure</v>
      </c>
      <c r="G375" s="4" t="str">
        <f>FEATURES!M375</f>
        <v>LOW</v>
      </c>
      <c r="H375" s="4" t="str">
        <f>FEATURES!O375</f>
        <v>RECENTLY PROMOTED</v>
      </c>
      <c r="I375" s="4" t="str">
        <f t="shared" si="1"/>
        <v>LOW RISK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3.2" x14ac:dyDescent="0.25">
      <c r="A376" s="4">
        <v>498</v>
      </c>
      <c r="B376" s="4" t="s">
        <v>37</v>
      </c>
      <c r="C376" s="4" t="str">
        <f>FEATURES!L376</f>
        <v>NORMAL</v>
      </c>
      <c r="D376" s="4" t="str">
        <f>FEATURES!R376</f>
        <v>LOW</v>
      </c>
      <c r="E376" s="4" t="str">
        <f>FEATURES!Q376</f>
        <v>HIGHLY_ENGAGED</v>
      </c>
      <c r="F376" s="4" t="str">
        <f>FEATURES!P376</f>
        <v>Medium_Pressure</v>
      </c>
      <c r="G376" s="4" t="str">
        <f>FEATURES!M376</f>
        <v>HIGH</v>
      </c>
      <c r="H376" s="4" t="str">
        <f>FEATURES!O376</f>
        <v>RECENTLY PROMOTED</v>
      </c>
      <c r="I376" s="4" t="str">
        <f t="shared" si="1"/>
        <v>LOW RISK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3.2" x14ac:dyDescent="0.25">
      <c r="A377" s="4">
        <v>499</v>
      </c>
      <c r="B377" s="4" t="s">
        <v>45</v>
      </c>
      <c r="C377" s="4" t="str">
        <f>FEATURES!L377</f>
        <v>NORMAL</v>
      </c>
      <c r="D377" s="4" t="str">
        <f>FEATURES!R377</f>
        <v>LOW</v>
      </c>
      <c r="E377" s="4" t="str">
        <f>FEATURES!Q377</f>
        <v>HIGHLY_ENGAGED</v>
      </c>
      <c r="F377" s="4" t="str">
        <f>FEATURES!P377</f>
        <v>Medium_Pressure</v>
      </c>
      <c r="G377" s="4" t="str">
        <f>FEATURES!M377</f>
        <v>MEDIUM</v>
      </c>
      <c r="H377" s="4" t="str">
        <f>FEATURES!O377</f>
        <v>RECENTLY PROMOTED</v>
      </c>
      <c r="I377" s="4" t="str">
        <f t="shared" si="1"/>
        <v>LOW RISK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3.2" x14ac:dyDescent="0.25">
      <c r="A378" s="4">
        <v>500</v>
      </c>
      <c r="B378" s="4" t="s">
        <v>37</v>
      </c>
      <c r="C378" s="4" t="str">
        <f>FEATURES!L378</f>
        <v>NORMAL</v>
      </c>
      <c r="D378" s="4" t="str">
        <f>FEATURES!R378</f>
        <v>LOW</v>
      </c>
      <c r="E378" s="4" t="str">
        <f>FEATURES!Q378</f>
        <v>DISENGAGED</v>
      </c>
      <c r="F378" s="4" t="str">
        <f>FEATURES!P378</f>
        <v>Low_Pressure</v>
      </c>
      <c r="G378" s="4" t="str">
        <f>FEATURES!M378</f>
        <v>HIGH</v>
      </c>
      <c r="H378" s="4" t="str">
        <f>FEATURES!O378</f>
        <v>RECENTLY PROMOTED</v>
      </c>
      <c r="I378" s="4" t="str">
        <f t="shared" si="1"/>
        <v>LOW RISK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3.2" x14ac:dyDescent="0.25">
      <c r="A379" s="4">
        <v>501</v>
      </c>
      <c r="B379" s="4" t="s">
        <v>45</v>
      </c>
      <c r="C379" s="4" t="str">
        <f>FEATURES!L379</f>
        <v>NORMAL</v>
      </c>
      <c r="D379" s="4" t="str">
        <f>FEATURES!R379</f>
        <v>LOW</v>
      </c>
      <c r="E379" s="4" t="str">
        <f>FEATURES!Q379</f>
        <v>HIGHLY_ENGAGED</v>
      </c>
      <c r="F379" s="4" t="str">
        <f>FEATURES!P379</f>
        <v>Medium_Pressure</v>
      </c>
      <c r="G379" s="4" t="str">
        <f>FEATURES!M379</f>
        <v>LOW</v>
      </c>
      <c r="H379" s="4" t="str">
        <f>FEATURES!O379</f>
        <v>MODERATE-WAIT</v>
      </c>
      <c r="I379" s="4" t="str">
        <f t="shared" si="1"/>
        <v>LOW RISK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3.2" x14ac:dyDescent="0.25">
      <c r="A380" s="4">
        <v>502</v>
      </c>
      <c r="B380" s="4" t="s">
        <v>37</v>
      </c>
      <c r="C380" s="4" t="str">
        <f>FEATURES!L380</f>
        <v>NORMAL</v>
      </c>
      <c r="D380" s="4" t="str">
        <f>FEATURES!R380</f>
        <v>LOW</v>
      </c>
      <c r="E380" s="4" t="str">
        <f>FEATURES!Q380</f>
        <v>DISENGAGED</v>
      </c>
      <c r="F380" s="4" t="str">
        <f>FEATURES!P380</f>
        <v>High_Pressure</v>
      </c>
      <c r="G380" s="4" t="str">
        <f>FEATURES!M380</f>
        <v>HIGH</v>
      </c>
      <c r="H380" s="4" t="str">
        <f>FEATURES!O380</f>
        <v>RECENTLY PROMOTED</v>
      </c>
      <c r="I380" s="4" t="str">
        <f t="shared" si="1"/>
        <v>LOW RISK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3.2" x14ac:dyDescent="0.25">
      <c r="A381" s="4">
        <v>505</v>
      </c>
      <c r="B381" s="4" t="s">
        <v>45</v>
      </c>
      <c r="C381" s="4" t="str">
        <f>FEATURES!L381</f>
        <v>NORMAL</v>
      </c>
      <c r="D381" s="4" t="str">
        <f>FEATURES!R381</f>
        <v>LOW</v>
      </c>
      <c r="E381" s="4" t="str">
        <f>FEATURES!Q381</f>
        <v>HIGHLY_ENGAGED</v>
      </c>
      <c r="F381" s="4" t="str">
        <f>FEATURES!P381</f>
        <v>Medium_Pressure</v>
      </c>
      <c r="G381" s="4" t="str">
        <f>FEATURES!M381</f>
        <v>MEDIUM</v>
      </c>
      <c r="H381" s="4" t="str">
        <f>FEATURES!O381</f>
        <v>RECENTLY PROMOTED</v>
      </c>
      <c r="I381" s="4" t="str">
        <f t="shared" si="1"/>
        <v>LOW RISK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3.2" x14ac:dyDescent="0.25">
      <c r="A382" s="4">
        <v>507</v>
      </c>
      <c r="B382" s="4" t="s">
        <v>37</v>
      </c>
      <c r="C382" s="4" t="str">
        <f>FEATURES!L382</f>
        <v>NORMAL</v>
      </c>
      <c r="D382" s="4" t="str">
        <f>FEATURES!R382</f>
        <v>LOW</v>
      </c>
      <c r="E382" s="4" t="str">
        <f>FEATURES!Q382</f>
        <v>HIGHLY_ENGAGED</v>
      </c>
      <c r="F382" s="4" t="str">
        <f>FEATURES!P382</f>
        <v>Medium_Pressure</v>
      </c>
      <c r="G382" s="4" t="str">
        <f>FEATURES!M382</f>
        <v>HIGH</v>
      </c>
      <c r="H382" s="4" t="str">
        <f>FEATURES!O382</f>
        <v>RECENTLY PROMOTED</v>
      </c>
      <c r="I382" s="4" t="str">
        <f t="shared" si="1"/>
        <v>LOW RISK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3.2" x14ac:dyDescent="0.25">
      <c r="A383" s="4">
        <v>508</v>
      </c>
      <c r="B383" s="4" t="s">
        <v>37</v>
      </c>
      <c r="C383" s="4" t="str">
        <f>FEATURES!L383</f>
        <v>NORMAL</v>
      </c>
      <c r="D383" s="4" t="str">
        <f>FEATURES!R383</f>
        <v>LOW</v>
      </c>
      <c r="E383" s="4" t="str">
        <f>FEATURES!Q383</f>
        <v>DISENGAGED</v>
      </c>
      <c r="F383" s="4" t="str">
        <f>FEATURES!P383</f>
        <v>Medium_Pressure</v>
      </c>
      <c r="G383" s="4" t="str">
        <f>FEATURES!M383</f>
        <v>LOW</v>
      </c>
      <c r="H383" s="4" t="str">
        <f>FEATURES!O383</f>
        <v>RECENTLY PROMOTED</v>
      </c>
      <c r="I383" s="4" t="str">
        <f t="shared" si="1"/>
        <v>LOW RISK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3.2" x14ac:dyDescent="0.25">
      <c r="A384" s="4">
        <v>510</v>
      </c>
      <c r="B384" s="4" t="s">
        <v>45</v>
      </c>
      <c r="C384" s="4" t="str">
        <f>FEATURES!L384</f>
        <v>NORMAL</v>
      </c>
      <c r="D384" s="4" t="str">
        <f>FEATURES!R384</f>
        <v>LOW</v>
      </c>
      <c r="E384" s="4" t="str">
        <f>FEATURES!Q384</f>
        <v>DISENGAGED</v>
      </c>
      <c r="F384" s="4" t="str">
        <f>FEATURES!P384</f>
        <v>Medium_Pressure</v>
      </c>
      <c r="G384" s="4" t="str">
        <f>FEATURES!M384</f>
        <v>LOW</v>
      </c>
      <c r="H384" s="4" t="str">
        <f>FEATURES!O384</f>
        <v>RECENTLY PROMOTED</v>
      </c>
      <c r="I384" s="4" t="str">
        <f t="shared" si="1"/>
        <v>LOW RISK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3.2" x14ac:dyDescent="0.25">
      <c r="A385" s="4">
        <v>511</v>
      </c>
      <c r="B385" s="4" t="s">
        <v>45</v>
      </c>
      <c r="C385" s="4" t="str">
        <f>FEATURES!L385</f>
        <v>NORMAL</v>
      </c>
      <c r="D385" s="4" t="str">
        <f>FEATURES!R385</f>
        <v>LOW</v>
      </c>
      <c r="E385" s="4" t="str">
        <f>FEATURES!Q385</f>
        <v>DISENGAGED</v>
      </c>
      <c r="F385" s="4" t="str">
        <f>FEATURES!P385</f>
        <v>Medium_Pressure</v>
      </c>
      <c r="G385" s="4" t="str">
        <f>FEATURES!M385</f>
        <v>LOW</v>
      </c>
      <c r="H385" s="4" t="str">
        <f>FEATURES!O385</f>
        <v>RECENTLY PROMOTED</v>
      </c>
      <c r="I385" s="4" t="str">
        <f t="shared" si="1"/>
        <v>LOW RISK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3.2" x14ac:dyDescent="0.25">
      <c r="A386" s="4">
        <v>513</v>
      </c>
      <c r="B386" s="4" t="s">
        <v>37</v>
      </c>
      <c r="C386" s="4" t="str">
        <f>FEATURES!L386</f>
        <v>NORMAL</v>
      </c>
      <c r="D386" s="4" t="str">
        <f>FEATURES!R386</f>
        <v>LOW</v>
      </c>
      <c r="E386" s="4" t="str">
        <f>FEATURES!Q386</f>
        <v>HIGHLY_ENGAGED</v>
      </c>
      <c r="F386" s="4" t="str">
        <f>FEATURES!P386</f>
        <v>Medium_Pressure</v>
      </c>
      <c r="G386" s="4" t="str">
        <f>FEATURES!M386</f>
        <v>HIGH</v>
      </c>
      <c r="H386" s="4" t="str">
        <f>FEATURES!O386</f>
        <v>STAGNANT</v>
      </c>
      <c r="I386" s="4" t="str">
        <f t="shared" si="1"/>
        <v>LOW RISK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3.2" x14ac:dyDescent="0.25">
      <c r="A387" s="4">
        <v>514</v>
      </c>
      <c r="B387" s="4" t="s">
        <v>45</v>
      </c>
      <c r="C387" s="4" t="str">
        <f>FEATURES!L387</f>
        <v>NORMAL</v>
      </c>
      <c r="D387" s="4" t="str">
        <f>FEATURES!R387</f>
        <v>LOW</v>
      </c>
      <c r="E387" s="4" t="str">
        <f>FEATURES!Q387</f>
        <v>HIGHLY_ENGAGED</v>
      </c>
      <c r="F387" s="4" t="str">
        <f>FEATURES!P387</f>
        <v>Medium_Pressure</v>
      </c>
      <c r="G387" s="4" t="str">
        <f>FEATURES!M387</f>
        <v>LOW</v>
      </c>
      <c r="H387" s="4" t="str">
        <f>FEATURES!O387</f>
        <v>RECENTLY PROMOTED</v>
      </c>
      <c r="I387" s="4" t="str">
        <f t="shared" si="1"/>
        <v>LOW RISK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3.2" x14ac:dyDescent="0.25">
      <c r="A388" s="4">
        <v>515</v>
      </c>
      <c r="B388" s="4" t="s">
        <v>45</v>
      </c>
      <c r="C388" s="4" t="str">
        <f>FEATURES!L388</f>
        <v>NORMAL</v>
      </c>
      <c r="D388" s="4" t="str">
        <f>FEATURES!R388</f>
        <v>LOW</v>
      </c>
      <c r="E388" s="4" t="str">
        <f>FEATURES!Q388</f>
        <v>DISENGAGED</v>
      </c>
      <c r="F388" s="4" t="str">
        <f>FEATURES!P388</f>
        <v>Low_Pressure</v>
      </c>
      <c r="G388" s="4" t="str">
        <f>FEATURES!M388</f>
        <v>LOW</v>
      </c>
      <c r="H388" s="4" t="str">
        <f>FEATURES!O388</f>
        <v>STAGNANT</v>
      </c>
      <c r="I388" s="4" t="str">
        <f t="shared" si="1"/>
        <v>LOW RISK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3.2" x14ac:dyDescent="0.25">
      <c r="A389" s="4">
        <v>516</v>
      </c>
      <c r="B389" s="4" t="s">
        <v>37</v>
      </c>
      <c r="C389" s="4" t="str">
        <f>FEATURES!L389</f>
        <v>NORMAL</v>
      </c>
      <c r="D389" s="4" t="str">
        <f>FEATURES!R389</f>
        <v>LOW</v>
      </c>
      <c r="E389" s="4" t="str">
        <f>FEATURES!Q389</f>
        <v>DISENGAGED</v>
      </c>
      <c r="F389" s="4" t="str">
        <f>FEATURES!P389</f>
        <v>Medium_Pressure</v>
      </c>
      <c r="G389" s="4" t="str">
        <f>FEATURES!M389</f>
        <v>HIGH</v>
      </c>
      <c r="H389" s="4" t="str">
        <f>FEATURES!O389</f>
        <v>RECENTLY PROMOTED</v>
      </c>
      <c r="I389" s="4" t="str">
        <f t="shared" si="1"/>
        <v>LOW RISK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3.2" x14ac:dyDescent="0.25">
      <c r="A390" s="4">
        <v>517</v>
      </c>
      <c r="B390" s="4" t="s">
        <v>45</v>
      </c>
      <c r="C390" s="4" t="str">
        <f>FEATURES!L390</f>
        <v>NORMAL</v>
      </c>
      <c r="D390" s="4" t="str">
        <f>FEATURES!R390</f>
        <v>LOW</v>
      </c>
      <c r="E390" s="4" t="str">
        <f>FEATURES!Q390</f>
        <v>DISENGAGED</v>
      </c>
      <c r="F390" s="4" t="str">
        <f>FEATURES!P390</f>
        <v>Medium_Pressure</v>
      </c>
      <c r="G390" s="4" t="str">
        <f>FEATURES!M390</f>
        <v>LOW</v>
      </c>
      <c r="H390" s="4" t="str">
        <f>FEATURES!O390</f>
        <v>RECENTLY PROMOTED</v>
      </c>
      <c r="I390" s="4" t="str">
        <f t="shared" si="1"/>
        <v>LOW RISK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3.2" x14ac:dyDescent="0.25">
      <c r="A391" s="4">
        <v>518</v>
      </c>
      <c r="B391" s="4" t="s">
        <v>45</v>
      </c>
      <c r="C391" s="4" t="str">
        <f>FEATURES!L391</f>
        <v>NORMAL</v>
      </c>
      <c r="D391" s="4" t="str">
        <f>FEATURES!R391</f>
        <v>LOW</v>
      </c>
      <c r="E391" s="4" t="str">
        <f>FEATURES!Q391</f>
        <v>DISENGAGED</v>
      </c>
      <c r="F391" s="4" t="str">
        <f>FEATURES!P391</f>
        <v>High_Pressure</v>
      </c>
      <c r="G391" s="4" t="str">
        <f>FEATURES!M391</f>
        <v>HIGH</v>
      </c>
      <c r="H391" s="4" t="str">
        <f>FEATURES!O391</f>
        <v>RECENTLY PROMOTED</v>
      </c>
      <c r="I391" s="4" t="str">
        <f t="shared" si="1"/>
        <v>LOW RISK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3.2" x14ac:dyDescent="0.25">
      <c r="A392" s="4">
        <v>520</v>
      </c>
      <c r="B392" s="4" t="s">
        <v>45</v>
      </c>
      <c r="C392" s="4" t="str">
        <f>FEATURES!L392</f>
        <v>NORMAL</v>
      </c>
      <c r="D392" s="4" t="str">
        <f>FEATURES!R392</f>
        <v>LOW</v>
      </c>
      <c r="E392" s="4" t="str">
        <f>FEATURES!Q392</f>
        <v>DISENGAGED</v>
      </c>
      <c r="F392" s="4" t="str">
        <f>FEATURES!P392</f>
        <v>Medium_Pressure</v>
      </c>
      <c r="G392" s="4" t="str">
        <f>FEATURES!M392</f>
        <v>MEDIUM</v>
      </c>
      <c r="H392" s="4" t="str">
        <f>FEATURES!O392</f>
        <v>MODERATE-WAIT</v>
      </c>
      <c r="I392" s="4" t="str">
        <f t="shared" si="1"/>
        <v>LOW RISK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3.2" x14ac:dyDescent="0.25">
      <c r="A393" s="4">
        <v>521</v>
      </c>
      <c r="B393" s="4" t="s">
        <v>45</v>
      </c>
      <c r="C393" s="4" t="str">
        <f>FEATURES!L393</f>
        <v>NORMAL</v>
      </c>
      <c r="D393" s="4" t="str">
        <f>FEATURES!R393</f>
        <v>LOW</v>
      </c>
      <c r="E393" s="4" t="str">
        <f>FEATURES!Q393</f>
        <v>HIGHLY_ENGAGED</v>
      </c>
      <c r="F393" s="4" t="str">
        <f>FEATURES!P393</f>
        <v>Medium_Pressure</v>
      </c>
      <c r="G393" s="4" t="str">
        <f>FEATURES!M393</f>
        <v>LOW</v>
      </c>
      <c r="H393" s="4" t="str">
        <f>FEATURES!O393</f>
        <v>RECENTLY PROMOTED</v>
      </c>
      <c r="I393" s="4" t="str">
        <f t="shared" si="1"/>
        <v>LOW RISK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3.2" x14ac:dyDescent="0.25">
      <c r="A394" s="4">
        <v>522</v>
      </c>
      <c r="B394" s="4" t="s">
        <v>45</v>
      </c>
      <c r="C394" s="4" t="str">
        <f>FEATURES!L394</f>
        <v>NORMAL</v>
      </c>
      <c r="D394" s="4" t="str">
        <f>FEATURES!R394</f>
        <v>LOW</v>
      </c>
      <c r="E394" s="4" t="str">
        <f>FEATURES!Q394</f>
        <v>DISENGAGED</v>
      </c>
      <c r="F394" s="4" t="str">
        <f>FEATURES!P394</f>
        <v>Low_Pressure</v>
      </c>
      <c r="G394" s="4" t="str">
        <f>FEATURES!M394</f>
        <v>MEDIUM</v>
      </c>
      <c r="H394" s="4" t="str">
        <f>FEATURES!O394</f>
        <v>RECENTLY PROMOTED</v>
      </c>
      <c r="I394" s="4" t="str">
        <f t="shared" si="1"/>
        <v>LOW RISK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3.2" x14ac:dyDescent="0.25">
      <c r="A395" s="4">
        <v>523</v>
      </c>
      <c r="B395" s="4" t="s">
        <v>37</v>
      </c>
      <c r="C395" s="4" t="str">
        <f>FEATURES!L395</f>
        <v>NORMAL</v>
      </c>
      <c r="D395" s="4" t="str">
        <f>FEATURES!R395</f>
        <v>LOW</v>
      </c>
      <c r="E395" s="4" t="str">
        <f>FEATURES!Q395</f>
        <v>HIGHLY_ENGAGED</v>
      </c>
      <c r="F395" s="4" t="str">
        <f>FEATURES!P395</f>
        <v>Medium_Pressure</v>
      </c>
      <c r="G395" s="4" t="str">
        <f>FEATURES!M395</f>
        <v>HIGH</v>
      </c>
      <c r="H395" s="4" t="str">
        <f>FEATURES!O395</f>
        <v>RECENTLY PROMOTED</v>
      </c>
      <c r="I395" s="4" t="str">
        <f t="shared" si="1"/>
        <v>LOW RISK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3.2" x14ac:dyDescent="0.25">
      <c r="A396" s="4">
        <v>524</v>
      </c>
      <c r="B396" s="4" t="s">
        <v>45</v>
      </c>
      <c r="C396" s="4" t="str">
        <f>FEATURES!L396</f>
        <v>NORMAL</v>
      </c>
      <c r="D396" s="4" t="str">
        <f>FEATURES!R396</f>
        <v>LOW</v>
      </c>
      <c r="E396" s="4" t="str">
        <f>FEATURES!Q396</f>
        <v>DISENGAGED</v>
      </c>
      <c r="F396" s="4" t="str">
        <f>FEATURES!P396</f>
        <v>Low_Pressure</v>
      </c>
      <c r="G396" s="4" t="str">
        <f>FEATURES!M396</f>
        <v>HIGH</v>
      </c>
      <c r="H396" s="4" t="str">
        <f>FEATURES!O396</f>
        <v>MODERATE-WAIT</v>
      </c>
      <c r="I396" s="4" t="str">
        <f t="shared" si="1"/>
        <v>LOW RISK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3.2" x14ac:dyDescent="0.25">
      <c r="A397" s="4">
        <v>525</v>
      </c>
      <c r="B397" s="4" t="s">
        <v>45</v>
      </c>
      <c r="C397" s="4" t="str">
        <f>FEATURES!L397</f>
        <v>NORMAL</v>
      </c>
      <c r="D397" s="4" t="str">
        <f>FEATURES!R397</f>
        <v>LOW</v>
      </c>
      <c r="E397" s="4" t="str">
        <f>FEATURES!Q397</f>
        <v>HIGHLY_ENGAGED</v>
      </c>
      <c r="F397" s="4" t="str">
        <f>FEATURES!P397</f>
        <v>Medium_Pressure</v>
      </c>
      <c r="G397" s="4" t="str">
        <f>FEATURES!M397</f>
        <v>LOW</v>
      </c>
      <c r="H397" s="4" t="str">
        <f>FEATURES!O397</f>
        <v>RECENTLY PROMOTED</v>
      </c>
      <c r="I397" s="4" t="str">
        <f t="shared" si="1"/>
        <v>LOW RISK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3.2" x14ac:dyDescent="0.25">
      <c r="A398" s="4">
        <v>526</v>
      </c>
      <c r="B398" s="4" t="s">
        <v>45</v>
      </c>
      <c r="C398" s="4" t="str">
        <f>FEATURES!L398</f>
        <v>NORMAL</v>
      </c>
      <c r="D398" s="4" t="str">
        <f>FEATURES!R398</f>
        <v>LOW</v>
      </c>
      <c r="E398" s="4" t="str">
        <f>FEATURES!Q398</f>
        <v>HIGHLY_ENGAGED</v>
      </c>
      <c r="F398" s="4" t="str">
        <f>FEATURES!P398</f>
        <v>Medium_Pressure</v>
      </c>
      <c r="G398" s="4" t="str">
        <f>FEATURES!M398</f>
        <v>HIGH</v>
      </c>
      <c r="H398" s="4" t="str">
        <f>FEATURES!O398</f>
        <v>RECENTLY PROMOTED</v>
      </c>
      <c r="I398" s="4" t="str">
        <f t="shared" si="1"/>
        <v>LOW RISK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3.2" x14ac:dyDescent="0.25">
      <c r="A399" s="4">
        <v>527</v>
      </c>
      <c r="B399" s="4" t="s">
        <v>37</v>
      </c>
      <c r="C399" s="4" t="str">
        <f>FEATURES!L399</f>
        <v>NORMAL</v>
      </c>
      <c r="D399" s="4" t="str">
        <f>FEATURES!R399</f>
        <v>LOW</v>
      </c>
      <c r="E399" s="4" t="str">
        <f>FEATURES!Q399</f>
        <v>HIGHLY_ENGAGED</v>
      </c>
      <c r="F399" s="4" t="str">
        <f>FEATURES!P399</f>
        <v>Medium_Pressure</v>
      </c>
      <c r="G399" s="4" t="str">
        <f>FEATURES!M399</f>
        <v>HIGH</v>
      </c>
      <c r="H399" s="4" t="str">
        <f>FEATURES!O399</f>
        <v>RECENTLY PROMOTED</v>
      </c>
      <c r="I399" s="4" t="str">
        <f t="shared" si="1"/>
        <v>LOW RISK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3.2" x14ac:dyDescent="0.25">
      <c r="A400" s="4">
        <v>529</v>
      </c>
      <c r="B400" s="4" t="s">
        <v>45</v>
      </c>
      <c r="C400" s="4" t="str">
        <f>FEATURES!L400</f>
        <v>NORMAL</v>
      </c>
      <c r="D400" s="4" t="str">
        <f>FEATURES!R400</f>
        <v>LOW</v>
      </c>
      <c r="E400" s="4" t="str">
        <f>FEATURES!Q400</f>
        <v>HIGHLY_ENGAGED</v>
      </c>
      <c r="F400" s="4" t="str">
        <f>FEATURES!P400</f>
        <v>Medium_Pressure</v>
      </c>
      <c r="G400" s="4" t="str">
        <f>FEATURES!M400</f>
        <v>HIGH</v>
      </c>
      <c r="H400" s="4" t="str">
        <f>FEATURES!O400</f>
        <v>STAGNANT</v>
      </c>
      <c r="I400" s="4" t="str">
        <f t="shared" si="1"/>
        <v>LOW RISK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3.2" x14ac:dyDescent="0.25">
      <c r="A401" s="4">
        <v>530</v>
      </c>
      <c r="B401" s="4" t="s">
        <v>45</v>
      </c>
      <c r="C401" s="4" t="str">
        <f>FEATURES!L401</f>
        <v>NORMAL</v>
      </c>
      <c r="D401" s="4" t="str">
        <f>FEATURES!R401</f>
        <v>LOW</v>
      </c>
      <c r="E401" s="4" t="str">
        <f>FEATURES!Q401</f>
        <v>DISENGAGED</v>
      </c>
      <c r="F401" s="4" t="str">
        <f>FEATURES!P401</f>
        <v>Medium_Pressure</v>
      </c>
      <c r="G401" s="4" t="str">
        <f>FEATURES!M401</f>
        <v>LOW</v>
      </c>
      <c r="H401" s="4" t="str">
        <f>FEATURES!O401</f>
        <v>MODERATE-WAIT</v>
      </c>
      <c r="I401" s="4" t="str">
        <f t="shared" si="1"/>
        <v>LOW RISK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3.2" x14ac:dyDescent="0.25">
      <c r="A402" s="4">
        <v>531</v>
      </c>
      <c r="B402" s="4" t="s">
        <v>45</v>
      </c>
      <c r="C402" s="4" t="str">
        <f>FEATURES!L402</f>
        <v>NORMAL</v>
      </c>
      <c r="D402" s="4" t="str">
        <f>FEATURES!R402</f>
        <v>LOW</v>
      </c>
      <c r="E402" s="4" t="str">
        <f>FEATURES!Q402</f>
        <v>HIGHLY_ENGAGED</v>
      </c>
      <c r="F402" s="4" t="str">
        <f>FEATURES!P402</f>
        <v>Medium_Pressure</v>
      </c>
      <c r="G402" s="4" t="str">
        <f>FEATURES!M402</f>
        <v>MEDIUM</v>
      </c>
      <c r="H402" s="4" t="str">
        <f>FEATURES!O402</f>
        <v>RECENTLY PROMOTED</v>
      </c>
      <c r="I402" s="4" t="str">
        <f t="shared" si="1"/>
        <v>LOW RISK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3.2" x14ac:dyDescent="0.25">
      <c r="A403" s="4">
        <v>532</v>
      </c>
      <c r="B403" s="4" t="s">
        <v>37</v>
      </c>
      <c r="C403" s="4" t="str">
        <f>FEATURES!L403</f>
        <v>NORMAL</v>
      </c>
      <c r="D403" s="4" t="str">
        <f>FEATURES!R403</f>
        <v>LOW</v>
      </c>
      <c r="E403" s="4" t="str">
        <f>FEATURES!Q403</f>
        <v>DISENGAGED</v>
      </c>
      <c r="F403" s="4" t="str">
        <f>FEATURES!P403</f>
        <v>Low_Pressure</v>
      </c>
      <c r="G403" s="4" t="str">
        <f>FEATURES!M403</f>
        <v>MEDIUM</v>
      </c>
      <c r="H403" s="4" t="str">
        <f>FEATURES!O403</f>
        <v>STAGNANT</v>
      </c>
      <c r="I403" s="4" t="str">
        <f t="shared" si="1"/>
        <v>LOW RISK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3.2" x14ac:dyDescent="0.25">
      <c r="A404" s="4">
        <v>533</v>
      </c>
      <c r="B404" s="4" t="s">
        <v>37</v>
      </c>
      <c r="C404" s="4" t="str">
        <f>FEATURES!L404</f>
        <v>NORMAL</v>
      </c>
      <c r="D404" s="4" t="str">
        <f>FEATURES!R404</f>
        <v>LOW</v>
      </c>
      <c r="E404" s="4" t="str">
        <f>FEATURES!Q404</f>
        <v>HIGHLY_ENGAGED</v>
      </c>
      <c r="F404" s="4" t="str">
        <f>FEATURES!P404</f>
        <v>Medium_Pressure</v>
      </c>
      <c r="G404" s="4" t="str">
        <f>FEATURES!M404</f>
        <v>HIGH</v>
      </c>
      <c r="H404" s="4" t="str">
        <f>FEATURES!O404</f>
        <v>STAGNANT</v>
      </c>
      <c r="I404" s="4" t="str">
        <f t="shared" si="1"/>
        <v>LOW RISK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3.2" x14ac:dyDescent="0.25">
      <c r="A405" s="4">
        <v>534</v>
      </c>
      <c r="B405" s="4" t="s">
        <v>37</v>
      </c>
      <c r="C405" s="4" t="str">
        <f>FEATURES!L405</f>
        <v>NORMAL</v>
      </c>
      <c r="D405" s="4" t="str">
        <f>FEATURES!R405</f>
        <v>LOW</v>
      </c>
      <c r="E405" s="4" t="str">
        <f>FEATURES!Q405</f>
        <v>DISENGAGED</v>
      </c>
      <c r="F405" s="4" t="str">
        <f>FEATURES!P405</f>
        <v>Medium_Pressure</v>
      </c>
      <c r="G405" s="4" t="str">
        <f>FEATURES!M405</f>
        <v>HIGH</v>
      </c>
      <c r="H405" s="4" t="str">
        <f>FEATURES!O405</f>
        <v>RECENTLY PROMOTED</v>
      </c>
      <c r="I405" s="4" t="str">
        <f t="shared" si="1"/>
        <v>LOW RISK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3.2" x14ac:dyDescent="0.25">
      <c r="A406" s="4">
        <v>536</v>
      </c>
      <c r="B406" s="4" t="s">
        <v>45</v>
      </c>
      <c r="C406" s="4" t="str">
        <f>FEATURES!L406</f>
        <v>NORMAL</v>
      </c>
      <c r="D406" s="4" t="str">
        <f>FEATURES!R406</f>
        <v>LOW</v>
      </c>
      <c r="E406" s="4" t="str">
        <f>FEATURES!Q406</f>
        <v>DISENGAGED</v>
      </c>
      <c r="F406" s="4" t="str">
        <f>FEATURES!P406</f>
        <v>Medium_Pressure</v>
      </c>
      <c r="G406" s="4" t="str">
        <f>FEATURES!M406</f>
        <v>HIGH</v>
      </c>
      <c r="H406" s="4" t="str">
        <f>FEATURES!O406</f>
        <v>RECENTLY PROMOTED</v>
      </c>
      <c r="I406" s="4" t="str">
        <f t="shared" si="1"/>
        <v>LOW RISK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3.2" x14ac:dyDescent="0.25">
      <c r="A407" s="4">
        <v>538</v>
      </c>
      <c r="B407" s="4" t="s">
        <v>45</v>
      </c>
      <c r="C407" s="4" t="str">
        <f>FEATURES!L407</f>
        <v>NORMAL</v>
      </c>
      <c r="D407" s="4" t="str">
        <f>FEATURES!R407</f>
        <v>LOW</v>
      </c>
      <c r="E407" s="4" t="str">
        <f>FEATURES!Q407</f>
        <v>DISENGAGED</v>
      </c>
      <c r="F407" s="4" t="str">
        <f>FEATURES!P407</f>
        <v>Medium_Pressure</v>
      </c>
      <c r="G407" s="4" t="str">
        <f>FEATURES!M407</f>
        <v>HIGH</v>
      </c>
      <c r="H407" s="4" t="str">
        <f>FEATURES!O407</f>
        <v>RECENTLY PROMOTED</v>
      </c>
      <c r="I407" s="4" t="str">
        <f t="shared" si="1"/>
        <v>LOW RISK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3.2" x14ac:dyDescent="0.25">
      <c r="A408" s="4">
        <v>543</v>
      </c>
      <c r="B408" s="4" t="s">
        <v>45</v>
      </c>
      <c r="C408" s="4" t="str">
        <f>FEATURES!L408</f>
        <v>NORMAL</v>
      </c>
      <c r="D408" s="4" t="str">
        <f>FEATURES!R408</f>
        <v>LOW</v>
      </c>
      <c r="E408" s="4" t="str">
        <f>FEATURES!Q408</f>
        <v>HIGHLY_ENGAGED</v>
      </c>
      <c r="F408" s="4" t="str">
        <f>FEATURES!P408</f>
        <v>Medium_Pressure</v>
      </c>
      <c r="G408" s="4" t="str">
        <f>FEATURES!M408</f>
        <v>HIGH</v>
      </c>
      <c r="H408" s="4" t="str">
        <f>FEATURES!O408</f>
        <v>RECENTLY PROMOTED</v>
      </c>
      <c r="I408" s="4" t="str">
        <f t="shared" si="1"/>
        <v>LOW RISK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3.2" x14ac:dyDescent="0.25">
      <c r="A409" s="4">
        <v>544</v>
      </c>
      <c r="B409" s="4" t="s">
        <v>45</v>
      </c>
      <c r="C409" s="4" t="str">
        <f>FEATURES!L409</f>
        <v>NORMAL</v>
      </c>
      <c r="D409" s="4" t="str">
        <f>FEATURES!R409</f>
        <v>LOW</v>
      </c>
      <c r="E409" s="4" t="str">
        <f>FEATURES!Q409</f>
        <v>DISENGAGED</v>
      </c>
      <c r="F409" s="4" t="str">
        <f>FEATURES!P409</f>
        <v>Low_Pressure</v>
      </c>
      <c r="G409" s="4" t="str">
        <f>FEATURES!M409</f>
        <v>LOW</v>
      </c>
      <c r="H409" s="4" t="str">
        <f>FEATURES!O409</f>
        <v>RECENTLY PROMOTED</v>
      </c>
      <c r="I409" s="4" t="str">
        <f t="shared" si="1"/>
        <v>LOW RISK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3.2" x14ac:dyDescent="0.25">
      <c r="A410" s="4">
        <v>546</v>
      </c>
      <c r="B410" s="4" t="s">
        <v>45</v>
      </c>
      <c r="C410" s="4" t="str">
        <f>FEATURES!L410</f>
        <v>NORMAL</v>
      </c>
      <c r="D410" s="4" t="str">
        <f>FEATURES!R410</f>
        <v>LOW</v>
      </c>
      <c r="E410" s="4" t="str">
        <f>FEATURES!Q410</f>
        <v>DISENGAGED</v>
      </c>
      <c r="F410" s="4" t="str">
        <f>FEATURES!P410</f>
        <v>Low_Pressure</v>
      </c>
      <c r="G410" s="4" t="str">
        <f>FEATURES!M410</f>
        <v>MEDIUM</v>
      </c>
      <c r="H410" s="4" t="str">
        <f>FEATURES!O410</f>
        <v>RECENTLY PROMOTED</v>
      </c>
      <c r="I410" s="4" t="str">
        <f t="shared" si="1"/>
        <v>LOW RISK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3.2" x14ac:dyDescent="0.25">
      <c r="A411" s="4">
        <v>547</v>
      </c>
      <c r="B411" s="4" t="s">
        <v>45</v>
      </c>
      <c r="C411" s="4" t="str">
        <f>FEATURES!L411</f>
        <v>NORMAL</v>
      </c>
      <c r="D411" s="4" t="str">
        <f>FEATURES!R411</f>
        <v>LOW</v>
      </c>
      <c r="E411" s="4" t="str">
        <f>FEATURES!Q411</f>
        <v>HIGHLY_ENGAGED</v>
      </c>
      <c r="F411" s="4" t="str">
        <f>FEATURES!P411</f>
        <v>Medium_Pressure</v>
      </c>
      <c r="G411" s="4" t="str">
        <f>FEATURES!M411</f>
        <v>HIGH</v>
      </c>
      <c r="H411" s="4" t="str">
        <f>FEATURES!O411</f>
        <v>RECENTLY PROMOTED</v>
      </c>
      <c r="I411" s="4" t="str">
        <f t="shared" si="1"/>
        <v>LOW RISK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3.2" x14ac:dyDescent="0.25">
      <c r="A412" s="4">
        <v>548</v>
      </c>
      <c r="B412" s="4" t="s">
        <v>45</v>
      </c>
      <c r="C412" s="4" t="str">
        <f>FEATURES!L412</f>
        <v>NORMAL</v>
      </c>
      <c r="D412" s="4" t="str">
        <f>FEATURES!R412</f>
        <v>LOW</v>
      </c>
      <c r="E412" s="4" t="str">
        <f>FEATURES!Q412</f>
        <v>HIGHLY_ENGAGED</v>
      </c>
      <c r="F412" s="4" t="str">
        <f>FEATURES!P412</f>
        <v>Medium_Pressure</v>
      </c>
      <c r="G412" s="4" t="str">
        <f>FEATURES!M412</f>
        <v>HIGH</v>
      </c>
      <c r="H412" s="4" t="str">
        <f>FEATURES!O412</f>
        <v>RECENTLY PROMOTED</v>
      </c>
      <c r="I412" s="4" t="str">
        <f t="shared" si="1"/>
        <v>LOW RISK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3.2" x14ac:dyDescent="0.25">
      <c r="A413" s="4">
        <v>549</v>
      </c>
      <c r="B413" s="4" t="s">
        <v>45</v>
      </c>
      <c r="C413" s="4" t="str">
        <f>FEATURES!L413</f>
        <v>NORMAL</v>
      </c>
      <c r="D413" s="4" t="str">
        <f>FEATURES!R413</f>
        <v>LOW</v>
      </c>
      <c r="E413" s="4" t="str">
        <f>FEATURES!Q413</f>
        <v>DISENGAGED</v>
      </c>
      <c r="F413" s="4" t="str">
        <f>FEATURES!P413</f>
        <v>Low_Pressure</v>
      </c>
      <c r="G413" s="4" t="str">
        <f>FEATURES!M413</f>
        <v>MEDIUM</v>
      </c>
      <c r="H413" s="4" t="str">
        <f>FEATURES!O413</f>
        <v>STAGNANT</v>
      </c>
      <c r="I413" s="4" t="str">
        <f t="shared" si="1"/>
        <v>LOW RISK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3.2" x14ac:dyDescent="0.25">
      <c r="A414" s="4">
        <v>550</v>
      </c>
      <c r="B414" s="4" t="s">
        <v>45</v>
      </c>
      <c r="C414" s="4" t="str">
        <f>FEATURES!L414</f>
        <v>NORMAL</v>
      </c>
      <c r="D414" s="4" t="str">
        <f>FEATURES!R414</f>
        <v>LOW</v>
      </c>
      <c r="E414" s="4" t="str">
        <f>FEATURES!Q414</f>
        <v>DISENGAGED</v>
      </c>
      <c r="F414" s="4" t="str">
        <f>FEATURES!P414</f>
        <v>Low_Pressure</v>
      </c>
      <c r="G414" s="4" t="str">
        <f>FEATURES!M414</f>
        <v>HIGH</v>
      </c>
      <c r="H414" s="4" t="str">
        <f>FEATURES!O414</f>
        <v>RECENTLY PROMOTED</v>
      </c>
      <c r="I414" s="4" t="str">
        <f t="shared" si="1"/>
        <v>LOW RISK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3.2" x14ac:dyDescent="0.25">
      <c r="A415" s="4">
        <v>551</v>
      </c>
      <c r="B415" s="4" t="s">
        <v>45</v>
      </c>
      <c r="C415" s="4" t="str">
        <f>FEATURES!L415</f>
        <v>NORMAL</v>
      </c>
      <c r="D415" s="4" t="str">
        <f>FEATURES!R415</f>
        <v>LOW</v>
      </c>
      <c r="E415" s="4" t="str">
        <f>FEATURES!Q415</f>
        <v>HIGHLY_ENGAGED</v>
      </c>
      <c r="F415" s="4" t="str">
        <f>FEATURES!P415</f>
        <v>Low_Pressure</v>
      </c>
      <c r="G415" s="4" t="str">
        <f>FEATURES!M415</f>
        <v>HIGH</v>
      </c>
      <c r="H415" s="4" t="str">
        <f>FEATURES!O415</f>
        <v>RECENTLY PROMOTED</v>
      </c>
      <c r="I415" s="4" t="str">
        <f t="shared" si="1"/>
        <v>LOW RISK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3.2" x14ac:dyDescent="0.25">
      <c r="A416" s="4">
        <v>554</v>
      </c>
      <c r="B416" s="4" t="s">
        <v>37</v>
      </c>
      <c r="C416" s="4" t="str">
        <f>FEATURES!L416</f>
        <v>NORMAL</v>
      </c>
      <c r="D416" s="4" t="str">
        <f>FEATURES!R416</f>
        <v>LOW</v>
      </c>
      <c r="E416" s="4" t="str">
        <f>FEATURES!Q416</f>
        <v>DISENGAGED</v>
      </c>
      <c r="F416" s="4" t="str">
        <f>FEATURES!P416</f>
        <v>Medium_Pressure</v>
      </c>
      <c r="G416" s="4" t="str">
        <f>FEATURES!M416</f>
        <v>LOW</v>
      </c>
      <c r="H416" s="4" t="str">
        <f>FEATURES!O416</f>
        <v>RECENTLY PROMOTED</v>
      </c>
      <c r="I416" s="4" t="str">
        <f t="shared" si="1"/>
        <v>LOW RISK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3.2" x14ac:dyDescent="0.25">
      <c r="A417" s="4">
        <v>555</v>
      </c>
      <c r="B417" s="4" t="s">
        <v>37</v>
      </c>
      <c r="C417" s="4" t="str">
        <f>FEATURES!L417</f>
        <v>NORMAL</v>
      </c>
      <c r="D417" s="4" t="str">
        <f>FEATURES!R417</f>
        <v>LOW</v>
      </c>
      <c r="E417" s="4" t="str">
        <f>FEATURES!Q417</f>
        <v>DISENGAGED</v>
      </c>
      <c r="F417" s="4" t="str">
        <f>FEATURES!P417</f>
        <v>Low_Pressure</v>
      </c>
      <c r="G417" s="4" t="str">
        <f>FEATURES!M417</f>
        <v>LOW</v>
      </c>
      <c r="H417" s="4" t="str">
        <f>FEATURES!O417</f>
        <v>RECENTLY PROMOTED</v>
      </c>
      <c r="I417" s="4" t="str">
        <f t="shared" si="1"/>
        <v>LOW RISK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3.2" x14ac:dyDescent="0.25">
      <c r="A418" s="4">
        <v>556</v>
      </c>
      <c r="B418" s="4" t="s">
        <v>45</v>
      </c>
      <c r="C418" s="4" t="str">
        <f>FEATURES!L418</f>
        <v>NORMAL</v>
      </c>
      <c r="D418" s="4" t="str">
        <f>FEATURES!R418</f>
        <v>LOW</v>
      </c>
      <c r="E418" s="4" t="str">
        <f>FEATURES!Q418</f>
        <v>HIGHLY_ENGAGED</v>
      </c>
      <c r="F418" s="4" t="str">
        <f>FEATURES!P418</f>
        <v>Medium_Pressure</v>
      </c>
      <c r="G418" s="4" t="str">
        <f>FEATURES!M418</f>
        <v>LOW</v>
      </c>
      <c r="H418" s="4" t="str">
        <f>FEATURES!O418</f>
        <v>RECENTLY PROMOTED</v>
      </c>
      <c r="I418" s="4" t="str">
        <f t="shared" si="1"/>
        <v>LOW RISK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3.2" x14ac:dyDescent="0.25">
      <c r="A419" s="4">
        <v>558</v>
      </c>
      <c r="B419" s="4" t="s">
        <v>37</v>
      </c>
      <c r="C419" s="4" t="str">
        <f>FEATURES!L419</f>
        <v>NORMAL</v>
      </c>
      <c r="D419" s="4" t="str">
        <f>FEATURES!R419</f>
        <v>LOW</v>
      </c>
      <c r="E419" s="4" t="str">
        <f>FEATURES!Q419</f>
        <v>HIGHLY_ENGAGED</v>
      </c>
      <c r="F419" s="4" t="str">
        <f>FEATURES!P419</f>
        <v>Medium_Pressure</v>
      </c>
      <c r="G419" s="4" t="str">
        <f>FEATURES!M419</f>
        <v>MEDIUM</v>
      </c>
      <c r="H419" s="4" t="str">
        <f>FEATURES!O419</f>
        <v>RECENTLY PROMOTED</v>
      </c>
      <c r="I419" s="4" t="str">
        <f t="shared" si="1"/>
        <v>LOW RISK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3.2" x14ac:dyDescent="0.25">
      <c r="A420" s="4">
        <v>560</v>
      </c>
      <c r="B420" s="4" t="s">
        <v>45</v>
      </c>
      <c r="C420" s="4" t="str">
        <f>FEATURES!L420</f>
        <v>NORMAL</v>
      </c>
      <c r="D420" s="4" t="str">
        <f>FEATURES!R420</f>
        <v>LOW</v>
      </c>
      <c r="E420" s="4" t="str">
        <f>FEATURES!Q420</f>
        <v>DISENGAGED</v>
      </c>
      <c r="F420" s="4" t="str">
        <f>FEATURES!P420</f>
        <v>Low_Pressure</v>
      </c>
      <c r="G420" s="4" t="str">
        <f>FEATURES!M420</f>
        <v>LOW</v>
      </c>
      <c r="H420" s="4" t="str">
        <f>FEATURES!O420</f>
        <v>RECENTLY PROMOTED</v>
      </c>
      <c r="I420" s="4" t="str">
        <f t="shared" si="1"/>
        <v>LOW RISK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3.2" x14ac:dyDescent="0.25">
      <c r="A421" s="4">
        <v>562</v>
      </c>
      <c r="B421" s="4" t="s">
        <v>45</v>
      </c>
      <c r="C421" s="4" t="str">
        <f>FEATURES!L421</f>
        <v>NORMAL</v>
      </c>
      <c r="D421" s="4" t="str">
        <f>FEATURES!R421</f>
        <v>LOW</v>
      </c>
      <c r="E421" s="4" t="str">
        <f>FEATURES!Q421</f>
        <v>DISENGAGED</v>
      </c>
      <c r="F421" s="4" t="str">
        <f>FEATURES!P421</f>
        <v>Low_Pressure</v>
      </c>
      <c r="G421" s="4" t="str">
        <f>FEATURES!M421</f>
        <v>LOW</v>
      </c>
      <c r="H421" s="4" t="str">
        <f>FEATURES!O421</f>
        <v>RECENTLY PROMOTED</v>
      </c>
      <c r="I421" s="4" t="str">
        <f t="shared" si="1"/>
        <v>LOW RISK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3.2" x14ac:dyDescent="0.25">
      <c r="A422" s="4">
        <v>564</v>
      </c>
      <c r="B422" s="4" t="s">
        <v>45</v>
      </c>
      <c r="C422" s="4" t="str">
        <f>FEATURES!L422</f>
        <v>NORMAL</v>
      </c>
      <c r="D422" s="4" t="str">
        <f>FEATURES!R422</f>
        <v>LOW</v>
      </c>
      <c r="E422" s="4" t="str">
        <f>FEATURES!Q422</f>
        <v>HIGHLY_ENGAGED</v>
      </c>
      <c r="F422" s="4" t="str">
        <f>FEATURES!P422</f>
        <v>Medium_Pressure</v>
      </c>
      <c r="G422" s="4" t="str">
        <f>FEATURES!M422</f>
        <v>MEDIUM</v>
      </c>
      <c r="H422" s="4" t="str">
        <f>FEATURES!O422</f>
        <v>RECENTLY PROMOTED</v>
      </c>
      <c r="I422" s="4" t="str">
        <f t="shared" si="1"/>
        <v>LOW RISK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3.2" x14ac:dyDescent="0.25">
      <c r="A423" s="4">
        <v>565</v>
      </c>
      <c r="B423" s="4" t="s">
        <v>45</v>
      </c>
      <c r="C423" s="4" t="str">
        <f>FEATURES!L423</f>
        <v>NORMAL</v>
      </c>
      <c r="D423" s="4" t="str">
        <f>FEATURES!R423</f>
        <v>LOW</v>
      </c>
      <c r="E423" s="4" t="str">
        <f>FEATURES!Q423</f>
        <v>DISENGAGED</v>
      </c>
      <c r="F423" s="4" t="str">
        <f>FEATURES!P423</f>
        <v>Low_Pressure</v>
      </c>
      <c r="G423" s="4" t="str">
        <f>FEATURES!M423</f>
        <v>LOW</v>
      </c>
      <c r="H423" s="4" t="str">
        <f>FEATURES!O423</f>
        <v>RECENTLY PROMOTED</v>
      </c>
      <c r="I423" s="4" t="str">
        <f t="shared" si="1"/>
        <v>LOW RISK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3.2" x14ac:dyDescent="0.25">
      <c r="A424" s="4">
        <v>566</v>
      </c>
      <c r="B424" s="4" t="s">
        <v>61</v>
      </c>
      <c r="C424" s="4" t="str">
        <f>FEATURES!L424</f>
        <v>NORMAL</v>
      </c>
      <c r="D424" s="4" t="str">
        <f>FEATURES!R424</f>
        <v>LOW</v>
      </c>
      <c r="E424" s="4" t="str">
        <f>FEATURES!Q424</f>
        <v>HIGHLY_ENGAGED</v>
      </c>
      <c r="F424" s="4" t="str">
        <f>FEATURES!P424</f>
        <v>Low_Pressure</v>
      </c>
      <c r="G424" s="4" t="str">
        <f>FEATURES!M424</f>
        <v>LOW</v>
      </c>
      <c r="H424" s="4" t="str">
        <f>FEATURES!O424</f>
        <v>RECENTLY PROMOTED</v>
      </c>
      <c r="I424" s="4" t="str">
        <f t="shared" si="1"/>
        <v>LOW RISK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3.2" x14ac:dyDescent="0.25">
      <c r="A425" s="4">
        <v>567</v>
      </c>
      <c r="B425" s="4" t="s">
        <v>37</v>
      </c>
      <c r="C425" s="4" t="str">
        <f>FEATURES!L425</f>
        <v>NORMAL</v>
      </c>
      <c r="D425" s="4" t="str">
        <f>FEATURES!R425</f>
        <v>LOW</v>
      </c>
      <c r="E425" s="4" t="str">
        <f>FEATURES!Q425</f>
        <v>DISENGAGED</v>
      </c>
      <c r="F425" s="4" t="str">
        <f>FEATURES!P425</f>
        <v>Medium_Pressure</v>
      </c>
      <c r="G425" s="4" t="str">
        <f>FEATURES!M425</f>
        <v>HIGH</v>
      </c>
      <c r="H425" s="4" t="str">
        <f>FEATURES!O425</f>
        <v>STAGNANT</v>
      </c>
      <c r="I425" s="4" t="str">
        <f t="shared" si="1"/>
        <v>LOW RISK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3.2" x14ac:dyDescent="0.25">
      <c r="A426" s="4">
        <v>568</v>
      </c>
      <c r="B426" s="4" t="s">
        <v>37</v>
      </c>
      <c r="C426" s="4" t="str">
        <f>FEATURES!L426</f>
        <v>NORMAL</v>
      </c>
      <c r="D426" s="4" t="str">
        <f>FEATURES!R426</f>
        <v>LOW</v>
      </c>
      <c r="E426" s="4" t="str">
        <f>FEATURES!Q426</f>
        <v>DISENGAGED</v>
      </c>
      <c r="F426" s="4" t="str">
        <f>FEATURES!P426</f>
        <v>Low_Pressure</v>
      </c>
      <c r="G426" s="4" t="str">
        <f>FEATURES!M426</f>
        <v>MEDIUM</v>
      </c>
      <c r="H426" s="4" t="str">
        <f>FEATURES!O426</f>
        <v>RECENTLY PROMOTED</v>
      </c>
      <c r="I426" s="4" t="str">
        <f t="shared" si="1"/>
        <v>LOW RISK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3.2" x14ac:dyDescent="0.25">
      <c r="A427" s="4">
        <v>569</v>
      </c>
      <c r="B427" s="4" t="s">
        <v>45</v>
      </c>
      <c r="C427" s="4" t="str">
        <f>FEATURES!L427</f>
        <v>NORMAL</v>
      </c>
      <c r="D427" s="4" t="str">
        <f>FEATURES!R427</f>
        <v>LOW</v>
      </c>
      <c r="E427" s="4" t="str">
        <f>FEATURES!Q427</f>
        <v>HIGHLY_ENGAGED</v>
      </c>
      <c r="F427" s="4" t="str">
        <f>FEATURES!P427</f>
        <v>Medium_Pressure</v>
      </c>
      <c r="G427" s="4" t="str">
        <f>FEATURES!M427</f>
        <v>MEDIUM</v>
      </c>
      <c r="H427" s="4" t="str">
        <f>FEATURES!O427</f>
        <v>STAGNANT</v>
      </c>
      <c r="I427" s="4" t="str">
        <f t="shared" si="1"/>
        <v>LOW RISK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3.2" x14ac:dyDescent="0.25">
      <c r="A428" s="4">
        <v>571</v>
      </c>
      <c r="B428" s="4" t="s">
        <v>45</v>
      </c>
      <c r="C428" s="4" t="str">
        <f>FEATURES!L428</f>
        <v>NORMAL</v>
      </c>
      <c r="D428" s="4" t="str">
        <f>FEATURES!R428</f>
        <v>LOW</v>
      </c>
      <c r="E428" s="4" t="str">
        <f>FEATURES!Q428</f>
        <v>DISENGAGED</v>
      </c>
      <c r="F428" s="4" t="str">
        <f>FEATURES!P428</f>
        <v>Low_Pressure</v>
      </c>
      <c r="G428" s="4" t="str">
        <f>FEATURES!M428</f>
        <v>LOW</v>
      </c>
      <c r="H428" s="4" t="str">
        <f>FEATURES!O428</f>
        <v>STAGNANT</v>
      </c>
      <c r="I428" s="4" t="str">
        <f t="shared" si="1"/>
        <v>LOW RISK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3.2" x14ac:dyDescent="0.25">
      <c r="A429" s="4">
        <v>573</v>
      </c>
      <c r="B429" s="4" t="s">
        <v>37</v>
      </c>
      <c r="C429" s="4" t="str">
        <f>FEATURES!L429</f>
        <v>NORMAL</v>
      </c>
      <c r="D429" s="4" t="str">
        <f>FEATURES!R429</f>
        <v>LOW</v>
      </c>
      <c r="E429" s="4" t="str">
        <f>FEATURES!Q429</f>
        <v>DISENGAGED</v>
      </c>
      <c r="F429" s="4" t="str">
        <f>FEATURES!P429</f>
        <v>Low_Pressure</v>
      </c>
      <c r="G429" s="4" t="str">
        <f>FEATURES!M429</f>
        <v>MEDIUM</v>
      </c>
      <c r="H429" s="4" t="str">
        <f>FEATURES!O429</f>
        <v>STAGNANT</v>
      </c>
      <c r="I429" s="4" t="str">
        <f t="shared" si="1"/>
        <v>LOW RISK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3.2" x14ac:dyDescent="0.25">
      <c r="A430" s="4">
        <v>574</v>
      </c>
      <c r="B430" s="4" t="s">
        <v>45</v>
      </c>
      <c r="C430" s="4" t="str">
        <f>FEATURES!L430</f>
        <v>NORMAL</v>
      </c>
      <c r="D430" s="4" t="str">
        <f>FEATURES!R430</f>
        <v>LOW</v>
      </c>
      <c r="E430" s="4" t="str">
        <f>FEATURES!Q430</f>
        <v>HIGHLY_ENGAGED</v>
      </c>
      <c r="F430" s="4" t="str">
        <f>FEATURES!P430</f>
        <v>Medium_Pressure</v>
      </c>
      <c r="G430" s="4" t="str">
        <f>FEATURES!M430</f>
        <v>HIGH</v>
      </c>
      <c r="H430" s="4" t="str">
        <f>FEATURES!O430</f>
        <v>RECENTLY PROMOTED</v>
      </c>
      <c r="I430" s="4" t="str">
        <f t="shared" si="1"/>
        <v>LOW RISK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3.2" x14ac:dyDescent="0.25">
      <c r="A431" s="4">
        <v>575</v>
      </c>
      <c r="B431" s="4" t="s">
        <v>45</v>
      </c>
      <c r="C431" s="4" t="str">
        <f>FEATURES!L431</f>
        <v>NORMAL</v>
      </c>
      <c r="D431" s="4" t="str">
        <f>FEATURES!R431</f>
        <v>LOW</v>
      </c>
      <c r="E431" s="4" t="str">
        <f>FEATURES!Q431</f>
        <v>DISENGAGED</v>
      </c>
      <c r="F431" s="4" t="str">
        <f>FEATURES!P431</f>
        <v>Low_Pressure</v>
      </c>
      <c r="G431" s="4" t="str">
        <f>FEATURES!M431</f>
        <v>MEDIUM</v>
      </c>
      <c r="H431" s="4" t="str">
        <f>FEATURES!O431</f>
        <v>RECENTLY PROMOTED</v>
      </c>
      <c r="I431" s="4" t="str">
        <f t="shared" si="1"/>
        <v>LOW RISK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3.2" x14ac:dyDescent="0.25">
      <c r="A432" s="4">
        <v>577</v>
      </c>
      <c r="B432" s="4" t="s">
        <v>45</v>
      </c>
      <c r="C432" s="4" t="str">
        <f>FEATURES!L432</f>
        <v>NORMAL</v>
      </c>
      <c r="D432" s="4" t="str">
        <f>FEATURES!R432</f>
        <v>LOW</v>
      </c>
      <c r="E432" s="4" t="str">
        <f>FEATURES!Q432</f>
        <v>HIGHLY_ENGAGED</v>
      </c>
      <c r="F432" s="4" t="str">
        <f>FEATURES!P432</f>
        <v>Medium_Pressure</v>
      </c>
      <c r="G432" s="4" t="str">
        <f>FEATURES!M432</f>
        <v>HIGH</v>
      </c>
      <c r="H432" s="4" t="str">
        <f>FEATURES!O432</f>
        <v>STAGNANT</v>
      </c>
      <c r="I432" s="4" t="str">
        <f t="shared" si="1"/>
        <v>LOW RISK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3.2" x14ac:dyDescent="0.25">
      <c r="A433" s="4">
        <v>578</v>
      </c>
      <c r="B433" s="4" t="s">
        <v>45</v>
      </c>
      <c r="C433" s="4" t="str">
        <f>FEATURES!L433</f>
        <v>NORMAL</v>
      </c>
      <c r="D433" s="4" t="str">
        <f>FEATURES!R433</f>
        <v>LOW</v>
      </c>
      <c r="E433" s="4" t="str">
        <f>FEATURES!Q433</f>
        <v>HIGHLY_ENGAGED</v>
      </c>
      <c r="F433" s="4" t="str">
        <f>FEATURES!P433</f>
        <v>Medium_Pressure</v>
      </c>
      <c r="G433" s="4" t="str">
        <f>FEATURES!M433</f>
        <v>LOW</v>
      </c>
      <c r="H433" s="4" t="str">
        <f>FEATURES!O433</f>
        <v>RECENTLY PROMOTED</v>
      </c>
      <c r="I433" s="4" t="str">
        <f t="shared" si="1"/>
        <v>LOW RISK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3.2" x14ac:dyDescent="0.25">
      <c r="A434" s="4">
        <v>579</v>
      </c>
      <c r="B434" s="4" t="s">
        <v>45</v>
      </c>
      <c r="C434" s="4" t="str">
        <f>FEATURES!L434</f>
        <v>NORMAL</v>
      </c>
      <c r="D434" s="4" t="str">
        <f>FEATURES!R434</f>
        <v>LOW</v>
      </c>
      <c r="E434" s="4" t="str">
        <f>FEATURES!Q434</f>
        <v>HIGHLY_ENGAGED</v>
      </c>
      <c r="F434" s="4" t="str">
        <f>FEATURES!P434</f>
        <v>Medium_Pressure</v>
      </c>
      <c r="G434" s="4" t="str">
        <f>FEATURES!M434</f>
        <v>LOW</v>
      </c>
      <c r="H434" s="4" t="str">
        <f>FEATURES!O434</f>
        <v>STAGNANT</v>
      </c>
      <c r="I434" s="4" t="str">
        <f t="shared" si="1"/>
        <v>LOW RISK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3.2" x14ac:dyDescent="0.25">
      <c r="A435" s="4">
        <v>580</v>
      </c>
      <c r="B435" s="4" t="s">
        <v>37</v>
      </c>
      <c r="C435" s="4" t="str">
        <f>FEATURES!L435</f>
        <v>NORMAL</v>
      </c>
      <c r="D435" s="4" t="str">
        <f>FEATURES!R435</f>
        <v>LOW</v>
      </c>
      <c r="E435" s="4" t="str">
        <f>FEATURES!Q435</f>
        <v>HIGHLY_ENGAGED</v>
      </c>
      <c r="F435" s="4" t="str">
        <f>FEATURES!P435</f>
        <v>Medium_Pressure</v>
      </c>
      <c r="G435" s="4" t="str">
        <f>FEATURES!M435</f>
        <v>MEDIUM</v>
      </c>
      <c r="H435" s="4" t="str">
        <f>FEATURES!O435</f>
        <v>RECENTLY PROMOTED</v>
      </c>
      <c r="I435" s="4" t="str">
        <f t="shared" si="1"/>
        <v>LOW RISK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3.2" x14ac:dyDescent="0.25">
      <c r="A436" s="4">
        <v>581</v>
      </c>
      <c r="B436" s="4" t="s">
        <v>45</v>
      </c>
      <c r="C436" s="4" t="str">
        <f>FEATURES!L436</f>
        <v>NORMAL</v>
      </c>
      <c r="D436" s="4" t="str">
        <f>FEATURES!R436</f>
        <v>LOW</v>
      </c>
      <c r="E436" s="4" t="str">
        <f>FEATURES!Q436</f>
        <v>DISENGAGED</v>
      </c>
      <c r="F436" s="4" t="str">
        <f>FEATURES!P436</f>
        <v>Low_Pressure</v>
      </c>
      <c r="G436" s="4" t="str">
        <f>FEATURES!M436</f>
        <v>MEDIUM</v>
      </c>
      <c r="H436" s="4" t="str">
        <f>FEATURES!O436</f>
        <v>RECENTLY PROMOTED</v>
      </c>
      <c r="I436" s="4" t="str">
        <f t="shared" si="1"/>
        <v>LOW RISK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3.2" x14ac:dyDescent="0.25">
      <c r="A437" s="4">
        <v>582</v>
      </c>
      <c r="B437" s="4" t="s">
        <v>45</v>
      </c>
      <c r="C437" s="4" t="str">
        <f>FEATURES!L437</f>
        <v>NORMAL</v>
      </c>
      <c r="D437" s="4" t="str">
        <f>FEATURES!R437</f>
        <v>LOW</v>
      </c>
      <c r="E437" s="4" t="str">
        <f>FEATURES!Q437</f>
        <v>HIGHLY_ENGAGED</v>
      </c>
      <c r="F437" s="4" t="str">
        <f>FEATURES!P437</f>
        <v>Medium_Pressure</v>
      </c>
      <c r="G437" s="4" t="str">
        <f>FEATURES!M437</f>
        <v>MEDIUM</v>
      </c>
      <c r="H437" s="4" t="str">
        <f>FEATURES!O437</f>
        <v>STAGNANT</v>
      </c>
      <c r="I437" s="4" t="str">
        <f t="shared" si="1"/>
        <v>LOW RISK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3.2" x14ac:dyDescent="0.25">
      <c r="A438" s="4">
        <v>584</v>
      </c>
      <c r="B438" s="4" t="s">
        <v>45</v>
      </c>
      <c r="C438" s="4" t="str">
        <f>FEATURES!L438</f>
        <v>NORMAL</v>
      </c>
      <c r="D438" s="4" t="str">
        <f>FEATURES!R438</f>
        <v>LOW</v>
      </c>
      <c r="E438" s="4" t="str">
        <f>FEATURES!Q438</f>
        <v>HIGHLY_ENGAGED</v>
      </c>
      <c r="F438" s="4" t="str">
        <f>FEATURES!P438</f>
        <v>Medium_Pressure</v>
      </c>
      <c r="G438" s="4" t="str">
        <f>FEATURES!M438</f>
        <v>LOW</v>
      </c>
      <c r="H438" s="4" t="str">
        <f>FEATURES!O438</f>
        <v>RECENTLY PROMOTED</v>
      </c>
      <c r="I438" s="4" t="str">
        <f t="shared" si="1"/>
        <v>LOW RISK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3.2" x14ac:dyDescent="0.25">
      <c r="A439" s="4">
        <v>585</v>
      </c>
      <c r="B439" s="4" t="s">
        <v>37</v>
      </c>
      <c r="C439" s="4" t="str">
        <f>FEATURES!L439</f>
        <v>NORMAL</v>
      </c>
      <c r="D439" s="4" t="str">
        <f>FEATURES!R439</f>
        <v>LOW</v>
      </c>
      <c r="E439" s="4" t="str">
        <f>FEATURES!Q439</f>
        <v>DISENGAGED</v>
      </c>
      <c r="F439" s="4" t="str">
        <f>FEATURES!P439</f>
        <v>Medium_Pressure</v>
      </c>
      <c r="G439" s="4" t="str">
        <f>FEATURES!M439</f>
        <v>LOW</v>
      </c>
      <c r="H439" s="4" t="str">
        <f>FEATURES!O439</f>
        <v>RECENTLY PROMOTED</v>
      </c>
      <c r="I439" s="4" t="str">
        <f t="shared" si="1"/>
        <v>LOW RISK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3.2" x14ac:dyDescent="0.25">
      <c r="A440" s="4">
        <v>586</v>
      </c>
      <c r="B440" s="4" t="s">
        <v>45</v>
      </c>
      <c r="C440" s="4" t="str">
        <f>FEATURES!L440</f>
        <v>NORMAL</v>
      </c>
      <c r="D440" s="4" t="str">
        <f>FEATURES!R440</f>
        <v>LOW</v>
      </c>
      <c r="E440" s="4" t="str">
        <f>FEATURES!Q440</f>
        <v>HIGHLY_ENGAGED</v>
      </c>
      <c r="F440" s="4" t="str">
        <f>FEATURES!P440</f>
        <v>Medium_Pressure</v>
      </c>
      <c r="G440" s="4" t="str">
        <f>FEATURES!M440</f>
        <v>HIGH</v>
      </c>
      <c r="H440" s="4" t="str">
        <f>FEATURES!O440</f>
        <v>RECENTLY PROMOTED</v>
      </c>
      <c r="I440" s="4" t="str">
        <f t="shared" si="1"/>
        <v>LOW RISK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3.2" x14ac:dyDescent="0.25">
      <c r="A441" s="4">
        <v>587</v>
      </c>
      <c r="B441" s="4" t="s">
        <v>45</v>
      </c>
      <c r="C441" s="4" t="str">
        <f>FEATURES!L441</f>
        <v>NORMAL</v>
      </c>
      <c r="D441" s="4" t="str">
        <f>FEATURES!R441</f>
        <v>LOW</v>
      </c>
      <c r="E441" s="4" t="str">
        <f>FEATURES!Q441</f>
        <v>HIGHLY_ENGAGED</v>
      </c>
      <c r="F441" s="4" t="str">
        <f>FEATURES!P441</f>
        <v>Medium_Pressure</v>
      </c>
      <c r="G441" s="4" t="str">
        <f>FEATURES!M441</f>
        <v>MEDIUM</v>
      </c>
      <c r="H441" s="4" t="str">
        <f>FEATURES!O441</f>
        <v>RECENTLY PROMOTED</v>
      </c>
      <c r="I441" s="4" t="str">
        <f t="shared" si="1"/>
        <v>LOW RISK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3.2" x14ac:dyDescent="0.25">
      <c r="A442" s="4">
        <v>590</v>
      </c>
      <c r="B442" s="4" t="s">
        <v>61</v>
      </c>
      <c r="C442" s="4" t="str">
        <f>FEATURES!L442</f>
        <v>NORMAL</v>
      </c>
      <c r="D442" s="4" t="str">
        <f>FEATURES!R442</f>
        <v>LOW</v>
      </c>
      <c r="E442" s="4" t="str">
        <f>FEATURES!Q442</f>
        <v>DISENGAGED</v>
      </c>
      <c r="F442" s="4" t="str">
        <f>FEATURES!P442</f>
        <v>Medium_Pressure</v>
      </c>
      <c r="G442" s="4" t="str">
        <f>FEATURES!M442</f>
        <v>MEDIUM</v>
      </c>
      <c r="H442" s="4" t="str">
        <f>FEATURES!O442</f>
        <v>RECENTLY PROMOTED</v>
      </c>
      <c r="I442" s="4" t="str">
        <f t="shared" si="1"/>
        <v>LOW RISK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3.2" x14ac:dyDescent="0.25">
      <c r="A443" s="4">
        <v>591</v>
      </c>
      <c r="B443" s="4" t="s">
        <v>45</v>
      </c>
      <c r="C443" s="4" t="str">
        <f>FEATURES!L443</f>
        <v>NORMAL</v>
      </c>
      <c r="D443" s="4" t="str">
        <f>FEATURES!R443</f>
        <v>LOW</v>
      </c>
      <c r="E443" s="4" t="str">
        <f>FEATURES!Q443</f>
        <v>HIGHLY_ENGAGED</v>
      </c>
      <c r="F443" s="4" t="str">
        <f>FEATURES!P443</f>
        <v>Medium_Pressure</v>
      </c>
      <c r="G443" s="4" t="str">
        <f>FEATURES!M443</f>
        <v>LOW</v>
      </c>
      <c r="H443" s="4" t="str">
        <f>FEATURES!O443</f>
        <v>MODERATE-WAIT</v>
      </c>
      <c r="I443" s="4" t="str">
        <f t="shared" si="1"/>
        <v>LOW RISK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3.2" x14ac:dyDescent="0.25">
      <c r="A444" s="4">
        <v>592</v>
      </c>
      <c r="B444" s="4" t="s">
        <v>37</v>
      </c>
      <c r="C444" s="4" t="str">
        <f>FEATURES!L444</f>
        <v>NORMAL</v>
      </c>
      <c r="D444" s="4" t="str">
        <f>FEATURES!R444</f>
        <v>LOW</v>
      </c>
      <c r="E444" s="4" t="str">
        <f>FEATURES!Q444</f>
        <v>DISENGAGED</v>
      </c>
      <c r="F444" s="4" t="str">
        <f>FEATURES!P444</f>
        <v>Low_Pressure</v>
      </c>
      <c r="G444" s="4" t="str">
        <f>FEATURES!M444</f>
        <v>MEDIUM</v>
      </c>
      <c r="H444" s="4" t="str">
        <f>FEATURES!O444</f>
        <v>STAGNANT</v>
      </c>
      <c r="I444" s="4" t="str">
        <f t="shared" si="1"/>
        <v>LOW RISK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3.2" x14ac:dyDescent="0.25">
      <c r="A445" s="4">
        <v>593</v>
      </c>
      <c r="B445" s="4" t="s">
        <v>45</v>
      </c>
      <c r="C445" s="4" t="str">
        <f>FEATURES!L445</f>
        <v>NORMAL</v>
      </c>
      <c r="D445" s="4" t="str">
        <f>FEATURES!R445</f>
        <v>LOW</v>
      </c>
      <c r="E445" s="4" t="str">
        <f>FEATURES!Q445</f>
        <v>HIGHLY_ENGAGED</v>
      </c>
      <c r="F445" s="4" t="str">
        <f>FEATURES!P445</f>
        <v>Medium_Pressure</v>
      </c>
      <c r="G445" s="4" t="str">
        <f>FEATURES!M445</f>
        <v>LOW</v>
      </c>
      <c r="H445" s="4" t="str">
        <f>FEATURES!O445</f>
        <v>RECENTLY PROMOTED</v>
      </c>
      <c r="I445" s="4" t="str">
        <f t="shared" si="1"/>
        <v>LOW RISK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3.2" x14ac:dyDescent="0.25">
      <c r="A446" s="4">
        <v>595</v>
      </c>
      <c r="B446" s="4" t="s">
        <v>37</v>
      </c>
      <c r="C446" s="4" t="str">
        <f>FEATURES!L446</f>
        <v>NORMAL</v>
      </c>
      <c r="D446" s="4" t="str">
        <f>FEATURES!R446</f>
        <v>LOW</v>
      </c>
      <c r="E446" s="4" t="str">
        <f>FEATURES!Q446</f>
        <v>HIGHLY_ENGAGED</v>
      </c>
      <c r="F446" s="4" t="str">
        <f>FEATURES!P446</f>
        <v>Medium_Pressure</v>
      </c>
      <c r="G446" s="4" t="str">
        <f>FEATURES!M446</f>
        <v>HIGH</v>
      </c>
      <c r="H446" s="4" t="str">
        <f>FEATURES!O446</f>
        <v>STAGNANT</v>
      </c>
      <c r="I446" s="4" t="str">
        <f t="shared" si="1"/>
        <v>LOW RISK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3.2" x14ac:dyDescent="0.25">
      <c r="A447" s="4">
        <v>597</v>
      </c>
      <c r="B447" s="4" t="s">
        <v>37</v>
      </c>
      <c r="C447" s="4" t="str">
        <f>FEATURES!L447</f>
        <v>NORMAL</v>
      </c>
      <c r="D447" s="4" t="str">
        <f>FEATURES!R447</f>
        <v>LOW</v>
      </c>
      <c r="E447" s="4" t="str">
        <f>FEATURES!Q447</f>
        <v>DISENGAGED</v>
      </c>
      <c r="F447" s="4" t="str">
        <f>FEATURES!P447</f>
        <v>Medium_Pressure</v>
      </c>
      <c r="G447" s="4" t="str">
        <f>FEATURES!M447</f>
        <v>MEDIUM</v>
      </c>
      <c r="H447" s="4" t="str">
        <f>FEATURES!O447</f>
        <v>STAGNANT</v>
      </c>
      <c r="I447" s="4" t="str">
        <f t="shared" si="1"/>
        <v>LOW RISK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3.2" x14ac:dyDescent="0.25">
      <c r="A448" s="4">
        <v>599</v>
      </c>
      <c r="B448" s="4" t="s">
        <v>37</v>
      </c>
      <c r="C448" s="4" t="str">
        <f>FEATURES!L448</f>
        <v>NORMAL</v>
      </c>
      <c r="D448" s="4" t="str">
        <f>FEATURES!R448</f>
        <v>LOW</v>
      </c>
      <c r="E448" s="4" t="str">
        <f>FEATURES!Q448</f>
        <v>HIGHLY_ENGAGED</v>
      </c>
      <c r="F448" s="4" t="str">
        <f>FEATURES!P448</f>
        <v>Medium_Pressure</v>
      </c>
      <c r="G448" s="4" t="str">
        <f>FEATURES!M448</f>
        <v>HIGH</v>
      </c>
      <c r="H448" s="4" t="str">
        <f>FEATURES!O448</f>
        <v>RECENTLY PROMOTED</v>
      </c>
      <c r="I448" s="4" t="str">
        <f t="shared" si="1"/>
        <v>LOW RISK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3.2" x14ac:dyDescent="0.25">
      <c r="A449" s="4">
        <v>600</v>
      </c>
      <c r="B449" s="4" t="s">
        <v>37</v>
      </c>
      <c r="C449" s="4" t="str">
        <f>FEATURES!L449</f>
        <v>NORMAL</v>
      </c>
      <c r="D449" s="4" t="str">
        <f>FEATURES!R449</f>
        <v>LOW</v>
      </c>
      <c r="E449" s="4" t="str">
        <f>FEATURES!Q449</f>
        <v>HIGHLY_ENGAGED</v>
      </c>
      <c r="F449" s="4" t="str">
        <f>FEATURES!P449</f>
        <v>Medium_Pressure</v>
      </c>
      <c r="G449" s="4" t="str">
        <f>FEATURES!M449</f>
        <v>HIGH</v>
      </c>
      <c r="H449" s="4" t="str">
        <f>FEATURES!O449</f>
        <v>STAGNANT</v>
      </c>
      <c r="I449" s="4" t="str">
        <f t="shared" si="1"/>
        <v>LOW RISK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3.2" x14ac:dyDescent="0.25">
      <c r="A450" s="4">
        <v>601</v>
      </c>
      <c r="B450" s="4" t="s">
        <v>45</v>
      </c>
      <c r="C450" s="4" t="str">
        <f>FEATURES!L450</f>
        <v>NORMAL</v>
      </c>
      <c r="D450" s="4" t="str">
        <f>FEATURES!R450</f>
        <v>LOW</v>
      </c>
      <c r="E450" s="4" t="str">
        <f>FEATURES!Q450</f>
        <v>HIGHLY_ENGAGED</v>
      </c>
      <c r="F450" s="4" t="str">
        <f>FEATURES!P450</f>
        <v>Medium_Pressure</v>
      </c>
      <c r="G450" s="4" t="str">
        <f>FEATURES!M450</f>
        <v>MEDIUM</v>
      </c>
      <c r="H450" s="4" t="str">
        <f>FEATURES!O450</f>
        <v>STAGNANT</v>
      </c>
      <c r="I450" s="4" t="str">
        <f t="shared" si="1"/>
        <v>LOW RISK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3.2" x14ac:dyDescent="0.25">
      <c r="A451" s="4">
        <v>602</v>
      </c>
      <c r="B451" s="4" t="s">
        <v>45</v>
      </c>
      <c r="C451" s="4" t="str">
        <f>FEATURES!L451</f>
        <v>NORMAL</v>
      </c>
      <c r="D451" s="4" t="str">
        <f>FEATURES!R451</f>
        <v>LOW</v>
      </c>
      <c r="E451" s="4" t="str">
        <f>FEATURES!Q451</f>
        <v>HIGHLY_ENGAGED</v>
      </c>
      <c r="F451" s="4" t="str">
        <f>FEATURES!P451</f>
        <v>Medium_Pressure</v>
      </c>
      <c r="G451" s="4" t="str">
        <f>FEATURES!M451</f>
        <v>LOW</v>
      </c>
      <c r="H451" s="4" t="str">
        <f>FEATURES!O451</f>
        <v>RECENTLY PROMOTED</v>
      </c>
      <c r="I451" s="4" t="str">
        <f t="shared" si="1"/>
        <v>LOW RISK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3.2" x14ac:dyDescent="0.25">
      <c r="A452" s="4">
        <v>604</v>
      </c>
      <c r="B452" s="4" t="s">
        <v>37</v>
      </c>
      <c r="C452" s="4" t="str">
        <f>FEATURES!L452</f>
        <v>NORMAL</v>
      </c>
      <c r="D452" s="4" t="str">
        <f>FEATURES!R452</f>
        <v>LOW</v>
      </c>
      <c r="E452" s="4" t="str">
        <f>FEATURES!Q452</f>
        <v>HIGHLY_ENGAGED</v>
      </c>
      <c r="F452" s="4" t="str">
        <f>FEATURES!P452</f>
        <v>Medium_Pressure</v>
      </c>
      <c r="G452" s="4" t="str">
        <f>FEATURES!M452</f>
        <v>HIGH</v>
      </c>
      <c r="H452" s="4" t="str">
        <f>FEATURES!O452</f>
        <v>RECENTLY PROMOTED</v>
      </c>
      <c r="I452" s="4" t="str">
        <f t="shared" si="1"/>
        <v>LOW RISK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3.2" x14ac:dyDescent="0.25">
      <c r="A453" s="4">
        <v>605</v>
      </c>
      <c r="B453" s="4" t="s">
        <v>45</v>
      </c>
      <c r="C453" s="4" t="str">
        <f>FEATURES!L453</f>
        <v>HIGH RISK</v>
      </c>
      <c r="D453" s="4" t="str">
        <f>FEATURES!R453</f>
        <v>LOW</v>
      </c>
      <c r="E453" s="4" t="str">
        <f>FEATURES!Q453</f>
        <v>DISENGAGED</v>
      </c>
      <c r="F453" s="4" t="str">
        <f>FEATURES!P453</f>
        <v>High_Pressure</v>
      </c>
      <c r="G453" s="4" t="str">
        <f>FEATURES!M453</f>
        <v>HIGH</v>
      </c>
      <c r="H453" s="4" t="str">
        <f>FEATURES!O453</f>
        <v>STAGNANT</v>
      </c>
      <c r="I453" s="4" t="str">
        <f t="shared" si="1"/>
        <v>LOW RISK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3.2" x14ac:dyDescent="0.25">
      <c r="A454" s="4">
        <v>606</v>
      </c>
      <c r="B454" s="4" t="s">
        <v>37</v>
      </c>
      <c r="C454" s="4" t="str">
        <f>FEATURES!L454</f>
        <v>NORMAL</v>
      </c>
      <c r="D454" s="4" t="str">
        <f>FEATURES!R454</f>
        <v>LOW</v>
      </c>
      <c r="E454" s="4" t="str">
        <f>FEATURES!Q454</f>
        <v>DISENGAGED</v>
      </c>
      <c r="F454" s="4" t="str">
        <f>FEATURES!P454</f>
        <v>Low_Pressure</v>
      </c>
      <c r="G454" s="4" t="str">
        <f>FEATURES!M454</f>
        <v>HIGH</v>
      </c>
      <c r="H454" s="4" t="str">
        <f>FEATURES!O454</f>
        <v>MODERATE-WAIT</v>
      </c>
      <c r="I454" s="4" t="str">
        <f t="shared" si="1"/>
        <v>LOW RISK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3.2" x14ac:dyDescent="0.25">
      <c r="A455" s="4">
        <v>608</v>
      </c>
      <c r="B455" s="4" t="s">
        <v>61</v>
      </c>
      <c r="C455" s="4" t="str">
        <f>FEATURES!L455</f>
        <v>NORMAL</v>
      </c>
      <c r="D455" s="4" t="str">
        <f>FEATURES!R455</f>
        <v>LOW</v>
      </c>
      <c r="E455" s="4" t="str">
        <f>FEATURES!Q455</f>
        <v>DISENGAGED</v>
      </c>
      <c r="F455" s="4" t="str">
        <f>FEATURES!P455</f>
        <v>High_Pressure</v>
      </c>
      <c r="G455" s="4" t="str">
        <f>FEATURES!M455</f>
        <v>LOW</v>
      </c>
      <c r="H455" s="4" t="str">
        <f>FEATURES!O455</f>
        <v>RECENTLY PROMOTED</v>
      </c>
      <c r="I455" s="4" t="str">
        <f t="shared" si="1"/>
        <v>LOW RISK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3.2" x14ac:dyDescent="0.25">
      <c r="A456" s="4">
        <v>611</v>
      </c>
      <c r="B456" s="4" t="s">
        <v>45</v>
      </c>
      <c r="C456" s="4" t="str">
        <f>FEATURES!L456</f>
        <v>NORMAL</v>
      </c>
      <c r="D456" s="4" t="str">
        <f>FEATURES!R456</f>
        <v>LOW</v>
      </c>
      <c r="E456" s="4" t="str">
        <f>FEATURES!Q456</f>
        <v>HIGHLY_ENGAGED</v>
      </c>
      <c r="F456" s="4" t="str">
        <f>FEATURES!P456</f>
        <v>Low_Pressure</v>
      </c>
      <c r="G456" s="4" t="str">
        <f>FEATURES!M456</f>
        <v>HIGH</v>
      </c>
      <c r="H456" s="4" t="str">
        <f>FEATURES!O456</f>
        <v>RECENTLY PROMOTED</v>
      </c>
      <c r="I456" s="4" t="str">
        <f t="shared" si="1"/>
        <v>LOW RISK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3.2" x14ac:dyDescent="0.25">
      <c r="A457" s="4">
        <v>612</v>
      </c>
      <c r="B457" s="4" t="s">
        <v>45</v>
      </c>
      <c r="C457" s="4" t="str">
        <f>FEATURES!L457</f>
        <v>NORMAL</v>
      </c>
      <c r="D457" s="4" t="str">
        <f>FEATURES!R457</f>
        <v>LOW</v>
      </c>
      <c r="E457" s="4" t="str">
        <f>FEATURES!Q457</f>
        <v>HIGHLY_ENGAGED</v>
      </c>
      <c r="F457" s="4" t="str">
        <f>FEATURES!P457</f>
        <v>Medium_Pressure</v>
      </c>
      <c r="G457" s="4" t="str">
        <f>FEATURES!M457</f>
        <v>MEDIUM</v>
      </c>
      <c r="H457" s="4" t="str">
        <f>FEATURES!O457</f>
        <v>RECENTLY PROMOTED</v>
      </c>
      <c r="I457" s="4" t="str">
        <f t="shared" si="1"/>
        <v>LOW RISK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3.2" x14ac:dyDescent="0.25">
      <c r="A458" s="4">
        <v>613</v>
      </c>
      <c r="B458" s="4" t="s">
        <v>37</v>
      </c>
      <c r="C458" s="4" t="str">
        <f>FEATURES!L458</f>
        <v>NORMAL</v>
      </c>
      <c r="D458" s="4" t="str">
        <f>FEATURES!R458</f>
        <v>LOW</v>
      </c>
      <c r="E458" s="4" t="str">
        <f>FEATURES!Q458</f>
        <v>DISENGAGED</v>
      </c>
      <c r="F458" s="4" t="str">
        <f>FEATURES!P458</f>
        <v>Low_Pressure</v>
      </c>
      <c r="G458" s="4" t="str">
        <f>FEATURES!M458</f>
        <v>MEDIUM</v>
      </c>
      <c r="H458" s="4" t="str">
        <f>FEATURES!O458</f>
        <v>RECENTLY PROMOTED</v>
      </c>
      <c r="I458" s="4" t="str">
        <f t="shared" si="1"/>
        <v>LOW RISK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3.2" x14ac:dyDescent="0.25">
      <c r="A459" s="4">
        <v>614</v>
      </c>
      <c r="B459" s="4" t="s">
        <v>37</v>
      </c>
      <c r="C459" s="4" t="str">
        <f>FEATURES!L459</f>
        <v>NORMAL</v>
      </c>
      <c r="D459" s="4" t="str">
        <f>FEATURES!R459</f>
        <v>LOW</v>
      </c>
      <c r="E459" s="4" t="str">
        <f>FEATURES!Q459</f>
        <v>DISENGAGED</v>
      </c>
      <c r="F459" s="4" t="str">
        <f>FEATURES!P459</f>
        <v>Medium_Pressure</v>
      </c>
      <c r="G459" s="4" t="str">
        <f>FEATURES!M459</f>
        <v>LOW</v>
      </c>
      <c r="H459" s="4" t="str">
        <f>FEATURES!O459</f>
        <v>RECENTLY PROMOTED</v>
      </c>
      <c r="I459" s="4" t="str">
        <f t="shared" si="1"/>
        <v>LOW RISK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3.2" x14ac:dyDescent="0.25">
      <c r="A460" s="4">
        <v>615</v>
      </c>
      <c r="B460" s="4" t="s">
        <v>37</v>
      </c>
      <c r="C460" s="4" t="str">
        <f>FEATURES!L460</f>
        <v>NORMAL</v>
      </c>
      <c r="D460" s="4" t="str">
        <f>FEATURES!R460</f>
        <v>LOW</v>
      </c>
      <c r="E460" s="4" t="str">
        <f>FEATURES!Q460</f>
        <v>DISENGAGED</v>
      </c>
      <c r="F460" s="4" t="str">
        <f>FEATURES!P460</f>
        <v>Medium_Pressure</v>
      </c>
      <c r="G460" s="4" t="str">
        <f>FEATURES!M460</f>
        <v>MEDIUM</v>
      </c>
      <c r="H460" s="4" t="str">
        <f>FEATURES!O460</f>
        <v>RECENTLY PROMOTED</v>
      </c>
      <c r="I460" s="4" t="str">
        <f t="shared" si="1"/>
        <v>LOW RISK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3.2" x14ac:dyDescent="0.25">
      <c r="A461" s="4">
        <v>616</v>
      </c>
      <c r="B461" s="4" t="s">
        <v>45</v>
      </c>
      <c r="C461" s="4" t="str">
        <f>FEATURES!L461</f>
        <v>NORMAL</v>
      </c>
      <c r="D461" s="4" t="str">
        <f>FEATURES!R461</f>
        <v>LOW</v>
      </c>
      <c r="E461" s="4" t="str">
        <f>FEATURES!Q461</f>
        <v>HIGHLY_ENGAGED</v>
      </c>
      <c r="F461" s="4" t="str">
        <f>FEATURES!P461</f>
        <v>Medium_Pressure</v>
      </c>
      <c r="G461" s="4" t="str">
        <f>FEATURES!M461</f>
        <v>HIGH</v>
      </c>
      <c r="H461" s="4" t="str">
        <f>FEATURES!O461</f>
        <v>RECENTLY PROMOTED</v>
      </c>
      <c r="I461" s="4" t="str">
        <f t="shared" si="1"/>
        <v>LOW RISK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3.2" x14ac:dyDescent="0.25">
      <c r="A462" s="4">
        <v>618</v>
      </c>
      <c r="B462" s="4" t="s">
        <v>37</v>
      </c>
      <c r="C462" s="4" t="str">
        <f>FEATURES!L462</f>
        <v>NORMAL</v>
      </c>
      <c r="D462" s="4" t="str">
        <f>FEATURES!R462</f>
        <v>LOW</v>
      </c>
      <c r="E462" s="4" t="str">
        <f>FEATURES!Q462</f>
        <v>HIGHLY_ENGAGED</v>
      </c>
      <c r="F462" s="4" t="str">
        <f>FEATURES!P462</f>
        <v>Medium_Pressure</v>
      </c>
      <c r="G462" s="4" t="str">
        <f>FEATURES!M462</f>
        <v>HIGH</v>
      </c>
      <c r="H462" s="4" t="str">
        <f>FEATURES!O462</f>
        <v>RECENTLY PROMOTED</v>
      </c>
      <c r="I462" s="4" t="str">
        <f t="shared" si="1"/>
        <v>LOW RISK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3.2" x14ac:dyDescent="0.25">
      <c r="A463" s="4">
        <v>620</v>
      </c>
      <c r="B463" s="4" t="s">
        <v>37</v>
      </c>
      <c r="C463" s="4" t="str">
        <f>FEATURES!L463</f>
        <v>NORMAL</v>
      </c>
      <c r="D463" s="4" t="str">
        <f>FEATURES!R463</f>
        <v>LOW</v>
      </c>
      <c r="E463" s="4" t="str">
        <f>FEATURES!Q463</f>
        <v>HIGHLY_ENGAGED</v>
      </c>
      <c r="F463" s="4" t="str">
        <f>FEATURES!P463</f>
        <v>Medium_Pressure</v>
      </c>
      <c r="G463" s="4" t="str">
        <f>FEATURES!M463</f>
        <v>HIGH</v>
      </c>
      <c r="H463" s="4" t="str">
        <f>FEATURES!O463</f>
        <v>RECENTLY PROMOTED</v>
      </c>
      <c r="I463" s="4" t="str">
        <f t="shared" si="1"/>
        <v>LOW RISK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3.2" x14ac:dyDescent="0.25">
      <c r="A464" s="4">
        <v>621</v>
      </c>
      <c r="B464" s="4" t="s">
        <v>37</v>
      </c>
      <c r="C464" s="4" t="str">
        <f>FEATURES!L464</f>
        <v>NORMAL</v>
      </c>
      <c r="D464" s="4" t="str">
        <f>FEATURES!R464</f>
        <v>LOW</v>
      </c>
      <c r="E464" s="4" t="str">
        <f>FEATURES!Q464</f>
        <v>HIGHLY_ENGAGED</v>
      </c>
      <c r="F464" s="4" t="str">
        <f>FEATURES!P464</f>
        <v>Medium_Pressure</v>
      </c>
      <c r="G464" s="4" t="str">
        <f>FEATURES!M464</f>
        <v>HIGH</v>
      </c>
      <c r="H464" s="4" t="str">
        <f>FEATURES!O464</f>
        <v>STAGNANT</v>
      </c>
      <c r="I464" s="4" t="str">
        <f t="shared" si="1"/>
        <v>LOW RISK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3.2" x14ac:dyDescent="0.25">
      <c r="A465" s="4">
        <v>622</v>
      </c>
      <c r="B465" s="4" t="s">
        <v>45</v>
      </c>
      <c r="C465" s="4" t="str">
        <f>FEATURES!L465</f>
        <v>NORMAL</v>
      </c>
      <c r="D465" s="4" t="str">
        <f>FEATURES!R465</f>
        <v>LOW</v>
      </c>
      <c r="E465" s="4" t="str">
        <f>FEATURES!Q465</f>
        <v>DISENGAGED</v>
      </c>
      <c r="F465" s="4" t="str">
        <f>FEATURES!P465</f>
        <v>High_Pressure</v>
      </c>
      <c r="G465" s="4" t="str">
        <f>FEATURES!M465</f>
        <v>LOW</v>
      </c>
      <c r="H465" s="4" t="str">
        <f>FEATURES!O465</f>
        <v>RECENTLY PROMOTED</v>
      </c>
      <c r="I465" s="4" t="str">
        <f t="shared" si="1"/>
        <v>LOW RISK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3.2" x14ac:dyDescent="0.25">
      <c r="A466" s="4">
        <v>623</v>
      </c>
      <c r="B466" s="4" t="s">
        <v>45</v>
      </c>
      <c r="C466" s="4" t="str">
        <f>FEATURES!L466</f>
        <v>NORMAL</v>
      </c>
      <c r="D466" s="4" t="str">
        <f>FEATURES!R466</f>
        <v>LOW</v>
      </c>
      <c r="E466" s="4" t="str">
        <f>FEATURES!Q466</f>
        <v>HIGHLY_ENGAGED</v>
      </c>
      <c r="F466" s="4" t="str">
        <f>FEATURES!P466</f>
        <v>Low_Pressure</v>
      </c>
      <c r="G466" s="4" t="str">
        <f>FEATURES!M466</f>
        <v>HIGH</v>
      </c>
      <c r="H466" s="4" t="str">
        <f>FEATURES!O466</f>
        <v>RECENTLY PROMOTED</v>
      </c>
      <c r="I466" s="4" t="str">
        <f t="shared" si="1"/>
        <v>LOW RISK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3.2" x14ac:dyDescent="0.25">
      <c r="A467" s="4">
        <v>624</v>
      </c>
      <c r="B467" s="4" t="s">
        <v>45</v>
      </c>
      <c r="C467" s="4" t="str">
        <f>FEATURES!L467</f>
        <v>NORMAL</v>
      </c>
      <c r="D467" s="4" t="str">
        <f>FEATURES!R467</f>
        <v>LOW</v>
      </c>
      <c r="E467" s="4" t="str">
        <f>FEATURES!Q467</f>
        <v>DISENGAGED</v>
      </c>
      <c r="F467" s="4" t="str">
        <f>FEATURES!P467</f>
        <v>Low_Pressure</v>
      </c>
      <c r="G467" s="4" t="str">
        <f>FEATURES!M467</f>
        <v>MEDIUM</v>
      </c>
      <c r="H467" s="4" t="str">
        <f>FEATURES!O467</f>
        <v>RECENTLY PROMOTED</v>
      </c>
      <c r="I467" s="4" t="str">
        <f t="shared" si="1"/>
        <v>LOW RISK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3.2" x14ac:dyDescent="0.25">
      <c r="A468" s="4">
        <v>625</v>
      </c>
      <c r="B468" s="4" t="s">
        <v>37</v>
      </c>
      <c r="C468" s="4" t="str">
        <f>FEATURES!L468</f>
        <v>NORMAL</v>
      </c>
      <c r="D468" s="4" t="str">
        <f>FEATURES!R468</f>
        <v>LOW</v>
      </c>
      <c r="E468" s="4" t="str">
        <f>FEATURES!Q468</f>
        <v>DISENGAGED</v>
      </c>
      <c r="F468" s="4" t="str">
        <f>FEATURES!P468</f>
        <v>Medium_Pressure</v>
      </c>
      <c r="G468" s="4" t="str">
        <f>FEATURES!M468</f>
        <v>MEDIUM</v>
      </c>
      <c r="H468" s="4" t="str">
        <f>FEATURES!O468</f>
        <v>STAGNANT</v>
      </c>
      <c r="I468" s="4" t="str">
        <f t="shared" si="1"/>
        <v>LOW RISK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3.2" x14ac:dyDescent="0.25">
      <c r="A469" s="4">
        <v>626</v>
      </c>
      <c r="B469" s="4" t="s">
        <v>37</v>
      </c>
      <c r="C469" s="4" t="str">
        <f>FEATURES!L469</f>
        <v>NORMAL</v>
      </c>
      <c r="D469" s="4" t="str">
        <f>FEATURES!R469</f>
        <v>LOW</v>
      </c>
      <c r="E469" s="4" t="str">
        <f>FEATURES!Q469</f>
        <v>DISENGAGED</v>
      </c>
      <c r="F469" s="4" t="str">
        <f>FEATURES!P469</f>
        <v>Medium_Pressure</v>
      </c>
      <c r="G469" s="4" t="str">
        <f>FEATURES!M469</f>
        <v>HIGH</v>
      </c>
      <c r="H469" s="4" t="str">
        <f>FEATURES!O469</f>
        <v>STAGNANT</v>
      </c>
      <c r="I469" s="4" t="str">
        <f t="shared" si="1"/>
        <v>LOW RISK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3.2" x14ac:dyDescent="0.25">
      <c r="A470" s="4">
        <v>630</v>
      </c>
      <c r="B470" s="4" t="s">
        <v>45</v>
      </c>
      <c r="C470" s="4" t="str">
        <f>FEATURES!L470</f>
        <v>HIGH RISK</v>
      </c>
      <c r="D470" s="4" t="str">
        <f>FEATURES!R470</f>
        <v>LOW</v>
      </c>
      <c r="E470" s="4" t="str">
        <f>FEATURES!Q470</f>
        <v>DISENGAGED</v>
      </c>
      <c r="F470" s="4" t="str">
        <f>FEATURES!P470</f>
        <v>Medium_Pressure</v>
      </c>
      <c r="G470" s="4" t="str">
        <f>FEATURES!M470</f>
        <v>HIGH</v>
      </c>
      <c r="H470" s="4" t="str">
        <f>FEATURES!O470</f>
        <v>STAGNANT</v>
      </c>
      <c r="I470" s="4" t="str">
        <f t="shared" si="1"/>
        <v>LOW RISK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3.2" x14ac:dyDescent="0.25">
      <c r="A471" s="4">
        <v>631</v>
      </c>
      <c r="B471" s="4" t="s">
        <v>37</v>
      </c>
      <c r="C471" s="4" t="str">
        <f>FEATURES!L471</f>
        <v>NORMAL</v>
      </c>
      <c r="D471" s="4" t="str">
        <f>FEATURES!R471</f>
        <v>LOW</v>
      </c>
      <c r="E471" s="4" t="str">
        <f>FEATURES!Q471</f>
        <v>HIGHLY_ENGAGED</v>
      </c>
      <c r="F471" s="4" t="str">
        <f>FEATURES!P471</f>
        <v>Medium_Pressure</v>
      </c>
      <c r="G471" s="4" t="str">
        <f>FEATURES!M471</f>
        <v>HIGH</v>
      </c>
      <c r="H471" s="4" t="str">
        <f>FEATURES!O471</f>
        <v>RECENTLY PROMOTED</v>
      </c>
      <c r="I471" s="4" t="str">
        <f t="shared" si="1"/>
        <v>LOW RISK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3.2" x14ac:dyDescent="0.25">
      <c r="A472" s="4">
        <v>632</v>
      </c>
      <c r="B472" s="4" t="s">
        <v>37</v>
      </c>
      <c r="C472" s="4" t="str">
        <f>FEATURES!L472</f>
        <v>NORMAL</v>
      </c>
      <c r="D472" s="4" t="str">
        <f>FEATURES!R472</f>
        <v>LOW</v>
      </c>
      <c r="E472" s="4" t="str">
        <f>FEATURES!Q472</f>
        <v>HIGHLY_ENGAGED</v>
      </c>
      <c r="F472" s="4" t="str">
        <f>FEATURES!P472</f>
        <v>Medium_Pressure</v>
      </c>
      <c r="G472" s="4" t="str">
        <f>FEATURES!M472</f>
        <v>LOW</v>
      </c>
      <c r="H472" s="4" t="str">
        <f>FEATURES!O472</f>
        <v>MODERATE-WAIT</v>
      </c>
      <c r="I472" s="4" t="str">
        <f t="shared" si="1"/>
        <v>LOW RISK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3.2" x14ac:dyDescent="0.25">
      <c r="A473" s="4">
        <v>634</v>
      </c>
      <c r="B473" s="4" t="s">
        <v>45</v>
      </c>
      <c r="C473" s="4" t="str">
        <f>FEATURES!L473</f>
        <v>NORMAL</v>
      </c>
      <c r="D473" s="4" t="str">
        <f>FEATURES!R473</f>
        <v>LOW</v>
      </c>
      <c r="E473" s="4" t="str">
        <f>FEATURES!Q473</f>
        <v>HIGHLY_ENGAGED</v>
      </c>
      <c r="F473" s="4" t="str">
        <f>FEATURES!P473</f>
        <v>Medium_Pressure</v>
      </c>
      <c r="G473" s="4" t="str">
        <f>FEATURES!M473</f>
        <v>MEDIUM</v>
      </c>
      <c r="H473" s="4" t="str">
        <f>FEATURES!O473</f>
        <v>RECENTLY PROMOTED</v>
      </c>
      <c r="I473" s="4" t="str">
        <f t="shared" si="1"/>
        <v>LOW RISK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3.2" x14ac:dyDescent="0.25">
      <c r="A474" s="4">
        <v>635</v>
      </c>
      <c r="B474" s="4" t="s">
        <v>45</v>
      </c>
      <c r="C474" s="4" t="str">
        <f>FEATURES!L474</f>
        <v>NORMAL</v>
      </c>
      <c r="D474" s="4" t="str">
        <f>FEATURES!R474</f>
        <v>LOW</v>
      </c>
      <c r="E474" s="4" t="str">
        <f>FEATURES!Q474</f>
        <v>DISENGAGED</v>
      </c>
      <c r="F474" s="4" t="str">
        <f>FEATURES!P474</f>
        <v>Low_Pressure</v>
      </c>
      <c r="G474" s="4" t="str">
        <f>FEATURES!M474</f>
        <v>HIGH</v>
      </c>
      <c r="H474" s="4" t="str">
        <f>FEATURES!O474</f>
        <v>STAGNANT</v>
      </c>
      <c r="I474" s="4" t="str">
        <f t="shared" si="1"/>
        <v>LOW RISK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3.2" x14ac:dyDescent="0.25">
      <c r="A475" s="4">
        <v>638</v>
      </c>
      <c r="B475" s="4" t="s">
        <v>45</v>
      </c>
      <c r="C475" s="4" t="str">
        <f>FEATURES!L475</f>
        <v>NORMAL</v>
      </c>
      <c r="D475" s="4" t="str">
        <f>FEATURES!R475</f>
        <v>LOW</v>
      </c>
      <c r="E475" s="4" t="str">
        <f>FEATURES!Q475</f>
        <v>HIGHLY_ENGAGED</v>
      </c>
      <c r="F475" s="4" t="str">
        <f>FEATURES!P475</f>
        <v>Medium_Pressure</v>
      </c>
      <c r="G475" s="4" t="str">
        <f>FEATURES!M475</f>
        <v>MEDIUM</v>
      </c>
      <c r="H475" s="4" t="str">
        <f>FEATURES!O475</f>
        <v>RECENTLY PROMOTED</v>
      </c>
      <c r="I475" s="4" t="str">
        <f t="shared" si="1"/>
        <v>LOW RISK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3.2" x14ac:dyDescent="0.25">
      <c r="A476" s="4">
        <v>639</v>
      </c>
      <c r="B476" s="4" t="s">
        <v>45</v>
      </c>
      <c r="C476" s="4" t="str">
        <f>FEATURES!L476</f>
        <v>NORMAL</v>
      </c>
      <c r="D476" s="4" t="str">
        <f>FEATURES!R476</f>
        <v>LOW</v>
      </c>
      <c r="E476" s="4" t="str">
        <f>FEATURES!Q476</f>
        <v>HIGHLY_ENGAGED</v>
      </c>
      <c r="F476" s="4" t="str">
        <f>FEATURES!P476</f>
        <v>Medium_Pressure</v>
      </c>
      <c r="G476" s="4" t="str">
        <f>FEATURES!M476</f>
        <v>LOW</v>
      </c>
      <c r="H476" s="4" t="str">
        <f>FEATURES!O476</f>
        <v>RECENTLY PROMOTED</v>
      </c>
      <c r="I476" s="4" t="str">
        <f t="shared" si="1"/>
        <v>LOW RISK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3.2" x14ac:dyDescent="0.25">
      <c r="A477" s="4">
        <v>641</v>
      </c>
      <c r="B477" s="4" t="s">
        <v>37</v>
      </c>
      <c r="C477" s="4" t="str">
        <f>FEATURES!L477</f>
        <v>NORMAL</v>
      </c>
      <c r="D477" s="4" t="str">
        <f>FEATURES!R477</f>
        <v>LOW</v>
      </c>
      <c r="E477" s="4" t="str">
        <f>FEATURES!Q477</f>
        <v>DISENGAGED</v>
      </c>
      <c r="F477" s="4" t="str">
        <f>FEATURES!P477</f>
        <v>Low_Pressure</v>
      </c>
      <c r="G477" s="4" t="str">
        <f>FEATURES!M477</f>
        <v>HIGH</v>
      </c>
      <c r="H477" s="4" t="str">
        <f>FEATURES!O477</f>
        <v>RECENTLY PROMOTED</v>
      </c>
      <c r="I477" s="4" t="str">
        <f t="shared" si="1"/>
        <v>LOW RISK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3.2" x14ac:dyDescent="0.25">
      <c r="A478" s="4">
        <v>643</v>
      </c>
      <c r="B478" s="4" t="s">
        <v>45</v>
      </c>
      <c r="C478" s="4" t="str">
        <f>FEATURES!L478</f>
        <v>NORMAL</v>
      </c>
      <c r="D478" s="4" t="str">
        <f>FEATURES!R478</f>
        <v>LOW</v>
      </c>
      <c r="E478" s="4" t="str">
        <f>FEATURES!Q478</f>
        <v>DISENGAGED</v>
      </c>
      <c r="F478" s="4" t="str">
        <f>FEATURES!P478</f>
        <v>Medium_Pressure</v>
      </c>
      <c r="G478" s="4" t="str">
        <f>FEATURES!M478</f>
        <v>LOW</v>
      </c>
      <c r="H478" s="4" t="str">
        <f>FEATURES!O478</f>
        <v>RECENTLY PROMOTED</v>
      </c>
      <c r="I478" s="4" t="str">
        <f t="shared" si="1"/>
        <v>LOW RISK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3.2" x14ac:dyDescent="0.25">
      <c r="A479" s="4">
        <v>644</v>
      </c>
      <c r="B479" s="4" t="s">
        <v>61</v>
      </c>
      <c r="C479" s="4" t="str">
        <f>FEATURES!L479</f>
        <v>NORMAL</v>
      </c>
      <c r="D479" s="4" t="str">
        <f>FEATURES!R479</f>
        <v>LOW</v>
      </c>
      <c r="E479" s="4" t="str">
        <f>FEATURES!Q479</f>
        <v>DISENGAGED</v>
      </c>
      <c r="F479" s="4" t="str">
        <f>FEATURES!P479</f>
        <v>Medium_Pressure</v>
      </c>
      <c r="G479" s="4" t="str">
        <f>FEATURES!M479</f>
        <v>MEDIUM</v>
      </c>
      <c r="H479" s="4" t="str">
        <f>FEATURES!O479</f>
        <v>STAGNANT</v>
      </c>
      <c r="I479" s="4" t="str">
        <f t="shared" si="1"/>
        <v>LOW RISK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3.2" x14ac:dyDescent="0.25">
      <c r="A480" s="4">
        <v>645</v>
      </c>
      <c r="B480" s="4" t="s">
        <v>37</v>
      </c>
      <c r="C480" s="4" t="str">
        <f>FEATURES!L480</f>
        <v>NORMAL</v>
      </c>
      <c r="D480" s="4" t="str">
        <f>FEATURES!R480</f>
        <v>LOW</v>
      </c>
      <c r="E480" s="4" t="str">
        <f>FEATURES!Q480</f>
        <v>HIGHLY_ENGAGED</v>
      </c>
      <c r="F480" s="4" t="str">
        <f>FEATURES!P480</f>
        <v>Medium_Pressure</v>
      </c>
      <c r="G480" s="4" t="str">
        <f>FEATURES!M480</f>
        <v>LOW</v>
      </c>
      <c r="H480" s="4" t="str">
        <f>FEATURES!O480</f>
        <v>RECENTLY PROMOTED</v>
      </c>
      <c r="I480" s="4" t="str">
        <f t="shared" si="1"/>
        <v>LOW RISK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3.2" x14ac:dyDescent="0.25">
      <c r="A481" s="4">
        <v>647</v>
      </c>
      <c r="B481" s="4" t="s">
        <v>45</v>
      </c>
      <c r="C481" s="4" t="str">
        <f>FEATURES!L481</f>
        <v>NORMAL</v>
      </c>
      <c r="D481" s="4" t="str">
        <f>FEATURES!R481</f>
        <v>LOW</v>
      </c>
      <c r="E481" s="4" t="str">
        <f>FEATURES!Q481</f>
        <v>HIGHLY_ENGAGED</v>
      </c>
      <c r="F481" s="4" t="str">
        <f>FEATURES!P481</f>
        <v>Medium_Pressure</v>
      </c>
      <c r="G481" s="4" t="str">
        <f>FEATURES!M481</f>
        <v>LOW</v>
      </c>
      <c r="H481" s="4" t="str">
        <f>FEATURES!O481</f>
        <v>RECENTLY PROMOTED</v>
      </c>
      <c r="I481" s="4" t="str">
        <f t="shared" si="1"/>
        <v>LOW RISK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3.2" x14ac:dyDescent="0.25">
      <c r="A482" s="4">
        <v>648</v>
      </c>
      <c r="B482" s="4" t="s">
        <v>37</v>
      </c>
      <c r="C482" s="4" t="str">
        <f>FEATURES!L482</f>
        <v>NORMAL</v>
      </c>
      <c r="D482" s="4" t="str">
        <f>FEATURES!R482</f>
        <v>LOW</v>
      </c>
      <c r="E482" s="4" t="str">
        <f>FEATURES!Q482</f>
        <v>DISENGAGED</v>
      </c>
      <c r="F482" s="4" t="str">
        <f>FEATURES!P482</f>
        <v>Low_Pressure</v>
      </c>
      <c r="G482" s="4" t="str">
        <f>FEATURES!M482</f>
        <v>LOW</v>
      </c>
      <c r="H482" s="4" t="str">
        <f>FEATURES!O482</f>
        <v>RECENTLY PROMOTED</v>
      </c>
      <c r="I482" s="4" t="str">
        <f t="shared" si="1"/>
        <v>LOW RISK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3.2" x14ac:dyDescent="0.25">
      <c r="A483" s="4">
        <v>649</v>
      </c>
      <c r="B483" s="4" t="s">
        <v>45</v>
      </c>
      <c r="C483" s="4" t="str">
        <f>FEATURES!L483</f>
        <v>NORMAL</v>
      </c>
      <c r="D483" s="4" t="str">
        <f>FEATURES!R483</f>
        <v>LOW</v>
      </c>
      <c r="E483" s="4" t="str">
        <f>FEATURES!Q483</f>
        <v>HIGHLY_ENGAGED</v>
      </c>
      <c r="F483" s="4" t="str">
        <f>FEATURES!P483</f>
        <v>Medium_Pressure</v>
      </c>
      <c r="G483" s="4" t="str">
        <f>FEATURES!M483</f>
        <v>LOW</v>
      </c>
      <c r="H483" s="4" t="str">
        <f>FEATURES!O483</f>
        <v>RECENTLY PROMOTED</v>
      </c>
      <c r="I483" s="4" t="str">
        <f t="shared" si="1"/>
        <v>LOW RISK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3.2" x14ac:dyDescent="0.25">
      <c r="A484" s="4">
        <v>650</v>
      </c>
      <c r="B484" s="4" t="s">
        <v>37</v>
      </c>
      <c r="C484" s="4" t="str">
        <f>FEATURES!L484</f>
        <v>NORMAL</v>
      </c>
      <c r="D484" s="4" t="str">
        <f>FEATURES!R484</f>
        <v>LOW</v>
      </c>
      <c r="E484" s="4" t="str">
        <f>FEATURES!Q484</f>
        <v>DISENGAGED</v>
      </c>
      <c r="F484" s="4" t="str">
        <f>FEATURES!P484</f>
        <v>Low_Pressure</v>
      </c>
      <c r="G484" s="4" t="str">
        <f>FEATURES!M484</f>
        <v>HIGH</v>
      </c>
      <c r="H484" s="4" t="str">
        <f>FEATURES!O484</f>
        <v>RECENTLY PROMOTED</v>
      </c>
      <c r="I484" s="4" t="str">
        <f t="shared" si="1"/>
        <v>LOW RISK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3.2" x14ac:dyDescent="0.25">
      <c r="A485" s="4">
        <v>652</v>
      </c>
      <c r="B485" s="4" t="s">
        <v>45</v>
      </c>
      <c r="C485" s="4" t="str">
        <f>FEATURES!L485</f>
        <v>NORMAL</v>
      </c>
      <c r="D485" s="4" t="str">
        <f>FEATURES!R485</f>
        <v>LOW</v>
      </c>
      <c r="E485" s="4" t="str">
        <f>FEATURES!Q485</f>
        <v>HIGHLY_ENGAGED</v>
      </c>
      <c r="F485" s="4" t="str">
        <f>FEATURES!P485</f>
        <v>Medium_Pressure</v>
      </c>
      <c r="G485" s="4" t="str">
        <f>FEATURES!M485</f>
        <v>LOW</v>
      </c>
      <c r="H485" s="4" t="str">
        <f>FEATURES!O485</f>
        <v>RECENTLY PROMOTED</v>
      </c>
      <c r="I485" s="4" t="str">
        <f t="shared" si="1"/>
        <v>LOW RISK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3.2" x14ac:dyDescent="0.25">
      <c r="A486" s="4">
        <v>653</v>
      </c>
      <c r="B486" s="4" t="s">
        <v>37</v>
      </c>
      <c r="C486" s="4" t="str">
        <f>FEATURES!L486</f>
        <v>NORMAL</v>
      </c>
      <c r="D486" s="4" t="str">
        <f>FEATURES!R486</f>
        <v>LOW</v>
      </c>
      <c r="E486" s="4" t="str">
        <f>FEATURES!Q486</f>
        <v>HIGHLY_ENGAGED</v>
      </c>
      <c r="F486" s="4" t="str">
        <f>FEATURES!P486</f>
        <v>Low_Pressure</v>
      </c>
      <c r="G486" s="4" t="str">
        <f>FEATURES!M486</f>
        <v>HIGH</v>
      </c>
      <c r="H486" s="4" t="str">
        <f>FEATURES!O486</f>
        <v>STAGNANT</v>
      </c>
      <c r="I486" s="4" t="str">
        <f t="shared" si="1"/>
        <v>LOW RISK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3.2" x14ac:dyDescent="0.25">
      <c r="A487" s="4">
        <v>655</v>
      </c>
      <c r="B487" s="4" t="s">
        <v>45</v>
      </c>
      <c r="C487" s="4" t="str">
        <f>FEATURES!L487</f>
        <v>NORMAL</v>
      </c>
      <c r="D487" s="4" t="str">
        <f>FEATURES!R487</f>
        <v>LOW</v>
      </c>
      <c r="E487" s="4" t="str">
        <f>FEATURES!Q487</f>
        <v>DISENGAGED</v>
      </c>
      <c r="F487" s="4" t="str">
        <f>FEATURES!P487</f>
        <v>Low_Pressure</v>
      </c>
      <c r="G487" s="4" t="str">
        <f>FEATURES!M487</f>
        <v>LOW</v>
      </c>
      <c r="H487" s="4" t="str">
        <f>FEATURES!O487</f>
        <v>RECENTLY PROMOTED</v>
      </c>
      <c r="I487" s="4" t="str">
        <f t="shared" si="1"/>
        <v>LOW RISK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3.2" x14ac:dyDescent="0.25">
      <c r="A488" s="4">
        <v>656</v>
      </c>
      <c r="B488" s="4" t="s">
        <v>37</v>
      </c>
      <c r="C488" s="4" t="str">
        <f>FEATURES!L488</f>
        <v>NORMAL</v>
      </c>
      <c r="D488" s="4" t="str">
        <f>FEATURES!R488</f>
        <v>LOW</v>
      </c>
      <c r="E488" s="4" t="str">
        <f>FEATURES!Q488</f>
        <v>DISENGAGED</v>
      </c>
      <c r="F488" s="4" t="str">
        <f>FEATURES!P488</f>
        <v>High_Pressure</v>
      </c>
      <c r="G488" s="4" t="str">
        <f>FEATURES!M488</f>
        <v>MEDIUM</v>
      </c>
      <c r="H488" s="4" t="str">
        <f>FEATURES!O488</f>
        <v>RECENTLY PROMOTED</v>
      </c>
      <c r="I488" s="4" t="str">
        <f t="shared" si="1"/>
        <v>LOW RISK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3.2" x14ac:dyDescent="0.25">
      <c r="A489" s="4">
        <v>657</v>
      </c>
      <c r="B489" s="4" t="s">
        <v>45</v>
      </c>
      <c r="C489" s="4" t="str">
        <f>FEATURES!L489</f>
        <v>NORMAL</v>
      </c>
      <c r="D489" s="4" t="str">
        <f>FEATURES!R489</f>
        <v>LOW</v>
      </c>
      <c r="E489" s="4" t="str">
        <f>FEATURES!Q489</f>
        <v>DISENGAGED</v>
      </c>
      <c r="F489" s="4" t="str">
        <f>FEATURES!P489</f>
        <v>Low_Pressure</v>
      </c>
      <c r="G489" s="4" t="str">
        <f>FEATURES!M489</f>
        <v>LOW</v>
      </c>
      <c r="H489" s="4" t="str">
        <f>FEATURES!O489</f>
        <v>RECENTLY PROMOTED</v>
      </c>
      <c r="I489" s="4" t="str">
        <f t="shared" si="1"/>
        <v>LOW RISK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3.2" x14ac:dyDescent="0.25">
      <c r="A490" s="4">
        <v>659</v>
      </c>
      <c r="B490" s="4" t="s">
        <v>45</v>
      </c>
      <c r="C490" s="4" t="str">
        <f>FEATURES!L490</f>
        <v>NORMAL</v>
      </c>
      <c r="D490" s="4" t="str">
        <f>FEATURES!R490</f>
        <v>LOW</v>
      </c>
      <c r="E490" s="4" t="str">
        <f>FEATURES!Q490</f>
        <v>HIGHLY_ENGAGED</v>
      </c>
      <c r="F490" s="4" t="str">
        <f>FEATURES!P490</f>
        <v>Medium_Pressure</v>
      </c>
      <c r="G490" s="4" t="str">
        <f>FEATURES!M490</f>
        <v>HIGH</v>
      </c>
      <c r="H490" s="4" t="str">
        <f>FEATURES!O490</f>
        <v>MODERATE-WAIT</v>
      </c>
      <c r="I490" s="4" t="str">
        <f t="shared" si="1"/>
        <v>LOW RISK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3.2" x14ac:dyDescent="0.25">
      <c r="A491" s="4">
        <v>661</v>
      </c>
      <c r="B491" s="4" t="s">
        <v>45</v>
      </c>
      <c r="C491" s="4" t="str">
        <f>FEATURES!L491</f>
        <v>NORMAL</v>
      </c>
      <c r="D491" s="4" t="str">
        <f>FEATURES!R491</f>
        <v>LOW</v>
      </c>
      <c r="E491" s="4" t="str">
        <f>FEATURES!Q491</f>
        <v>DISENGAGED</v>
      </c>
      <c r="F491" s="4" t="str">
        <f>FEATURES!P491</f>
        <v>High_Pressure</v>
      </c>
      <c r="G491" s="4" t="str">
        <f>FEATURES!M491</f>
        <v>MEDIUM</v>
      </c>
      <c r="H491" s="4" t="str">
        <f>FEATURES!O491</f>
        <v>RECENTLY PROMOTED</v>
      </c>
      <c r="I491" s="4" t="str">
        <f t="shared" si="1"/>
        <v>LOW RISK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3.2" x14ac:dyDescent="0.25">
      <c r="A492" s="4">
        <v>662</v>
      </c>
      <c r="B492" s="4" t="s">
        <v>45</v>
      </c>
      <c r="C492" s="4" t="str">
        <f>FEATURES!L492</f>
        <v>NORMAL</v>
      </c>
      <c r="D492" s="4" t="str">
        <f>FEATURES!R492</f>
        <v>LOW</v>
      </c>
      <c r="E492" s="4" t="str">
        <f>FEATURES!Q492</f>
        <v>DISENGAGED</v>
      </c>
      <c r="F492" s="4" t="str">
        <f>FEATURES!P492</f>
        <v>Low_Pressure</v>
      </c>
      <c r="G492" s="4" t="str">
        <f>FEATURES!M492</f>
        <v>LOW</v>
      </c>
      <c r="H492" s="4" t="str">
        <f>FEATURES!O492</f>
        <v>RECENTLY PROMOTED</v>
      </c>
      <c r="I492" s="4" t="str">
        <f t="shared" si="1"/>
        <v>LOW RISK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3.2" x14ac:dyDescent="0.25">
      <c r="A493" s="4">
        <v>663</v>
      </c>
      <c r="B493" s="4" t="s">
        <v>45</v>
      </c>
      <c r="C493" s="4" t="str">
        <f>FEATURES!L493</f>
        <v>NORMAL</v>
      </c>
      <c r="D493" s="4" t="str">
        <f>FEATURES!R493</f>
        <v>LOW</v>
      </c>
      <c r="E493" s="4" t="str">
        <f>FEATURES!Q493</f>
        <v>HIGHLY_ENGAGED</v>
      </c>
      <c r="F493" s="4" t="str">
        <f>FEATURES!P493</f>
        <v>Medium_Pressure</v>
      </c>
      <c r="G493" s="4" t="str">
        <f>FEATURES!M493</f>
        <v>HIGH</v>
      </c>
      <c r="H493" s="4" t="str">
        <f>FEATURES!O493</f>
        <v>STAGNANT</v>
      </c>
      <c r="I493" s="4" t="str">
        <f t="shared" si="1"/>
        <v>LOW RISK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3.2" x14ac:dyDescent="0.25">
      <c r="A494" s="4">
        <v>664</v>
      </c>
      <c r="B494" s="4" t="s">
        <v>45</v>
      </c>
      <c r="C494" s="4" t="str">
        <f>FEATURES!L494</f>
        <v>NORMAL</v>
      </c>
      <c r="D494" s="4" t="str">
        <f>FEATURES!R494</f>
        <v>LOW</v>
      </c>
      <c r="E494" s="4" t="str">
        <f>FEATURES!Q494</f>
        <v>DISENGAGED</v>
      </c>
      <c r="F494" s="4" t="str">
        <f>FEATURES!P494</f>
        <v>Low_Pressure</v>
      </c>
      <c r="G494" s="4" t="str">
        <f>FEATURES!M494</f>
        <v>MEDIUM</v>
      </c>
      <c r="H494" s="4" t="str">
        <f>FEATURES!O494</f>
        <v>RECENTLY PROMOTED</v>
      </c>
      <c r="I494" s="4" t="str">
        <f t="shared" si="1"/>
        <v>LOW RISK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3.2" x14ac:dyDescent="0.25">
      <c r="A495" s="4">
        <v>665</v>
      </c>
      <c r="B495" s="4" t="s">
        <v>61</v>
      </c>
      <c r="C495" s="4" t="str">
        <f>FEATURES!L495</f>
        <v>NORMAL</v>
      </c>
      <c r="D495" s="4" t="str">
        <f>FEATURES!R495</f>
        <v>LOW</v>
      </c>
      <c r="E495" s="4" t="str">
        <f>FEATURES!Q495</f>
        <v>HIGHLY_ENGAGED</v>
      </c>
      <c r="F495" s="4" t="str">
        <f>FEATURES!P495</f>
        <v>Low_Pressure</v>
      </c>
      <c r="G495" s="4" t="str">
        <f>FEATURES!M495</f>
        <v>HIGH</v>
      </c>
      <c r="H495" s="4" t="str">
        <f>FEATURES!O495</f>
        <v>RECENTLY PROMOTED</v>
      </c>
      <c r="I495" s="4" t="str">
        <f t="shared" si="1"/>
        <v>LOW RISK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3.2" x14ac:dyDescent="0.25">
      <c r="A496" s="4">
        <v>666</v>
      </c>
      <c r="B496" s="4" t="s">
        <v>37</v>
      </c>
      <c r="C496" s="4" t="str">
        <f>FEATURES!L496</f>
        <v>NORMAL</v>
      </c>
      <c r="D496" s="4" t="str">
        <f>FEATURES!R496</f>
        <v>LOW</v>
      </c>
      <c r="E496" s="4" t="str">
        <f>FEATURES!Q496</f>
        <v>HIGHLY_ENGAGED</v>
      </c>
      <c r="F496" s="4" t="str">
        <f>FEATURES!P496</f>
        <v>Medium_Pressure</v>
      </c>
      <c r="G496" s="4" t="str">
        <f>FEATURES!M496</f>
        <v>LOW</v>
      </c>
      <c r="H496" s="4" t="str">
        <f>FEATURES!O496</f>
        <v>RECENTLY PROMOTED</v>
      </c>
      <c r="I496" s="4" t="str">
        <f t="shared" si="1"/>
        <v>LOW RISK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3.2" x14ac:dyDescent="0.25">
      <c r="A497" s="4">
        <v>667</v>
      </c>
      <c r="B497" s="4" t="s">
        <v>37</v>
      </c>
      <c r="C497" s="4" t="str">
        <f>FEATURES!L497</f>
        <v>NORMAL</v>
      </c>
      <c r="D497" s="4" t="str">
        <f>FEATURES!R497</f>
        <v>LOW</v>
      </c>
      <c r="E497" s="4" t="str">
        <f>FEATURES!Q497</f>
        <v>DISENGAGED</v>
      </c>
      <c r="F497" s="4" t="str">
        <f>FEATURES!P497</f>
        <v>Medium_Pressure</v>
      </c>
      <c r="G497" s="4" t="str">
        <f>FEATURES!M497</f>
        <v>LOW</v>
      </c>
      <c r="H497" s="4" t="str">
        <f>FEATURES!O497</f>
        <v>RECENTLY PROMOTED</v>
      </c>
      <c r="I497" s="4" t="str">
        <f t="shared" si="1"/>
        <v>LOW RISK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3.2" x14ac:dyDescent="0.25">
      <c r="A498" s="4">
        <v>669</v>
      </c>
      <c r="B498" s="4" t="s">
        <v>37</v>
      </c>
      <c r="C498" s="4" t="str">
        <f>FEATURES!L498</f>
        <v>NORMAL</v>
      </c>
      <c r="D498" s="4" t="str">
        <f>FEATURES!R498</f>
        <v>LOW</v>
      </c>
      <c r="E498" s="4" t="str">
        <f>FEATURES!Q498</f>
        <v>HIGHLY_ENGAGED</v>
      </c>
      <c r="F498" s="4" t="str">
        <f>FEATURES!P498</f>
        <v>Medium_Pressure</v>
      </c>
      <c r="G498" s="4" t="str">
        <f>FEATURES!M498</f>
        <v>LOW</v>
      </c>
      <c r="H498" s="4" t="str">
        <f>FEATURES!O498</f>
        <v>RECENTLY PROMOTED</v>
      </c>
      <c r="I498" s="4" t="str">
        <f t="shared" si="1"/>
        <v>LOW RISK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3.2" x14ac:dyDescent="0.25">
      <c r="A499" s="4">
        <v>671</v>
      </c>
      <c r="B499" s="4" t="s">
        <v>45</v>
      </c>
      <c r="C499" s="4" t="str">
        <f>FEATURES!L499</f>
        <v>NORMAL</v>
      </c>
      <c r="D499" s="4" t="str">
        <f>FEATURES!R499</f>
        <v>LOW</v>
      </c>
      <c r="E499" s="4" t="str">
        <f>FEATURES!Q499</f>
        <v>HIGHLY_ENGAGED</v>
      </c>
      <c r="F499" s="4" t="str">
        <f>FEATURES!P499</f>
        <v>Medium_Pressure</v>
      </c>
      <c r="G499" s="4" t="str">
        <f>FEATURES!M499</f>
        <v>MEDIUM</v>
      </c>
      <c r="H499" s="4" t="str">
        <f>FEATURES!O499</f>
        <v>RECENTLY PROMOTED</v>
      </c>
      <c r="I499" s="4" t="str">
        <f t="shared" si="1"/>
        <v>LOW RISK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3.2" x14ac:dyDescent="0.25">
      <c r="A500" s="4">
        <v>675</v>
      </c>
      <c r="B500" s="4" t="s">
        <v>45</v>
      </c>
      <c r="C500" s="4" t="str">
        <f>FEATURES!L500</f>
        <v>NORMAL</v>
      </c>
      <c r="D500" s="4" t="str">
        <f>FEATURES!R500</f>
        <v>LOW</v>
      </c>
      <c r="E500" s="4" t="str">
        <f>FEATURES!Q500</f>
        <v>HIGHLY_ENGAGED</v>
      </c>
      <c r="F500" s="4" t="str">
        <f>FEATURES!P500</f>
        <v>Medium_Pressure</v>
      </c>
      <c r="G500" s="4" t="str">
        <f>FEATURES!M500</f>
        <v>LOW</v>
      </c>
      <c r="H500" s="4" t="str">
        <f>FEATURES!O500</f>
        <v>MODERATE-WAIT</v>
      </c>
      <c r="I500" s="4" t="str">
        <f t="shared" si="1"/>
        <v>LOW RISK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3.2" x14ac:dyDescent="0.25">
      <c r="A501" s="4">
        <v>677</v>
      </c>
      <c r="B501" s="4" t="s">
        <v>37</v>
      </c>
      <c r="C501" s="4" t="str">
        <f>FEATURES!L501</f>
        <v>NORMAL</v>
      </c>
      <c r="D501" s="4" t="str">
        <f>FEATURES!R501</f>
        <v>LOW</v>
      </c>
      <c r="E501" s="4" t="str">
        <f>FEATURES!Q501</f>
        <v>HIGHLY_ENGAGED</v>
      </c>
      <c r="F501" s="4" t="str">
        <f>FEATURES!P501</f>
        <v>Medium_Pressure</v>
      </c>
      <c r="G501" s="4" t="str">
        <f>FEATURES!M501</f>
        <v>HIGH</v>
      </c>
      <c r="H501" s="4" t="str">
        <f>FEATURES!O501</f>
        <v>RECENTLY PROMOTED</v>
      </c>
      <c r="I501" s="4" t="str">
        <f t="shared" si="1"/>
        <v>LOW RISK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3.2" x14ac:dyDescent="0.25">
      <c r="A502" s="4">
        <v>679</v>
      </c>
      <c r="B502" s="4" t="s">
        <v>45</v>
      </c>
      <c r="C502" s="4" t="str">
        <f>FEATURES!L502</f>
        <v>NORMAL</v>
      </c>
      <c r="D502" s="4" t="str">
        <f>FEATURES!R502</f>
        <v>LOW</v>
      </c>
      <c r="E502" s="4" t="str">
        <f>FEATURES!Q502</f>
        <v>DISENGAGED</v>
      </c>
      <c r="F502" s="4" t="str">
        <f>FEATURES!P502</f>
        <v>High_Pressure</v>
      </c>
      <c r="G502" s="4" t="str">
        <f>FEATURES!M502</f>
        <v>HIGH</v>
      </c>
      <c r="H502" s="4" t="str">
        <f>FEATURES!O502</f>
        <v>RECENTLY PROMOTED</v>
      </c>
      <c r="I502" s="4" t="str">
        <f t="shared" si="1"/>
        <v>LOW RISK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3.2" x14ac:dyDescent="0.25">
      <c r="A503" s="4">
        <v>680</v>
      </c>
      <c r="B503" s="4" t="s">
        <v>45</v>
      </c>
      <c r="C503" s="4" t="str">
        <f>FEATURES!L503</f>
        <v>NORMAL</v>
      </c>
      <c r="D503" s="4" t="str">
        <f>FEATURES!R503</f>
        <v>LOW</v>
      </c>
      <c r="E503" s="4" t="str">
        <f>FEATURES!Q503</f>
        <v>HIGHLY_ENGAGED</v>
      </c>
      <c r="F503" s="4" t="str">
        <f>FEATURES!P503</f>
        <v>Medium_Pressure</v>
      </c>
      <c r="G503" s="4" t="str">
        <f>FEATURES!M503</f>
        <v>LOW</v>
      </c>
      <c r="H503" s="4" t="str">
        <f>FEATURES!O503</f>
        <v>RECENTLY PROMOTED</v>
      </c>
      <c r="I503" s="4" t="str">
        <f t="shared" si="1"/>
        <v>LOW RISK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3.2" x14ac:dyDescent="0.25">
      <c r="A504" s="4">
        <v>682</v>
      </c>
      <c r="B504" s="4" t="s">
        <v>37</v>
      </c>
      <c r="C504" s="4" t="str">
        <f>FEATURES!L504</f>
        <v>NORMAL</v>
      </c>
      <c r="D504" s="4" t="str">
        <f>FEATURES!R504</f>
        <v>LOW</v>
      </c>
      <c r="E504" s="4" t="str">
        <f>FEATURES!Q504</f>
        <v>DISENGAGED</v>
      </c>
      <c r="F504" s="4" t="str">
        <f>FEATURES!P504</f>
        <v>Low_Pressure</v>
      </c>
      <c r="G504" s="4" t="str">
        <f>FEATURES!M504</f>
        <v>HIGH</v>
      </c>
      <c r="H504" s="4" t="str">
        <f>FEATURES!O504</f>
        <v>STAGNANT</v>
      </c>
      <c r="I504" s="4" t="str">
        <f t="shared" si="1"/>
        <v>LOW RISK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3.2" x14ac:dyDescent="0.25">
      <c r="A505" s="4">
        <v>683</v>
      </c>
      <c r="B505" s="4" t="s">
        <v>45</v>
      </c>
      <c r="C505" s="4" t="str">
        <f>FEATURES!L505</f>
        <v>NORMAL</v>
      </c>
      <c r="D505" s="4" t="str">
        <f>FEATURES!R505</f>
        <v>LOW</v>
      </c>
      <c r="E505" s="4" t="str">
        <f>FEATURES!Q505</f>
        <v>DISENGAGED</v>
      </c>
      <c r="F505" s="4" t="str">
        <f>FEATURES!P505</f>
        <v>Low_Pressure</v>
      </c>
      <c r="G505" s="4" t="str">
        <f>FEATURES!M505</f>
        <v>LOW</v>
      </c>
      <c r="H505" s="4" t="str">
        <f>FEATURES!O505</f>
        <v>STAGNANT</v>
      </c>
      <c r="I505" s="4" t="str">
        <f t="shared" si="1"/>
        <v>LOW RISK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3.2" x14ac:dyDescent="0.25">
      <c r="A506" s="4">
        <v>684</v>
      </c>
      <c r="B506" s="4" t="s">
        <v>37</v>
      </c>
      <c r="C506" s="4" t="str">
        <f>FEATURES!L506</f>
        <v>NORMAL</v>
      </c>
      <c r="D506" s="4" t="str">
        <f>FEATURES!R506</f>
        <v>LOW</v>
      </c>
      <c r="E506" s="4" t="str">
        <f>FEATURES!Q506</f>
        <v>DISENGAGED</v>
      </c>
      <c r="F506" s="4" t="str">
        <f>FEATURES!P506</f>
        <v>Medium_Pressure</v>
      </c>
      <c r="G506" s="4" t="str">
        <f>FEATURES!M506</f>
        <v>HIGH</v>
      </c>
      <c r="H506" s="4" t="str">
        <f>FEATURES!O506</f>
        <v>RECENTLY PROMOTED</v>
      </c>
      <c r="I506" s="4" t="str">
        <f t="shared" si="1"/>
        <v>LOW RISK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3.2" x14ac:dyDescent="0.25">
      <c r="A507" s="4">
        <v>686</v>
      </c>
      <c r="B507" s="4" t="s">
        <v>45</v>
      </c>
      <c r="C507" s="4" t="str">
        <f>FEATURES!L507</f>
        <v>NORMAL</v>
      </c>
      <c r="D507" s="4" t="str">
        <f>FEATURES!R507</f>
        <v>LOW</v>
      </c>
      <c r="E507" s="4" t="str">
        <f>FEATURES!Q507</f>
        <v>HIGHLY_ENGAGED</v>
      </c>
      <c r="F507" s="4" t="str">
        <f>FEATURES!P507</f>
        <v>Medium_Pressure</v>
      </c>
      <c r="G507" s="4" t="str">
        <f>FEATURES!M507</f>
        <v>LOW</v>
      </c>
      <c r="H507" s="4" t="str">
        <f>FEATURES!O507</f>
        <v>RECENTLY PROMOTED</v>
      </c>
      <c r="I507" s="4" t="str">
        <f t="shared" si="1"/>
        <v>LOW RISK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3.2" x14ac:dyDescent="0.25">
      <c r="A508" s="4">
        <v>689</v>
      </c>
      <c r="B508" s="4" t="s">
        <v>45</v>
      </c>
      <c r="C508" s="4" t="str">
        <f>FEATURES!L508</f>
        <v>NORMAL</v>
      </c>
      <c r="D508" s="4" t="str">
        <f>FEATURES!R508</f>
        <v>LOW</v>
      </c>
      <c r="E508" s="4" t="str">
        <f>FEATURES!Q508</f>
        <v>HIGHLY_ENGAGED</v>
      </c>
      <c r="F508" s="4" t="str">
        <f>FEATURES!P508</f>
        <v>Medium_Pressure</v>
      </c>
      <c r="G508" s="4" t="str">
        <f>FEATURES!M508</f>
        <v>MEDIUM</v>
      </c>
      <c r="H508" s="4" t="str">
        <f>FEATURES!O508</f>
        <v>STAGNANT</v>
      </c>
      <c r="I508" s="4" t="str">
        <f t="shared" si="1"/>
        <v>LOW RISK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3.2" x14ac:dyDescent="0.25">
      <c r="A509" s="4">
        <v>690</v>
      </c>
      <c r="B509" s="4" t="s">
        <v>37</v>
      </c>
      <c r="C509" s="4" t="str">
        <f>FEATURES!L509</f>
        <v>NORMAL</v>
      </c>
      <c r="D509" s="4" t="str">
        <f>FEATURES!R509</f>
        <v>LOW</v>
      </c>
      <c r="E509" s="4" t="str">
        <f>FEATURES!Q509</f>
        <v>DISENGAGED</v>
      </c>
      <c r="F509" s="4" t="str">
        <f>FEATURES!P509</f>
        <v>Low_Pressure</v>
      </c>
      <c r="G509" s="4" t="str">
        <f>FEATURES!M509</f>
        <v>HIGH</v>
      </c>
      <c r="H509" s="4" t="str">
        <f>FEATURES!O509</f>
        <v>RECENTLY PROMOTED</v>
      </c>
      <c r="I509" s="4" t="str">
        <f t="shared" si="1"/>
        <v>LOW RISK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3.2" x14ac:dyDescent="0.25">
      <c r="A510" s="4">
        <v>691</v>
      </c>
      <c r="B510" s="4" t="s">
        <v>45</v>
      </c>
      <c r="C510" s="4" t="str">
        <f>FEATURES!L510</f>
        <v>NORMAL</v>
      </c>
      <c r="D510" s="4" t="str">
        <f>FEATURES!R510</f>
        <v>LOW</v>
      </c>
      <c r="E510" s="4" t="str">
        <f>FEATURES!Q510</f>
        <v>HIGHLY_ENGAGED</v>
      </c>
      <c r="F510" s="4" t="str">
        <f>FEATURES!P510</f>
        <v>Medium_Pressure</v>
      </c>
      <c r="G510" s="4" t="str">
        <f>FEATURES!M510</f>
        <v>HIGH</v>
      </c>
      <c r="H510" s="4" t="str">
        <f>FEATURES!O510</f>
        <v>STAGNANT</v>
      </c>
      <c r="I510" s="4" t="str">
        <f t="shared" si="1"/>
        <v>LOW RISK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3.2" x14ac:dyDescent="0.25">
      <c r="A511" s="4">
        <v>692</v>
      </c>
      <c r="B511" s="4" t="s">
        <v>45</v>
      </c>
      <c r="C511" s="4" t="str">
        <f>FEATURES!L511</f>
        <v>NORMAL</v>
      </c>
      <c r="D511" s="4" t="str">
        <f>FEATURES!R511</f>
        <v>LOW</v>
      </c>
      <c r="E511" s="4" t="str">
        <f>FEATURES!Q511</f>
        <v>DISENGAGED</v>
      </c>
      <c r="F511" s="4" t="str">
        <f>FEATURES!P511</f>
        <v>Low_Pressure</v>
      </c>
      <c r="G511" s="4" t="str">
        <f>FEATURES!M511</f>
        <v>HIGH</v>
      </c>
      <c r="H511" s="4" t="str">
        <f>FEATURES!O511</f>
        <v>STAGNANT</v>
      </c>
      <c r="I511" s="4" t="str">
        <f t="shared" si="1"/>
        <v>LOW RISK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3.2" x14ac:dyDescent="0.25">
      <c r="A512" s="4">
        <v>698</v>
      </c>
      <c r="B512" s="4" t="s">
        <v>61</v>
      </c>
      <c r="C512" s="4" t="str">
        <f>FEATURES!L512</f>
        <v>NORMAL</v>
      </c>
      <c r="D512" s="4" t="str">
        <f>FEATURES!R512</f>
        <v>LOW</v>
      </c>
      <c r="E512" s="4" t="str">
        <f>FEATURES!Q512</f>
        <v>DISENGAGED</v>
      </c>
      <c r="F512" s="4" t="str">
        <f>FEATURES!P512</f>
        <v>Low_Pressure</v>
      </c>
      <c r="G512" s="4" t="str">
        <f>FEATURES!M512</f>
        <v>MEDIUM</v>
      </c>
      <c r="H512" s="4" t="str">
        <f>FEATURES!O512</f>
        <v>STAGNANT</v>
      </c>
      <c r="I512" s="4" t="str">
        <f t="shared" ref="I512:I766" si="2">IF(AND(C512="HIGH",D512="HIGH",E512="DISENGAGED",F512="HIGH_PRESSURE",G512="LOW",H512="STAGNANT"),"HIGH RISK",IF(AND(C512="NORMAL",D512="MEDIUM",E512="MODERATELY ENGAGED",G512="MEDIUM",H512="MODERATE WAIT"),"MEDIUM RISK", "LOW RISK"))</f>
        <v>LOW RISK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3.2" x14ac:dyDescent="0.25">
      <c r="A513" s="4">
        <v>699</v>
      </c>
      <c r="B513" s="4" t="s">
        <v>45</v>
      </c>
      <c r="C513" s="4" t="str">
        <f>FEATURES!L513</f>
        <v>NORMAL</v>
      </c>
      <c r="D513" s="4" t="str">
        <f>FEATURES!R513</f>
        <v>LOW</v>
      </c>
      <c r="E513" s="4" t="str">
        <f>FEATURES!Q513</f>
        <v>DISENGAGED</v>
      </c>
      <c r="F513" s="4" t="str">
        <f>FEATURES!P513</f>
        <v>Medium_Pressure</v>
      </c>
      <c r="G513" s="4" t="str">
        <f>FEATURES!M513</f>
        <v>HIGH</v>
      </c>
      <c r="H513" s="4" t="str">
        <f>FEATURES!O513</f>
        <v>RECENTLY PROMOTED</v>
      </c>
      <c r="I513" s="4" t="str">
        <f t="shared" si="2"/>
        <v>LOW RISK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3.2" x14ac:dyDescent="0.25">
      <c r="A514" s="4">
        <v>700</v>
      </c>
      <c r="B514" s="4" t="s">
        <v>45</v>
      </c>
      <c r="C514" s="4" t="str">
        <f>FEATURES!L514</f>
        <v>NORMAL</v>
      </c>
      <c r="D514" s="4" t="str">
        <f>FEATURES!R514</f>
        <v>LOW</v>
      </c>
      <c r="E514" s="4" t="str">
        <f>FEATURES!Q514</f>
        <v>HIGHLY_ENGAGED</v>
      </c>
      <c r="F514" s="4" t="str">
        <f>FEATURES!P514</f>
        <v>Medium_Pressure</v>
      </c>
      <c r="G514" s="4" t="str">
        <f>FEATURES!M514</f>
        <v>LOW</v>
      </c>
      <c r="H514" s="4" t="str">
        <f>FEATURES!O514</f>
        <v>RECENTLY PROMOTED</v>
      </c>
      <c r="I514" s="4" t="str">
        <f t="shared" si="2"/>
        <v>LOW RISK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3.2" x14ac:dyDescent="0.25">
      <c r="A515" s="4">
        <v>701</v>
      </c>
      <c r="B515" s="4" t="s">
        <v>45</v>
      </c>
      <c r="C515" s="4" t="str">
        <f>FEATURES!L515</f>
        <v>NORMAL</v>
      </c>
      <c r="D515" s="4" t="str">
        <f>FEATURES!R515</f>
        <v>LOW</v>
      </c>
      <c r="E515" s="4" t="str">
        <f>FEATURES!Q515</f>
        <v>HIGHLY_ENGAGED</v>
      </c>
      <c r="F515" s="4" t="str">
        <f>FEATURES!P515</f>
        <v>Medium_Pressure</v>
      </c>
      <c r="G515" s="4" t="str">
        <f>FEATURES!M515</f>
        <v>LOW</v>
      </c>
      <c r="H515" s="4" t="str">
        <f>FEATURES!O515</f>
        <v>RECENTLY PROMOTED</v>
      </c>
      <c r="I515" s="4" t="str">
        <f t="shared" si="2"/>
        <v>LOW RISK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3.2" x14ac:dyDescent="0.25">
      <c r="A516" s="4">
        <v>702</v>
      </c>
      <c r="B516" s="4" t="s">
        <v>45</v>
      </c>
      <c r="C516" s="4" t="str">
        <f>FEATURES!L516</f>
        <v>HIGH RISK</v>
      </c>
      <c r="D516" s="4" t="str">
        <f>FEATURES!R516</f>
        <v>LOW</v>
      </c>
      <c r="E516" s="4" t="str">
        <f>FEATURES!Q516</f>
        <v>DISENGAGED</v>
      </c>
      <c r="F516" s="4" t="str">
        <f>FEATURES!P516</f>
        <v>Medium_Pressure</v>
      </c>
      <c r="G516" s="4" t="str">
        <f>FEATURES!M516</f>
        <v>LOW</v>
      </c>
      <c r="H516" s="4" t="str">
        <f>FEATURES!O516</f>
        <v>STAGNANT</v>
      </c>
      <c r="I516" s="4" t="str">
        <f t="shared" si="2"/>
        <v>LOW RISK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3.2" x14ac:dyDescent="0.25">
      <c r="A517" s="4">
        <v>704</v>
      </c>
      <c r="B517" s="4" t="s">
        <v>45</v>
      </c>
      <c r="C517" s="4" t="str">
        <f>FEATURES!L517</f>
        <v>NORMAL</v>
      </c>
      <c r="D517" s="4" t="str">
        <f>FEATURES!R517</f>
        <v>LOW</v>
      </c>
      <c r="E517" s="4" t="str">
        <f>FEATURES!Q517</f>
        <v>HIGHLY_ENGAGED</v>
      </c>
      <c r="F517" s="4" t="str">
        <f>FEATURES!P517</f>
        <v>Medium_Pressure</v>
      </c>
      <c r="G517" s="4" t="str">
        <f>FEATURES!M517</f>
        <v>LOW</v>
      </c>
      <c r="H517" s="4" t="str">
        <f>FEATURES!O517</f>
        <v>RECENTLY PROMOTED</v>
      </c>
      <c r="I517" s="4" t="str">
        <f t="shared" si="2"/>
        <v>LOW RISK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3.2" x14ac:dyDescent="0.25">
      <c r="A518" s="4">
        <v>705</v>
      </c>
      <c r="B518" s="4" t="s">
        <v>45</v>
      </c>
      <c r="C518" s="4" t="str">
        <f>FEATURES!L518</f>
        <v>NORMAL</v>
      </c>
      <c r="D518" s="4" t="str">
        <f>FEATURES!R518</f>
        <v>LOW</v>
      </c>
      <c r="E518" s="4" t="str">
        <f>FEATURES!Q518</f>
        <v>DISENGAGED</v>
      </c>
      <c r="F518" s="4" t="str">
        <f>FEATURES!P518</f>
        <v>Low_Pressure</v>
      </c>
      <c r="G518" s="4" t="str">
        <f>FEATURES!M518</f>
        <v>LOW</v>
      </c>
      <c r="H518" s="4" t="str">
        <f>FEATURES!O518</f>
        <v>RECENTLY PROMOTED</v>
      </c>
      <c r="I518" s="4" t="str">
        <f t="shared" si="2"/>
        <v>LOW RISK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3.2" x14ac:dyDescent="0.25">
      <c r="A519" s="4">
        <v>707</v>
      </c>
      <c r="B519" s="4" t="s">
        <v>37</v>
      </c>
      <c r="C519" s="4" t="str">
        <f>FEATURES!L519</f>
        <v>NORMAL</v>
      </c>
      <c r="D519" s="4" t="str">
        <f>FEATURES!R519</f>
        <v>LOW</v>
      </c>
      <c r="E519" s="4" t="str">
        <f>FEATURES!Q519</f>
        <v>DISENGAGED</v>
      </c>
      <c r="F519" s="4" t="str">
        <f>FEATURES!P519</f>
        <v>Medium_Pressure</v>
      </c>
      <c r="G519" s="4" t="str">
        <f>FEATURES!M519</f>
        <v>HIGH</v>
      </c>
      <c r="H519" s="4" t="str">
        <f>FEATURES!O519</f>
        <v>RECENTLY PROMOTED</v>
      </c>
      <c r="I519" s="4" t="str">
        <f t="shared" si="2"/>
        <v>LOW RISK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3.2" x14ac:dyDescent="0.25">
      <c r="A520" s="4">
        <v>709</v>
      </c>
      <c r="B520" s="4" t="s">
        <v>37</v>
      </c>
      <c r="C520" s="4" t="str">
        <f>FEATURES!L520</f>
        <v>NORMAL</v>
      </c>
      <c r="D520" s="4" t="str">
        <f>FEATURES!R520</f>
        <v>LOW</v>
      </c>
      <c r="E520" s="4" t="str">
        <f>FEATURES!Q520</f>
        <v>HIGHLY_ENGAGED</v>
      </c>
      <c r="F520" s="4" t="str">
        <f>FEATURES!P520</f>
        <v>Medium_Pressure</v>
      </c>
      <c r="G520" s="4" t="str">
        <f>FEATURES!M520</f>
        <v>HIGH</v>
      </c>
      <c r="H520" s="4" t="str">
        <f>FEATURES!O520</f>
        <v>RECENTLY PROMOTED</v>
      </c>
      <c r="I520" s="4" t="str">
        <f t="shared" si="2"/>
        <v>LOW RISK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3.2" x14ac:dyDescent="0.25">
      <c r="A521" s="4">
        <v>710</v>
      </c>
      <c r="B521" s="4" t="s">
        <v>45</v>
      </c>
      <c r="C521" s="4" t="str">
        <f>FEATURES!L521</f>
        <v>NORMAL</v>
      </c>
      <c r="D521" s="4" t="str">
        <f>FEATURES!R521</f>
        <v>LOW</v>
      </c>
      <c r="E521" s="4" t="str">
        <f>FEATURES!Q521</f>
        <v>HIGHLY_ENGAGED</v>
      </c>
      <c r="F521" s="4" t="str">
        <f>FEATURES!P521</f>
        <v>Medium_Pressure</v>
      </c>
      <c r="G521" s="4" t="str">
        <f>FEATURES!M521</f>
        <v>LOW</v>
      </c>
      <c r="H521" s="4" t="str">
        <f>FEATURES!O521</f>
        <v>MODERATE-WAIT</v>
      </c>
      <c r="I521" s="4" t="str">
        <f t="shared" si="2"/>
        <v>LOW RISK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3.2" x14ac:dyDescent="0.25">
      <c r="A522" s="4">
        <v>712</v>
      </c>
      <c r="B522" s="4" t="s">
        <v>37</v>
      </c>
      <c r="C522" s="4" t="str">
        <f>FEATURES!L522</f>
        <v>NORMAL</v>
      </c>
      <c r="D522" s="4" t="str">
        <f>FEATURES!R522</f>
        <v>LOW</v>
      </c>
      <c r="E522" s="4" t="str">
        <f>FEATURES!Q522</f>
        <v>DISENGAGED</v>
      </c>
      <c r="F522" s="4" t="str">
        <f>FEATURES!P522</f>
        <v>Medium_Pressure</v>
      </c>
      <c r="G522" s="4" t="str">
        <f>FEATURES!M522</f>
        <v>HIGH</v>
      </c>
      <c r="H522" s="4" t="str">
        <f>FEATURES!O522</f>
        <v>MODERATE-WAIT</v>
      </c>
      <c r="I522" s="4" t="str">
        <f t="shared" si="2"/>
        <v>LOW RISK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3.2" x14ac:dyDescent="0.25">
      <c r="A523" s="4">
        <v>714</v>
      </c>
      <c r="B523" s="4" t="s">
        <v>37</v>
      </c>
      <c r="C523" s="4" t="str">
        <f>FEATURES!L523</f>
        <v>NORMAL</v>
      </c>
      <c r="D523" s="4" t="str">
        <f>FEATURES!R523</f>
        <v>LOW</v>
      </c>
      <c r="E523" s="4" t="str">
        <f>FEATURES!Q523</f>
        <v>HIGHLY_ENGAGED</v>
      </c>
      <c r="F523" s="4" t="str">
        <f>FEATURES!P523</f>
        <v>Medium_Pressure</v>
      </c>
      <c r="G523" s="4" t="str">
        <f>FEATURES!M523</f>
        <v>HIGH</v>
      </c>
      <c r="H523" s="4" t="str">
        <f>FEATURES!O523</f>
        <v>RECENTLY PROMOTED</v>
      </c>
      <c r="I523" s="4" t="str">
        <f t="shared" si="2"/>
        <v>LOW RISK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3.2" x14ac:dyDescent="0.25">
      <c r="A524" s="4">
        <v>715</v>
      </c>
      <c r="B524" s="4" t="s">
        <v>45</v>
      </c>
      <c r="C524" s="4" t="str">
        <f>FEATURES!L524</f>
        <v>NORMAL</v>
      </c>
      <c r="D524" s="4" t="str">
        <f>FEATURES!R524</f>
        <v>LOW</v>
      </c>
      <c r="E524" s="4" t="str">
        <f>FEATURES!Q524</f>
        <v>HIGHLY_ENGAGED</v>
      </c>
      <c r="F524" s="4" t="str">
        <f>FEATURES!P524</f>
        <v>Medium_Pressure</v>
      </c>
      <c r="G524" s="4" t="str">
        <f>FEATURES!M524</f>
        <v>HIGH</v>
      </c>
      <c r="H524" s="4" t="str">
        <f>FEATURES!O524</f>
        <v>RECENTLY PROMOTED</v>
      </c>
      <c r="I524" s="4" t="str">
        <f t="shared" si="2"/>
        <v>LOW RISK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3.2" x14ac:dyDescent="0.25">
      <c r="A525" s="4">
        <v>716</v>
      </c>
      <c r="B525" s="4" t="s">
        <v>45</v>
      </c>
      <c r="C525" s="4" t="str">
        <f>FEATURES!L525</f>
        <v>NORMAL</v>
      </c>
      <c r="D525" s="4" t="str">
        <f>FEATURES!R525</f>
        <v>LOW</v>
      </c>
      <c r="E525" s="4" t="str">
        <f>FEATURES!Q525</f>
        <v>HIGHLY_ENGAGED</v>
      </c>
      <c r="F525" s="4" t="str">
        <f>FEATURES!P525</f>
        <v>Medium_Pressure</v>
      </c>
      <c r="G525" s="4" t="str">
        <f>FEATURES!M525</f>
        <v>LOW</v>
      </c>
      <c r="H525" s="4" t="str">
        <f>FEATURES!O525</f>
        <v>MODERATE-WAIT</v>
      </c>
      <c r="I525" s="4" t="str">
        <f t="shared" si="2"/>
        <v>LOW RISK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3.2" x14ac:dyDescent="0.25">
      <c r="A526" s="4">
        <v>717</v>
      </c>
      <c r="B526" s="4" t="s">
        <v>45</v>
      </c>
      <c r="C526" s="4" t="str">
        <f>FEATURES!L526</f>
        <v>NORMAL</v>
      </c>
      <c r="D526" s="4" t="str">
        <f>FEATURES!R526</f>
        <v>LOW</v>
      </c>
      <c r="E526" s="4" t="str">
        <f>FEATURES!Q526</f>
        <v>DISENGAGED</v>
      </c>
      <c r="F526" s="4" t="str">
        <f>FEATURES!P526</f>
        <v>Low_Pressure</v>
      </c>
      <c r="G526" s="4" t="str">
        <f>FEATURES!M526</f>
        <v>HIGH</v>
      </c>
      <c r="H526" s="4" t="str">
        <f>FEATURES!O526</f>
        <v>STAGNANT</v>
      </c>
      <c r="I526" s="4" t="str">
        <f t="shared" si="2"/>
        <v>LOW RISK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3.2" x14ac:dyDescent="0.25">
      <c r="A527" s="4">
        <v>720</v>
      </c>
      <c r="B527" s="4" t="s">
        <v>37</v>
      </c>
      <c r="C527" s="4" t="str">
        <f>FEATURES!L527</f>
        <v>NORMAL</v>
      </c>
      <c r="D527" s="4" t="str">
        <f>FEATURES!R527</f>
        <v>LOW</v>
      </c>
      <c r="E527" s="4" t="str">
        <f>FEATURES!Q527</f>
        <v>HIGHLY_ENGAGED</v>
      </c>
      <c r="F527" s="4" t="str">
        <f>FEATURES!P527</f>
        <v>Medium_Pressure</v>
      </c>
      <c r="G527" s="4" t="str">
        <f>FEATURES!M527</f>
        <v>HIGH</v>
      </c>
      <c r="H527" s="4" t="str">
        <f>FEATURES!O527</f>
        <v>MODERATE-WAIT</v>
      </c>
      <c r="I527" s="4" t="str">
        <f t="shared" si="2"/>
        <v>LOW RISK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3.2" x14ac:dyDescent="0.25">
      <c r="A528" s="4">
        <v>721</v>
      </c>
      <c r="B528" s="4" t="s">
        <v>45</v>
      </c>
      <c r="C528" s="4" t="str">
        <f>FEATURES!L528</f>
        <v>NORMAL</v>
      </c>
      <c r="D528" s="4" t="str">
        <f>FEATURES!R528</f>
        <v>LOW</v>
      </c>
      <c r="E528" s="4" t="str">
        <f>FEATURES!Q528</f>
        <v>HIGHLY_ENGAGED</v>
      </c>
      <c r="F528" s="4" t="str">
        <f>FEATURES!P528</f>
        <v>Medium_Pressure</v>
      </c>
      <c r="G528" s="4" t="str">
        <f>FEATURES!M528</f>
        <v>HIGH</v>
      </c>
      <c r="H528" s="4" t="str">
        <f>FEATURES!O528</f>
        <v>STAGNANT</v>
      </c>
      <c r="I528" s="4" t="str">
        <f t="shared" si="2"/>
        <v>LOW RISK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3.2" x14ac:dyDescent="0.25">
      <c r="A529" s="4">
        <v>722</v>
      </c>
      <c r="B529" s="4" t="s">
        <v>37</v>
      </c>
      <c r="C529" s="4" t="str">
        <f>FEATURES!L529</f>
        <v>NORMAL</v>
      </c>
      <c r="D529" s="4" t="str">
        <f>FEATURES!R529</f>
        <v>LOW</v>
      </c>
      <c r="E529" s="4" t="str">
        <f>FEATURES!Q529</f>
        <v>DISENGAGED</v>
      </c>
      <c r="F529" s="4" t="str">
        <f>FEATURES!P529</f>
        <v>Low_Pressure</v>
      </c>
      <c r="G529" s="4" t="str">
        <f>FEATURES!M529</f>
        <v>HIGH</v>
      </c>
      <c r="H529" s="4" t="str">
        <f>FEATURES!O529</f>
        <v>RECENTLY PROMOTED</v>
      </c>
      <c r="I529" s="4" t="str">
        <f t="shared" si="2"/>
        <v>LOW RISK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3.2" x14ac:dyDescent="0.25">
      <c r="A530" s="4">
        <v>723</v>
      </c>
      <c r="B530" s="4" t="s">
        <v>37</v>
      </c>
      <c r="C530" s="4" t="str">
        <f>FEATURES!L530</f>
        <v>NORMAL</v>
      </c>
      <c r="D530" s="4" t="str">
        <f>FEATURES!R530</f>
        <v>LOW</v>
      </c>
      <c r="E530" s="4" t="str">
        <f>FEATURES!Q530</f>
        <v>HIGHLY_ENGAGED</v>
      </c>
      <c r="F530" s="4" t="str">
        <f>FEATURES!P530</f>
        <v>Medium_Pressure</v>
      </c>
      <c r="G530" s="4" t="str">
        <f>FEATURES!M530</f>
        <v>HIGH</v>
      </c>
      <c r="H530" s="4" t="str">
        <f>FEATURES!O530</f>
        <v>RECENTLY PROMOTED</v>
      </c>
      <c r="I530" s="4" t="str">
        <f t="shared" si="2"/>
        <v>LOW RISK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3.2" x14ac:dyDescent="0.25">
      <c r="A531" s="4">
        <v>724</v>
      </c>
      <c r="B531" s="4" t="s">
        <v>45</v>
      </c>
      <c r="C531" s="4" t="str">
        <f>FEATURES!L531</f>
        <v>NORMAL</v>
      </c>
      <c r="D531" s="4" t="str">
        <f>FEATURES!R531</f>
        <v>LOW</v>
      </c>
      <c r="E531" s="4" t="str">
        <f>FEATURES!Q531</f>
        <v>DISENGAGED</v>
      </c>
      <c r="F531" s="4" t="str">
        <f>FEATURES!P531</f>
        <v>Low_Pressure</v>
      </c>
      <c r="G531" s="4" t="str">
        <f>FEATURES!M531</f>
        <v>HIGH</v>
      </c>
      <c r="H531" s="4" t="str">
        <f>FEATURES!O531</f>
        <v>RECENTLY PROMOTED</v>
      </c>
      <c r="I531" s="4" t="str">
        <f t="shared" si="2"/>
        <v>LOW RISK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3.2" x14ac:dyDescent="0.25">
      <c r="A532" s="4">
        <v>725</v>
      </c>
      <c r="B532" s="4" t="s">
        <v>45</v>
      </c>
      <c r="C532" s="4" t="str">
        <f>FEATURES!L532</f>
        <v>NORMAL</v>
      </c>
      <c r="D532" s="4" t="str">
        <f>FEATURES!R532</f>
        <v>LOW</v>
      </c>
      <c r="E532" s="4" t="str">
        <f>FEATURES!Q532</f>
        <v>DISENGAGED</v>
      </c>
      <c r="F532" s="4" t="str">
        <f>FEATURES!P532</f>
        <v>Medium_Pressure</v>
      </c>
      <c r="G532" s="4" t="str">
        <f>FEATURES!M532</f>
        <v>HIGH</v>
      </c>
      <c r="H532" s="4" t="str">
        <f>FEATURES!O532</f>
        <v>RECENTLY PROMOTED</v>
      </c>
      <c r="I532" s="4" t="str">
        <f t="shared" si="2"/>
        <v>LOW RISK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3.2" x14ac:dyDescent="0.25">
      <c r="A533" s="4">
        <v>727</v>
      </c>
      <c r="B533" s="4" t="s">
        <v>45</v>
      </c>
      <c r="C533" s="4" t="str">
        <f>FEATURES!L533</f>
        <v>NORMAL</v>
      </c>
      <c r="D533" s="4" t="str">
        <f>FEATURES!R533</f>
        <v>LOW</v>
      </c>
      <c r="E533" s="4" t="str">
        <f>FEATURES!Q533</f>
        <v>HIGHLY_ENGAGED</v>
      </c>
      <c r="F533" s="4" t="str">
        <f>FEATURES!P533</f>
        <v>Medium_Pressure</v>
      </c>
      <c r="G533" s="4" t="str">
        <f>FEATURES!M533</f>
        <v>MEDIUM</v>
      </c>
      <c r="H533" s="4" t="str">
        <f>FEATURES!O533</f>
        <v>STAGNANT</v>
      </c>
      <c r="I533" s="4" t="str">
        <f t="shared" si="2"/>
        <v>LOW RISK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3.2" x14ac:dyDescent="0.25">
      <c r="A534" s="4">
        <v>728</v>
      </c>
      <c r="B534" s="4" t="s">
        <v>37</v>
      </c>
      <c r="C534" s="4" t="str">
        <f>FEATURES!L534</f>
        <v>NORMAL</v>
      </c>
      <c r="D534" s="4" t="str">
        <f>FEATURES!R534</f>
        <v>LOW</v>
      </c>
      <c r="E534" s="4" t="str">
        <f>FEATURES!Q534</f>
        <v>DISENGAGED</v>
      </c>
      <c r="F534" s="4" t="str">
        <f>FEATURES!P534</f>
        <v>Medium_Pressure</v>
      </c>
      <c r="G534" s="4" t="str">
        <f>FEATURES!M534</f>
        <v>HIGH</v>
      </c>
      <c r="H534" s="4" t="str">
        <f>FEATURES!O534</f>
        <v>RECENTLY PROMOTED</v>
      </c>
      <c r="I534" s="4" t="str">
        <f t="shared" si="2"/>
        <v>LOW RISK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3.2" x14ac:dyDescent="0.25">
      <c r="A535" s="4">
        <v>729</v>
      </c>
      <c r="B535" s="4" t="s">
        <v>37</v>
      </c>
      <c r="C535" s="4" t="str">
        <f>FEATURES!L535</f>
        <v>NORMAL</v>
      </c>
      <c r="D535" s="4" t="str">
        <f>FEATURES!R535</f>
        <v>LOW</v>
      </c>
      <c r="E535" s="4" t="str">
        <f>FEATURES!Q535</f>
        <v>DISENGAGED</v>
      </c>
      <c r="F535" s="4" t="str">
        <f>FEATURES!P535</f>
        <v>Medium_Pressure</v>
      </c>
      <c r="G535" s="4" t="str">
        <f>FEATURES!M535</f>
        <v>MEDIUM</v>
      </c>
      <c r="H535" s="4" t="str">
        <f>FEATURES!O535</f>
        <v>RECENTLY PROMOTED</v>
      </c>
      <c r="I535" s="4" t="str">
        <f t="shared" si="2"/>
        <v>LOW RISK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3.2" x14ac:dyDescent="0.25">
      <c r="A536" s="4">
        <v>730</v>
      </c>
      <c r="B536" s="4" t="s">
        <v>45</v>
      </c>
      <c r="C536" s="4" t="str">
        <f>FEATURES!L536</f>
        <v>NORMAL</v>
      </c>
      <c r="D536" s="4" t="str">
        <f>FEATURES!R536</f>
        <v>LOW</v>
      </c>
      <c r="E536" s="4" t="str">
        <f>FEATURES!Q536</f>
        <v>HIGHLY_ENGAGED</v>
      </c>
      <c r="F536" s="4" t="str">
        <f>FEATURES!P536</f>
        <v>Medium_Pressure</v>
      </c>
      <c r="G536" s="4" t="str">
        <f>FEATURES!M536</f>
        <v>MEDIUM</v>
      </c>
      <c r="H536" s="4" t="str">
        <f>FEATURES!O536</f>
        <v>RECENTLY PROMOTED</v>
      </c>
      <c r="I536" s="4" t="str">
        <f t="shared" si="2"/>
        <v>LOW RISK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3.2" x14ac:dyDescent="0.25">
      <c r="A537" s="4">
        <v>731</v>
      </c>
      <c r="B537" s="4" t="s">
        <v>61</v>
      </c>
      <c r="C537" s="4" t="str">
        <f>FEATURES!L537</f>
        <v>NORMAL</v>
      </c>
      <c r="D537" s="4" t="str">
        <f>FEATURES!R537</f>
        <v>LOW</v>
      </c>
      <c r="E537" s="4" t="str">
        <f>FEATURES!Q537</f>
        <v>DISENGAGED</v>
      </c>
      <c r="F537" s="4" t="str">
        <f>FEATURES!P537</f>
        <v>Low_Pressure</v>
      </c>
      <c r="G537" s="4" t="str">
        <f>FEATURES!M537</f>
        <v>MEDIUM</v>
      </c>
      <c r="H537" s="4" t="str">
        <f>FEATURES!O537</f>
        <v>STAGNANT</v>
      </c>
      <c r="I537" s="4" t="str">
        <f t="shared" si="2"/>
        <v>LOW RISK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3.2" x14ac:dyDescent="0.25">
      <c r="A538" s="4">
        <v>732</v>
      </c>
      <c r="B538" s="4" t="s">
        <v>37</v>
      </c>
      <c r="C538" s="4" t="str">
        <f>FEATURES!L538</f>
        <v>NORMAL</v>
      </c>
      <c r="D538" s="4" t="str">
        <f>FEATURES!R538</f>
        <v>LOW</v>
      </c>
      <c r="E538" s="4" t="str">
        <f>FEATURES!Q538</f>
        <v>DISENGAGED</v>
      </c>
      <c r="F538" s="4" t="str">
        <f>FEATURES!P538</f>
        <v>Medium_Pressure</v>
      </c>
      <c r="G538" s="4" t="str">
        <f>FEATURES!M538</f>
        <v>HIGH</v>
      </c>
      <c r="H538" s="4" t="str">
        <f>FEATURES!O538</f>
        <v>MODERATE-WAIT</v>
      </c>
      <c r="I538" s="4" t="str">
        <f t="shared" si="2"/>
        <v>LOW RISK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3.2" x14ac:dyDescent="0.25">
      <c r="A539" s="4">
        <v>733</v>
      </c>
      <c r="B539" s="4" t="s">
        <v>45</v>
      </c>
      <c r="C539" s="4" t="str">
        <f>FEATURES!L539</f>
        <v>NORMAL</v>
      </c>
      <c r="D539" s="4" t="str">
        <f>FEATURES!R539</f>
        <v>LOW</v>
      </c>
      <c r="E539" s="4" t="str">
        <f>FEATURES!Q539</f>
        <v>DISENGAGED</v>
      </c>
      <c r="F539" s="4" t="str">
        <f>FEATURES!P539</f>
        <v>Low_Pressure</v>
      </c>
      <c r="G539" s="4" t="str">
        <f>FEATURES!M539</f>
        <v>HIGH</v>
      </c>
      <c r="H539" s="4" t="str">
        <f>FEATURES!O539</f>
        <v>RECENTLY PROMOTED</v>
      </c>
      <c r="I539" s="4" t="str">
        <f t="shared" si="2"/>
        <v>LOW RISK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3.2" x14ac:dyDescent="0.25">
      <c r="A540" s="4">
        <v>734</v>
      </c>
      <c r="B540" s="4" t="s">
        <v>61</v>
      </c>
      <c r="C540" s="4" t="str">
        <f>FEATURES!L540</f>
        <v>NORMAL</v>
      </c>
      <c r="D540" s="4" t="str">
        <f>FEATURES!R540</f>
        <v>LOW</v>
      </c>
      <c r="E540" s="4" t="str">
        <f>FEATURES!Q540</f>
        <v>HIGHLY_ENGAGED</v>
      </c>
      <c r="F540" s="4" t="str">
        <f>FEATURES!P540</f>
        <v>Medium_Pressure</v>
      </c>
      <c r="G540" s="4" t="str">
        <f>FEATURES!M540</f>
        <v>MEDIUM</v>
      </c>
      <c r="H540" s="4" t="str">
        <f>FEATURES!O540</f>
        <v>MODERATE-WAIT</v>
      </c>
      <c r="I540" s="4" t="str">
        <f t="shared" si="2"/>
        <v>LOW RISK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3.2" x14ac:dyDescent="0.25">
      <c r="A541" s="4">
        <v>738</v>
      </c>
      <c r="B541" s="4" t="s">
        <v>37</v>
      </c>
      <c r="C541" s="4" t="str">
        <f>FEATURES!L541</f>
        <v>NORMAL</v>
      </c>
      <c r="D541" s="4" t="str">
        <f>FEATURES!R541</f>
        <v>LOW</v>
      </c>
      <c r="E541" s="4" t="str">
        <f>FEATURES!Q541</f>
        <v>DISENGAGED</v>
      </c>
      <c r="F541" s="4" t="str">
        <f>FEATURES!P541</f>
        <v>Medium_Pressure</v>
      </c>
      <c r="G541" s="4" t="str">
        <f>FEATURES!M541</f>
        <v>LOW</v>
      </c>
      <c r="H541" s="4" t="str">
        <f>FEATURES!O541</f>
        <v>MODERATE-WAIT</v>
      </c>
      <c r="I541" s="4" t="str">
        <f t="shared" si="2"/>
        <v>LOW RISK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3.2" x14ac:dyDescent="0.25">
      <c r="A542" s="4">
        <v>741</v>
      </c>
      <c r="B542" s="4" t="s">
        <v>45</v>
      </c>
      <c r="C542" s="4" t="str">
        <f>FEATURES!L542</f>
        <v>HIGH RISK</v>
      </c>
      <c r="D542" s="4" t="str">
        <f>FEATURES!R542</f>
        <v>LOW</v>
      </c>
      <c r="E542" s="4" t="str">
        <f>FEATURES!Q542</f>
        <v>DISENGAGED</v>
      </c>
      <c r="F542" s="4" t="str">
        <f>FEATURES!P542</f>
        <v>Medium_Pressure</v>
      </c>
      <c r="G542" s="4" t="str">
        <f>FEATURES!M542</f>
        <v>LOW</v>
      </c>
      <c r="H542" s="4" t="str">
        <f>FEATURES!O542</f>
        <v>MODERATE-WAIT</v>
      </c>
      <c r="I542" s="4" t="str">
        <f t="shared" si="2"/>
        <v>LOW RISK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3.2" x14ac:dyDescent="0.25">
      <c r="A543" s="4">
        <v>742</v>
      </c>
      <c r="B543" s="4" t="s">
        <v>45</v>
      </c>
      <c r="C543" s="4" t="str">
        <f>FEATURES!L543</f>
        <v>NORMAL</v>
      </c>
      <c r="D543" s="4" t="str">
        <f>FEATURES!R543</f>
        <v>LOW</v>
      </c>
      <c r="E543" s="4" t="str">
        <f>FEATURES!Q543</f>
        <v>DISENGAGED</v>
      </c>
      <c r="F543" s="4" t="str">
        <f>FEATURES!P543</f>
        <v>Medium_Pressure</v>
      </c>
      <c r="G543" s="4" t="str">
        <f>FEATURES!M543</f>
        <v>MEDIUM</v>
      </c>
      <c r="H543" s="4" t="str">
        <f>FEATURES!O543</f>
        <v>RECENTLY PROMOTED</v>
      </c>
      <c r="I543" s="4" t="str">
        <f t="shared" si="2"/>
        <v>LOW RISK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3.2" x14ac:dyDescent="0.25">
      <c r="A544" s="4">
        <v>743</v>
      </c>
      <c r="B544" s="4" t="s">
        <v>45</v>
      </c>
      <c r="C544" s="4" t="str">
        <f>FEATURES!L544</f>
        <v>NORMAL</v>
      </c>
      <c r="D544" s="4" t="str">
        <f>FEATURES!R544</f>
        <v>LOW</v>
      </c>
      <c r="E544" s="4" t="str">
        <f>FEATURES!Q544</f>
        <v>HIGHLY_ENGAGED</v>
      </c>
      <c r="F544" s="4" t="str">
        <f>FEATURES!P544</f>
        <v>Medium_Pressure</v>
      </c>
      <c r="G544" s="4" t="str">
        <f>FEATURES!M544</f>
        <v>HIGH</v>
      </c>
      <c r="H544" s="4" t="str">
        <f>FEATURES!O544</f>
        <v>RECENTLY PROMOTED</v>
      </c>
      <c r="I544" s="4" t="str">
        <f t="shared" si="2"/>
        <v>LOW RISK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3.2" x14ac:dyDescent="0.25">
      <c r="A545" s="4">
        <v>744</v>
      </c>
      <c r="B545" s="4" t="s">
        <v>45</v>
      </c>
      <c r="C545" s="4" t="str">
        <f>FEATURES!L545</f>
        <v>NORMAL</v>
      </c>
      <c r="D545" s="4" t="str">
        <f>FEATURES!R545</f>
        <v>LOW</v>
      </c>
      <c r="E545" s="4" t="str">
        <f>FEATURES!Q545</f>
        <v>HIGHLY_ENGAGED</v>
      </c>
      <c r="F545" s="4" t="str">
        <f>FEATURES!P545</f>
        <v>Medium_Pressure</v>
      </c>
      <c r="G545" s="4" t="str">
        <f>FEATURES!M545</f>
        <v>LOW</v>
      </c>
      <c r="H545" s="4" t="str">
        <f>FEATURES!O545</f>
        <v>RECENTLY PROMOTED</v>
      </c>
      <c r="I545" s="4" t="str">
        <f t="shared" si="2"/>
        <v>LOW RISK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3.2" x14ac:dyDescent="0.25">
      <c r="A546" s="4">
        <v>746</v>
      </c>
      <c r="B546" s="4" t="s">
        <v>37</v>
      </c>
      <c r="C546" s="4" t="str">
        <f>FEATURES!L546</f>
        <v>NORMAL</v>
      </c>
      <c r="D546" s="4" t="str">
        <f>FEATURES!R546</f>
        <v>LOW</v>
      </c>
      <c r="E546" s="4" t="str">
        <f>FEATURES!Q546</f>
        <v>DISENGAGED</v>
      </c>
      <c r="F546" s="4" t="str">
        <f>FEATURES!P546</f>
        <v>High_Pressure</v>
      </c>
      <c r="G546" s="4" t="str">
        <f>FEATURES!M546</f>
        <v>MEDIUM</v>
      </c>
      <c r="H546" s="4" t="str">
        <f>FEATURES!O546</f>
        <v>STAGNANT</v>
      </c>
      <c r="I546" s="4" t="str">
        <f t="shared" si="2"/>
        <v>LOW RISK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3.2" x14ac:dyDescent="0.25">
      <c r="A547" s="4">
        <v>747</v>
      </c>
      <c r="B547" s="4" t="s">
        <v>37</v>
      </c>
      <c r="C547" s="4" t="str">
        <f>FEATURES!L547</f>
        <v>NORMAL</v>
      </c>
      <c r="D547" s="4" t="str">
        <f>FEATURES!R547</f>
        <v>LOW</v>
      </c>
      <c r="E547" s="4" t="str">
        <f>FEATURES!Q547</f>
        <v>DISENGAGED</v>
      </c>
      <c r="F547" s="4" t="str">
        <f>FEATURES!P547</f>
        <v>Low_Pressure</v>
      </c>
      <c r="G547" s="4" t="str">
        <f>FEATURES!M547</f>
        <v>HIGH</v>
      </c>
      <c r="H547" s="4" t="str">
        <f>FEATURES!O547</f>
        <v>STAGNANT</v>
      </c>
      <c r="I547" s="4" t="str">
        <f t="shared" si="2"/>
        <v>LOW RISK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3.2" x14ac:dyDescent="0.25">
      <c r="A548" s="4">
        <v>749</v>
      </c>
      <c r="B548" s="4" t="s">
        <v>37</v>
      </c>
      <c r="C548" s="4" t="str">
        <f>FEATURES!L548</f>
        <v>NORMAL</v>
      </c>
      <c r="D548" s="4" t="str">
        <f>FEATURES!R548</f>
        <v>LOW</v>
      </c>
      <c r="E548" s="4" t="str">
        <f>FEATURES!Q548</f>
        <v>HIGHLY_ENGAGED</v>
      </c>
      <c r="F548" s="4" t="str">
        <f>FEATURES!P548</f>
        <v>Medium_Pressure</v>
      </c>
      <c r="G548" s="4" t="str">
        <f>FEATURES!M548</f>
        <v>LOW</v>
      </c>
      <c r="H548" s="4" t="str">
        <f>FEATURES!O548</f>
        <v>RECENTLY PROMOTED</v>
      </c>
      <c r="I548" s="4" t="str">
        <f t="shared" si="2"/>
        <v>LOW RISK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3.2" x14ac:dyDescent="0.25">
      <c r="A549" s="4">
        <v>752</v>
      </c>
      <c r="B549" s="4" t="s">
        <v>45</v>
      </c>
      <c r="C549" s="4" t="str">
        <f>FEATURES!L549</f>
        <v>NORMAL</v>
      </c>
      <c r="D549" s="4" t="str">
        <f>FEATURES!R549</f>
        <v>LOW</v>
      </c>
      <c r="E549" s="4" t="str">
        <f>FEATURES!Q549</f>
        <v>HIGHLY_ENGAGED</v>
      </c>
      <c r="F549" s="4" t="str">
        <f>FEATURES!P549</f>
        <v>Medium_Pressure</v>
      </c>
      <c r="G549" s="4" t="str">
        <f>FEATURES!M549</f>
        <v>LOW</v>
      </c>
      <c r="H549" s="4" t="str">
        <f>FEATURES!O549</f>
        <v>MODERATE-WAIT</v>
      </c>
      <c r="I549" s="4" t="str">
        <f t="shared" si="2"/>
        <v>LOW RISK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3.2" x14ac:dyDescent="0.25">
      <c r="A550" s="4">
        <v>754</v>
      </c>
      <c r="B550" s="4" t="s">
        <v>37</v>
      </c>
      <c r="C550" s="4" t="str">
        <f>FEATURES!L550</f>
        <v>NORMAL</v>
      </c>
      <c r="D550" s="4" t="str">
        <f>FEATURES!R550</f>
        <v>LOW</v>
      </c>
      <c r="E550" s="4" t="str">
        <f>FEATURES!Q550</f>
        <v>HIGHLY_ENGAGED</v>
      </c>
      <c r="F550" s="4" t="str">
        <f>FEATURES!P550</f>
        <v>Medium_Pressure</v>
      </c>
      <c r="G550" s="4" t="str">
        <f>FEATURES!M550</f>
        <v>HIGH</v>
      </c>
      <c r="H550" s="4" t="str">
        <f>FEATURES!O550</f>
        <v>MODERATE-WAIT</v>
      </c>
      <c r="I550" s="4" t="str">
        <f t="shared" si="2"/>
        <v>LOW RISK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3.2" x14ac:dyDescent="0.25">
      <c r="A551" s="4">
        <v>757</v>
      </c>
      <c r="B551" s="4" t="s">
        <v>45</v>
      </c>
      <c r="C551" s="4" t="str">
        <f>FEATURES!L551</f>
        <v>NORMAL</v>
      </c>
      <c r="D551" s="4" t="str">
        <f>FEATURES!R551</f>
        <v>LOW</v>
      </c>
      <c r="E551" s="4" t="str">
        <f>FEATURES!Q551</f>
        <v>HIGHLY_ENGAGED</v>
      </c>
      <c r="F551" s="4" t="str">
        <f>FEATURES!P551</f>
        <v>Medium_Pressure</v>
      </c>
      <c r="G551" s="4" t="str">
        <f>FEATURES!M551</f>
        <v>HIGH</v>
      </c>
      <c r="H551" s="4" t="str">
        <f>FEATURES!O551</f>
        <v>STAGNANT</v>
      </c>
      <c r="I551" s="4" t="str">
        <f t="shared" si="2"/>
        <v>LOW RISK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3.2" x14ac:dyDescent="0.25">
      <c r="A552" s="4">
        <v>758</v>
      </c>
      <c r="B552" s="4" t="s">
        <v>45</v>
      </c>
      <c r="C552" s="4" t="str">
        <f>FEATURES!L552</f>
        <v>NORMAL</v>
      </c>
      <c r="D552" s="4" t="str">
        <f>FEATURES!R552</f>
        <v>LOW</v>
      </c>
      <c r="E552" s="4" t="str">
        <f>FEATURES!Q552</f>
        <v>DISENGAGED</v>
      </c>
      <c r="F552" s="4" t="str">
        <f>FEATURES!P552</f>
        <v>Low_Pressure</v>
      </c>
      <c r="G552" s="4" t="str">
        <f>FEATURES!M552</f>
        <v>LOW</v>
      </c>
      <c r="H552" s="4" t="str">
        <f>FEATURES!O552</f>
        <v>RECENTLY PROMOTED</v>
      </c>
      <c r="I552" s="4" t="str">
        <f t="shared" si="2"/>
        <v>LOW RISK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3.2" x14ac:dyDescent="0.25">
      <c r="A553" s="4">
        <v>760</v>
      </c>
      <c r="B553" s="4" t="s">
        <v>61</v>
      </c>
      <c r="C553" s="4" t="str">
        <f>FEATURES!L553</f>
        <v>NORMAL</v>
      </c>
      <c r="D553" s="4" t="str">
        <f>FEATURES!R553</f>
        <v>LOW</v>
      </c>
      <c r="E553" s="4" t="str">
        <f>FEATURES!Q553</f>
        <v>DISENGAGED</v>
      </c>
      <c r="F553" s="4" t="str">
        <f>FEATURES!P553</f>
        <v>Low_Pressure</v>
      </c>
      <c r="G553" s="4" t="str">
        <f>FEATURES!M553</f>
        <v>HIGH</v>
      </c>
      <c r="H553" s="4" t="str">
        <f>FEATURES!O553</f>
        <v>MODERATE-WAIT</v>
      </c>
      <c r="I553" s="4" t="str">
        <f t="shared" si="2"/>
        <v>LOW RISK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3.2" x14ac:dyDescent="0.25">
      <c r="A554" s="4">
        <v>762</v>
      </c>
      <c r="B554" s="4" t="s">
        <v>45</v>
      </c>
      <c r="C554" s="4" t="str">
        <f>FEATURES!L554</f>
        <v>NORMAL</v>
      </c>
      <c r="D554" s="4" t="str">
        <f>FEATURES!R554</f>
        <v>LOW</v>
      </c>
      <c r="E554" s="4" t="str">
        <f>FEATURES!Q554</f>
        <v>DISENGAGED</v>
      </c>
      <c r="F554" s="4" t="str">
        <f>FEATURES!P554</f>
        <v>Low_Pressure</v>
      </c>
      <c r="G554" s="4" t="str">
        <f>FEATURES!M554</f>
        <v>MEDIUM</v>
      </c>
      <c r="H554" s="4" t="str">
        <f>FEATURES!O554</f>
        <v>RECENTLY PROMOTED</v>
      </c>
      <c r="I554" s="4" t="str">
        <f t="shared" si="2"/>
        <v>LOW RISK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3.2" x14ac:dyDescent="0.25">
      <c r="A555" s="4">
        <v>763</v>
      </c>
      <c r="B555" s="4" t="s">
        <v>45</v>
      </c>
      <c r="C555" s="4" t="str">
        <f>FEATURES!L555</f>
        <v>NORMAL</v>
      </c>
      <c r="D555" s="4" t="str">
        <f>FEATURES!R555</f>
        <v>LOW</v>
      </c>
      <c r="E555" s="4" t="str">
        <f>FEATURES!Q555</f>
        <v>DISENGAGED</v>
      </c>
      <c r="F555" s="4" t="str">
        <f>FEATURES!P555</f>
        <v>High_Pressure</v>
      </c>
      <c r="G555" s="4" t="str">
        <f>FEATURES!M555</f>
        <v>LOW</v>
      </c>
      <c r="H555" s="4" t="str">
        <f>FEATURES!O555</f>
        <v>MODERATE-WAIT</v>
      </c>
      <c r="I555" s="4" t="str">
        <f t="shared" si="2"/>
        <v>LOW RISK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3.2" x14ac:dyDescent="0.25">
      <c r="A556" s="4">
        <v>764</v>
      </c>
      <c r="B556" s="4" t="s">
        <v>45</v>
      </c>
      <c r="C556" s="4" t="str">
        <f>FEATURES!L556</f>
        <v>NORMAL</v>
      </c>
      <c r="D556" s="4" t="str">
        <f>FEATURES!R556</f>
        <v>LOW</v>
      </c>
      <c r="E556" s="4" t="str">
        <f>FEATURES!Q556</f>
        <v>DISENGAGED</v>
      </c>
      <c r="F556" s="4" t="str">
        <f>FEATURES!P556</f>
        <v>Low_Pressure</v>
      </c>
      <c r="G556" s="4" t="str">
        <f>FEATURES!M556</f>
        <v>HIGH</v>
      </c>
      <c r="H556" s="4" t="str">
        <f>FEATURES!O556</f>
        <v>RECENTLY PROMOTED</v>
      </c>
      <c r="I556" s="4" t="str">
        <f t="shared" si="2"/>
        <v>LOW RISK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3.2" x14ac:dyDescent="0.25">
      <c r="A557" s="4">
        <v>766</v>
      </c>
      <c r="B557" s="4" t="s">
        <v>37</v>
      </c>
      <c r="C557" s="4" t="str">
        <f>FEATURES!L557</f>
        <v>NORMAL</v>
      </c>
      <c r="D557" s="4" t="str">
        <f>FEATURES!R557</f>
        <v>LOW</v>
      </c>
      <c r="E557" s="4" t="str">
        <f>FEATURES!Q557</f>
        <v>DISENGAGED</v>
      </c>
      <c r="F557" s="4" t="str">
        <f>FEATURES!P557</f>
        <v>Medium_Pressure</v>
      </c>
      <c r="G557" s="4" t="str">
        <f>FEATURES!M557</f>
        <v>LOW</v>
      </c>
      <c r="H557" s="4" t="str">
        <f>FEATURES!O557</f>
        <v>MODERATE-WAIT</v>
      </c>
      <c r="I557" s="4" t="str">
        <f t="shared" si="2"/>
        <v>LOW RISK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3.2" x14ac:dyDescent="0.25">
      <c r="A558" s="4">
        <v>769</v>
      </c>
      <c r="B558" s="4" t="s">
        <v>45</v>
      </c>
      <c r="C558" s="4" t="str">
        <f>FEATURES!L558</f>
        <v>NORMAL</v>
      </c>
      <c r="D558" s="4" t="str">
        <f>FEATURES!R558</f>
        <v>LOW</v>
      </c>
      <c r="E558" s="4" t="str">
        <f>FEATURES!Q558</f>
        <v>HIGHLY_ENGAGED</v>
      </c>
      <c r="F558" s="4" t="str">
        <f>FEATURES!P558</f>
        <v>Medium_Pressure</v>
      </c>
      <c r="G558" s="4" t="str">
        <f>FEATURES!M558</f>
        <v>LOW</v>
      </c>
      <c r="H558" s="4" t="str">
        <f>FEATURES!O558</f>
        <v>MODERATE-WAIT</v>
      </c>
      <c r="I558" s="4" t="str">
        <f t="shared" si="2"/>
        <v>LOW RISK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3.2" x14ac:dyDescent="0.25">
      <c r="A559" s="4">
        <v>771</v>
      </c>
      <c r="B559" s="4" t="s">
        <v>45</v>
      </c>
      <c r="C559" s="4" t="str">
        <f>FEATURES!L559</f>
        <v>NORMAL</v>
      </c>
      <c r="D559" s="4" t="str">
        <f>FEATURES!R559</f>
        <v>LOW</v>
      </c>
      <c r="E559" s="4" t="str">
        <f>FEATURES!Q559</f>
        <v>DISENGAGED</v>
      </c>
      <c r="F559" s="4" t="str">
        <f>FEATURES!P559</f>
        <v>Low_Pressure</v>
      </c>
      <c r="G559" s="4" t="str">
        <f>FEATURES!M559</f>
        <v>HIGH</v>
      </c>
      <c r="H559" s="4" t="str">
        <f>FEATURES!O559</f>
        <v>RECENTLY PROMOTED</v>
      </c>
      <c r="I559" s="4" t="str">
        <f t="shared" si="2"/>
        <v>LOW RISK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3.2" x14ac:dyDescent="0.25">
      <c r="A560" s="4">
        <v>772</v>
      </c>
      <c r="B560" s="4" t="s">
        <v>45</v>
      </c>
      <c r="C560" s="4" t="str">
        <f>FEATURES!L560</f>
        <v>NORMAL</v>
      </c>
      <c r="D560" s="4" t="str">
        <f>FEATURES!R560</f>
        <v>LOW</v>
      </c>
      <c r="E560" s="4" t="str">
        <f>FEATURES!Q560</f>
        <v>HIGHLY_ENGAGED</v>
      </c>
      <c r="F560" s="4" t="str">
        <f>FEATURES!P560</f>
        <v>Medium_Pressure</v>
      </c>
      <c r="G560" s="4" t="str">
        <f>FEATURES!M560</f>
        <v>HIGH</v>
      </c>
      <c r="H560" s="4" t="str">
        <f>FEATURES!O560</f>
        <v>STAGNANT</v>
      </c>
      <c r="I560" s="4" t="str">
        <f t="shared" si="2"/>
        <v>LOW RISK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3.2" x14ac:dyDescent="0.25">
      <c r="A561" s="4">
        <v>773</v>
      </c>
      <c r="B561" s="4" t="s">
        <v>45</v>
      </c>
      <c r="C561" s="4" t="str">
        <f>FEATURES!L561</f>
        <v>NORMAL</v>
      </c>
      <c r="D561" s="4" t="str">
        <f>FEATURES!R561</f>
        <v>LOW</v>
      </c>
      <c r="E561" s="4" t="str">
        <f>FEATURES!Q561</f>
        <v>DISENGAGED</v>
      </c>
      <c r="F561" s="4" t="str">
        <f>FEATURES!P561</f>
        <v>High_Pressure</v>
      </c>
      <c r="G561" s="4" t="str">
        <f>FEATURES!M561</f>
        <v>LOW</v>
      </c>
      <c r="H561" s="4" t="str">
        <f>FEATURES!O561</f>
        <v>RECENTLY PROMOTED</v>
      </c>
      <c r="I561" s="4" t="str">
        <f t="shared" si="2"/>
        <v>LOW RISK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3.2" x14ac:dyDescent="0.25">
      <c r="A562" s="4">
        <v>775</v>
      </c>
      <c r="B562" s="4" t="s">
        <v>45</v>
      </c>
      <c r="C562" s="4" t="str">
        <f>FEATURES!L562</f>
        <v>NORMAL</v>
      </c>
      <c r="D562" s="4" t="str">
        <f>FEATURES!R562</f>
        <v>LOW</v>
      </c>
      <c r="E562" s="4" t="str">
        <f>FEATURES!Q562</f>
        <v>DISENGAGED</v>
      </c>
      <c r="F562" s="4" t="str">
        <f>FEATURES!P562</f>
        <v>Medium_Pressure</v>
      </c>
      <c r="G562" s="4" t="str">
        <f>FEATURES!M562</f>
        <v>HIGH</v>
      </c>
      <c r="H562" s="4" t="str">
        <f>FEATURES!O562</f>
        <v>RECENTLY PROMOTED</v>
      </c>
      <c r="I562" s="4" t="str">
        <f t="shared" si="2"/>
        <v>LOW RISK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3.2" x14ac:dyDescent="0.25">
      <c r="A563" s="4">
        <v>776</v>
      </c>
      <c r="B563" s="4" t="s">
        <v>37</v>
      </c>
      <c r="C563" s="4" t="str">
        <f>FEATURES!L563</f>
        <v>NORMAL</v>
      </c>
      <c r="D563" s="4" t="str">
        <f>FEATURES!R563</f>
        <v>LOW</v>
      </c>
      <c r="E563" s="4" t="str">
        <f>FEATURES!Q563</f>
        <v>DISENGAGED</v>
      </c>
      <c r="F563" s="4" t="str">
        <f>FEATURES!P563</f>
        <v>Low_Pressure</v>
      </c>
      <c r="G563" s="4" t="str">
        <f>FEATURES!M563</f>
        <v>MEDIUM</v>
      </c>
      <c r="H563" s="4" t="str">
        <f>FEATURES!O563</f>
        <v>RECENTLY PROMOTED</v>
      </c>
      <c r="I563" s="4" t="str">
        <f t="shared" si="2"/>
        <v>LOW RISK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3.2" x14ac:dyDescent="0.25">
      <c r="A564" s="4">
        <v>780</v>
      </c>
      <c r="B564" s="4" t="s">
        <v>45</v>
      </c>
      <c r="C564" s="4" t="str">
        <f>FEATURES!L564</f>
        <v>NORMAL</v>
      </c>
      <c r="D564" s="4" t="str">
        <f>FEATURES!R564</f>
        <v>LOW</v>
      </c>
      <c r="E564" s="4" t="str">
        <f>FEATURES!Q564</f>
        <v>DISENGAGED</v>
      </c>
      <c r="F564" s="4" t="str">
        <f>FEATURES!P564</f>
        <v>High_Pressure</v>
      </c>
      <c r="G564" s="4" t="str">
        <f>FEATURES!M564</f>
        <v>LOW</v>
      </c>
      <c r="H564" s="4" t="str">
        <f>FEATURES!O564</f>
        <v>STAGNANT</v>
      </c>
      <c r="I564" s="4" t="str">
        <f t="shared" si="2"/>
        <v>LOW RISK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3.2" x14ac:dyDescent="0.25">
      <c r="A565" s="4">
        <v>781</v>
      </c>
      <c r="B565" s="4" t="s">
        <v>37</v>
      </c>
      <c r="C565" s="4" t="str">
        <f>FEATURES!L565</f>
        <v>NORMAL</v>
      </c>
      <c r="D565" s="4" t="str">
        <f>FEATURES!R565</f>
        <v>LOW</v>
      </c>
      <c r="E565" s="4" t="str">
        <f>FEATURES!Q565</f>
        <v>DISENGAGED</v>
      </c>
      <c r="F565" s="4" t="str">
        <f>FEATURES!P565</f>
        <v>Low_Pressure</v>
      </c>
      <c r="G565" s="4" t="str">
        <f>FEATURES!M565</f>
        <v>HIGH</v>
      </c>
      <c r="H565" s="4" t="str">
        <f>FEATURES!O565</f>
        <v>RECENTLY PROMOTED</v>
      </c>
      <c r="I565" s="4" t="str">
        <f t="shared" si="2"/>
        <v>LOW RISK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3.2" x14ac:dyDescent="0.25">
      <c r="A566" s="4">
        <v>783</v>
      </c>
      <c r="B566" s="4" t="s">
        <v>37</v>
      </c>
      <c r="C566" s="4" t="str">
        <f>FEATURES!L566</f>
        <v>NORMAL</v>
      </c>
      <c r="D566" s="4" t="str">
        <f>FEATURES!R566</f>
        <v>LOW</v>
      </c>
      <c r="E566" s="4" t="str">
        <f>FEATURES!Q566</f>
        <v>HIGHLY_ENGAGED</v>
      </c>
      <c r="F566" s="4" t="str">
        <f>FEATURES!P566</f>
        <v>Medium_Pressure</v>
      </c>
      <c r="G566" s="4" t="str">
        <f>FEATURES!M566</f>
        <v>HIGH</v>
      </c>
      <c r="H566" s="4" t="str">
        <f>FEATURES!O566</f>
        <v>MODERATE-WAIT</v>
      </c>
      <c r="I566" s="4" t="str">
        <f t="shared" si="2"/>
        <v>LOW RISK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3.2" x14ac:dyDescent="0.25">
      <c r="A567" s="4">
        <v>784</v>
      </c>
      <c r="B567" s="4" t="s">
        <v>45</v>
      </c>
      <c r="C567" s="4" t="str">
        <f>FEATURES!L567</f>
        <v>NORMAL</v>
      </c>
      <c r="D567" s="4" t="str">
        <f>FEATURES!R567</f>
        <v>LOW</v>
      </c>
      <c r="E567" s="4" t="str">
        <f>FEATURES!Q567</f>
        <v>HIGHLY_ENGAGED</v>
      </c>
      <c r="F567" s="4" t="str">
        <f>FEATURES!P567</f>
        <v>Medium_Pressure</v>
      </c>
      <c r="G567" s="4" t="str">
        <f>FEATURES!M567</f>
        <v>LOW</v>
      </c>
      <c r="H567" s="4" t="str">
        <f>FEATURES!O567</f>
        <v>RECENTLY PROMOTED</v>
      </c>
      <c r="I567" s="4" t="str">
        <f t="shared" si="2"/>
        <v>LOW RISK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3.2" x14ac:dyDescent="0.25">
      <c r="A568" s="4">
        <v>785</v>
      </c>
      <c r="B568" s="4" t="s">
        <v>37</v>
      </c>
      <c r="C568" s="4" t="str">
        <f>FEATURES!L568</f>
        <v>NORMAL</v>
      </c>
      <c r="D568" s="4" t="str">
        <f>FEATURES!R568</f>
        <v>LOW</v>
      </c>
      <c r="E568" s="4" t="str">
        <f>FEATURES!Q568</f>
        <v>HIGHLY_ENGAGED</v>
      </c>
      <c r="F568" s="4" t="str">
        <f>FEATURES!P568</f>
        <v>Medium_Pressure</v>
      </c>
      <c r="G568" s="4" t="str">
        <f>FEATURES!M568</f>
        <v>HIGH</v>
      </c>
      <c r="H568" s="4" t="str">
        <f>FEATURES!O568</f>
        <v>RECENTLY PROMOTED</v>
      </c>
      <c r="I568" s="4" t="str">
        <f t="shared" si="2"/>
        <v>LOW RISK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3.2" x14ac:dyDescent="0.25">
      <c r="A569" s="4">
        <v>786</v>
      </c>
      <c r="B569" s="4" t="s">
        <v>37</v>
      </c>
      <c r="C569" s="4" t="str">
        <f>FEATURES!L569</f>
        <v>NORMAL</v>
      </c>
      <c r="D569" s="4" t="str">
        <f>FEATURES!R569</f>
        <v>LOW</v>
      </c>
      <c r="E569" s="4" t="str">
        <f>FEATURES!Q569</f>
        <v>HIGHLY_ENGAGED</v>
      </c>
      <c r="F569" s="4" t="str">
        <f>FEATURES!P569</f>
        <v>Medium_Pressure</v>
      </c>
      <c r="G569" s="4" t="str">
        <f>FEATURES!M569</f>
        <v>HIGH</v>
      </c>
      <c r="H569" s="4" t="str">
        <f>FEATURES!O569</f>
        <v>RECENTLY PROMOTED</v>
      </c>
      <c r="I569" s="4" t="str">
        <f t="shared" si="2"/>
        <v>LOW RISK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3.2" x14ac:dyDescent="0.25">
      <c r="A570" s="4">
        <v>787</v>
      </c>
      <c r="B570" s="4" t="s">
        <v>45</v>
      </c>
      <c r="C570" s="4" t="str">
        <f>FEATURES!L570</f>
        <v>NORMAL</v>
      </c>
      <c r="D570" s="4" t="str">
        <f>FEATURES!R570</f>
        <v>LOW</v>
      </c>
      <c r="E570" s="4" t="str">
        <f>FEATURES!Q570</f>
        <v>DISENGAGED</v>
      </c>
      <c r="F570" s="4" t="str">
        <f>FEATURES!P570</f>
        <v>Medium_Pressure</v>
      </c>
      <c r="G570" s="4" t="str">
        <f>FEATURES!M570</f>
        <v>MEDIUM</v>
      </c>
      <c r="H570" s="4" t="str">
        <f>FEATURES!O570</f>
        <v>RECENTLY PROMOTED</v>
      </c>
      <c r="I570" s="4" t="str">
        <f t="shared" si="2"/>
        <v>LOW RISK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3.2" x14ac:dyDescent="0.25">
      <c r="A571" s="4">
        <v>789</v>
      </c>
      <c r="B571" s="4" t="s">
        <v>37</v>
      </c>
      <c r="C571" s="4" t="str">
        <f>FEATURES!L571</f>
        <v>NORMAL</v>
      </c>
      <c r="D571" s="4" t="str">
        <f>FEATURES!R571</f>
        <v>LOW</v>
      </c>
      <c r="E571" s="4" t="str">
        <f>FEATURES!Q571</f>
        <v>DISENGAGED</v>
      </c>
      <c r="F571" s="4" t="str">
        <f>FEATURES!P571</f>
        <v>Medium_Pressure</v>
      </c>
      <c r="G571" s="4" t="str">
        <f>FEATURES!M571</f>
        <v>HIGH</v>
      </c>
      <c r="H571" s="4" t="str">
        <f>FEATURES!O571</f>
        <v>RECENTLY PROMOTED</v>
      </c>
      <c r="I571" s="4" t="str">
        <f t="shared" si="2"/>
        <v>LOW RISK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3.2" x14ac:dyDescent="0.25">
      <c r="A572" s="4">
        <v>791</v>
      </c>
      <c r="B572" s="4" t="s">
        <v>45</v>
      </c>
      <c r="C572" s="4" t="str">
        <f>FEATURES!L572</f>
        <v>NORMAL</v>
      </c>
      <c r="D572" s="4" t="str">
        <f>FEATURES!R572</f>
        <v>LOW</v>
      </c>
      <c r="E572" s="4" t="str">
        <f>FEATURES!Q572</f>
        <v>HIGHLY_ENGAGED</v>
      </c>
      <c r="F572" s="4" t="str">
        <f>FEATURES!P572</f>
        <v>Medium_Pressure</v>
      </c>
      <c r="G572" s="4" t="str">
        <f>FEATURES!M572</f>
        <v>HIGH</v>
      </c>
      <c r="H572" s="4" t="str">
        <f>FEATURES!O572</f>
        <v>RECENTLY PROMOTED</v>
      </c>
      <c r="I572" s="4" t="str">
        <f t="shared" si="2"/>
        <v>LOW RISK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3.2" x14ac:dyDescent="0.25">
      <c r="A573" s="4">
        <v>792</v>
      </c>
      <c r="B573" s="4" t="s">
        <v>45</v>
      </c>
      <c r="C573" s="4" t="str">
        <f>FEATURES!L573</f>
        <v>NORMAL</v>
      </c>
      <c r="D573" s="4" t="str">
        <f>FEATURES!R573</f>
        <v>LOW</v>
      </c>
      <c r="E573" s="4" t="str">
        <f>FEATURES!Q573</f>
        <v>HIGHLY_ENGAGED</v>
      </c>
      <c r="F573" s="4" t="str">
        <f>FEATURES!P573</f>
        <v>Medium_Pressure</v>
      </c>
      <c r="G573" s="4" t="str">
        <f>FEATURES!M573</f>
        <v>HIGH</v>
      </c>
      <c r="H573" s="4" t="str">
        <f>FEATURES!O573</f>
        <v>MODERATE-WAIT</v>
      </c>
      <c r="I573" s="4" t="str">
        <f t="shared" si="2"/>
        <v>LOW RISK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3.2" x14ac:dyDescent="0.25">
      <c r="A574" s="4">
        <v>793</v>
      </c>
      <c r="B574" s="4" t="s">
        <v>45</v>
      </c>
      <c r="C574" s="4" t="str">
        <f>FEATURES!L574</f>
        <v>NORMAL</v>
      </c>
      <c r="D574" s="4" t="str">
        <f>FEATURES!R574</f>
        <v>LOW</v>
      </c>
      <c r="E574" s="4" t="str">
        <f>FEATURES!Q574</f>
        <v>DISENGAGED</v>
      </c>
      <c r="F574" s="4" t="str">
        <f>FEATURES!P574</f>
        <v>Low_Pressure</v>
      </c>
      <c r="G574" s="4" t="str">
        <f>FEATURES!M574</f>
        <v>HIGH</v>
      </c>
      <c r="H574" s="4" t="str">
        <f>FEATURES!O574</f>
        <v>RECENTLY PROMOTED</v>
      </c>
      <c r="I574" s="4" t="str">
        <f t="shared" si="2"/>
        <v>LOW RISK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3.2" x14ac:dyDescent="0.25">
      <c r="A575" s="4">
        <v>796</v>
      </c>
      <c r="B575" s="4" t="s">
        <v>37</v>
      </c>
      <c r="C575" s="4" t="str">
        <f>FEATURES!L575</f>
        <v>NORMAL</v>
      </c>
      <c r="D575" s="4" t="str">
        <f>FEATURES!R575</f>
        <v>LOW</v>
      </c>
      <c r="E575" s="4" t="str">
        <f>FEATURES!Q575</f>
        <v>DISENGAGED</v>
      </c>
      <c r="F575" s="4" t="str">
        <f>FEATURES!P575</f>
        <v>Low_Pressure</v>
      </c>
      <c r="G575" s="4" t="str">
        <f>FEATURES!M575</f>
        <v>HIGH</v>
      </c>
      <c r="H575" s="4" t="str">
        <f>FEATURES!O575</f>
        <v>RECENTLY PROMOTED</v>
      </c>
      <c r="I575" s="4" t="str">
        <f t="shared" si="2"/>
        <v>LOW RISK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3.2" x14ac:dyDescent="0.25">
      <c r="A576" s="4">
        <v>797</v>
      </c>
      <c r="B576" s="4" t="s">
        <v>45</v>
      </c>
      <c r="C576" s="4" t="str">
        <f>FEATURES!L576</f>
        <v>NORMAL</v>
      </c>
      <c r="D576" s="4" t="str">
        <f>FEATURES!R576</f>
        <v>LOW</v>
      </c>
      <c r="E576" s="4" t="str">
        <f>FEATURES!Q576</f>
        <v>HIGHLY_ENGAGED</v>
      </c>
      <c r="F576" s="4" t="str">
        <f>FEATURES!P576</f>
        <v>Medium_Pressure</v>
      </c>
      <c r="G576" s="4" t="str">
        <f>FEATURES!M576</f>
        <v>LOW</v>
      </c>
      <c r="H576" s="4" t="str">
        <f>FEATURES!O576</f>
        <v>RECENTLY PROMOTED</v>
      </c>
      <c r="I576" s="4" t="str">
        <f t="shared" si="2"/>
        <v>LOW RISK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3.2" x14ac:dyDescent="0.25">
      <c r="A577" s="4">
        <v>799</v>
      </c>
      <c r="B577" s="4" t="s">
        <v>45</v>
      </c>
      <c r="C577" s="4" t="str">
        <f>FEATURES!L577</f>
        <v>NORMAL</v>
      </c>
      <c r="D577" s="4" t="str">
        <f>FEATURES!R577</f>
        <v>LOW</v>
      </c>
      <c r="E577" s="4" t="str">
        <f>FEATURES!Q577</f>
        <v>DISENGAGED</v>
      </c>
      <c r="F577" s="4" t="str">
        <f>FEATURES!P577</f>
        <v>Medium_Pressure</v>
      </c>
      <c r="G577" s="4" t="str">
        <f>FEATURES!M577</f>
        <v>HIGH</v>
      </c>
      <c r="H577" s="4" t="str">
        <f>FEATURES!O577</f>
        <v>RECENTLY PROMOTED</v>
      </c>
      <c r="I577" s="4" t="str">
        <f t="shared" si="2"/>
        <v>LOW RISK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3.2" x14ac:dyDescent="0.25">
      <c r="A578" s="4">
        <v>800</v>
      </c>
      <c r="B578" s="4" t="s">
        <v>37</v>
      </c>
      <c r="C578" s="4" t="str">
        <f>FEATURES!L578</f>
        <v>NORMAL</v>
      </c>
      <c r="D578" s="4" t="str">
        <f>FEATURES!R578</f>
        <v>LOW</v>
      </c>
      <c r="E578" s="4" t="str">
        <f>FEATURES!Q578</f>
        <v>HIGHLY_ENGAGED</v>
      </c>
      <c r="F578" s="4" t="str">
        <f>FEATURES!P578</f>
        <v>Medium_Pressure</v>
      </c>
      <c r="G578" s="4" t="str">
        <f>FEATURES!M578</f>
        <v>HIGH</v>
      </c>
      <c r="H578" s="4" t="str">
        <f>FEATURES!O578</f>
        <v>RECENTLY PROMOTED</v>
      </c>
      <c r="I578" s="4" t="str">
        <f t="shared" si="2"/>
        <v>LOW RISK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3.2" x14ac:dyDescent="0.25">
      <c r="A579" s="4">
        <v>802</v>
      </c>
      <c r="B579" s="4" t="s">
        <v>45</v>
      </c>
      <c r="C579" s="4" t="str">
        <f>FEATURES!L579</f>
        <v>HIGH RISK</v>
      </c>
      <c r="D579" s="4" t="str">
        <f>FEATURES!R579</f>
        <v>LOW</v>
      </c>
      <c r="E579" s="4" t="str">
        <f>FEATURES!Q579</f>
        <v>DISENGAGED</v>
      </c>
      <c r="F579" s="4" t="str">
        <f>FEATURES!P579</f>
        <v>High_Pressure</v>
      </c>
      <c r="G579" s="4" t="str">
        <f>FEATURES!M579</f>
        <v>LOW</v>
      </c>
      <c r="H579" s="4" t="str">
        <f>FEATURES!O579</f>
        <v>STAGNANT</v>
      </c>
      <c r="I579" s="4" t="str">
        <f t="shared" si="2"/>
        <v>LOW RISK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3.2" x14ac:dyDescent="0.25">
      <c r="A580" s="4">
        <v>803</v>
      </c>
      <c r="B580" s="4" t="s">
        <v>45</v>
      </c>
      <c r="C580" s="4" t="str">
        <f>FEATURES!L580</f>
        <v>HIGH RISK</v>
      </c>
      <c r="D580" s="4" t="str">
        <f>FEATURES!R580</f>
        <v>LOW</v>
      </c>
      <c r="E580" s="4" t="str">
        <f>FEATURES!Q580</f>
        <v>DISENGAGED</v>
      </c>
      <c r="F580" s="4" t="str">
        <f>FEATURES!P580</f>
        <v>Medium_Pressure</v>
      </c>
      <c r="G580" s="4" t="str">
        <f>FEATURES!M580</f>
        <v>HIGH</v>
      </c>
      <c r="H580" s="4" t="str">
        <f>FEATURES!O580</f>
        <v>STAGNANT</v>
      </c>
      <c r="I580" s="4" t="str">
        <f t="shared" si="2"/>
        <v>LOW RISK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3.2" x14ac:dyDescent="0.25">
      <c r="A581" s="4">
        <v>804</v>
      </c>
      <c r="B581" s="4" t="s">
        <v>45</v>
      </c>
      <c r="C581" s="4" t="str">
        <f>FEATURES!L581</f>
        <v>NORMAL</v>
      </c>
      <c r="D581" s="4" t="str">
        <f>FEATURES!R581</f>
        <v>LOW</v>
      </c>
      <c r="E581" s="4" t="str">
        <f>FEATURES!Q581</f>
        <v>DISENGAGED</v>
      </c>
      <c r="F581" s="4" t="str">
        <f>FEATURES!P581</f>
        <v>Medium_Pressure</v>
      </c>
      <c r="G581" s="4" t="str">
        <f>FEATURES!M581</f>
        <v>HIGH</v>
      </c>
      <c r="H581" s="4" t="str">
        <f>FEATURES!O581</f>
        <v>RECENTLY PROMOTED</v>
      </c>
      <c r="I581" s="4" t="str">
        <f t="shared" si="2"/>
        <v>LOW RISK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3.2" x14ac:dyDescent="0.25">
      <c r="A582" s="4">
        <v>805</v>
      </c>
      <c r="B582" s="4" t="s">
        <v>37</v>
      </c>
      <c r="C582" s="4" t="str">
        <f>FEATURES!L582</f>
        <v>NORMAL</v>
      </c>
      <c r="D582" s="4" t="str">
        <f>FEATURES!R582</f>
        <v>LOW</v>
      </c>
      <c r="E582" s="4" t="str">
        <f>FEATURES!Q582</f>
        <v>DISENGAGED</v>
      </c>
      <c r="F582" s="4" t="str">
        <f>FEATURES!P582</f>
        <v>Low_Pressure</v>
      </c>
      <c r="G582" s="4" t="str">
        <f>FEATURES!M582</f>
        <v>LOW</v>
      </c>
      <c r="H582" s="4" t="str">
        <f>FEATURES!O582</f>
        <v>RECENTLY PROMOTED</v>
      </c>
      <c r="I582" s="4" t="str">
        <f t="shared" si="2"/>
        <v>LOW RISK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3.2" x14ac:dyDescent="0.25">
      <c r="A583" s="4">
        <v>806</v>
      </c>
      <c r="B583" s="4" t="s">
        <v>45</v>
      </c>
      <c r="C583" s="4" t="str">
        <f>FEATURES!L583</f>
        <v>NORMAL</v>
      </c>
      <c r="D583" s="4" t="str">
        <f>FEATURES!R583</f>
        <v>LOW</v>
      </c>
      <c r="E583" s="4" t="str">
        <f>FEATURES!Q583</f>
        <v>HIGHLY_ENGAGED</v>
      </c>
      <c r="F583" s="4" t="str">
        <f>FEATURES!P583</f>
        <v>Medium_Pressure</v>
      </c>
      <c r="G583" s="4" t="str">
        <f>FEATURES!M583</f>
        <v>LOW</v>
      </c>
      <c r="H583" s="4" t="str">
        <f>FEATURES!O583</f>
        <v>RECENTLY PROMOTED</v>
      </c>
      <c r="I583" s="4" t="str">
        <f t="shared" si="2"/>
        <v>LOW RISK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3.2" x14ac:dyDescent="0.25">
      <c r="A584" s="4">
        <v>807</v>
      </c>
      <c r="B584" s="4" t="s">
        <v>45</v>
      </c>
      <c r="C584" s="4" t="str">
        <f>FEATURES!L584</f>
        <v>NORMAL</v>
      </c>
      <c r="D584" s="4" t="str">
        <f>FEATURES!R584</f>
        <v>LOW</v>
      </c>
      <c r="E584" s="4" t="str">
        <f>FEATURES!Q584</f>
        <v>DISENGAGED</v>
      </c>
      <c r="F584" s="4" t="str">
        <f>FEATURES!P584</f>
        <v>Medium_Pressure</v>
      </c>
      <c r="G584" s="4" t="str">
        <f>FEATURES!M584</f>
        <v>HIGH</v>
      </c>
      <c r="H584" s="4" t="str">
        <f>FEATURES!O584</f>
        <v>MODERATE-WAIT</v>
      </c>
      <c r="I584" s="4" t="str">
        <f t="shared" si="2"/>
        <v>LOW RISK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3.2" x14ac:dyDescent="0.25">
      <c r="A585" s="4">
        <v>808</v>
      </c>
      <c r="B585" s="4" t="s">
        <v>37</v>
      </c>
      <c r="C585" s="4" t="str">
        <f>FEATURES!L585</f>
        <v>NORMAL</v>
      </c>
      <c r="D585" s="4" t="str">
        <f>FEATURES!R585</f>
        <v>LOW</v>
      </c>
      <c r="E585" s="4" t="str">
        <f>FEATURES!Q585</f>
        <v>DISENGAGED</v>
      </c>
      <c r="F585" s="4" t="str">
        <f>FEATURES!P585</f>
        <v>Medium_Pressure</v>
      </c>
      <c r="G585" s="4" t="str">
        <f>FEATURES!M585</f>
        <v>HIGH</v>
      </c>
      <c r="H585" s="4" t="str">
        <f>FEATURES!O585</f>
        <v>RECENTLY PROMOTED</v>
      </c>
      <c r="I585" s="4" t="str">
        <f t="shared" si="2"/>
        <v>LOW RISK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3.2" x14ac:dyDescent="0.25">
      <c r="A586" s="4">
        <v>809</v>
      </c>
      <c r="B586" s="4" t="s">
        <v>45</v>
      </c>
      <c r="C586" s="4" t="str">
        <f>FEATURES!L586</f>
        <v>NORMAL</v>
      </c>
      <c r="D586" s="4" t="str">
        <f>FEATURES!R586</f>
        <v>LOW</v>
      </c>
      <c r="E586" s="4" t="str">
        <f>FEATURES!Q586</f>
        <v>DISENGAGED</v>
      </c>
      <c r="F586" s="4" t="str">
        <f>FEATURES!P586</f>
        <v>Low_Pressure</v>
      </c>
      <c r="G586" s="4" t="str">
        <f>FEATURES!M586</f>
        <v>MEDIUM</v>
      </c>
      <c r="H586" s="4" t="str">
        <f>FEATURES!O586</f>
        <v>STAGNANT</v>
      </c>
      <c r="I586" s="4" t="str">
        <f t="shared" si="2"/>
        <v>LOW RISK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3.2" x14ac:dyDescent="0.25">
      <c r="A587" s="4">
        <v>811</v>
      </c>
      <c r="B587" s="4" t="s">
        <v>45</v>
      </c>
      <c r="C587" s="4" t="str">
        <f>FEATURES!L587</f>
        <v>NORMAL</v>
      </c>
      <c r="D587" s="4" t="str">
        <f>FEATURES!R587</f>
        <v>LOW</v>
      </c>
      <c r="E587" s="4" t="str">
        <f>FEATURES!Q587</f>
        <v>DISENGAGED</v>
      </c>
      <c r="F587" s="4" t="str">
        <f>FEATURES!P587</f>
        <v>Medium_Pressure</v>
      </c>
      <c r="G587" s="4" t="str">
        <f>FEATURES!M587</f>
        <v>LOW</v>
      </c>
      <c r="H587" s="4" t="str">
        <f>FEATURES!O587</f>
        <v>RECENTLY PROMOTED</v>
      </c>
      <c r="I587" s="4" t="str">
        <f t="shared" si="2"/>
        <v>LOW RISK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3.2" x14ac:dyDescent="0.25">
      <c r="A588" s="4">
        <v>812</v>
      </c>
      <c r="B588" s="4" t="s">
        <v>45</v>
      </c>
      <c r="C588" s="4" t="str">
        <f>FEATURES!L588</f>
        <v>NORMAL</v>
      </c>
      <c r="D588" s="4" t="str">
        <f>FEATURES!R588</f>
        <v>LOW</v>
      </c>
      <c r="E588" s="4" t="str">
        <f>FEATURES!Q588</f>
        <v>DISENGAGED</v>
      </c>
      <c r="F588" s="4" t="str">
        <f>FEATURES!P588</f>
        <v>Medium_Pressure</v>
      </c>
      <c r="G588" s="4" t="str">
        <f>FEATURES!M588</f>
        <v>LOW</v>
      </c>
      <c r="H588" s="4" t="str">
        <f>FEATURES!O588</f>
        <v>RECENTLY PROMOTED</v>
      </c>
      <c r="I588" s="4" t="str">
        <f t="shared" si="2"/>
        <v>LOW RISK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3.2" x14ac:dyDescent="0.25">
      <c r="A589" s="4">
        <v>813</v>
      </c>
      <c r="B589" s="4" t="s">
        <v>45</v>
      </c>
      <c r="C589" s="4" t="str">
        <f>FEATURES!L589</f>
        <v>NORMAL</v>
      </c>
      <c r="D589" s="4" t="str">
        <f>FEATURES!R589</f>
        <v>LOW</v>
      </c>
      <c r="E589" s="4" t="str">
        <f>FEATURES!Q589</f>
        <v>HIGHLY_ENGAGED</v>
      </c>
      <c r="F589" s="4" t="str">
        <f>FEATURES!P589</f>
        <v>Medium_Pressure</v>
      </c>
      <c r="G589" s="4" t="str">
        <f>FEATURES!M589</f>
        <v>LOW</v>
      </c>
      <c r="H589" s="4" t="str">
        <f>FEATURES!O589</f>
        <v>RECENTLY PROMOTED</v>
      </c>
      <c r="I589" s="4" t="str">
        <f t="shared" si="2"/>
        <v>LOW RISK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3.2" x14ac:dyDescent="0.25">
      <c r="A590" s="4">
        <v>815</v>
      </c>
      <c r="B590" s="4" t="s">
        <v>45</v>
      </c>
      <c r="C590" s="4" t="str">
        <f>FEATURES!L590</f>
        <v>NORMAL</v>
      </c>
      <c r="D590" s="4" t="str">
        <f>FEATURES!R590</f>
        <v>LOW</v>
      </c>
      <c r="E590" s="4" t="str">
        <f>FEATURES!Q590</f>
        <v>HIGHLY_ENGAGED</v>
      </c>
      <c r="F590" s="4" t="str">
        <f>FEATURES!P590</f>
        <v>Medium_Pressure</v>
      </c>
      <c r="G590" s="4" t="str">
        <f>FEATURES!M590</f>
        <v>MEDIUM</v>
      </c>
      <c r="H590" s="4" t="str">
        <f>FEATURES!O590</f>
        <v>RECENTLY PROMOTED</v>
      </c>
      <c r="I590" s="4" t="str">
        <f t="shared" si="2"/>
        <v>LOW RISK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3.2" x14ac:dyDescent="0.25">
      <c r="A591" s="4">
        <v>816</v>
      </c>
      <c r="B591" s="4" t="s">
        <v>45</v>
      </c>
      <c r="C591" s="4" t="str">
        <f>FEATURES!L591</f>
        <v>NORMAL</v>
      </c>
      <c r="D591" s="4" t="str">
        <f>FEATURES!R591</f>
        <v>LOW</v>
      </c>
      <c r="E591" s="4" t="str">
        <f>FEATURES!Q591</f>
        <v>DISENGAGED</v>
      </c>
      <c r="F591" s="4" t="str">
        <f>FEATURES!P591</f>
        <v>Medium_Pressure</v>
      </c>
      <c r="G591" s="4" t="str">
        <f>FEATURES!M591</f>
        <v>LOW</v>
      </c>
      <c r="H591" s="4" t="str">
        <f>FEATURES!O591</f>
        <v>RECENTLY PROMOTED</v>
      </c>
      <c r="I591" s="4" t="str">
        <f t="shared" si="2"/>
        <v>LOW RISK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3.2" x14ac:dyDescent="0.25">
      <c r="A592" s="4">
        <v>817</v>
      </c>
      <c r="B592" s="4" t="s">
        <v>45</v>
      </c>
      <c r="C592" s="4" t="str">
        <f>FEATURES!L592</f>
        <v>NORMAL</v>
      </c>
      <c r="D592" s="4" t="str">
        <f>FEATURES!R592</f>
        <v>LOW</v>
      </c>
      <c r="E592" s="4" t="str">
        <f>FEATURES!Q592</f>
        <v>HIGHLY_ENGAGED</v>
      </c>
      <c r="F592" s="4" t="str">
        <f>FEATURES!P592</f>
        <v>Low_Pressure</v>
      </c>
      <c r="G592" s="4" t="str">
        <f>FEATURES!M592</f>
        <v>MEDIUM</v>
      </c>
      <c r="H592" s="4" t="str">
        <f>FEATURES!O592</f>
        <v>MODERATE-WAIT</v>
      </c>
      <c r="I592" s="4" t="str">
        <f t="shared" si="2"/>
        <v>LOW RISK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3.2" x14ac:dyDescent="0.25">
      <c r="A593" s="4">
        <v>819</v>
      </c>
      <c r="B593" s="4" t="s">
        <v>37</v>
      </c>
      <c r="C593" s="4" t="str">
        <f>FEATURES!L593</f>
        <v>NORMAL</v>
      </c>
      <c r="D593" s="4" t="str">
        <f>FEATURES!R593</f>
        <v>LOW</v>
      </c>
      <c r="E593" s="4" t="str">
        <f>FEATURES!Q593</f>
        <v>DISENGAGED</v>
      </c>
      <c r="F593" s="4" t="str">
        <f>FEATURES!P593</f>
        <v>Medium_Pressure</v>
      </c>
      <c r="G593" s="4" t="str">
        <f>FEATURES!M593</f>
        <v>HIGH</v>
      </c>
      <c r="H593" s="4" t="str">
        <f>FEATURES!O593</f>
        <v>RECENTLY PROMOTED</v>
      </c>
      <c r="I593" s="4" t="str">
        <f t="shared" si="2"/>
        <v>LOW RISK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3.2" x14ac:dyDescent="0.25">
      <c r="A594" s="4">
        <v>820</v>
      </c>
      <c r="B594" s="4" t="s">
        <v>45</v>
      </c>
      <c r="C594" s="4" t="str">
        <f>FEATURES!L594</f>
        <v>NORMAL</v>
      </c>
      <c r="D594" s="4" t="str">
        <f>FEATURES!R594</f>
        <v>LOW</v>
      </c>
      <c r="E594" s="4" t="str">
        <f>FEATURES!Q594</f>
        <v>DISENGAGED</v>
      </c>
      <c r="F594" s="4" t="str">
        <f>FEATURES!P594</f>
        <v>High_Pressure</v>
      </c>
      <c r="G594" s="4" t="str">
        <f>FEATURES!M594</f>
        <v>MEDIUM</v>
      </c>
      <c r="H594" s="4" t="str">
        <f>FEATURES!O594</f>
        <v>MODERATE-WAIT</v>
      </c>
      <c r="I594" s="4" t="str">
        <f t="shared" si="2"/>
        <v>LOW RISK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3.2" x14ac:dyDescent="0.25">
      <c r="A595" s="4">
        <v>823</v>
      </c>
      <c r="B595" s="4" t="s">
        <v>45</v>
      </c>
      <c r="C595" s="4" t="str">
        <f>FEATURES!L595</f>
        <v>NORMAL</v>
      </c>
      <c r="D595" s="4" t="str">
        <f>FEATURES!R595</f>
        <v>LOW</v>
      </c>
      <c r="E595" s="4" t="str">
        <f>FEATURES!Q595</f>
        <v>DISENGAGED</v>
      </c>
      <c r="F595" s="4" t="str">
        <f>FEATURES!P595</f>
        <v>Medium_Pressure</v>
      </c>
      <c r="G595" s="4" t="str">
        <f>FEATURES!M595</f>
        <v>HIGH</v>
      </c>
      <c r="H595" s="4" t="str">
        <f>FEATURES!O595</f>
        <v>RECENTLY PROMOTED</v>
      </c>
      <c r="I595" s="4" t="str">
        <f t="shared" si="2"/>
        <v>LOW RISK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3.2" x14ac:dyDescent="0.25">
      <c r="A596" s="4">
        <v>824</v>
      </c>
      <c r="B596" s="4" t="s">
        <v>45</v>
      </c>
      <c r="C596" s="4" t="str">
        <f>FEATURES!L596</f>
        <v>NORMAL</v>
      </c>
      <c r="D596" s="4" t="str">
        <f>FEATURES!R596</f>
        <v>LOW</v>
      </c>
      <c r="E596" s="4" t="str">
        <f>FEATURES!Q596</f>
        <v>HIGHLY_ENGAGED</v>
      </c>
      <c r="F596" s="4" t="str">
        <f>FEATURES!P596</f>
        <v>Medium_Pressure</v>
      </c>
      <c r="G596" s="4" t="str">
        <f>FEATURES!M596</f>
        <v>LOW</v>
      </c>
      <c r="H596" s="4" t="str">
        <f>FEATURES!O596</f>
        <v>RECENTLY PROMOTED</v>
      </c>
      <c r="I596" s="4" t="str">
        <f t="shared" si="2"/>
        <v>LOW RISK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3.2" x14ac:dyDescent="0.25">
      <c r="A597" s="4">
        <v>825</v>
      </c>
      <c r="B597" s="4" t="s">
        <v>45</v>
      </c>
      <c r="C597" s="4" t="str">
        <f>FEATURES!L597</f>
        <v>HIGH RISK</v>
      </c>
      <c r="D597" s="4" t="str">
        <f>FEATURES!R597</f>
        <v>LOW</v>
      </c>
      <c r="E597" s="4" t="str">
        <f>FEATURES!Q597</f>
        <v>DISENGAGED</v>
      </c>
      <c r="F597" s="4" t="str">
        <f>FEATURES!P597</f>
        <v>Medium_Pressure</v>
      </c>
      <c r="G597" s="4" t="str">
        <f>FEATURES!M597</f>
        <v>MEDIUM</v>
      </c>
      <c r="H597" s="4" t="str">
        <f>FEATURES!O597</f>
        <v>STAGNANT</v>
      </c>
      <c r="I597" s="4" t="str">
        <f t="shared" si="2"/>
        <v>LOW RISK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3.2" x14ac:dyDescent="0.25">
      <c r="A598" s="4">
        <v>826</v>
      </c>
      <c r="B598" s="4" t="s">
        <v>45</v>
      </c>
      <c r="C598" s="4" t="str">
        <f>FEATURES!L598</f>
        <v>NORMAL</v>
      </c>
      <c r="D598" s="4" t="str">
        <f>FEATURES!R598</f>
        <v>LOW</v>
      </c>
      <c r="E598" s="4" t="str">
        <f>FEATURES!Q598</f>
        <v>HIGHLY_ENGAGED</v>
      </c>
      <c r="F598" s="4" t="str">
        <f>FEATURES!P598</f>
        <v>Medium_Pressure</v>
      </c>
      <c r="G598" s="4" t="str">
        <f>FEATURES!M598</f>
        <v>LOW</v>
      </c>
      <c r="H598" s="4" t="str">
        <f>FEATURES!O598</f>
        <v>MODERATE-WAIT</v>
      </c>
      <c r="I598" s="4" t="str">
        <f t="shared" si="2"/>
        <v>LOW RISK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3.2" x14ac:dyDescent="0.25">
      <c r="A599" s="4">
        <v>827</v>
      </c>
      <c r="B599" s="4" t="s">
        <v>45</v>
      </c>
      <c r="C599" s="4" t="str">
        <f>FEATURES!L599</f>
        <v>NORMAL</v>
      </c>
      <c r="D599" s="4" t="str">
        <f>FEATURES!R599</f>
        <v>LOW</v>
      </c>
      <c r="E599" s="4" t="str">
        <f>FEATURES!Q599</f>
        <v>HIGHLY_ENGAGED</v>
      </c>
      <c r="F599" s="4" t="str">
        <f>FEATURES!P599</f>
        <v>Medium_Pressure</v>
      </c>
      <c r="G599" s="4" t="str">
        <f>FEATURES!M599</f>
        <v>HIGH</v>
      </c>
      <c r="H599" s="4" t="str">
        <f>FEATURES!O599</f>
        <v>RECENTLY PROMOTED</v>
      </c>
      <c r="I599" s="4" t="str">
        <f t="shared" si="2"/>
        <v>LOW RISK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3.2" x14ac:dyDescent="0.25">
      <c r="A600" s="4">
        <v>828</v>
      </c>
      <c r="B600" s="4" t="s">
        <v>45</v>
      </c>
      <c r="C600" s="4" t="str">
        <f>FEATURES!L600</f>
        <v>NORMAL</v>
      </c>
      <c r="D600" s="4" t="str">
        <f>FEATURES!R600</f>
        <v>LOW</v>
      </c>
      <c r="E600" s="4" t="str">
        <f>FEATURES!Q600</f>
        <v>DISENGAGED</v>
      </c>
      <c r="F600" s="4" t="str">
        <f>FEATURES!P600</f>
        <v>Low_Pressure</v>
      </c>
      <c r="G600" s="4" t="str">
        <f>FEATURES!M600</f>
        <v>HIGH</v>
      </c>
      <c r="H600" s="4" t="str">
        <f>FEATURES!O600</f>
        <v>MODERATE-WAIT</v>
      </c>
      <c r="I600" s="4" t="str">
        <f t="shared" si="2"/>
        <v>LOW RISK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3.2" x14ac:dyDescent="0.25">
      <c r="A601" s="4">
        <v>829</v>
      </c>
      <c r="B601" s="4" t="s">
        <v>61</v>
      </c>
      <c r="C601" s="4" t="str">
        <f>FEATURES!L601</f>
        <v>NORMAL</v>
      </c>
      <c r="D601" s="4" t="str">
        <f>FEATURES!R601</f>
        <v>LOW</v>
      </c>
      <c r="E601" s="4" t="str">
        <f>FEATURES!Q601</f>
        <v>DISENGAGED</v>
      </c>
      <c r="F601" s="4" t="str">
        <f>FEATURES!P601</f>
        <v>Medium_Pressure</v>
      </c>
      <c r="G601" s="4" t="str">
        <f>FEATURES!M601</f>
        <v>LOW</v>
      </c>
      <c r="H601" s="4" t="str">
        <f>FEATURES!O601</f>
        <v>RECENTLY PROMOTED</v>
      </c>
      <c r="I601" s="4" t="str">
        <f t="shared" si="2"/>
        <v>LOW RISK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3.2" x14ac:dyDescent="0.25">
      <c r="A602" s="4">
        <v>830</v>
      </c>
      <c r="B602" s="4" t="s">
        <v>45</v>
      </c>
      <c r="C602" s="4" t="str">
        <f>FEATURES!L602</f>
        <v>NORMAL</v>
      </c>
      <c r="D602" s="4" t="str">
        <f>FEATURES!R602</f>
        <v>LOW</v>
      </c>
      <c r="E602" s="4" t="str">
        <f>FEATURES!Q602</f>
        <v>HIGHLY_ENGAGED</v>
      </c>
      <c r="F602" s="4" t="str">
        <f>FEATURES!P602</f>
        <v>Medium_Pressure</v>
      </c>
      <c r="G602" s="4" t="str">
        <f>FEATURES!M602</f>
        <v>HIGH</v>
      </c>
      <c r="H602" s="4" t="str">
        <f>FEATURES!O602</f>
        <v>STAGNANT</v>
      </c>
      <c r="I602" s="4" t="str">
        <f t="shared" si="2"/>
        <v>LOW RISK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3.2" x14ac:dyDescent="0.25">
      <c r="A603" s="4">
        <v>832</v>
      </c>
      <c r="B603" s="4" t="s">
        <v>45</v>
      </c>
      <c r="C603" s="4" t="str">
        <f>FEATURES!L603</f>
        <v>NORMAL</v>
      </c>
      <c r="D603" s="4" t="str">
        <f>FEATURES!R603</f>
        <v>LOW</v>
      </c>
      <c r="E603" s="4" t="str">
        <f>FEATURES!Q603</f>
        <v>HIGHLY_ENGAGED</v>
      </c>
      <c r="F603" s="4" t="str">
        <f>FEATURES!P603</f>
        <v>Medium_Pressure</v>
      </c>
      <c r="G603" s="4" t="str">
        <f>FEATURES!M603</f>
        <v>HIGH</v>
      </c>
      <c r="H603" s="4" t="str">
        <f>FEATURES!O603</f>
        <v>RECENTLY PROMOTED</v>
      </c>
      <c r="I603" s="4" t="str">
        <f t="shared" si="2"/>
        <v>LOW RISK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3.2" x14ac:dyDescent="0.25">
      <c r="A604" s="4">
        <v>833</v>
      </c>
      <c r="B604" s="4" t="s">
        <v>45</v>
      </c>
      <c r="C604" s="4" t="str">
        <f>FEATURES!L604</f>
        <v>NORMAL</v>
      </c>
      <c r="D604" s="4" t="str">
        <f>FEATURES!R604</f>
        <v>LOW</v>
      </c>
      <c r="E604" s="4" t="str">
        <f>FEATURES!Q604</f>
        <v>DISENGAGED</v>
      </c>
      <c r="F604" s="4" t="str">
        <f>FEATURES!P604</f>
        <v>High_Pressure</v>
      </c>
      <c r="G604" s="4" t="str">
        <f>FEATURES!M604</f>
        <v>HIGH</v>
      </c>
      <c r="H604" s="4" t="str">
        <f>FEATURES!O604</f>
        <v>RECENTLY PROMOTED</v>
      </c>
      <c r="I604" s="4" t="str">
        <f t="shared" si="2"/>
        <v>LOW RISK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3.2" x14ac:dyDescent="0.25">
      <c r="A605" s="4">
        <v>834</v>
      </c>
      <c r="B605" s="4" t="s">
        <v>45</v>
      </c>
      <c r="C605" s="4" t="str">
        <f>FEATURES!L605</f>
        <v>NORMAL</v>
      </c>
      <c r="D605" s="4" t="str">
        <f>FEATURES!R605</f>
        <v>LOW</v>
      </c>
      <c r="E605" s="4" t="str">
        <f>FEATURES!Q605</f>
        <v>HIGHLY_ENGAGED</v>
      </c>
      <c r="F605" s="4" t="str">
        <f>FEATURES!P605</f>
        <v>Medium_Pressure</v>
      </c>
      <c r="G605" s="4" t="str">
        <f>FEATURES!M605</f>
        <v>LOW</v>
      </c>
      <c r="H605" s="4" t="str">
        <f>FEATURES!O605</f>
        <v>RECENTLY PROMOTED</v>
      </c>
      <c r="I605" s="4" t="str">
        <f t="shared" si="2"/>
        <v>LOW RISK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3.2" x14ac:dyDescent="0.25">
      <c r="A606" s="4">
        <v>836</v>
      </c>
      <c r="B606" s="4" t="s">
        <v>45</v>
      </c>
      <c r="C606" s="4" t="str">
        <f>FEATURES!L606</f>
        <v>NORMAL</v>
      </c>
      <c r="D606" s="4" t="str">
        <f>FEATURES!R606</f>
        <v>LOW</v>
      </c>
      <c r="E606" s="4" t="str">
        <f>FEATURES!Q606</f>
        <v>DISENGAGED</v>
      </c>
      <c r="F606" s="4" t="str">
        <f>FEATURES!P606</f>
        <v>Low_Pressure</v>
      </c>
      <c r="G606" s="4" t="str">
        <f>FEATURES!M606</f>
        <v>HIGH</v>
      </c>
      <c r="H606" s="4" t="str">
        <f>FEATURES!O606</f>
        <v>STAGNANT</v>
      </c>
      <c r="I606" s="4" t="str">
        <f t="shared" si="2"/>
        <v>LOW RISK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3.2" x14ac:dyDescent="0.25">
      <c r="A607" s="4">
        <v>837</v>
      </c>
      <c r="B607" s="4" t="s">
        <v>45</v>
      </c>
      <c r="C607" s="4" t="str">
        <f>FEATURES!L607</f>
        <v>NORMAL</v>
      </c>
      <c r="D607" s="4" t="str">
        <f>FEATURES!R607</f>
        <v>LOW</v>
      </c>
      <c r="E607" s="4" t="str">
        <f>FEATURES!Q607</f>
        <v>DISENGAGED</v>
      </c>
      <c r="F607" s="4" t="str">
        <f>FEATURES!P607</f>
        <v>Low_Pressure</v>
      </c>
      <c r="G607" s="4" t="str">
        <f>FEATURES!M607</f>
        <v>HIGH</v>
      </c>
      <c r="H607" s="4" t="str">
        <f>FEATURES!O607</f>
        <v>RECENTLY PROMOTED</v>
      </c>
      <c r="I607" s="4" t="str">
        <f t="shared" si="2"/>
        <v>LOW RISK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3.2" x14ac:dyDescent="0.25">
      <c r="A608" s="4">
        <v>838</v>
      </c>
      <c r="B608" s="4" t="s">
        <v>45</v>
      </c>
      <c r="C608" s="4" t="str">
        <f>FEATURES!L608</f>
        <v>NORMAL</v>
      </c>
      <c r="D608" s="4" t="str">
        <f>FEATURES!R608</f>
        <v>LOW</v>
      </c>
      <c r="E608" s="4" t="str">
        <f>FEATURES!Q608</f>
        <v>HIGHLY_ENGAGED</v>
      </c>
      <c r="F608" s="4" t="str">
        <f>FEATURES!P608</f>
        <v>Medium_Pressure</v>
      </c>
      <c r="G608" s="4" t="str">
        <f>FEATURES!M608</f>
        <v>LOW</v>
      </c>
      <c r="H608" s="4" t="str">
        <f>FEATURES!O608</f>
        <v>RECENTLY PROMOTED</v>
      </c>
      <c r="I608" s="4" t="str">
        <f t="shared" si="2"/>
        <v>LOW RISK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3.2" x14ac:dyDescent="0.25">
      <c r="A609" s="4">
        <v>840</v>
      </c>
      <c r="B609" s="4" t="s">
        <v>37</v>
      </c>
      <c r="C609" s="4" t="str">
        <f>FEATURES!L609</f>
        <v>NORMAL</v>
      </c>
      <c r="D609" s="4" t="str">
        <f>FEATURES!R609</f>
        <v>LOW</v>
      </c>
      <c r="E609" s="4" t="str">
        <f>FEATURES!Q609</f>
        <v>HIGHLY_ENGAGED</v>
      </c>
      <c r="F609" s="4" t="str">
        <f>FEATURES!P609</f>
        <v>Low_Pressure</v>
      </c>
      <c r="G609" s="4" t="str">
        <f>FEATURES!M609</f>
        <v>HIGH</v>
      </c>
      <c r="H609" s="4" t="str">
        <f>FEATURES!O609</f>
        <v>STAGNANT</v>
      </c>
      <c r="I609" s="4" t="str">
        <f t="shared" si="2"/>
        <v>LOW RISK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3.2" x14ac:dyDescent="0.25">
      <c r="A610" s="4">
        <v>842</v>
      </c>
      <c r="B610" s="4" t="s">
        <v>37</v>
      </c>
      <c r="C610" s="4" t="str">
        <f>FEATURES!L610</f>
        <v>NORMAL</v>
      </c>
      <c r="D610" s="4" t="str">
        <f>FEATURES!R610</f>
        <v>LOW</v>
      </c>
      <c r="E610" s="4" t="str">
        <f>FEATURES!Q610</f>
        <v>DISENGAGED</v>
      </c>
      <c r="F610" s="4" t="str">
        <f>FEATURES!P610</f>
        <v>Low_Pressure</v>
      </c>
      <c r="G610" s="4" t="str">
        <f>FEATURES!M610</f>
        <v>HIGH</v>
      </c>
      <c r="H610" s="4" t="str">
        <f>FEATURES!O610</f>
        <v>STAGNANT</v>
      </c>
      <c r="I610" s="4" t="str">
        <f t="shared" si="2"/>
        <v>LOW RISK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3.2" x14ac:dyDescent="0.25">
      <c r="A611" s="4">
        <v>843</v>
      </c>
      <c r="B611" s="4" t="s">
        <v>45</v>
      </c>
      <c r="C611" s="4" t="str">
        <f>FEATURES!L611</f>
        <v>NORMAL</v>
      </c>
      <c r="D611" s="4" t="str">
        <f>FEATURES!R611</f>
        <v>LOW</v>
      </c>
      <c r="E611" s="4" t="str">
        <f>FEATURES!Q611</f>
        <v>DISENGAGED</v>
      </c>
      <c r="F611" s="4" t="str">
        <f>FEATURES!P611</f>
        <v>Medium_Pressure</v>
      </c>
      <c r="G611" s="4" t="str">
        <f>FEATURES!M611</f>
        <v>MEDIUM</v>
      </c>
      <c r="H611" s="4" t="str">
        <f>FEATURES!O611</f>
        <v>RECENTLY PROMOTED</v>
      </c>
      <c r="I611" s="4" t="str">
        <f t="shared" si="2"/>
        <v>LOW RISK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3.2" x14ac:dyDescent="0.25">
      <c r="A612" s="4">
        <v>844</v>
      </c>
      <c r="B612" s="4" t="s">
        <v>45</v>
      </c>
      <c r="C612" s="4" t="str">
        <f>FEATURES!L612</f>
        <v>NORMAL</v>
      </c>
      <c r="D612" s="4" t="str">
        <f>FEATURES!R612</f>
        <v>LOW</v>
      </c>
      <c r="E612" s="4" t="str">
        <f>FEATURES!Q612</f>
        <v>HIGHLY_ENGAGED</v>
      </c>
      <c r="F612" s="4" t="str">
        <f>FEATURES!P612</f>
        <v>Medium_Pressure</v>
      </c>
      <c r="G612" s="4" t="str">
        <f>FEATURES!M612</f>
        <v>MEDIUM</v>
      </c>
      <c r="H612" s="4" t="str">
        <f>FEATURES!O612</f>
        <v>RECENTLY PROMOTED</v>
      </c>
      <c r="I612" s="4" t="str">
        <f t="shared" si="2"/>
        <v>LOW RISK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3.2" x14ac:dyDescent="0.25">
      <c r="A613" s="4">
        <v>845</v>
      </c>
      <c r="B613" s="4" t="s">
        <v>45</v>
      </c>
      <c r="C613" s="4" t="str">
        <f>FEATURES!L613</f>
        <v>NORMAL</v>
      </c>
      <c r="D613" s="4" t="str">
        <f>FEATURES!R613</f>
        <v>LOW</v>
      </c>
      <c r="E613" s="4" t="str">
        <f>FEATURES!Q613</f>
        <v>HIGHLY_ENGAGED</v>
      </c>
      <c r="F613" s="4" t="str">
        <f>FEATURES!P613</f>
        <v>Low_Pressure</v>
      </c>
      <c r="G613" s="4" t="str">
        <f>FEATURES!M613</f>
        <v>MEDIUM</v>
      </c>
      <c r="H613" s="4" t="str">
        <f>FEATURES!O613</f>
        <v>RECENTLY PROMOTED</v>
      </c>
      <c r="I613" s="4" t="str">
        <f t="shared" si="2"/>
        <v>LOW RISK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3.2" x14ac:dyDescent="0.25">
      <c r="A614" s="4">
        <v>846</v>
      </c>
      <c r="B614" s="4" t="s">
        <v>37</v>
      </c>
      <c r="C614" s="4" t="str">
        <f>FEATURES!L614</f>
        <v>HIGH RISK</v>
      </c>
      <c r="D614" s="4" t="str">
        <f>FEATURES!R614</f>
        <v>LOW</v>
      </c>
      <c r="E614" s="4" t="str">
        <f>FEATURES!Q614</f>
        <v>DISENGAGED</v>
      </c>
      <c r="F614" s="4" t="str">
        <f>FEATURES!P614</f>
        <v>Medium_Pressure</v>
      </c>
      <c r="G614" s="4" t="str">
        <f>FEATURES!M614</f>
        <v>HIGH</v>
      </c>
      <c r="H614" s="4" t="str">
        <f>FEATURES!O614</f>
        <v>STAGNANT</v>
      </c>
      <c r="I614" s="4" t="str">
        <f t="shared" si="2"/>
        <v>LOW RISK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3.2" x14ac:dyDescent="0.25">
      <c r="A615" s="4">
        <v>847</v>
      </c>
      <c r="B615" s="4" t="s">
        <v>61</v>
      </c>
      <c r="C615" s="4" t="str">
        <f>FEATURES!L615</f>
        <v>NORMAL</v>
      </c>
      <c r="D615" s="4" t="str">
        <f>FEATURES!R615</f>
        <v>LOW</v>
      </c>
      <c r="E615" s="4" t="str">
        <f>FEATURES!Q615</f>
        <v>DISENGAGED</v>
      </c>
      <c r="F615" s="4" t="str">
        <f>FEATURES!P615</f>
        <v>Low_Pressure</v>
      </c>
      <c r="G615" s="4" t="str">
        <f>FEATURES!M615</f>
        <v>LOW</v>
      </c>
      <c r="H615" s="4" t="str">
        <f>FEATURES!O615</f>
        <v>RECENTLY PROMOTED</v>
      </c>
      <c r="I615" s="4" t="str">
        <f t="shared" si="2"/>
        <v>LOW RISK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3.2" x14ac:dyDescent="0.25">
      <c r="A616" s="4">
        <v>848</v>
      </c>
      <c r="B616" s="4" t="s">
        <v>45</v>
      </c>
      <c r="C616" s="4" t="str">
        <f>FEATURES!L616</f>
        <v>NORMAL</v>
      </c>
      <c r="D616" s="4" t="str">
        <f>FEATURES!R616</f>
        <v>LOW</v>
      </c>
      <c r="E616" s="4" t="str">
        <f>FEATURES!Q616</f>
        <v>HIGHLY_ENGAGED</v>
      </c>
      <c r="F616" s="4" t="str">
        <f>FEATURES!P616</f>
        <v>Medium_Pressure</v>
      </c>
      <c r="G616" s="4" t="str">
        <f>FEATURES!M616</f>
        <v>LOW</v>
      </c>
      <c r="H616" s="4" t="str">
        <f>FEATURES!O616</f>
        <v>RECENTLY PROMOTED</v>
      </c>
      <c r="I616" s="4" t="str">
        <f t="shared" si="2"/>
        <v>LOW RISK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3.2" x14ac:dyDescent="0.25">
      <c r="A617" s="4">
        <v>850</v>
      </c>
      <c r="B617" s="4" t="s">
        <v>45</v>
      </c>
      <c r="C617" s="4" t="str">
        <f>FEATURES!L617</f>
        <v>NORMAL</v>
      </c>
      <c r="D617" s="4" t="str">
        <f>FEATURES!R617</f>
        <v>LOW</v>
      </c>
      <c r="E617" s="4" t="str">
        <f>FEATURES!Q617</f>
        <v>DISENGAGED</v>
      </c>
      <c r="F617" s="4" t="str">
        <f>FEATURES!P617</f>
        <v>Low_Pressure</v>
      </c>
      <c r="G617" s="4" t="str">
        <f>FEATURES!M617</f>
        <v>LOW</v>
      </c>
      <c r="H617" s="4" t="str">
        <f>FEATURES!O617</f>
        <v>RECENTLY PROMOTED</v>
      </c>
      <c r="I617" s="4" t="str">
        <f t="shared" si="2"/>
        <v>LOW RISK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3.2" x14ac:dyDescent="0.25">
      <c r="A618" s="4">
        <v>851</v>
      </c>
      <c r="B618" s="4" t="s">
        <v>37</v>
      </c>
      <c r="C618" s="4" t="str">
        <f>FEATURES!L618</f>
        <v>NORMAL</v>
      </c>
      <c r="D618" s="4" t="str">
        <f>FEATURES!R618</f>
        <v>LOW</v>
      </c>
      <c r="E618" s="4" t="str">
        <f>FEATURES!Q618</f>
        <v>DISENGAGED</v>
      </c>
      <c r="F618" s="4" t="str">
        <f>FEATURES!P618</f>
        <v>Low_Pressure</v>
      </c>
      <c r="G618" s="4" t="str">
        <f>FEATURES!M618</f>
        <v>MEDIUM</v>
      </c>
      <c r="H618" s="4" t="str">
        <f>FEATURES!O618</f>
        <v>STAGNANT</v>
      </c>
      <c r="I618" s="4" t="str">
        <f t="shared" si="2"/>
        <v>LOW RISK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3.2" x14ac:dyDescent="0.25">
      <c r="A619" s="4">
        <v>852</v>
      </c>
      <c r="B619" s="4" t="s">
        <v>45</v>
      </c>
      <c r="C619" s="4" t="str">
        <f>FEATURES!L619</f>
        <v>NORMAL</v>
      </c>
      <c r="D619" s="4" t="str">
        <f>FEATURES!R619</f>
        <v>LOW</v>
      </c>
      <c r="E619" s="4" t="str">
        <f>FEATURES!Q619</f>
        <v>DISENGAGED</v>
      </c>
      <c r="F619" s="4" t="str">
        <f>FEATURES!P619</f>
        <v>Low_Pressure</v>
      </c>
      <c r="G619" s="4" t="str">
        <f>FEATURES!M619</f>
        <v>HIGH</v>
      </c>
      <c r="H619" s="4" t="str">
        <f>FEATURES!O619</f>
        <v>MODERATE-WAIT</v>
      </c>
      <c r="I619" s="4" t="str">
        <f t="shared" si="2"/>
        <v>LOW RISK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3.2" x14ac:dyDescent="0.25">
      <c r="A620" s="4">
        <v>854</v>
      </c>
      <c r="B620" s="4" t="s">
        <v>45</v>
      </c>
      <c r="C620" s="4" t="str">
        <f>FEATURES!L620</f>
        <v>NORMAL</v>
      </c>
      <c r="D620" s="4" t="str">
        <f>FEATURES!R620</f>
        <v>LOW</v>
      </c>
      <c r="E620" s="4" t="str">
        <f>FEATURES!Q620</f>
        <v>DISENGAGED</v>
      </c>
      <c r="F620" s="4" t="str">
        <f>FEATURES!P620</f>
        <v>Low_Pressure</v>
      </c>
      <c r="G620" s="4" t="str">
        <f>FEATURES!M620</f>
        <v>LOW</v>
      </c>
      <c r="H620" s="4" t="str">
        <f>FEATURES!O620</f>
        <v>RECENTLY PROMOTED</v>
      </c>
      <c r="I620" s="4" t="str">
        <f t="shared" si="2"/>
        <v>LOW RISK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3.2" x14ac:dyDescent="0.25">
      <c r="A621" s="4">
        <v>855</v>
      </c>
      <c r="B621" s="4" t="s">
        <v>37</v>
      </c>
      <c r="C621" s="4" t="str">
        <f>FEATURES!L621</f>
        <v>NORMAL</v>
      </c>
      <c r="D621" s="4" t="str">
        <f>FEATURES!R621</f>
        <v>LOW</v>
      </c>
      <c r="E621" s="4" t="str">
        <f>FEATURES!Q621</f>
        <v>DISENGAGED</v>
      </c>
      <c r="F621" s="4" t="str">
        <f>FEATURES!P621</f>
        <v>Medium_Pressure</v>
      </c>
      <c r="G621" s="4" t="str">
        <f>FEATURES!M621</f>
        <v>HIGH</v>
      </c>
      <c r="H621" s="4" t="str">
        <f>FEATURES!O621</f>
        <v>RECENTLY PROMOTED</v>
      </c>
      <c r="I621" s="4" t="str">
        <f t="shared" si="2"/>
        <v>LOW RISK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3.2" x14ac:dyDescent="0.25">
      <c r="A622" s="4">
        <v>856</v>
      </c>
      <c r="B622" s="4" t="s">
        <v>45</v>
      </c>
      <c r="C622" s="4" t="str">
        <f>FEATURES!L622</f>
        <v>NORMAL</v>
      </c>
      <c r="D622" s="4" t="str">
        <f>FEATURES!R622</f>
        <v>LOW</v>
      </c>
      <c r="E622" s="4" t="str">
        <f>FEATURES!Q622</f>
        <v>DISENGAGED</v>
      </c>
      <c r="F622" s="4" t="str">
        <f>FEATURES!P622</f>
        <v>Low_Pressure</v>
      </c>
      <c r="G622" s="4" t="str">
        <f>FEATURES!M622</f>
        <v>LOW</v>
      </c>
      <c r="H622" s="4" t="str">
        <f>FEATURES!O622</f>
        <v>RECENTLY PROMOTED</v>
      </c>
      <c r="I622" s="4" t="str">
        <f t="shared" si="2"/>
        <v>LOW RISK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3.2" x14ac:dyDescent="0.25">
      <c r="A623" s="4">
        <v>857</v>
      </c>
      <c r="B623" s="4" t="s">
        <v>37</v>
      </c>
      <c r="C623" s="4" t="str">
        <f>FEATURES!L623</f>
        <v>NORMAL</v>
      </c>
      <c r="D623" s="4" t="str">
        <f>FEATURES!R623</f>
        <v>LOW</v>
      </c>
      <c r="E623" s="4" t="str">
        <f>FEATURES!Q623</f>
        <v>DISENGAGED</v>
      </c>
      <c r="F623" s="4" t="str">
        <f>FEATURES!P623</f>
        <v>High_Pressure</v>
      </c>
      <c r="G623" s="4" t="str">
        <f>FEATURES!M623</f>
        <v>HIGH</v>
      </c>
      <c r="H623" s="4" t="str">
        <f>FEATURES!O623</f>
        <v>STAGNANT</v>
      </c>
      <c r="I623" s="4" t="str">
        <f t="shared" si="2"/>
        <v>LOW RISK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3.2" x14ac:dyDescent="0.25">
      <c r="A624" s="4">
        <v>859</v>
      </c>
      <c r="B624" s="4" t="s">
        <v>37</v>
      </c>
      <c r="C624" s="4" t="str">
        <f>FEATURES!L624</f>
        <v>NORMAL</v>
      </c>
      <c r="D624" s="4" t="str">
        <f>FEATURES!R624</f>
        <v>LOW</v>
      </c>
      <c r="E624" s="4" t="str">
        <f>FEATURES!Q624</f>
        <v>DISENGAGED</v>
      </c>
      <c r="F624" s="4" t="str">
        <f>FEATURES!P624</f>
        <v>Low_Pressure</v>
      </c>
      <c r="G624" s="4" t="str">
        <f>FEATURES!M624</f>
        <v>HIGH</v>
      </c>
      <c r="H624" s="4" t="str">
        <f>FEATURES!O624</f>
        <v>RECENTLY PROMOTED</v>
      </c>
      <c r="I624" s="4" t="str">
        <f t="shared" si="2"/>
        <v>LOW RISK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3.2" x14ac:dyDescent="0.25">
      <c r="A625" s="4">
        <v>861</v>
      </c>
      <c r="B625" s="4" t="s">
        <v>45</v>
      </c>
      <c r="C625" s="4" t="str">
        <f>FEATURES!L625</f>
        <v>NORMAL</v>
      </c>
      <c r="D625" s="4" t="str">
        <f>FEATURES!R625</f>
        <v>LOW</v>
      </c>
      <c r="E625" s="4" t="str">
        <f>FEATURES!Q625</f>
        <v>DISENGAGED</v>
      </c>
      <c r="F625" s="4" t="str">
        <f>FEATURES!P625</f>
        <v>Low_Pressure</v>
      </c>
      <c r="G625" s="4" t="str">
        <f>FEATURES!M625</f>
        <v>LOW</v>
      </c>
      <c r="H625" s="4" t="str">
        <f>FEATURES!O625</f>
        <v>RECENTLY PROMOTED</v>
      </c>
      <c r="I625" s="4" t="str">
        <f t="shared" si="2"/>
        <v>LOW RISK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3.2" x14ac:dyDescent="0.25">
      <c r="A626" s="4">
        <v>862</v>
      </c>
      <c r="B626" s="4" t="s">
        <v>37</v>
      </c>
      <c r="C626" s="4" t="str">
        <f>FEATURES!L626</f>
        <v>NORMAL</v>
      </c>
      <c r="D626" s="4" t="str">
        <f>FEATURES!R626</f>
        <v>LOW</v>
      </c>
      <c r="E626" s="4" t="str">
        <f>FEATURES!Q626</f>
        <v>HIGHLY_ENGAGED</v>
      </c>
      <c r="F626" s="4" t="str">
        <f>FEATURES!P626</f>
        <v>Medium_Pressure</v>
      </c>
      <c r="G626" s="4" t="str">
        <f>FEATURES!M626</f>
        <v>MEDIUM</v>
      </c>
      <c r="H626" s="4" t="str">
        <f>FEATURES!O626</f>
        <v>RECENTLY PROMOTED</v>
      </c>
      <c r="I626" s="4" t="str">
        <f t="shared" si="2"/>
        <v>LOW RISK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3.2" x14ac:dyDescent="0.25">
      <c r="A627" s="4">
        <v>864</v>
      </c>
      <c r="B627" s="4" t="s">
        <v>37</v>
      </c>
      <c r="C627" s="4" t="str">
        <f>FEATURES!L627</f>
        <v>NORMAL</v>
      </c>
      <c r="D627" s="4" t="str">
        <f>FEATURES!R627</f>
        <v>LOW</v>
      </c>
      <c r="E627" s="4" t="str">
        <f>FEATURES!Q627</f>
        <v>DISENGAGED</v>
      </c>
      <c r="F627" s="4" t="str">
        <f>FEATURES!P627</f>
        <v>Medium_Pressure</v>
      </c>
      <c r="G627" s="4" t="str">
        <f>FEATURES!M627</f>
        <v>MEDIUM</v>
      </c>
      <c r="H627" s="4" t="str">
        <f>FEATURES!O627</f>
        <v>RECENTLY PROMOTED</v>
      </c>
      <c r="I627" s="4" t="str">
        <f t="shared" si="2"/>
        <v>LOW RISK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3.2" x14ac:dyDescent="0.25">
      <c r="A628" s="4">
        <v>865</v>
      </c>
      <c r="B628" s="4" t="s">
        <v>45</v>
      </c>
      <c r="C628" s="4" t="str">
        <f>FEATURES!L628</f>
        <v>NORMAL</v>
      </c>
      <c r="D628" s="4" t="str">
        <f>FEATURES!R628</f>
        <v>LOW</v>
      </c>
      <c r="E628" s="4" t="str">
        <f>FEATURES!Q628</f>
        <v>DISENGAGED</v>
      </c>
      <c r="F628" s="4" t="str">
        <f>FEATURES!P628</f>
        <v>Low_Pressure</v>
      </c>
      <c r="G628" s="4" t="str">
        <f>FEATURES!M628</f>
        <v>HIGH</v>
      </c>
      <c r="H628" s="4" t="str">
        <f>FEATURES!O628</f>
        <v>RECENTLY PROMOTED</v>
      </c>
      <c r="I628" s="4" t="str">
        <f t="shared" si="2"/>
        <v>LOW RISK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3.2" x14ac:dyDescent="0.25">
      <c r="A629" s="4">
        <v>867</v>
      </c>
      <c r="B629" s="4" t="s">
        <v>45</v>
      </c>
      <c r="C629" s="4" t="str">
        <f>FEATURES!L629</f>
        <v>NORMAL</v>
      </c>
      <c r="D629" s="4" t="str">
        <f>FEATURES!R629</f>
        <v>LOW</v>
      </c>
      <c r="E629" s="4" t="str">
        <f>FEATURES!Q629</f>
        <v>HIGHLY_ENGAGED</v>
      </c>
      <c r="F629" s="4" t="str">
        <f>FEATURES!P629</f>
        <v>Medium_Pressure</v>
      </c>
      <c r="G629" s="4" t="str">
        <f>FEATURES!M629</f>
        <v>MEDIUM</v>
      </c>
      <c r="H629" s="4" t="str">
        <f>FEATURES!O629</f>
        <v>RECENTLY PROMOTED</v>
      </c>
      <c r="I629" s="4" t="str">
        <f t="shared" si="2"/>
        <v>LOW RISK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3.2" x14ac:dyDescent="0.25">
      <c r="A630" s="4">
        <v>868</v>
      </c>
      <c r="B630" s="4" t="s">
        <v>37</v>
      </c>
      <c r="C630" s="4" t="str">
        <f>FEATURES!L630</f>
        <v>NORMAL</v>
      </c>
      <c r="D630" s="4" t="str">
        <f>FEATURES!R630</f>
        <v>LOW</v>
      </c>
      <c r="E630" s="4" t="str">
        <f>FEATURES!Q630</f>
        <v>HIGHLY_ENGAGED</v>
      </c>
      <c r="F630" s="4" t="str">
        <f>FEATURES!P630</f>
        <v>Medium_Pressure</v>
      </c>
      <c r="G630" s="4" t="str">
        <f>FEATURES!M630</f>
        <v>HIGH</v>
      </c>
      <c r="H630" s="4" t="str">
        <f>FEATURES!O630</f>
        <v>RECENTLY PROMOTED</v>
      </c>
      <c r="I630" s="4" t="str">
        <f t="shared" si="2"/>
        <v>LOW RISK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3.2" x14ac:dyDescent="0.25">
      <c r="A631" s="4">
        <v>869</v>
      </c>
      <c r="B631" s="4" t="s">
        <v>61</v>
      </c>
      <c r="C631" s="4" t="str">
        <f>FEATURES!L631</f>
        <v>NORMAL</v>
      </c>
      <c r="D631" s="4" t="str">
        <f>FEATURES!R631</f>
        <v>LOW</v>
      </c>
      <c r="E631" s="4" t="str">
        <f>FEATURES!Q631</f>
        <v>HIGHLY_ENGAGED</v>
      </c>
      <c r="F631" s="4" t="str">
        <f>FEATURES!P631</f>
        <v>Medium_Pressure</v>
      </c>
      <c r="G631" s="4" t="str">
        <f>FEATURES!M631</f>
        <v>HIGH</v>
      </c>
      <c r="H631" s="4" t="str">
        <f>FEATURES!O631</f>
        <v>RECENTLY PROMOTED</v>
      </c>
      <c r="I631" s="4" t="str">
        <f t="shared" si="2"/>
        <v>LOW RISK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3.2" x14ac:dyDescent="0.25">
      <c r="A632" s="4">
        <v>872</v>
      </c>
      <c r="B632" s="4" t="s">
        <v>45</v>
      </c>
      <c r="C632" s="4" t="str">
        <f>FEATURES!L632</f>
        <v>NORMAL</v>
      </c>
      <c r="D632" s="4" t="str">
        <f>FEATURES!R632</f>
        <v>LOW</v>
      </c>
      <c r="E632" s="4" t="str">
        <f>FEATURES!Q632</f>
        <v>DISENGAGED</v>
      </c>
      <c r="F632" s="4" t="str">
        <f>FEATURES!P632</f>
        <v>Low_Pressure</v>
      </c>
      <c r="G632" s="4" t="str">
        <f>FEATURES!M632</f>
        <v>HIGH</v>
      </c>
      <c r="H632" s="4" t="str">
        <f>FEATURES!O632</f>
        <v>MODERATE-WAIT</v>
      </c>
      <c r="I632" s="4" t="str">
        <f t="shared" si="2"/>
        <v>LOW RISK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3.2" x14ac:dyDescent="0.25">
      <c r="A633" s="4">
        <v>874</v>
      </c>
      <c r="B633" s="4" t="s">
        <v>45</v>
      </c>
      <c r="C633" s="4" t="str">
        <f>FEATURES!L633</f>
        <v>NORMAL</v>
      </c>
      <c r="D633" s="4" t="str">
        <f>FEATURES!R633</f>
        <v>LOW</v>
      </c>
      <c r="E633" s="4" t="str">
        <f>FEATURES!Q633</f>
        <v>DISENGAGED</v>
      </c>
      <c r="F633" s="4" t="str">
        <f>FEATURES!P633</f>
        <v>High_Pressure</v>
      </c>
      <c r="G633" s="4" t="str">
        <f>FEATURES!M633</f>
        <v>LOW</v>
      </c>
      <c r="H633" s="4" t="str">
        <f>FEATURES!O633</f>
        <v>RECENTLY PROMOTED</v>
      </c>
      <c r="I633" s="4" t="str">
        <f t="shared" si="2"/>
        <v>LOW RISK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3.2" x14ac:dyDescent="0.25">
      <c r="A634" s="4">
        <v>875</v>
      </c>
      <c r="B634" s="4" t="s">
        <v>45</v>
      </c>
      <c r="C634" s="4" t="str">
        <f>FEATURES!L634</f>
        <v>NORMAL</v>
      </c>
      <c r="D634" s="4" t="str">
        <f>FEATURES!R634</f>
        <v>LOW</v>
      </c>
      <c r="E634" s="4" t="str">
        <f>FEATURES!Q634</f>
        <v>HIGHLY_ENGAGED</v>
      </c>
      <c r="F634" s="4" t="str">
        <f>FEATURES!P634</f>
        <v>Medium_Pressure</v>
      </c>
      <c r="G634" s="4" t="str">
        <f>FEATURES!M634</f>
        <v>LOW</v>
      </c>
      <c r="H634" s="4" t="str">
        <f>FEATURES!O634</f>
        <v>MODERATE-WAIT</v>
      </c>
      <c r="I634" s="4" t="str">
        <f t="shared" si="2"/>
        <v>LOW RISK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3.2" x14ac:dyDescent="0.25">
      <c r="A635" s="4">
        <v>878</v>
      </c>
      <c r="B635" s="4" t="s">
        <v>61</v>
      </c>
      <c r="C635" s="4" t="str">
        <f>FEATURES!L635</f>
        <v>NORMAL</v>
      </c>
      <c r="D635" s="4" t="str">
        <f>FEATURES!R635</f>
        <v>LOW</v>
      </c>
      <c r="E635" s="4" t="str">
        <f>FEATURES!Q635</f>
        <v>DISENGAGED</v>
      </c>
      <c r="F635" s="4" t="str">
        <f>FEATURES!P635</f>
        <v>Medium_Pressure</v>
      </c>
      <c r="G635" s="4" t="str">
        <f>FEATURES!M635</f>
        <v>LOW</v>
      </c>
      <c r="H635" s="4" t="str">
        <f>FEATURES!O635</f>
        <v>RECENTLY PROMOTED</v>
      </c>
      <c r="I635" s="4" t="str">
        <f t="shared" si="2"/>
        <v>LOW RISK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3.2" x14ac:dyDescent="0.25">
      <c r="A636" s="4">
        <v>879</v>
      </c>
      <c r="B636" s="4" t="s">
        <v>37</v>
      </c>
      <c r="C636" s="4" t="str">
        <f>FEATURES!L636</f>
        <v>NORMAL</v>
      </c>
      <c r="D636" s="4" t="str">
        <f>FEATURES!R636</f>
        <v>LOW</v>
      </c>
      <c r="E636" s="4" t="str">
        <f>FEATURES!Q636</f>
        <v>DISENGAGED</v>
      </c>
      <c r="F636" s="4" t="str">
        <f>FEATURES!P636</f>
        <v>Medium_Pressure</v>
      </c>
      <c r="G636" s="4" t="str">
        <f>FEATURES!M636</f>
        <v>HIGH</v>
      </c>
      <c r="H636" s="4" t="str">
        <f>FEATURES!O636</f>
        <v>RECENTLY PROMOTED</v>
      </c>
      <c r="I636" s="4" t="str">
        <f t="shared" si="2"/>
        <v>LOW RISK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3.2" x14ac:dyDescent="0.25">
      <c r="A637" s="4">
        <v>880</v>
      </c>
      <c r="B637" s="4" t="s">
        <v>45</v>
      </c>
      <c r="C637" s="4" t="str">
        <f>FEATURES!L637</f>
        <v>NORMAL</v>
      </c>
      <c r="D637" s="4" t="str">
        <f>FEATURES!R637</f>
        <v>LOW</v>
      </c>
      <c r="E637" s="4" t="str">
        <f>FEATURES!Q637</f>
        <v>HIGHLY_ENGAGED</v>
      </c>
      <c r="F637" s="4" t="str">
        <f>FEATURES!P637</f>
        <v>Medium_Pressure</v>
      </c>
      <c r="G637" s="4" t="str">
        <f>FEATURES!M637</f>
        <v>MEDIUM</v>
      </c>
      <c r="H637" s="4" t="str">
        <f>FEATURES!O637</f>
        <v>STAGNANT</v>
      </c>
      <c r="I637" s="4" t="str">
        <f t="shared" si="2"/>
        <v>LOW RISK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3.2" x14ac:dyDescent="0.25">
      <c r="A638" s="4">
        <v>881</v>
      </c>
      <c r="B638" s="4" t="s">
        <v>45</v>
      </c>
      <c r="C638" s="4" t="str">
        <f>FEATURES!L638</f>
        <v>HIGH RISK</v>
      </c>
      <c r="D638" s="4" t="str">
        <f>FEATURES!R638</f>
        <v>LOW</v>
      </c>
      <c r="E638" s="4" t="str">
        <f>FEATURES!Q638</f>
        <v>DISENGAGED</v>
      </c>
      <c r="F638" s="4" t="str">
        <f>FEATURES!P638</f>
        <v>High_Pressure</v>
      </c>
      <c r="G638" s="4" t="str">
        <f>FEATURES!M638</f>
        <v>LOW</v>
      </c>
      <c r="H638" s="4" t="str">
        <f>FEATURES!O638</f>
        <v>STAGNANT</v>
      </c>
      <c r="I638" s="4" t="str">
        <f t="shared" si="2"/>
        <v>LOW RISK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3.2" x14ac:dyDescent="0.25">
      <c r="A639" s="4">
        <v>882</v>
      </c>
      <c r="B639" s="4" t="s">
        <v>45</v>
      </c>
      <c r="C639" s="4" t="str">
        <f>FEATURES!L639</f>
        <v>NORMAL</v>
      </c>
      <c r="D639" s="4" t="str">
        <f>FEATURES!R639</f>
        <v>LOW</v>
      </c>
      <c r="E639" s="4" t="str">
        <f>FEATURES!Q639</f>
        <v>HIGHLY_ENGAGED</v>
      </c>
      <c r="F639" s="4" t="str">
        <f>FEATURES!P639</f>
        <v>Medium_Pressure</v>
      </c>
      <c r="G639" s="4" t="str">
        <f>FEATURES!M639</f>
        <v>LOW</v>
      </c>
      <c r="H639" s="4" t="str">
        <f>FEATURES!O639</f>
        <v>RECENTLY PROMOTED</v>
      </c>
      <c r="I639" s="4" t="str">
        <f t="shared" si="2"/>
        <v>LOW RISK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3.2" x14ac:dyDescent="0.25">
      <c r="A640" s="4">
        <v>885</v>
      </c>
      <c r="B640" s="4" t="s">
        <v>37</v>
      </c>
      <c r="C640" s="4" t="str">
        <f>FEATURES!L640</f>
        <v>NORMAL</v>
      </c>
      <c r="D640" s="4" t="str">
        <f>FEATURES!R640</f>
        <v>LOW</v>
      </c>
      <c r="E640" s="4" t="str">
        <f>FEATURES!Q640</f>
        <v>DISENGAGED</v>
      </c>
      <c r="F640" s="4" t="str">
        <f>FEATURES!P640</f>
        <v>Low_Pressure</v>
      </c>
      <c r="G640" s="4" t="str">
        <f>FEATURES!M640</f>
        <v>HIGH</v>
      </c>
      <c r="H640" s="4" t="str">
        <f>FEATURES!O640</f>
        <v>RECENTLY PROMOTED</v>
      </c>
      <c r="I640" s="4" t="str">
        <f t="shared" si="2"/>
        <v>LOW RISK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3.2" x14ac:dyDescent="0.25">
      <c r="A641" s="4">
        <v>887</v>
      </c>
      <c r="B641" s="4" t="s">
        <v>45</v>
      </c>
      <c r="C641" s="4" t="str">
        <f>FEATURES!L641</f>
        <v>NORMAL</v>
      </c>
      <c r="D641" s="4" t="str">
        <f>FEATURES!R641</f>
        <v>LOW</v>
      </c>
      <c r="E641" s="4" t="str">
        <f>FEATURES!Q641</f>
        <v>DISENGAGED</v>
      </c>
      <c r="F641" s="4" t="str">
        <f>FEATURES!P641</f>
        <v>Medium_Pressure</v>
      </c>
      <c r="G641" s="4" t="str">
        <f>FEATURES!M641</f>
        <v>LOW</v>
      </c>
      <c r="H641" s="4" t="str">
        <f>FEATURES!O641</f>
        <v>RECENTLY PROMOTED</v>
      </c>
      <c r="I641" s="4" t="str">
        <f t="shared" si="2"/>
        <v>LOW RISK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3.2" x14ac:dyDescent="0.25">
      <c r="A642" s="4">
        <v>888</v>
      </c>
      <c r="B642" s="4" t="s">
        <v>45</v>
      </c>
      <c r="C642" s="4" t="str">
        <f>FEATURES!L642</f>
        <v>NORMAL</v>
      </c>
      <c r="D642" s="4" t="str">
        <f>FEATURES!R642</f>
        <v>LOW</v>
      </c>
      <c r="E642" s="4" t="str">
        <f>FEATURES!Q642</f>
        <v>DISENGAGED</v>
      </c>
      <c r="F642" s="4" t="str">
        <f>FEATURES!P642</f>
        <v>Low_Pressure</v>
      </c>
      <c r="G642" s="4" t="str">
        <f>FEATURES!M642</f>
        <v>LOW</v>
      </c>
      <c r="H642" s="4" t="str">
        <f>FEATURES!O642</f>
        <v>MODERATE-WAIT</v>
      </c>
      <c r="I642" s="4" t="str">
        <f t="shared" si="2"/>
        <v>LOW RISK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3.2" x14ac:dyDescent="0.25">
      <c r="A643" s="4">
        <v>889</v>
      </c>
      <c r="B643" s="4" t="s">
        <v>37</v>
      </c>
      <c r="C643" s="4" t="str">
        <f>FEATURES!L643</f>
        <v>NORMAL</v>
      </c>
      <c r="D643" s="4" t="str">
        <f>FEATURES!R643</f>
        <v>LOW</v>
      </c>
      <c r="E643" s="4" t="str">
        <f>FEATURES!Q643</f>
        <v>DISENGAGED</v>
      </c>
      <c r="F643" s="4" t="str">
        <f>FEATURES!P643</f>
        <v>Medium_Pressure</v>
      </c>
      <c r="G643" s="4" t="str">
        <f>FEATURES!M643</f>
        <v>HIGH</v>
      </c>
      <c r="H643" s="4" t="str">
        <f>FEATURES!O643</f>
        <v>STAGNANT</v>
      </c>
      <c r="I643" s="4" t="str">
        <f t="shared" si="2"/>
        <v>LOW RISK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3.2" x14ac:dyDescent="0.25">
      <c r="A644" s="4">
        <v>893</v>
      </c>
      <c r="B644" s="4" t="s">
        <v>37</v>
      </c>
      <c r="C644" s="4" t="str">
        <f>FEATURES!L644</f>
        <v>NORMAL</v>
      </c>
      <c r="D644" s="4" t="str">
        <f>FEATURES!R644</f>
        <v>LOW</v>
      </c>
      <c r="E644" s="4" t="str">
        <f>FEATURES!Q644</f>
        <v>DISENGAGED</v>
      </c>
      <c r="F644" s="4" t="str">
        <f>FEATURES!P644</f>
        <v>Medium_Pressure</v>
      </c>
      <c r="G644" s="4" t="str">
        <f>FEATURES!M644</f>
        <v>LOW</v>
      </c>
      <c r="H644" s="4" t="str">
        <f>FEATURES!O644</f>
        <v>RECENTLY PROMOTED</v>
      </c>
      <c r="I644" s="4" t="str">
        <f t="shared" si="2"/>
        <v>LOW RISK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3.2" x14ac:dyDescent="0.25">
      <c r="A645" s="4">
        <v>894</v>
      </c>
      <c r="B645" s="4" t="s">
        <v>45</v>
      </c>
      <c r="C645" s="4" t="str">
        <f>FEATURES!L645</f>
        <v>NORMAL</v>
      </c>
      <c r="D645" s="4" t="str">
        <f>FEATURES!R645</f>
        <v>LOW</v>
      </c>
      <c r="E645" s="4" t="str">
        <f>FEATURES!Q645</f>
        <v>DISENGAGED</v>
      </c>
      <c r="F645" s="4" t="str">
        <f>FEATURES!P645</f>
        <v>High_Pressure</v>
      </c>
      <c r="G645" s="4" t="str">
        <f>FEATURES!M645</f>
        <v>HIGH</v>
      </c>
      <c r="H645" s="4" t="str">
        <f>FEATURES!O645</f>
        <v>RECENTLY PROMOTED</v>
      </c>
      <c r="I645" s="4" t="str">
        <f t="shared" si="2"/>
        <v>LOW RISK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3.2" x14ac:dyDescent="0.25">
      <c r="A646" s="4">
        <v>895</v>
      </c>
      <c r="B646" s="4" t="s">
        <v>45</v>
      </c>
      <c r="C646" s="4" t="str">
        <f>FEATURES!L646</f>
        <v>NORMAL</v>
      </c>
      <c r="D646" s="4" t="str">
        <f>FEATURES!R646</f>
        <v>LOW</v>
      </c>
      <c r="E646" s="4" t="str">
        <f>FEATURES!Q646</f>
        <v>HIGHLY_ENGAGED</v>
      </c>
      <c r="F646" s="4" t="str">
        <f>FEATURES!P646</f>
        <v>Medium_Pressure</v>
      </c>
      <c r="G646" s="4" t="str">
        <f>FEATURES!M646</f>
        <v>LOW</v>
      </c>
      <c r="H646" s="4" t="str">
        <f>FEATURES!O646</f>
        <v>RECENTLY PROMOTED</v>
      </c>
      <c r="I646" s="4" t="str">
        <f t="shared" si="2"/>
        <v>LOW RISK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3.2" x14ac:dyDescent="0.25">
      <c r="A647" s="4">
        <v>896</v>
      </c>
      <c r="B647" s="4" t="s">
        <v>37</v>
      </c>
      <c r="C647" s="4" t="str">
        <f>FEATURES!L647</f>
        <v>NORMAL</v>
      </c>
      <c r="D647" s="4" t="str">
        <f>FEATURES!R647</f>
        <v>LOW</v>
      </c>
      <c r="E647" s="4" t="str">
        <f>FEATURES!Q647</f>
        <v>HIGHLY_ENGAGED</v>
      </c>
      <c r="F647" s="4" t="str">
        <f>FEATURES!P647</f>
        <v>Medium_Pressure</v>
      </c>
      <c r="G647" s="4" t="str">
        <f>FEATURES!M647</f>
        <v>LOW</v>
      </c>
      <c r="H647" s="4" t="str">
        <f>FEATURES!O647</f>
        <v>RECENTLY PROMOTED</v>
      </c>
      <c r="I647" s="4" t="str">
        <f t="shared" si="2"/>
        <v>LOW RISK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3.2" x14ac:dyDescent="0.25">
      <c r="A648" s="4">
        <v>897</v>
      </c>
      <c r="B648" s="4" t="s">
        <v>37</v>
      </c>
      <c r="C648" s="4" t="str">
        <f>FEATURES!L648</f>
        <v>NORMAL</v>
      </c>
      <c r="D648" s="4" t="str">
        <f>FEATURES!R648</f>
        <v>LOW</v>
      </c>
      <c r="E648" s="4" t="str">
        <f>FEATURES!Q648</f>
        <v>HIGHLY_ENGAGED</v>
      </c>
      <c r="F648" s="4" t="str">
        <f>FEATURES!P648</f>
        <v>Medium_Pressure</v>
      </c>
      <c r="G648" s="4" t="str">
        <f>FEATURES!M648</f>
        <v>MEDIUM</v>
      </c>
      <c r="H648" s="4" t="str">
        <f>FEATURES!O648</f>
        <v>MODERATE-WAIT</v>
      </c>
      <c r="I648" s="4" t="str">
        <f t="shared" si="2"/>
        <v>LOW RISK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3.2" x14ac:dyDescent="0.25">
      <c r="A649" s="4">
        <v>899</v>
      </c>
      <c r="B649" s="4" t="s">
        <v>45</v>
      </c>
      <c r="C649" s="4" t="str">
        <f>FEATURES!L649</f>
        <v>NORMAL</v>
      </c>
      <c r="D649" s="4" t="str">
        <f>FEATURES!R649</f>
        <v>LOW</v>
      </c>
      <c r="E649" s="4" t="str">
        <f>FEATURES!Q649</f>
        <v>DISENGAGED</v>
      </c>
      <c r="F649" s="4" t="str">
        <f>FEATURES!P649</f>
        <v>Medium_Pressure</v>
      </c>
      <c r="G649" s="4" t="str">
        <f>FEATURES!M649</f>
        <v>MEDIUM</v>
      </c>
      <c r="H649" s="4" t="str">
        <f>FEATURES!O649</f>
        <v>STAGNANT</v>
      </c>
      <c r="I649" s="4" t="str">
        <f t="shared" si="2"/>
        <v>LOW RISK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3.2" x14ac:dyDescent="0.25">
      <c r="A650" s="4">
        <v>900</v>
      </c>
      <c r="B650" s="4" t="s">
        <v>37</v>
      </c>
      <c r="C650" s="4" t="str">
        <f>FEATURES!L650</f>
        <v>NORMAL</v>
      </c>
      <c r="D650" s="4" t="str">
        <f>FEATURES!R650</f>
        <v>LOW</v>
      </c>
      <c r="E650" s="4" t="str">
        <f>FEATURES!Q650</f>
        <v>HIGHLY_ENGAGED</v>
      </c>
      <c r="F650" s="4" t="str">
        <f>FEATURES!P650</f>
        <v>Medium_Pressure</v>
      </c>
      <c r="G650" s="4" t="str">
        <f>FEATURES!M650</f>
        <v>LOW</v>
      </c>
      <c r="H650" s="4" t="str">
        <f>FEATURES!O650</f>
        <v>RECENTLY PROMOTED</v>
      </c>
      <c r="I650" s="4" t="str">
        <f t="shared" si="2"/>
        <v>LOW RISK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3.2" x14ac:dyDescent="0.25">
      <c r="A651" s="4">
        <v>901</v>
      </c>
      <c r="B651" s="4" t="s">
        <v>45</v>
      </c>
      <c r="C651" s="4" t="str">
        <f>FEATURES!L651</f>
        <v>NORMAL</v>
      </c>
      <c r="D651" s="4" t="str">
        <f>FEATURES!R651</f>
        <v>LOW</v>
      </c>
      <c r="E651" s="4" t="str">
        <f>FEATURES!Q651</f>
        <v>HIGHLY_ENGAGED</v>
      </c>
      <c r="F651" s="4" t="str">
        <f>FEATURES!P651</f>
        <v>Medium_Pressure</v>
      </c>
      <c r="G651" s="4" t="str">
        <f>FEATURES!M651</f>
        <v>MEDIUM</v>
      </c>
      <c r="H651" s="4" t="str">
        <f>FEATURES!O651</f>
        <v>MODERATE-WAIT</v>
      </c>
      <c r="I651" s="4" t="str">
        <f t="shared" si="2"/>
        <v>LOW RISK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3.2" x14ac:dyDescent="0.25">
      <c r="A652" s="4">
        <v>902</v>
      </c>
      <c r="B652" s="4" t="s">
        <v>45</v>
      </c>
      <c r="C652" s="4" t="str">
        <f>FEATURES!L652</f>
        <v>NORMAL</v>
      </c>
      <c r="D652" s="4" t="str">
        <f>FEATURES!R652</f>
        <v>LOW</v>
      </c>
      <c r="E652" s="4" t="str">
        <f>FEATURES!Q652</f>
        <v>DISENGAGED</v>
      </c>
      <c r="F652" s="4" t="str">
        <f>FEATURES!P652</f>
        <v>Low_Pressure</v>
      </c>
      <c r="G652" s="4" t="str">
        <f>FEATURES!M652</f>
        <v>HIGH</v>
      </c>
      <c r="H652" s="4" t="str">
        <f>FEATURES!O652</f>
        <v>MODERATE-WAIT</v>
      </c>
      <c r="I652" s="4" t="str">
        <f t="shared" si="2"/>
        <v>LOW RISK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3.2" x14ac:dyDescent="0.25">
      <c r="A653" s="4">
        <v>903</v>
      </c>
      <c r="B653" s="4" t="s">
        <v>37</v>
      </c>
      <c r="C653" s="4" t="str">
        <f>FEATURES!L653</f>
        <v>NORMAL</v>
      </c>
      <c r="D653" s="4" t="str">
        <f>FEATURES!R653</f>
        <v>LOW</v>
      </c>
      <c r="E653" s="4" t="str">
        <f>FEATURES!Q653</f>
        <v>HIGHLY_ENGAGED</v>
      </c>
      <c r="F653" s="4" t="str">
        <f>FEATURES!P653</f>
        <v>Medium_Pressure</v>
      </c>
      <c r="G653" s="4" t="str">
        <f>FEATURES!M653</f>
        <v>HIGH</v>
      </c>
      <c r="H653" s="4" t="str">
        <f>FEATURES!O653</f>
        <v>STAGNANT</v>
      </c>
      <c r="I653" s="4" t="str">
        <f t="shared" si="2"/>
        <v>LOW RISK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3.2" x14ac:dyDescent="0.25">
      <c r="A654" s="4">
        <v>904</v>
      </c>
      <c r="B654" s="4" t="s">
        <v>37</v>
      </c>
      <c r="C654" s="4" t="str">
        <f>FEATURES!L654</f>
        <v>NORMAL</v>
      </c>
      <c r="D654" s="4" t="str">
        <f>FEATURES!R654</f>
        <v>LOW</v>
      </c>
      <c r="E654" s="4" t="str">
        <f>FEATURES!Q654</f>
        <v>DISENGAGED</v>
      </c>
      <c r="F654" s="4" t="str">
        <f>FEATURES!P654</f>
        <v>Medium_Pressure</v>
      </c>
      <c r="G654" s="4" t="str">
        <f>FEATURES!M654</f>
        <v>HIGH</v>
      </c>
      <c r="H654" s="4" t="str">
        <f>FEATURES!O654</f>
        <v>RECENTLY PROMOTED</v>
      </c>
      <c r="I654" s="4" t="str">
        <f t="shared" si="2"/>
        <v>LOW RISK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3.2" x14ac:dyDescent="0.25">
      <c r="A655" s="4">
        <v>905</v>
      </c>
      <c r="B655" s="4" t="s">
        <v>45</v>
      </c>
      <c r="C655" s="4" t="str">
        <f>FEATURES!L655</f>
        <v>NORMAL</v>
      </c>
      <c r="D655" s="4" t="str">
        <f>FEATURES!R655</f>
        <v>LOW</v>
      </c>
      <c r="E655" s="4" t="str">
        <f>FEATURES!Q655</f>
        <v>DISENGAGED</v>
      </c>
      <c r="F655" s="4" t="str">
        <f>FEATURES!P655</f>
        <v>Medium_Pressure</v>
      </c>
      <c r="G655" s="4" t="str">
        <f>FEATURES!M655</f>
        <v>MEDIUM</v>
      </c>
      <c r="H655" s="4" t="str">
        <f>FEATURES!O655</f>
        <v>STAGNANT</v>
      </c>
      <c r="I655" s="4" t="str">
        <f t="shared" si="2"/>
        <v>LOW RISK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3.2" x14ac:dyDescent="0.25">
      <c r="A656" s="4">
        <v>909</v>
      </c>
      <c r="B656" s="4" t="s">
        <v>61</v>
      </c>
      <c r="C656" s="4" t="str">
        <f>FEATURES!L656</f>
        <v>NORMAL</v>
      </c>
      <c r="D656" s="4" t="str">
        <f>FEATURES!R656</f>
        <v>LOW</v>
      </c>
      <c r="E656" s="4" t="str">
        <f>FEATURES!Q656</f>
        <v>HIGHLY_ENGAGED</v>
      </c>
      <c r="F656" s="4" t="str">
        <f>FEATURES!P656</f>
        <v>Medium_Pressure</v>
      </c>
      <c r="G656" s="4" t="str">
        <f>FEATURES!M656</f>
        <v>HIGH</v>
      </c>
      <c r="H656" s="4" t="str">
        <f>FEATURES!O656</f>
        <v>RECENTLY PROMOTED</v>
      </c>
      <c r="I656" s="4" t="str">
        <f t="shared" si="2"/>
        <v>LOW RISK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3.2" x14ac:dyDescent="0.25">
      <c r="A657" s="4">
        <v>910</v>
      </c>
      <c r="B657" s="4" t="s">
        <v>61</v>
      </c>
      <c r="C657" s="4" t="str">
        <f>FEATURES!L657</f>
        <v>NORMAL</v>
      </c>
      <c r="D657" s="4" t="str">
        <f>FEATURES!R657</f>
        <v>LOW</v>
      </c>
      <c r="E657" s="4" t="str">
        <f>FEATURES!Q657</f>
        <v>DISENGAGED</v>
      </c>
      <c r="F657" s="4" t="str">
        <f>FEATURES!P657</f>
        <v>Medium_Pressure</v>
      </c>
      <c r="G657" s="4" t="str">
        <f>FEATURES!M657</f>
        <v>LOW</v>
      </c>
      <c r="H657" s="4" t="str">
        <f>FEATURES!O657</f>
        <v>RECENTLY PROMOTED</v>
      </c>
      <c r="I657" s="4" t="str">
        <f t="shared" si="2"/>
        <v>LOW RISK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3.2" x14ac:dyDescent="0.25">
      <c r="A658" s="4">
        <v>911</v>
      </c>
      <c r="B658" s="4" t="s">
        <v>45</v>
      </c>
      <c r="C658" s="4" t="str">
        <f>FEATURES!L658</f>
        <v>NORMAL</v>
      </c>
      <c r="D658" s="4" t="str">
        <f>FEATURES!R658</f>
        <v>LOW</v>
      </c>
      <c r="E658" s="4" t="str">
        <f>FEATURES!Q658</f>
        <v>DISENGAGED</v>
      </c>
      <c r="F658" s="4" t="str">
        <f>FEATURES!P658</f>
        <v>High_Pressure</v>
      </c>
      <c r="G658" s="4" t="str">
        <f>FEATURES!M658</f>
        <v>LOW</v>
      </c>
      <c r="H658" s="4" t="str">
        <f>FEATURES!O658</f>
        <v>RECENTLY PROMOTED</v>
      </c>
      <c r="I658" s="4" t="str">
        <f t="shared" si="2"/>
        <v>LOW RISK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3.2" x14ac:dyDescent="0.25">
      <c r="A659" s="4">
        <v>912</v>
      </c>
      <c r="B659" s="4" t="s">
        <v>45</v>
      </c>
      <c r="C659" s="4" t="str">
        <f>FEATURES!L659</f>
        <v>NORMAL</v>
      </c>
      <c r="D659" s="4" t="str">
        <f>FEATURES!R659</f>
        <v>LOW</v>
      </c>
      <c r="E659" s="4" t="str">
        <f>FEATURES!Q659</f>
        <v>HIGHLY_ENGAGED</v>
      </c>
      <c r="F659" s="4" t="str">
        <f>FEATURES!P659</f>
        <v>Medium_Pressure</v>
      </c>
      <c r="G659" s="4" t="str">
        <f>FEATURES!M659</f>
        <v>LOW</v>
      </c>
      <c r="H659" s="4" t="str">
        <f>FEATURES!O659</f>
        <v>RECENTLY PROMOTED</v>
      </c>
      <c r="I659" s="4" t="str">
        <f t="shared" si="2"/>
        <v>LOW RISK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3.2" x14ac:dyDescent="0.25">
      <c r="A660" s="4">
        <v>913</v>
      </c>
      <c r="B660" s="4" t="s">
        <v>45</v>
      </c>
      <c r="C660" s="4" t="str">
        <f>FEATURES!L660</f>
        <v>HIGH RISK</v>
      </c>
      <c r="D660" s="4" t="str">
        <f>FEATURES!R660</f>
        <v>LOW</v>
      </c>
      <c r="E660" s="4" t="str">
        <f>FEATURES!Q660</f>
        <v>DISENGAGED</v>
      </c>
      <c r="F660" s="4" t="str">
        <f>FEATURES!P660</f>
        <v>Medium_Pressure</v>
      </c>
      <c r="G660" s="4" t="str">
        <f>FEATURES!M660</f>
        <v>LOW</v>
      </c>
      <c r="H660" s="4" t="str">
        <f>FEATURES!O660</f>
        <v>STAGNANT</v>
      </c>
      <c r="I660" s="4" t="str">
        <f t="shared" si="2"/>
        <v>LOW RISK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3.2" x14ac:dyDescent="0.25">
      <c r="A661" s="4">
        <v>916</v>
      </c>
      <c r="B661" s="4" t="s">
        <v>37</v>
      </c>
      <c r="C661" s="4" t="str">
        <f>FEATURES!L661</f>
        <v>NORMAL</v>
      </c>
      <c r="D661" s="4" t="str">
        <f>FEATURES!R661</f>
        <v>LOW</v>
      </c>
      <c r="E661" s="4" t="str">
        <f>FEATURES!Q661</f>
        <v>HIGHLY_ENGAGED</v>
      </c>
      <c r="F661" s="4" t="str">
        <f>FEATURES!P661</f>
        <v>Medium_Pressure</v>
      </c>
      <c r="G661" s="4" t="str">
        <f>FEATURES!M661</f>
        <v>HIGH</v>
      </c>
      <c r="H661" s="4" t="str">
        <f>FEATURES!O661</f>
        <v>RECENTLY PROMOTED</v>
      </c>
      <c r="I661" s="4" t="str">
        <f t="shared" si="2"/>
        <v>LOW RISK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3.2" x14ac:dyDescent="0.25">
      <c r="A662" s="4">
        <v>918</v>
      </c>
      <c r="B662" s="4" t="s">
        <v>45</v>
      </c>
      <c r="C662" s="4" t="str">
        <f>FEATURES!L662</f>
        <v>NORMAL</v>
      </c>
      <c r="D662" s="4" t="str">
        <f>FEATURES!R662</f>
        <v>LOW</v>
      </c>
      <c r="E662" s="4" t="str">
        <f>FEATURES!Q662</f>
        <v>DISENGAGED</v>
      </c>
      <c r="F662" s="4" t="str">
        <f>FEATURES!P662</f>
        <v>High_Pressure</v>
      </c>
      <c r="G662" s="4" t="str">
        <f>FEATURES!M662</f>
        <v>LOW</v>
      </c>
      <c r="H662" s="4" t="str">
        <f>FEATURES!O662</f>
        <v>RECENTLY PROMOTED</v>
      </c>
      <c r="I662" s="4" t="str">
        <f t="shared" si="2"/>
        <v>LOW RISK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3.2" x14ac:dyDescent="0.25">
      <c r="A663" s="4">
        <v>920</v>
      </c>
      <c r="B663" s="4" t="s">
        <v>45</v>
      </c>
      <c r="C663" s="4" t="str">
        <f>FEATURES!L663</f>
        <v>NORMAL</v>
      </c>
      <c r="D663" s="4" t="str">
        <f>FEATURES!R663</f>
        <v>LOW</v>
      </c>
      <c r="E663" s="4" t="str">
        <f>FEATURES!Q663</f>
        <v>DISENGAGED</v>
      </c>
      <c r="F663" s="4" t="str">
        <f>FEATURES!P663</f>
        <v>Low_Pressure</v>
      </c>
      <c r="G663" s="4" t="str">
        <f>FEATURES!M663</f>
        <v>HIGH</v>
      </c>
      <c r="H663" s="4" t="str">
        <f>FEATURES!O663</f>
        <v>RECENTLY PROMOTED</v>
      </c>
      <c r="I663" s="4" t="str">
        <f t="shared" si="2"/>
        <v>LOW RISK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3.2" x14ac:dyDescent="0.25">
      <c r="A664" s="4">
        <v>922</v>
      </c>
      <c r="B664" s="4" t="s">
        <v>37</v>
      </c>
      <c r="C664" s="4" t="str">
        <f>FEATURES!L664</f>
        <v>NORMAL</v>
      </c>
      <c r="D664" s="4" t="str">
        <f>FEATURES!R664</f>
        <v>LOW</v>
      </c>
      <c r="E664" s="4" t="str">
        <f>FEATURES!Q664</f>
        <v>DISENGAGED</v>
      </c>
      <c r="F664" s="4" t="str">
        <f>FEATURES!P664</f>
        <v>Low_Pressure</v>
      </c>
      <c r="G664" s="4" t="str">
        <f>FEATURES!M664</f>
        <v>LOW</v>
      </c>
      <c r="H664" s="4" t="str">
        <f>FEATURES!O664</f>
        <v>RECENTLY PROMOTED</v>
      </c>
      <c r="I664" s="4" t="str">
        <f t="shared" si="2"/>
        <v>LOW RISK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3.2" x14ac:dyDescent="0.25">
      <c r="A665" s="4">
        <v>923</v>
      </c>
      <c r="B665" s="4" t="s">
        <v>45</v>
      </c>
      <c r="C665" s="4" t="str">
        <f>FEATURES!L665</f>
        <v>NORMAL</v>
      </c>
      <c r="D665" s="4" t="str">
        <f>FEATURES!R665</f>
        <v>LOW</v>
      </c>
      <c r="E665" s="4" t="str">
        <f>FEATURES!Q665</f>
        <v>DISENGAGED</v>
      </c>
      <c r="F665" s="4" t="str">
        <f>FEATURES!P665</f>
        <v>Low_Pressure</v>
      </c>
      <c r="G665" s="4" t="str">
        <f>FEATURES!M665</f>
        <v>LOW</v>
      </c>
      <c r="H665" s="4" t="str">
        <f>FEATURES!O665</f>
        <v>RECENTLY PROMOTED</v>
      </c>
      <c r="I665" s="4" t="str">
        <f t="shared" si="2"/>
        <v>LOW RISK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3.2" x14ac:dyDescent="0.25">
      <c r="A666" s="4">
        <v>924</v>
      </c>
      <c r="B666" s="4" t="s">
        <v>45</v>
      </c>
      <c r="C666" s="4" t="str">
        <f>FEATURES!L666</f>
        <v>NORMAL</v>
      </c>
      <c r="D666" s="4" t="str">
        <f>FEATURES!R666</f>
        <v>LOW</v>
      </c>
      <c r="E666" s="4" t="str">
        <f>FEATURES!Q666</f>
        <v>DISENGAGED</v>
      </c>
      <c r="F666" s="4" t="str">
        <f>FEATURES!P666</f>
        <v>High_Pressure</v>
      </c>
      <c r="G666" s="4" t="str">
        <f>FEATURES!M666</f>
        <v>HIGH</v>
      </c>
      <c r="H666" s="4" t="str">
        <f>FEATURES!O666</f>
        <v>STAGNANT</v>
      </c>
      <c r="I666" s="4" t="str">
        <f t="shared" si="2"/>
        <v>LOW RISK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3.2" x14ac:dyDescent="0.25">
      <c r="A667" s="4">
        <v>925</v>
      </c>
      <c r="B667" s="4" t="s">
        <v>37</v>
      </c>
      <c r="C667" s="4" t="str">
        <f>FEATURES!L667</f>
        <v>NORMAL</v>
      </c>
      <c r="D667" s="4" t="str">
        <f>FEATURES!R667</f>
        <v>LOW</v>
      </c>
      <c r="E667" s="4" t="str">
        <f>FEATURES!Q667</f>
        <v>DISENGAGED</v>
      </c>
      <c r="F667" s="4" t="str">
        <f>FEATURES!P667</f>
        <v>High_Pressure</v>
      </c>
      <c r="G667" s="4" t="str">
        <f>FEATURES!M667</f>
        <v>LOW</v>
      </c>
      <c r="H667" s="4" t="str">
        <f>FEATURES!O667</f>
        <v>RECENTLY PROMOTED</v>
      </c>
      <c r="I667" s="4" t="str">
        <f t="shared" si="2"/>
        <v>LOW RISK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3.2" x14ac:dyDescent="0.25">
      <c r="A668" s="4">
        <v>926</v>
      </c>
      <c r="B668" s="4" t="s">
        <v>45</v>
      </c>
      <c r="C668" s="4" t="str">
        <f>FEATURES!L668</f>
        <v>NORMAL</v>
      </c>
      <c r="D668" s="4" t="str">
        <f>FEATURES!R668</f>
        <v>LOW</v>
      </c>
      <c r="E668" s="4" t="str">
        <f>FEATURES!Q668</f>
        <v>HIGHLY_ENGAGED</v>
      </c>
      <c r="F668" s="4" t="str">
        <f>FEATURES!P668</f>
        <v>Medium_Pressure</v>
      </c>
      <c r="G668" s="4" t="str">
        <f>FEATURES!M668</f>
        <v>HIGH</v>
      </c>
      <c r="H668" s="4" t="str">
        <f>FEATURES!O668</f>
        <v>RECENTLY PROMOTED</v>
      </c>
      <c r="I668" s="4" t="str">
        <f t="shared" si="2"/>
        <v>LOW RISK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3.2" x14ac:dyDescent="0.25">
      <c r="A669" s="4">
        <v>927</v>
      </c>
      <c r="B669" s="4" t="s">
        <v>45</v>
      </c>
      <c r="C669" s="4" t="str">
        <f>FEATURES!L669</f>
        <v>NORMAL</v>
      </c>
      <c r="D669" s="4" t="str">
        <f>FEATURES!R669</f>
        <v>LOW</v>
      </c>
      <c r="E669" s="4" t="str">
        <f>FEATURES!Q669</f>
        <v>DISENGAGED</v>
      </c>
      <c r="F669" s="4" t="str">
        <f>FEATURES!P669</f>
        <v>High_Pressure</v>
      </c>
      <c r="G669" s="4" t="str">
        <f>FEATURES!M669</f>
        <v>LOW</v>
      </c>
      <c r="H669" s="4" t="str">
        <f>FEATURES!O669</f>
        <v>RECENTLY PROMOTED</v>
      </c>
      <c r="I669" s="4" t="str">
        <f t="shared" si="2"/>
        <v>LOW RISK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3.2" x14ac:dyDescent="0.25">
      <c r="A670" s="4">
        <v>930</v>
      </c>
      <c r="B670" s="4" t="s">
        <v>45</v>
      </c>
      <c r="C670" s="4" t="str">
        <f>FEATURES!L670</f>
        <v>NORMAL</v>
      </c>
      <c r="D670" s="4" t="str">
        <f>FEATURES!R670</f>
        <v>LOW</v>
      </c>
      <c r="E670" s="4" t="str">
        <f>FEATURES!Q670</f>
        <v>HIGHLY_ENGAGED</v>
      </c>
      <c r="F670" s="4" t="str">
        <f>FEATURES!P670</f>
        <v>Medium_Pressure</v>
      </c>
      <c r="G670" s="4" t="str">
        <f>FEATURES!M670</f>
        <v>LOW</v>
      </c>
      <c r="H670" s="4" t="str">
        <f>FEATURES!O670</f>
        <v>MODERATE-WAIT</v>
      </c>
      <c r="I670" s="4" t="str">
        <f t="shared" si="2"/>
        <v>LOW RISK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3.2" x14ac:dyDescent="0.25">
      <c r="A671" s="4">
        <v>932</v>
      </c>
      <c r="B671" s="4" t="s">
        <v>45</v>
      </c>
      <c r="C671" s="4" t="str">
        <f>FEATURES!L671</f>
        <v>NORMAL</v>
      </c>
      <c r="D671" s="4" t="str">
        <f>FEATURES!R671</f>
        <v>LOW</v>
      </c>
      <c r="E671" s="4" t="str">
        <f>FEATURES!Q671</f>
        <v>DISENGAGED</v>
      </c>
      <c r="F671" s="4" t="str">
        <f>FEATURES!P671</f>
        <v>High_Pressure</v>
      </c>
      <c r="G671" s="4" t="str">
        <f>FEATURES!M671</f>
        <v>LOW</v>
      </c>
      <c r="H671" s="4" t="str">
        <f>FEATURES!O671</f>
        <v>MODERATE-WAIT</v>
      </c>
      <c r="I671" s="4" t="str">
        <f t="shared" si="2"/>
        <v>LOW RISK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3.2" x14ac:dyDescent="0.25">
      <c r="A672" s="4">
        <v>933</v>
      </c>
      <c r="B672" s="4" t="s">
        <v>45</v>
      </c>
      <c r="C672" s="4" t="str">
        <f>FEATURES!L672</f>
        <v>NORMAL</v>
      </c>
      <c r="D672" s="4" t="str">
        <f>FEATURES!R672</f>
        <v>LOW</v>
      </c>
      <c r="E672" s="4" t="str">
        <f>FEATURES!Q672</f>
        <v>HIGHLY_ENGAGED</v>
      </c>
      <c r="F672" s="4" t="str">
        <f>FEATURES!P672</f>
        <v>Medium_Pressure</v>
      </c>
      <c r="G672" s="4" t="str">
        <f>FEATURES!M672</f>
        <v>LOW</v>
      </c>
      <c r="H672" s="4" t="str">
        <f>FEATURES!O672</f>
        <v>RECENTLY PROMOTED</v>
      </c>
      <c r="I672" s="4" t="str">
        <f t="shared" si="2"/>
        <v>LOW RISK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3.2" x14ac:dyDescent="0.25">
      <c r="A673" s="4">
        <v>934</v>
      </c>
      <c r="B673" s="4" t="s">
        <v>45</v>
      </c>
      <c r="C673" s="4" t="str">
        <f>FEATURES!L673</f>
        <v>NORMAL</v>
      </c>
      <c r="D673" s="4" t="str">
        <f>FEATURES!R673</f>
        <v>LOW</v>
      </c>
      <c r="E673" s="4" t="str">
        <f>FEATURES!Q673</f>
        <v>DISENGAGED</v>
      </c>
      <c r="F673" s="4" t="str">
        <f>FEATURES!P673</f>
        <v>Medium_Pressure</v>
      </c>
      <c r="G673" s="4" t="str">
        <f>FEATURES!M673</f>
        <v>LOW</v>
      </c>
      <c r="H673" s="4" t="str">
        <f>FEATURES!O673</f>
        <v>RECENTLY PROMOTED</v>
      </c>
      <c r="I673" s="4" t="str">
        <f t="shared" si="2"/>
        <v>LOW RISK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3.2" x14ac:dyDescent="0.25">
      <c r="A674" s="4">
        <v>936</v>
      </c>
      <c r="B674" s="4" t="s">
        <v>37</v>
      </c>
      <c r="C674" s="4" t="str">
        <f>FEATURES!L674</f>
        <v>NORMAL</v>
      </c>
      <c r="D674" s="4" t="str">
        <f>FEATURES!R674</f>
        <v>LOW</v>
      </c>
      <c r="E674" s="4" t="str">
        <f>FEATURES!Q674</f>
        <v>HIGHLY_ENGAGED</v>
      </c>
      <c r="F674" s="4" t="str">
        <f>FEATURES!P674</f>
        <v>Medium_Pressure</v>
      </c>
      <c r="G674" s="4" t="str">
        <f>FEATURES!M674</f>
        <v>HIGH</v>
      </c>
      <c r="H674" s="4" t="str">
        <f>FEATURES!O674</f>
        <v>RECENTLY PROMOTED</v>
      </c>
      <c r="I674" s="4" t="str">
        <f t="shared" si="2"/>
        <v>LOW RISK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3.2" x14ac:dyDescent="0.25">
      <c r="A675" s="4">
        <v>939</v>
      </c>
      <c r="B675" s="4" t="s">
        <v>45</v>
      </c>
      <c r="C675" s="4" t="str">
        <f>FEATURES!L675</f>
        <v>NORMAL</v>
      </c>
      <c r="D675" s="4" t="str">
        <f>FEATURES!R675</f>
        <v>LOW</v>
      </c>
      <c r="E675" s="4" t="str">
        <f>FEATURES!Q675</f>
        <v>DISENGAGED</v>
      </c>
      <c r="F675" s="4" t="str">
        <f>FEATURES!P675</f>
        <v>Medium_Pressure</v>
      </c>
      <c r="G675" s="4" t="str">
        <f>FEATURES!M675</f>
        <v>LOW</v>
      </c>
      <c r="H675" s="4" t="str">
        <f>FEATURES!O675</f>
        <v>RECENTLY PROMOTED</v>
      </c>
      <c r="I675" s="4" t="str">
        <f t="shared" si="2"/>
        <v>LOW RISK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3.2" x14ac:dyDescent="0.25">
      <c r="A676" s="4">
        <v>940</v>
      </c>
      <c r="B676" s="4" t="s">
        <v>45</v>
      </c>
      <c r="C676" s="4" t="str">
        <f>FEATURES!L676</f>
        <v>NORMAL</v>
      </c>
      <c r="D676" s="4" t="str">
        <f>FEATURES!R676</f>
        <v>LOW</v>
      </c>
      <c r="E676" s="4" t="str">
        <f>FEATURES!Q676</f>
        <v>DISENGAGED</v>
      </c>
      <c r="F676" s="4" t="str">
        <f>FEATURES!P676</f>
        <v>Medium_Pressure</v>
      </c>
      <c r="G676" s="4" t="str">
        <f>FEATURES!M676</f>
        <v>MEDIUM</v>
      </c>
      <c r="H676" s="4" t="str">
        <f>FEATURES!O676</f>
        <v>RECENTLY PROMOTED</v>
      </c>
      <c r="I676" s="4" t="str">
        <f t="shared" si="2"/>
        <v>LOW RISK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3.2" x14ac:dyDescent="0.25">
      <c r="A677" s="4">
        <v>941</v>
      </c>
      <c r="B677" s="4" t="s">
        <v>37</v>
      </c>
      <c r="C677" s="4" t="str">
        <f>FEATURES!L677</f>
        <v>NORMAL</v>
      </c>
      <c r="D677" s="4" t="str">
        <f>FEATURES!R677</f>
        <v>LOW</v>
      </c>
      <c r="E677" s="4" t="str">
        <f>FEATURES!Q677</f>
        <v>HIGHLY_ENGAGED</v>
      </c>
      <c r="F677" s="4" t="str">
        <f>FEATURES!P677</f>
        <v>Low_Pressure</v>
      </c>
      <c r="G677" s="4" t="str">
        <f>FEATURES!M677</f>
        <v>LOW</v>
      </c>
      <c r="H677" s="4" t="str">
        <f>FEATURES!O677</f>
        <v>STAGNANT</v>
      </c>
      <c r="I677" s="4" t="str">
        <f t="shared" si="2"/>
        <v>LOW RISK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3.2" x14ac:dyDescent="0.25">
      <c r="A678" s="4">
        <v>942</v>
      </c>
      <c r="B678" s="4" t="s">
        <v>45</v>
      </c>
      <c r="C678" s="4" t="str">
        <f>FEATURES!L678</f>
        <v>NORMAL</v>
      </c>
      <c r="D678" s="4" t="str">
        <f>FEATURES!R678</f>
        <v>LOW</v>
      </c>
      <c r="E678" s="4" t="str">
        <f>FEATURES!Q678</f>
        <v>DISENGAGED</v>
      </c>
      <c r="F678" s="4" t="str">
        <f>FEATURES!P678</f>
        <v>High_Pressure</v>
      </c>
      <c r="G678" s="4" t="str">
        <f>FEATURES!M678</f>
        <v>HIGH</v>
      </c>
      <c r="H678" s="4" t="str">
        <f>FEATURES!O678</f>
        <v>RECENTLY PROMOTED</v>
      </c>
      <c r="I678" s="4" t="str">
        <f t="shared" si="2"/>
        <v>LOW RISK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3.2" x14ac:dyDescent="0.25">
      <c r="A679" s="4">
        <v>944</v>
      </c>
      <c r="B679" s="4" t="s">
        <v>45</v>
      </c>
      <c r="C679" s="4" t="str">
        <f>FEATURES!L679</f>
        <v>NORMAL</v>
      </c>
      <c r="D679" s="4" t="str">
        <f>FEATURES!R679</f>
        <v>LOW</v>
      </c>
      <c r="E679" s="4" t="str">
        <f>FEATURES!Q679</f>
        <v>DISENGAGED</v>
      </c>
      <c r="F679" s="4" t="str">
        <f>FEATURES!P679</f>
        <v>Low_Pressure</v>
      </c>
      <c r="G679" s="4" t="str">
        <f>FEATURES!M679</f>
        <v>HIGH</v>
      </c>
      <c r="H679" s="4" t="str">
        <f>FEATURES!O679</f>
        <v>RECENTLY PROMOTED</v>
      </c>
      <c r="I679" s="4" t="str">
        <f t="shared" si="2"/>
        <v>LOW RISK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3.2" x14ac:dyDescent="0.25">
      <c r="A680" s="4">
        <v>945</v>
      </c>
      <c r="B680" s="4" t="s">
        <v>45</v>
      </c>
      <c r="C680" s="4" t="str">
        <f>FEATURES!L680</f>
        <v>NORMAL</v>
      </c>
      <c r="D680" s="4" t="str">
        <f>FEATURES!R680</f>
        <v>LOW</v>
      </c>
      <c r="E680" s="4" t="str">
        <f>FEATURES!Q680</f>
        <v>DISENGAGED</v>
      </c>
      <c r="F680" s="4" t="str">
        <f>FEATURES!P680</f>
        <v>Low_Pressure</v>
      </c>
      <c r="G680" s="4" t="str">
        <f>FEATURES!M680</f>
        <v>LOW</v>
      </c>
      <c r="H680" s="4" t="str">
        <f>FEATURES!O680</f>
        <v>RECENTLY PROMOTED</v>
      </c>
      <c r="I680" s="4" t="str">
        <f t="shared" si="2"/>
        <v>LOW RISK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3.2" x14ac:dyDescent="0.25">
      <c r="A681" s="4">
        <v>947</v>
      </c>
      <c r="B681" s="4" t="s">
        <v>37</v>
      </c>
      <c r="C681" s="4" t="str">
        <f>FEATURES!L681</f>
        <v>NORMAL</v>
      </c>
      <c r="D681" s="4" t="str">
        <f>FEATURES!R681</f>
        <v>LOW</v>
      </c>
      <c r="E681" s="4" t="str">
        <f>FEATURES!Q681</f>
        <v>DISENGAGED</v>
      </c>
      <c r="F681" s="4" t="str">
        <f>FEATURES!P681</f>
        <v>Low_Pressure</v>
      </c>
      <c r="G681" s="4" t="str">
        <f>FEATURES!M681</f>
        <v>HIGH</v>
      </c>
      <c r="H681" s="4" t="str">
        <f>FEATURES!O681</f>
        <v>RECENTLY PROMOTED</v>
      </c>
      <c r="I681" s="4" t="str">
        <f t="shared" si="2"/>
        <v>LOW RISK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3.2" x14ac:dyDescent="0.25">
      <c r="A682" s="4">
        <v>949</v>
      </c>
      <c r="B682" s="4" t="s">
        <v>45</v>
      </c>
      <c r="C682" s="4" t="str">
        <f>FEATURES!L682</f>
        <v>NORMAL</v>
      </c>
      <c r="D682" s="4" t="str">
        <f>FEATURES!R682</f>
        <v>LOW</v>
      </c>
      <c r="E682" s="4" t="str">
        <f>FEATURES!Q682</f>
        <v>HIGHLY_ENGAGED</v>
      </c>
      <c r="F682" s="4" t="str">
        <f>FEATURES!P682</f>
        <v>Medium_Pressure</v>
      </c>
      <c r="G682" s="4" t="str">
        <f>FEATURES!M682</f>
        <v>HIGH</v>
      </c>
      <c r="H682" s="4" t="str">
        <f>FEATURES!O682</f>
        <v>RECENTLY PROMOTED</v>
      </c>
      <c r="I682" s="4" t="str">
        <f t="shared" si="2"/>
        <v>LOW RISK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3.2" x14ac:dyDescent="0.25">
      <c r="A683" s="4">
        <v>950</v>
      </c>
      <c r="B683" s="4" t="s">
        <v>45</v>
      </c>
      <c r="C683" s="4" t="str">
        <f>FEATURES!L683</f>
        <v>NORMAL</v>
      </c>
      <c r="D683" s="4" t="str">
        <f>FEATURES!R683</f>
        <v>LOW</v>
      </c>
      <c r="E683" s="4" t="str">
        <f>FEATURES!Q683</f>
        <v>DISENGAGED</v>
      </c>
      <c r="F683" s="4" t="str">
        <f>FEATURES!P683</f>
        <v>Medium_Pressure</v>
      </c>
      <c r="G683" s="4" t="str">
        <f>FEATURES!M683</f>
        <v>MEDIUM</v>
      </c>
      <c r="H683" s="4" t="str">
        <f>FEATURES!O683</f>
        <v>STAGNANT</v>
      </c>
      <c r="I683" s="4" t="str">
        <f t="shared" si="2"/>
        <v>LOW RISK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3.2" x14ac:dyDescent="0.25">
      <c r="A684" s="4">
        <v>951</v>
      </c>
      <c r="B684" s="4" t="s">
        <v>45</v>
      </c>
      <c r="C684" s="4" t="str">
        <f>FEATURES!L684</f>
        <v>NORMAL</v>
      </c>
      <c r="D684" s="4" t="str">
        <f>FEATURES!R684</f>
        <v>LOW</v>
      </c>
      <c r="E684" s="4" t="str">
        <f>FEATURES!Q684</f>
        <v>DISENGAGED</v>
      </c>
      <c r="F684" s="4" t="str">
        <f>FEATURES!P684</f>
        <v>Medium_Pressure</v>
      </c>
      <c r="G684" s="4" t="str">
        <f>FEATURES!M684</f>
        <v>LOW</v>
      </c>
      <c r="H684" s="4" t="str">
        <f>FEATURES!O684</f>
        <v>RECENTLY PROMOTED</v>
      </c>
      <c r="I684" s="4" t="str">
        <f t="shared" si="2"/>
        <v>LOW RISK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3.2" x14ac:dyDescent="0.25">
      <c r="A685" s="4">
        <v>952</v>
      </c>
      <c r="B685" s="4" t="s">
        <v>37</v>
      </c>
      <c r="C685" s="4" t="str">
        <f>FEATURES!L685</f>
        <v>NORMAL</v>
      </c>
      <c r="D685" s="4" t="str">
        <f>FEATURES!R685</f>
        <v>LOW</v>
      </c>
      <c r="E685" s="4" t="str">
        <f>FEATURES!Q685</f>
        <v>DISENGAGED</v>
      </c>
      <c r="F685" s="4" t="str">
        <f>FEATURES!P685</f>
        <v>Medium_Pressure</v>
      </c>
      <c r="G685" s="4" t="str">
        <f>FEATURES!M685</f>
        <v>LOW</v>
      </c>
      <c r="H685" s="4" t="str">
        <f>FEATURES!O685</f>
        <v>RECENTLY PROMOTED</v>
      </c>
      <c r="I685" s="4" t="str">
        <f t="shared" si="2"/>
        <v>LOW RISK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3.2" x14ac:dyDescent="0.25">
      <c r="A686" s="4">
        <v>954</v>
      </c>
      <c r="B686" s="4" t="s">
        <v>37</v>
      </c>
      <c r="C686" s="4" t="str">
        <f>FEATURES!L686</f>
        <v>NORMAL</v>
      </c>
      <c r="D686" s="4" t="str">
        <f>FEATURES!R686</f>
        <v>LOW</v>
      </c>
      <c r="E686" s="4" t="str">
        <f>FEATURES!Q686</f>
        <v>DISENGAGED</v>
      </c>
      <c r="F686" s="4" t="str">
        <f>FEATURES!P686</f>
        <v>Low_Pressure</v>
      </c>
      <c r="G686" s="4" t="str">
        <f>FEATURES!M686</f>
        <v>MEDIUM</v>
      </c>
      <c r="H686" s="4" t="str">
        <f>FEATURES!O686</f>
        <v>RECENTLY PROMOTED</v>
      </c>
      <c r="I686" s="4" t="str">
        <f t="shared" si="2"/>
        <v>LOW RISK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3.2" x14ac:dyDescent="0.25">
      <c r="A687" s="4">
        <v>956</v>
      </c>
      <c r="B687" s="4" t="s">
        <v>37</v>
      </c>
      <c r="C687" s="4" t="str">
        <f>FEATURES!L687</f>
        <v>NORMAL</v>
      </c>
      <c r="D687" s="4" t="str">
        <f>FEATURES!R687</f>
        <v>LOW</v>
      </c>
      <c r="E687" s="4" t="str">
        <f>FEATURES!Q687</f>
        <v>DISENGAGED</v>
      </c>
      <c r="F687" s="4" t="str">
        <f>FEATURES!P687</f>
        <v>Medium_Pressure</v>
      </c>
      <c r="G687" s="4" t="str">
        <f>FEATURES!M687</f>
        <v>HIGH</v>
      </c>
      <c r="H687" s="4" t="str">
        <f>FEATURES!O687</f>
        <v>RECENTLY PROMOTED</v>
      </c>
      <c r="I687" s="4" t="str">
        <f t="shared" si="2"/>
        <v>LOW RISK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3.2" x14ac:dyDescent="0.25">
      <c r="A688" s="4">
        <v>957</v>
      </c>
      <c r="B688" s="4" t="s">
        <v>45</v>
      </c>
      <c r="C688" s="4" t="str">
        <f>FEATURES!L688</f>
        <v>NORMAL</v>
      </c>
      <c r="D688" s="4" t="str">
        <f>FEATURES!R688</f>
        <v>LOW</v>
      </c>
      <c r="E688" s="4" t="str">
        <f>FEATURES!Q688</f>
        <v>DISENGAGED</v>
      </c>
      <c r="F688" s="4" t="str">
        <f>FEATURES!P688</f>
        <v>Medium_Pressure</v>
      </c>
      <c r="G688" s="4" t="str">
        <f>FEATURES!M688</f>
        <v>HIGH</v>
      </c>
      <c r="H688" s="4" t="str">
        <f>FEATURES!O688</f>
        <v>MODERATE-WAIT</v>
      </c>
      <c r="I688" s="4" t="str">
        <f t="shared" si="2"/>
        <v>LOW RISK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3.2" x14ac:dyDescent="0.25">
      <c r="A689" s="4">
        <v>958</v>
      </c>
      <c r="B689" s="4" t="s">
        <v>45</v>
      </c>
      <c r="C689" s="4" t="str">
        <f>FEATURES!L689</f>
        <v>NORMAL</v>
      </c>
      <c r="D689" s="4" t="str">
        <f>FEATURES!R689</f>
        <v>LOW</v>
      </c>
      <c r="E689" s="4" t="str">
        <f>FEATURES!Q689</f>
        <v>HIGHLY_ENGAGED</v>
      </c>
      <c r="F689" s="4" t="str">
        <f>FEATURES!P689</f>
        <v>Medium_Pressure</v>
      </c>
      <c r="G689" s="4" t="str">
        <f>FEATURES!M689</f>
        <v>LOW</v>
      </c>
      <c r="H689" s="4" t="str">
        <f>FEATURES!O689</f>
        <v>MODERATE-WAIT</v>
      </c>
      <c r="I689" s="4" t="str">
        <f t="shared" si="2"/>
        <v>LOW RISK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3.2" x14ac:dyDescent="0.25">
      <c r="A690" s="4">
        <v>959</v>
      </c>
      <c r="B690" s="4" t="s">
        <v>37</v>
      </c>
      <c r="C690" s="4" t="str">
        <f>FEATURES!L690</f>
        <v>NORMAL</v>
      </c>
      <c r="D690" s="4" t="str">
        <f>FEATURES!R690</f>
        <v>LOW</v>
      </c>
      <c r="E690" s="4" t="str">
        <f>FEATURES!Q690</f>
        <v>DISENGAGED</v>
      </c>
      <c r="F690" s="4" t="str">
        <f>FEATURES!P690</f>
        <v>Medium_Pressure</v>
      </c>
      <c r="G690" s="4" t="str">
        <f>FEATURES!M690</f>
        <v>LOW</v>
      </c>
      <c r="H690" s="4" t="str">
        <f>FEATURES!O690</f>
        <v>RECENTLY PROMOTED</v>
      </c>
      <c r="I690" s="4" t="str">
        <f t="shared" si="2"/>
        <v>LOW RISK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3.2" x14ac:dyDescent="0.25">
      <c r="A691" s="4">
        <v>960</v>
      </c>
      <c r="B691" s="4" t="s">
        <v>45</v>
      </c>
      <c r="C691" s="4" t="str">
        <f>FEATURES!L691</f>
        <v>NORMAL</v>
      </c>
      <c r="D691" s="4" t="str">
        <f>FEATURES!R691</f>
        <v>LOW</v>
      </c>
      <c r="E691" s="4" t="str">
        <f>FEATURES!Q691</f>
        <v>DISENGAGED</v>
      </c>
      <c r="F691" s="4" t="str">
        <f>FEATURES!P691</f>
        <v>Medium_Pressure</v>
      </c>
      <c r="G691" s="4" t="str">
        <f>FEATURES!M691</f>
        <v>LOW</v>
      </c>
      <c r="H691" s="4" t="str">
        <f>FEATURES!O691</f>
        <v>RECENTLY PROMOTED</v>
      </c>
      <c r="I691" s="4" t="str">
        <f t="shared" si="2"/>
        <v>LOW RISK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3.2" x14ac:dyDescent="0.25">
      <c r="A692" s="4">
        <v>961</v>
      </c>
      <c r="B692" s="4" t="s">
        <v>45</v>
      </c>
      <c r="C692" s="4" t="str">
        <f>FEATURES!L692</f>
        <v>NORMAL</v>
      </c>
      <c r="D692" s="4" t="str">
        <f>FEATURES!R692</f>
        <v>LOW</v>
      </c>
      <c r="E692" s="4" t="str">
        <f>FEATURES!Q692</f>
        <v>DISENGAGED</v>
      </c>
      <c r="F692" s="4" t="str">
        <f>FEATURES!P692</f>
        <v>High_Pressure</v>
      </c>
      <c r="G692" s="4" t="str">
        <f>FEATURES!M692</f>
        <v>HIGH</v>
      </c>
      <c r="H692" s="4" t="str">
        <f>FEATURES!O692</f>
        <v>STAGNANT</v>
      </c>
      <c r="I692" s="4" t="str">
        <f t="shared" si="2"/>
        <v>LOW RISK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3.2" x14ac:dyDescent="0.25">
      <c r="A693" s="4">
        <v>964</v>
      </c>
      <c r="B693" s="4" t="s">
        <v>45</v>
      </c>
      <c r="C693" s="4" t="str">
        <f>FEATURES!L693</f>
        <v>NORMAL</v>
      </c>
      <c r="D693" s="4" t="str">
        <f>FEATURES!R693</f>
        <v>LOW</v>
      </c>
      <c r="E693" s="4" t="str">
        <f>FEATURES!Q693</f>
        <v>DISENGAGED</v>
      </c>
      <c r="F693" s="4" t="str">
        <f>FEATURES!P693</f>
        <v>Medium_Pressure</v>
      </c>
      <c r="G693" s="4" t="str">
        <f>FEATURES!M693</f>
        <v>LOW</v>
      </c>
      <c r="H693" s="4" t="str">
        <f>FEATURES!O693</f>
        <v>RECENTLY PROMOTED</v>
      </c>
      <c r="I693" s="4" t="str">
        <f t="shared" si="2"/>
        <v>LOW RISK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3.2" x14ac:dyDescent="0.25">
      <c r="A694" s="4">
        <v>966</v>
      </c>
      <c r="B694" s="4" t="s">
        <v>45</v>
      </c>
      <c r="C694" s="4" t="str">
        <f>FEATURES!L694</f>
        <v>NORMAL</v>
      </c>
      <c r="D694" s="4" t="str">
        <f>FEATURES!R694</f>
        <v>LOW</v>
      </c>
      <c r="E694" s="4" t="str">
        <f>FEATURES!Q694</f>
        <v>DISENGAGED</v>
      </c>
      <c r="F694" s="4" t="str">
        <f>FEATURES!P694</f>
        <v>Low_Pressure</v>
      </c>
      <c r="G694" s="4" t="str">
        <f>FEATURES!M694</f>
        <v>HIGH</v>
      </c>
      <c r="H694" s="4" t="str">
        <f>FEATURES!O694</f>
        <v>STAGNANT</v>
      </c>
      <c r="I694" s="4" t="str">
        <f t="shared" si="2"/>
        <v>LOW RISK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3.2" x14ac:dyDescent="0.25">
      <c r="A695" s="4">
        <v>967</v>
      </c>
      <c r="B695" s="4" t="s">
        <v>37</v>
      </c>
      <c r="C695" s="4" t="str">
        <f>FEATURES!L695</f>
        <v>NORMAL</v>
      </c>
      <c r="D695" s="4" t="str">
        <f>FEATURES!R695</f>
        <v>LOW</v>
      </c>
      <c r="E695" s="4" t="str">
        <f>FEATURES!Q695</f>
        <v>HIGHLY_ENGAGED</v>
      </c>
      <c r="F695" s="4" t="str">
        <f>FEATURES!P695</f>
        <v>Medium_Pressure</v>
      </c>
      <c r="G695" s="4" t="str">
        <f>FEATURES!M695</f>
        <v>MEDIUM</v>
      </c>
      <c r="H695" s="4" t="str">
        <f>FEATURES!O695</f>
        <v>MODERATE-WAIT</v>
      </c>
      <c r="I695" s="4" t="str">
        <f t="shared" si="2"/>
        <v>LOW RISK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3.2" x14ac:dyDescent="0.25">
      <c r="A696" s="4">
        <v>969</v>
      </c>
      <c r="B696" s="4" t="s">
        <v>45</v>
      </c>
      <c r="C696" s="4" t="str">
        <f>FEATURES!L696</f>
        <v>NORMAL</v>
      </c>
      <c r="D696" s="4" t="str">
        <f>FEATURES!R696</f>
        <v>LOW</v>
      </c>
      <c r="E696" s="4" t="str">
        <f>FEATURES!Q696</f>
        <v>HIGHLY_ENGAGED</v>
      </c>
      <c r="F696" s="4" t="str">
        <f>FEATURES!P696</f>
        <v>Medium_Pressure</v>
      </c>
      <c r="G696" s="4" t="str">
        <f>FEATURES!M696</f>
        <v>HIGH</v>
      </c>
      <c r="H696" s="4" t="str">
        <f>FEATURES!O696</f>
        <v>RECENTLY PROMOTED</v>
      </c>
      <c r="I696" s="4" t="str">
        <f t="shared" si="2"/>
        <v>LOW RISK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3.2" x14ac:dyDescent="0.25">
      <c r="A697" s="4">
        <v>970</v>
      </c>
      <c r="B697" s="4" t="s">
        <v>37</v>
      </c>
      <c r="C697" s="4" t="str">
        <f>FEATURES!L697</f>
        <v>NORMAL</v>
      </c>
      <c r="D697" s="4" t="str">
        <f>FEATURES!R697</f>
        <v>LOW</v>
      </c>
      <c r="E697" s="4" t="str">
        <f>FEATURES!Q697</f>
        <v>DISENGAGED</v>
      </c>
      <c r="F697" s="4" t="str">
        <f>FEATURES!P697</f>
        <v>Low_Pressure</v>
      </c>
      <c r="G697" s="4" t="str">
        <f>FEATURES!M697</f>
        <v>MEDIUM</v>
      </c>
      <c r="H697" s="4" t="str">
        <f>FEATURES!O697</f>
        <v>STAGNANT</v>
      </c>
      <c r="I697" s="4" t="str">
        <f t="shared" si="2"/>
        <v>LOW RISK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3.2" x14ac:dyDescent="0.25">
      <c r="A698" s="4">
        <v>972</v>
      </c>
      <c r="B698" s="4" t="s">
        <v>45</v>
      </c>
      <c r="C698" s="4" t="str">
        <f>FEATURES!L698</f>
        <v>NORMAL</v>
      </c>
      <c r="D698" s="4" t="str">
        <f>FEATURES!R698</f>
        <v>LOW</v>
      </c>
      <c r="E698" s="4" t="str">
        <f>FEATURES!Q698</f>
        <v>DISENGAGED</v>
      </c>
      <c r="F698" s="4" t="str">
        <f>FEATURES!P698</f>
        <v>Low_Pressure</v>
      </c>
      <c r="G698" s="4" t="str">
        <f>FEATURES!M698</f>
        <v>HIGH</v>
      </c>
      <c r="H698" s="4" t="str">
        <f>FEATURES!O698</f>
        <v>RECENTLY PROMOTED</v>
      </c>
      <c r="I698" s="4" t="str">
        <f t="shared" si="2"/>
        <v>LOW RISK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3.2" x14ac:dyDescent="0.25">
      <c r="A699" s="4">
        <v>974</v>
      </c>
      <c r="B699" s="4" t="s">
        <v>37</v>
      </c>
      <c r="C699" s="4" t="str">
        <f>FEATURES!L699</f>
        <v>NORMAL</v>
      </c>
      <c r="D699" s="4" t="str">
        <f>FEATURES!R699</f>
        <v>LOW</v>
      </c>
      <c r="E699" s="4" t="str">
        <f>FEATURES!Q699</f>
        <v>HIGHLY_ENGAGED</v>
      </c>
      <c r="F699" s="4" t="str">
        <f>FEATURES!P699</f>
        <v>Medium_Pressure</v>
      </c>
      <c r="G699" s="4" t="str">
        <f>FEATURES!M699</f>
        <v>LOW</v>
      </c>
      <c r="H699" s="4" t="str">
        <f>FEATURES!O699</f>
        <v>RECENTLY PROMOTED</v>
      </c>
      <c r="I699" s="4" t="str">
        <f t="shared" si="2"/>
        <v>LOW RISK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3.2" x14ac:dyDescent="0.25">
      <c r="A700" s="4">
        <v>975</v>
      </c>
      <c r="B700" s="4" t="s">
        <v>37</v>
      </c>
      <c r="C700" s="4" t="str">
        <f>FEATURES!L700</f>
        <v>NORMAL</v>
      </c>
      <c r="D700" s="4" t="str">
        <f>FEATURES!R700</f>
        <v>LOW</v>
      </c>
      <c r="E700" s="4" t="str">
        <f>FEATURES!Q700</f>
        <v>HIGHLY_ENGAGED</v>
      </c>
      <c r="F700" s="4" t="str">
        <f>FEATURES!P700</f>
        <v>Medium_Pressure</v>
      </c>
      <c r="G700" s="4" t="str">
        <f>FEATURES!M700</f>
        <v>HIGH</v>
      </c>
      <c r="H700" s="4" t="str">
        <f>FEATURES!O700</f>
        <v>RECENTLY PROMOTED</v>
      </c>
      <c r="I700" s="4" t="str">
        <f t="shared" si="2"/>
        <v>LOW RISK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3.2" x14ac:dyDescent="0.25">
      <c r="A701" s="4">
        <v>976</v>
      </c>
      <c r="B701" s="4" t="s">
        <v>45</v>
      </c>
      <c r="C701" s="4" t="str">
        <f>FEATURES!L701</f>
        <v>NORMAL</v>
      </c>
      <c r="D701" s="4" t="str">
        <f>FEATURES!R701</f>
        <v>LOW</v>
      </c>
      <c r="E701" s="4" t="str">
        <f>FEATURES!Q701</f>
        <v>DISENGAGED</v>
      </c>
      <c r="F701" s="4" t="str">
        <f>FEATURES!P701</f>
        <v>Low_Pressure</v>
      </c>
      <c r="G701" s="4" t="str">
        <f>FEATURES!M701</f>
        <v>MEDIUM</v>
      </c>
      <c r="H701" s="4" t="str">
        <f>FEATURES!O701</f>
        <v>STAGNANT</v>
      </c>
      <c r="I701" s="4" t="str">
        <f t="shared" si="2"/>
        <v>LOW RISK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3.2" x14ac:dyDescent="0.25">
      <c r="A702" s="4">
        <v>977</v>
      </c>
      <c r="B702" s="4" t="s">
        <v>45</v>
      </c>
      <c r="C702" s="4" t="str">
        <f>FEATURES!L702</f>
        <v>NORMAL</v>
      </c>
      <c r="D702" s="4" t="str">
        <f>FEATURES!R702</f>
        <v>LOW</v>
      </c>
      <c r="E702" s="4" t="str">
        <f>FEATURES!Q702</f>
        <v>HIGHLY_ENGAGED</v>
      </c>
      <c r="F702" s="4" t="str">
        <f>FEATURES!P702</f>
        <v>Medium_Pressure</v>
      </c>
      <c r="G702" s="4" t="str">
        <f>FEATURES!M702</f>
        <v>LOW</v>
      </c>
      <c r="H702" s="4" t="str">
        <f>FEATURES!O702</f>
        <v>RECENTLY PROMOTED</v>
      </c>
      <c r="I702" s="4" t="str">
        <f t="shared" si="2"/>
        <v>LOW RISK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3.2" x14ac:dyDescent="0.25">
      <c r="A703" s="4">
        <v>981</v>
      </c>
      <c r="B703" s="4" t="s">
        <v>37</v>
      </c>
      <c r="C703" s="4" t="str">
        <f>FEATURES!L703</f>
        <v>NORMAL</v>
      </c>
      <c r="D703" s="4" t="str">
        <f>FEATURES!R703</f>
        <v>LOW</v>
      </c>
      <c r="E703" s="4" t="str">
        <f>FEATURES!Q703</f>
        <v>HIGHLY_ENGAGED</v>
      </c>
      <c r="F703" s="4" t="str">
        <f>FEATURES!P703</f>
        <v>Low_Pressure</v>
      </c>
      <c r="G703" s="4" t="str">
        <f>FEATURES!M703</f>
        <v>MEDIUM</v>
      </c>
      <c r="H703" s="4" t="str">
        <f>FEATURES!O703</f>
        <v>STAGNANT</v>
      </c>
      <c r="I703" s="4" t="str">
        <f t="shared" si="2"/>
        <v>LOW RISK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3.2" x14ac:dyDescent="0.25">
      <c r="A704" s="4">
        <v>982</v>
      </c>
      <c r="B704" s="4" t="s">
        <v>37</v>
      </c>
      <c r="C704" s="4" t="str">
        <f>FEATURES!L704</f>
        <v>NORMAL</v>
      </c>
      <c r="D704" s="4" t="str">
        <f>FEATURES!R704</f>
        <v>LOW</v>
      </c>
      <c r="E704" s="4" t="str">
        <f>FEATURES!Q704</f>
        <v>HIGHLY_ENGAGED</v>
      </c>
      <c r="F704" s="4" t="str">
        <f>FEATURES!P704</f>
        <v>Low_Pressure</v>
      </c>
      <c r="G704" s="4" t="str">
        <f>FEATURES!M704</f>
        <v>HIGH</v>
      </c>
      <c r="H704" s="4" t="str">
        <f>FEATURES!O704</f>
        <v>STAGNANT</v>
      </c>
      <c r="I704" s="4" t="str">
        <f t="shared" si="2"/>
        <v>LOW RISK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3.2" x14ac:dyDescent="0.25">
      <c r="A705" s="4">
        <v>983</v>
      </c>
      <c r="B705" s="4" t="s">
        <v>37</v>
      </c>
      <c r="C705" s="4" t="str">
        <f>FEATURES!L705</f>
        <v>NORMAL</v>
      </c>
      <c r="D705" s="4" t="str">
        <f>FEATURES!R705</f>
        <v>LOW</v>
      </c>
      <c r="E705" s="4" t="str">
        <f>FEATURES!Q705</f>
        <v>HIGHLY_ENGAGED</v>
      </c>
      <c r="F705" s="4" t="str">
        <f>FEATURES!P705</f>
        <v>Medium_Pressure</v>
      </c>
      <c r="G705" s="4" t="str">
        <f>FEATURES!M705</f>
        <v>HIGH</v>
      </c>
      <c r="H705" s="4" t="str">
        <f>FEATURES!O705</f>
        <v>RECENTLY PROMOTED</v>
      </c>
      <c r="I705" s="4" t="str">
        <f t="shared" si="2"/>
        <v>LOW RISK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3.2" x14ac:dyDescent="0.25">
      <c r="A706" s="4">
        <v>984</v>
      </c>
      <c r="B706" s="4" t="s">
        <v>37</v>
      </c>
      <c r="C706" s="4" t="str">
        <f>FEATURES!L706</f>
        <v>NORMAL</v>
      </c>
      <c r="D706" s="4" t="str">
        <f>FEATURES!R706</f>
        <v>LOW</v>
      </c>
      <c r="E706" s="4" t="str">
        <f>FEATURES!Q706</f>
        <v>HIGHLY_ENGAGED</v>
      </c>
      <c r="F706" s="4" t="str">
        <f>FEATURES!P706</f>
        <v>Medium_Pressure</v>
      </c>
      <c r="G706" s="4" t="str">
        <f>FEATURES!M706</f>
        <v>HIGH</v>
      </c>
      <c r="H706" s="4" t="str">
        <f>FEATURES!O706</f>
        <v>RECENTLY PROMOTED</v>
      </c>
      <c r="I706" s="4" t="str">
        <f t="shared" si="2"/>
        <v>LOW RISK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3.2" x14ac:dyDescent="0.25">
      <c r="A707" s="4">
        <v>985</v>
      </c>
      <c r="B707" s="4" t="s">
        <v>37</v>
      </c>
      <c r="C707" s="4" t="str">
        <f>FEATURES!L707</f>
        <v>NORMAL</v>
      </c>
      <c r="D707" s="4" t="str">
        <f>FEATURES!R707</f>
        <v>LOW</v>
      </c>
      <c r="E707" s="4" t="str">
        <f>FEATURES!Q707</f>
        <v>HIGHLY_ENGAGED</v>
      </c>
      <c r="F707" s="4" t="str">
        <f>FEATURES!P707</f>
        <v>Medium_Pressure</v>
      </c>
      <c r="G707" s="4" t="str">
        <f>FEATURES!M707</f>
        <v>HIGH</v>
      </c>
      <c r="H707" s="4" t="str">
        <f>FEATURES!O707</f>
        <v>RECENTLY PROMOTED</v>
      </c>
      <c r="I707" s="4" t="str">
        <f t="shared" si="2"/>
        <v>LOW RISK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3.2" x14ac:dyDescent="0.25">
      <c r="A708" s="4">
        <v>986</v>
      </c>
      <c r="B708" s="4" t="s">
        <v>37</v>
      </c>
      <c r="C708" s="4" t="str">
        <f>FEATURES!L708</f>
        <v>NORMAL</v>
      </c>
      <c r="D708" s="4" t="str">
        <f>FEATURES!R708</f>
        <v>LOW</v>
      </c>
      <c r="E708" s="4" t="str">
        <f>FEATURES!Q708</f>
        <v>DISENGAGED</v>
      </c>
      <c r="F708" s="4" t="str">
        <f>FEATURES!P708</f>
        <v>High_Pressure</v>
      </c>
      <c r="G708" s="4" t="str">
        <f>FEATURES!M708</f>
        <v>MEDIUM</v>
      </c>
      <c r="H708" s="4" t="str">
        <f>FEATURES!O708</f>
        <v>RECENTLY PROMOTED</v>
      </c>
      <c r="I708" s="4" t="str">
        <f t="shared" si="2"/>
        <v>LOW RISK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3.2" x14ac:dyDescent="0.25">
      <c r="A709" s="4">
        <v>987</v>
      </c>
      <c r="B709" s="4" t="s">
        <v>45</v>
      </c>
      <c r="C709" s="4" t="str">
        <f>FEATURES!L709</f>
        <v>NORMAL</v>
      </c>
      <c r="D709" s="4" t="str">
        <f>FEATURES!R709</f>
        <v>LOW</v>
      </c>
      <c r="E709" s="4" t="str">
        <f>FEATURES!Q709</f>
        <v>HIGHLY_ENGAGED</v>
      </c>
      <c r="F709" s="4" t="str">
        <f>FEATURES!P709</f>
        <v>Medium_Pressure</v>
      </c>
      <c r="G709" s="4" t="str">
        <f>FEATURES!M709</f>
        <v>HIGH</v>
      </c>
      <c r="H709" s="4" t="str">
        <f>FEATURES!O709</f>
        <v>MODERATE-WAIT</v>
      </c>
      <c r="I709" s="4" t="str">
        <f t="shared" si="2"/>
        <v>LOW RISK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3.2" x14ac:dyDescent="0.25">
      <c r="A710" s="4">
        <v>990</v>
      </c>
      <c r="B710" s="4" t="s">
        <v>37</v>
      </c>
      <c r="C710" s="4" t="str">
        <f>FEATURES!L710</f>
        <v>NORMAL</v>
      </c>
      <c r="D710" s="4" t="str">
        <f>FEATURES!R710</f>
        <v>LOW</v>
      </c>
      <c r="E710" s="4" t="str">
        <f>FEATURES!Q710</f>
        <v>HIGHLY_ENGAGED</v>
      </c>
      <c r="F710" s="4" t="str">
        <f>FEATURES!P710</f>
        <v>Medium_Pressure</v>
      </c>
      <c r="G710" s="4" t="str">
        <f>FEATURES!M710</f>
        <v>HIGH</v>
      </c>
      <c r="H710" s="4" t="str">
        <f>FEATURES!O710</f>
        <v>RECENTLY PROMOTED</v>
      </c>
      <c r="I710" s="4" t="str">
        <f t="shared" si="2"/>
        <v>LOW RISK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3.2" x14ac:dyDescent="0.25">
      <c r="A711" s="4">
        <v>991</v>
      </c>
      <c r="B711" s="4" t="s">
        <v>45</v>
      </c>
      <c r="C711" s="4" t="str">
        <f>FEATURES!L711</f>
        <v>NORMAL</v>
      </c>
      <c r="D711" s="4" t="str">
        <f>FEATURES!R711</f>
        <v>LOW</v>
      </c>
      <c r="E711" s="4" t="str">
        <f>FEATURES!Q711</f>
        <v>DISENGAGED</v>
      </c>
      <c r="F711" s="4" t="str">
        <f>FEATURES!P711</f>
        <v>Medium_Pressure</v>
      </c>
      <c r="G711" s="4" t="str">
        <f>FEATURES!M711</f>
        <v>LOW</v>
      </c>
      <c r="H711" s="4" t="str">
        <f>FEATURES!O711</f>
        <v>RECENTLY PROMOTED</v>
      </c>
      <c r="I711" s="4" t="str">
        <f t="shared" si="2"/>
        <v>LOW RISK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3.2" x14ac:dyDescent="0.25">
      <c r="A712" s="4">
        <v>992</v>
      </c>
      <c r="B712" s="4" t="s">
        <v>37</v>
      </c>
      <c r="C712" s="4" t="str">
        <f>FEATURES!L712</f>
        <v>NORMAL</v>
      </c>
      <c r="D712" s="4" t="str">
        <f>FEATURES!R712</f>
        <v>LOW</v>
      </c>
      <c r="E712" s="4" t="str">
        <f>FEATURES!Q712</f>
        <v>HIGHLY_ENGAGED</v>
      </c>
      <c r="F712" s="4" t="str">
        <f>FEATURES!P712</f>
        <v>Medium_Pressure</v>
      </c>
      <c r="G712" s="4" t="str">
        <f>FEATURES!M712</f>
        <v>MEDIUM</v>
      </c>
      <c r="H712" s="4" t="str">
        <f>FEATURES!O712</f>
        <v>STAGNANT</v>
      </c>
      <c r="I712" s="4" t="str">
        <f t="shared" si="2"/>
        <v>LOW RISK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3.2" x14ac:dyDescent="0.25">
      <c r="A713" s="4">
        <v>994</v>
      </c>
      <c r="B713" s="4" t="s">
        <v>45</v>
      </c>
      <c r="C713" s="4" t="str">
        <f>FEATURES!L713</f>
        <v>NORMAL</v>
      </c>
      <c r="D713" s="4" t="str">
        <f>FEATURES!R713</f>
        <v>LOW</v>
      </c>
      <c r="E713" s="4" t="str">
        <f>FEATURES!Q713</f>
        <v>DISENGAGED</v>
      </c>
      <c r="F713" s="4" t="str">
        <f>FEATURES!P713</f>
        <v>Medium_Pressure</v>
      </c>
      <c r="G713" s="4" t="str">
        <f>FEATURES!M713</f>
        <v>LOW</v>
      </c>
      <c r="H713" s="4" t="str">
        <f>FEATURES!O713</f>
        <v>RECENTLY PROMOTED</v>
      </c>
      <c r="I713" s="4" t="str">
        <f t="shared" si="2"/>
        <v>LOW RISK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3.2" x14ac:dyDescent="0.25">
      <c r="A714" s="4">
        <v>995</v>
      </c>
      <c r="B714" s="4" t="s">
        <v>45</v>
      </c>
      <c r="C714" s="4" t="str">
        <f>FEATURES!L714</f>
        <v>NORMAL</v>
      </c>
      <c r="D714" s="4" t="str">
        <f>FEATURES!R714</f>
        <v>LOW</v>
      </c>
      <c r="E714" s="4" t="str">
        <f>FEATURES!Q714</f>
        <v>HIGHLY_ENGAGED</v>
      </c>
      <c r="F714" s="4" t="str">
        <f>FEATURES!P714</f>
        <v>Medium_Pressure</v>
      </c>
      <c r="G714" s="4" t="str">
        <f>FEATURES!M714</f>
        <v>LOW</v>
      </c>
      <c r="H714" s="4" t="str">
        <f>FEATURES!O714</f>
        <v>RECENTLY PROMOTED</v>
      </c>
      <c r="I714" s="4" t="str">
        <f t="shared" si="2"/>
        <v>LOW RISK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3.2" x14ac:dyDescent="0.25">
      <c r="A715" s="4">
        <v>996</v>
      </c>
      <c r="B715" s="4" t="s">
        <v>45</v>
      </c>
      <c r="C715" s="4" t="str">
        <f>FEATURES!L715</f>
        <v>NORMAL</v>
      </c>
      <c r="D715" s="4" t="str">
        <f>FEATURES!R715</f>
        <v>LOW</v>
      </c>
      <c r="E715" s="4" t="str">
        <f>FEATURES!Q715</f>
        <v>HIGHLY_ENGAGED</v>
      </c>
      <c r="F715" s="4" t="str">
        <f>FEATURES!P715</f>
        <v>Medium_Pressure</v>
      </c>
      <c r="G715" s="4" t="str">
        <f>FEATURES!M715</f>
        <v>LOW</v>
      </c>
      <c r="H715" s="4" t="str">
        <f>FEATURES!O715</f>
        <v>RECENTLY PROMOTED</v>
      </c>
      <c r="I715" s="4" t="str">
        <f t="shared" si="2"/>
        <v>LOW RISK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3.2" x14ac:dyDescent="0.25">
      <c r="A716" s="4">
        <v>997</v>
      </c>
      <c r="B716" s="4" t="s">
        <v>45</v>
      </c>
      <c r="C716" s="4" t="str">
        <f>FEATURES!L716</f>
        <v>NORMAL</v>
      </c>
      <c r="D716" s="4" t="str">
        <f>FEATURES!R716</f>
        <v>LOW</v>
      </c>
      <c r="E716" s="4" t="str">
        <f>FEATURES!Q716</f>
        <v>DISENGAGED</v>
      </c>
      <c r="F716" s="4" t="str">
        <f>FEATURES!P716</f>
        <v>Low_Pressure</v>
      </c>
      <c r="G716" s="4" t="str">
        <f>FEATURES!M716</f>
        <v>MEDIUM</v>
      </c>
      <c r="H716" s="4" t="str">
        <f>FEATURES!O716</f>
        <v>RECENTLY PROMOTED</v>
      </c>
      <c r="I716" s="4" t="str">
        <f t="shared" si="2"/>
        <v>LOW RISK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3.2" x14ac:dyDescent="0.25">
      <c r="A717" s="4">
        <v>998</v>
      </c>
      <c r="B717" s="4" t="s">
        <v>45</v>
      </c>
      <c r="C717" s="4" t="str">
        <f>FEATURES!L717</f>
        <v>NORMAL</v>
      </c>
      <c r="D717" s="4" t="str">
        <f>FEATURES!R717</f>
        <v>LOW</v>
      </c>
      <c r="E717" s="4" t="str">
        <f>FEATURES!Q717</f>
        <v>DISENGAGED</v>
      </c>
      <c r="F717" s="4" t="str">
        <f>FEATURES!P717</f>
        <v>Medium_Pressure</v>
      </c>
      <c r="G717" s="4" t="str">
        <f>FEATURES!M717</f>
        <v>HIGH</v>
      </c>
      <c r="H717" s="4" t="str">
        <f>FEATURES!O717</f>
        <v>RECENTLY PROMOTED</v>
      </c>
      <c r="I717" s="4" t="str">
        <f t="shared" si="2"/>
        <v>LOW RISK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3.2" x14ac:dyDescent="0.25">
      <c r="A718" s="4">
        <v>999</v>
      </c>
      <c r="B718" s="4" t="s">
        <v>45</v>
      </c>
      <c r="C718" s="4" t="str">
        <f>FEATURES!L718</f>
        <v>NORMAL</v>
      </c>
      <c r="D718" s="4" t="str">
        <f>FEATURES!R718</f>
        <v>LOW</v>
      </c>
      <c r="E718" s="4" t="str">
        <f>FEATURES!Q718</f>
        <v>HIGHLY_ENGAGED</v>
      </c>
      <c r="F718" s="4" t="str">
        <f>FEATURES!P718</f>
        <v>Low_Pressure</v>
      </c>
      <c r="G718" s="4" t="str">
        <f>FEATURES!M718</f>
        <v>MEDIUM</v>
      </c>
      <c r="H718" s="4" t="str">
        <f>FEATURES!O718</f>
        <v>RECENTLY PROMOTED</v>
      </c>
      <c r="I718" s="4" t="str">
        <f t="shared" si="2"/>
        <v>LOW RISK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3.2" x14ac:dyDescent="0.25">
      <c r="A719" s="4">
        <v>1001</v>
      </c>
      <c r="B719" s="4" t="s">
        <v>45</v>
      </c>
      <c r="C719" s="4" t="str">
        <f>FEATURES!L719</f>
        <v>NORMAL</v>
      </c>
      <c r="D719" s="4" t="str">
        <f>FEATURES!R719</f>
        <v>LOW</v>
      </c>
      <c r="E719" s="4" t="str">
        <f>FEATURES!Q719</f>
        <v>DISENGAGED</v>
      </c>
      <c r="F719" s="4" t="str">
        <f>FEATURES!P719</f>
        <v>Medium_Pressure</v>
      </c>
      <c r="G719" s="4" t="str">
        <f>FEATURES!M719</f>
        <v>LOW</v>
      </c>
      <c r="H719" s="4" t="str">
        <f>FEATURES!O719</f>
        <v>MODERATE-WAIT</v>
      </c>
      <c r="I719" s="4" t="str">
        <f t="shared" si="2"/>
        <v>LOW RISK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3.2" x14ac:dyDescent="0.25">
      <c r="A720" s="4">
        <v>1002</v>
      </c>
      <c r="B720" s="4" t="s">
        <v>45</v>
      </c>
      <c r="C720" s="4" t="str">
        <f>FEATURES!L720</f>
        <v>NORMAL</v>
      </c>
      <c r="D720" s="4" t="str">
        <f>FEATURES!R720</f>
        <v>LOW</v>
      </c>
      <c r="E720" s="4" t="str">
        <f>FEATURES!Q720</f>
        <v>DISENGAGED</v>
      </c>
      <c r="F720" s="4" t="str">
        <f>FEATURES!P720</f>
        <v>Medium_Pressure</v>
      </c>
      <c r="G720" s="4" t="str">
        <f>FEATURES!M720</f>
        <v>LOW</v>
      </c>
      <c r="H720" s="4" t="str">
        <f>FEATURES!O720</f>
        <v>RECENTLY PROMOTED</v>
      </c>
      <c r="I720" s="4" t="str">
        <f t="shared" si="2"/>
        <v>LOW RISK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3.2" x14ac:dyDescent="0.25">
      <c r="A721" s="4">
        <v>1003</v>
      </c>
      <c r="B721" s="4" t="s">
        <v>37</v>
      </c>
      <c r="C721" s="4" t="str">
        <f>FEATURES!L721</f>
        <v>NORMAL</v>
      </c>
      <c r="D721" s="4" t="str">
        <f>FEATURES!R721</f>
        <v>LOW</v>
      </c>
      <c r="E721" s="4" t="str">
        <f>FEATURES!Q721</f>
        <v>HIGHLY_ENGAGED</v>
      </c>
      <c r="F721" s="4" t="str">
        <f>FEATURES!P721</f>
        <v>Medium_Pressure</v>
      </c>
      <c r="G721" s="4" t="str">
        <f>FEATURES!M721</f>
        <v>HIGH</v>
      </c>
      <c r="H721" s="4" t="str">
        <f>FEATURES!O721</f>
        <v>RECENTLY PROMOTED</v>
      </c>
      <c r="I721" s="4" t="str">
        <f t="shared" si="2"/>
        <v>LOW RISK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3.2" x14ac:dyDescent="0.25">
      <c r="A722" s="4">
        <v>1004</v>
      </c>
      <c r="B722" s="4" t="s">
        <v>45</v>
      </c>
      <c r="C722" s="4" t="str">
        <f>FEATURES!L722</f>
        <v>NORMAL</v>
      </c>
      <c r="D722" s="4" t="str">
        <f>FEATURES!R722</f>
        <v>LOW</v>
      </c>
      <c r="E722" s="4" t="str">
        <f>FEATURES!Q722</f>
        <v>HIGHLY_ENGAGED</v>
      </c>
      <c r="F722" s="4" t="str">
        <f>FEATURES!P722</f>
        <v>Medium_Pressure</v>
      </c>
      <c r="G722" s="4" t="str">
        <f>FEATURES!M722</f>
        <v>LOW</v>
      </c>
      <c r="H722" s="4" t="str">
        <f>FEATURES!O722</f>
        <v>RECENTLY PROMOTED</v>
      </c>
      <c r="I722" s="4" t="str">
        <f t="shared" si="2"/>
        <v>LOW RISK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3.2" x14ac:dyDescent="0.25">
      <c r="A723" s="4">
        <v>1005</v>
      </c>
      <c r="B723" s="4" t="s">
        <v>45</v>
      </c>
      <c r="C723" s="4" t="str">
        <f>FEATURES!L723</f>
        <v>NORMAL</v>
      </c>
      <c r="D723" s="4" t="str">
        <f>FEATURES!R723</f>
        <v>LOW</v>
      </c>
      <c r="E723" s="4" t="str">
        <f>FEATURES!Q723</f>
        <v>HIGHLY_ENGAGED</v>
      </c>
      <c r="F723" s="4" t="str">
        <f>FEATURES!P723</f>
        <v>Medium_Pressure</v>
      </c>
      <c r="G723" s="4" t="str">
        <f>FEATURES!M723</f>
        <v>MEDIUM</v>
      </c>
      <c r="H723" s="4" t="str">
        <f>FEATURES!O723</f>
        <v>RECENTLY PROMOTED</v>
      </c>
      <c r="I723" s="4" t="str">
        <f t="shared" si="2"/>
        <v>LOW RISK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3.2" x14ac:dyDescent="0.25">
      <c r="A724" s="4">
        <v>1006</v>
      </c>
      <c r="B724" s="4" t="s">
        <v>45</v>
      </c>
      <c r="C724" s="4" t="str">
        <f>FEATURES!L724</f>
        <v>NORMAL</v>
      </c>
      <c r="D724" s="4" t="str">
        <f>FEATURES!R724</f>
        <v>LOW</v>
      </c>
      <c r="E724" s="4" t="str">
        <f>FEATURES!Q724</f>
        <v>DISENGAGED</v>
      </c>
      <c r="F724" s="4" t="str">
        <f>FEATURES!P724</f>
        <v>Low_Pressure</v>
      </c>
      <c r="G724" s="4" t="str">
        <f>FEATURES!M724</f>
        <v>LOW</v>
      </c>
      <c r="H724" s="4" t="str">
        <f>FEATURES!O724</f>
        <v>RECENTLY PROMOTED</v>
      </c>
      <c r="I724" s="4" t="str">
        <f t="shared" si="2"/>
        <v>LOW RISK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3.2" x14ac:dyDescent="0.25">
      <c r="A725" s="4">
        <v>1007</v>
      </c>
      <c r="B725" s="4" t="s">
        <v>45</v>
      </c>
      <c r="C725" s="4" t="str">
        <f>FEATURES!L725</f>
        <v>NORMAL</v>
      </c>
      <c r="D725" s="4" t="str">
        <f>FEATURES!R725</f>
        <v>LOW</v>
      </c>
      <c r="E725" s="4" t="str">
        <f>FEATURES!Q725</f>
        <v>HIGHLY_ENGAGED</v>
      </c>
      <c r="F725" s="4" t="str">
        <f>FEATURES!P725</f>
        <v>Medium_Pressure</v>
      </c>
      <c r="G725" s="4" t="str">
        <f>FEATURES!M725</f>
        <v>MEDIUM</v>
      </c>
      <c r="H725" s="4" t="str">
        <f>FEATURES!O725</f>
        <v>RECENTLY PROMOTED</v>
      </c>
      <c r="I725" s="4" t="str">
        <f t="shared" si="2"/>
        <v>LOW RISK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3.2" x14ac:dyDescent="0.25">
      <c r="A726" s="4">
        <v>1009</v>
      </c>
      <c r="B726" s="4" t="s">
        <v>45</v>
      </c>
      <c r="C726" s="4" t="str">
        <f>FEATURES!L726</f>
        <v>NORMAL</v>
      </c>
      <c r="D726" s="4" t="str">
        <f>FEATURES!R726</f>
        <v>LOW</v>
      </c>
      <c r="E726" s="4" t="str">
        <f>FEATURES!Q726</f>
        <v>HIGHLY_ENGAGED</v>
      </c>
      <c r="F726" s="4" t="str">
        <f>FEATURES!P726</f>
        <v>Medium_Pressure</v>
      </c>
      <c r="G726" s="4" t="str">
        <f>FEATURES!M726</f>
        <v>HIGH</v>
      </c>
      <c r="H726" s="4" t="str">
        <f>FEATURES!O726</f>
        <v>MODERATE-WAIT</v>
      </c>
      <c r="I726" s="4" t="str">
        <f t="shared" si="2"/>
        <v>LOW RISK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3.2" x14ac:dyDescent="0.25">
      <c r="A727" s="4">
        <v>1010</v>
      </c>
      <c r="B727" s="4" t="s">
        <v>45</v>
      </c>
      <c r="C727" s="4" t="str">
        <f>FEATURES!L727</f>
        <v>NORMAL</v>
      </c>
      <c r="D727" s="4" t="str">
        <f>FEATURES!R727</f>
        <v>LOW</v>
      </c>
      <c r="E727" s="4" t="str">
        <f>FEATURES!Q727</f>
        <v>DISENGAGED</v>
      </c>
      <c r="F727" s="4" t="str">
        <f>FEATURES!P727</f>
        <v>High_Pressure</v>
      </c>
      <c r="G727" s="4" t="str">
        <f>FEATURES!M727</f>
        <v>LOW</v>
      </c>
      <c r="H727" s="4" t="str">
        <f>FEATURES!O727</f>
        <v>RECENTLY PROMOTED</v>
      </c>
      <c r="I727" s="4" t="str">
        <f t="shared" si="2"/>
        <v>LOW RISK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3.2" x14ac:dyDescent="0.25">
      <c r="A728" s="4">
        <v>1011</v>
      </c>
      <c r="B728" s="4" t="s">
        <v>45</v>
      </c>
      <c r="C728" s="4" t="str">
        <f>FEATURES!L728</f>
        <v>NORMAL</v>
      </c>
      <c r="D728" s="4" t="str">
        <f>FEATURES!R728</f>
        <v>LOW</v>
      </c>
      <c r="E728" s="4" t="str">
        <f>FEATURES!Q728</f>
        <v>DISENGAGED</v>
      </c>
      <c r="F728" s="4" t="str">
        <f>FEATURES!P728</f>
        <v>Medium_Pressure</v>
      </c>
      <c r="G728" s="4" t="str">
        <f>FEATURES!M728</f>
        <v>HIGH</v>
      </c>
      <c r="H728" s="4" t="str">
        <f>FEATURES!O728</f>
        <v>RECENTLY PROMOTED</v>
      </c>
      <c r="I728" s="4" t="str">
        <f t="shared" si="2"/>
        <v>LOW RISK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3.2" x14ac:dyDescent="0.25">
      <c r="A729" s="4">
        <v>1012</v>
      </c>
      <c r="B729" s="4" t="s">
        <v>45</v>
      </c>
      <c r="C729" s="4" t="str">
        <f>FEATURES!L729</f>
        <v>NORMAL</v>
      </c>
      <c r="D729" s="4" t="str">
        <f>FEATURES!R729</f>
        <v>LOW</v>
      </c>
      <c r="E729" s="4" t="str">
        <f>FEATURES!Q729</f>
        <v>HIGHLY_ENGAGED</v>
      </c>
      <c r="F729" s="4" t="str">
        <f>FEATURES!P729</f>
        <v>Medium_Pressure</v>
      </c>
      <c r="G729" s="4" t="str">
        <f>FEATURES!M729</f>
        <v>LOW</v>
      </c>
      <c r="H729" s="4" t="str">
        <f>FEATURES!O729</f>
        <v>RECENTLY PROMOTED</v>
      </c>
      <c r="I729" s="4" t="str">
        <f t="shared" si="2"/>
        <v>LOW RISK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3.2" x14ac:dyDescent="0.25">
      <c r="A730" s="4">
        <v>1013</v>
      </c>
      <c r="B730" s="4" t="s">
        <v>45</v>
      </c>
      <c r="C730" s="4" t="str">
        <f>FEATURES!L730</f>
        <v>NORMAL</v>
      </c>
      <c r="D730" s="4" t="str">
        <f>FEATURES!R730</f>
        <v>LOW</v>
      </c>
      <c r="E730" s="4" t="str">
        <f>FEATURES!Q730</f>
        <v>HIGHLY_ENGAGED</v>
      </c>
      <c r="F730" s="4" t="str">
        <f>FEATURES!P730</f>
        <v>Medium_Pressure</v>
      </c>
      <c r="G730" s="4" t="str">
        <f>FEATURES!M730</f>
        <v>MEDIUM</v>
      </c>
      <c r="H730" s="4" t="str">
        <f>FEATURES!O730</f>
        <v>RECENTLY PROMOTED</v>
      </c>
      <c r="I730" s="4" t="str">
        <f t="shared" si="2"/>
        <v>LOW RISK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3.2" x14ac:dyDescent="0.25">
      <c r="A731" s="4">
        <v>1014</v>
      </c>
      <c r="B731" s="4" t="s">
        <v>45</v>
      </c>
      <c r="C731" s="4" t="str">
        <f>FEATURES!L731</f>
        <v>NORMAL</v>
      </c>
      <c r="D731" s="4" t="str">
        <f>FEATURES!R731</f>
        <v>LOW</v>
      </c>
      <c r="E731" s="4" t="str">
        <f>FEATURES!Q731</f>
        <v>DISENGAGED</v>
      </c>
      <c r="F731" s="4" t="str">
        <f>FEATURES!P731</f>
        <v>High_Pressure</v>
      </c>
      <c r="G731" s="4" t="str">
        <f>FEATURES!M731</f>
        <v>MEDIUM</v>
      </c>
      <c r="H731" s="4" t="str">
        <f>FEATURES!O731</f>
        <v>STAGNANT</v>
      </c>
      <c r="I731" s="4" t="str">
        <f t="shared" si="2"/>
        <v>LOW RISK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3.2" x14ac:dyDescent="0.25">
      <c r="A732" s="4">
        <v>1015</v>
      </c>
      <c r="B732" s="4" t="s">
        <v>45</v>
      </c>
      <c r="C732" s="4" t="str">
        <f>FEATURES!L732</f>
        <v>NORMAL</v>
      </c>
      <c r="D732" s="4" t="str">
        <f>FEATURES!R732</f>
        <v>LOW</v>
      </c>
      <c r="E732" s="4" t="str">
        <f>FEATURES!Q732</f>
        <v>DISENGAGED</v>
      </c>
      <c r="F732" s="4" t="str">
        <f>FEATURES!P732</f>
        <v>High_Pressure</v>
      </c>
      <c r="G732" s="4" t="str">
        <f>FEATURES!M732</f>
        <v>MEDIUM</v>
      </c>
      <c r="H732" s="4" t="str">
        <f>FEATURES!O732</f>
        <v>RECENTLY PROMOTED</v>
      </c>
      <c r="I732" s="4" t="str">
        <f t="shared" si="2"/>
        <v>LOW RISK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3.2" x14ac:dyDescent="0.25">
      <c r="A733" s="4">
        <v>1016</v>
      </c>
      <c r="B733" s="4" t="s">
        <v>45</v>
      </c>
      <c r="C733" s="4" t="str">
        <f>FEATURES!L733</f>
        <v>NORMAL</v>
      </c>
      <c r="D733" s="4" t="str">
        <f>FEATURES!R733</f>
        <v>LOW</v>
      </c>
      <c r="E733" s="4" t="str">
        <f>FEATURES!Q733</f>
        <v>DISENGAGED</v>
      </c>
      <c r="F733" s="4" t="str">
        <f>FEATURES!P733</f>
        <v>Medium_Pressure</v>
      </c>
      <c r="G733" s="4" t="str">
        <f>FEATURES!M733</f>
        <v>LOW</v>
      </c>
      <c r="H733" s="4" t="str">
        <f>FEATURES!O733</f>
        <v>RECENTLY PROMOTED</v>
      </c>
      <c r="I733" s="4" t="str">
        <f t="shared" si="2"/>
        <v>LOW RISK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3.2" x14ac:dyDescent="0.25">
      <c r="A734" s="4">
        <v>1017</v>
      </c>
      <c r="B734" s="4" t="s">
        <v>45</v>
      </c>
      <c r="C734" s="4" t="str">
        <f>FEATURES!L734</f>
        <v>NORMAL</v>
      </c>
      <c r="D734" s="4" t="str">
        <f>FEATURES!R734</f>
        <v>LOW</v>
      </c>
      <c r="E734" s="4" t="str">
        <f>FEATURES!Q734</f>
        <v>DISENGAGED</v>
      </c>
      <c r="F734" s="4" t="str">
        <f>FEATURES!P734</f>
        <v>Medium_Pressure</v>
      </c>
      <c r="G734" s="4" t="str">
        <f>FEATURES!M734</f>
        <v>LOW</v>
      </c>
      <c r="H734" s="4" t="str">
        <f>FEATURES!O734</f>
        <v>RECENTLY PROMOTED</v>
      </c>
      <c r="I734" s="4" t="str">
        <f t="shared" si="2"/>
        <v>LOW RISK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3.2" x14ac:dyDescent="0.25">
      <c r="A735" s="4">
        <v>1018</v>
      </c>
      <c r="B735" s="4" t="s">
        <v>45</v>
      </c>
      <c r="C735" s="4" t="str">
        <f>FEATURES!L735</f>
        <v>NORMAL</v>
      </c>
      <c r="D735" s="4" t="str">
        <f>FEATURES!R735</f>
        <v>LOW</v>
      </c>
      <c r="E735" s="4" t="str">
        <f>FEATURES!Q735</f>
        <v>HIGHLY_ENGAGED</v>
      </c>
      <c r="F735" s="4" t="str">
        <f>FEATURES!P735</f>
        <v>Medium_Pressure</v>
      </c>
      <c r="G735" s="4" t="str">
        <f>FEATURES!M735</f>
        <v>HIGH</v>
      </c>
      <c r="H735" s="4" t="str">
        <f>FEATURES!O735</f>
        <v>RECENTLY PROMOTED</v>
      </c>
      <c r="I735" s="4" t="str">
        <f t="shared" si="2"/>
        <v>LOW RISK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3.2" x14ac:dyDescent="0.25">
      <c r="A736" s="4">
        <v>1019</v>
      </c>
      <c r="B736" s="4" t="s">
        <v>45</v>
      </c>
      <c r="C736" s="4" t="str">
        <f>FEATURES!L736</f>
        <v>NORMAL</v>
      </c>
      <c r="D736" s="4" t="str">
        <f>FEATURES!R736</f>
        <v>LOW</v>
      </c>
      <c r="E736" s="4" t="str">
        <f>FEATURES!Q736</f>
        <v>DISENGAGED</v>
      </c>
      <c r="F736" s="4" t="str">
        <f>FEATURES!P736</f>
        <v>Low_Pressure</v>
      </c>
      <c r="G736" s="4" t="str">
        <f>FEATURES!M736</f>
        <v>LOW</v>
      </c>
      <c r="H736" s="4" t="str">
        <f>FEATURES!O736</f>
        <v>RECENTLY PROMOTED</v>
      </c>
      <c r="I736" s="4" t="str">
        <f t="shared" si="2"/>
        <v>LOW RISK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3.2" x14ac:dyDescent="0.25">
      <c r="A737" s="4">
        <v>1022</v>
      </c>
      <c r="B737" s="4" t="s">
        <v>45</v>
      </c>
      <c r="C737" s="4" t="str">
        <f>FEATURES!L737</f>
        <v>NORMAL</v>
      </c>
      <c r="D737" s="4" t="str">
        <f>FEATURES!R737</f>
        <v>LOW</v>
      </c>
      <c r="E737" s="4" t="str">
        <f>FEATURES!Q737</f>
        <v>HIGHLY_ENGAGED</v>
      </c>
      <c r="F737" s="4" t="str">
        <f>FEATURES!P737</f>
        <v>Medium_Pressure</v>
      </c>
      <c r="G737" s="4" t="str">
        <f>FEATURES!M737</f>
        <v>HIGH</v>
      </c>
      <c r="H737" s="4" t="str">
        <f>FEATURES!O737</f>
        <v>MODERATE-WAIT</v>
      </c>
      <c r="I737" s="4" t="str">
        <f t="shared" si="2"/>
        <v>LOW RISK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3.2" x14ac:dyDescent="0.25">
      <c r="A738" s="4">
        <v>1024</v>
      </c>
      <c r="B738" s="4" t="s">
        <v>45</v>
      </c>
      <c r="C738" s="4" t="str">
        <f>FEATURES!L738</f>
        <v>NORMAL</v>
      </c>
      <c r="D738" s="4" t="str">
        <f>FEATURES!R738</f>
        <v>LOW</v>
      </c>
      <c r="E738" s="4" t="str">
        <f>FEATURES!Q738</f>
        <v>HIGHLY_ENGAGED</v>
      </c>
      <c r="F738" s="4" t="str">
        <f>FEATURES!P738</f>
        <v>Medium_Pressure</v>
      </c>
      <c r="G738" s="4" t="str">
        <f>FEATURES!M738</f>
        <v>MEDIUM</v>
      </c>
      <c r="H738" s="4" t="str">
        <f>FEATURES!O738</f>
        <v>STAGNANT</v>
      </c>
      <c r="I738" s="4" t="str">
        <f t="shared" si="2"/>
        <v>LOW RISK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3.2" x14ac:dyDescent="0.25">
      <c r="A739" s="4">
        <v>1025</v>
      </c>
      <c r="B739" s="4" t="s">
        <v>45</v>
      </c>
      <c r="C739" s="4" t="str">
        <f>FEATURES!L739</f>
        <v>NORMAL</v>
      </c>
      <c r="D739" s="4" t="str">
        <f>FEATURES!R739</f>
        <v>LOW</v>
      </c>
      <c r="E739" s="4" t="str">
        <f>FEATURES!Q739</f>
        <v>HIGHLY_ENGAGED</v>
      </c>
      <c r="F739" s="4" t="str">
        <f>FEATURES!P739</f>
        <v>Medium_Pressure</v>
      </c>
      <c r="G739" s="4" t="str">
        <f>FEATURES!M739</f>
        <v>HIGH</v>
      </c>
      <c r="H739" s="4" t="str">
        <f>FEATURES!O739</f>
        <v>MODERATE-WAIT</v>
      </c>
      <c r="I739" s="4" t="str">
        <f t="shared" si="2"/>
        <v>LOW RISK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3.2" x14ac:dyDescent="0.25">
      <c r="A740" s="4">
        <v>1026</v>
      </c>
      <c r="B740" s="4" t="s">
        <v>45</v>
      </c>
      <c r="C740" s="4" t="str">
        <f>FEATURES!L740</f>
        <v>NORMAL</v>
      </c>
      <c r="D740" s="4" t="str">
        <f>FEATURES!R740</f>
        <v>LOW</v>
      </c>
      <c r="E740" s="4" t="str">
        <f>FEATURES!Q740</f>
        <v>HIGHLY_ENGAGED</v>
      </c>
      <c r="F740" s="4" t="str">
        <f>FEATURES!P740</f>
        <v>Medium_Pressure</v>
      </c>
      <c r="G740" s="4" t="str">
        <f>FEATURES!M740</f>
        <v>MEDIUM</v>
      </c>
      <c r="H740" s="4" t="str">
        <f>FEATURES!O740</f>
        <v>STAGNANT</v>
      </c>
      <c r="I740" s="4" t="str">
        <f t="shared" si="2"/>
        <v>LOW RISK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3.2" x14ac:dyDescent="0.25">
      <c r="A741" s="4">
        <v>1027</v>
      </c>
      <c r="B741" s="4" t="s">
        <v>45</v>
      </c>
      <c r="C741" s="4" t="str">
        <f>FEATURES!L741</f>
        <v>NORMAL</v>
      </c>
      <c r="D741" s="4" t="str">
        <f>FEATURES!R741</f>
        <v>LOW</v>
      </c>
      <c r="E741" s="4" t="str">
        <f>FEATURES!Q741</f>
        <v>HIGHLY_ENGAGED</v>
      </c>
      <c r="F741" s="4" t="str">
        <f>FEATURES!P741</f>
        <v>Medium_Pressure</v>
      </c>
      <c r="G741" s="4" t="str">
        <f>FEATURES!M741</f>
        <v>HIGH</v>
      </c>
      <c r="H741" s="4" t="str">
        <f>FEATURES!O741</f>
        <v>MODERATE-WAIT</v>
      </c>
      <c r="I741" s="4" t="str">
        <f t="shared" si="2"/>
        <v>LOW RISK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3.2" x14ac:dyDescent="0.25">
      <c r="A742" s="4">
        <v>1028</v>
      </c>
      <c r="B742" s="4" t="s">
        <v>45</v>
      </c>
      <c r="C742" s="4" t="str">
        <f>FEATURES!L742</f>
        <v>NORMAL</v>
      </c>
      <c r="D742" s="4" t="str">
        <f>FEATURES!R742</f>
        <v>LOW</v>
      </c>
      <c r="E742" s="4" t="str">
        <f>FEATURES!Q742</f>
        <v>DISENGAGED</v>
      </c>
      <c r="F742" s="4" t="str">
        <f>FEATURES!P742</f>
        <v>Low_Pressure</v>
      </c>
      <c r="G742" s="4" t="str">
        <f>FEATURES!M742</f>
        <v>LOW</v>
      </c>
      <c r="H742" s="4" t="str">
        <f>FEATURES!O742</f>
        <v>RECENTLY PROMOTED</v>
      </c>
      <c r="I742" s="4" t="str">
        <f t="shared" si="2"/>
        <v>LOW RISK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3.2" x14ac:dyDescent="0.25">
      <c r="A743" s="4">
        <v>1029</v>
      </c>
      <c r="B743" s="4" t="s">
        <v>37</v>
      </c>
      <c r="C743" s="4" t="str">
        <f>FEATURES!L743</f>
        <v>NORMAL</v>
      </c>
      <c r="D743" s="4" t="str">
        <f>FEATURES!R743</f>
        <v>LOW</v>
      </c>
      <c r="E743" s="4" t="str">
        <f>FEATURES!Q743</f>
        <v>HIGHLY_ENGAGED</v>
      </c>
      <c r="F743" s="4" t="str">
        <f>FEATURES!P743</f>
        <v>Low_Pressure</v>
      </c>
      <c r="G743" s="4" t="str">
        <f>FEATURES!M743</f>
        <v>MEDIUM</v>
      </c>
      <c r="H743" s="4" t="str">
        <f>FEATURES!O743</f>
        <v>RECENTLY PROMOTED</v>
      </c>
      <c r="I743" s="4" t="str">
        <f t="shared" si="2"/>
        <v>LOW RISK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3.2" x14ac:dyDescent="0.25">
      <c r="A744" s="4">
        <v>1030</v>
      </c>
      <c r="B744" s="4" t="s">
        <v>45</v>
      </c>
      <c r="C744" s="4" t="str">
        <f>FEATURES!L744</f>
        <v>NORMAL</v>
      </c>
      <c r="D744" s="4" t="str">
        <f>FEATURES!R744</f>
        <v>LOW</v>
      </c>
      <c r="E744" s="4" t="str">
        <f>FEATURES!Q744</f>
        <v>HIGHLY_ENGAGED</v>
      </c>
      <c r="F744" s="4" t="str">
        <f>FEATURES!P744</f>
        <v>Medium_Pressure</v>
      </c>
      <c r="G744" s="4" t="str">
        <f>FEATURES!M744</f>
        <v>LOW</v>
      </c>
      <c r="H744" s="4" t="str">
        <f>FEATURES!O744</f>
        <v>RECENTLY PROMOTED</v>
      </c>
      <c r="I744" s="4" t="str">
        <f t="shared" si="2"/>
        <v>LOW RISK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3.2" x14ac:dyDescent="0.25">
      <c r="A745" s="4">
        <v>1032</v>
      </c>
      <c r="B745" s="4" t="s">
        <v>45</v>
      </c>
      <c r="C745" s="4" t="str">
        <f>FEATURES!L745</f>
        <v>NORMAL</v>
      </c>
      <c r="D745" s="4" t="str">
        <f>FEATURES!R745</f>
        <v>LOW</v>
      </c>
      <c r="E745" s="4" t="str">
        <f>FEATURES!Q745</f>
        <v>HIGHLY_ENGAGED</v>
      </c>
      <c r="F745" s="4" t="str">
        <f>FEATURES!P745</f>
        <v>Medium_Pressure</v>
      </c>
      <c r="G745" s="4" t="str">
        <f>FEATURES!M745</f>
        <v>MEDIUM</v>
      </c>
      <c r="H745" s="4" t="str">
        <f>FEATURES!O745</f>
        <v>STAGNANT</v>
      </c>
      <c r="I745" s="4" t="str">
        <f t="shared" si="2"/>
        <v>LOW RISK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3.2" x14ac:dyDescent="0.25">
      <c r="A746" s="4">
        <v>1033</v>
      </c>
      <c r="B746" s="4" t="s">
        <v>45</v>
      </c>
      <c r="C746" s="4" t="str">
        <f>FEATURES!L746</f>
        <v>NORMAL</v>
      </c>
      <c r="D746" s="4" t="str">
        <f>FEATURES!R746</f>
        <v>LOW</v>
      </c>
      <c r="E746" s="4" t="str">
        <f>FEATURES!Q746</f>
        <v>DISENGAGED</v>
      </c>
      <c r="F746" s="4" t="str">
        <f>FEATURES!P746</f>
        <v>Low_Pressure</v>
      </c>
      <c r="G746" s="4" t="str">
        <f>FEATURES!M746</f>
        <v>HIGH</v>
      </c>
      <c r="H746" s="4" t="str">
        <f>FEATURES!O746</f>
        <v>RECENTLY PROMOTED</v>
      </c>
      <c r="I746" s="4" t="str">
        <f t="shared" si="2"/>
        <v>LOW RISK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3.2" x14ac:dyDescent="0.25">
      <c r="A747" s="4">
        <v>1034</v>
      </c>
      <c r="B747" s="4" t="s">
        <v>45</v>
      </c>
      <c r="C747" s="4" t="str">
        <f>FEATURES!L747</f>
        <v>HIGH RISK</v>
      </c>
      <c r="D747" s="4" t="str">
        <f>FEATURES!R747</f>
        <v>LOW</v>
      </c>
      <c r="E747" s="4" t="str">
        <f>FEATURES!Q747</f>
        <v>DISENGAGED</v>
      </c>
      <c r="F747" s="4" t="str">
        <f>FEATURES!P747</f>
        <v>Medium_Pressure</v>
      </c>
      <c r="G747" s="4" t="str">
        <f>FEATURES!M747</f>
        <v>HIGH</v>
      </c>
      <c r="H747" s="4" t="str">
        <f>FEATURES!O747</f>
        <v>STAGNANT</v>
      </c>
      <c r="I747" s="4" t="str">
        <f t="shared" si="2"/>
        <v>LOW RISK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3.2" x14ac:dyDescent="0.25">
      <c r="A748" s="4">
        <v>1035</v>
      </c>
      <c r="B748" s="4" t="s">
        <v>45</v>
      </c>
      <c r="C748" s="4" t="str">
        <f>FEATURES!L748</f>
        <v>NORMAL</v>
      </c>
      <c r="D748" s="4" t="str">
        <f>FEATURES!R748</f>
        <v>LOW</v>
      </c>
      <c r="E748" s="4" t="str">
        <f>FEATURES!Q748</f>
        <v>HIGHLY_ENGAGED</v>
      </c>
      <c r="F748" s="4" t="str">
        <f>FEATURES!P748</f>
        <v>Medium_Pressure</v>
      </c>
      <c r="G748" s="4" t="str">
        <f>FEATURES!M748</f>
        <v>MEDIUM</v>
      </c>
      <c r="H748" s="4" t="str">
        <f>FEATURES!O748</f>
        <v>STAGNANT</v>
      </c>
      <c r="I748" s="4" t="str">
        <f t="shared" si="2"/>
        <v>LOW RISK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3.2" x14ac:dyDescent="0.25">
      <c r="A749" s="4">
        <v>1036</v>
      </c>
      <c r="B749" s="4" t="s">
        <v>37</v>
      </c>
      <c r="C749" s="4" t="str">
        <f>FEATURES!L749</f>
        <v>NORMAL</v>
      </c>
      <c r="D749" s="4" t="str">
        <f>FEATURES!R749</f>
        <v>LOW</v>
      </c>
      <c r="E749" s="4" t="str">
        <f>FEATURES!Q749</f>
        <v>HIGHLY_ENGAGED</v>
      </c>
      <c r="F749" s="4" t="str">
        <f>FEATURES!P749</f>
        <v>Medium_Pressure</v>
      </c>
      <c r="G749" s="4" t="str">
        <f>FEATURES!M749</f>
        <v>HIGH</v>
      </c>
      <c r="H749" s="4" t="str">
        <f>FEATURES!O749</f>
        <v>RECENTLY PROMOTED</v>
      </c>
      <c r="I749" s="4" t="str">
        <f t="shared" si="2"/>
        <v>LOW RISK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3.2" x14ac:dyDescent="0.25">
      <c r="A750" s="4">
        <v>1037</v>
      </c>
      <c r="B750" s="4" t="s">
        <v>37</v>
      </c>
      <c r="C750" s="4" t="str">
        <f>FEATURES!L750</f>
        <v>NORMAL</v>
      </c>
      <c r="D750" s="4" t="str">
        <f>FEATURES!R750</f>
        <v>LOW</v>
      </c>
      <c r="E750" s="4" t="str">
        <f>FEATURES!Q750</f>
        <v>DISENGAGED</v>
      </c>
      <c r="F750" s="4" t="str">
        <f>FEATURES!P750</f>
        <v>Medium_Pressure</v>
      </c>
      <c r="G750" s="4" t="str">
        <f>FEATURES!M750</f>
        <v>HIGH</v>
      </c>
      <c r="H750" s="4" t="str">
        <f>FEATURES!O750</f>
        <v>MODERATE-WAIT</v>
      </c>
      <c r="I750" s="4" t="str">
        <f t="shared" si="2"/>
        <v>LOW RISK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3.2" x14ac:dyDescent="0.25">
      <c r="A751" s="4">
        <v>1038</v>
      </c>
      <c r="B751" s="4" t="s">
        <v>37</v>
      </c>
      <c r="C751" s="4" t="str">
        <f>FEATURES!L751</f>
        <v>NORMAL</v>
      </c>
      <c r="D751" s="4" t="str">
        <f>FEATURES!R751</f>
        <v>LOW</v>
      </c>
      <c r="E751" s="4" t="str">
        <f>FEATURES!Q751</f>
        <v>HIGHLY_ENGAGED</v>
      </c>
      <c r="F751" s="4" t="str">
        <f>FEATURES!P751</f>
        <v>Medium_Pressure</v>
      </c>
      <c r="G751" s="4" t="str">
        <f>FEATURES!M751</f>
        <v>MEDIUM</v>
      </c>
      <c r="H751" s="4" t="str">
        <f>FEATURES!O751</f>
        <v>STAGNANT</v>
      </c>
      <c r="I751" s="4" t="str">
        <f t="shared" si="2"/>
        <v>LOW RISK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3.2" x14ac:dyDescent="0.25">
      <c r="A752" s="4">
        <v>1039</v>
      </c>
      <c r="B752" s="4" t="s">
        <v>37</v>
      </c>
      <c r="C752" s="4" t="str">
        <f>FEATURES!L752</f>
        <v>NORMAL</v>
      </c>
      <c r="D752" s="4" t="str">
        <f>FEATURES!R752</f>
        <v>LOW</v>
      </c>
      <c r="E752" s="4" t="str">
        <f>FEATURES!Q752</f>
        <v>HIGHLY_ENGAGED</v>
      </c>
      <c r="F752" s="4" t="str">
        <f>FEATURES!P752</f>
        <v>Medium_Pressure</v>
      </c>
      <c r="G752" s="4" t="str">
        <f>FEATURES!M752</f>
        <v>MEDIUM</v>
      </c>
      <c r="H752" s="4" t="str">
        <f>FEATURES!O752</f>
        <v>STAGNANT</v>
      </c>
      <c r="I752" s="4" t="str">
        <f t="shared" si="2"/>
        <v>LOW RISK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3.2" x14ac:dyDescent="0.25">
      <c r="A753" s="4">
        <v>1040</v>
      </c>
      <c r="B753" s="4" t="s">
        <v>37</v>
      </c>
      <c r="C753" s="4" t="str">
        <f>FEATURES!L753</f>
        <v>NORMAL</v>
      </c>
      <c r="D753" s="4" t="str">
        <f>FEATURES!R753</f>
        <v>LOW</v>
      </c>
      <c r="E753" s="4" t="str">
        <f>FEATURES!Q753</f>
        <v>HIGHLY_ENGAGED</v>
      </c>
      <c r="F753" s="4" t="str">
        <f>FEATURES!P753</f>
        <v>Medium_Pressure</v>
      </c>
      <c r="G753" s="4" t="str">
        <f>FEATURES!M753</f>
        <v>HIGH</v>
      </c>
      <c r="H753" s="4" t="str">
        <f>FEATURES!O753</f>
        <v>RECENTLY PROMOTED</v>
      </c>
      <c r="I753" s="4" t="str">
        <f t="shared" si="2"/>
        <v>LOW RISK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3.2" x14ac:dyDescent="0.25">
      <c r="A754" s="4">
        <v>1042</v>
      </c>
      <c r="B754" s="4" t="s">
        <v>45</v>
      </c>
      <c r="C754" s="4" t="str">
        <f>FEATURES!L754</f>
        <v>NORMAL</v>
      </c>
      <c r="D754" s="4" t="str">
        <f>FEATURES!R754</f>
        <v>LOW</v>
      </c>
      <c r="E754" s="4" t="str">
        <f>FEATURES!Q754</f>
        <v>DISENGAGED</v>
      </c>
      <c r="F754" s="4" t="str">
        <f>FEATURES!P754</f>
        <v>Medium_Pressure</v>
      </c>
      <c r="G754" s="4" t="str">
        <f>FEATURES!M754</f>
        <v>LOW</v>
      </c>
      <c r="H754" s="4" t="str">
        <f>FEATURES!O754</f>
        <v>STAGNANT</v>
      </c>
      <c r="I754" s="4" t="str">
        <f t="shared" si="2"/>
        <v>LOW RISK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3.2" x14ac:dyDescent="0.25">
      <c r="A755" s="4">
        <v>1043</v>
      </c>
      <c r="B755" s="4" t="s">
        <v>45</v>
      </c>
      <c r="C755" s="4" t="str">
        <f>FEATURES!L755</f>
        <v>NORMAL</v>
      </c>
      <c r="D755" s="4" t="str">
        <f>FEATURES!R755</f>
        <v>LOW</v>
      </c>
      <c r="E755" s="4" t="str">
        <f>FEATURES!Q755</f>
        <v>DISENGAGED</v>
      </c>
      <c r="F755" s="4" t="str">
        <f>FEATURES!P755</f>
        <v>Medium_Pressure</v>
      </c>
      <c r="G755" s="4" t="str">
        <f>FEATURES!M755</f>
        <v>MEDIUM</v>
      </c>
      <c r="H755" s="4" t="str">
        <f>FEATURES!O755</f>
        <v>MODERATE-WAIT</v>
      </c>
      <c r="I755" s="4" t="str">
        <f t="shared" si="2"/>
        <v>LOW RISK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3.2" x14ac:dyDescent="0.25">
      <c r="A756" s="4">
        <v>1044</v>
      </c>
      <c r="B756" s="4" t="s">
        <v>37</v>
      </c>
      <c r="C756" s="4" t="str">
        <f>FEATURES!L756</f>
        <v>NORMAL</v>
      </c>
      <c r="D756" s="4" t="str">
        <f>FEATURES!R756</f>
        <v>LOW</v>
      </c>
      <c r="E756" s="4" t="str">
        <f>FEATURES!Q756</f>
        <v>DISENGAGED</v>
      </c>
      <c r="F756" s="4" t="str">
        <f>FEATURES!P756</f>
        <v>Low_Pressure</v>
      </c>
      <c r="G756" s="4" t="str">
        <f>FEATURES!M756</f>
        <v>LOW</v>
      </c>
      <c r="H756" s="4" t="str">
        <f>FEATURES!O756</f>
        <v>MODERATE-WAIT</v>
      </c>
      <c r="I756" s="4" t="str">
        <f t="shared" si="2"/>
        <v>LOW RISK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3.2" x14ac:dyDescent="0.25">
      <c r="A757" s="4">
        <v>1045</v>
      </c>
      <c r="B757" s="4" t="s">
        <v>37</v>
      </c>
      <c r="C757" s="4" t="str">
        <f>FEATURES!L757</f>
        <v>NORMAL</v>
      </c>
      <c r="D757" s="4" t="str">
        <f>FEATURES!R757</f>
        <v>LOW</v>
      </c>
      <c r="E757" s="4" t="str">
        <f>FEATURES!Q757</f>
        <v>HIGHLY_ENGAGED</v>
      </c>
      <c r="F757" s="4" t="str">
        <f>FEATURES!P757</f>
        <v>Low_Pressure</v>
      </c>
      <c r="G757" s="4" t="str">
        <f>FEATURES!M757</f>
        <v>MEDIUM</v>
      </c>
      <c r="H757" s="4" t="str">
        <f>FEATURES!O757</f>
        <v>RECENTLY PROMOTED</v>
      </c>
      <c r="I757" s="4" t="str">
        <f t="shared" si="2"/>
        <v>LOW RISK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3.2" x14ac:dyDescent="0.25">
      <c r="A758" s="4">
        <v>1046</v>
      </c>
      <c r="B758" s="4" t="s">
        <v>45</v>
      </c>
      <c r="C758" s="4" t="str">
        <f>FEATURES!L758</f>
        <v>NORMAL</v>
      </c>
      <c r="D758" s="4" t="str">
        <f>FEATURES!R758</f>
        <v>LOW</v>
      </c>
      <c r="E758" s="4" t="str">
        <f>FEATURES!Q758</f>
        <v>HIGHLY_ENGAGED</v>
      </c>
      <c r="F758" s="4" t="str">
        <f>FEATURES!P758</f>
        <v>Medium_Pressure</v>
      </c>
      <c r="G758" s="4" t="str">
        <f>FEATURES!M758</f>
        <v>HIGH</v>
      </c>
      <c r="H758" s="4" t="str">
        <f>FEATURES!O758</f>
        <v>STAGNANT</v>
      </c>
      <c r="I758" s="4" t="str">
        <f t="shared" si="2"/>
        <v>LOW RISK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3.2" x14ac:dyDescent="0.25">
      <c r="A759" s="4">
        <v>1047</v>
      </c>
      <c r="B759" s="4" t="s">
        <v>37</v>
      </c>
      <c r="C759" s="4" t="str">
        <f>FEATURES!L759</f>
        <v>NORMAL</v>
      </c>
      <c r="D759" s="4" t="str">
        <f>FEATURES!R759</f>
        <v>LOW</v>
      </c>
      <c r="E759" s="4" t="str">
        <f>FEATURES!Q759</f>
        <v>DISENGAGED</v>
      </c>
      <c r="F759" s="4" t="str">
        <f>FEATURES!P759</f>
        <v>Low_Pressure</v>
      </c>
      <c r="G759" s="4" t="str">
        <f>FEATURES!M759</f>
        <v>MEDIUM</v>
      </c>
      <c r="H759" s="4" t="str">
        <f>FEATURES!O759</f>
        <v>RECENTLY PROMOTED</v>
      </c>
      <c r="I759" s="4" t="str">
        <f t="shared" si="2"/>
        <v>LOW RISK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3.2" x14ac:dyDescent="0.25">
      <c r="A760" s="4">
        <v>1048</v>
      </c>
      <c r="B760" s="4" t="s">
        <v>37</v>
      </c>
      <c r="C760" s="4" t="str">
        <f>FEATURES!L760</f>
        <v>NORMAL</v>
      </c>
      <c r="D760" s="4" t="str">
        <f>FEATURES!R760</f>
        <v>LOW</v>
      </c>
      <c r="E760" s="4" t="str">
        <f>FEATURES!Q760</f>
        <v>DISENGAGED</v>
      </c>
      <c r="F760" s="4" t="str">
        <f>FEATURES!P760</f>
        <v>High_Pressure</v>
      </c>
      <c r="G760" s="4" t="str">
        <f>FEATURES!M760</f>
        <v>MEDIUM</v>
      </c>
      <c r="H760" s="4" t="str">
        <f>FEATURES!O760</f>
        <v>RECENTLY PROMOTED</v>
      </c>
      <c r="I760" s="4" t="str">
        <f t="shared" si="2"/>
        <v>LOW RISK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3.2" x14ac:dyDescent="0.25">
      <c r="A761" s="4">
        <v>1049</v>
      </c>
      <c r="B761" s="4" t="s">
        <v>61</v>
      </c>
      <c r="C761" s="4" t="str">
        <f>FEATURES!L761</f>
        <v>NORMAL</v>
      </c>
      <c r="D761" s="4" t="str">
        <f>FEATURES!R761</f>
        <v>LOW</v>
      </c>
      <c r="E761" s="4" t="str">
        <f>FEATURES!Q761</f>
        <v>DISENGAGED</v>
      </c>
      <c r="F761" s="4" t="str">
        <f>FEATURES!P761</f>
        <v>Medium_Pressure</v>
      </c>
      <c r="G761" s="4" t="str">
        <f>FEATURES!M761</f>
        <v>LOW</v>
      </c>
      <c r="H761" s="4" t="str">
        <f>FEATURES!O761</f>
        <v>RECENTLY PROMOTED</v>
      </c>
      <c r="I761" s="4" t="str">
        <f t="shared" si="2"/>
        <v>LOW RISK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3.2" x14ac:dyDescent="0.25">
      <c r="A762" s="4">
        <v>1050</v>
      </c>
      <c r="B762" s="4" t="s">
        <v>37</v>
      </c>
      <c r="C762" s="4" t="str">
        <f>FEATURES!L762</f>
        <v>NORMAL</v>
      </c>
      <c r="D762" s="4" t="str">
        <f>FEATURES!R762</f>
        <v>LOW</v>
      </c>
      <c r="E762" s="4" t="str">
        <f>FEATURES!Q762</f>
        <v>DISENGAGED</v>
      </c>
      <c r="F762" s="4" t="str">
        <f>FEATURES!P762</f>
        <v>Medium_Pressure</v>
      </c>
      <c r="G762" s="4" t="str">
        <f>FEATURES!M762</f>
        <v>HIGH</v>
      </c>
      <c r="H762" s="4" t="str">
        <f>FEATURES!O762</f>
        <v>STAGNANT</v>
      </c>
      <c r="I762" s="4" t="str">
        <f t="shared" si="2"/>
        <v>LOW RISK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3.2" x14ac:dyDescent="0.25">
      <c r="A763" s="4">
        <v>1052</v>
      </c>
      <c r="B763" s="4" t="s">
        <v>45</v>
      </c>
      <c r="C763" s="4" t="str">
        <f>FEATURES!L763</f>
        <v>NORMAL</v>
      </c>
      <c r="D763" s="4" t="str">
        <f>FEATURES!R763</f>
        <v>LOW</v>
      </c>
      <c r="E763" s="4" t="str">
        <f>FEATURES!Q763</f>
        <v>DISENGAGED</v>
      </c>
      <c r="F763" s="4" t="str">
        <f>FEATURES!P763</f>
        <v>Low_Pressure</v>
      </c>
      <c r="G763" s="4" t="str">
        <f>FEATURES!M763</f>
        <v>HIGH</v>
      </c>
      <c r="H763" s="4" t="str">
        <f>FEATURES!O763</f>
        <v>RECENTLY PROMOTED</v>
      </c>
      <c r="I763" s="4" t="str">
        <f t="shared" si="2"/>
        <v>LOW RISK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3.2" x14ac:dyDescent="0.25">
      <c r="A764" s="4">
        <v>1053</v>
      </c>
      <c r="B764" s="4" t="s">
        <v>45</v>
      </c>
      <c r="C764" s="4" t="str">
        <f>FEATURES!L764</f>
        <v>NORMAL</v>
      </c>
      <c r="D764" s="4" t="str">
        <f>FEATURES!R764</f>
        <v>LOW</v>
      </c>
      <c r="E764" s="4" t="str">
        <f>FEATURES!Q764</f>
        <v>DISENGAGED</v>
      </c>
      <c r="F764" s="4" t="str">
        <f>FEATURES!P764</f>
        <v>Medium_Pressure</v>
      </c>
      <c r="G764" s="4" t="str">
        <f>FEATURES!M764</f>
        <v>LOW</v>
      </c>
      <c r="H764" s="4" t="str">
        <f>FEATURES!O764</f>
        <v>RECENTLY PROMOTED</v>
      </c>
      <c r="I764" s="4" t="str">
        <f t="shared" si="2"/>
        <v>LOW RISK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3.2" x14ac:dyDescent="0.25">
      <c r="A765" s="4">
        <v>1055</v>
      </c>
      <c r="B765" s="4" t="s">
        <v>37</v>
      </c>
      <c r="C765" s="4" t="str">
        <f>FEATURES!L765</f>
        <v>NORMAL</v>
      </c>
      <c r="D765" s="4" t="str">
        <f>FEATURES!R765</f>
        <v>LOW</v>
      </c>
      <c r="E765" s="4" t="str">
        <f>FEATURES!Q765</f>
        <v>HIGHLY_ENGAGED</v>
      </c>
      <c r="F765" s="4" t="str">
        <f>FEATURES!P765</f>
        <v>Medium_Pressure</v>
      </c>
      <c r="G765" s="4" t="str">
        <f>FEATURES!M765</f>
        <v>LOW</v>
      </c>
      <c r="H765" s="4" t="str">
        <f>FEATURES!O765</f>
        <v>RECENTLY PROMOTED</v>
      </c>
      <c r="I765" s="4" t="str">
        <f t="shared" si="2"/>
        <v>LOW RISK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3.2" x14ac:dyDescent="0.25">
      <c r="A766" s="4">
        <v>1056</v>
      </c>
      <c r="B766" s="4" t="s">
        <v>37</v>
      </c>
      <c r="C766" s="4" t="str">
        <f>FEATURES!L766</f>
        <v>NORMAL</v>
      </c>
      <c r="D766" s="4" t="str">
        <f>FEATURES!R766</f>
        <v>LOW</v>
      </c>
      <c r="E766" s="4" t="str">
        <f>FEATURES!Q766</f>
        <v>DISENGAGED</v>
      </c>
      <c r="F766" s="4" t="str">
        <f>FEATURES!P766</f>
        <v>Medium_Pressure</v>
      </c>
      <c r="G766" s="4" t="str">
        <f>FEATURES!M766</f>
        <v>LOW</v>
      </c>
      <c r="H766" s="4" t="str">
        <f>FEATURES!O766</f>
        <v>RECENTLY PROMOTED</v>
      </c>
      <c r="I766" s="4" t="str">
        <f t="shared" si="2"/>
        <v>LOW RISK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3.2" x14ac:dyDescent="0.25">
      <c r="A767" s="4">
        <v>1060</v>
      </c>
      <c r="B767" s="4" t="s">
        <v>45</v>
      </c>
      <c r="C767" s="4" t="str">
        <f>FEATURES!L767</f>
        <v>NORMAL</v>
      </c>
      <c r="D767" s="4" t="str">
        <f>FEATURES!R767</f>
        <v>LOW</v>
      </c>
      <c r="E767" s="4" t="str">
        <f>FEATURES!Q767</f>
        <v>HIGHLY_ENGAGED</v>
      </c>
      <c r="F767" s="4" t="str">
        <f>FEATURES!P767</f>
        <v>Medium_Pressure</v>
      </c>
      <c r="G767" s="4" t="str">
        <f>FEATURES!M767</f>
        <v>LOW</v>
      </c>
      <c r="H767" s="4" t="str">
        <f>FEATURES!O767</f>
        <v>MODERATE-WAIT</v>
      </c>
      <c r="I767" s="4" t="str">
        <f t="shared" ref="I767:I1021" si="3">IF(AND(C767="HIGH",D767="HIGH",E767="DISENGAGED",F767="HIGH_PRESSURE",G767="LOW",H767="STAGNANT"),"HIGH RISK",IF(AND(C767="NORMAL",D767="MEDIUM",E767="MODERATELY ENGAGED",G767="MEDIUM",H767="MODERATE WAIT"),"MEDIUM RISK", "LOW RISK"))</f>
        <v>LOW RISK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3.2" x14ac:dyDescent="0.25">
      <c r="A768" s="4">
        <v>1061</v>
      </c>
      <c r="B768" s="4" t="s">
        <v>45</v>
      </c>
      <c r="C768" s="4" t="str">
        <f>FEATURES!L768</f>
        <v>NORMAL</v>
      </c>
      <c r="D768" s="4" t="str">
        <f>FEATURES!R768</f>
        <v>LOW</v>
      </c>
      <c r="E768" s="4" t="str">
        <f>FEATURES!Q768</f>
        <v>DISENGAGED</v>
      </c>
      <c r="F768" s="4" t="str">
        <f>FEATURES!P768</f>
        <v>High_Pressure</v>
      </c>
      <c r="G768" s="4" t="str">
        <f>FEATURES!M768</f>
        <v>MEDIUM</v>
      </c>
      <c r="H768" s="4" t="str">
        <f>FEATURES!O768</f>
        <v>STAGNANT</v>
      </c>
      <c r="I768" s="4" t="str">
        <f t="shared" si="3"/>
        <v>LOW RISK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3.2" x14ac:dyDescent="0.25">
      <c r="A769" s="4">
        <v>1062</v>
      </c>
      <c r="B769" s="4" t="s">
        <v>45</v>
      </c>
      <c r="C769" s="4" t="str">
        <f>FEATURES!L769</f>
        <v>NORMAL</v>
      </c>
      <c r="D769" s="4" t="str">
        <f>FEATURES!R769</f>
        <v>LOW</v>
      </c>
      <c r="E769" s="4" t="str">
        <f>FEATURES!Q769</f>
        <v>DISENGAGED</v>
      </c>
      <c r="F769" s="4" t="str">
        <f>FEATURES!P769</f>
        <v>Low_Pressure</v>
      </c>
      <c r="G769" s="4" t="str">
        <f>FEATURES!M769</f>
        <v>HIGH</v>
      </c>
      <c r="H769" s="4" t="str">
        <f>FEATURES!O769</f>
        <v>RECENTLY PROMOTED</v>
      </c>
      <c r="I769" s="4" t="str">
        <f t="shared" si="3"/>
        <v>LOW RISK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3.2" x14ac:dyDescent="0.25">
      <c r="A770" s="4">
        <v>1066</v>
      </c>
      <c r="B770" s="4" t="s">
        <v>37</v>
      </c>
      <c r="C770" s="4" t="str">
        <f>FEATURES!L770</f>
        <v>NORMAL</v>
      </c>
      <c r="D770" s="4" t="str">
        <f>FEATURES!R770</f>
        <v>LOW</v>
      </c>
      <c r="E770" s="4" t="str">
        <f>FEATURES!Q770</f>
        <v>DISENGAGED</v>
      </c>
      <c r="F770" s="4" t="str">
        <f>FEATURES!P770</f>
        <v>Low_Pressure</v>
      </c>
      <c r="G770" s="4" t="str">
        <f>FEATURES!M770</f>
        <v>HIGH</v>
      </c>
      <c r="H770" s="4" t="str">
        <f>FEATURES!O770</f>
        <v>STAGNANT</v>
      </c>
      <c r="I770" s="4" t="str">
        <f t="shared" si="3"/>
        <v>LOW RISK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3.2" x14ac:dyDescent="0.25">
      <c r="A771" s="4">
        <v>1068</v>
      </c>
      <c r="B771" s="4" t="s">
        <v>45</v>
      </c>
      <c r="C771" s="4" t="str">
        <f>FEATURES!L771</f>
        <v>NORMAL</v>
      </c>
      <c r="D771" s="4" t="str">
        <f>FEATURES!R771</f>
        <v>LOW</v>
      </c>
      <c r="E771" s="4" t="str">
        <f>FEATURES!Q771</f>
        <v>HIGHLY_ENGAGED</v>
      </c>
      <c r="F771" s="4" t="str">
        <f>FEATURES!P771</f>
        <v>Medium_Pressure</v>
      </c>
      <c r="G771" s="4" t="str">
        <f>FEATURES!M771</f>
        <v>LOW</v>
      </c>
      <c r="H771" s="4" t="str">
        <f>FEATURES!O771</f>
        <v>RECENTLY PROMOTED</v>
      </c>
      <c r="I771" s="4" t="str">
        <f t="shared" si="3"/>
        <v>LOW RISK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3.2" x14ac:dyDescent="0.25">
      <c r="A772" s="4">
        <v>1069</v>
      </c>
      <c r="B772" s="4" t="s">
        <v>45</v>
      </c>
      <c r="C772" s="4" t="str">
        <f>FEATURES!L772</f>
        <v>NORMAL</v>
      </c>
      <c r="D772" s="4" t="str">
        <f>FEATURES!R772</f>
        <v>LOW</v>
      </c>
      <c r="E772" s="4" t="str">
        <f>FEATURES!Q772</f>
        <v>HIGHLY_ENGAGED</v>
      </c>
      <c r="F772" s="4" t="str">
        <f>FEATURES!P772</f>
        <v>Medium_Pressure</v>
      </c>
      <c r="G772" s="4" t="str">
        <f>FEATURES!M772</f>
        <v>MEDIUM</v>
      </c>
      <c r="H772" s="4" t="str">
        <f>FEATURES!O772</f>
        <v>MODERATE-WAIT</v>
      </c>
      <c r="I772" s="4" t="str">
        <f t="shared" si="3"/>
        <v>LOW RISK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3.2" x14ac:dyDescent="0.25">
      <c r="A773" s="4">
        <v>1070</v>
      </c>
      <c r="B773" s="4" t="s">
        <v>37</v>
      </c>
      <c r="C773" s="4" t="str">
        <f>FEATURES!L773</f>
        <v>NORMAL</v>
      </c>
      <c r="D773" s="4" t="str">
        <f>FEATURES!R773</f>
        <v>LOW</v>
      </c>
      <c r="E773" s="4" t="str">
        <f>FEATURES!Q773</f>
        <v>HIGHLY_ENGAGED</v>
      </c>
      <c r="F773" s="4" t="str">
        <f>FEATURES!P773</f>
        <v>Medium_Pressure</v>
      </c>
      <c r="G773" s="4" t="str">
        <f>FEATURES!M773</f>
        <v>MEDIUM</v>
      </c>
      <c r="H773" s="4" t="str">
        <f>FEATURES!O773</f>
        <v>STAGNANT</v>
      </c>
      <c r="I773" s="4" t="str">
        <f t="shared" si="3"/>
        <v>LOW RISK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3.2" x14ac:dyDescent="0.25">
      <c r="A774" s="4">
        <v>1071</v>
      </c>
      <c r="B774" s="4" t="s">
        <v>45</v>
      </c>
      <c r="C774" s="4" t="str">
        <f>FEATURES!L774</f>
        <v>NORMAL</v>
      </c>
      <c r="D774" s="4" t="str">
        <f>FEATURES!R774</f>
        <v>LOW</v>
      </c>
      <c r="E774" s="4" t="str">
        <f>FEATURES!Q774</f>
        <v>HIGHLY_ENGAGED</v>
      </c>
      <c r="F774" s="4" t="str">
        <f>FEATURES!P774</f>
        <v>Medium_Pressure</v>
      </c>
      <c r="G774" s="4" t="str">
        <f>FEATURES!M774</f>
        <v>LOW</v>
      </c>
      <c r="H774" s="4" t="str">
        <f>FEATURES!O774</f>
        <v>RECENTLY PROMOTED</v>
      </c>
      <c r="I774" s="4" t="str">
        <f t="shared" si="3"/>
        <v>LOW RISK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3.2" x14ac:dyDescent="0.25">
      <c r="A775" s="4">
        <v>1073</v>
      </c>
      <c r="B775" s="4" t="s">
        <v>45</v>
      </c>
      <c r="C775" s="4" t="str">
        <f>FEATURES!L775</f>
        <v>NORMAL</v>
      </c>
      <c r="D775" s="4" t="str">
        <f>FEATURES!R775</f>
        <v>LOW</v>
      </c>
      <c r="E775" s="4" t="str">
        <f>FEATURES!Q775</f>
        <v>DISENGAGED</v>
      </c>
      <c r="F775" s="4" t="str">
        <f>FEATURES!P775</f>
        <v>Low_Pressure</v>
      </c>
      <c r="G775" s="4" t="str">
        <f>FEATURES!M775</f>
        <v>HIGH</v>
      </c>
      <c r="H775" s="4" t="str">
        <f>FEATURES!O775</f>
        <v>STAGNANT</v>
      </c>
      <c r="I775" s="4" t="str">
        <f t="shared" si="3"/>
        <v>LOW RISK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3.2" x14ac:dyDescent="0.25">
      <c r="A776" s="4">
        <v>1074</v>
      </c>
      <c r="B776" s="4" t="s">
        <v>45</v>
      </c>
      <c r="C776" s="4" t="str">
        <f>FEATURES!L776</f>
        <v>NORMAL</v>
      </c>
      <c r="D776" s="4" t="str">
        <f>FEATURES!R776</f>
        <v>LOW</v>
      </c>
      <c r="E776" s="4" t="str">
        <f>FEATURES!Q776</f>
        <v>DISENGAGED</v>
      </c>
      <c r="F776" s="4" t="str">
        <f>FEATURES!P776</f>
        <v>Low_Pressure</v>
      </c>
      <c r="G776" s="4" t="str">
        <f>FEATURES!M776</f>
        <v>MEDIUM</v>
      </c>
      <c r="H776" s="4" t="str">
        <f>FEATURES!O776</f>
        <v>STAGNANT</v>
      </c>
      <c r="I776" s="4" t="str">
        <f t="shared" si="3"/>
        <v>LOW RISK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3.2" x14ac:dyDescent="0.25">
      <c r="A777" s="4">
        <v>1076</v>
      </c>
      <c r="B777" s="4" t="s">
        <v>37</v>
      </c>
      <c r="C777" s="4" t="str">
        <f>FEATURES!L777</f>
        <v>NORMAL</v>
      </c>
      <c r="D777" s="4" t="str">
        <f>FEATURES!R777</f>
        <v>LOW</v>
      </c>
      <c r="E777" s="4" t="str">
        <f>FEATURES!Q777</f>
        <v>HIGHLY_ENGAGED</v>
      </c>
      <c r="F777" s="4" t="str">
        <f>FEATURES!P777</f>
        <v>Medium_Pressure</v>
      </c>
      <c r="G777" s="4" t="str">
        <f>FEATURES!M777</f>
        <v>MEDIUM</v>
      </c>
      <c r="H777" s="4" t="str">
        <f>FEATURES!O777</f>
        <v>RECENTLY PROMOTED</v>
      </c>
      <c r="I777" s="4" t="str">
        <f t="shared" si="3"/>
        <v>LOW RISK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3.2" x14ac:dyDescent="0.25">
      <c r="A778" s="4">
        <v>1077</v>
      </c>
      <c r="B778" s="4" t="s">
        <v>37</v>
      </c>
      <c r="C778" s="4" t="str">
        <f>FEATURES!L778</f>
        <v>NORMAL</v>
      </c>
      <c r="D778" s="4" t="str">
        <f>FEATURES!R778</f>
        <v>LOW</v>
      </c>
      <c r="E778" s="4" t="str">
        <f>FEATURES!Q778</f>
        <v>HIGHLY_ENGAGED</v>
      </c>
      <c r="F778" s="4" t="str">
        <f>FEATURES!P778</f>
        <v>Medium_Pressure</v>
      </c>
      <c r="G778" s="4" t="str">
        <f>FEATURES!M778</f>
        <v>LOW</v>
      </c>
      <c r="H778" s="4" t="str">
        <f>FEATURES!O778</f>
        <v>RECENTLY PROMOTED</v>
      </c>
      <c r="I778" s="4" t="str">
        <f t="shared" si="3"/>
        <v>LOW RISK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3.2" x14ac:dyDescent="0.25">
      <c r="A779" s="4">
        <v>1079</v>
      </c>
      <c r="B779" s="4" t="s">
        <v>45</v>
      </c>
      <c r="C779" s="4" t="str">
        <f>FEATURES!L779</f>
        <v>NORMAL</v>
      </c>
      <c r="D779" s="4" t="str">
        <f>FEATURES!R779</f>
        <v>LOW</v>
      </c>
      <c r="E779" s="4" t="str">
        <f>FEATURES!Q779</f>
        <v>DISENGAGED</v>
      </c>
      <c r="F779" s="4" t="str">
        <f>FEATURES!P779</f>
        <v>Low_Pressure</v>
      </c>
      <c r="G779" s="4" t="str">
        <f>FEATURES!M779</f>
        <v>LOW</v>
      </c>
      <c r="H779" s="4" t="str">
        <f>FEATURES!O779</f>
        <v>RECENTLY PROMOTED</v>
      </c>
      <c r="I779" s="4" t="str">
        <f t="shared" si="3"/>
        <v>LOW RISK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3.2" x14ac:dyDescent="0.25">
      <c r="A780" s="4">
        <v>1080</v>
      </c>
      <c r="B780" s="4" t="s">
        <v>45</v>
      </c>
      <c r="C780" s="4" t="str">
        <f>FEATURES!L780</f>
        <v>NORMAL</v>
      </c>
      <c r="D780" s="4" t="str">
        <f>FEATURES!R780</f>
        <v>LOW</v>
      </c>
      <c r="E780" s="4" t="str">
        <f>FEATURES!Q780</f>
        <v>DISENGAGED</v>
      </c>
      <c r="F780" s="4" t="str">
        <f>FEATURES!P780</f>
        <v>Medium_Pressure</v>
      </c>
      <c r="G780" s="4" t="str">
        <f>FEATURES!M780</f>
        <v>HIGH</v>
      </c>
      <c r="H780" s="4" t="str">
        <f>FEATURES!O780</f>
        <v>RECENTLY PROMOTED</v>
      </c>
      <c r="I780" s="4" t="str">
        <f t="shared" si="3"/>
        <v>LOW RISK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3.2" x14ac:dyDescent="0.25">
      <c r="A781" s="4">
        <v>1081</v>
      </c>
      <c r="B781" s="4" t="s">
        <v>45</v>
      </c>
      <c r="C781" s="4" t="str">
        <f>FEATURES!L781</f>
        <v>NORMAL</v>
      </c>
      <c r="D781" s="4" t="str">
        <f>FEATURES!R781</f>
        <v>LOW</v>
      </c>
      <c r="E781" s="4" t="str">
        <f>FEATURES!Q781</f>
        <v>HIGHLY_ENGAGED</v>
      </c>
      <c r="F781" s="4" t="str">
        <f>FEATURES!P781</f>
        <v>Medium_Pressure</v>
      </c>
      <c r="G781" s="4" t="str">
        <f>FEATURES!M781</f>
        <v>LOW</v>
      </c>
      <c r="H781" s="4" t="str">
        <f>FEATURES!O781</f>
        <v>MODERATE-WAIT</v>
      </c>
      <c r="I781" s="4" t="str">
        <f t="shared" si="3"/>
        <v>LOW RISK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3.2" x14ac:dyDescent="0.25">
      <c r="A782" s="4">
        <v>1082</v>
      </c>
      <c r="B782" s="4" t="s">
        <v>45</v>
      </c>
      <c r="C782" s="4" t="str">
        <f>FEATURES!L782</f>
        <v>NORMAL</v>
      </c>
      <c r="D782" s="4" t="str">
        <f>FEATURES!R782</f>
        <v>LOW</v>
      </c>
      <c r="E782" s="4" t="str">
        <f>FEATURES!Q782</f>
        <v>DISENGAGED</v>
      </c>
      <c r="F782" s="4" t="str">
        <f>FEATURES!P782</f>
        <v>Low_Pressure</v>
      </c>
      <c r="G782" s="4" t="str">
        <f>FEATURES!M782</f>
        <v>HIGH</v>
      </c>
      <c r="H782" s="4" t="str">
        <f>FEATURES!O782</f>
        <v>RECENTLY PROMOTED</v>
      </c>
      <c r="I782" s="4" t="str">
        <f t="shared" si="3"/>
        <v>LOW RISK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3.2" x14ac:dyDescent="0.25">
      <c r="A783" s="4">
        <v>1083</v>
      </c>
      <c r="B783" s="4" t="s">
        <v>45</v>
      </c>
      <c r="C783" s="4" t="str">
        <f>FEATURES!L783</f>
        <v>NORMAL</v>
      </c>
      <c r="D783" s="4" t="str">
        <f>FEATURES!R783</f>
        <v>LOW</v>
      </c>
      <c r="E783" s="4" t="str">
        <f>FEATURES!Q783</f>
        <v>DISENGAGED</v>
      </c>
      <c r="F783" s="4" t="str">
        <f>FEATURES!P783</f>
        <v>Medium_Pressure</v>
      </c>
      <c r="G783" s="4" t="str">
        <f>FEATURES!M783</f>
        <v>LOW</v>
      </c>
      <c r="H783" s="4" t="str">
        <f>FEATURES!O783</f>
        <v>RECENTLY PROMOTED</v>
      </c>
      <c r="I783" s="4" t="str">
        <f t="shared" si="3"/>
        <v>LOW RISK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3.2" x14ac:dyDescent="0.25">
      <c r="A784" s="4">
        <v>1084</v>
      </c>
      <c r="B784" s="4" t="s">
        <v>45</v>
      </c>
      <c r="C784" s="4" t="str">
        <f>FEATURES!L784</f>
        <v>NORMAL</v>
      </c>
      <c r="D784" s="4" t="str">
        <f>FEATURES!R784</f>
        <v>LOW</v>
      </c>
      <c r="E784" s="4" t="str">
        <f>FEATURES!Q784</f>
        <v>DISENGAGED</v>
      </c>
      <c r="F784" s="4" t="str">
        <f>FEATURES!P784</f>
        <v>Low_Pressure</v>
      </c>
      <c r="G784" s="4" t="str">
        <f>FEATURES!M784</f>
        <v>MEDIUM</v>
      </c>
      <c r="H784" s="4" t="str">
        <f>FEATURES!O784</f>
        <v>RECENTLY PROMOTED</v>
      </c>
      <c r="I784" s="4" t="str">
        <f t="shared" si="3"/>
        <v>LOW RISK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3.2" x14ac:dyDescent="0.25">
      <c r="A785" s="4">
        <v>1085</v>
      </c>
      <c r="B785" s="4" t="s">
        <v>45</v>
      </c>
      <c r="C785" s="4" t="str">
        <f>FEATURES!L785</f>
        <v>NORMAL</v>
      </c>
      <c r="D785" s="4" t="str">
        <f>FEATURES!R785</f>
        <v>LOW</v>
      </c>
      <c r="E785" s="4" t="str">
        <f>FEATURES!Q785</f>
        <v>HIGHLY_ENGAGED</v>
      </c>
      <c r="F785" s="4" t="str">
        <f>FEATURES!P785</f>
        <v>Medium_Pressure</v>
      </c>
      <c r="G785" s="4" t="str">
        <f>FEATURES!M785</f>
        <v>LOW</v>
      </c>
      <c r="H785" s="4" t="str">
        <f>FEATURES!O785</f>
        <v>RECENTLY PROMOTED</v>
      </c>
      <c r="I785" s="4" t="str">
        <f t="shared" si="3"/>
        <v>LOW RISK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3.2" x14ac:dyDescent="0.25">
      <c r="A786" s="4">
        <v>1088</v>
      </c>
      <c r="B786" s="4" t="s">
        <v>45</v>
      </c>
      <c r="C786" s="4" t="str">
        <f>FEATURES!L786</f>
        <v>NORMAL</v>
      </c>
      <c r="D786" s="4" t="str">
        <f>FEATURES!R786</f>
        <v>LOW</v>
      </c>
      <c r="E786" s="4" t="str">
        <f>FEATURES!Q786</f>
        <v>DISENGAGED</v>
      </c>
      <c r="F786" s="4" t="str">
        <f>FEATURES!P786</f>
        <v>Low_Pressure</v>
      </c>
      <c r="G786" s="4" t="str">
        <f>FEATURES!M786</f>
        <v>HIGH</v>
      </c>
      <c r="H786" s="4" t="str">
        <f>FEATURES!O786</f>
        <v>RECENTLY PROMOTED</v>
      </c>
      <c r="I786" s="4" t="str">
        <f t="shared" si="3"/>
        <v>LOW RISK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3.2" x14ac:dyDescent="0.25">
      <c r="A787" s="4">
        <v>1092</v>
      </c>
      <c r="B787" s="4" t="s">
        <v>45</v>
      </c>
      <c r="C787" s="4" t="str">
        <f>FEATURES!L787</f>
        <v>NORMAL</v>
      </c>
      <c r="D787" s="4" t="str">
        <f>FEATURES!R787</f>
        <v>LOW</v>
      </c>
      <c r="E787" s="4" t="str">
        <f>FEATURES!Q787</f>
        <v>HIGHLY_ENGAGED</v>
      </c>
      <c r="F787" s="4" t="str">
        <f>FEATURES!P787</f>
        <v>Medium_Pressure</v>
      </c>
      <c r="G787" s="4" t="str">
        <f>FEATURES!M787</f>
        <v>MEDIUM</v>
      </c>
      <c r="H787" s="4" t="str">
        <f>FEATURES!O787</f>
        <v>STAGNANT</v>
      </c>
      <c r="I787" s="4" t="str">
        <f t="shared" si="3"/>
        <v>LOW RISK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3.2" x14ac:dyDescent="0.25">
      <c r="A788" s="4">
        <v>1094</v>
      </c>
      <c r="B788" s="4" t="s">
        <v>45</v>
      </c>
      <c r="C788" s="4" t="str">
        <f>FEATURES!L788</f>
        <v>NORMAL</v>
      </c>
      <c r="D788" s="4" t="str">
        <f>FEATURES!R788</f>
        <v>LOW</v>
      </c>
      <c r="E788" s="4" t="str">
        <f>FEATURES!Q788</f>
        <v>HIGHLY_ENGAGED</v>
      </c>
      <c r="F788" s="4" t="str">
        <f>FEATURES!P788</f>
        <v>Medium_Pressure</v>
      </c>
      <c r="G788" s="4" t="str">
        <f>FEATURES!M788</f>
        <v>HIGH</v>
      </c>
      <c r="H788" s="4" t="str">
        <f>FEATURES!O788</f>
        <v>RECENTLY PROMOTED</v>
      </c>
      <c r="I788" s="4" t="str">
        <f t="shared" si="3"/>
        <v>LOW RISK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3.2" x14ac:dyDescent="0.25">
      <c r="A789" s="4">
        <v>1096</v>
      </c>
      <c r="B789" s="4" t="s">
        <v>45</v>
      </c>
      <c r="C789" s="4" t="str">
        <f>FEATURES!L789</f>
        <v>NORMAL</v>
      </c>
      <c r="D789" s="4" t="str">
        <f>FEATURES!R789</f>
        <v>LOW</v>
      </c>
      <c r="E789" s="4" t="str">
        <f>FEATURES!Q789</f>
        <v>DISENGAGED</v>
      </c>
      <c r="F789" s="4" t="str">
        <f>FEATURES!P789</f>
        <v>Medium_Pressure</v>
      </c>
      <c r="G789" s="4" t="str">
        <f>FEATURES!M789</f>
        <v>MEDIUM</v>
      </c>
      <c r="H789" s="4" t="str">
        <f>FEATURES!O789</f>
        <v>RECENTLY PROMOTED</v>
      </c>
      <c r="I789" s="4" t="str">
        <f t="shared" si="3"/>
        <v>LOW RISK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3.2" x14ac:dyDescent="0.25">
      <c r="A790" s="4">
        <v>1097</v>
      </c>
      <c r="B790" s="4" t="s">
        <v>45</v>
      </c>
      <c r="C790" s="4" t="str">
        <f>FEATURES!L790</f>
        <v>NORMAL</v>
      </c>
      <c r="D790" s="4" t="str">
        <f>FEATURES!R790</f>
        <v>LOW</v>
      </c>
      <c r="E790" s="4" t="str">
        <f>FEATURES!Q790</f>
        <v>HIGHLY_ENGAGED</v>
      </c>
      <c r="F790" s="4" t="str">
        <f>FEATURES!P790</f>
        <v>Low_Pressure</v>
      </c>
      <c r="G790" s="4" t="str">
        <f>FEATURES!M790</f>
        <v>LOW</v>
      </c>
      <c r="H790" s="4" t="str">
        <f>FEATURES!O790</f>
        <v>RECENTLY PROMOTED</v>
      </c>
      <c r="I790" s="4" t="str">
        <f t="shared" si="3"/>
        <v>LOW RISK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3.2" x14ac:dyDescent="0.25">
      <c r="A791" s="4">
        <v>1098</v>
      </c>
      <c r="B791" s="4" t="s">
        <v>61</v>
      </c>
      <c r="C791" s="4" t="str">
        <f>FEATURES!L791</f>
        <v>NORMAL</v>
      </c>
      <c r="D791" s="4" t="str">
        <f>FEATURES!R791</f>
        <v>LOW</v>
      </c>
      <c r="E791" s="4" t="str">
        <f>FEATURES!Q791</f>
        <v>DISENGAGED</v>
      </c>
      <c r="F791" s="4" t="str">
        <f>FEATURES!P791</f>
        <v>Medium_Pressure</v>
      </c>
      <c r="G791" s="4" t="str">
        <f>FEATURES!M791</f>
        <v>MEDIUM</v>
      </c>
      <c r="H791" s="4" t="str">
        <f>FEATURES!O791</f>
        <v>MODERATE-WAIT</v>
      </c>
      <c r="I791" s="4" t="str">
        <f t="shared" si="3"/>
        <v>LOW RISK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3.2" x14ac:dyDescent="0.25">
      <c r="A792" s="4">
        <v>1099</v>
      </c>
      <c r="B792" s="4" t="s">
        <v>45</v>
      </c>
      <c r="C792" s="4" t="str">
        <f>FEATURES!L792</f>
        <v>NORMAL</v>
      </c>
      <c r="D792" s="4" t="str">
        <f>FEATURES!R792</f>
        <v>LOW</v>
      </c>
      <c r="E792" s="4" t="str">
        <f>FEATURES!Q792</f>
        <v>HIGHLY_ENGAGED</v>
      </c>
      <c r="F792" s="4" t="str">
        <f>FEATURES!P792</f>
        <v>Medium_Pressure</v>
      </c>
      <c r="G792" s="4" t="str">
        <f>FEATURES!M792</f>
        <v>HIGH</v>
      </c>
      <c r="H792" s="4" t="str">
        <f>FEATURES!O792</f>
        <v>RECENTLY PROMOTED</v>
      </c>
      <c r="I792" s="4" t="str">
        <f t="shared" si="3"/>
        <v>LOW RISK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3.2" x14ac:dyDescent="0.25">
      <c r="A793" s="4">
        <v>1100</v>
      </c>
      <c r="B793" s="4" t="s">
        <v>37</v>
      </c>
      <c r="C793" s="4" t="str">
        <f>FEATURES!L793</f>
        <v>HIGH RISK</v>
      </c>
      <c r="D793" s="4" t="str">
        <f>FEATURES!R793</f>
        <v>LOW</v>
      </c>
      <c r="E793" s="4" t="str">
        <f>FEATURES!Q793</f>
        <v>DISENGAGED</v>
      </c>
      <c r="F793" s="4" t="str">
        <f>FEATURES!P793</f>
        <v>Medium_Pressure</v>
      </c>
      <c r="G793" s="4" t="str">
        <f>FEATURES!M793</f>
        <v>MEDIUM</v>
      </c>
      <c r="H793" s="4" t="str">
        <f>FEATURES!O793</f>
        <v>STAGNANT</v>
      </c>
      <c r="I793" s="4" t="str">
        <f t="shared" si="3"/>
        <v>LOW RISK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3.2" x14ac:dyDescent="0.25">
      <c r="A794" s="4">
        <v>1101</v>
      </c>
      <c r="B794" s="4" t="s">
        <v>45</v>
      </c>
      <c r="C794" s="4" t="str">
        <f>FEATURES!L794</f>
        <v>NORMAL</v>
      </c>
      <c r="D794" s="4" t="str">
        <f>FEATURES!R794</f>
        <v>LOW</v>
      </c>
      <c r="E794" s="4" t="str">
        <f>FEATURES!Q794</f>
        <v>HIGHLY_ENGAGED</v>
      </c>
      <c r="F794" s="4" t="str">
        <f>FEATURES!P794</f>
        <v>Medium_Pressure</v>
      </c>
      <c r="G794" s="4" t="str">
        <f>FEATURES!M794</f>
        <v>HIGH</v>
      </c>
      <c r="H794" s="4" t="str">
        <f>FEATURES!O794</f>
        <v>MODERATE-WAIT</v>
      </c>
      <c r="I794" s="4" t="str">
        <f t="shared" si="3"/>
        <v>LOW RISK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3.2" x14ac:dyDescent="0.25">
      <c r="A795" s="4">
        <v>1102</v>
      </c>
      <c r="B795" s="4" t="s">
        <v>45</v>
      </c>
      <c r="C795" s="4" t="str">
        <f>FEATURES!L795</f>
        <v>NORMAL</v>
      </c>
      <c r="D795" s="4" t="str">
        <f>FEATURES!R795</f>
        <v>LOW</v>
      </c>
      <c r="E795" s="4" t="str">
        <f>FEATURES!Q795</f>
        <v>DISENGAGED</v>
      </c>
      <c r="F795" s="4" t="str">
        <f>FEATURES!P795</f>
        <v>Low_Pressure</v>
      </c>
      <c r="G795" s="4" t="str">
        <f>FEATURES!M795</f>
        <v>LOW</v>
      </c>
      <c r="H795" s="4" t="str">
        <f>FEATURES!O795</f>
        <v>MODERATE-WAIT</v>
      </c>
      <c r="I795" s="4" t="str">
        <f t="shared" si="3"/>
        <v>LOW RISK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3.2" x14ac:dyDescent="0.25">
      <c r="A796" s="4">
        <v>1103</v>
      </c>
      <c r="B796" s="4" t="s">
        <v>45</v>
      </c>
      <c r="C796" s="4" t="str">
        <f>FEATURES!L796</f>
        <v>NORMAL</v>
      </c>
      <c r="D796" s="4" t="str">
        <f>FEATURES!R796</f>
        <v>LOW</v>
      </c>
      <c r="E796" s="4" t="str">
        <f>FEATURES!Q796</f>
        <v>DISENGAGED</v>
      </c>
      <c r="F796" s="4" t="str">
        <f>FEATURES!P796</f>
        <v>Low_Pressure</v>
      </c>
      <c r="G796" s="4" t="str">
        <f>FEATURES!M796</f>
        <v>HIGH</v>
      </c>
      <c r="H796" s="4" t="str">
        <f>FEATURES!O796</f>
        <v>RECENTLY PROMOTED</v>
      </c>
      <c r="I796" s="4" t="str">
        <f t="shared" si="3"/>
        <v>LOW RISK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3.2" x14ac:dyDescent="0.25">
      <c r="A797" s="4">
        <v>1105</v>
      </c>
      <c r="B797" s="4" t="s">
        <v>37</v>
      </c>
      <c r="C797" s="4" t="str">
        <f>FEATURES!L797</f>
        <v>NORMAL</v>
      </c>
      <c r="D797" s="4" t="str">
        <f>FEATURES!R797</f>
        <v>LOW</v>
      </c>
      <c r="E797" s="4" t="str">
        <f>FEATURES!Q797</f>
        <v>HIGHLY_ENGAGED</v>
      </c>
      <c r="F797" s="4" t="str">
        <f>FEATURES!P797</f>
        <v>Medium_Pressure</v>
      </c>
      <c r="G797" s="4" t="str">
        <f>FEATURES!M797</f>
        <v>HIGH</v>
      </c>
      <c r="H797" s="4" t="str">
        <f>FEATURES!O797</f>
        <v>RECENTLY PROMOTED</v>
      </c>
      <c r="I797" s="4" t="str">
        <f t="shared" si="3"/>
        <v>LOW RISK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3.2" x14ac:dyDescent="0.25">
      <c r="A798" s="4">
        <v>1106</v>
      </c>
      <c r="B798" s="4" t="s">
        <v>45</v>
      </c>
      <c r="C798" s="4" t="str">
        <f>FEATURES!L798</f>
        <v>NORMAL</v>
      </c>
      <c r="D798" s="4" t="str">
        <f>FEATURES!R798</f>
        <v>LOW</v>
      </c>
      <c r="E798" s="4" t="str">
        <f>FEATURES!Q798</f>
        <v>HIGHLY_ENGAGED</v>
      </c>
      <c r="F798" s="4" t="str">
        <f>FEATURES!P798</f>
        <v>Medium_Pressure</v>
      </c>
      <c r="G798" s="4" t="str">
        <f>FEATURES!M798</f>
        <v>LOW</v>
      </c>
      <c r="H798" s="4" t="str">
        <f>FEATURES!O798</f>
        <v>STAGNANT</v>
      </c>
      <c r="I798" s="4" t="str">
        <f t="shared" si="3"/>
        <v>LOW RISK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3.2" x14ac:dyDescent="0.25">
      <c r="A799" s="4">
        <v>1107</v>
      </c>
      <c r="B799" s="4" t="s">
        <v>45</v>
      </c>
      <c r="C799" s="4" t="str">
        <f>FEATURES!L799</f>
        <v>NORMAL</v>
      </c>
      <c r="D799" s="4" t="str">
        <f>FEATURES!R799</f>
        <v>LOW</v>
      </c>
      <c r="E799" s="4" t="str">
        <f>FEATURES!Q799</f>
        <v>DISENGAGED</v>
      </c>
      <c r="F799" s="4" t="str">
        <f>FEATURES!P799</f>
        <v>Low_Pressure</v>
      </c>
      <c r="G799" s="4" t="str">
        <f>FEATURES!M799</f>
        <v>LOW</v>
      </c>
      <c r="H799" s="4" t="str">
        <f>FEATURES!O799</f>
        <v>RECENTLY PROMOTED</v>
      </c>
      <c r="I799" s="4" t="str">
        <f t="shared" si="3"/>
        <v>LOW RISK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3.2" x14ac:dyDescent="0.25">
      <c r="A800" s="4">
        <v>1108</v>
      </c>
      <c r="B800" s="4" t="s">
        <v>45</v>
      </c>
      <c r="C800" s="4" t="str">
        <f>FEATURES!L800</f>
        <v>NORMAL</v>
      </c>
      <c r="D800" s="4" t="str">
        <f>FEATURES!R800</f>
        <v>LOW</v>
      </c>
      <c r="E800" s="4" t="str">
        <f>FEATURES!Q800</f>
        <v>DISENGAGED</v>
      </c>
      <c r="F800" s="4" t="str">
        <f>FEATURES!P800</f>
        <v>Medium_Pressure</v>
      </c>
      <c r="G800" s="4" t="str">
        <f>FEATURES!M800</f>
        <v>LOW</v>
      </c>
      <c r="H800" s="4" t="str">
        <f>FEATURES!O800</f>
        <v>MODERATE-WAIT</v>
      </c>
      <c r="I800" s="4" t="str">
        <f t="shared" si="3"/>
        <v>LOW RISK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3.2" x14ac:dyDescent="0.25">
      <c r="A801" s="4">
        <v>1109</v>
      </c>
      <c r="B801" s="4" t="s">
        <v>45</v>
      </c>
      <c r="C801" s="4" t="str">
        <f>FEATURES!L801</f>
        <v>NORMAL</v>
      </c>
      <c r="D801" s="4" t="str">
        <f>FEATURES!R801</f>
        <v>LOW</v>
      </c>
      <c r="E801" s="4" t="str">
        <f>FEATURES!Q801</f>
        <v>DISENGAGED</v>
      </c>
      <c r="F801" s="4" t="str">
        <f>FEATURES!P801</f>
        <v>Medium_Pressure</v>
      </c>
      <c r="G801" s="4" t="str">
        <f>FEATURES!M801</f>
        <v>MEDIUM</v>
      </c>
      <c r="H801" s="4" t="str">
        <f>FEATURES!O801</f>
        <v>STAGNANT</v>
      </c>
      <c r="I801" s="4" t="str">
        <f t="shared" si="3"/>
        <v>LOW RISK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3.2" x14ac:dyDescent="0.25">
      <c r="A802" s="4">
        <v>1111</v>
      </c>
      <c r="B802" s="4" t="s">
        <v>45</v>
      </c>
      <c r="C802" s="4" t="str">
        <f>FEATURES!L802</f>
        <v>NORMAL</v>
      </c>
      <c r="D802" s="4" t="str">
        <f>FEATURES!R802</f>
        <v>LOW</v>
      </c>
      <c r="E802" s="4" t="str">
        <f>FEATURES!Q802</f>
        <v>DISENGAGED</v>
      </c>
      <c r="F802" s="4" t="str">
        <f>FEATURES!P802</f>
        <v>Medium_Pressure</v>
      </c>
      <c r="G802" s="4" t="str">
        <f>FEATURES!M802</f>
        <v>LOW</v>
      </c>
      <c r="H802" s="4" t="str">
        <f>FEATURES!O802</f>
        <v>RECENTLY PROMOTED</v>
      </c>
      <c r="I802" s="4" t="str">
        <f t="shared" si="3"/>
        <v>LOW RISK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3.2" x14ac:dyDescent="0.25">
      <c r="A803" s="4">
        <v>1113</v>
      </c>
      <c r="B803" s="4" t="s">
        <v>37</v>
      </c>
      <c r="C803" s="4" t="str">
        <f>FEATURES!L803</f>
        <v>NORMAL</v>
      </c>
      <c r="D803" s="4" t="str">
        <f>FEATURES!R803</f>
        <v>LOW</v>
      </c>
      <c r="E803" s="4" t="str">
        <f>FEATURES!Q803</f>
        <v>HIGHLY_ENGAGED</v>
      </c>
      <c r="F803" s="4" t="str">
        <f>FEATURES!P803</f>
        <v>Medium_Pressure</v>
      </c>
      <c r="G803" s="4" t="str">
        <f>FEATURES!M803</f>
        <v>HIGH</v>
      </c>
      <c r="H803" s="4" t="str">
        <f>FEATURES!O803</f>
        <v>RECENTLY PROMOTED</v>
      </c>
      <c r="I803" s="4" t="str">
        <f t="shared" si="3"/>
        <v>LOW RISK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3.2" x14ac:dyDescent="0.25">
      <c r="A804" s="4">
        <v>1114</v>
      </c>
      <c r="B804" s="4" t="s">
        <v>37</v>
      </c>
      <c r="C804" s="4" t="str">
        <f>FEATURES!L804</f>
        <v>NORMAL</v>
      </c>
      <c r="D804" s="4" t="str">
        <f>FEATURES!R804</f>
        <v>LOW</v>
      </c>
      <c r="E804" s="4" t="str">
        <f>FEATURES!Q804</f>
        <v>DISENGAGED</v>
      </c>
      <c r="F804" s="4" t="str">
        <f>FEATURES!P804</f>
        <v>Medium_Pressure</v>
      </c>
      <c r="G804" s="4" t="str">
        <f>FEATURES!M804</f>
        <v>HIGH</v>
      </c>
      <c r="H804" s="4" t="str">
        <f>FEATURES!O804</f>
        <v>RECENTLY PROMOTED</v>
      </c>
      <c r="I804" s="4" t="str">
        <f t="shared" si="3"/>
        <v>LOW RISK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3.2" x14ac:dyDescent="0.25">
      <c r="A805" s="4">
        <v>1115</v>
      </c>
      <c r="B805" s="4" t="s">
        <v>45</v>
      </c>
      <c r="C805" s="4" t="str">
        <f>FEATURES!L805</f>
        <v>NORMAL</v>
      </c>
      <c r="D805" s="4" t="str">
        <f>FEATURES!R805</f>
        <v>LOW</v>
      </c>
      <c r="E805" s="4" t="str">
        <f>FEATURES!Q805</f>
        <v>HIGHLY_ENGAGED</v>
      </c>
      <c r="F805" s="4" t="str">
        <f>FEATURES!P805</f>
        <v>Medium_Pressure</v>
      </c>
      <c r="G805" s="4" t="str">
        <f>FEATURES!M805</f>
        <v>LOW</v>
      </c>
      <c r="H805" s="4" t="str">
        <f>FEATURES!O805</f>
        <v>RECENTLY PROMOTED</v>
      </c>
      <c r="I805" s="4" t="str">
        <f t="shared" si="3"/>
        <v>LOW RISK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3.2" x14ac:dyDescent="0.25">
      <c r="A806" s="4">
        <v>1116</v>
      </c>
      <c r="B806" s="4" t="s">
        <v>45</v>
      </c>
      <c r="C806" s="4" t="str">
        <f>FEATURES!L806</f>
        <v>NORMAL</v>
      </c>
      <c r="D806" s="4" t="str">
        <f>FEATURES!R806</f>
        <v>LOW</v>
      </c>
      <c r="E806" s="4" t="str">
        <f>FEATURES!Q806</f>
        <v>DISENGAGED</v>
      </c>
      <c r="F806" s="4" t="str">
        <f>FEATURES!P806</f>
        <v>Low_Pressure</v>
      </c>
      <c r="G806" s="4" t="str">
        <f>FEATURES!M806</f>
        <v>MEDIUM</v>
      </c>
      <c r="H806" s="4" t="str">
        <f>FEATURES!O806</f>
        <v>MODERATE-WAIT</v>
      </c>
      <c r="I806" s="4" t="str">
        <f t="shared" si="3"/>
        <v>LOW RISK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3.2" x14ac:dyDescent="0.25">
      <c r="A807" s="4">
        <v>1117</v>
      </c>
      <c r="B807" s="4" t="s">
        <v>37</v>
      </c>
      <c r="C807" s="4" t="str">
        <f>FEATURES!L807</f>
        <v>NORMAL</v>
      </c>
      <c r="D807" s="4" t="str">
        <f>FEATURES!R807</f>
        <v>LOW</v>
      </c>
      <c r="E807" s="4" t="str">
        <f>FEATURES!Q807</f>
        <v>HIGHLY_ENGAGED</v>
      </c>
      <c r="F807" s="4" t="str">
        <f>FEATURES!P807</f>
        <v>Medium_Pressure</v>
      </c>
      <c r="G807" s="4" t="str">
        <f>FEATURES!M807</f>
        <v>HIGH</v>
      </c>
      <c r="H807" s="4" t="str">
        <f>FEATURES!O807</f>
        <v>STAGNANT</v>
      </c>
      <c r="I807" s="4" t="str">
        <f t="shared" si="3"/>
        <v>LOW RISK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3.2" x14ac:dyDescent="0.25">
      <c r="A808" s="4">
        <v>1118</v>
      </c>
      <c r="B808" s="4" t="s">
        <v>45</v>
      </c>
      <c r="C808" s="4" t="str">
        <f>FEATURES!L808</f>
        <v>NORMAL</v>
      </c>
      <c r="D808" s="4" t="str">
        <f>FEATURES!R808</f>
        <v>LOW</v>
      </c>
      <c r="E808" s="4" t="str">
        <f>FEATURES!Q808</f>
        <v>DISENGAGED</v>
      </c>
      <c r="F808" s="4" t="str">
        <f>FEATURES!P808</f>
        <v>Medium_Pressure</v>
      </c>
      <c r="G808" s="4" t="str">
        <f>FEATURES!M808</f>
        <v>MEDIUM</v>
      </c>
      <c r="H808" s="4" t="str">
        <f>FEATURES!O808</f>
        <v>STAGNANT</v>
      </c>
      <c r="I808" s="4" t="str">
        <f t="shared" si="3"/>
        <v>LOW RISK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3.2" x14ac:dyDescent="0.25">
      <c r="A809" s="4">
        <v>1119</v>
      </c>
      <c r="B809" s="4" t="s">
        <v>37</v>
      </c>
      <c r="C809" s="4" t="str">
        <f>FEATURES!L809</f>
        <v>NORMAL</v>
      </c>
      <c r="D809" s="4" t="str">
        <f>FEATURES!R809</f>
        <v>LOW</v>
      </c>
      <c r="E809" s="4" t="str">
        <f>FEATURES!Q809</f>
        <v>HIGHLY_ENGAGED</v>
      </c>
      <c r="F809" s="4" t="str">
        <f>FEATURES!P809</f>
        <v>Medium_Pressure</v>
      </c>
      <c r="G809" s="4" t="str">
        <f>FEATURES!M809</f>
        <v>HIGH</v>
      </c>
      <c r="H809" s="4" t="str">
        <f>FEATURES!O809</f>
        <v>MODERATE-WAIT</v>
      </c>
      <c r="I809" s="4" t="str">
        <f t="shared" si="3"/>
        <v>LOW RISK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3.2" x14ac:dyDescent="0.25">
      <c r="A810" s="4">
        <v>1120</v>
      </c>
      <c r="B810" s="4" t="s">
        <v>45</v>
      </c>
      <c r="C810" s="4" t="str">
        <f>FEATURES!L810</f>
        <v>NORMAL</v>
      </c>
      <c r="D810" s="4" t="str">
        <f>FEATURES!R810</f>
        <v>LOW</v>
      </c>
      <c r="E810" s="4" t="str">
        <f>FEATURES!Q810</f>
        <v>HIGHLY_ENGAGED</v>
      </c>
      <c r="F810" s="4" t="str">
        <f>FEATURES!P810</f>
        <v>Medium_Pressure</v>
      </c>
      <c r="G810" s="4" t="str">
        <f>FEATURES!M810</f>
        <v>LOW</v>
      </c>
      <c r="H810" s="4" t="str">
        <f>FEATURES!O810</f>
        <v>RECENTLY PROMOTED</v>
      </c>
      <c r="I810" s="4" t="str">
        <f t="shared" si="3"/>
        <v>LOW RISK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3.2" x14ac:dyDescent="0.25">
      <c r="A811" s="4">
        <v>1121</v>
      </c>
      <c r="B811" s="4" t="s">
        <v>45</v>
      </c>
      <c r="C811" s="4" t="str">
        <f>FEATURES!L811</f>
        <v>NORMAL</v>
      </c>
      <c r="D811" s="4" t="str">
        <f>FEATURES!R811</f>
        <v>LOW</v>
      </c>
      <c r="E811" s="4" t="str">
        <f>FEATURES!Q811</f>
        <v>DISENGAGED</v>
      </c>
      <c r="F811" s="4" t="str">
        <f>FEATURES!P811</f>
        <v>Low_Pressure</v>
      </c>
      <c r="G811" s="4" t="str">
        <f>FEATURES!M811</f>
        <v>HIGH</v>
      </c>
      <c r="H811" s="4" t="str">
        <f>FEATURES!O811</f>
        <v>RECENTLY PROMOTED</v>
      </c>
      <c r="I811" s="4" t="str">
        <f t="shared" si="3"/>
        <v>LOW RISK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3.2" x14ac:dyDescent="0.25">
      <c r="A812" s="4">
        <v>1124</v>
      </c>
      <c r="B812" s="4" t="s">
        <v>37</v>
      </c>
      <c r="C812" s="4" t="str">
        <f>FEATURES!L812</f>
        <v>NORMAL</v>
      </c>
      <c r="D812" s="4" t="str">
        <f>FEATURES!R812</f>
        <v>LOW</v>
      </c>
      <c r="E812" s="4" t="str">
        <f>FEATURES!Q812</f>
        <v>HIGHLY_ENGAGED</v>
      </c>
      <c r="F812" s="4" t="str">
        <f>FEATURES!P812</f>
        <v>Medium_Pressure</v>
      </c>
      <c r="G812" s="4" t="str">
        <f>FEATURES!M812</f>
        <v>MEDIUM</v>
      </c>
      <c r="H812" s="4" t="str">
        <f>FEATURES!O812</f>
        <v>STAGNANT</v>
      </c>
      <c r="I812" s="4" t="str">
        <f t="shared" si="3"/>
        <v>LOW RISK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3.2" x14ac:dyDescent="0.25">
      <c r="A813" s="4">
        <v>1125</v>
      </c>
      <c r="B813" s="4" t="s">
        <v>37</v>
      </c>
      <c r="C813" s="4" t="str">
        <f>FEATURES!L813</f>
        <v>NORMAL</v>
      </c>
      <c r="D813" s="4" t="str">
        <f>FEATURES!R813</f>
        <v>LOW</v>
      </c>
      <c r="E813" s="4" t="str">
        <f>FEATURES!Q813</f>
        <v>DISENGAGED</v>
      </c>
      <c r="F813" s="4" t="str">
        <f>FEATURES!P813</f>
        <v>Medium_Pressure</v>
      </c>
      <c r="G813" s="4" t="str">
        <f>FEATURES!M813</f>
        <v>HIGH</v>
      </c>
      <c r="H813" s="4" t="str">
        <f>FEATURES!O813</f>
        <v>RECENTLY PROMOTED</v>
      </c>
      <c r="I813" s="4" t="str">
        <f t="shared" si="3"/>
        <v>LOW RISK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3.2" x14ac:dyDescent="0.25">
      <c r="A814" s="4">
        <v>1126</v>
      </c>
      <c r="B814" s="4" t="s">
        <v>45</v>
      </c>
      <c r="C814" s="4" t="str">
        <f>FEATURES!L814</f>
        <v>NORMAL</v>
      </c>
      <c r="D814" s="4" t="str">
        <f>FEATURES!R814</f>
        <v>LOW</v>
      </c>
      <c r="E814" s="4" t="str">
        <f>FEATURES!Q814</f>
        <v>DISENGAGED</v>
      </c>
      <c r="F814" s="4" t="str">
        <f>FEATURES!P814</f>
        <v>Medium_Pressure</v>
      </c>
      <c r="G814" s="4" t="str">
        <f>FEATURES!M814</f>
        <v>MEDIUM</v>
      </c>
      <c r="H814" s="4" t="str">
        <f>FEATURES!O814</f>
        <v>RECENTLY PROMOTED</v>
      </c>
      <c r="I814" s="4" t="str">
        <f t="shared" si="3"/>
        <v>LOW RISK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3.2" x14ac:dyDescent="0.25">
      <c r="A815" s="4">
        <v>1127</v>
      </c>
      <c r="B815" s="4" t="s">
        <v>45</v>
      </c>
      <c r="C815" s="4" t="str">
        <f>FEATURES!L815</f>
        <v>NORMAL</v>
      </c>
      <c r="D815" s="4" t="str">
        <f>FEATURES!R815</f>
        <v>LOW</v>
      </c>
      <c r="E815" s="4" t="str">
        <f>FEATURES!Q815</f>
        <v>HIGHLY_ENGAGED</v>
      </c>
      <c r="F815" s="4" t="str">
        <f>FEATURES!P815</f>
        <v>Medium_Pressure</v>
      </c>
      <c r="G815" s="4" t="str">
        <f>FEATURES!M815</f>
        <v>MEDIUM</v>
      </c>
      <c r="H815" s="4" t="str">
        <f>FEATURES!O815</f>
        <v>STAGNANT</v>
      </c>
      <c r="I815" s="4" t="str">
        <f t="shared" si="3"/>
        <v>LOW RISK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3.2" x14ac:dyDescent="0.25">
      <c r="A816" s="4">
        <v>1128</v>
      </c>
      <c r="B816" s="4" t="s">
        <v>45</v>
      </c>
      <c r="C816" s="4" t="str">
        <f>FEATURES!L816</f>
        <v>NORMAL</v>
      </c>
      <c r="D816" s="4" t="str">
        <f>FEATURES!R816</f>
        <v>LOW</v>
      </c>
      <c r="E816" s="4" t="str">
        <f>FEATURES!Q816</f>
        <v>HIGHLY_ENGAGED</v>
      </c>
      <c r="F816" s="4" t="str">
        <f>FEATURES!P816</f>
        <v>Low_Pressure</v>
      </c>
      <c r="G816" s="4" t="str">
        <f>FEATURES!M816</f>
        <v>MEDIUM</v>
      </c>
      <c r="H816" s="4" t="str">
        <f>FEATURES!O816</f>
        <v>STAGNANT</v>
      </c>
      <c r="I816" s="4" t="str">
        <f t="shared" si="3"/>
        <v>LOW RISK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3.2" x14ac:dyDescent="0.25">
      <c r="A817" s="4">
        <v>1131</v>
      </c>
      <c r="B817" s="4" t="s">
        <v>45</v>
      </c>
      <c r="C817" s="4" t="str">
        <f>FEATURES!L817</f>
        <v>NORMAL</v>
      </c>
      <c r="D817" s="4" t="str">
        <f>FEATURES!R817</f>
        <v>LOW</v>
      </c>
      <c r="E817" s="4" t="str">
        <f>FEATURES!Q817</f>
        <v>DISENGAGED</v>
      </c>
      <c r="F817" s="4" t="str">
        <f>FEATURES!P817</f>
        <v>Medium_Pressure</v>
      </c>
      <c r="G817" s="4" t="str">
        <f>FEATURES!M817</f>
        <v>LOW</v>
      </c>
      <c r="H817" s="4" t="str">
        <f>FEATURES!O817</f>
        <v>MODERATE-WAIT</v>
      </c>
      <c r="I817" s="4" t="str">
        <f t="shared" si="3"/>
        <v>LOW RISK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3.2" x14ac:dyDescent="0.25">
      <c r="A818" s="4">
        <v>1132</v>
      </c>
      <c r="B818" s="4" t="s">
        <v>45</v>
      </c>
      <c r="C818" s="4" t="str">
        <f>FEATURES!L818</f>
        <v>NORMAL</v>
      </c>
      <c r="D818" s="4" t="str">
        <f>FEATURES!R818</f>
        <v>LOW</v>
      </c>
      <c r="E818" s="4" t="str">
        <f>FEATURES!Q818</f>
        <v>DISENGAGED</v>
      </c>
      <c r="F818" s="4" t="str">
        <f>FEATURES!P818</f>
        <v>Low_Pressure</v>
      </c>
      <c r="G818" s="4" t="str">
        <f>FEATURES!M818</f>
        <v>HIGH</v>
      </c>
      <c r="H818" s="4" t="str">
        <f>FEATURES!O818</f>
        <v>RECENTLY PROMOTED</v>
      </c>
      <c r="I818" s="4" t="str">
        <f t="shared" si="3"/>
        <v>LOW RISK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3.2" x14ac:dyDescent="0.25">
      <c r="A819" s="4">
        <v>1133</v>
      </c>
      <c r="B819" s="4" t="s">
        <v>45</v>
      </c>
      <c r="C819" s="4" t="str">
        <f>FEATURES!L819</f>
        <v>NORMAL</v>
      </c>
      <c r="D819" s="4" t="str">
        <f>FEATURES!R819</f>
        <v>LOW</v>
      </c>
      <c r="E819" s="4" t="str">
        <f>FEATURES!Q819</f>
        <v>HIGHLY_ENGAGED</v>
      </c>
      <c r="F819" s="4" t="str">
        <f>FEATURES!P819</f>
        <v>Medium_Pressure</v>
      </c>
      <c r="G819" s="4" t="str">
        <f>FEATURES!M819</f>
        <v>HIGH</v>
      </c>
      <c r="H819" s="4" t="str">
        <f>FEATURES!O819</f>
        <v>RECENTLY PROMOTED</v>
      </c>
      <c r="I819" s="4" t="str">
        <f t="shared" si="3"/>
        <v>LOW RISK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3.2" x14ac:dyDescent="0.25">
      <c r="A820" s="4">
        <v>1135</v>
      </c>
      <c r="B820" s="4" t="s">
        <v>37</v>
      </c>
      <c r="C820" s="4" t="str">
        <f>FEATURES!L820</f>
        <v>NORMAL</v>
      </c>
      <c r="D820" s="4" t="str">
        <f>FEATURES!R820</f>
        <v>LOW</v>
      </c>
      <c r="E820" s="4" t="str">
        <f>FEATURES!Q820</f>
        <v>HIGHLY_ENGAGED</v>
      </c>
      <c r="F820" s="4" t="str">
        <f>FEATURES!P820</f>
        <v>Medium_Pressure</v>
      </c>
      <c r="G820" s="4" t="str">
        <f>FEATURES!M820</f>
        <v>LOW</v>
      </c>
      <c r="H820" s="4" t="str">
        <f>FEATURES!O820</f>
        <v>MODERATE-WAIT</v>
      </c>
      <c r="I820" s="4" t="str">
        <f t="shared" si="3"/>
        <v>LOW RISK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3.2" x14ac:dyDescent="0.25">
      <c r="A821" s="4">
        <v>1136</v>
      </c>
      <c r="B821" s="4" t="s">
        <v>45</v>
      </c>
      <c r="C821" s="4" t="str">
        <f>FEATURES!L821</f>
        <v>NORMAL</v>
      </c>
      <c r="D821" s="4" t="str">
        <f>FEATURES!R821</f>
        <v>LOW</v>
      </c>
      <c r="E821" s="4" t="str">
        <f>FEATURES!Q821</f>
        <v>DISENGAGED</v>
      </c>
      <c r="F821" s="4" t="str">
        <f>FEATURES!P821</f>
        <v>Low_Pressure</v>
      </c>
      <c r="G821" s="4" t="str">
        <f>FEATURES!M821</f>
        <v>LOW</v>
      </c>
      <c r="H821" s="4" t="str">
        <f>FEATURES!O821</f>
        <v>RECENTLY PROMOTED</v>
      </c>
      <c r="I821" s="4" t="str">
        <f t="shared" si="3"/>
        <v>LOW RISK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3.2" x14ac:dyDescent="0.25">
      <c r="A822" s="4">
        <v>1137</v>
      </c>
      <c r="B822" s="4" t="s">
        <v>37</v>
      </c>
      <c r="C822" s="4" t="str">
        <f>FEATURES!L822</f>
        <v>NORMAL</v>
      </c>
      <c r="D822" s="4" t="str">
        <f>FEATURES!R822</f>
        <v>LOW</v>
      </c>
      <c r="E822" s="4" t="str">
        <f>FEATURES!Q822</f>
        <v>HIGHLY_ENGAGED</v>
      </c>
      <c r="F822" s="4" t="str">
        <f>FEATURES!P822</f>
        <v>Medium_Pressure</v>
      </c>
      <c r="G822" s="4" t="str">
        <f>FEATURES!M822</f>
        <v>HIGH</v>
      </c>
      <c r="H822" s="4" t="str">
        <f>FEATURES!O822</f>
        <v>RECENTLY PROMOTED</v>
      </c>
      <c r="I822" s="4" t="str">
        <f t="shared" si="3"/>
        <v>LOW RISK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3.2" x14ac:dyDescent="0.25">
      <c r="A823" s="4">
        <v>1138</v>
      </c>
      <c r="B823" s="4" t="s">
        <v>37</v>
      </c>
      <c r="C823" s="4" t="str">
        <f>FEATURES!L823</f>
        <v>NORMAL</v>
      </c>
      <c r="D823" s="4" t="str">
        <f>FEATURES!R823</f>
        <v>LOW</v>
      </c>
      <c r="E823" s="4" t="str">
        <f>FEATURES!Q823</f>
        <v>DISENGAGED</v>
      </c>
      <c r="F823" s="4" t="str">
        <f>FEATURES!P823</f>
        <v>Medium_Pressure</v>
      </c>
      <c r="G823" s="4" t="str">
        <f>FEATURES!M823</f>
        <v>MEDIUM</v>
      </c>
      <c r="H823" s="4" t="str">
        <f>FEATURES!O823</f>
        <v>MODERATE-WAIT</v>
      </c>
      <c r="I823" s="4" t="str">
        <f t="shared" si="3"/>
        <v>LOW RISK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3.2" x14ac:dyDescent="0.25">
      <c r="A824" s="4">
        <v>1140</v>
      </c>
      <c r="B824" s="4" t="s">
        <v>45</v>
      </c>
      <c r="C824" s="4" t="str">
        <f>FEATURES!L824</f>
        <v>NORMAL</v>
      </c>
      <c r="D824" s="4" t="str">
        <f>FEATURES!R824</f>
        <v>LOW</v>
      </c>
      <c r="E824" s="4" t="str">
        <f>FEATURES!Q824</f>
        <v>DISENGAGED</v>
      </c>
      <c r="F824" s="4" t="str">
        <f>FEATURES!P824</f>
        <v>Low_Pressure</v>
      </c>
      <c r="G824" s="4" t="str">
        <f>FEATURES!M824</f>
        <v>HIGH</v>
      </c>
      <c r="H824" s="4" t="str">
        <f>FEATURES!O824</f>
        <v>RECENTLY PROMOTED</v>
      </c>
      <c r="I824" s="4" t="str">
        <f t="shared" si="3"/>
        <v>LOW RISK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3.2" x14ac:dyDescent="0.25">
      <c r="A825" s="4">
        <v>1143</v>
      </c>
      <c r="B825" s="4" t="s">
        <v>45</v>
      </c>
      <c r="C825" s="4" t="str">
        <f>FEATURES!L825</f>
        <v>NORMAL</v>
      </c>
      <c r="D825" s="4" t="str">
        <f>FEATURES!R825</f>
        <v>LOW</v>
      </c>
      <c r="E825" s="4" t="str">
        <f>FEATURES!Q825</f>
        <v>DISENGAGED</v>
      </c>
      <c r="F825" s="4" t="str">
        <f>FEATURES!P825</f>
        <v>Low_Pressure</v>
      </c>
      <c r="G825" s="4" t="str">
        <f>FEATURES!M825</f>
        <v>LOW</v>
      </c>
      <c r="H825" s="4" t="str">
        <f>FEATURES!O825</f>
        <v>RECENTLY PROMOTED</v>
      </c>
      <c r="I825" s="4" t="str">
        <f t="shared" si="3"/>
        <v>LOW RISK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3.2" x14ac:dyDescent="0.25">
      <c r="A826" s="4">
        <v>1148</v>
      </c>
      <c r="B826" s="4" t="s">
        <v>45</v>
      </c>
      <c r="C826" s="4" t="str">
        <f>FEATURES!L826</f>
        <v>NORMAL</v>
      </c>
      <c r="D826" s="4" t="str">
        <f>FEATURES!R826</f>
        <v>LOW</v>
      </c>
      <c r="E826" s="4" t="str">
        <f>FEATURES!Q826</f>
        <v>HIGHLY_ENGAGED</v>
      </c>
      <c r="F826" s="4" t="str">
        <f>FEATURES!P826</f>
        <v>Medium_Pressure</v>
      </c>
      <c r="G826" s="4" t="str">
        <f>FEATURES!M826</f>
        <v>HIGH</v>
      </c>
      <c r="H826" s="4" t="str">
        <f>FEATURES!O826</f>
        <v>RECENTLY PROMOTED</v>
      </c>
      <c r="I826" s="4" t="str">
        <f t="shared" si="3"/>
        <v>LOW RISK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3.2" x14ac:dyDescent="0.25">
      <c r="A827" s="4">
        <v>1150</v>
      </c>
      <c r="B827" s="4" t="s">
        <v>45</v>
      </c>
      <c r="C827" s="4" t="str">
        <f>FEATURES!L827</f>
        <v>NORMAL</v>
      </c>
      <c r="D827" s="4" t="str">
        <f>FEATURES!R827</f>
        <v>LOW</v>
      </c>
      <c r="E827" s="4" t="str">
        <f>FEATURES!Q827</f>
        <v>DISENGAGED</v>
      </c>
      <c r="F827" s="4" t="str">
        <f>FEATURES!P827</f>
        <v>High_Pressure</v>
      </c>
      <c r="G827" s="4" t="str">
        <f>FEATURES!M827</f>
        <v>HIGH</v>
      </c>
      <c r="H827" s="4" t="str">
        <f>FEATURES!O827</f>
        <v>RECENTLY PROMOTED</v>
      </c>
      <c r="I827" s="4" t="str">
        <f t="shared" si="3"/>
        <v>LOW RISK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3.2" x14ac:dyDescent="0.25">
      <c r="A828" s="4">
        <v>1152</v>
      </c>
      <c r="B828" s="4" t="s">
        <v>61</v>
      </c>
      <c r="C828" s="4" t="str">
        <f>FEATURES!L828</f>
        <v>NORMAL</v>
      </c>
      <c r="D828" s="4" t="str">
        <f>FEATURES!R828</f>
        <v>LOW</v>
      </c>
      <c r="E828" s="4" t="str">
        <f>FEATURES!Q828</f>
        <v>HIGHLY_ENGAGED</v>
      </c>
      <c r="F828" s="4" t="str">
        <f>FEATURES!P828</f>
        <v>Low_Pressure</v>
      </c>
      <c r="G828" s="4" t="str">
        <f>FEATURES!M828</f>
        <v>LOW</v>
      </c>
      <c r="H828" s="4" t="str">
        <f>FEATURES!O828</f>
        <v>STAGNANT</v>
      </c>
      <c r="I828" s="4" t="str">
        <f t="shared" si="3"/>
        <v>LOW RISK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3.2" x14ac:dyDescent="0.25">
      <c r="A829" s="4">
        <v>1154</v>
      </c>
      <c r="B829" s="4" t="s">
        <v>45</v>
      </c>
      <c r="C829" s="4" t="str">
        <f>FEATURES!L829</f>
        <v>NORMAL</v>
      </c>
      <c r="D829" s="4" t="str">
        <f>FEATURES!R829</f>
        <v>LOW</v>
      </c>
      <c r="E829" s="4" t="str">
        <f>FEATURES!Q829</f>
        <v>HIGHLY_ENGAGED</v>
      </c>
      <c r="F829" s="4" t="str">
        <f>FEATURES!P829</f>
        <v>Medium_Pressure</v>
      </c>
      <c r="G829" s="4" t="str">
        <f>FEATURES!M829</f>
        <v>LOW</v>
      </c>
      <c r="H829" s="4" t="str">
        <f>FEATURES!O829</f>
        <v>RECENTLY PROMOTED</v>
      </c>
      <c r="I829" s="4" t="str">
        <f t="shared" si="3"/>
        <v>LOW RISK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3.2" x14ac:dyDescent="0.25">
      <c r="A830" s="4">
        <v>1156</v>
      </c>
      <c r="B830" s="4" t="s">
        <v>45</v>
      </c>
      <c r="C830" s="4" t="str">
        <f>FEATURES!L830</f>
        <v>NORMAL</v>
      </c>
      <c r="D830" s="4" t="str">
        <f>FEATURES!R830</f>
        <v>LOW</v>
      </c>
      <c r="E830" s="4" t="str">
        <f>FEATURES!Q830</f>
        <v>HIGHLY_ENGAGED</v>
      </c>
      <c r="F830" s="4" t="str">
        <f>FEATURES!P830</f>
        <v>Medium_Pressure</v>
      </c>
      <c r="G830" s="4" t="str">
        <f>FEATURES!M830</f>
        <v>LOW</v>
      </c>
      <c r="H830" s="4" t="str">
        <f>FEATURES!O830</f>
        <v>RECENTLY PROMOTED</v>
      </c>
      <c r="I830" s="4" t="str">
        <f t="shared" si="3"/>
        <v>LOW RISK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3.2" x14ac:dyDescent="0.25">
      <c r="A831" s="4">
        <v>1157</v>
      </c>
      <c r="B831" s="4" t="s">
        <v>37</v>
      </c>
      <c r="C831" s="4" t="str">
        <f>FEATURES!L831</f>
        <v>NORMAL</v>
      </c>
      <c r="D831" s="4" t="str">
        <f>FEATURES!R831</f>
        <v>LOW</v>
      </c>
      <c r="E831" s="4" t="str">
        <f>FEATURES!Q831</f>
        <v>DISENGAGED</v>
      </c>
      <c r="F831" s="4" t="str">
        <f>FEATURES!P831</f>
        <v>Medium_Pressure</v>
      </c>
      <c r="G831" s="4" t="str">
        <f>FEATURES!M831</f>
        <v>HIGH</v>
      </c>
      <c r="H831" s="4" t="str">
        <f>FEATURES!O831</f>
        <v>RECENTLY PROMOTED</v>
      </c>
      <c r="I831" s="4" t="str">
        <f t="shared" si="3"/>
        <v>LOW RISK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3.2" x14ac:dyDescent="0.25">
      <c r="A832" s="4">
        <v>1158</v>
      </c>
      <c r="B832" s="4" t="s">
        <v>45</v>
      </c>
      <c r="C832" s="4" t="str">
        <f>FEATURES!L832</f>
        <v>NORMAL</v>
      </c>
      <c r="D832" s="4" t="str">
        <f>FEATURES!R832</f>
        <v>LOW</v>
      </c>
      <c r="E832" s="4" t="str">
        <f>FEATURES!Q832</f>
        <v>HIGHLY_ENGAGED</v>
      </c>
      <c r="F832" s="4" t="str">
        <f>FEATURES!P832</f>
        <v>Medium_Pressure</v>
      </c>
      <c r="G832" s="4" t="str">
        <f>FEATURES!M832</f>
        <v>HIGH</v>
      </c>
      <c r="H832" s="4" t="str">
        <f>FEATURES!O832</f>
        <v>RECENTLY PROMOTED</v>
      </c>
      <c r="I832" s="4" t="str">
        <f t="shared" si="3"/>
        <v>LOW RISK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3.2" x14ac:dyDescent="0.25">
      <c r="A833" s="4">
        <v>1160</v>
      </c>
      <c r="B833" s="4" t="s">
        <v>45</v>
      </c>
      <c r="C833" s="4" t="str">
        <f>FEATURES!L833</f>
        <v>NORMAL</v>
      </c>
      <c r="D833" s="4" t="str">
        <f>FEATURES!R833</f>
        <v>LOW</v>
      </c>
      <c r="E833" s="4" t="str">
        <f>FEATURES!Q833</f>
        <v>DISENGAGED</v>
      </c>
      <c r="F833" s="4" t="str">
        <f>FEATURES!P833</f>
        <v>Low_Pressure</v>
      </c>
      <c r="G833" s="4" t="str">
        <f>FEATURES!M833</f>
        <v>LOW</v>
      </c>
      <c r="H833" s="4" t="str">
        <f>FEATURES!O833</f>
        <v>MODERATE-WAIT</v>
      </c>
      <c r="I833" s="4" t="str">
        <f t="shared" si="3"/>
        <v>LOW RISK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3.2" x14ac:dyDescent="0.25">
      <c r="A834" s="4">
        <v>1161</v>
      </c>
      <c r="B834" s="4" t="s">
        <v>45</v>
      </c>
      <c r="C834" s="4" t="str">
        <f>FEATURES!L834</f>
        <v>NORMAL</v>
      </c>
      <c r="D834" s="4" t="str">
        <f>FEATURES!R834</f>
        <v>LOW</v>
      </c>
      <c r="E834" s="4" t="str">
        <f>FEATURES!Q834</f>
        <v>HIGHLY_ENGAGED</v>
      </c>
      <c r="F834" s="4" t="str">
        <f>FEATURES!P834</f>
        <v>Medium_Pressure</v>
      </c>
      <c r="G834" s="4" t="str">
        <f>FEATURES!M834</f>
        <v>HIGH</v>
      </c>
      <c r="H834" s="4" t="str">
        <f>FEATURES!O834</f>
        <v>RECENTLY PROMOTED</v>
      </c>
      <c r="I834" s="4" t="str">
        <f t="shared" si="3"/>
        <v>LOW RISK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3.2" x14ac:dyDescent="0.25">
      <c r="A835" s="4">
        <v>1162</v>
      </c>
      <c r="B835" s="4" t="s">
        <v>45</v>
      </c>
      <c r="C835" s="4" t="str">
        <f>FEATURES!L835</f>
        <v>NORMAL</v>
      </c>
      <c r="D835" s="4" t="str">
        <f>FEATURES!R835</f>
        <v>LOW</v>
      </c>
      <c r="E835" s="4" t="str">
        <f>FEATURES!Q835</f>
        <v>HIGHLY_ENGAGED</v>
      </c>
      <c r="F835" s="4" t="str">
        <f>FEATURES!P835</f>
        <v>Medium_Pressure</v>
      </c>
      <c r="G835" s="4" t="str">
        <f>FEATURES!M835</f>
        <v>LOW</v>
      </c>
      <c r="H835" s="4" t="str">
        <f>FEATURES!O835</f>
        <v>MODERATE-WAIT</v>
      </c>
      <c r="I835" s="4" t="str">
        <f t="shared" si="3"/>
        <v>LOW RISK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3.2" x14ac:dyDescent="0.25">
      <c r="A836" s="4">
        <v>1163</v>
      </c>
      <c r="B836" s="4" t="s">
        <v>37</v>
      </c>
      <c r="C836" s="4" t="str">
        <f>FEATURES!L836</f>
        <v>NORMAL</v>
      </c>
      <c r="D836" s="4" t="str">
        <f>FEATURES!R836</f>
        <v>LOW</v>
      </c>
      <c r="E836" s="4" t="str">
        <f>FEATURES!Q836</f>
        <v>DISENGAGED</v>
      </c>
      <c r="F836" s="4" t="str">
        <f>FEATURES!P836</f>
        <v>Low_Pressure</v>
      </c>
      <c r="G836" s="4" t="str">
        <f>FEATURES!M836</f>
        <v>HIGH</v>
      </c>
      <c r="H836" s="4" t="str">
        <f>FEATURES!O836</f>
        <v>RECENTLY PROMOTED</v>
      </c>
      <c r="I836" s="4" t="str">
        <f t="shared" si="3"/>
        <v>LOW RISK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3.2" x14ac:dyDescent="0.25">
      <c r="A837" s="4">
        <v>1164</v>
      </c>
      <c r="B837" s="4" t="s">
        <v>61</v>
      </c>
      <c r="C837" s="4" t="str">
        <f>FEATURES!L837</f>
        <v>NORMAL</v>
      </c>
      <c r="D837" s="4" t="str">
        <f>FEATURES!R837</f>
        <v>LOW</v>
      </c>
      <c r="E837" s="4" t="str">
        <f>FEATURES!Q837</f>
        <v>DISENGAGED</v>
      </c>
      <c r="F837" s="4" t="str">
        <f>FEATURES!P837</f>
        <v>Low_Pressure</v>
      </c>
      <c r="G837" s="4" t="str">
        <f>FEATURES!M837</f>
        <v>HIGH</v>
      </c>
      <c r="H837" s="4" t="str">
        <f>FEATURES!O837</f>
        <v>RECENTLY PROMOTED</v>
      </c>
      <c r="I837" s="4" t="str">
        <f t="shared" si="3"/>
        <v>LOW RISK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3.2" x14ac:dyDescent="0.25">
      <c r="A838" s="4">
        <v>1165</v>
      </c>
      <c r="B838" s="4" t="s">
        <v>37</v>
      </c>
      <c r="C838" s="4" t="str">
        <f>FEATURES!L838</f>
        <v>NORMAL</v>
      </c>
      <c r="D838" s="4" t="str">
        <f>FEATURES!R838</f>
        <v>LOW</v>
      </c>
      <c r="E838" s="4" t="str">
        <f>FEATURES!Q838</f>
        <v>DISENGAGED</v>
      </c>
      <c r="F838" s="4" t="str">
        <f>FEATURES!P838</f>
        <v>Low_Pressure</v>
      </c>
      <c r="G838" s="4" t="str">
        <f>FEATURES!M838</f>
        <v>HIGH</v>
      </c>
      <c r="H838" s="4" t="str">
        <f>FEATURES!O838</f>
        <v>MODERATE-WAIT</v>
      </c>
      <c r="I838" s="4" t="str">
        <f t="shared" si="3"/>
        <v>LOW RISK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3.2" x14ac:dyDescent="0.25">
      <c r="A839" s="4">
        <v>1166</v>
      </c>
      <c r="B839" s="4" t="s">
        <v>45</v>
      </c>
      <c r="C839" s="4" t="str">
        <f>FEATURES!L839</f>
        <v>NORMAL</v>
      </c>
      <c r="D839" s="4" t="str">
        <f>FEATURES!R839</f>
        <v>LOW</v>
      </c>
      <c r="E839" s="4" t="str">
        <f>FEATURES!Q839</f>
        <v>DISENGAGED</v>
      </c>
      <c r="F839" s="4" t="str">
        <f>FEATURES!P839</f>
        <v>Low_Pressure</v>
      </c>
      <c r="G839" s="4" t="str">
        <f>FEATURES!M839</f>
        <v>MEDIUM</v>
      </c>
      <c r="H839" s="4" t="str">
        <f>FEATURES!O839</f>
        <v>MODERATE-WAIT</v>
      </c>
      <c r="I839" s="4" t="str">
        <f t="shared" si="3"/>
        <v>LOW RISK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3.2" x14ac:dyDescent="0.25">
      <c r="A840" s="4">
        <v>1167</v>
      </c>
      <c r="B840" s="4" t="s">
        <v>37</v>
      </c>
      <c r="C840" s="4" t="str">
        <f>FEATURES!L840</f>
        <v>HIGH RISK</v>
      </c>
      <c r="D840" s="4" t="str">
        <f>FEATURES!R840</f>
        <v>LOW</v>
      </c>
      <c r="E840" s="4" t="str">
        <f>FEATURES!Q840</f>
        <v>DISENGAGED</v>
      </c>
      <c r="F840" s="4" t="str">
        <f>FEATURES!P840</f>
        <v>High_Pressure</v>
      </c>
      <c r="G840" s="4" t="str">
        <f>FEATURES!M840</f>
        <v>MEDIUM</v>
      </c>
      <c r="H840" s="4" t="str">
        <f>FEATURES!O840</f>
        <v>STAGNANT</v>
      </c>
      <c r="I840" s="4" t="str">
        <f t="shared" si="3"/>
        <v>LOW RISK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3.2" x14ac:dyDescent="0.25">
      <c r="A841" s="4">
        <v>1171</v>
      </c>
      <c r="B841" s="4" t="s">
        <v>37</v>
      </c>
      <c r="C841" s="4" t="str">
        <f>FEATURES!L841</f>
        <v>NORMAL</v>
      </c>
      <c r="D841" s="4" t="str">
        <f>FEATURES!R841</f>
        <v>LOW</v>
      </c>
      <c r="E841" s="4" t="str">
        <f>FEATURES!Q841</f>
        <v>DISENGAGED</v>
      </c>
      <c r="F841" s="4" t="str">
        <f>FEATURES!P841</f>
        <v>Low_Pressure</v>
      </c>
      <c r="G841" s="4" t="str">
        <f>FEATURES!M841</f>
        <v>HIGH</v>
      </c>
      <c r="H841" s="4" t="str">
        <f>FEATURES!O841</f>
        <v>RECENTLY PROMOTED</v>
      </c>
      <c r="I841" s="4" t="str">
        <f t="shared" si="3"/>
        <v>LOW RISK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3.2" x14ac:dyDescent="0.25">
      <c r="A842" s="4">
        <v>1172</v>
      </c>
      <c r="B842" s="4" t="s">
        <v>45</v>
      </c>
      <c r="C842" s="4" t="str">
        <f>FEATURES!L842</f>
        <v>NORMAL</v>
      </c>
      <c r="D842" s="4" t="str">
        <f>FEATURES!R842</f>
        <v>LOW</v>
      </c>
      <c r="E842" s="4" t="str">
        <f>FEATURES!Q842</f>
        <v>HIGHLY_ENGAGED</v>
      </c>
      <c r="F842" s="4" t="str">
        <f>FEATURES!P842</f>
        <v>Medium_Pressure</v>
      </c>
      <c r="G842" s="4" t="str">
        <f>FEATURES!M842</f>
        <v>LOW</v>
      </c>
      <c r="H842" s="4" t="str">
        <f>FEATURES!O842</f>
        <v>RECENTLY PROMOTED</v>
      </c>
      <c r="I842" s="4" t="str">
        <f t="shared" si="3"/>
        <v>LOW RISK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3.2" x14ac:dyDescent="0.25">
      <c r="A843" s="4">
        <v>1173</v>
      </c>
      <c r="B843" s="4" t="s">
        <v>45</v>
      </c>
      <c r="C843" s="4" t="str">
        <f>FEATURES!L843</f>
        <v>NORMAL</v>
      </c>
      <c r="D843" s="4" t="str">
        <f>FEATURES!R843</f>
        <v>LOW</v>
      </c>
      <c r="E843" s="4" t="str">
        <f>FEATURES!Q843</f>
        <v>DISENGAGED</v>
      </c>
      <c r="F843" s="4" t="str">
        <f>FEATURES!P843</f>
        <v>Medium_Pressure</v>
      </c>
      <c r="G843" s="4" t="str">
        <f>FEATURES!M843</f>
        <v>LOW</v>
      </c>
      <c r="H843" s="4" t="str">
        <f>FEATURES!O843</f>
        <v>RECENTLY PROMOTED</v>
      </c>
      <c r="I843" s="4" t="str">
        <f t="shared" si="3"/>
        <v>LOW RISK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3.2" x14ac:dyDescent="0.25">
      <c r="A844" s="4">
        <v>1175</v>
      </c>
      <c r="B844" s="4" t="s">
        <v>45</v>
      </c>
      <c r="C844" s="4" t="str">
        <f>FEATURES!L844</f>
        <v>NORMAL</v>
      </c>
      <c r="D844" s="4" t="str">
        <f>FEATURES!R844</f>
        <v>LOW</v>
      </c>
      <c r="E844" s="4" t="str">
        <f>FEATURES!Q844</f>
        <v>DISENGAGED</v>
      </c>
      <c r="F844" s="4" t="str">
        <f>FEATURES!P844</f>
        <v>High_Pressure</v>
      </c>
      <c r="G844" s="4" t="str">
        <f>FEATURES!M844</f>
        <v>LOW</v>
      </c>
      <c r="H844" s="4" t="str">
        <f>FEATURES!O844</f>
        <v>RECENTLY PROMOTED</v>
      </c>
      <c r="I844" s="4" t="str">
        <f t="shared" si="3"/>
        <v>LOW RISK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3.2" x14ac:dyDescent="0.25">
      <c r="A845" s="4">
        <v>1177</v>
      </c>
      <c r="B845" s="4" t="s">
        <v>45</v>
      </c>
      <c r="C845" s="4" t="str">
        <f>FEATURES!L845</f>
        <v>NORMAL</v>
      </c>
      <c r="D845" s="4" t="str">
        <f>FEATURES!R845</f>
        <v>LOW</v>
      </c>
      <c r="E845" s="4" t="str">
        <f>FEATURES!Q845</f>
        <v>HIGHLY_ENGAGED</v>
      </c>
      <c r="F845" s="4" t="str">
        <f>FEATURES!P845</f>
        <v>Medium_Pressure</v>
      </c>
      <c r="G845" s="4" t="str">
        <f>FEATURES!M845</f>
        <v>HIGH</v>
      </c>
      <c r="H845" s="4" t="str">
        <f>FEATURES!O845</f>
        <v>RECENTLY PROMOTED</v>
      </c>
      <c r="I845" s="4" t="str">
        <f t="shared" si="3"/>
        <v>LOW RISK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3.2" x14ac:dyDescent="0.25">
      <c r="A846" s="4">
        <v>1179</v>
      </c>
      <c r="B846" s="4" t="s">
        <v>37</v>
      </c>
      <c r="C846" s="4" t="str">
        <f>FEATURES!L846</f>
        <v>NORMAL</v>
      </c>
      <c r="D846" s="4" t="str">
        <f>FEATURES!R846</f>
        <v>LOW</v>
      </c>
      <c r="E846" s="4" t="str">
        <f>FEATURES!Q846</f>
        <v>HIGHLY_ENGAGED</v>
      </c>
      <c r="F846" s="4" t="str">
        <f>FEATURES!P846</f>
        <v>Medium_Pressure</v>
      </c>
      <c r="G846" s="4" t="str">
        <f>FEATURES!M846</f>
        <v>HIGH</v>
      </c>
      <c r="H846" s="4" t="str">
        <f>FEATURES!O846</f>
        <v>RECENTLY PROMOTED</v>
      </c>
      <c r="I846" s="4" t="str">
        <f t="shared" si="3"/>
        <v>LOW RISK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3.2" x14ac:dyDescent="0.25">
      <c r="A847" s="4">
        <v>1180</v>
      </c>
      <c r="B847" s="4" t="s">
        <v>45</v>
      </c>
      <c r="C847" s="4" t="str">
        <f>FEATURES!L847</f>
        <v>NORMAL</v>
      </c>
      <c r="D847" s="4" t="str">
        <f>FEATURES!R847</f>
        <v>LOW</v>
      </c>
      <c r="E847" s="4" t="str">
        <f>FEATURES!Q847</f>
        <v>DISENGAGED</v>
      </c>
      <c r="F847" s="4" t="str">
        <f>FEATURES!P847</f>
        <v>High_Pressure</v>
      </c>
      <c r="G847" s="4" t="str">
        <f>FEATURES!M847</f>
        <v>HIGH</v>
      </c>
      <c r="H847" s="4" t="str">
        <f>FEATURES!O847</f>
        <v>RECENTLY PROMOTED</v>
      </c>
      <c r="I847" s="4" t="str">
        <f t="shared" si="3"/>
        <v>LOW RISK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3.2" x14ac:dyDescent="0.25">
      <c r="A848" s="4">
        <v>1182</v>
      </c>
      <c r="B848" s="4" t="s">
        <v>45</v>
      </c>
      <c r="C848" s="4" t="str">
        <f>FEATURES!L848</f>
        <v>NORMAL</v>
      </c>
      <c r="D848" s="4" t="str">
        <f>FEATURES!R848</f>
        <v>LOW</v>
      </c>
      <c r="E848" s="4" t="str">
        <f>FEATURES!Q848</f>
        <v>DISENGAGED</v>
      </c>
      <c r="F848" s="4" t="str">
        <f>FEATURES!P848</f>
        <v>Low_Pressure</v>
      </c>
      <c r="G848" s="4" t="str">
        <f>FEATURES!M848</f>
        <v>MEDIUM</v>
      </c>
      <c r="H848" s="4" t="str">
        <f>FEATURES!O848</f>
        <v>STAGNANT</v>
      </c>
      <c r="I848" s="4" t="str">
        <f t="shared" si="3"/>
        <v>LOW RISK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3.2" x14ac:dyDescent="0.25">
      <c r="A849" s="4">
        <v>1184</v>
      </c>
      <c r="B849" s="4" t="s">
        <v>45</v>
      </c>
      <c r="C849" s="4" t="str">
        <f>FEATURES!L849</f>
        <v>NORMAL</v>
      </c>
      <c r="D849" s="4" t="str">
        <f>FEATURES!R849</f>
        <v>LOW</v>
      </c>
      <c r="E849" s="4" t="str">
        <f>FEATURES!Q849</f>
        <v>DISENGAGED</v>
      </c>
      <c r="F849" s="4" t="str">
        <f>FEATURES!P849</f>
        <v>Medium_Pressure</v>
      </c>
      <c r="G849" s="4" t="str">
        <f>FEATURES!M849</f>
        <v>HIGH</v>
      </c>
      <c r="H849" s="4" t="str">
        <f>FEATURES!O849</f>
        <v>STAGNANT</v>
      </c>
      <c r="I849" s="4" t="str">
        <f t="shared" si="3"/>
        <v>LOW RISK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3.2" x14ac:dyDescent="0.25">
      <c r="A850" s="4">
        <v>1185</v>
      </c>
      <c r="B850" s="4" t="s">
        <v>45</v>
      </c>
      <c r="C850" s="4" t="str">
        <f>FEATURES!L850</f>
        <v>NORMAL</v>
      </c>
      <c r="D850" s="4" t="str">
        <f>FEATURES!R850</f>
        <v>LOW</v>
      </c>
      <c r="E850" s="4" t="str">
        <f>FEATURES!Q850</f>
        <v>HIGHLY_ENGAGED</v>
      </c>
      <c r="F850" s="4" t="str">
        <f>FEATURES!P850</f>
        <v>Low_Pressure</v>
      </c>
      <c r="G850" s="4" t="str">
        <f>FEATURES!M850</f>
        <v>LOW</v>
      </c>
      <c r="H850" s="4" t="str">
        <f>FEATURES!O850</f>
        <v>MODERATE-WAIT</v>
      </c>
      <c r="I850" s="4" t="str">
        <f t="shared" si="3"/>
        <v>LOW RISK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3.2" x14ac:dyDescent="0.25">
      <c r="A851" s="4">
        <v>1188</v>
      </c>
      <c r="B851" s="4" t="s">
        <v>37</v>
      </c>
      <c r="C851" s="4" t="str">
        <f>FEATURES!L851</f>
        <v>NORMAL</v>
      </c>
      <c r="D851" s="4" t="str">
        <f>FEATURES!R851</f>
        <v>LOW</v>
      </c>
      <c r="E851" s="4" t="str">
        <f>FEATURES!Q851</f>
        <v>DISENGAGED</v>
      </c>
      <c r="F851" s="4" t="str">
        <f>FEATURES!P851</f>
        <v>Low_Pressure</v>
      </c>
      <c r="G851" s="4" t="str">
        <f>FEATURES!M851</f>
        <v>HIGH</v>
      </c>
      <c r="H851" s="4" t="str">
        <f>FEATURES!O851</f>
        <v>RECENTLY PROMOTED</v>
      </c>
      <c r="I851" s="4" t="str">
        <f t="shared" si="3"/>
        <v>LOW RISK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3.2" x14ac:dyDescent="0.25">
      <c r="A852" s="4">
        <v>1190</v>
      </c>
      <c r="B852" s="4" t="s">
        <v>37</v>
      </c>
      <c r="C852" s="4" t="str">
        <f>FEATURES!L852</f>
        <v>NORMAL</v>
      </c>
      <c r="D852" s="4" t="str">
        <f>FEATURES!R852</f>
        <v>LOW</v>
      </c>
      <c r="E852" s="4" t="str">
        <f>FEATURES!Q852</f>
        <v>DISENGAGED</v>
      </c>
      <c r="F852" s="4" t="str">
        <f>FEATURES!P852</f>
        <v>Medium_Pressure</v>
      </c>
      <c r="G852" s="4" t="str">
        <f>FEATURES!M852</f>
        <v>LOW</v>
      </c>
      <c r="H852" s="4" t="str">
        <f>FEATURES!O852</f>
        <v>RECENTLY PROMOTED</v>
      </c>
      <c r="I852" s="4" t="str">
        <f t="shared" si="3"/>
        <v>LOW RISK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3.2" x14ac:dyDescent="0.25">
      <c r="A853" s="4">
        <v>1191</v>
      </c>
      <c r="B853" s="4" t="s">
        <v>45</v>
      </c>
      <c r="C853" s="4" t="str">
        <f>FEATURES!L853</f>
        <v>NORMAL</v>
      </c>
      <c r="D853" s="4" t="str">
        <f>FEATURES!R853</f>
        <v>LOW</v>
      </c>
      <c r="E853" s="4" t="str">
        <f>FEATURES!Q853</f>
        <v>DISENGAGED</v>
      </c>
      <c r="F853" s="4" t="str">
        <f>FEATURES!P853</f>
        <v>Medium_Pressure</v>
      </c>
      <c r="G853" s="4" t="str">
        <f>FEATURES!M853</f>
        <v>MEDIUM</v>
      </c>
      <c r="H853" s="4" t="str">
        <f>FEATURES!O853</f>
        <v>STAGNANT</v>
      </c>
      <c r="I853" s="4" t="str">
        <f t="shared" si="3"/>
        <v>LOW RISK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3.2" x14ac:dyDescent="0.25">
      <c r="A854" s="4">
        <v>1192</v>
      </c>
      <c r="B854" s="4" t="s">
        <v>45</v>
      </c>
      <c r="C854" s="4" t="str">
        <f>FEATURES!L854</f>
        <v>NORMAL</v>
      </c>
      <c r="D854" s="4" t="str">
        <f>FEATURES!R854</f>
        <v>LOW</v>
      </c>
      <c r="E854" s="4" t="str">
        <f>FEATURES!Q854</f>
        <v>HIGHLY_ENGAGED</v>
      </c>
      <c r="F854" s="4" t="str">
        <f>FEATURES!P854</f>
        <v>Medium_Pressure</v>
      </c>
      <c r="G854" s="4" t="str">
        <f>FEATURES!M854</f>
        <v>LOW</v>
      </c>
      <c r="H854" s="4" t="str">
        <f>FEATURES!O854</f>
        <v>RECENTLY PROMOTED</v>
      </c>
      <c r="I854" s="4" t="str">
        <f t="shared" si="3"/>
        <v>LOW RISK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3.2" x14ac:dyDescent="0.25">
      <c r="A855" s="4">
        <v>1193</v>
      </c>
      <c r="B855" s="4" t="s">
        <v>45</v>
      </c>
      <c r="C855" s="4" t="str">
        <f>FEATURES!L855</f>
        <v>NORMAL</v>
      </c>
      <c r="D855" s="4" t="str">
        <f>FEATURES!R855</f>
        <v>LOW</v>
      </c>
      <c r="E855" s="4" t="str">
        <f>FEATURES!Q855</f>
        <v>DISENGAGED</v>
      </c>
      <c r="F855" s="4" t="str">
        <f>FEATURES!P855</f>
        <v>Medium_Pressure</v>
      </c>
      <c r="G855" s="4" t="str">
        <f>FEATURES!M855</f>
        <v>LOW</v>
      </c>
      <c r="H855" s="4" t="str">
        <f>FEATURES!O855</f>
        <v>RECENTLY PROMOTED</v>
      </c>
      <c r="I855" s="4" t="str">
        <f t="shared" si="3"/>
        <v>LOW RISK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3.2" x14ac:dyDescent="0.25">
      <c r="A856" s="4">
        <v>1195</v>
      </c>
      <c r="B856" s="4" t="s">
        <v>45</v>
      </c>
      <c r="C856" s="4" t="str">
        <f>FEATURES!L856</f>
        <v>NORMAL</v>
      </c>
      <c r="D856" s="4" t="str">
        <f>FEATURES!R856</f>
        <v>LOW</v>
      </c>
      <c r="E856" s="4" t="str">
        <f>FEATURES!Q856</f>
        <v>DISENGAGED</v>
      </c>
      <c r="F856" s="4" t="str">
        <f>FEATURES!P856</f>
        <v>High_Pressure</v>
      </c>
      <c r="G856" s="4" t="str">
        <f>FEATURES!M856</f>
        <v>HIGH</v>
      </c>
      <c r="H856" s="4" t="str">
        <f>FEATURES!O856</f>
        <v>RECENTLY PROMOTED</v>
      </c>
      <c r="I856" s="4" t="str">
        <f t="shared" si="3"/>
        <v>LOW RISK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3.2" x14ac:dyDescent="0.25">
      <c r="A857" s="4">
        <v>1196</v>
      </c>
      <c r="B857" s="4" t="s">
        <v>45</v>
      </c>
      <c r="C857" s="4" t="str">
        <f>FEATURES!L857</f>
        <v>NORMAL</v>
      </c>
      <c r="D857" s="4" t="str">
        <f>FEATURES!R857</f>
        <v>LOW</v>
      </c>
      <c r="E857" s="4" t="str">
        <f>FEATURES!Q857</f>
        <v>DISENGAGED</v>
      </c>
      <c r="F857" s="4" t="str">
        <f>FEATURES!P857</f>
        <v>Low_Pressure</v>
      </c>
      <c r="G857" s="4" t="str">
        <f>FEATURES!M857</f>
        <v>HIGH</v>
      </c>
      <c r="H857" s="4" t="str">
        <f>FEATURES!O857</f>
        <v>MODERATE-WAIT</v>
      </c>
      <c r="I857" s="4" t="str">
        <f t="shared" si="3"/>
        <v>LOW RISK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3.2" x14ac:dyDescent="0.25">
      <c r="A858" s="4">
        <v>1198</v>
      </c>
      <c r="B858" s="4" t="s">
        <v>45</v>
      </c>
      <c r="C858" s="4" t="str">
        <f>FEATURES!L858</f>
        <v>NORMAL</v>
      </c>
      <c r="D858" s="4" t="str">
        <f>FEATURES!R858</f>
        <v>LOW</v>
      </c>
      <c r="E858" s="4" t="str">
        <f>FEATURES!Q858</f>
        <v>DISENGAGED</v>
      </c>
      <c r="F858" s="4" t="str">
        <f>FEATURES!P858</f>
        <v>Low_Pressure</v>
      </c>
      <c r="G858" s="4" t="str">
        <f>FEATURES!M858</f>
        <v>LOW</v>
      </c>
      <c r="H858" s="4" t="str">
        <f>FEATURES!O858</f>
        <v>RECENTLY PROMOTED</v>
      </c>
      <c r="I858" s="4" t="str">
        <f t="shared" si="3"/>
        <v>LOW RISK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3.2" x14ac:dyDescent="0.25">
      <c r="A859" s="4">
        <v>1200</v>
      </c>
      <c r="B859" s="4" t="s">
        <v>45</v>
      </c>
      <c r="C859" s="4" t="str">
        <f>FEATURES!L859</f>
        <v>NORMAL</v>
      </c>
      <c r="D859" s="4" t="str">
        <f>FEATURES!R859</f>
        <v>LOW</v>
      </c>
      <c r="E859" s="4" t="str">
        <f>FEATURES!Q859</f>
        <v>HIGHLY_ENGAGED</v>
      </c>
      <c r="F859" s="4" t="str">
        <f>FEATURES!P859</f>
        <v>Medium_Pressure</v>
      </c>
      <c r="G859" s="4" t="str">
        <f>FEATURES!M859</f>
        <v>LOW</v>
      </c>
      <c r="H859" s="4" t="str">
        <f>FEATURES!O859</f>
        <v>RECENTLY PROMOTED</v>
      </c>
      <c r="I859" s="4" t="str">
        <f t="shared" si="3"/>
        <v>LOW RISK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3.2" x14ac:dyDescent="0.25">
      <c r="A860" s="4">
        <v>1201</v>
      </c>
      <c r="B860" s="4" t="s">
        <v>45</v>
      </c>
      <c r="C860" s="4" t="str">
        <f>FEATURES!L860</f>
        <v>NORMAL</v>
      </c>
      <c r="D860" s="4" t="str">
        <f>FEATURES!R860</f>
        <v>LOW</v>
      </c>
      <c r="E860" s="4" t="str">
        <f>FEATURES!Q860</f>
        <v>HIGHLY_ENGAGED</v>
      </c>
      <c r="F860" s="4" t="str">
        <f>FEATURES!P860</f>
        <v>Medium_Pressure</v>
      </c>
      <c r="G860" s="4" t="str">
        <f>FEATURES!M860</f>
        <v>MEDIUM</v>
      </c>
      <c r="H860" s="4" t="str">
        <f>FEATURES!O860</f>
        <v>STAGNANT</v>
      </c>
      <c r="I860" s="4" t="str">
        <f t="shared" si="3"/>
        <v>LOW RISK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3.2" x14ac:dyDescent="0.25">
      <c r="A861" s="4">
        <v>1202</v>
      </c>
      <c r="B861" s="4" t="s">
        <v>45</v>
      </c>
      <c r="C861" s="4" t="str">
        <f>FEATURES!L861</f>
        <v>NORMAL</v>
      </c>
      <c r="D861" s="4" t="str">
        <f>FEATURES!R861</f>
        <v>LOW</v>
      </c>
      <c r="E861" s="4" t="str">
        <f>FEATURES!Q861</f>
        <v>DISENGAGED</v>
      </c>
      <c r="F861" s="4" t="str">
        <f>FEATURES!P861</f>
        <v>High_Pressure</v>
      </c>
      <c r="G861" s="4" t="str">
        <f>FEATURES!M861</f>
        <v>LOW</v>
      </c>
      <c r="H861" s="4" t="str">
        <f>FEATURES!O861</f>
        <v>RECENTLY PROMOTED</v>
      </c>
      <c r="I861" s="4" t="str">
        <f t="shared" si="3"/>
        <v>LOW RISK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3.2" x14ac:dyDescent="0.25">
      <c r="A862" s="4">
        <v>1203</v>
      </c>
      <c r="B862" s="4" t="s">
        <v>45</v>
      </c>
      <c r="C862" s="4" t="str">
        <f>FEATURES!L862</f>
        <v>NORMAL</v>
      </c>
      <c r="D862" s="4" t="str">
        <f>FEATURES!R862</f>
        <v>LOW</v>
      </c>
      <c r="E862" s="4" t="str">
        <f>FEATURES!Q862</f>
        <v>HIGHLY_ENGAGED</v>
      </c>
      <c r="F862" s="4" t="str">
        <f>FEATURES!P862</f>
        <v>Medium_Pressure</v>
      </c>
      <c r="G862" s="4" t="str">
        <f>FEATURES!M862</f>
        <v>LOW</v>
      </c>
      <c r="H862" s="4" t="str">
        <f>FEATURES!O862</f>
        <v>RECENTLY PROMOTED</v>
      </c>
      <c r="I862" s="4" t="str">
        <f t="shared" si="3"/>
        <v>LOW RISK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3.2" x14ac:dyDescent="0.25">
      <c r="A863" s="4">
        <v>1204</v>
      </c>
      <c r="B863" s="4" t="s">
        <v>37</v>
      </c>
      <c r="C863" s="4" t="str">
        <f>FEATURES!L863</f>
        <v>NORMAL</v>
      </c>
      <c r="D863" s="4" t="str">
        <f>FEATURES!R863</f>
        <v>LOW</v>
      </c>
      <c r="E863" s="4" t="str">
        <f>FEATURES!Q863</f>
        <v>DISENGAGED</v>
      </c>
      <c r="F863" s="4" t="str">
        <f>FEATURES!P863</f>
        <v>Medium_Pressure</v>
      </c>
      <c r="G863" s="4" t="str">
        <f>FEATURES!M863</f>
        <v>MEDIUM</v>
      </c>
      <c r="H863" s="4" t="str">
        <f>FEATURES!O863</f>
        <v>STAGNANT</v>
      </c>
      <c r="I863" s="4" t="str">
        <f t="shared" si="3"/>
        <v>LOW RISK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3.2" x14ac:dyDescent="0.25">
      <c r="A864" s="4">
        <v>1206</v>
      </c>
      <c r="B864" s="4" t="s">
        <v>45</v>
      </c>
      <c r="C864" s="4" t="str">
        <f>FEATURES!L864</f>
        <v>NORMAL</v>
      </c>
      <c r="D864" s="4" t="str">
        <f>FEATURES!R864</f>
        <v>LOW</v>
      </c>
      <c r="E864" s="4" t="str">
        <f>FEATURES!Q864</f>
        <v>HIGHLY_ENGAGED</v>
      </c>
      <c r="F864" s="4" t="str">
        <f>FEATURES!P864</f>
        <v>Medium_Pressure</v>
      </c>
      <c r="G864" s="4" t="str">
        <f>FEATURES!M864</f>
        <v>LOW</v>
      </c>
      <c r="H864" s="4" t="str">
        <f>FEATURES!O864</f>
        <v>RECENTLY PROMOTED</v>
      </c>
      <c r="I864" s="4" t="str">
        <f t="shared" si="3"/>
        <v>LOW RISK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3.2" x14ac:dyDescent="0.25">
      <c r="A865" s="4">
        <v>1207</v>
      </c>
      <c r="B865" s="4" t="s">
        <v>61</v>
      </c>
      <c r="C865" s="4" t="str">
        <f>FEATURES!L865</f>
        <v>NORMAL</v>
      </c>
      <c r="D865" s="4" t="str">
        <f>FEATURES!R865</f>
        <v>LOW</v>
      </c>
      <c r="E865" s="4" t="str">
        <f>FEATURES!Q865</f>
        <v>HIGHLY_ENGAGED</v>
      </c>
      <c r="F865" s="4" t="str">
        <f>FEATURES!P865</f>
        <v>Medium_Pressure</v>
      </c>
      <c r="G865" s="4" t="str">
        <f>FEATURES!M865</f>
        <v>LOW</v>
      </c>
      <c r="H865" s="4" t="str">
        <f>FEATURES!O865</f>
        <v>RECENTLY PROMOTED</v>
      </c>
      <c r="I865" s="4" t="str">
        <f t="shared" si="3"/>
        <v>LOW RISK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3.2" x14ac:dyDescent="0.25">
      <c r="A866" s="4">
        <v>1210</v>
      </c>
      <c r="B866" s="4" t="s">
        <v>45</v>
      </c>
      <c r="C866" s="4" t="str">
        <f>FEATURES!L866</f>
        <v>NORMAL</v>
      </c>
      <c r="D866" s="4" t="str">
        <f>FEATURES!R866</f>
        <v>LOW</v>
      </c>
      <c r="E866" s="4" t="str">
        <f>FEATURES!Q866</f>
        <v>DISENGAGED</v>
      </c>
      <c r="F866" s="4" t="str">
        <f>FEATURES!P866</f>
        <v>Low_Pressure</v>
      </c>
      <c r="G866" s="4" t="str">
        <f>FEATURES!M866</f>
        <v>LOW</v>
      </c>
      <c r="H866" s="4" t="str">
        <f>FEATURES!O866</f>
        <v>RECENTLY PROMOTED</v>
      </c>
      <c r="I866" s="4" t="str">
        <f t="shared" si="3"/>
        <v>LOW RISK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3.2" x14ac:dyDescent="0.25">
      <c r="A867" s="4">
        <v>1211</v>
      </c>
      <c r="B867" s="4" t="s">
        <v>37</v>
      </c>
      <c r="C867" s="4" t="str">
        <f>FEATURES!L867</f>
        <v>NORMAL</v>
      </c>
      <c r="D867" s="4" t="str">
        <f>FEATURES!R867</f>
        <v>LOW</v>
      </c>
      <c r="E867" s="4" t="str">
        <f>FEATURES!Q867</f>
        <v>DISENGAGED</v>
      </c>
      <c r="F867" s="4" t="str">
        <f>FEATURES!P867</f>
        <v>Medium_Pressure</v>
      </c>
      <c r="G867" s="4" t="str">
        <f>FEATURES!M867</f>
        <v>HIGH</v>
      </c>
      <c r="H867" s="4" t="str">
        <f>FEATURES!O867</f>
        <v>RECENTLY PROMOTED</v>
      </c>
      <c r="I867" s="4" t="str">
        <f t="shared" si="3"/>
        <v>LOW RISK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3.2" x14ac:dyDescent="0.25">
      <c r="A868" s="4">
        <v>1212</v>
      </c>
      <c r="B868" s="4" t="s">
        <v>37</v>
      </c>
      <c r="C868" s="4" t="str">
        <f>FEATURES!L868</f>
        <v>NORMAL</v>
      </c>
      <c r="D868" s="4" t="str">
        <f>FEATURES!R868</f>
        <v>LOW</v>
      </c>
      <c r="E868" s="4" t="str">
        <f>FEATURES!Q868</f>
        <v>DISENGAGED</v>
      </c>
      <c r="F868" s="4" t="str">
        <f>FEATURES!P868</f>
        <v>Medium_Pressure</v>
      </c>
      <c r="G868" s="4" t="str">
        <f>FEATURES!M868</f>
        <v>HIGH</v>
      </c>
      <c r="H868" s="4" t="str">
        <f>FEATURES!O868</f>
        <v>RECENTLY PROMOTED</v>
      </c>
      <c r="I868" s="4" t="str">
        <f t="shared" si="3"/>
        <v>LOW RISK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3.2" x14ac:dyDescent="0.25">
      <c r="A869" s="4">
        <v>1215</v>
      </c>
      <c r="B869" s="4" t="s">
        <v>45</v>
      </c>
      <c r="C869" s="4" t="str">
        <f>FEATURES!L869</f>
        <v>NORMAL</v>
      </c>
      <c r="D869" s="4" t="str">
        <f>FEATURES!R869</f>
        <v>LOW</v>
      </c>
      <c r="E869" s="4" t="str">
        <f>FEATURES!Q869</f>
        <v>DISENGAGED</v>
      </c>
      <c r="F869" s="4" t="str">
        <f>FEATURES!P869</f>
        <v>Medium_Pressure</v>
      </c>
      <c r="G869" s="4" t="str">
        <f>FEATURES!M869</f>
        <v>MEDIUM</v>
      </c>
      <c r="H869" s="4" t="str">
        <f>FEATURES!O869</f>
        <v>MODERATE-WAIT</v>
      </c>
      <c r="I869" s="4" t="str">
        <f t="shared" si="3"/>
        <v>LOW RISK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3.2" x14ac:dyDescent="0.25">
      <c r="A870" s="4">
        <v>1216</v>
      </c>
      <c r="B870" s="4" t="s">
        <v>45</v>
      </c>
      <c r="C870" s="4" t="str">
        <f>FEATURES!L870</f>
        <v>NORMAL</v>
      </c>
      <c r="D870" s="4" t="str">
        <f>FEATURES!R870</f>
        <v>LOW</v>
      </c>
      <c r="E870" s="4" t="str">
        <f>FEATURES!Q870</f>
        <v>DISENGAGED</v>
      </c>
      <c r="F870" s="4" t="str">
        <f>FEATURES!P870</f>
        <v>Medium_Pressure</v>
      </c>
      <c r="G870" s="4" t="str">
        <f>FEATURES!M870</f>
        <v>LOW</v>
      </c>
      <c r="H870" s="4" t="str">
        <f>FEATURES!O870</f>
        <v>MODERATE-WAIT</v>
      </c>
      <c r="I870" s="4" t="str">
        <f t="shared" si="3"/>
        <v>LOW RISK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3.2" x14ac:dyDescent="0.25">
      <c r="A871" s="4">
        <v>1217</v>
      </c>
      <c r="B871" s="4" t="s">
        <v>45</v>
      </c>
      <c r="C871" s="4" t="str">
        <f>FEATURES!L871</f>
        <v>NORMAL</v>
      </c>
      <c r="D871" s="4" t="str">
        <f>FEATURES!R871</f>
        <v>LOW</v>
      </c>
      <c r="E871" s="4" t="str">
        <f>FEATURES!Q871</f>
        <v>DISENGAGED</v>
      </c>
      <c r="F871" s="4" t="str">
        <f>FEATURES!P871</f>
        <v>Medium_Pressure</v>
      </c>
      <c r="G871" s="4" t="str">
        <f>FEATURES!M871</f>
        <v>MEDIUM</v>
      </c>
      <c r="H871" s="4" t="str">
        <f>FEATURES!O871</f>
        <v>RECENTLY PROMOTED</v>
      </c>
      <c r="I871" s="4" t="str">
        <f t="shared" si="3"/>
        <v>LOW RISK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3.2" x14ac:dyDescent="0.25">
      <c r="A872" s="4">
        <v>1218</v>
      </c>
      <c r="B872" s="4" t="s">
        <v>37</v>
      </c>
      <c r="C872" s="4" t="str">
        <f>FEATURES!L872</f>
        <v>NORMAL</v>
      </c>
      <c r="D872" s="4" t="str">
        <f>FEATURES!R872</f>
        <v>LOW</v>
      </c>
      <c r="E872" s="4" t="str">
        <f>FEATURES!Q872</f>
        <v>DISENGAGED</v>
      </c>
      <c r="F872" s="4" t="str">
        <f>FEATURES!P872</f>
        <v>Medium_Pressure</v>
      </c>
      <c r="G872" s="4" t="str">
        <f>FEATURES!M872</f>
        <v>HIGH</v>
      </c>
      <c r="H872" s="4" t="str">
        <f>FEATURES!O872</f>
        <v>RECENTLY PROMOTED</v>
      </c>
      <c r="I872" s="4" t="str">
        <f t="shared" si="3"/>
        <v>LOW RISK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3.2" x14ac:dyDescent="0.25">
      <c r="A873" s="4">
        <v>1219</v>
      </c>
      <c r="B873" s="4" t="s">
        <v>45</v>
      </c>
      <c r="C873" s="4" t="str">
        <f>FEATURES!L873</f>
        <v>NORMAL</v>
      </c>
      <c r="D873" s="4" t="str">
        <f>FEATURES!R873</f>
        <v>LOW</v>
      </c>
      <c r="E873" s="4" t="str">
        <f>FEATURES!Q873</f>
        <v>DISENGAGED</v>
      </c>
      <c r="F873" s="4" t="str">
        <f>FEATURES!P873</f>
        <v>Low_Pressure</v>
      </c>
      <c r="G873" s="4" t="str">
        <f>FEATURES!M873</f>
        <v>LOW</v>
      </c>
      <c r="H873" s="4" t="str">
        <f>FEATURES!O873</f>
        <v>RECENTLY PROMOTED</v>
      </c>
      <c r="I873" s="4" t="str">
        <f t="shared" si="3"/>
        <v>LOW RISK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3.2" x14ac:dyDescent="0.25">
      <c r="A874" s="4">
        <v>1220</v>
      </c>
      <c r="B874" s="4" t="s">
        <v>37</v>
      </c>
      <c r="C874" s="4" t="str">
        <f>FEATURES!L874</f>
        <v>NORMAL</v>
      </c>
      <c r="D874" s="4" t="str">
        <f>FEATURES!R874</f>
        <v>LOW</v>
      </c>
      <c r="E874" s="4" t="str">
        <f>FEATURES!Q874</f>
        <v>DISENGAGED</v>
      </c>
      <c r="F874" s="4" t="str">
        <f>FEATURES!P874</f>
        <v>Low_Pressure</v>
      </c>
      <c r="G874" s="4" t="str">
        <f>FEATURES!M874</f>
        <v>HIGH</v>
      </c>
      <c r="H874" s="4" t="str">
        <f>FEATURES!O874</f>
        <v>RECENTLY PROMOTED</v>
      </c>
      <c r="I874" s="4" t="str">
        <f t="shared" si="3"/>
        <v>LOW RISK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3.2" x14ac:dyDescent="0.25">
      <c r="A875" s="4">
        <v>1221</v>
      </c>
      <c r="B875" s="4" t="s">
        <v>45</v>
      </c>
      <c r="C875" s="4" t="str">
        <f>FEATURES!L875</f>
        <v>NORMAL</v>
      </c>
      <c r="D875" s="4" t="str">
        <f>FEATURES!R875</f>
        <v>LOW</v>
      </c>
      <c r="E875" s="4" t="str">
        <f>FEATURES!Q875</f>
        <v>HIGHLY_ENGAGED</v>
      </c>
      <c r="F875" s="4" t="str">
        <f>FEATURES!P875</f>
        <v>Medium_Pressure</v>
      </c>
      <c r="G875" s="4" t="str">
        <f>FEATURES!M875</f>
        <v>LOW</v>
      </c>
      <c r="H875" s="4" t="str">
        <f>FEATURES!O875</f>
        <v>RECENTLY PROMOTED</v>
      </c>
      <c r="I875" s="4" t="str">
        <f t="shared" si="3"/>
        <v>LOW RISK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3.2" x14ac:dyDescent="0.25">
      <c r="A876" s="4">
        <v>1224</v>
      </c>
      <c r="B876" s="4" t="s">
        <v>45</v>
      </c>
      <c r="C876" s="4" t="str">
        <f>FEATURES!L876</f>
        <v>NORMAL</v>
      </c>
      <c r="D876" s="4" t="str">
        <f>FEATURES!R876</f>
        <v>LOW</v>
      </c>
      <c r="E876" s="4" t="str">
        <f>FEATURES!Q876</f>
        <v>DISENGAGED</v>
      </c>
      <c r="F876" s="4" t="str">
        <f>FEATURES!P876</f>
        <v>Low_Pressure</v>
      </c>
      <c r="G876" s="4" t="str">
        <f>FEATURES!M876</f>
        <v>LOW</v>
      </c>
      <c r="H876" s="4" t="str">
        <f>FEATURES!O876</f>
        <v>STAGNANT</v>
      </c>
      <c r="I876" s="4" t="str">
        <f t="shared" si="3"/>
        <v>LOW RISK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3.2" x14ac:dyDescent="0.25">
      <c r="A877" s="4">
        <v>1225</v>
      </c>
      <c r="B877" s="4" t="s">
        <v>45</v>
      </c>
      <c r="C877" s="4" t="str">
        <f>FEATURES!L877</f>
        <v>NORMAL</v>
      </c>
      <c r="D877" s="4" t="str">
        <f>FEATURES!R877</f>
        <v>LOW</v>
      </c>
      <c r="E877" s="4" t="str">
        <f>FEATURES!Q877</f>
        <v>HIGHLY_ENGAGED</v>
      </c>
      <c r="F877" s="4" t="str">
        <f>FEATURES!P877</f>
        <v>Medium_Pressure</v>
      </c>
      <c r="G877" s="4" t="str">
        <f>FEATURES!M877</f>
        <v>HIGH</v>
      </c>
      <c r="H877" s="4" t="str">
        <f>FEATURES!O877</f>
        <v>STAGNANT</v>
      </c>
      <c r="I877" s="4" t="str">
        <f t="shared" si="3"/>
        <v>LOW RISK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3.2" x14ac:dyDescent="0.25">
      <c r="A878" s="4">
        <v>1226</v>
      </c>
      <c r="B878" s="4" t="s">
        <v>37</v>
      </c>
      <c r="C878" s="4" t="str">
        <f>FEATURES!L878</f>
        <v>NORMAL</v>
      </c>
      <c r="D878" s="4" t="str">
        <f>FEATURES!R878</f>
        <v>LOW</v>
      </c>
      <c r="E878" s="4" t="str">
        <f>FEATURES!Q878</f>
        <v>HIGHLY_ENGAGED</v>
      </c>
      <c r="F878" s="4" t="str">
        <f>FEATURES!P878</f>
        <v>Medium_Pressure</v>
      </c>
      <c r="G878" s="4" t="str">
        <f>FEATURES!M878</f>
        <v>LOW</v>
      </c>
      <c r="H878" s="4" t="str">
        <f>FEATURES!O878</f>
        <v>MODERATE-WAIT</v>
      </c>
      <c r="I878" s="4" t="str">
        <f t="shared" si="3"/>
        <v>LOW RISK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3.2" x14ac:dyDescent="0.25">
      <c r="A879" s="4">
        <v>1228</v>
      </c>
      <c r="B879" s="4" t="s">
        <v>45</v>
      </c>
      <c r="C879" s="4" t="str">
        <f>FEATURES!L879</f>
        <v>NORMAL</v>
      </c>
      <c r="D879" s="4" t="str">
        <f>FEATURES!R879</f>
        <v>LOW</v>
      </c>
      <c r="E879" s="4" t="str">
        <f>FEATURES!Q879</f>
        <v>DISENGAGED</v>
      </c>
      <c r="F879" s="4" t="str">
        <f>FEATURES!P879</f>
        <v>Low_Pressure</v>
      </c>
      <c r="G879" s="4" t="str">
        <f>FEATURES!M879</f>
        <v>HIGH</v>
      </c>
      <c r="H879" s="4" t="str">
        <f>FEATURES!O879</f>
        <v>RECENTLY PROMOTED</v>
      </c>
      <c r="I879" s="4" t="str">
        <f t="shared" si="3"/>
        <v>LOW RISK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3.2" x14ac:dyDescent="0.25">
      <c r="A880" s="4">
        <v>1231</v>
      </c>
      <c r="B880" s="4" t="s">
        <v>61</v>
      </c>
      <c r="C880" s="4" t="str">
        <f>FEATURES!L880</f>
        <v>NORMAL</v>
      </c>
      <c r="D880" s="4" t="str">
        <f>FEATURES!R880</f>
        <v>LOW</v>
      </c>
      <c r="E880" s="4" t="str">
        <f>FEATURES!Q880</f>
        <v>DISENGAGED</v>
      </c>
      <c r="F880" s="4" t="str">
        <f>FEATURES!P880</f>
        <v>Low_Pressure</v>
      </c>
      <c r="G880" s="4" t="str">
        <f>FEATURES!M880</f>
        <v>HIGH</v>
      </c>
      <c r="H880" s="4" t="str">
        <f>FEATURES!O880</f>
        <v>RECENTLY PROMOTED</v>
      </c>
      <c r="I880" s="4" t="str">
        <f t="shared" si="3"/>
        <v>LOW RISK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3.2" x14ac:dyDescent="0.25">
      <c r="A881" s="4">
        <v>1233</v>
      </c>
      <c r="B881" s="4" t="s">
        <v>37</v>
      </c>
      <c r="C881" s="4" t="str">
        <f>FEATURES!L881</f>
        <v>NORMAL</v>
      </c>
      <c r="D881" s="4" t="str">
        <f>FEATURES!R881</f>
        <v>LOW</v>
      </c>
      <c r="E881" s="4" t="str">
        <f>FEATURES!Q881</f>
        <v>HIGHLY_ENGAGED</v>
      </c>
      <c r="F881" s="4" t="str">
        <f>FEATURES!P881</f>
        <v>Medium_Pressure</v>
      </c>
      <c r="G881" s="4" t="str">
        <f>FEATURES!M881</f>
        <v>HIGH</v>
      </c>
      <c r="H881" s="4" t="str">
        <f>FEATURES!O881</f>
        <v>RECENTLY PROMOTED</v>
      </c>
      <c r="I881" s="4" t="str">
        <f t="shared" si="3"/>
        <v>LOW RISK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3.2" x14ac:dyDescent="0.25">
      <c r="A882" s="4">
        <v>1234</v>
      </c>
      <c r="B882" s="4" t="s">
        <v>45</v>
      </c>
      <c r="C882" s="4" t="str">
        <f>FEATURES!L882</f>
        <v>NORMAL</v>
      </c>
      <c r="D882" s="4" t="str">
        <f>FEATURES!R882</f>
        <v>LOW</v>
      </c>
      <c r="E882" s="4" t="str">
        <f>FEATURES!Q882</f>
        <v>DISENGAGED</v>
      </c>
      <c r="F882" s="4" t="str">
        <f>FEATURES!P882</f>
        <v>Medium_Pressure</v>
      </c>
      <c r="G882" s="4" t="str">
        <f>FEATURES!M882</f>
        <v>LOW</v>
      </c>
      <c r="H882" s="4" t="str">
        <f>FEATURES!O882</f>
        <v>MODERATE-WAIT</v>
      </c>
      <c r="I882" s="4" t="str">
        <f t="shared" si="3"/>
        <v>LOW RISK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3.2" x14ac:dyDescent="0.25">
      <c r="A883" s="4">
        <v>1235</v>
      </c>
      <c r="B883" s="4" t="s">
        <v>45</v>
      </c>
      <c r="C883" s="4" t="str">
        <f>FEATURES!L883</f>
        <v>NORMAL</v>
      </c>
      <c r="D883" s="4" t="str">
        <f>FEATURES!R883</f>
        <v>LOW</v>
      </c>
      <c r="E883" s="4" t="str">
        <f>FEATURES!Q883</f>
        <v>HIGHLY_ENGAGED</v>
      </c>
      <c r="F883" s="4" t="str">
        <f>FEATURES!P883</f>
        <v>Medium_Pressure</v>
      </c>
      <c r="G883" s="4" t="str">
        <f>FEATURES!M883</f>
        <v>HIGH</v>
      </c>
      <c r="H883" s="4" t="str">
        <f>FEATURES!O883</f>
        <v>RECENTLY PROMOTED</v>
      </c>
      <c r="I883" s="4" t="str">
        <f t="shared" si="3"/>
        <v>LOW RISK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3.2" x14ac:dyDescent="0.25">
      <c r="A884" s="4">
        <v>1237</v>
      </c>
      <c r="B884" s="4" t="s">
        <v>45</v>
      </c>
      <c r="C884" s="4" t="str">
        <f>FEATURES!L884</f>
        <v>HIGH RISK</v>
      </c>
      <c r="D884" s="4" t="str">
        <f>FEATURES!R884</f>
        <v>LOW</v>
      </c>
      <c r="E884" s="4" t="str">
        <f>FEATURES!Q884</f>
        <v>DISENGAGED</v>
      </c>
      <c r="F884" s="4" t="str">
        <f>FEATURES!P884</f>
        <v>Medium_Pressure</v>
      </c>
      <c r="G884" s="4" t="str">
        <f>FEATURES!M884</f>
        <v>MEDIUM</v>
      </c>
      <c r="H884" s="4" t="str">
        <f>FEATURES!O884</f>
        <v>STAGNANT</v>
      </c>
      <c r="I884" s="4" t="str">
        <f t="shared" si="3"/>
        <v>LOW RISK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3.2" x14ac:dyDescent="0.25">
      <c r="A885" s="4">
        <v>1238</v>
      </c>
      <c r="B885" s="4" t="s">
        <v>45</v>
      </c>
      <c r="C885" s="4" t="str">
        <f>FEATURES!L885</f>
        <v>NORMAL</v>
      </c>
      <c r="D885" s="4" t="str">
        <f>FEATURES!R885</f>
        <v>LOW</v>
      </c>
      <c r="E885" s="4" t="str">
        <f>FEATURES!Q885</f>
        <v>HIGHLY_ENGAGED</v>
      </c>
      <c r="F885" s="4" t="str">
        <f>FEATURES!P885</f>
        <v>Medium_Pressure</v>
      </c>
      <c r="G885" s="4" t="str">
        <f>FEATURES!M885</f>
        <v>LOW</v>
      </c>
      <c r="H885" s="4" t="str">
        <f>FEATURES!O885</f>
        <v>STAGNANT</v>
      </c>
      <c r="I885" s="4" t="str">
        <f t="shared" si="3"/>
        <v>LOW RISK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3.2" x14ac:dyDescent="0.25">
      <c r="A886" s="4">
        <v>1239</v>
      </c>
      <c r="B886" s="4" t="s">
        <v>37</v>
      </c>
      <c r="C886" s="4" t="str">
        <f>FEATURES!L886</f>
        <v>NORMAL</v>
      </c>
      <c r="D886" s="4" t="str">
        <f>FEATURES!R886</f>
        <v>LOW</v>
      </c>
      <c r="E886" s="4" t="str">
        <f>FEATURES!Q886</f>
        <v>DISENGAGED</v>
      </c>
      <c r="F886" s="4" t="str">
        <f>FEATURES!P886</f>
        <v>Low_Pressure</v>
      </c>
      <c r="G886" s="4" t="str">
        <f>FEATURES!M886</f>
        <v>HIGH</v>
      </c>
      <c r="H886" s="4" t="str">
        <f>FEATURES!O886</f>
        <v>RECENTLY PROMOTED</v>
      </c>
      <c r="I886" s="4" t="str">
        <f t="shared" si="3"/>
        <v>LOW RISK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3.2" x14ac:dyDescent="0.25">
      <c r="A887" s="4">
        <v>1240</v>
      </c>
      <c r="B887" s="4" t="s">
        <v>37</v>
      </c>
      <c r="C887" s="4" t="str">
        <f>FEATURES!L887</f>
        <v>NORMAL</v>
      </c>
      <c r="D887" s="4" t="str">
        <f>FEATURES!R887</f>
        <v>LOW</v>
      </c>
      <c r="E887" s="4" t="str">
        <f>FEATURES!Q887</f>
        <v>HIGHLY_ENGAGED</v>
      </c>
      <c r="F887" s="4" t="str">
        <f>FEATURES!P887</f>
        <v>Medium_Pressure</v>
      </c>
      <c r="G887" s="4" t="str">
        <f>FEATURES!M887</f>
        <v>HIGH</v>
      </c>
      <c r="H887" s="4" t="str">
        <f>FEATURES!O887</f>
        <v>RECENTLY PROMOTED</v>
      </c>
      <c r="I887" s="4" t="str">
        <f t="shared" si="3"/>
        <v>LOW RISK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3.2" x14ac:dyDescent="0.25">
      <c r="A888" s="4">
        <v>1241</v>
      </c>
      <c r="B888" s="4" t="s">
        <v>45</v>
      </c>
      <c r="C888" s="4" t="str">
        <f>FEATURES!L888</f>
        <v>HIGH RISK</v>
      </c>
      <c r="D888" s="4" t="str">
        <f>FEATURES!R888</f>
        <v>LOW</v>
      </c>
      <c r="E888" s="4" t="str">
        <f>FEATURES!Q888</f>
        <v>DISENGAGED</v>
      </c>
      <c r="F888" s="4" t="str">
        <f>FEATURES!P888</f>
        <v>Medium_Pressure</v>
      </c>
      <c r="G888" s="4" t="str">
        <f>FEATURES!M888</f>
        <v>LOW</v>
      </c>
      <c r="H888" s="4" t="str">
        <f>FEATURES!O888</f>
        <v>STAGNANT</v>
      </c>
      <c r="I888" s="4" t="str">
        <f t="shared" si="3"/>
        <v>LOW RISK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3.2" x14ac:dyDescent="0.25">
      <c r="A889" s="4">
        <v>1242</v>
      </c>
      <c r="B889" s="4" t="s">
        <v>45</v>
      </c>
      <c r="C889" s="4" t="str">
        <f>FEATURES!L889</f>
        <v>NORMAL</v>
      </c>
      <c r="D889" s="4" t="str">
        <f>FEATURES!R889</f>
        <v>LOW</v>
      </c>
      <c r="E889" s="4" t="str">
        <f>FEATURES!Q889</f>
        <v>DISENGAGED</v>
      </c>
      <c r="F889" s="4" t="str">
        <f>FEATURES!P889</f>
        <v>Medium_Pressure</v>
      </c>
      <c r="G889" s="4" t="str">
        <f>FEATURES!M889</f>
        <v>MEDIUM</v>
      </c>
      <c r="H889" s="4" t="str">
        <f>FEATURES!O889</f>
        <v>RECENTLY PROMOTED</v>
      </c>
      <c r="I889" s="4" t="str">
        <f t="shared" si="3"/>
        <v>LOW RISK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3.2" x14ac:dyDescent="0.25">
      <c r="A890" s="4">
        <v>1243</v>
      </c>
      <c r="B890" s="4" t="s">
        <v>37</v>
      </c>
      <c r="C890" s="4" t="str">
        <f>FEATURES!L890</f>
        <v>NORMAL</v>
      </c>
      <c r="D890" s="4" t="str">
        <f>FEATURES!R890</f>
        <v>LOW</v>
      </c>
      <c r="E890" s="4" t="str">
        <f>FEATURES!Q890</f>
        <v>DISENGAGED</v>
      </c>
      <c r="F890" s="4" t="str">
        <f>FEATURES!P890</f>
        <v>High_Pressure</v>
      </c>
      <c r="G890" s="4" t="str">
        <f>FEATURES!M890</f>
        <v>MEDIUM</v>
      </c>
      <c r="H890" s="4" t="str">
        <f>FEATURES!O890</f>
        <v>STAGNANT</v>
      </c>
      <c r="I890" s="4" t="str">
        <f t="shared" si="3"/>
        <v>LOW RISK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3.2" x14ac:dyDescent="0.25">
      <c r="A891" s="4">
        <v>1244</v>
      </c>
      <c r="B891" s="4" t="s">
        <v>45</v>
      </c>
      <c r="C891" s="4" t="str">
        <f>FEATURES!L891</f>
        <v>HIGH RISK</v>
      </c>
      <c r="D891" s="4" t="str">
        <f>FEATURES!R891</f>
        <v>LOW</v>
      </c>
      <c r="E891" s="4" t="str">
        <f>FEATURES!Q891</f>
        <v>DISENGAGED</v>
      </c>
      <c r="F891" s="4" t="str">
        <f>FEATURES!P891</f>
        <v>High_Pressure</v>
      </c>
      <c r="G891" s="4" t="str">
        <f>FEATURES!M891</f>
        <v>LOW</v>
      </c>
      <c r="H891" s="4" t="str">
        <f>FEATURES!O891</f>
        <v>STAGNANT</v>
      </c>
      <c r="I891" s="4" t="str">
        <f t="shared" si="3"/>
        <v>LOW RISK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3.2" x14ac:dyDescent="0.25">
      <c r="A892" s="4">
        <v>1245</v>
      </c>
      <c r="B892" s="4" t="s">
        <v>45</v>
      </c>
      <c r="C892" s="4" t="str">
        <f>FEATURES!L892</f>
        <v>NORMAL</v>
      </c>
      <c r="D892" s="4" t="str">
        <f>FEATURES!R892</f>
        <v>LOW</v>
      </c>
      <c r="E892" s="4" t="str">
        <f>FEATURES!Q892</f>
        <v>DISENGAGED</v>
      </c>
      <c r="F892" s="4" t="str">
        <f>FEATURES!P892</f>
        <v>Low_Pressure</v>
      </c>
      <c r="G892" s="4" t="str">
        <f>FEATURES!M892</f>
        <v>MEDIUM</v>
      </c>
      <c r="H892" s="4" t="str">
        <f>FEATURES!O892</f>
        <v>RECENTLY PROMOTED</v>
      </c>
      <c r="I892" s="4" t="str">
        <f t="shared" si="3"/>
        <v>LOW RISK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3.2" x14ac:dyDescent="0.25">
      <c r="A893" s="4">
        <v>1246</v>
      </c>
      <c r="B893" s="4" t="s">
        <v>45</v>
      </c>
      <c r="C893" s="4" t="str">
        <f>FEATURES!L893</f>
        <v>NORMAL</v>
      </c>
      <c r="D893" s="4" t="str">
        <f>FEATURES!R893</f>
        <v>LOW</v>
      </c>
      <c r="E893" s="4" t="str">
        <f>FEATURES!Q893</f>
        <v>HIGHLY_ENGAGED</v>
      </c>
      <c r="F893" s="4" t="str">
        <f>FEATURES!P893</f>
        <v>Medium_Pressure</v>
      </c>
      <c r="G893" s="4" t="str">
        <f>FEATURES!M893</f>
        <v>LOW</v>
      </c>
      <c r="H893" s="4" t="str">
        <f>FEATURES!O893</f>
        <v>STAGNANT</v>
      </c>
      <c r="I893" s="4" t="str">
        <f t="shared" si="3"/>
        <v>LOW RISK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3.2" x14ac:dyDescent="0.25">
      <c r="A894" s="4">
        <v>1248</v>
      </c>
      <c r="B894" s="4" t="s">
        <v>45</v>
      </c>
      <c r="C894" s="4" t="str">
        <f>FEATURES!L894</f>
        <v>NORMAL</v>
      </c>
      <c r="D894" s="4" t="str">
        <f>FEATURES!R894</f>
        <v>LOW</v>
      </c>
      <c r="E894" s="4" t="str">
        <f>FEATURES!Q894</f>
        <v>DISENGAGED</v>
      </c>
      <c r="F894" s="4" t="str">
        <f>FEATURES!P894</f>
        <v>Medium_Pressure</v>
      </c>
      <c r="G894" s="4" t="str">
        <f>FEATURES!M894</f>
        <v>LOW</v>
      </c>
      <c r="H894" s="4" t="str">
        <f>FEATURES!O894</f>
        <v>RECENTLY PROMOTED</v>
      </c>
      <c r="I894" s="4" t="str">
        <f t="shared" si="3"/>
        <v>LOW RISK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3.2" x14ac:dyDescent="0.25">
      <c r="A895" s="4">
        <v>1249</v>
      </c>
      <c r="B895" s="4" t="s">
        <v>45</v>
      </c>
      <c r="C895" s="4" t="str">
        <f>FEATURES!L895</f>
        <v>NORMAL</v>
      </c>
      <c r="D895" s="4" t="str">
        <f>FEATURES!R895</f>
        <v>LOW</v>
      </c>
      <c r="E895" s="4" t="str">
        <f>FEATURES!Q895</f>
        <v>HIGHLY_ENGAGED</v>
      </c>
      <c r="F895" s="4" t="str">
        <f>FEATURES!P895</f>
        <v>Medium_Pressure</v>
      </c>
      <c r="G895" s="4" t="str">
        <f>FEATURES!M895</f>
        <v>LOW</v>
      </c>
      <c r="H895" s="4" t="str">
        <f>FEATURES!O895</f>
        <v>RECENTLY PROMOTED</v>
      </c>
      <c r="I895" s="4" t="str">
        <f t="shared" si="3"/>
        <v>LOW RISK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3.2" x14ac:dyDescent="0.25">
      <c r="A896" s="4">
        <v>1250</v>
      </c>
      <c r="B896" s="4" t="s">
        <v>45</v>
      </c>
      <c r="C896" s="4" t="str">
        <f>FEATURES!L896</f>
        <v>NORMAL</v>
      </c>
      <c r="D896" s="4" t="str">
        <f>FEATURES!R896</f>
        <v>LOW</v>
      </c>
      <c r="E896" s="4" t="str">
        <f>FEATURES!Q896</f>
        <v>HIGHLY_ENGAGED</v>
      </c>
      <c r="F896" s="4" t="str">
        <f>FEATURES!P896</f>
        <v>Medium_Pressure</v>
      </c>
      <c r="G896" s="4" t="str">
        <f>FEATURES!M896</f>
        <v>MEDIUM</v>
      </c>
      <c r="H896" s="4" t="str">
        <f>FEATURES!O896</f>
        <v>RECENTLY PROMOTED</v>
      </c>
      <c r="I896" s="4" t="str">
        <f t="shared" si="3"/>
        <v>LOW RISK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3.2" x14ac:dyDescent="0.25">
      <c r="A897" s="4">
        <v>1251</v>
      </c>
      <c r="B897" s="4" t="s">
        <v>45</v>
      </c>
      <c r="C897" s="4" t="str">
        <f>FEATURES!L897</f>
        <v>NORMAL</v>
      </c>
      <c r="D897" s="4" t="str">
        <f>FEATURES!R897</f>
        <v>LOW</v>
      </c>
      <c r="E897" s="4" t="str">
        <f>FEATURES!Q897</f>
        <v>DISENGAGED</v>
      </c>
      <c r="F897" s="4" t="str">
        <f>FEATURES!P897</f>
        <v>High_Pressure</v>
      </c>
      <c r="G897" s="4" t="str">
        <f>FEATURES!M897</f>
        <v>HIGH</v>
      </c>
      <c r="H897" s="4" t="str">
        <f>FEATURES!O897</f>
        <v>RECENTLY PROMOTED</v>
      </c>
      <c r="I897" s="4" t="str">
        <f t="shared" si="3"/>
        <v>LOW RISK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3.2" x14ac:dyDescent="0.25">
      <c r="A898" s="4">
        <v>1252</v>
      </c>
      <c r="B898" s="4" t="s">
        <v>45</v>
      </c>
      <c r="C898" s="4" t="str">
        <f>FEATURES!L898</f>
        <v>NORMAL</v>
      </c>
      <c r="D898" s="4" t="str">
        <f>FEATURES!R898</f>
        <v>LOW</v>
      </c>
      <c r="E898" s="4" t="str">
        <f>FEATURES!Q898</f>
        <v>DISENGAGED</v>
      </c>
      <c r="F898" s="4" t="str">
        <f>FEATURES!P898</f>
        <v>Medium_Pressure</v>
      </c>
      <c r="G898" s="4" t="str">
        <f>FEATURES!M898</f>
        <v>HIGH</v>
      </c>
      <c r="H898" s="4" t="str">
        <f>FEATURES!O898</f>
        <v>RECENTLY PROMOTED</v>
      </c>
      <c r="I898" s="4" t="str">
        <f t="shared" si="3"/>
        <v>LOW RISK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3.2" x14ac:dyDescent="0.25">
      <c r="A899" s="4">
        <v>1254</v>
      </c>
      <c r="B899" s="4" t="s">
        <v>37</v>
      </c>
      <c r="C899" s="4" t="str">
        <f>FEATURES!L899</f>
        <v>NORMAL</v>
      </c>
      <c r="D899" s="4" t="str">
        <f>FEATURES!R899</f>
        <v>LOW</v>
      </c>
      <c r="E899" s="4" t="str">
        <f>FEATURES!Q899</f>
        <v>HIGHLY_ENGAGED</v>
      </c>
      <c r="F899" s="4" t="str">
        <f>FEATURES!P899</f>
        <v>Medium_Pressure</v>
      </c>
      <c r="G899" s="4" t="str">
        <f>FEATURES!M899</f>
        <v>HIGH</v>
      </c>
      <c r="H899" s="4" t="str">
        <f>FEATURES!O899</f>
        <v>RECENTLY PROMOTED</v>
      </c>
      <c r="I899" s="4" t="str">
        <f t="shared" si="3"/>
        <v>LOW RISK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3.2" x14ac:dyDescent="0.25">
      <c r="A900" s="4">
        <v>1255</v>
      </c>
      <c r="B900" s="4" t="s">
        <v>45</v>
      </c>
      <c r="C900" s="4" t="str">
        <f>FEATURES!L900</f>
        <v>NORMAL</v>
      </c>
      <c r="D900" s="4" t="str">
        <f>FEATURES!R900</f>
        <v>LOW</v>
      </c>
      <c r="E900" s="4" t="str">
        <f>FEATURES!Q900</f>
        <v>HIGHLY_ENGAGED</v>
      </c>
      <c r="F900" s="4" t="str">
        <f>FEATURES!P900</f>
        <v>Medium_Pressure</v>
      </c>
      <c r="G900" s="4" t="str">
        <f>FEATURES!M900</f>
        <v>MEDIUM</v>
      </c>
      <c r="H900" s="4" t="str">
        <f>FEATURES!O900</f>
        <v>RECENTLY PROMOTED</v>
      </c>
      <c r="I900" s="4" t="str">
        <f t="shared" si="3"/>
        <v>LOW RISK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3.2" x14ac:dyDescent="0.25">
      <c r="A901" s="4">
        <v>1256</v>
      </c>
      <c r="B901" s="4" t="s">
        <v>45</v>
      </c>
      <c r="C901" s="4" t="str">
        <f>FEATURES!L901</f>
        <v>NORMAL</v>
      </c>
      <c r="D901" s="4" t="str">
        <f>FEATURES!R901</f>
        <v>LOW</v>
      </c>
      <c r="E901" s="4" t="str">
        <f>FEATURES!Q901</f>
        <v>HIGHLY_ENGAGED</v>
      </c>
      <c r="F901" s="4" t="str">
        <f>FEATURES!P901</f>
        <v>Low_Pressure</v>
      </c>
      <c r="G901" s="4" t="str">
        <f>FEATURES!M901</f>
        <v>MEDIUM</v>
      </c>
      <c r="H901" s="4" t="str">
        <f>FEATURES!O901</f>
        <v>RECENTLY PROMOTED</v>
      </c>
      <c r="I901" s="4" t="str">
        <f t="shared" si="3"/>
        <v>LOW RISK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3.2" x14ac:dyDescent="0.25">
      <c r="A902" s="4">
        <v>1257</v>
      </c>
      <c r="B902" s="4" t="s">
        <v>45</v>
      </c>
      <c r="C902" s="4" t="str">
        <f>FEATURES!L902</f>
        <v>NORMAL</v>
      </c>
      <c r="D902" s="4" t="str">
        <f>FEATURES!R902</f>
        <v>LOW</v>
      </c>
      <c r="E902" s="4" t="str">
        <f>FEATURES!Q902</f>
        <v>DISENGAGED</v>
      </c>
      <c r="F902" s="4" t="str">
        <f>FEATURES!P902</f>
        <v>Low_Pressure</v>
      </c>
      <c r="G902" s="4" t="str">
        <f>FEATURES!M902</f>
        <v>LOW</v>
      </c>
      <c r="H902" s="4" t="str">
        <f>FEATURES!O902</f>
        <v>RECENTLY PROMOTED</v>
      </c>
      <c r="I902" s="4" t="str">
        <f t="shared" si="3"/>
        <v>LOW RISK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3.2" x14ac:dyDescent="0.25">
      <c r="A903" s="4">
        <v>1258</v>
      </c>
      <c r="B903" s="4" t="s">
        <v>45</v>
      </c>
      <c r="C903" s="4" t="str">
        <f>FEATURES!L903</f>
        <v>NORMAL</v>
      </c>
      <c r="D903" s="4" t="str">
        <f>FEATURES!R903</f>
        <v>LOW</v>
      </c>
      <c r="E903" s="4" t="str">
        <f>FEATURES!Q903</f>
        <v>DISENGAGED</v>
      </c>
      <c r="F903" s="4" t="str">
        <f>FEATURES!P903</f>
        <v>Low_Pressure</v>
      </c>
      <c r="G903" s="4" t="str">
        <f>FEATURES!M903</f>
        <v>LOW</v>
      </c>
      <c r="H903" s="4" t="str">
        <f>FEATURES!O903</f>
        <v>RECENTLY PROMOTED</v>
      </c>
      <c r="I903" s="4" t="str">
        <f t="shared" si="3"/>
        <v>LOW RISK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3.2" x14ac:dyDescent="0.25">
      <c r="A904" s="4">
        <v>1259</v>
      </c>
      <c r="B904" s="4" t="s">
        <v>45</v>
      </c>
      <c r="C904" s="4" t="str">
        <f>FEATURES!L904</f>
        <v>NORMAL</v>
      </c>
      <c r="D904" s="4" t="str">
        <f>FEATURES!R904</f>
        <v>LOW</v>
      </c>
      <c r="E904" s="4" t="str">
        <f>FEATURES!Q904</f>
        <v>HIGHLY_ENGAGED</v>
      </c>
      <c r="F904" s="4" t="str">
        <f>FEATURES!P904</f>
        <v>Medium_Pressure</v>
      </c>
      <c r="G904" s="4" t="str">
        <f>FEATURES!M904</f>
        <v>LOW</v>
      </c>
      <c r="H904" s="4" t="str">
        <f>FEATURES!O904</f>
        <v>RECENTLY PROMOTED</v>
      </c>
      <c r="I904" s="4" t="str">
        <f t="shared" si="3"/>
        <v>LOW RISK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3.2" x14ac:dyDescent="0.25">
      <c r="A905" s="4">
        <v>1260</v>
      </c>
      <c r="B905" s="4" t="s">
        <v>45</v>
      </c>
      <c r="C905" s="4" t="str">
        <f>FEATURES!L905</f>
        <v>NORMAL</v>
      </c>
      <c r="D905" s="4" t="str">
        <f>FEATURES!R905</f>
        <v>LOW</v>
      </c>
      <c r="E905" s="4" t="str">
        <f>FEATURES!Q905</f>
        <v>HIGHLY_ENGAGED</v>
      </c>
      <c r="F905" s="4" t="str">
        <f>FEATURES!P905</f>
        <v>Medium_Pressure</v>
      </c>
      <c r="G905" s="4" t="str">
        <f>FEATURES!M905</f>
        <v>HIGH</v>
      </c>
      <c r="H905" s="4" t="str">
        <f>FEATURES!O905</f>
        <v>RECENTLY PROMOTED</v>
      </c>
      <c r="I905" s="4" t="str">
        <f t="shared" si="3"/>
        <v>LOW RISK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3.2" x14ac:dyDescent="0.25">
      <c r="A906" s="4">
        <v>1263</v>
      </c>
      <c r="B906" s="4" t="s">
        <v>45</v>
      </c>
      <c r="C906" s="4" t="str">
        <f>FEATURES!L906</f>
        <v>NORMAL</v>
      </c>
      <c r="D906" s="4" t="str">
        <f>FEATURES!R906</f>
        <v>LOW</v>
      </c>
      <c r="E906" s="4" t="str">
        <f>FEATURES!Q906</f>
        <v>HIGHLY_ENGAGED</v>
      </c>
      <c r="F906" s="4" t="str">
        <f>FEATURES!P906</f>
        <v>Low_Pressure</v>
      </c>
      <c r="G906" s="4" t="str">
        <f>FEATURES!M906</f>
        <v>MEDIUM</v>
      </c>
      <c r="H906" s="4" t="str">
        <f>FEATURES!O906</f>
        <v>RECENTLY PROMOTED</v>
      </c>
      <c r="I906" s="4" t="str">
        <f t="shared" si="3"/>
        <v>LOW RISK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3.2" x14ac:dyDescent="0.25">
      <c r="A907" s="4">
        <v>1264</v>
      </c>
      <c r="B907" s="4" t="s">
        <v>45</v>
      </c>
      <c r="C907" s="4" t="str">
        <f>FEATURES!L907</f>
        <v>NORMAL</v>
      </c>
      <c r="D907" s="4" t="str">
        <f>FEATURES!R907</f>
        <v>LOW</v>
      </c>
      <c r="E907" s="4" t="str">
        <f>FEATURES!Q907</f>
        <v>DISENGAGED</v>
      </c>
      <c r="F907" s="4" t="str">
        <f>FEATURES!P907</f>
        <v>Low_Pressure</v>
      </c>
      <c r="G907" s="4" t="str">
        <f>FEATURES!M907</f>
        <v>MEDIUM</v>
      </c>
      <c r="H907" s="4" t="str">
        <f>FEATURES!O907</f>
        <v>RECENTLY PROMOTED</v>
      </c>
      <c r="I907" s="4" t="str">
        <f t="shared" si="3"/>
        <v>LOW RISK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3.2" x14ac:dyDescent="0.25">
      <c r="A908" s="4">
        <v>1265</v>
      </c>
      <c r="B908" s="4" t="s">
        <v>45</v>
      </c>
      <c r="C908" s="4" t="str">
        <f>FEATURES!L908</f>
        <v>NORMAL</v>
      </c>
      <c r="D908" s="4" t="str">
        <f>FEATURES!R908</f>
        <v>LOW</v>
      </c>
      <c r="E908" s="4" t="str">
        <f>FEATURES!Q908</f>
        <v>DISENGAGED</v>
      </c>
      <c r="F908" s="4" t="str">
        <f>FEATURES!P908</f>
        <v>Low_Pressure</v>
      </c>
      <c r="G908" s="4" t="str">
        <f>FEATURES!M908</f>
        <v>LOW</v>
      </c>
      <c r="H908" s="4" t="str">
        <f>FEATURES!O908</f>
        <v>RECENTLY PROMOTED</v>
      </c>
      <c r="I908" s="4" t="str">
        <f t="shared" si="3"/>
        <v>LOW RISK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3.2" x14ac:dyDescent="0.25">
      <c r="A909" s="4">
        <v>1267</v>
      </c>
      <c r="B909" s="4" t="s">
        <v>37</v>
      </c>
      <c r="C909" s="4" t="str">
        <f>FEATURES!L909</f>
        <v>NORMAL</v>
      </c>
      <c r="D909" s="4" t="str">
        <f>FEATURES!R909</f>
        <v>LOW</v>
      </c>
      <c r="E909" s="4" t="str">
        <f>FEATURES!Q909</f>
        <v>DISENGAGED</v>
      </c>
      <c r="F909" s="4" t="str">
        <f>FEATURES!P909</f>
        <v>Medium_Pressure</v>
      </c>
      <c r="G909" s="4" t="str">
        <f>FEATURES!M909</f>
        <v>MEDIUM</v>
      </c>
      <c r="H909" s="4" t="str">
        <f>FEATURES!O909</f>
        <v>MODERATE-WAIT</v>
      </c>
      <c r="I909" s="4" t="str">
        <f t="shared" si="3"/>
        <v>LOW RISK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3.2" x14ac:dyDescent="0.25">
      <c r="A910" s="4">
        <v>1268</v>
      </c>
      <c r="B910" s="4" t="s">
        <v>37</v>
      </c>
      <c r="C910" s="4" t="str">
        <f>FEATURES!L910</f>
        <v>NORMAL</v>
      </c>
      <c r="D910" s="4" t="str">
        <f>FEATURES!R910</f>
        <v>LOW</v>
      </c>
      <c r="E910" s="4" t="str">
        <f>FEATURES!Q910</f>
        <v>HIGHLY_ENGAGED</v>
      </c>
      <c r="F910" s="4" t="str">
        <f>FEATURES!P910</f>
        <v>Medium_Pressure</v>
      </c>
      <c r="G910" s="4" t="str">
        <f>FEATURES!M910</f>
        <v>HIGH</v>
      </c>
      <c r="H910" s="4" t="str">
        <f>FEATURES!O910</f>
        <v>RECENTLY PROMOTED</v>
      </c>
      <c r="I910" s="4" t="str">
        <f t="shared" si="3"/>
        <v>LOW RISK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3.2" x14ac:dyDescent="0.25">
      <c r="A911" s="4">
        <v>1269</v>
      </c>
      <c r="B911" s="4" t="s">
        <v>45</v>
      </c>
      <c r="C911" s="4" t="str">
        <f>FEATURES!L911</f>
        <v>NORMAL</v>
      </c>
      <c r="D911" s="4" t="str">
        <f>FEATURES!R911</f>
        <v>LOW</v>
      </c>
      <c r="E911" s="4" t="str">
        <f>FEATURES!Q911</f>
        <v>HIGHLY_ENGAGED</v>
      </c>
      <c r="F911" s="4" t="str">
        <f>FEATURES!P911</f>
        <v>Medium_Pressure</v>
      </c>
      <c r="G911" s="4" t="str">
        <f>FEATURES!M911</f>
        <v>LOW</v>
      </c>
      <c r="H911" s="4" t="str">
        <f>FEATURES!O911</f>
        <v>RECENTLY PROMOTED</v>
      </c>
      <c r="I911" s="4" t="str">
        <f t="shared" si="3"/>
        <v>LOW RISK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3.2" x14ac:dyDescent="0.25">
      <c r="A912" s="4">
        <v>1270</v>
      </c>
      <c r="B912" s="4" t="s">
        <v>45</v>
      </c>
      <c r="C912" s="4" t="str">
        <f>FEATURES!L912</f>
        <v>NORMAL</v>
      </c>
      <c r="D912" s="4" t="str">
        <f>FEATURES!R912</f>
        <v>LOW</v>
      </c>
      <c r="E912" s="4" t="str">
        <f>FEATURES!Q912</f>
        <v>HIGHLY_ENGAGED</v>
      </c>
      <c r="F912" s="4" t="str">
        <f>FEATURES!P912</f>
        <v>Medium_Pressure</v>
      </c>
      <c r="G912" s="4" t="str">
        <f>FEATURES!M912</f>
        <v>LOW</v>
      </c>
      <c r="H912" s="4" t="str">
        <f>FEATURES!O912</f>
        <v>RECENTLY PROMOTED</v>
      </c>
      <c r="I912" s="4" t="str">
        <f t="shared" si="3"/>
        <v>LOW RISK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3.2" x14ac:dyDescent="0.25">
      <c r="A913" s="4">
        <v>1273</v>
      </c>
      <c r="B913" s="4" t="s">
        <v>37</v>
      </c>
      <c r="C913" s="4" t="str">
        <f>FEATURES!L913</f>
        <v>NORMAL</v>
      </c>
      <c r="D913" s="4" t="str">
        <f>FEATURES!R913</f>
        <v>LOW</v>
      </c>
      <c r="E913" s="4" t="str">
        <f>FEATURES!Q913</f>
        <v>HIGHLY_ENGAGED</v>
      </c>
      <c r="F913" s="4" t="str">
        <f>FEATURES!P913</f>
        <v>Medium_Pressure</v>
      </c>
      <c r="G913" s="4" t="str">
        <f>FEATURES!M913</f>
        <v>LOW</v>
      </c>
      <c r="H913" s="4" t="str">
        <f>FEATURES!O913</f>
        <v>RECENTLY PROMOTED</v>
      </c>
      <c r="I913" s="4" t="str">
        <f t="shared" si="3"/>
        <v>LOW RISK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3.2" x14ac:dyDescent="0.25">
      <c r="A914" s="4">
        <v>1275</v>
      </c>
      <c r="B914" s="4" t="s">
        <v>45</v>
      </c>
      <c r="C914" s="4" t="str">
        <f>FEATURES!L914</f>
        <v>NORMAL</v>
      </c>
      <c r="D914" s="4" t="str">
        <f>FEATURES!R914</f>
        <v>LOW</v>
      </c>
      <c r="E914" s="4" t="str">
        <f>FEATURES!Q914</f>
        <v>DISENGAGED</v>
      </c>
      <c r="F914" s="4" t="str">
        <f>FEATURES!P914</f>
        <v>High_Pressure</v>
      </c>
      <c r="G914" s="4" t="str">
        <f>FEATURES!M914</f>
        <v>LOW</v>
      </c>
      <c r="H914" s="4" t="str">
        <f>FEATURES!O914</f>
        <v>MODERATE-WAIT</v>
      </c>
      <c r="I914" s="4" t="str">
        <f t="shared" si="3"/>
        <v>LOW RISK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3.2" x14ac:dyDescent="0.25">
      <c r="A915" s="4">
        <v>1277</v>
      </c>
      <c r="B915" s="4" t="s">
        <v>37</v>
      </c>
      <c r="C915" s="4" t="str">
        <f>FEATURES!L915</f>
        <v>NORMAL</v>
      </c>
      <c r="D915" s="4" t="str">
        <f>FEATURES!R915</f>
        <v>LOW</v>
      </c>
      <c r="E915" s="4" t="str">
        <f>FEATURES!Q915</f>
        <v>DISENGAGED</v>
      </c>
      <c r="F915" s="4" t="str">
        <f>FEATURES!P915</f>
        <v>Medium_Pressure</v>
      </c>
      <c r="G915" s="4" t="str">
        <f>FEATURES!M915</f>
        <v>MEDIUM</v>
      </c>
      <c r="H915" s="4" t="str">
        <f>FEATURES!O915</f>
        <v>RECENTLY PROMOTED</v>
      </c>
      <c r="I915" s="4" t="str">
        <f t="shared" si="3"/>
        <v>LOW RISK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3.2" x14ac:dyDescent="0.25">
      <c r="A916" s="4">
        <v>1278</v>
      </c>
      <c r="B916" s="4" t="s">
        <v>45</v>
      </c>
      <c r="C916" s="4" t="str">
        <f>FEATURES!L916</f>
        <v>HIGH RISK</v>
      </c>
      <c r="D916" s="4" t="str">
        <f>FEATURES!R916</f>
        <v>LOW</v>
      </c>
      <c r="E916" s="4" t="str">
        <f>FEATURES!Q916</f>
        <v>DISENGAGED</v>
      </c>
      <c r="F916" s="4" t="str">
        <f>FEATURES!P916</f>
        <v>Medium_Pressure</v>
      </c>
      <c r="G916" s="4" t="str">
        <f>FEATURES!M916</f>
        <v>MEDIUM</v>
      </c>
      <c r="H916" s="4" t="str">
        <f>FEATURES!O916</f>
        <v>STAGNANT</v>
      </c>
      <c r="I916" s="4" t="str">
        <f t="shared" si="3"/>
        <v>LOW RISK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3.2" x14ac:dyDescent="0.25">
      <c r="A917" s="4">
        <v>1279</v>
      </c>
      <c r="B917" s="4" t="s">
        <v>45</v>
      </c>
      <c r="C917" s="4" t="str">
        <f>FEATURES!L917</f>
        <v>NORMAL</v>
      </c>
      <c r="D917" s="4" t="str">
        <f>FEATURES!R917</f>
        <v>LOW</v>
      </c>
      <c r="E917" s="4" t="str">
        <f>FEATURES!Q917</f>
        <v>DISENGAGED</v>
      </c>
      <c r="F917" s="4" t="str">
        <f>FEATURES!P917</f>
        <v>Low_Pressure</v>
      </c>
      <c r="G917" s="4" t="str">
        <f>FEATURES!M917</f>
        <v>LOW</v>
      </c>
      <c r="H917" s="4" t="str">
        <f>FEATURES!O917</f>
        <v>MODERATE-WAIT</v>
      </c>
      <c r="I917" s="4" t="str">
        <f t="shared" si="3"/>
        <v>LOW RISK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3.2" x14ac:dyDescent="0.25">
      <c r="A918" s="4">
        <v>1280</v>
      </c>
      <c r="B918" s="4" t="s">
        <v>37</v>
      </c>
      <c r="C918" s="4" t="str">
        <f>FEATURES!L918</f>
        <v>NORMAL</v>
      </c>
      <c r="D918" s="4" t="str">
        <f>FEATURES!R918</f>
        <v>LOW</v>
      </c>
      <c r="E918" s="4" t="str">
        <f>FEATURES!Q918</f>
        <v>DISENGAGED</v>
      </c>
      <c r="F918" s="4" t="str">
        <f>FEATURES!P918</f>
        <v>Medium_Pressure</v>
      </c>
      <c r="G918" s="4" t="str">
        <f>FEATURES!M918</f>
        <v>MEDIUM</v>
      </c>
      <c r="H918" s="4" t="str">
        <f>FEATURES!O918</f>
        <v>RECENTLY PROMOTED</v>
      </c>
      <c r="I918" s="4" t="str">
        <f t="shared" si="3"/>
        <v>LOW RISK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3.2" x14ac:dyDescent="0.25">
      <c r="A919" s="4">
        <v>1281</v>
      </c>
      <c r="B919" s="4" t="s">
        <v>37</v>
      </c>
      <c r="C919" s="4" t="str">
        <f>FEATURES!L919</f>
        <v>NORMAL</v>
      </c>
      <c r="D919" s="4" t="str">
        <f>FEATURES!R919</f>
        <v>LOW</v>
      </c>
      <c r="E919" s="4" t="str">
        <f>FEATURES!Q919</f>
        <v>DISENGAGED</v>
      </c>
      <c r="F919" s="4" t="str">
        <f>FEATURES!P919</f>
        <v>Medium_Pressure</v>
      </c>
      <c r="G919" s="4" t="str">
        <f>FEATURES!M919</f>
        <v>HIGH</v>
      </c>
      <c r="H919" s="4" t="str">
        <f>FEATURES!O919</f>
        <v>RECENTLY PROMOTED</v>
      </c>
      <c r="I919" s="4" t="str">
        <f t="shared" si="3"/>
        <v>LOW RISK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3.2" x14ac:dyDescent="0.25">
      <c r="A920" s="4">
        <v>1282</v>
      </c>
      <c r="B920" s="4" t="s">
        <v>37</v>
      </c>
      <c r="C920" s="4" t="str">
        <f>FEATURES!L920</f>
        <v>HIGH RISK</v>
      </c>
      <c r="D920" s="4" t="str">
        <f>FEATURES!R920</f>
        <v>LOW</v>
      </c>
      <c r="E920" s="4" t="str">
        <f>FEATURES!Q920</f>
        <v>DISENGAGED</v>
      </c>
      <c r="F920" s="4" t="str">
        <f>FEATURES!P920</f>
        <v>High_Pressure</v>
      </c>
      <c r="G920" s="4" t="str">
        <f>FEATURES!M920</f>
        <v>MEDIUM</v>
      </c>
      <c r="H920" s="4" t="str">
        <f>FEATURES!O920</f>
        <v>STAGNANT</v>
      </c>
      <c r="I920" s="4" t="str">
        <f t="shared" si="3"/>
        <v>LOW RISK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3.2" x14ac:dyDescent="0.25">
      <c r="A921" s="4">
        <v>1283</v>
      </c>
      <c r="B921" s="4" t="s">
        <v>45</v>
      </c>
      <c r="C921" s="4" t="str">
        <f>FEATURES!L921</f>
        <v>NORMAL</v>
      </c>
      <c r="D921" s="4" t="str">
        <f>FEATURES!R921</f>
        <v>LOW</v>
      </c>
      <c r="E921" s="4" t="str">
        <f>FEATURES!Q921</f>
        <v>DISENGAGED</v>
      </c>
      <c r="F921" s="4" t="str">
        <f>FEATURES!P921</f>
        <v>Low_Pressure</v>
      </c>
      <c r="G921" s="4" t="str">
        <f>FEATURES!M921</f>
        <v>MEDIUM</v>
      </c>
      <c r="H921" s="4" t="str">
        <f>FEATURES!O921</f>
        <v>STAGNANT</v>
      </c>
      <c r="I921" s="4" t="str">
        <f t="shared" si="3"/>
        <v>LOW RISK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3.2" x14ac:dyDescent="0.25">
      <c r="A922" s="4">
        <v>1285</v>
      </c>
      <c r="B922" s="4" t="s">
        <v>45</v>
      </c>
      <c r="C922" s="4" t="str">
        <f>FEATURES!L922</f>
        <v>NORMAL</v>
      </c>
      <c r="D922" s="4" t="str">
        <f>FEATURES!R922</f>
        <v>LOW</v>
      </c>
      <c r="E922" s="4" t="str">
        <f>FEATURES!Q922</f>
        <v>DISENGAGED</v>
      </c>
      <c r="F922" s="4" t="str">
        <f>FEATURES!P922</f>
        <v>Low_Pressure</v>
      </c>
      <c r="G922" s="4" t="str">
        <f>FEATURES!M922</f>
        <v>HIGH</v>
      </c>
      <c r="H922" s="4" t="str">
        <f>FEATURES!O922</f>
        <v>STAGNANT</v>
      </c>
      <c r="I922" s="4" t="str">
        <f t="shared" si="3"/>
        <v>LOW RISK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3.2" x14ac:dyDescent="0.25">
      <c r="A923" s="4">
        <v>1286</v>
      </c>
      <c r="B923" s="4" t="s">
        <v>45</v>
      </c>
      <c r="C923" s="4" t="str">
        <f>FEATURES!L923</f>
        <v>NORMAL</v>
      </c>
      <c r="D923" s="4" t="str">
        <f>FEATURES!R923</f>
        <v>LOW</v>
      </c>
      <c r="E923" s="4" t="str">
        <f>FEATURES!Q923</f>
        <v>DISENGAGED</v>
      </c>
      <c r="F923" s="4" t="str">
        <f>FEATURES!P923</f>
        <v>High_Pressure</v>
      </c>
      <c r="G923" s="4" t="str">
        <f>FEATURES!M923</f>
        <v>LOW</v>
      </c>
      <c r="H923" s="4" t="str">
        <f>FEATURES!O923</f>
        <v>RECENTLY PROMOTED</v>
      </c>
      <c r="I923" s="4" t="str">
        <f t="shared" si="3"/>
        <v>LOW RISK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3.2" x14ac:dyDescent="0.25">
      <c r="A924" s="4">
        <v>1288</v>
      </c>
      <c r="B924" s="4" t="s">
        <v>45</v>
      </c>
      <c r="C924" s="4" t="str">
        <f>FEATURES!L924</f>
        <v>NORMAL</v>
      </c>
      <c r="D924" s="4" t="str">
        <f>FEATURES!R924</f>
        <v>LOW</v>
      </c>
      <c r="E924" s="4" t="str">
        <f>FEATURES!Q924</f>
        <v>DISENGAGED</v>
      </c>
      <c r="F924" s="4" t="str">
        <f>FEATURES!P924</f>
        <v>Low_Pressure</v>
      </c>
      <c r="G924" s="4" t="str">
        <f>FEATURES!M924</f>
        <v>MEDIUM</v>
      </c>
      <c r="H924" s="4" t="str">
        <f>FEATURES!O924</f>
        <v>STAGNANT</v>
      </c>
      <c r="I924" s="4" t="str">
        <f t="shared" si="3"/>
        <v>LOW RISK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3.2" x14ac:dyDescent="0.25">
      <c r="A925" s="4">
        <v>1289</v>
      </c>
      <c r="B925" s="4" t="s">
        <v>61</v>
      </c>
      <c r="C925" s="4" t="str">
        <f>FEATURES!L925</f>
        <v>NORMAL</v>
      </c>
      <c r="D925" s="4" t="str">
        <f>FEATURES!R925</f>
        <v>LOW</v>
      </c>
      <c r="E925" s="4" t="str">
        <f>FEATURES!Q925</f>
        <v>DISENGAGED</v>
      </c>
      <c r="F925" s="4" t="str">
        <f>FEATURES!P925</f>
        <v>Low_Pressure</v>
      </c>
      <c r="G925" s="4" t="str">
        <f>FEATURES!M925</f>
        <v>HIGH</v>
      </c>
      <c r="H925" s="4" t="str">
        <f>FEATURES!O925</f>
        <v>RECENTLY PROMOTED</v>
      </c>
      <c r="I925" s="4" t="str">
        <f t="shared" si="3"/>
        <v>LOW RISK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3.2" x14ac:dyDescent="0.25">
      <c r="A926" s="4">
        <v>1291</v>
      </c>
      <c r="B926" s="4" t="s">
        <v>45</v>
      </c>
      <c r="C926" s="4" t="str">
        <f>FEATURES!L926</f>
        <v>NORMAL</v>
      </c>
      <c r="D926" s="4" t="str">
        <f>FEATURES!R926</f>
        <v>LOW</v>
      </c>
      <c r="E926" s="4" t="str">
        <f>FEATURES!Q926</f>
        <v>HIGHLY_ENGAGED</v>
      </c>
      <c r="F926" s="4" t="str">
        <f>FEATURES!P926</f>
        <v>Medium_Pressure</v>
      </c>
      <c r="G926" s="4" t="str">
        <f>FEATURES!M926</f>
        <v>LOW</v>
      </c>
      <c r="H926" s="4" t="str">
        <f>FEATURES!O926</f>
        <v>MODERATE-WAIT</v>
      </c>
      <c r="I926" s="4" t="str">
        <f t="shared" si="3"/>
        <v>LOW RISK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3.2" x14ac:dyDescent="0.25">
      <c r="A927" s="4">
        <v>1292</v>
      </c>
      <c r="B927" s="4" t="s">
        <v>45</v>
      </c>
      <c r="C927" s="4" t="str">
        <f>FEATURES!L927</f>
        <v>NORMAL</v>
      </c>
      <c r="D927" s="4" t="str">
        <f>FEATURES!R927</f>
        <v>LOW</v>
      </c>
      <c r="E927" s="4" t="str">
        <f>FEATURES!Q927</f>
        <v>DISENGAGED</v>
      </c>
      <c r="F927" s="4" t="str">
        <f>FEATURES!P927</f>
        <v>Medium_Pressure</v>
      </c>
      <c r="G927" s="4" t="str">
        <f>FEATURES!M927</f>
        <v>LOW</v>
      </c>
      <c r="H927" s="4" t="str">
        <f>FEATURES!O927</f>
        <v>RECENTLY PROMOTED</v>
      </c>
      <c r="I927" s="4" t="str">
        <f t="shared" si="3"/>
        <v>LOW RISK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3.2" x14ac:dyDescent="0.25">
      <c r="A928" s="4">
        <v>1293</v>
      </c>
      <c r="B928" s="4" t="s">
        <v>37</v>
      </c>
      <c r="C928" s="4" t="str">
        <f>FEATURES!L928</f>
        <v>NORMAL</v>
      </c>
      <c r="D928" s="4" t="str">
        <f>FEATURES!R928</f>
        <v>LOW</v>
      </c>
      <c r="E928" s="4" t="str">
        <f>FEATURES!Q928</f>
        <v>HIGHLY_ENGAGED</v>
      </c>
      <c r="F928" s="4" t="str">
        <f>FEATURES!P928</f>
        <v>Low_Pressure</v>
      </c>
      <c r="G928" s="4" t="str">
        <f>FEATURES!M928</f>
        <v>MEDIUM</v>
      </c>
      <c r="H928" s="4" t="str">
        <f>FEATURES!O928</f>
        <v>STAGNANT</v>
      </c>
      <c r="I928" s="4" t="str">
        <f t="shared" si="3"/>
        <v>LOW RISK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3.2" x14ac:dyDescent="0.25">
      <c r="A929" s="4">
        <v>1294</v>
      </c>
      <c r="B929" s="4" t="s">
        <v>45</v>
      </c>
      <c r="C929" s="4" t="str">
        <f>FEATURES!L929</f>
        <v>HIGH RISK</v>
      </c>
      <c r="D929" s="4" t="str">
        <f>FEATURES!R929</f>
        <v>LOW</v>
      </c>
      <c r="E929" s="4" t="str">
        <f>FEATURES!Q929</f>
        <v>DISENGAGED</v>
      </c>
      <c r="F929" s="4" t="str">
        <f>FEATURES!P929</f>
        <v>Medium_Pressure</v>
      </c>
      <c r="G929" s="4" t="str">
        <f>FEATURES!M929</f>
        <v>HIGH</v>
      </c>
      <c r="H929" s="4" t="str">
        <f>FEATURES!O929</f>
        <v>STAGNANT</v>
      </c>
      <c r="I929" s="4" t="str">
        <f t="shared" si="3"/>
        <v>LOW RISK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3.2" x14ac:dyDescent="0.25">
      <c r="A930" s="4">
        <v>1295</v>
      </c>
      <c r="B930" s="4" t="s">
        <v>45</v>
      </c>
      <c r="C930" s="4" t="str">
        <f>FEATURES!L930</f>
        <v>NORMAL</v>
      </c>
      <c r="D930" s="4" t="str">
        <f>FEATURES!R930</f>
        <v>LOW</v>
      </c>
      <c r="E930" s="4" t="str">
        <f>FEATURES!Q930</f>
        <v>HIGHLY_ENGAGED</v>
      </c>
      <c r="F930" s="4" t="str">
        <f>FEATURES!P930</f>
        <v>Medium_Pressure</v>
      </c>
      <c r="G930" s="4" t="str">
        <f>FEATURES!M930</f>
        <v>HIGH</v>
      </c>
      <c r="H930" s="4" t="str">
        <f>FEATURES!O930</f>
        <v>RECENTLY PROMOTED</v>
      </c>
      <c r="I930" s="4" t="str">
        <f t="shared" si="3"/>
        <v>LOW RISK</v>
      </c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3.2" x14ac:dyDescent="0.25">
      <c r="A931" s="4">
        <v>1296</v>
      </c>
      <c r="B931" s="4" t="s">
        <v>45</v>
      </c>
      <c r="C931" s="4" t="str">
        <f>FEATURES!L931</f>
        <v>NORMAL</v>
      </c>
      <c r="D931" s="4" t="str">
        <f>FEATURES!R931</f>
        <v>LOW</v>
      </c>
      <c r="E931" s="4" t="str">
        <f>FEATURES!Q931</f>
        <v>HIGHLY_ENGAGED</v>
      </c>
      <c r="F931" s="4" t="str">
        <f>FEATURES!P931</f>
        <v>Medium_Pressure</v>
      </c>
      <c r="G931" s="4" t="str">
        <f>FEATURES!M931</f>
        <v>LOW</v>
      </c>
      <c r="H931" s="4" t="str">
        <f>FEATURES!O931</f>
        <v>MODERATE-WAIT</v>
      </c>
      <c r="I931" s="4" t="str">
        <f t="shared" si="3"/>
        <v>LOW RISK</v>
      </c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3.2" x14ac:dyDescent="0.25">
      <c r="A932" s="4">
        <v>1297</v>
      </c>
      <c r="B932" s="4" t="s">
        <v>45</v>
      </c>
      <c r="C932" s="4" t="str">
        <f>FEATURES!L932</f>
        <v>NORMAL</v>
      </c>
      <c r="D932" s="4" t="str">
        <f>FEATURES!R932</f>
        <v>LOW</v>
      </c>
      <c r="E932" s="4" t="str">
        <f>FEATURES!Q932</f>
        <v>DISENGAGED</v>
      </c>
      <c r="F932" s="4" t="str">
        <f>FEATURES!P932</f>
        <v>Low_Pressure</v>
      </c>
      <c r="G932" s="4" t="str">
        <f>FEATURES!M932</f>
        <v>LOW</v>
      </c>
      <c r="H932" s="4" t="str">
        <f>FEATURES!O932</f>
        <v>STAGNANT</v>
      </c>
      <c r="I932" s="4" t="str">
        <f t="shared" si="3"/>
        <v>LOW RISK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3.2" x14ac:dyDescent="0.25">
      <c r="A933" s="4">
        <v>1298</v>
      </c>
      <c r="B933" s="4" t="s">
        <v>45</v>
      </c>
      <c r="C933" s="4" t="str">
        <f>FEATURES!L933</f>
        <v>NORMAL</v>
      </c>
      <c r="D933" s="4" t="str">
        <f>FEATURES!R933</f>
        <v>LOW</v>
      </c>
      <c r="E933" s="4" t="str">
        <f>FEATURES!Q933</f>
        <v>HIGHLY_ENGAGED</v>
      </c>
      <c r="F933" s="4" t="str">
        <f>FEATURES!P933</f>
        <v>Medium_Pressure</v>
      </c>
      <c r="G933" s="4" t="str">
        <f>FEATURES!M933</f>
        <v>HIGH</v>
      </c>
      <c r="H933" s="4" t="str">
        <f>FEATURES!O933</f>
        <v>RECENTLY PROMOTED</v>
      </c>
      <c r="I933" s="4" t="str">
        <f t="shared" si="3"/>
        <v>LOW RISK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3.2" x14ac:dyDescent="0.25">
      <c r="A934" s="4">
        <v>1299</v>
      </c>
      <c r="B934" s="4" t="s">
        <v>45</v>
      </c>
      <c r="C934" s="4" t="str">
        <f>FEATURES!L934</f>
        <v>NORMAL</v>
      </c>
      <c r="D934" s="4" t="str">
        <f>FEATURES!R934</f>
        <v>LOW</v>
      </c>
      <c r="E934" s="4" t="str">
        <f>FEATURES!Q934</f>
        <v>HIGHLY_ENGAGED</v>
      </c>
      <c r="F934" s="4" t="str">
        <f>FEATURES!P934</f>
        <v>Medium_Pressure</v>
      </c>
      <c r="G934" s="4" t="str">
        <f>FEATURES!M934</f>
        <v>LOW</v>
      </c>
      <c r="H934" s="4" t="str">
        <f>FEATURES!O934</f>
        <v>STAGNANT</v>
      </c>
      <c r="I934" s="4" t="str">
        <f t="shared" si="3"/>
        <v>LOW RISK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3.2" x14ac:dyDescent="0.25">
      <c r="A935" s="4">
        <v>1301</v>
      </c>
      <c r="B935" s="4" t="s">
        <v>45</v>
      </c>
      <c r="C935" s="4" t="str">
        <f>FEATURES!L935</f>
        <v>NORMAL</v>
      </c>
      <c r="D935" s="4" t="str">
        <f>FEATURES!R935</f>
        <v>LOW</v>
      </c>
      <c r="E935" s="4" t="str">
        <f>FEATURES!Q935</f>
        <v>DISENGAGED</v>
      </c>
      <c r="F935" s="4" t="str">
        <f>FEATURES!P935</f>
        <v>Low_Pressure</v>
      </c>
      <c r="G935" s="4" t="str">
        <f>FEATURES!M935</f>
        <v>LOW</v>
      </c>
      <c r="H935" s="4" t="str">
        <f>FEATURES!O935</f>
        <v>RECENTLY PROMOTED</v>
      </c>
      <c r="I935" s="4" t="str">
        <f t="shared" si="3"/>
        <v>LOW RISK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3.2" x14ac:dyDescent="0.25">
      <c r="A936" s="4">
        <v>1303</v>
      </c>
      <c r="B936" s="4" t="s">
        <v>45</v>
      </c>
      <c r="C936" s="4" t="str">
        <f>FEATURES!L936</f>
        <v>NORMAL</v>
      </c>
      <c r="D936" s="4" t="str">
        <f>FEATURES!R936</f>
        <v>LOW</v>
      </c>
      <c r="E936" s="4" t="str">
        <f>FEATURES!Q936</f>
        <v>DISENGAGED</v>
      </c>
      <c r="F936" s="4" t="str">
        <f>FEATURES!P936</f>
        <v>Low_Pressure</v>
      </c>
      <c r="G936" s="4" t="str">
        <f>FEATURES!M936</f>
        <v>LOW</v>
      </c>
      <c r="H936" s="4" t="str">
        <f>FEATURES!O936</f>
        <v>MODERATE-WAIT</v>
      </c>
      <c r="I936" s="4" t="str">
        <f t="shared" si="3"/>
        <v>LOW RISK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3.2" x14ac:dyDescent="0.25">
      <c r="A937" s="4">
        <v>1304</v>
      </c>
      <c r="B937" s="4" t="s">
        <v>37</v>
      </c>
      <c r="C937" s="4" t="str">
        <f>FEATURES!L937</f>
        <v>NORMAL</v>
      </c>
      <c r="D937" s="4" t="str">
        <f>FEATURES!R937</f>
        <v>LOW</v>
      </c>
      <c r="E937" s="4" t="str">
        <f>FEATURES!Q937</f>
        <v>HIGHLY_ENGAGED</v>
      </c>
      <c r="F937" s="4" t="str">
        <f>FEATURES!P937</f>
        <v>Low_Pressure</v>
      </c>
      <c r="G937" s="4" t="str">
        <f>FEATURES!M937</f>
        <v>HIGH</v>
      </c>
      <c r="H937" s="4" t="str">
        <f>FEATURES!O937</f>
        <v>RECENTLY PROMOTED</v>
      </c>
      <c r="I937" s="4" t="str">
        <f t="shared" si="3"/>
        <v>LOW RISK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3.2" x14ac:dyDescent="0.25">
      <c r="A938" s="4">
        <v>1306</v>
      </c>
      <c r="B938" s="4" t="s">
        <v>45</v>
      </c>
      <c r="C938" s="4" t="str">
        <f>FEATURES!L938</f>
        <v>NORMAL</v>
      </c>
      <c r="D938" s="4" t="str">
        <f>FEATURES!R938</f>
        <v>LOW</v>
      </c>
      <c r="E938" s="4" t="str">
        <f>FEATURES!Q938</f>
        <v>DISENGAGED</v>
      </c>
      <c r="F938" s="4" t="str">
        <f>FEATURES!P938</f>
        <v>Medium_Pressure</v>
      </c>
      <c r="G938" s="4" t="str">
        <f>FEATURES!M938</f>
        <v>MEDIUM</v>
      </c>
      <c r="H938" s="4" t="str">
        <f>FEATURES!O938</f>
        <v>RECENTLY PROMOTED</v>
      </c>
      <c r="I938" s="4" t="str">
        <f t="shared" si="3"/>
        <v>LOW RISK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3.2" x14ac:dyDescent="0.25">
      <c r="A939" s="4">
        <v>1307</v>
      </c>
      <c r="B939" s="4" t="s">
        <v>45</v>
      </c>
      <c r="C939" s="4" t="str">
        <f>FEATURES!L939</f>
        <v>HIGH RISK</v>
      </c>
      <c r="D939" s="4" t="str">
        <f>FEATURES!R939</f>
        <v>LOW</v>
      </c>
      <c r="E939" s="4" t="str">
        <f>FEATURES!Q939</f>
        <v>DISENGAGED</v>
      </c>
      <c r="F939" s="4" t="str">
        <f>FEATURES!P939</f>
        <v>Medium_Pressure</v>
      </c>
      <c r="G939" s="4" t="str">
        <f>FEATURES!M939</f>
        <v>MEDIUM</v>
      </c>
      <c r="H939" s="4" t="str">
        <f>FEATURES!O939</f>
        <v>STAGNANT</v>
      </c>
      <c r="I939" s="4" t="str">
        <f t="shared" si="3"/>
        <v>LOW RISK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3.2" x14ac:dyDescent="0.25">
      <c r="A940" s="4">
        <v>1308</v>
      </c>
      <c r="B940" s="4" t="s">
        <v>45</v>
      </c>
      <c r="C940" s="4" t="str">
        <f>FEATURES!L940</f>
        <v>NORMAL</v>
      </c>
      <c r="D940" s="4" t="str">
        <f>FEATURES!R940</f>
        <v>LOW</v>
      </c>
      <c r="E940" s="4" t="str">
        <f>FEATURES!Q940</f>
        <v>HIGHLY_ENGAGED</v>
      </c>
      <c r="F940" s="4" t="str">
        <f>FEATURES!P940</f>
        <v>Medium_Pressure</v>
      </c>
      <c r="G940" s="4" t="str">
        <f>FEATURES!M940</f>
        <v>LOW</v>
      </c>
      <c r="H940" s="4" t="str">
        <f>FEATURES!O940</f>
        <v>MODERATE-WAIT</v>
      </c>
      <c r="I940" s="4" t="str">
        <f t="shared" si="3"/>
        <v>LOW RISK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3.2" x14ac:dyDescent="0.25">
      <c r="A941" s="4">
        <v>1309</v>
      </c>
      <c r="B941" s="4" t="s">
        <v>45</v>
      </c>
      <c r="C941" s="4" t="str">
        <f>FEATURES!L941</f>
        <v>NORMAL</v>
      </c>
      <c r="D941" s="4" t="str">
        <f>FEATURES!R941</f>
        <v>LOW</v>
      </c>
      <c r="E941" s="4" t="str">
        <f>FEATURES!Q941</f>
        <v>HIGHLY_ENGAGED</v>
      </c>
      <c r="F941" s="4" t="str">
        <f>FEATURES!P941</f>
        <v>Medium_Pressure</v>
      </c>
      <c r="G941" s="4" t="str">
        <f>FEATURES!M941</f>
        <v>HIGH</v>
      </c>
      <c r="H941" s="4" t="str">
        <f>FEATURES!O941</f>
        <v>RECENTLY PROMOTED</v>
      </c>
      <c r="I941" s="4" t="str">
        <f t="shared" si="3"/>
        <v>LOW RISK</v>
      </c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3.2" x14ac:dyDescent="0.25">
      <c r="A942" s="4">
        <v>1310</v>
      </c>
      <c r="B942" s="4" t="s">
        <v>45</v>
      </c>
      <c r="C942" s="4" t="str">
        <f>FEATURES!L942</f>
        <v>NORMAL</v>
      </c>
      <c r="D942" s="4" t="str">
        <f>FEATURES!R942</f>
        <v>LOW</v>
      </c>
      <c r="E942" s="4" t="str">
        <f>FEATURES!Q942</f>
        <v>DISENGAGED</v>
      </c>
      <c r="F942" s="4" t="str">
        <f>FEATURES!P942</f>
        <v>Medium_Pressure</v>
      </c>
      <c r="G942" s="4" t="str">
        <f>FEATURES!M942</f>
        <v>LOW</v>
      </c>
      <c r="H942" s="4" t="str">
        <f>FEATURES!O942</f>
        <v>RECENTLY PROMOTED</v>
      </c>
      <c r="I942" s="4" t="str">
        <f t="shared" si="3"/>
        <v>LOW RISK</v>
      </c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3.2" x14ac:dyDescent="0.25">
      <c r="A943" s="4">
        <v>1311</v>
      </c>
      <c r="B943" s="4" t="s">
        <v>45</v>
      </c>
      <c r="C943" s="4" t="str">
        <f>FEATURES!L943</f>
        <v>NORMAL</v>
      </c>
      <c r="D943" s="4" t="str">
        <f>FEATURES!R943</f>
        <v>LOW</v>
      </c>
      <c r="E943" s="4" t="str">
        <f>FEATURES!Q943</f>
        <v>HIGHLY_ENGAGED</v>
      </c>
      <c r="F943" s="4" t="str">
        <f>FEATURES!P943</f>
        <v>Medium_Pressure</v>
      </c>
      <c r="G943" s="4" t="str">
        <f>FEATURES!M943</f>
        <v>HIGH</v>
      </c>
      <c r="H943" s="4" t="str">
        <f>FEATURES!O943</f>
        <v>STAGNANT</v>
      </c>
      <c r="I943" s="4" t="str">
        <f t="shared" si="3"/>
        <v>LOW RISK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3.2" x14ac:dyDescent="0.25">
      <c r="A944" s="4">
        <v>1312</v>
      </c>
      <c r="B944" s="4" t="s">
        <v>45</v>
      </c>
      <c r="C944" s="4" t="str">
        <f>FEATURES!L944</f>
        <v>NORMAL</v>
      </c>
      <c r="D944" s="4" t="str">
        <f>FEATURES!R944</f>
        <v>LOW</v>
      </c>
      <c r="E944" s="4" t="str">
        <f>FEATURES!Q944</f>
        <v>HIGHLY_ENGAGED</v>
      </c>
      <c r="F944" s="4" t="str">
        <f>FEATURES!P944</f>
        <v>Medium_Pressure</v>
      </c>
      <c r="G944" s="4" t="str">
        <f>FEATURES!M944</f>
        <v>HIGH</v>
      </c>
      <c r="H944" s="4" t="str">
        <f>FEATURES!O944</f>
        <v>RECENTLY PROMOTED</v>
      </c>
      <c r="I944" s="4" t="str">
        <f t="shared" si="3"/>
        <v>LOW RISK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3.2" x14ac:dyDescent="0.25">
      <c r="A945" s="4">
        <v>1314</v>
      </c>
      <c r="B945" s="4" t="s">
        <v>61</v>
      </c>
      <c r="C945" s="4" t="str">
        <f>FEATURES!L945</f>
        <v>NORMAL</v>
      </c>
      <c r="D945" s="4" t="str">
        <f>FEATURES!R945</f>
        <v>LOW</v>
      </c>
      <c r="E945" s="4" t="str">
        <f>FEATURES!Q945</f>
        <v>DISENGAGED</v>
      </c>
      <c r="F945" s="4" t="str">
        <f>FEATURES!P945</f>
        <v>Low_Pressure</v>
      </c>
      <c r="G945" s="4" t="str">
        <f>FEATURES!M945</f>
        <v>LOW</v>
      </c>
      <c r="H945" s="4" t="str">
        <f>FEATURES!O945</f>
        <v>STAGNANT</v>
      </c>
      <c r="I945" s="4" t="str">
        <f t="shared" si="3"/>
        <v>LOW RISK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3.2" x14ac:dyDescent="0.25">
      <c r="A946" s="4">
        <v>1315</v>
      </c>
      <c r="B946" s="4" t="s">
        <v>45</v>
      </c>
      <c r="C946" s="4" t="str">
        <f>FEATURES!L946</f>
        <v>NORMAL</v>
      </c>
      <c r="D946" s="4" t="str">
        <f>FEATURES!R946</f>
        <v>LOW</v>
      </c>
      <c r="E946" s="4" t="str">
        <f>FEATURES!Q946</f>
        <v>HIGHLY_ENGAGED</v>
      </c>
      <c r="F946" s="4" t="str">
        <f>FEATURES!P946</f>
        <v>Medium_Pressure</v>
      </c>
      <c r="G946" s="4" t="str">
        <f>FEATURES!M946</f>
        <v>HIGH</v>
      </c>
      <c r="H946" s="4" t="str">
        <f>FEATURES!O946</f>
        <v>STAGNANT</v>
      </c>
      <c r="I946" s="4" t="str">
        <f t="shared" si="3"/>
        <v>LOW RISK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3.2" x14ac:dyDescent="0.25">
      <c r="A947" s="4">
        <v>1317</v>
      </c>
      <c r="B947" s="4" t="s">
        <v>45</v>
      </c>
      <c r="C947" s="4" t="str">
        <f>FEATURES!L947</f>
        <v>NORMAL</v>
      </c>
      <c r="D947" s="4" t="str">
        <f>FEATURES!R947</f>
        <v>LOW</v>
      </c>
      <c r="E947" s="4" t="str">
        <f>FEATURES!Q947</f>
        <v>DISENGAGED</v>
      </c>
      <c r="F947" s="4" t="str">
        <f>FEATURES!P947</f>
        <v>Medium_Pressure</v>
      </c>
      <c r="G947" s="4" t="str">
        <f>FEATURES!M947</f>
        <v>MEDIUM</v>
      </c>
      <c r="H947" s="4" t="str">
        <f>FEATURES!O947</f>
        <v>RECENTLY PROMOTED</v>
      </c>
      <c r="I947" s="4" t="str">
        <f t="shared" si="3"/>
        <v>LOW RISK</v>
      </c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3.2" x14ac:dyDescent="0.25">
      <c r="A948" s="4">
        <v>1318</v>
      </c>
      <c r="B948" s="4" t="s">
        <v>37</v>
      </c>
      <c r="C948" s="4" t="str">
        <f>FEATURES!L948</f>
        <v>NORMAL</v>
      </c>
      <c r="D948" s="4" t="str">
        <f>FEATURES!R948</f>
        <v>LOW</v>
      </c>
      <c r="E948" s="4" t="str">
        <f>FEATURES!Q948</f>
        <v>DISENGAGED</v>
      </c>
      <c r="F948" s="4" t="str">
        <f>FEATURES!P948</f>
        <v>Medium_Pressure</v>
      </c>
      <c r="G948" s="4" t="str">
        <f>FEATURES!M948</f>
        <v>MEDIUM</v>
      </c>
      <c r="H948" s="4" t="str">
        <f>FEATURES!O948</f>
        <v>RECENTLY PROMOTED</v>
      </c>
      <c r="I948" s="4" t="str">
        <f t="shared" si="3"/>
        <v>LOW RISK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3.2" x14ac:dyDescent="0.25">
      <c r="A949" s="4">
        <v>1319</v>
      </c>
      <c r="B949" s="4" t="s">
        <v>37</v>
      </c>
      <c r="C949" s="4" t="str">
        <f>FEATURES!L949</f>
        <v>HIGH RISK</v>
      </c>
      <c r="D949" s="4" t="str">
        <f>FEATURES!R949</f>
        <v>LOW</v>
      </c>
      <c r="E949" s="4" t="str">
        <f>FEATURES!Q949</f>
        <v>DISENGAGED</v>
      </c>
      <c r="F949" s="4" t="str">
        <f>FEATURES!P949</f>
        <v>High_Pressure</v>
      </c>
      <c r="G949" s="4" t="str">
        <f>FEATURES!M949</f>
        <v>HIGH</v>
      </c>
      <c r="H949" s="4" t="str">
        <f>FEATURES!O949</f>
        <v>STAGNANT</v>
      </c>
      <c r="I949" s="4" t="str">
        <f t="shared" si="3"/>
        <v>LOW RISK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3.2" x14ac:dyDescent="0.25">
      <c r="A950" s="4">
        <v>1321</v>
      </c>
      <c r="B950" s="4" t="s">
        <v>45</v>
      </c>
      <c r="C950" s="4" t="str">
        <f>FEATURES!L950</f>
        <v>NORMAL</v>
      </c>
      <c r="D950" s="4" t="str">
        <f>FEATURES!R950</f>
        <v>LOW</v>
      </c>
      <c r="E950" s="4" t="str">
        <f>FEATURES!Q950</f>
        <v>DISENGAGED</v>
      </c>
      <c r="F950" s="4" t="str">
        <f>FEATURES!P950</f>
        <v>Medium_Pressure</v>
      </c>
      <c r="G950" s="4" t="str">
        <f>FEATURES!M950</f>
        <v>MEDIUM</v>
      </c>
      <c r="H950" s="4" t="str">
        <f>FEATURES!O950</f>
        <v>RECENTLY PROMOTED</v>
      </c>
      <c r="I950" s="4" t="str">
        <f t="shared" si="3"/>
        <v>LOW RISK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3.2" x14ac:dyDescent="0.25">
      <c r="A951" s="4">
        <v>1322</v>
      </c>
      <c r="B951" s="4" t="s">
        <v>45</v>
      </c>
      <c r="C951" s="4" t="str">
        <f>FEATURES!L951</f>
        <v>NORMAL</v>
      </c>
      <c r="D951" s="4" t="str">
        <f>FEATURES!R951</f>
        <v>LOW</v>
      </c>
      <c r="E951" s="4" t="str">
        <f>FEATURES!Q951</f>
        <v>HIGHLY_ENGAGED</v>
      </c>
      <c r="F951" s="4" t="str">
        <f>FEATURES!P951</f>
        <v>Medium_Pressure</v>
      </c>
      <c r="G951" s="4" t="str">
        <f>FEATURES!M951</f>
        <v>HIGH</v>
      </c>
      <c r="H951" s="4" t="str">
        <f>FEATURES!O951</f>
        <v>RECENTLY PROMOTED</v>
      </c>
      <c r="I951" s="4" t="str">
        <f t="shared" si="3"/>
        <v>LOW RISK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3.2" x14ac:dyDescent="0.25">
      <c r="A952" s="4">
        <v>1324</v>
      </c>
      <c r="B952" s="4" t="s">
        <v>37</v>
      </c>
      <c r="C952" s="4" t="str">
        <f>FEATURES!L952</f>
        <v>NORMAL</v>
      </c>
      <c r="D952" s="4" t="str">
        <f>FEATURES!R952</f>
        <v>LOW</v>
      </c>
      <c r="E952" s="4" t="str">
        <f>FEATURES!Q952</f>
        <v>DISENGAGED</v>
      </c>
      <c r="F952" s="4" t="str">
        <f>FEATURES!P952</f>
        <v>High_Pressure</v>
      </c>
      <c r="G952" s="4" t="str">
        <f>FEATURES!M952</f>
        <v>MEDIUM</v>
      </c>
      <c r="H952" s="4" t="str">
        <f>FEATURES!O952</f>
        <v>STAGNANT</v>
      </c>
      <c r="I952" s="4" t="str">
        <f t="shared" si="3"/>
        <v>LOW RISK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3.2" x14ac:dyDescent="0.25">
      <c r="A953" s="4">
        <v>1329</v>
      </c>
      <c r="B953" s="4" t="s">
        <v>37</v>
      </c>
      <c r="C953" s="4" t="str">
        <f>FEATURES!L953</f>
        <v>NORMAL</v>
      </c>
      <c r="D953" s="4" t="str">
        <f>FEATURES!R953</f>
        <v>LOW</v>
      </c>
      <c r="E953" s="4" t="str">
        <f>FEATURES!Q953</f>
        <v>DISENGAGED</v>
      </c>
      <c r="F953" s="4" t="str">
        <f>FEATURES!P953</f>
        <v>Medium_Pressure</v>
      </c>
      <c r="G953" s="4" t="str">
        <f>FEATURES!M953</f>
        <v>HIGH</v>
      </c>
      <c r="H953" s="4" t="str">
        <f>FEATURES!O953</f>
        <v>STAGNANT</v>
      </c>
      <c r="I953" s="4" t="str">
        <f t="shared" si="3"/>
        <v>LOW RISK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3.2" x14ac:dyDescent="0.25">
      <c r="A954" s="4">
        <v>1331</v>
      </c>
      <c r="B954" s="4" t="s">
        <v>37</v>
      </c>
      <c r="C954" s="4" t="str">
        <f>FEATURES!L954</f>
        <v>NORMAL</v>
      </c>
      <c r="D954" s="4" t="str">
        <f>FEATURES!R954</f>
        <v>LOW</v>
      </c>
      <c r="E954" s="4" t="str">
        <f>FEATURES!Q954</f>
        <v>DISENGAGED</v>
      </c>
      <c r="F954" s="4" t="str">
        <f>FEATURES!P954</f>
        <v>Medium_Pressure</v>
      </c>
      <c r="G954" s="4" t="str">
        <f>FEATURES!M954</f>
        <v>LOW</v>
      </c>
      <c r="H954" s="4" t="str">
        <f>FEATURES!O954</f>
        <v>MODERATE-WAIT</v>
      </c>
      <c r="I954" s="4" t="str">
        <f t="shared" si="3"/>
        <v>LOW RISK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3.2" x14ac:dyDescent="0.25">
      <c r="A955" s="4">
        <v>1333</v>
      </c>
      <c r="B955" s="4" t="s">
        <v>45</v>
      </c>
      <c r="C955" s="4" t="str">
        <f>FEATURES!L955</f>
        <v>NORMAL</v>
      </c>
      <c r="D955" s="4" t="str">
        <f>FEATURES!R955</f>
        <v>LOW</v>
      </c>
      <c r="E955" s="4" t="str">
        <f>FEATURES!Q955</f>
        <v>DISENGAGED</v>
      </c>
      <c r="F955" s="4" t="str">
        <f>FEATURES!P955</f>
        <v>Low_Pressure</v>
      </c>
      <c r="G955" s="4" t="str">
        <f>FEATURES!M955</f>
        <v>LOW</v>
      </c>
      <c r="H955" s="4" t="str">
        <f>FEATURES!O955</f>
        <v>RECENTLY PROMOTED</v>
      </c>
      <c r="I955" s="4" t="str">
        <f t="shared" si="3"/>
        <v>LOW RISK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3.2" x14ac:dyDescent="0.25">
      <c r="A956" s="4">
        <v>1334</v>
      </c>
      <c r="B956" s="4" t="s">
        <v>45</v>
      </c>
      <c r="C956" s="4" t="str">
        <f>FEATURES!L956</f>
        <v>NORMAL</v>
      </c>
      <c r="D956" s="4" t="str">
        <f>FEATURES!R956</f>
        <v>LOW</v>
      </c>
      <c r="E956" s="4" t="str">
        <f>FEATURES!Q956</f>
        <v>DISENGAGED</v>
      </c>
      <c r="F956" s="4" t="str">
        <f>FEATURES!P956</f>
        <v>High_Pressure</v>
      </c>
      <c r="G956" s="4" t="str">
        <f>FEATURES!M956</f>
        <v>MEDIUM</v>
      </c>
      <c r="H956" s="4" t="str">
        <f>FEATURES!O956</f>
        <v>MODERATE-WAIT</v>
      </c>
      <c r="I956" s="4" t="str">
        <f t="shared" si="3"/>
        <v>LOW RISK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3.2" x14ac:dyDescent="0.25">
      <c r="A957" s="4">
        <v>1336</v>
      </c>
      <c r="B957" s="4" t="s">
        <v>45</v>
      </c>
      <c r="C957" s="4" t="str">
        <f>FEATURES!L957</f>
        <v>NORMAL</v>
      </c>
      <c r="D957" s="4" t="str">
        <f>FEATURES!R957</f>
        <v>LOW</v>
      </c>
      <c r="E957" s="4" t="str">
        <f>FEATURES!Q957</f>
        <v>HIGHLY_ENGAGED</v>
      </c>
      <c r="F957" s="4" t="str">
        <f>FEATURES!P957</f>
        <v>Medium_Pressure</v>
      </c>
      <c r="G957" s="4" t="str">
        <f>FEATURES!M957</f>
        <v>MEDIUM</v>
      </c>
      <c r="H957" s="4" t="str">
        <f>FEATURES!O957</f>
        <v>STAGNANT</v>
      </c>
      <c r="I957" s="4" t="str">
        <f t="shared" si="3"/>
        <v>LOW RISK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3.2" x14ac:dyDescent="0.25">
      <c r="A958" s="4">
        <v>1338</v>
      </c>
      <c r="B958" s="4" t="s">
        <v>61</v>
      </c>
      <c r="C958" s="4" t="str">
        <f>FEATURES!L958</f>
        <v>NORMAL</v>
      </c>
      <c r="D958" s="4" t="str">
        <f>FEATURES!R958</f>
        <v>LOW</v>
      </c>
      <c r="E958" s="4" t="str">
        <f>FEATURES!Q958</f>
        <v>DISENGAGED</v>
      </c>
      <c r="F958" s="4" t="str">
        <f>FEATURES!P958</f>
        <v>Medium_Pressure</v>
      </c>
      <c r="G958" s="4" t="str">
        <f>FEATURES!M958</f>
        <v>MEDIUM</v>
      </c>
      <c r="H958" s="4" t="str">
        <f>FEATURES!O958</f>
        <v>STAGNANT</v>
      </c>
      <c r="I958" s="4" t="str">
        <f t="shared" si="3"/>
        <v>LOW RISK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3.2" x14ac:dyDescent="0.25">
      <c r="A959" s="4">
        <v>1340</v>
      </c>
      <c r="B959" s="4" t="s">
        <v>45</v>
      </c>
      <c r="C959" s="4" t="str">
        <f>FEATURES!L959</f>
        <v>NORMAL</v>
      </c>
      <c r="D959" s="4" t="str">
        <f>FEATURES!R959</f>
        <v>LOW</v>
      </c>
      <c r="E959" s="4" t="str">
        <f>FEATURES!Q959</f>
        <v>HIGHLY_ENGAGED</v>
      </c>
      <c r="F959" s="4" t="str">
        <f>FEATURES!P959</f>
        <v>Medium_Pressure</v>
      </c>
      <c r="G959" s="4" t="str">
        <f>FEATURES!M959</f>
        <v>LOW</v>
      </c>
      <c r="H959" s="4" t="str">
        <f>FEATURES!O959</f>
        <v>RECENTLY PROMOTED</v>
      </c>
      <c r="I959" s="4" t="str">
        <f t="shared" si="3"/>
        <v>LOW RISK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3.2" x14ac:dyDescent="0.25">
      <c r="A960" s="4">
        <v>1344</v>
      </c>
      <c r="B960" s="4" t="s">
        <v>45</v>
      </c>
      <c r="C960" s="4" t="str">
        <f>FEATURES!L960</f>
        <v>NORMAL</v>
      </c>
      <c r="D960" s="4" t="str">
        <f>FEATURES!R960</f>
        <v>LOW</v>
      </c>
      <c r="E960" s="4" t="str">
        <f>FEATURES!Q960</f>
        <v>DISENGAGED</v>
      </c>
      <c r="F960" s="4" t="str">
        <f>FEATURES!P960</f>
        <v>Low_Pressure</v>
      </c>
      <c r="G960" s="4" t="str">
        <f>FEATURES!M960</f>
        <v>HIGH</v>
      </c>
      <c r="H960" s="4" t="str">
        <f>FEATURES!O960</f>
        <v>RECENTLY PROMOTED</v>
      </c>
      <c r="I960" s="4" t="str">
        <f t="shared" si="3"/>
        <v>LOW RISK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3.2" x14ac:dyDescent="0.25">
      <c r="A961" s="4">
        <v>1346</v>
      </c>
      <c r="B961" s="4" t="s">
        <v>45</v>
      </c>
      <c r="C961" s="4" t="str">
        <f>FEATURES!L961</f>
        <v>NORMAL</v>
      </c>
      <c r="D961" s="4" t="str">
        <f>FEATURES!R961</f>
        <v>LOW</v>
      </c>
      <c r="E961" s="4" t="str">
        <f>FEATURES!Q961</f>
        <v>HIGHLY_ENGAGED</v>
      </c>
      <c r="F961" s="4" t="str">
        <f>FEATURES!P961</f>
        <v>Medium_Pressure</v>
      </c>
      <c r="G961" s="4" t="str">
        <f>FEATURES!M961</f>
        <v>HIGH</v>
      </c>
      <c r="H961" s="4" t="str">
        <f>FEATURES!O961</f>
        <v>STAGNANT</v>
      </c>
      <c r="I961" s="4" t="str">
        <f t="shared" si="3"/>
        <v>LOW RISK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3.2" x14ac:dyDescent="0.25">
      <c r="A962" s="4">
        <v>1349</v>
      </c>
      <c r="B962" s="4" t="s">
        <v>37</v>
      </c>
      <c r="C962" s="4" t="str">
        <f>FEATURES!L962</f>
        <v>NORMAL</v>
      </c>
      <c r="D962" s="4" t="str">
        <f>FEATURES!R962</f>
        <v>LOW</v>
      </c>
      <c r="E962" s="4" t="str">
        <f>FEATURES!Q962</f>
        <v>DISENGAGED</v>
      </c>
      <c r="F962" s="4" t="str">
        <f>FEATURES!P962</f>
        <v>Medium_Pressure</v>
      </c>
      <c r="G962" s="4" t="str">
        <f>FEATURES!M962</f>
        <v>HIGH</v>
      </c>
      <c r="H962" s="4" t="str">
        <f>FEATURES!O962</f>
        <v>RECENTLY PROMOTED</v>
      </c>
      <c r="I962" s="4" t="str">
        <f t="shared" si="3"/>
        <v>LOW RISK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3.2" x14ac:dyDescent="0.25">
      <c r="A963" s="4">
        <v>1350</v>
      </c>
      <c r="B963" s="4" t="s">
        <v>45</v>
      </c>
      <c r="C963" s="4" t="str">
        <f>FEATURES!L963</f>
        <v>NORMAL</v>
      </c>
      <c r="D963" s="4" t="str">
        <f>FEATURES!R963</f>
        <v>LOW</v>
      </c>
      <c r="E963" s="4" t="str">
        <f>FEATURES!Q963</f>
        <v>HIGHLY_ENGAGED</v>
      </c>
      <c r="F963" s="4" t="str">
        <f>FEATURES!P963</f>
        <v>Medium_Pressure</v>
      </c>
      <c r="G963" s="4" t="str">
        <f>FEATURES!M963</f>
        <v>HIGH</v>
      </c>
      <c r="H963" s="4" t="str">
        <f>FEATURES!O963</f>
        <v>RECENTLY PROMOTED</v>
      </c>
      <c r="I963" s="4" t="str">
        <f t="shared" si="3"/>
        <v>LOW RISK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3.2" x14ac:dyDescent="0.25">
      <c r="A964" s="4">
        <v>1352</v>
      </c>
      <c r="B964" s="4" t="s">
        <v>61</v>
      </c>
      <c r="C964" s="4" t="str">
        <f>FEATURES!L964</f>
        <v>NORMAL</v>
      </c>
      <c r="D964" s="4" t="str">
        <f>FEATURES!R964</f>
        <v>LOW</v>
      </c>
      <c r="E964" s="4" t="str">
        <f>FEATURES!Q964</f>
        <v>DISENGAGED</v>
      </c>
      <c r="F964" s="4" t="str">
        <f>FEATURES!P964</f>
        <v>Medium_Pressure</v>
      </c>
      <c r="G964" s="4" t="str">
        <f>FEATURES!M964</f>
        <v>MEDIUM</v>
      </c>
      <c r="H964" s="4" t="str">
        <f>FEATURES!O964</f>
        <v>RECENTLY PROMOTED</v>
      </c>
      <c r="I964" s="4" t="str">
        <f t="shared" si="3"/>
        <v>LOW RISK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3.2" x14ac:dyDescent="0.25">
      <c r="A965" s="4">
        <v>1355</v>
      </c>
      <c r="B965" s="4" t="s">
        <v>37</v>
      </c>
      <c r="C965" s="4" t="str">
        <f>FEATURES!L965</f>
        <v>NORMAL</v>
      </c>
      <c r="D965" s="4" t="str">
        <f>FEATURES!R965</f>
        <v>LOW</v>
      </c>
      <c r="E965" s="4" t="str">
        <f>FEATURES!Q965</f>
        <v>DISENGAGED</v>
      </c>
      <c r="F965" s="4" t="str">
        <f>FEATURES!P965</f>
        <v>Medium_Pressure</v>
      </c>
      <c r="G965" s="4" t="str">
        <f>FEATURES!M965</f>
        <v>HIGH</v>
      </c>
      <c r="H965" s="4" t="str">
        <f>FEATURES!O965</f>
        <v>RECENTLY PROMOTED</v>
      </c>
      <c r="I965" s="4" t="str">
        <f t="shared" si="3"/>
        <v>LOW RISK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3.2" x14ac:dyDescent="0.25">
      <c r="A966" s="4">
        <v>1356</v>
      </c>
      <c r="B966" s="4" t="s">
        <v>37</v>
      </c>
      <c r="C966" s="4" t="str">
        <f>FEATURES!L966</f>
        <v>NORMAL</v>
      </c>
      <c r="D966" s="4" t="str">
        <f>FEATURES!R966</f>
        <v>LOW</v>
      </c>
      <c r="E966" s="4" t="str">
        <f>FEATURES!Q966</f>
        <v>DISENGAGED</v>
      </c>
      <c r="F966" s="4" t="str">
        <f>FEATURES!P966</f>
        <v>Low_Pressure</v>
      </c>
      <c r="G966" s="4" t="str">
        <f>FEATURES!M966</f>
        <v>HIGH</v>
      </c>
      <c r="H966" s="4" t="str">
        <f>FEATURES!O966</f>
        <v>STAGNANT</v>
      </c>
      <c r="I966" s="4" t="str">
        <f t="shared" si="3"/>
        <v>LOW RISK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3.2" x14ac:dyDescent="0.25">
      <c r="A967" s="4">
        <v>1358</v>
      </c>
      <c r="B967" s="4" t="s">
        <v>45</v>
      </c>
      <c r="C967" s="4" t="str">
        <f>FEATURES!L967</f>
        <v>NORMAL</v>
      </c>
      <c r="D967" s="4" t="str">
        <f>FEATURES!R967</f>
        <v>LOW</v>
      </c>
      <c r="E967" s="4" t="str">
        <f>FEATURES!Q967</f>
        <v>DISENGAGED</v>
      </c>
      <c r="F967" s="4" t="str">
        <f>FEATURES!P967</f>
        <v>Low_Pressure</v>
      </c>
      <c r="G967" s="4" t="str">
        <f>FEATURES!M967</f>
        <v>LOW</v>
      </c>
      <c r="H967" s="4" t="str">
        <f>FEATURES!O967</f>
        <v>RECENTLY PROMOTED</v>
      </c>
      <c r="I967" s="4" t="str">
        <f t="shared" si="3"/>
        <v>LOW RISK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3.2" x14ac:dyDescent="0.25">
      <c r="A968" s="4">
        <v>1360</v>
      </c>
      <c r="B968" s="4" t="s">
        <v>45</v>
      </c>
      <c r="C968" s="4" t="str">
        <f>FEATURES!L968</f>
        <v>HIGH RISK</v>
      </c>
      <c r="D968" s="4" t="str">
        <f>FEATURES!R968</f>
        <v>LOW</v>
      </c>
      <c r="E968" s="4" t="str">
        <f>FEATURES!Q968</f>
        <v>DISENGAGED</v>
      </c>
      <c r="F968" s="4" t="str">
        <f>FEATURES!P968</f>
        <v>High_Pressure</v>
      </c>
      <c r="G968" s="4" t="str">
        <f>FEATURES!M968</f>
        <v>MEDIUM</v>
      </c>
      <c r="H968" s="4" t="str">
        <f>FEATURES!O968</f>
        <v>STAGNANT</v>
      </c>
      <c r="I968" s="4" t="str">
        <f t="shared" si="3"/>
        <v>LOW RISK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3.2" x14ac:dyDescent="0.25">
      <c r="A969" s="4">
        <v>1361</v>
      </c>
      <c r="B969" s="4" t="s">
        <v>45</v>
      </c>
      <c r="C969" s="4" t="str">
        <f>FEATURES!L969</f>
        <v>NORMAL</v>
      </c>
      <c r="D969" s="4" t="str">
        <f>FEATURES!R969</f>
        <v>LOW</v>
      </c>
      <c r="E969" s="4" t="str">
        <f>FEATURES!Q969</f>
        <v>DISENGAGED</v>
      </c>
      <c r="F969" s="4" t="str">
        <f>FEATURES!P969</f>
        <v>Medium_Pressure</v>
      </c>
      <c r="G969" s="4" t="str">
        <f>FEATURES!M969</f>
        <v>LOW</v>
      </c>
      <c r="H969" s="4" t="str">
        <f>FEATURES!O969</f>
        <v>RECENTLY PROMOTED</v>
      </c>
      <c r="I969" s="4" t="str">
        <f t="shared" si="3"/>
        <v>LOW RISK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3.2" x14ac:dyDescent="0.25">
      <c r="A970" s="4">
        <v>1362</v>
      </c>
      <c r="B970" s="4" t="s">
        <v>37</v>
      </c>
      <c r="C970" s="4" t="str">
        <f>FEATURES!L970</f>
        <v>NORMAL</v>
      </c>
      <c r="D970" s="4" t="str">
        <f>FEATURES!R970</f>
        <v>LOW</v>
      </c>
      <c r="E970" s="4" t="str">
        <f>FEATURES!Q970</f>
        <v>DISENGAGED</v>
      </c>
      <c r="F970" s="4" t="str">
        <f>FEATURES!P970</f>
        <v>Low_Pressure</v>
      </c>
      <c r="G970" s="4" t="str">
        <f>FEATURES!M970</f>
        <v>HIGH</v>
      </c>
      <c r="H970" s="4" t="str">
        <f>FEATURES!O970</f>
        <v>STAGNANT</v>
      </c>
      <c r="I970" s="4" t="str">
        <f t="shared" si="3"/>
        <v>LOW RISK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3.2" x14ac:dyDescent="0.25">
      <c r="A971" s="4">
        <v>1363</v>
      </c>
      <c r="B971" s="4" t="s">
        <v>45</v>
      </c>
      <c r="C971" s="4" t="str">
        <f>FEATURES!L971</f>
        <v>NORMAL</v>
      </c>
      <c r="D971" s="4" t="str">
        <f>FEATURES!R971</f>
        <v>LOW</v>
      </c>
      <c r="E971" s="4" t="str">
        <f>FEATURES!Q971</f>
        <v>HIGHLY_ENGAGED</v>
      </c>
      <c r="F971" s="4" t="str">
        <f>FEATURES!P971</f>
        <v>Medium_Pressure</v>
      </c>
      <c r="G971" s="4" t="str">
        <f>FEATURES!M971</f>
        <v>HIGH</v>
      </c>
      <c r="H971" s="4" t="str">
        <f>FEATURES!O971</f>
        <v>RECENTLY PROMOTED</v>
      </c>
      <c r="I971" s="4" t="str">
        <f t="shared" si="3"/>
        <v>LOW RISK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3.2" x14ac:dyDescent="0.25">
      <c r="A972" s="4">
        <v>1364</v>
      </c>
      <c r="B972" s="4" t="s">
        <v>37</v>
      </c>
      <c r="C972" s="4" t="str">
        <f>FEATURES!L972</f>
        <v>NORMAL</v>
      </c>
      <c r="D972" s="4" t="str">
        <f>FEATURES!R972</f>
        <v>LOW</v>
      </c>
      <c r="E972" s="4" t="str">
        <f>FEATURES!Q972</f>
        <v>HIGHLY_ENGAGED</v>
      </c>
      <c r="F972" s="4" t="str">
        <f>FEATURES!P972</f>
        <v>Medium_Pressure</v>
      </c>
      <c r="G972" s="4" t="str">
        <f>FEATURES!M972</f>
        <v>LOW</v>
      </c>
      <c r="H972" s="4" t="str">
        <f>FEATURES!O972</f>
        <v>RECENTLY PROMOTED</v>
      </c>
      <c r="I972" s="4" t="str">
        <f t="shared" si="3"/>
        <v>LOW RISK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3.2" x14ac:dyDescent="0.25">
      <c r="A973" s="4">
        <v>1367</v>
      </c>
      <c r="B973" s="4" t="s">
        <v>45</v>
      </c>
      <c r="C973" s="4" t="str">
        <f>FEATURES!L973</f>
        <v>NORMAL</v>
      </c>
      <c r="D973" s="4" t="str">
        <f>FEATURES!R973</f>
        <v>LOW</v>
      </c>
      <c r="E973" s="4" t="str">
        <f>FEATURES!Q973</f>
        <v>DISENGAGED</v>
      </c>
      <c r="F973" s="4" t="str">
        <f>FEATURES!P973</f>
        <v>Low_Pressure</v>
      </c>
      <c r="G973" s="4" t="str">
        <f>FEATURES!M973</f>
        <v>MEDIUM</v>
      </c>
      <c r="H973" s="4" t="str">
        <f>FEATURES!O973</f>
        <v>RECENTLY PROMOTED</v>
      </c>
      <c r="I973" s="4" t="str">
        <f t="shared" si="3"/>
        <v>LOW RISK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3.2" x14ac:dyDescent="0.25">
      <c r="A974" s="4">
        <v>1368</v>
      </c>
      <c r="B974" s="4" t="s">
        <v>45</v>
      </c>
      <c r="C974" s="4" t="str">
        <f>FEATURES!L974</f>
        <v>NORMAL</v>
      </c>
      <c r="D974" s="4" t="str">
        <f>FEATURES!R974</f>
        <v>LOW</v>
      </c>
      <c r="E974" s="4" t="str">
        <f>FEATURES!Q974</f>
        <v>HIGHLY_ENGAGED</v>
      </c>
      <c r="F974" s="4" t="str">
        <f>FEATURES!P974</f>
        <v>Low_Pressure</v>
      </c>
      <c r="G974" s="4" t="str">
        <f>FEATURES!M974</f>
        <v>LOW</v>
      </c>
      <c r="H974" s="4" t="str">
        <f>FEATURES!O974</f>
        <v>RECENTLY PROMOTED</v>
      </c>
      <c r="I974" s="4" t="str">
        <f t="shared" si="3"/>
        <v>LOW RISK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3.2" x14ac:dyDescent="0.25">
      <c r="A975" s="4">
        <v>1369</v>
      </c>
      <c r="B975" s="4" t="s">
        <v>45</v>
      </c>
      <c r="C975" s="4" t="str">
        <f>FEATURES!L975</f>
        <v>NORMAL</v>
      </c>
      <c r="D975" s="4" t="str">
        <f>FEATURES!R975</f>
        <v>LOW</v>
      </c>
      <c r="E975" s="4" t="str">
        <f>FEATURES!Q975</f>
        <v>HIGHLY_ENGAGED</v>
      </c>
      <c r="F975" s="4" t="str">
        <f>FEATURES!P975</f>
        <v>Medium_Pressure</v>
      </c>
      <c r="G975" s="4" t="str">
        <f>FEATURES!M975</f>
        <v>HIGH</v>
      </c>
      <c r="H975" s="4" t="str">
        <f>FEATURES!O975</f>
        <v>RECENTLY PROMOTED</v>
      </c>
      <c r="I975" s="4" t="str">
        <f t="shared" si="3"/>
        <v>LOW RISK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3.2" x14ac:dyDescent="0.25">
      <c r="A976" s="4">
        <v>1371</v>
      </c>
      <c r="B976" s="4" t="s">
        <v>37</v>
      </c>
      <c r="C976" s="4" t="str">
        <f>FEATURES!L976</f>
        <v>NORMAL</v>
      </c>
      <c r="D976" s="4" t="str">
        <f>FEATURES!R976</f>
        <v>LOW</v>
      </c>
      <c r="E976" s="4" t="str">
        <f>FEATURES!Q976</f>
        <v>HIGHLY_ENGAGED</v>
      </c>
      <c r="F976" s="4" t="str">
        <f>FEATURES!P976</f>
        <v>Medium_Pressure</v>
      </c>
      <c r="G976" s="4" t="str">
        <f>FEATURES!M976</f>
        <v>HIGH</v>
      </c>
      <c r="H976" s="4" t="str">
        <f>FEATURES!O976</f>
        <v>RECENTLY PROMOTED</v>
      </c>
      <c r="I976" s="4" t="str">
        <f t="shared" si="3"/>
        <v>LOW RISK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3.2" x14ac:dyDescent="0.25">
      <c r="A977" s="4">
        <v>1372</v>
      </c>
      <c r="B977" s="4" t="s">
        <v>37</v>
      </c>
      <c r="C977" s="4" t="str">
        <f>FEATURES!L977</f>
        <v>NORMAL</v>
      </c>
      <c r="D977" s="4" t="str">
        <f>FEATURES!R977</f>
        <v>LOW</v>
      </c>
      <c r="E977" s="4" t="str">
        <f>FEATURES!Q977</f>
        <v>DISENGAGED</v>
      </c>
      <c r="F977" s="4" t="str">
        <f>FEATURES!P977</f>
        <v>High_Pressure</v>
      </c>
      <c r="G977" s="4" t="str">
        <f>FEATURES!M977</f>
        <v>MEDIUM</v>
      </c>
      <c r="H977" s="4" t="str">
        <f>FEATURES!O977</f>
        <v>MODERATE-WAIT</v>
      </c>
      <c r="I977" s="4" t="str">
        <f t="shared" si="3"/>
        <v>LOW RISK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3.2" x14ac:dyDescent="0.25">
      <c r="A978" s="4">
        <v>1373</v>
      </c>
      <c r="B978" s="4" t="s">
        <v>45</v>
      </c>
      <c r="C978" s="4" t="str">
        <f>FEATURES!L978</f>
        <v>HIGH RISK</v>
      </c>
      <c r="D978" s="4" t="str">
        <f>FEATURES!R978</f>
        <v>LOW</v>
      </c>
      <c r="E978" s="4" t="str">
        <f>FEATURES!Q978</f>
        <v>DISENGAGED</v>
      </c>
      <c r="F978" s="4" t="str">
        <f>FEATURES!P978</f>
        <v>Medium_Pressure</v>
      </c>
      <c r="G978" s="4" t="str">
        <f>FEATURES!M978</f>
        <v>MEDIUM</v>
      </c>
      <c r="H978" s="4" t="str">
        <f>FEATURES!O978</f>
        <v>STAGNANT</v>
      </c>
      <c r="I978" s="4" t="str">
        <f t="shared" si="3"/>
        <v>LOW RISK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3.2" x14ac:dyDescent="0.25">
      <c r="A979" s="4">
        <v>1374</v>
      </c>
      <c r="B979" s="4" t="s">
        <v>45</v>
      </c>
      <c r="C979" s="4" t="str">
        <f>FEATURES!L979</f>
        <v>NORMAL</v>
      </c>
      <c r="D979" s="4" t="str">
        <f>FEATURES!R979</f>
        <v>LOW</v>
      </c>
      <c r="E979" s="4" t="str">
        <f>FEATURES!Q979</f>
        <v>HIGHLY_ENGAGED</v>
      </c>
      <c r="F979" s="4" t="str">
        <f>FEATURES!P979</f>
        <v>Medium_Pressure</v>
      </c>
      <c r="G979" s="4" t="str">
        <f>FEATURES!M979</f>
        <v>LOW</v>
      </c>
      <c r="H979" s="4" t="str">
        <f>FEATURES!O979</f>
        <v>RECENTLY PROMOTED</v>
      </c>
      <c r="I979" s="4" t="str">
        <f t="shared" si="3"/>
        <v>LOW RISK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3.2" x14ac:dyDescent="0.25">
      <c r="A980" s="4">
        <v>1375</v>
      </c>
      <c r="B980" s="4" t="s">
        <v>45</v>
      </c>
      <c r="C980" s="4" t="str">
        <f>FEATURES!L980</f>
        <v>NORMAL</v>
      </c>
      <c r="D980" s="4" t="str">
        <f>FEATURES!R980</f>
        <v>LOW</v>
      </c>
      <c r="E980" s="4" t="str">
        <f>FEATURES!Q980</f>
        <v>HIGHLY_ENGAGED</v>
      </c>
      <c r="F980" s="4" t="str">
        <f>FEATURES!P980</f>
        <v>Medium_Pressure</v>
      </c>
      <c r="G980" s="4" t="str">
        <f>FEATURES!M980</f>
        <v>HIGH</v>
      </c>
      <c r="H980" s="4" t="str">
        <f>FEATURES!O980</f>
        <v>STAGNANT</v>
      </c>
      <c r="I980" s="4" t="str">
        <f t="shared" si="3"/>
        <v>LOW RISK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3.2" x14ac:dyDescent="0.25">
      <c r="A981" s="4">
        <v>1377</v>
      </c>
      <c r="B981" s="4" t="s">
        <v>45</v>
      </c>
      <c r="C981" s="4" t="str">
        <f>FEATURES!L981</f>
        <v>NORMAL</v>
      </c>
      <c r="D981" s="4" t="str">
        <f>FEATURES!R981</f>
        <v>LOW</v>
      </c>
      <c r="E981" s="4" t="str">
        <f>FEATURES!Q981</f>
        <v>HIGHLY_ENGAGED</v>
      </c>
      <c r="F981" s="4" t="str">
        <f>FEATURES!P981</f>
        <v>Medium_Pressure</v>
      </c>
      <c r="G981" s="4" t="str">
        <f>FEATURES!M981</f>
        <v>HIGH</v>
      </c>
      <c r="H981" s="4" t="str">
        <f>FEATURES!O981</f>
        <v>STAGNANT</v>
      </c>
      <c r="I981" s="4" t="str">
        <f t="shared" si="3"/>
        <v>LOW RISK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3.2" x14ac:dyDescent="0.25">
      <c r="A982" s="4">
        <v>1379</v>
      </c>
      <c r="B982" s="4" t="s">
        <v>37</v>
      </c>
      <c r="C982" s="4" t="str">
        <f>FEATURES!L982</f>
        <v>NORMAL</v>
      </c>
      <c r="D982" s="4" t="str">
        <f>FEATURES!R982</f>
        <v>LOW</v>
      </c>
      <c r="E982" s="4" t="str">
        <f>FEATURES!Q982</f>
        <v>HIGHLY_ENGAGED</v>
      </c>
      <c r="F982" s="4" t="str">
        <f>FEATURES!P982</f>
        <v>Low_Pressure</v>
      </c>
      <c r="G982" s="4" t="str">
        <f>FEATURES!M982</f>
        <v>LOW</v>
      </c>
      <c r="H982" s="4" t="str">
        <f>FEATURES!O982</f>
        <v>RECENTLY PROMOTED</v>
      </c>
      <c r="I982" s="4" t="str">
        <f t="shared" si="3"/>
        <v>LOW RISK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3.2" x14ac:dyDescent="0.25">
      <c r="A983" s="4">
        <v>1380</v>
      </c>
      <c r="B983" s="4" t="s">
        <v>37</v>
      </c>
      <c r="C983" s="4" t="str">
        <f>FEATURES!L983</f>
        <v>NORMAL</v>
      </c>
      <c r="D983" s="4" t="str">
        <f>FEATURES!R983</f>
        <v>LOW</v>
      </c>
      <c r="E983" s="4" t="str">
        <f>FEATURES!Q983</f>
        <v>DISENGAGED</v>
      </c>
      <c r="F983" s="4" t="str">
        <f>FEATURES!P983</f>
        <v>High_Pressure</v>
      </c>
      <c r="G983" s="4" t="str">
        <f>FEATURES!M983</f>
        <v>HIGH</v>
      </c>
      <c r="H983" s="4" t="str">
        <f>FEATURES!O983</f>
        <v>MODERATE-WAIT</v>
      </c>
      <c r="I983" s="4" t="str">
        <f t="shared" si="3"/>
        <v>LOW RISK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3.2" x14ac:dyDescent="0.25">
      <c r="A984" s="4">
        <v>1382</v>
      </c>
      <c r="B984" s="4" t="s">
        <v>45</v>
      </c>
      <c r="C984" s="4" t="str">
        <f>FEATURES!L984</f>
        <v>NORMAL</v>
      </c>
      <c r="D984" s="4" t="str">
        <f>FEATURES!R984</f>
        <v>LOW</v>
      </c>
      <c r="E984" s="4" t="str">
        <f>FEATURES!Q984</f>
        <v>HIGHLY_ENGAGED</v>
      </c>
      <c r="F984" s="4" t="str">
        <f>FEATURES!P984</f>
        <v>Medium_Pressure</v>
      </c>
      <c r="G984" s="4" t="str">
        <f>FEATURES!M984</f>
        <v>LOW</v>
      </c>
      <c r="H984" s="4" t="str">
        <f>FEATURES!O984</f>
        <v>RECENTLY PROMOTED</v>
      </c>
      <c r="I984" s="4" t="str">
        <f t="shared" si="3"/>
        <v>LOW RISK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3.2" x14ac:dyDescent="0.25">
      <c r="A985" s="4">
        <v>1383</v>
      </c>
      <c r="B985" s="4" t="s">
        <v>45</v>
      </c>
      <c r="C985" s="4" t="str">
        <f>FEATURES!L985</f>
        <v>NORMAL</v>
      </c>
      <c r="D985" s="4" t="str">
        <f>FEATURES!R985</f>
        <v>LOW</v>
      </c>
      <c r="E985" s="4" t="str">
        <f>FEATURES!Q985</f>
        <v>HIGHLY_ENGAGED</v>
      </c>
      <c r="F985" s="4" t="str">
        <f>FEATURES!P985</f>
        <v>Low_Pressure</v>
      </c>
      <c r="G985" s="4" t="str">
        <f>FEATURES!M985</f>
        <v>HIGH</v>
      </c>
      <c r="H985" s="4" t="str">
        <f>FEATURES!O985</f>
        <v>STAGNANT</v>
      </c>
      <c r="I985" s="4" t="str">
        <f t="shared" si="3"/>
        <v>LOW RISK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3.2" x14ac:dyDescent="0.25">
      <c r="A986" s="4">
        <v>1387</v>
      </c>
      <c r="B986" s="4" t="s">
        <v>37</v>
      </c>
      <c r="C986" s="4" t="str">
        <f>FEATURES!L986</f>
        <v>NORMAL</v>
      </c>
      <c r="D986" s="4" t="str">
        <f>FEATURES!R986</f>
        <v>LOW</v>
      </c>
      <c r="E986" s="4" t="str">
        <f>FEATURES!Q986</f>
        <v>DISENGAGED</v>
      </c>
      <c r="F986" s="4" t="str">
        <f>FEATURES!P986</f>
        <v>Medium_Pressure</v>
      </c>
      <c r="G986" s="4" t="str">
        <f>FEATURES!M986</f>
        <v>HIGH</v>
      </c>
      <c r="H986" s="4" t="str">
        <f>FEATURES!O986</f>
        <v>RECENTLY PROMOTED</v>
      </c>
      <c r="I986" s="4" t="str">
        <f t="shared" si="3"/>
        <v>LOW RISK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3.2" x14ac:dyDescent="0.25">
      <c r="A987" s="4">
        <v>1389</v>
      </c>
      <c r="B987" s="4" t="s">
        <v>45</v>
      </c>
      <c r="C987" s="4" t="str">
        <f>FEATURES!L987</f>
        <v>NORMAL</v>
      </c>
      <c r="D987" s="4" t="str">
        <f>FEATURES!R987</f>
        <v>LOW</v>
      </c>
      <c r="E987" s="4" t="str">
        <f>FEATURES!Q987</f>
        <v>DISENGAGED</v>
      </c>
      <c r="F987" s="4" t="str">
        <f>FEATURES!P987</f>
        <v>High_Pressure</v>
      </c>
      <c r="G987" s="4" t="str">
        <f>FEATURES!M987</f>
        <v>HIGH</v>
      </c>
      <c r="H987" s="4" t="str">
        <f>FEATURES!O987</f>
        <v>STAGNANT</v>
      </c>
      <c r="I987" s="4" t="str">
        <f t="shared" si="3"/>
        <v>LOW RISK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3.2" x14ac:dyDescent="0.25">
      <c r="A988" s="4">
        <v>1390</v>
      </c>
      <c r="B988" s="4" t="s">
        <v>37</v>
      </c>
      <c r="C988" s="4" t="str">
        <f>FEATURES!L988</f>
        <v>NORMAL</v>
      </c>
      <c r="D988" s="4" t="str">
        <f>FEATURES!R988</f>
        <v>LOW</v>
      </c>
      <c r="E988" s="4" t="str">
        <f>FEATURES!Q988</f>
        <v>HIGHLY_ENGAGED</v>
      </c>
      <c r="F988" s="4" t="str">
        <f>FEATURES!P988</f>
        <v>Medium_Pressure</v>
      </c>
      <c r="G988" s="4" t="str">
        <f>FEATURES!M988</f>
        <v>HIGH</v>
      </c>
      <c r="H988" s="4" t="str">
        <f>FEATURES!O988</f>
        <v>RECENTLY PROMOTED</v>
      </c>
      <c r="I988" s="4" t="str">
        <f t="shared" si="3"/>
        <v>LOW RISK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3.2" x14ac:dyDescent="0.25">
      <c r="A989" s="4">
        <v>1391</v>
      </c>
      <c r="B989" s="4" t="s">
        <v>37</v>
      </c>
      <c r="C989" s="4" t="str">
        <f>FEATURES!L989</f>
        <v>NORMAL</v>
      </c>
      <c r="D989" s="4" t="str">
        <f>FEATURES!R989</f>
        <v>LOW</v>
      </c>
      <c r="E989" s="4" t="str">
        <f>FEATURES!Q989</f>
        <v>DISENGAGED</v>
      </c>
      <c r="F989" s="4" t="str">
        <f>FEATURES!P989</f>
        <v>Medium_Pressure</v>
      </c>
      <c r="G989" s="4" t="str">
        <f>FEATURES!M989</f>
        <v>MEDIUM</v>
      </c>
      <c r="H989" s="4" t="str">
        <f>FEATURES!O989</f>
        <v>MODERATE-WAIT</v>
      </c>
      <c r="I989" s="4" t="str">
        <f t="shared" si="3"/>
        <v>LOW RISK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3.2" x14ac:dyDescent="0.25">
      <c r="A990" s="4">
        <v>1392</v>
      </c>
      <c r="B990" s="4" t="s">
        <v>45</v>
      </c>
      <c r="C990" s="4" t="str">
        <f>FEATURES!L990</f>
        <v>NORMAL</v>
      </c>
      <c r="D990" s="4" t="str">
        <f>FEATURES!R990</f>
        <v>LOW</v>
      </c>
      <c r="E990" s="4" t="str">
        <f>FEATURES!Q990</f>
        <v>DISENGAGED</v>
      </c>
      <c r="F990" s="4" t="str">
        <f>FEATURES!P990</f>
        <v>High_Pressure</v>
      </c>
      <c r="G990" s="4" t="str">
        <f>FEATURES!M990</f>
        <v>HIGH</v>
      </c>
      <c r="H990" s="4" t="str">
        <f>FEATURES!O990</f>
        <v>MODERATE-WAIT</v>
      </c>
      <c r="I990" s="4" t="str">
        <f t="shared" si="3"/>
        <v>LOW RISK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3.2" x14ac:dyDescent="0.25">
      <c r="A991" s="4">
        <v>1394</v>
      </c>
      <c r="B991" s="4" t="s">
        <v>45</v>
      </c>
      <c r="C991" s="4" t="str">
        <f>FEATURES!L991</f>
        <v>NORMAL</v>
      </c>
      <c r="D991" s="4" t="str">
        <f>FEATURES!R991</f>
        <v>LOW</v>
      </c>
      <c r="E991" s="4" t="str">
        <f>FEATURES!Q991</f>
        <v>HIGHLY_ENGAGED</v>
      </c>
      <c r="F991" s="4" t="str">
        <f>FEATURES!P991</f>
        <v>Medium_Pressure</v>
      </c>
      <c r="G991" s="4" t="str">
        <f>FEATURES!M991</f>
        <v>LOW</v>
      </c>
      <c r="H991" s="4" t="str">
        <f>FEATURES!O991</f>
        <v>RECENTLY PROMOTED</v>
      </c>
      <c r="I991" s="4" t="str">
        <f t="shared" si="3"/>
        <v>LOW RISK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3.2" x14ac:dyDescent="0.25">
      <c r="A992" s="4">
        <v>1395</v>
      </c>
      <c r="B992" s="4" t="s">
        <v>37</v>
      </c>
      <c r="C992" s="4" t="str">
        <f>FEATURES!L992</f>
        <v>NORMAL</v>
      </c>
      <c r="D992" s="4" t="str">
        <f>FEATURES!R992</f>
        <v>LOW</v>
      </c>
      <c r="E992" s="4" t="str">
        <f>FEATURES!Q992</f>
        <v>HIGHLY_ENGAGED</v>
      </c>
      <c r="F992" s="4" t="str">
        <f>FEATURES!P992</f>
        <v>Low_Pressure</v>
      </c>
      <c r="G992" s="4" t="str">
        <f>FEATURES!M992</f>
        <v>MEDIUM</v>
      </c>
      <c r="H992" s="4" t="str">
        <f>FEATURES!O992</f>
        <v>RECENTLY PROMOTED</v>
      </c>
      <c r="I992" s="4" t="str">
        <f t="shared" si="3"/>
        <v>LOW RISK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3.2" x14ac:dyDescent="0.25">
      <c r="A993" s="4">
        <v>1396</v>
      </c>
      <c r="B993" s="4" t="s">
        <v>37</v>
      </c>
      <c r="C993" s="4" t="str">
        <f>FEATURES!L993</f>
        <v>NORMAL</v>
      </c>
      <c r="D993" s="4" t="str">
        <f>FEATURES!R993</f>
        <v>LOW</v>
      </c>
      <c r="E993" s="4" t="str">
        <f>FEATURES!Q993</f>
        <v>DISENGAGED</v>
      </c>
      <c r="F993" s="4" t="str">
        <f>FEATURES!P993</f>
        <v>High_Pressure</v>
      </c>
      <c r="G993" s="4" t="str">
        <f>FEATURES!M993</f>
        <v>HIGH</v>
      </c>
      <c r="H993" s="4" t="str">
        <f>FEATURES!O993</f>
        <v>RECENTLY PROMOTED</v>
      </c>
      <c r="I993" s="4" t="str">
        <f t="shared" si="3"/>
        <v>LOW RISK</v>
      </c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3.2" x14ac:dyDescent="0.25">
      <c r="A994" s="4">
        <v>1397</v>
      </c>
      <c r="B994" s="4" t="s">
        <v>45</v>
      </c>
      <c r="C994" s="4" t="str">
        <f>FEATURES!L994</f>
        <v>NORMAL</v>
      </c>
      <c r="D994" s="4" t="str">
        <f>FEATURES!R994</f>
        <v>LOW</v>
      </c>
      <c r="E994" s="4" t="str">
        <f>FEATURES!Q994</f>
        <v>HIGHLY_ENGAGED</v>
      </c>
      <c r="F994" s="4" t="str">
        <f>FEATURES!P994</f>
        <v>Medium_Pressure</v>
      </c>
      <c r="G994" s="4" t="str">
        <f>FEATURES!M994</f>
        <v>MEDIUM</v>
      </c>
      <c r="H994" s="4" t="str">
        <f>FEATURES!O994</f>
        <v>RECENTLY PROMOTED</v>
      </c>
      <c r="I994" s="4" t="str">
        <f t="shared" si="3"/>
        <v>LOW RISK</v>
      </c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3.2" x14ac:dyDescent="0.25">
      <c r="A995" s="4">
        <v>1399</v>
      </c>
      <c r="B995" s="4" t="s">
        <v>37</v>
      </c>
      <c r="C995" s="4" t="str">
        <f>FEATURES!L995</f>
        <v>NORMAL</v>
      </c>
      <c r="D995" s="4" t="str">
        <f>FEATURES!R995</f>
        <v>LOW</v>
      </c>
      <c r="E995" s="4" t="str">
        <f>FEATURES!Q995</f>
        <v>DISENGAGED</v>
      </c>
      <c r="F995" s="4" t="str">
        <f>FEATURES!P995</f>
        <v>Low_Pressure</v>
      </c>
      <c r="G995" s="4" t="str">
        <f>FEATURES!M995</f>
        <v>HIGH</v>
      </c>
      <c r="H995" s="4" t="str">
        <f>FEATURES!O995</f>
        <v>RECENTLY PROMOTED</v>
      </c>
      <c r="I995" s="4" t="str">
        <f t="shared" si="3"/>
        <v>LOW RISK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3.2" x14ac:dyDescent="0.25">
      <c r="A996" s="4">
        <v>1401</v>
      </c>
      <c r="B996" s="4" t="s">
        <v>45</v>
      </c>
      <c r="C996" s="4" t="str">
        <f>FEATURES!L996</f>
        <v>NORMAL</v>
      </c>
      <c r="D996" s="4" t="str">
        <f>FEATURES!R996</f>
        <v>LOW</v>
      </c>
      <c r="E996" s="4" t="str">
        <f>FEATURES!Q996</f>
        <v>DISENGAGED</v>
      </c>
      <c r="F996" s="4" t="str">
        <f>FEATURES!P996</f>
        <v>High_Pressure</v>
      </c>
      <c r="G996" s="4" t="str">
        <f>FEATURES!M996</f>
        <v>MEDIUM</v>
      </c>
      <c r="H996" s="4" t="str">
        <f>FEATURES!O996</f>
        <v>RECENTLY PROMOTED</v>
      </c>
      <c r="I996" s="4" t="str">
        <f t="shared" si="3"/>
        <v>LOW RISK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3.2" x14ac:dyDescent="0.25">
      <c r="A997" s="4">
        <v>1402</v>
      </c>
      <c r="B997" s="4" t="s">
        <v>45</v>
      </c>
      <c r="C997" s="4" t="str">
        <f>FEATURES!L997</f>
        <v>NORMAL</v>
      </c>
      <c r="D997" s="4" t="str">
        <f>FEATURES!R997</f>
        <v>LOW</v>
      </c>
      <c r="E997" s="4" t="str">
        <f>FEATURES!Q997</f>
        <v>DISENGAGED</v>
      </c>
      <c r="F997" s="4" t="str">
        <f>FEATURES!P997</f>
        <v>High_Pressure</v>
      </c>
      <c r="G997" s="4" t="str">
        <f>FEATURES!M997</f>
        <v>HIGH</v>
      </c>
      <c r="H997" s="4" t="str">
        <f>FEATURES!O997</f>
        <v>RECENTLY PROMOTED</v>
      </c>
      <c r="I997" s="4" t="str">
        <f t="shared" si="3"/>
        <v>LOW RISK</v>
      </c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3.2" x14ac:dyDescent="0.25">
      <c r="A998" s="4">
        <v>1403</v>
      </c>
      <c r="B998" s="4" t="s">
        <v>37</v>
      </c>
      <c r="C998" s="4" t="str">
        <f>FEATURES!L998</f>
        <v>NORMAL</v>
      </c>
      <c r="D998" s="4" t="str">
        <f>FEATURES!R998</f>
        <v>LOW</v>
      </c>
      <c r="E998" s="4" t="str">
        <f>FEATURES!Q998</f>
        <v>HIGHLY_ENGAGED</v>
      </c>
      <c r="F998" s="4" t="str">
        <f>FEATURES!P998</f>
        <v>Medium_Pressure</v>
      </c>
      <c r="G998" s="4" t="str">
        <f>FEATURES!M998</f>
        <v>HIGH</v>
      </c>
      <c r="H998" s="4" t="str">
        <f>FEATURES!O998</f>
        <v>STAGNANT</v>
      </c>
      <c r="I998" s="4" t="str">
        <f t="shared" si="3"/>
        <v>LOW RISK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3.2" x14ac:dyDescent="0.25">
      <c r="A999" s="4">
        <v>1405</v>
      </c>
      <c r="B999" s="4" t="s">
        <v>45</v>
      </c>
      <c r="C999" s="4" t="str">
        <f>FEATURES!L999</f>
        <v>NORMAL</v>
      </c>
      <c r="D999" s="4" t="str">
        <f>FEATURES!R999</f>
        <v>LOW</v>
      </c>
      <c r="E999" s="4" t="str">
        <f>FEATURES!Q999</f>
        <v>HIGHLY_ENGAGED</v>
      </c>
      <c r="F999" s="4" t="str">
        <f>FEATURES!P999</f>
        <v>Medium_Pressure</v>
      </c>
      <c r="G999" s="4" t="str">
        <f>FEATURES!M999</f>
        <v>LOW</v>
      </c>
      <c r="H999" s="4" t="str">
        <f>FEATURES!O999</f>
        <v>STAGNANT</v>
      </c>
      <c r="I999" s="4" t="str">
        <f t="shared" si="3"/>
        <v>LOW RISK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3.2" x14ac:dyDescent="0.25">
      <c r="A1000" s="4">
        <v>1407</v>
      </c>
      <c r="B1000" s="4" t="s">
        <v>45</v>
      </c>
      <c r="C1000" s="4" t="str">
        <f>FEATURES!L1000</f>
        <v>NORMAL</v>
      </c>
      <c r="D1000" s="4" t="str">
        <f>FEATURES!R1000</f>
        <v>LOW</v>
      </c>
      <c r="E1000" s="4" t="str">
        <f>FEATURES!Q1000</f>
        <v>HIGHLY_ENGAGED</v>
      </c>
      <c r="F1000" s="4" t="str">
        <f>FEATURES!P1000</f>
        <v>Medium_Pressure</v>
      </c>
      <c r="G1000" s="4" t="str">
        <f>FEATURES!M1000</f>
        <v>LOW</v>
      </c>
      <c r="H1000" s="4" t="str">
        <f>FEATURES!O1000</f>
        <v>RECENTLY PROMOTED</v>
      </c>
      <c r="I1000" s="4" t="str">
        <f t="shared" si="3"/>
        <v>LOW RISK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3.2" x14ac:dyDescent="0.25">
      <c r="A1001" s="4">
        <v>1408</v>
      </c>
      <c r="B1001" s="4" t="s">
        <v>61</v>
      </c>
      <c r="C1001" s="4" t="str">
        <f>FEATURES!L1001</f>
        <v>NORMAL</v>
      </c>
      <c r="D1001" s="4" t="str">
        <f>FEATURES!R1001</f>
        <v>LOW</v>
      </c>
      <c r="E1001" s="4" t="str">
        <f>FEATURES!Q1001</f>
        <v>DISENGAGED</v>
      </c>
      <c r="F1001" s="4" t="str">
        <f>FEATURES!P1001</f>
        <v>Medium_Pressure</v>
      </c>
      <c r="G1001" s="4" t="str">
        <f>FEATURES!M1001</f>
        <v>MEDIUM</v>
      </c>
      <c r="H1001" s="4" t="str">
        <f>FEATURES!O1001</f>
        <v>RECENTLY PROMOTED</v>
      </c>
      <c r="I1001" s="4" t="str">
        <f t="shared" si="3"/>
        <v>LOW RISK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3.2" x14ac:dyDescent="0.25">
      <c r="A1002" s="4">
        <v>1409</v>
      </c>
      <c r="B1002" s="4" t="s">
        <v>45</v>
      </c>
      <c r="C1002" s="4" t="str">
        <f>FEATURES!L1002</f>
        <v>NORMAL</v>
      </c>
      <c r="D1002" s="4" t="str">
        <f>FEATURES!R1002</f>
        <v>LOW</v>
      </c>
      <c r="E1002" s="4" t="str">
        <f>FEATURES!Q1002</f>
        <v>DISENGAGED</v>
      </c>
      <c r="F1002" s="4" t="str">
        <f>FEATURES!P1002</f>
        <v>Low_Pressure</v>
      </c>
      <c r="G1002" s="4" t="str">
        <f>FEATURES!M1002</f>
        <v>LOW</v>
      </c>
      <c r="H1002" s="4" t="str">
        <f>FEATURES!O1002</f>
        <v>RECENTLY PROMOTED</v>
      </c>
      <c r="I1002" s="4" t="str">
        <f t="shared" si="3"/>
        <v>LOW RISK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3.2" x14ac:dyDescent="0.25">
      <c r="A1003" s="4">
        <v>1411</v>
      </c>
      <c r="B1003" s="4" t="s">
        <v>45</v>
      </c>
      <c r="C1003" s="4" t="str">
        <f>FEATURES!L1003</f>
        <v>NORMAL</v>
      </c>
      <c r="D1003" s="4" t="str">
        <f>FEATURES!R1003</f>
        <v>LOW</v>
      </c>
      <c r="E1003" s="4" t="str">
        <f>FEATURES!Q1003</f>
        <v>HIGHLY_ENGAGED</v>
      </c>
      <c r="F1003" s="4" t="str">
        <f>FEATURES!P1003</f>
        <v>Medium_Pressure</v>
      </c>
      <c r="G1003" s="4" t="str">
        <f>FEATURES!M1003</f>
        <v>LOW</v>
      </c>
      <c r="H1003" s="4" t="str">
        <f>FEATURES!O1003</f>
        <v>RECENTLY PROMOTED</v>
      </c>
      <c r="I1003" s="4" t="str">
        <f t="shared" si="3"/>
        <v>LOW RISK</v>
      </c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3.2" x14ac:dyDescent="0.25">
      <c r="A1004" s="4">
        <v>1412</v>
      </c>
      <c r="B1004" s="4" t="s">
        <v>45</v>
      </c>
      <c r="C1004" s="4" t="str">
        <f>FEATURES!L1004</f>
        <v>NORMAL</v>
      </c>
      <c r="D1004" s="4" t="str">
        <f>FEATURES!R1004</f>
        <v>LOW</v>
      </c>
      <c r="E1004" s="4" t="str">
        <f>FEATURES!Q1004</f>
        <v>HIGHLY_ENGAGED</v>
      </c>
      <c r="F1004" s="4" t="str">
        <f>FEATURES!P1004</f>
        <v>Medium_Pressure</v>
      </c>
      <c r="G1004" s="4" t="str">
        <f>FEATURES!M1004</f>
        <v>MEDIUM</v>
      </c>
      <c r="H1004" s="4" t="str">
        <f>FEATURES!O1004</f>
        <v>MODERATE-WAIT</v>
      </c>
      <c r="I1004" s="4" t="str">
        <f t="shared" si="3"/>
        <v>LOW RISK</v>
      </c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3.2" x14ac:dyDescent="0.25">
      <c r="A1005" s="4">
        <v>1415</v>
      </c>
      <c r="B1005" s="4" t="s">
        <v>45</v>
      </c>
      <c r="C1005" s="4" t="str">
        <f>FEATURES!L1005</f>
        <v>NORMAL</v>
      </c>
      <c r="D1005" s="4" t="str">
        <f>FEATURES!R1005</f>
        <v>LOW</v>
      </c>
      <c r="E1005" s="4" t="str">
        <f>FEATURES!Q1005</f>
        <v>DISENGAGED</v>
      </c>
      <c r="F1005" s="4" t="str">
        <f>FEATURES!P1005</f>
        <v>Low_Pressure</v>
      </c>
      <c r="G1005" s="4" t="str">
        <f>FEATURES!M1005</f>
        <v>LOW</v>
      </c>
      <c r="H1005" s="4" t="str">
        <f>FEATURES!O1005</f>
        <v>RECENTLY PROMOTED</v>
      </c>
      <c r="I1005" s="4" t="str">
        <f t="shared" si="3"/>
        <v>LOW RISK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3.2" x14ac:dyDescent="0.25">
      <c r="A1006" s="4">
        <v>1417</v>
      </c>
      <c r="B1006" s="4" t="s">
        <v>45</v>
      </c>
      <c r="C1006" s="4" t="str">
        <f>FEATURES!L1006</f>
        <v>NORMAL</v>
      </c>
      <c r="D1006" s="4" t="str">
        <f>FEATURES!R1006</f>
        <v>LOW</v>
      </c>
      <c r="E1006" s="4" t="str">
        <f>FEATURES!Q1006</f>
        <v>DISENGAGED</v>
      </c>
      <c r="F1006" s="4" t="str">
        <f>FEATURES!P1006</f>
        <v>Medium_Pressure</v>
      </c>
      <c r="G1006" s="4" t="str">
        <f>FEATURES!M1006</f>
        <v>LOW</v>
      </c>
      <c r="H1006" s="4" t="str">
        <f>FEATURES!O1006</f>
        <v>RECENTLY PROMOTED</v>
      </c>
      <c r="I1006" s="4" t="str">
        <f t="shared" si="3"/>
        <v>LOW RISK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3.2" x14ac:dyDescent="0.25">
      <c r="A1007" s="4">
        <v>1419</v>
      </c>
      <c r="B1007" s="4" t="s">
        <v>61</v>
      </c>
      <c r="C1007" s="4" t="str">
        <f>FEATURES!L1007</f>
        <v>NORMAL</v>
      </c>
      <c r="D1007" s="4" t="str">
        <f>FEATURES!R1007</f>
        <v>LOW</v>
      </c>
      <c r="E1007" s="4" t="str">
        <f>FEATURES!Q1007</f>
        <v>DISENGAGED</v>
      </c>
      <c r="F1007" s="4" t="str">
        <f>FEATURES!P1007</f>
        <v>Low_Pressure</v>
      </c>
      <c r="G1007" s="4" t="str">
        <f>FEATURES!M1007</f>
        <v>HIGH</v>
      </c>
      <c r="H1007" s="4" t="str">
        <f>FEATURES!O1007</f>
        <v>RECENTLY PROMOTED</v>
      </c>
      <c r="I1007" s="4" t="str">
        <f t="shared" si="3"/>
        <v>LOW RISK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13.2" x14ac:dyDescent="0.25">
      <c r="A1008" s="4">
        <v>1420</v>
      </c>
      <c r="B1008" s="4" t="s">
        <v>45</v>
      </c>
      <c r="C1008" s="4" t="str">
        <f>FEATURES!L1008</f>
        <v>NORMAL</v>
      </c>
      <c r="D1008" s="4" t="str">
        <f>FEATURES!R1008</f>
        <v>LOW</v>
      </c>
      <c r="E1008" s="4" t="str">
        <f>FEATURES!Q1008</f>
        <v>DISENGAGED</v>
      </c>
      <c r="F1008" s="4" t="str">
        <f>FEATURES!P1008</f>
        <v>Medium_Pressure</v>
      </c>
      <c r="G1008" s="4" t="str">
        <f>FEATURES!M1008</f>
        <v>HIGH</v>
      </c>
      <c r="H1008" s="4" t="str">
        <f>FEATURES!O1008</f>
        <v>RECENTLY PROMOTED</v>
      </c>
      <c r="I1008" s="4" t="str">
        <f t="shared" si="3"/>
        <v>LOW RISK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 ht="13.2" x14ac:dyDescent="0.25">
      <c r="A1009" s="4">
        <v>1421</v>
      </c>
      <c r="B1009" s="4" t="s">
        <v>45</v>
      </c>
      <c r="C1009" s="4" t="str">
        <f>FEATURES!L1009</f>
        <v>NORMAL</v>
      </c>
      <c r="D1009" s="4" t="str">
        <f>FEATURES!R1009</f>
        <v>LOW</v>
      </c>
      <c r="E1009" s="4" t="str">
        <f>FEATURES!Q1009</f>
        <v>HIGHLY_ENGAGED</v>
      </c>
      <c r="F1009" s="4" t="str">
        <f>FEATURES!P1009</f>
        <v>Medium_Pressure</v>
      </c>
      <c r="G1009" s="4" t="str">
        <f>FEATURES!M1009</f>
        <v>HIGH</v>
      </c>
      <c r="H1009" s="4" t="str">
        <f>FEATURES!O1009</f>
        <v>STAGNANT</v>
      </c>
      <c r="I1009" s="4" t="str">
        <f t="shared" si="3"/>
        <v>LOW RISK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 ht="13.2" x14ac:dyDescent="0.25">
      <c r="A1010" s="4">
        <v>1422</v>
      </c>
      <c r="B1010" s="4" t="s">
        <v>45</v>
      </c>
      <c r="C1010" s="4" t="str">
        <f>FEATURES!L1010</f>
        <v>NORMAL</v>
      </c>
      <c r="D1010" s="4" t="str">
        <f>FEATURES!R1010</f>
        <v>LOW</v>
      </c>
      <c r="E1010" s="4" t="str">
        <f>FEATURES!Q1010</f>
        <v>DISENGAGED</v>
      </c>
      <c r="F1010" s="4" t="str">
        <f>FEATURES!P1010</f>
        <v>Low_Pressure</v>
      </c>
      <c r="G1010" s="4" t="str">
        <f>FEATURES!M1010</f>
        <v>MEDIUM</v>
      </c>
      <c r="H1010" s="4" t="str">
        <f>FEATURES!O1010</f>
        <v>STAGNANT</v>
      </c>
      <c r="I1010" s="4" t="str">
        <f t="shared" si="3"/>
        <v>LOW RISK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 ht="13.2" x14ac:dyDescent="0.25">
      <c r="A1011" s="4">
        <v>1423</v>
      </c>
      <c r="B1011" s="4" t="s">
        <v>45</v>
      </c>
      <c r="C1011" s="4" t="str">
        <f>FEATURES!L1011</f>
        <v>NORMAL</v>
      </c>
      <c r="D1011" s="4" t="str">
        <f>FEATURES!R1011</f>
        <v>LOW</v>
      </c>
      <c r="E1011" s="4" t="str">
        <f>FEATURES!Q1011</f>
        <v>DISENGAGED</v>
      </c>
      <c r="F1011" s="4" t="str">
        <f>FEATURES!P1011</f>
        <v>Medium_Pressure</v>
      </c>
      <c r="G1011" s="4" t="str">
        <f>FEATURES!M1011</f>
        <v>MEDIUM</v>
      </c>
      <c r="H1011" s="4" t="str">
        <f>FEATURES!O1011</f>
        <v>RECENTLY PROMOTED</v>
      </c>
      <c r="I1011" s="4" t="str">
        <f t="shared" si="3"/>
        <v>LOW RISK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 ht="13.2" x14ac:dyDescent="0.25">
      <c r="A1012" s="4">
        <v>1424</v>
      </c>
      <c r="B1012" s="4" t="s">
        <v>45</v>
      </c>
      <c r="C1012" s="4" t="str">
        <f>FEATURES!L1012</f>
        <v>NORMAL</v>
      </c>
      <c r="D1012" s="4" t="str">
        <f>FEATURES!R1012</f>
        <v>LOW</v>
      </c>
      <c r="E1012" s="4" t="str">
        <f>FEATURES!Q1012</f>
        <v>HIGHLY_ENGAGED</v>
      </c>
      <c r="F1012" s="4" t="str">
        <f>FEATURES!P1012</f>
        <v>Low_Pressure</v>
      </c>
      <c r="G1012" s="4" t="str">
        <f>FEATURES!M1012</f>
        <v>MEDIUM</v>
      </c>
      <c r="H1012" s="4" t="str">
        <f>FEATURES!O1012</f>
        <v>RECENTLY PROMOTED</v>
      </c>
      <c r="I1012" s="4" t="str">
        <f t="shared" si="3"/>
        <v>LOW RISK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 ht="13.2" x14ac:dyDescent="0.25">
      <c r="A1013" s="4">
        <v>1425</v>
      </c>
      <c r="B1013" s="4" t="s">
        <v>37</v>
      </c>
      <c r="C1013" s="4" t="str">
        <f>FEATURES!L1013</f>
        <v>NORMAL</v>
      </c>
      <c r="D1013" s="4" t="str">
        <f>FEATURES!R1013</f>
        <v>LOW</v>
      </c>
      <c r="E1013" s="4" t="str">
        <f>FEATURES!Q1013</f>
        <v>DISENGAGED</v>
      </c>
      <c r="F1013" s="4" t="str">
        <f>FEATURES!P1013</f>
        <v>Medium_Pressure</v>
      </c>
      <c r="G1013" s="4" t="str">
        <f>FEATURES!M1013</f>
        <v>MEDIUM</v>
      </c>
      <c r="H1013" s="4" t="str">
        <f>FEATURES!O1013</f>
        <v>RECENTLY PROMOTED</v>
      </c>
      <c r="I1013" s="4" t="str">
        <f t="shared" si="3"/>
        <v>LOW RISK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 ht="13.2" x14ac:dyDescent="0.25">
      <c r="A1014" s="4">
        <v>1427</v>
      </c>
      <c r="B1014" s="4" t="s">
        <v>37</v>
      </c>
      <c r="C1014" s="4" t="str">
        <f>FEATURES!L1014</f>
        <v>NORMAL</v>
      </c>
      <c r="D1014" s="4" t="str">
        <f>FEATURES!R1014</f>
        <v>LOW</v>
      </c>
      <c r="E1014" s="4" t="str">
        <f>FEATURES!Q1014</f>
        <v>HIGHLY_ENGAGED</v>
      </c>
      <c r="F1014" s="4" t="str">
        <f>FEATURES!P1014</f>
        <v>Medium_Pressure</v>
      </c>
      <c r="G1014" s="4" t="str">
        <f>FEATURES!M1014</f>
        <v>LOW</v>
      </c>
      <c r="H1014" s="4" t="str">
        <f>FEATURES!O1014</f>
        <v>RECENTLY PROMOTED</v>
      </c>
      <c r="I1014" s="4" t="str">
        <f t="shared" si="3"/>
        <v>LOW RISK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 ht="13.2" x14ac:dyDescent="0.25">
      <c r="A1015" s="4">
        <v>1428</v>
      </c>
      <c r="B1015" s="4" t="s">
        <v>37</v>
      </c>
      <c r="C1015" s="4" t="str">
        <f>FEATURES!L1015</f>
        <v>NORMAL</v>
      </c>
      <c r="D1015" s="4" t="str">
        <f>FEATURES!R1015</f>
        <v>LOW</v>
      </c>
      <c r="E1015" s="4" t="str">
        <f>FEATURES!Q1015</f>
        <v>DISENGAGED</v>
      </c>
      <c r="F1015" s="4" t="str">
        <f>FEATURES!P1015</f>
        <v>Medium_Pressure</v>
      </c>
      <c r="G1015" s="4" t="str">
        <f>FEATURES!M1015</f>
        <v>HIGH</v>
      </c>
      <c r="H1015" s="4" t="str">
        <f>FEATURES!O1015</f>
        <v>RECENTLY PROMOTED</v>
      </c>
      <c r="I1015" s="4" t="str">
        <f t="shared" si="3"/>
        <v>LOW RISK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 ht="13.2" x14ac:dyDescent="0.25">
      <c r="A1016" s="4">
        <v>1430</v>
      </c>
      <c r="B1016" s="4" t="s">
        <v>45</v>
      </c>
      <c r="C1016" s="4" t="str">
        <f>FEATURES!L1016</f>
        <v>NORMAL</v>
      </c>
      <c r="D1016" s="4" t="str">
        <f>FEATURES!R1016</f>
        <v>LOW</v>
      </c>
      <c r="E1016" s="4" t="str">
        <f>FEATURES!Q1016</f>
        <v>DISENGAGED</v>
      </c>
      <c r="F1016" s="4" t="str">
        <f>FEATURES!P1016</f>
        <v>Low_Pressure</v>
      </c>
      <c r="G1016" s="4" t="str">
        <f>FEATURES!M1016</f>
        <v>MEDIUM</v>
      </c>
      <c r="H1016" s="4" t="str">
        <f>FEATURES!O1016</f>
        <v>RECENTLY PROMOTED</v>
      </c>
      <c r="I1016" s="4" t="str">
        <f t="shared" si="3"/>
        <v>LOW RISK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 ht="13.2" x14ac:dyDescent="0.25">
      <c r="A1017" s="4">
        <v>1431</v>
      </c>
      <c r="B1017" s="4" t="s">
        <v>45</v>
      </c>
      <c r="C1017" s="4" t="str">
        <f>FEATURES!L1017</f>
        <v>NORMAL</v>
      </c>
      <c r="D1017" s="4" t="str">
        <f>FEATURES!R1017</f>
        <v>LOW</v>
      </c>
      <c r="E1017" s="4" t="str">
        <f>FEATURES!Q1017</f>
        <v>DISENGAGED</v>
      </c>
      <c r="F1017" s="4" t="str">
        <f>FEATURES!P1017</f>
        <v>Medium_Pressure</v>
      </c>
      <c r="G1017" s="4" t="str">
        <f>FEATURES!M1017</f>
        <v>LOW</v>
      </c>
      <c r="H1017" s="4" t="str">
        <f>FEATURES!O1017</f>
        <v>RECENTLY PROMOTED</v>
      </c>
      <c r="I1017" s="4" t="str">
        <f t="shared" si="3"/>
        <v>LOW RISK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 ht="13.2" x14ac:dyDescent="0.25">
      <c r="A1018" s="4">
        <v>1433</v>
      </c>
      <c r="B1018" s="4" t="s">
        <v>45</v>
      </c>
      <c r="C1018" s="4" t="str">
        <f>FEATURES!L1018</f>
        <v>NORMAL</v>
      </c>
      <c r="D1018" s="4" t="str">
        <f>FEATURES!R1018</f>
        <v>LOW</v>
      </c>
      <c r="E1018" s="4" t="str">
        <f>FEATURES!Q1018</f>
        <v>DISENGAGED</v>
      </c>
      <c r="F1018" s="4" t="str">
        <f>FEATURES!P1018</f>
        <v>Low_Pressure</v>
      </c>
      <c r="G1018" s="4" t="str">
        <f>FEATURES!M1018</f>
        <v>LOW</v>
      </c>
      <c r="H1018" s="4" t="str">
        <f>FEATURES!O1018</f>
        <v>RECENTLY PROMOTED</v>
      </c>
      <c r="I1018" s="4" t="str">
        <f t="shared" si="3"/>
        <v>LOW RISK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 ht="13.2" x14ac:dyDescent="0.25">
      <c r="A1019" s="4">
        <v>1434</v>
      </c>
      <c r="B1019" s="4" t="s">
        <v>45</v>
      </c>
      <c r="C1019" s="4" t="str">
        <f>FEATURES!L1019</f>
        <v>NORMAL</v>
      </c>
      <c r="D1019" s="4" t="str">
        <f>FEATURES!R1019</f>
        <v>LOW</v>
      </c>
      <c r="E1019" s="4" t="str">
        <f>FEATURES!Q1019</f>
        <v>DISENGAGED</v>
      </c>
      <c r="F1019" s="4" t="str">
        <f>FEATURES!P1019</f>
        <v>Low_Pressure</v>
      </c>
      <c r="G1019" s="4" t="str">
        <f>FEATURES!M1019</f>
        <v>LOW</v>
      </c>
      <c r="H1019" s="4" t="str">
        <f>FEATURES!O1019</f>
        <v>RECENTLY PROMOTED</v>
      </c>
      <c r="I1019" s="4" t="str">
        <f t="shared" si="3"/>
        <v>LOW RISK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ht="13.2" x14ac:dyDescent="0.25">
      <c r="A1020" s="4">
        <v>1435</v>
      </c>
      <c r="B1020" s="4" t="s">
        <v>45</v>
      </c>
      <c r="C1020" s="4" t="str">
        <f>FEATURES!L1020</f>
        <v>NORMAL</v>
      </c>
      <c r="D1020" s="4" t="str">
        <f>FEATURES!R1020</f>
        <v>LOW</v>
      </c>
      <c r="E1020" s="4" t="str">
        <f>FEATURES!Q1020</f>
        <v>DISENGAGED</v>
      </c>
      <c r="F1020" s="4" t="str">
        <f>FEATURES!P1020</f>
        <v>Low_Pressure</v>
      </c>
      <c r="G1020" s="4" t="str">
        <f>FEATURES!M1020</f>
        <v>HIGH</v>
      </c>
      <c r="H1020" s="4" t="str">
        <f>FEATURES!O1020</f>
        <v>RECENTLY PROMOTED</v>
      </c>
      <c r="I1020" s="4" t="str">
        <f t="shared" si="3"/>
        <v>LOW RISK</v>
      </c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 ht="13.2" x14ac:dyDescent="0.25">
      <c r="A1021" s="4">
        <v>1436</v>
      </c>
      <c r="B1021" s="4" t="s">
        <v>37</v>
      </c>
      <c r="C1021" s="4" t="str">
        <f>FEATURES!L1021</f>
        <v>NORMAL</v>
      </c>
      <c r="D1021" s="4" t="str">
        <f>FEATURES!R1021</f>
        <v>LOW</v>
      </c>
      <c r="E1021" s="4" t="str">
        <f>FEATURES!Q1021</f>
        <v>DISENGAGED</v>
      </c>
      <c r="F1021" s="4" t="str">
        <f>FEATURES!P1021</f>
        <v>Low_Pressure</v>
      </c>
      <c r="G1021" s="4" t="str">
        <f>FEATURES!M1021</f>
        <v>HIGH</v>
      </c>
      <c r="H1021" s="4" t="str">
        <f>FEATURES!O1021</f>
        <v>RECENTLY PROMOTED</v>
      </c>
      <c r="I1021" s="4" t="str">
        <f t="shared" si="3"/>
        <v>LOW RISK</v>
      </c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 ht="13.2" x14ac:dyDescent="0.25">
      <c r="A1022" s="4">
        <v>1438</v>
      </c>
      <c r="B1022" s="4" t="s">
        <v>45</v>
      </c>
      <c r="C1022" s="4" t="str">
        <f>FEATURES!L1022</f>
        <v>NORMAL</v>
      </c>
      <c r="D1022" s="4" t="str">
        <f>FEATURES!R1022</f>
        <v>LOW</v>
      </c>
      <c r="E1022" s="4" t="str">
        <f>FEATURES!Q1022</f>
        <v>DISENGAGED</v>
      </c>
      <c r="F1022" s="4" t="str">
        <f>FEATURES!P1022</f>
        <v>Low_Pressure</v>
      </c>
      <c r="G1022" s="4" t="str">
        <f>FEATURES!M1022</f>
        <v>LOW</v>
      </c>
      <c r="H1022" s="4" t="str">
        <f>FEATURES!O1022</f>
        <v>RECENTLY PROMOTED</v>
      </c>
      <c r="I1022" s="4" t="str">
        <f t="shared" ref="I1022:I1276" si="4">IF(AND(C1022="HIGH",D1022="HIGH",E1022="DISENGAGED",F1022="HIGH_PRESSURE",G1022="LOW",H1022="STAGNANT"),"HIGH RISK",IF(AND(C1022="NORMAL",D1022="MEDIUM",E1022="MODERATELY ENGAGED",G1022="MEDIUM",H1022="MODERATE WAIT"),"MEDIUM RISK", "LOW RISK"))</f>
        <v>LOW RISK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spans="1:27" ht="13.2" x14ac:dyDescent="0.25">
      <c r="A1023" s="4">
        <v>1439</v>
      </c>
      <c r="B1023" s="4" t="s">
        <v>37</v>
      </c>
      <c r="C1023" s="4" t="str">
        <f>FEATURES!L1023</f>
        <v>NORMAL</v>
      </c>
      <c r="D1023" s="4" t="str">
        <f>FEATURES!R1023</f>
        <v>LOW</v>
      </c>
      <c r="E1023" s="4" t="str">
        <f>FEATURES!Q1023</f>
        <v>DISENGAGED</v>
      </c>
      <c r="F1023" s="4" t="str">
        <f>FEATURES!P1023</f>
        <v>Medium_Pressure</v>
      </c>
      <c r="G1023" s="4" t="str">
        <f>FEATURES!M1023</f>
        <v>HIGH</v>
      </c>
      <c r="H1023" s="4" t="str">
        <f>FEATURES!O1023</f>
        <v>MODERATE-WAIT</v>
      </c>
      <c r="I1023" s="4" t="str">
        <f t="shared" si="4"/>
        <v>LOW RISK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spans="1:27" ht="13.2" x14ac:dyDescent="0.25">
      <c r="A1024" s="4">
        <v>1440</v>
      </c>
      <c r="B1024" s="4" t="s">
        <v>45</v>
      </c>
      <c r="C1024" s="4" t="str">
        <f>FEATURES!L1024</f>
        <v>NORMAL</v>
      </c>
      <c r="D1024" s="4" t="str">
        <f>FEATURES!R1024</f>
        <v>LOW</v>
      </c>
      <c r="E1024" s="4" t="str">
        <f>FEATURES!Q1024</f>
        <v>DISENGAGED</v>
      </c>
      <c r="F1024" s="4" t="str">
        <f>FEATURES!P1024</f>
        <v>Low_Pressure</v>
      </c>
      <c r="G1024" s="4" t="str">
        <f>FEATURES!M1024</f>
        <v>LOW</v>
      </c>
      <c r="H1024" s="4" t="str">
        <f>FEATURES!O1024</f>
        <v>RECENTLY PROMOTED</v>
      </c>
      <c r="I1024" s="4" t="str">
        <f t="shared" si="4"/>
        <v>LOW RISK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spans="1:27" ht="13.2" x14ac:dyDescent="0.25">
      <c r="A1025" s="4">
        <v>1441</v>
      </c>
      <c r="B1025" s="4" t="s">
        <v>45</v>
      </c>
      <c r="C1025" s="4" t="str">
        <f>FEATURES!L1025</f>
        <v>NORMAL</v>
      </c>
      <c r="D1025" s="4" t="str">
        <f>FEATURES!R1025</f>
        <v>LOW</v>
      </c>
      <c r="E1025" s="4" t="str">
        <f>FEATURES!Q1025</f>
        <v>DISENGAGED</v>
      </c>
      <c r="F1025" s="4" t="str">
        <f>FEATURES!P1025</f>
        <v>Low_Pressure</v>
      </c>
      <c r="G1025" s="4" t="str">
        <f>FEATURES!M1025</f>
        <v>LOW</v>
      </c>
      <c r="H1025" s="4" t="str">
        <f>FEATURES!O1025</f>
        <v>RECENTLY PROMOTED</v>
      </c>
      <c r="I1025" s="4" t="str">
        <f t="shared" si="4"/>
        <v>LOW RISK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spans="1:27" ht="13.2" x14ac:dyDescent="0.25">
      <c r="A1026" s="4">
        <v>1443</v>
      </c>
      <c r="B1026" s="4" t="s">
        <v>45</v>
      </c>
      <c r="C1026" s="4" t="str">
        <f>FEATURES!L1026</f>
        <v>NORMAL</v>
      </c>
      <c r="D1026" s="4" t="str">
        <f>FEATURES!R1026</f>
        <v>LOW</v>
      </c>
      <c r="E1026" s="4" t="str">
        <f>FEATURES!Q1026</f>
        <v>HIGHLY_ENGAGED</v>
      </c>
      <c r="F1026" s="4" t="str">
        <f>FEATURES!P1026</f>
        <v>Low_Pressure</v>
      </c>
      <c r="G1026" s="4" t="str">
        <f>FEATURES!M1026</f>
        <v>MEDIUM</v>
      </c>
      <c r="H1026" s="4" t="str">
        <f>FEATURES!O1026</f>
        <v>STAGNANT</v>
      </c>
      <c r="I1026" s="4" t="str">
        <f t="shared" si="4"/>
        <v>LOW RISK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spans="1:27" ht="13.2" x14ac:dyDescent="0.25">
      <c r="A1027" s="4">
        <v>1445</v>
      </c>
      <c r="B1027" s="4" t="s">
        <v>37</v>
      </c>
      <c r="C1027" s="4" t="str">
        <f>FEATURES!L1027</f>
        <v>NORMAL</v>
      </c>
      <c r="D1027" s="4" t="str">
        <f>FEATURES!R1027</f>
        <v>LOW</v>
      </c>
      <c r="E1027" s="4" t="str">
        <f>FEATURES!Q1027</f>
        <v>HIGHLY_ENGAGED</v>
      </c>
      <c r="F1027" s="4" t="str">
        <f>FEATURES!P1027</f>
        <v>Medium_Pressure</v>
      </c>
      <c r="G1027" s="4" t="str">
        <f>FEATURES!M1027</f>
        <v>HIGH</v>
      </c>
      <c r="H1027" s="4" t="str">
        <f>FEATURES!O1027</f>
        <v>RECENTLY PROMOTED</v>
      </c>
      <c r="I1027" s="4" t="str">
        <f t="shared" si="4"/>
        <v>LOW RISK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spans="1:27" ht="13.2" x14ac:dyDescent="0.25">
      <c r="A1028" s="4">
        <v>1446</v>
      </c>
      <c r="B1028" s="4" t="s">
        <v>37</v>
      </c>
      <c r="C1028" s="4" t="str">
        <f>FEATURES!L1028</f>
        <v>NORMAL</v>
      </c>
      <c r="D1028" s="4" t="str">
        <f>FEATURES!R1028</f>
        <v>LOW</v>
      </c>
      <c r="E1028" s="4" t="str">
        <f>FEATURES!Q1028</f>
        <v>DISENGAGED</v>
      </c>
      <c r="F1028" s="4" t="str">
        <f>FEATURES!P1028</f>
        <v>Low_Pressure</v>
      </c>
      <c r="G1028" s="4" t="str">
        <f>FEATURES!M1028</f>
        <v>MEDIUM</v>
      </c>
      <c r="H1028" s="4" t="str">
        <f>FEATURES!O1028</f>
        <v>RECENTLY PROMOTED</v>
      </c>
      <c r="I1028" s="4" t="str">
        <f t="shared" si="4"/>
        <v>LOW RISK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spans="1:27" ht="13.2" x14ac:dyDescent="0.25">
      <c r="A1029" s="4">
        <v>1447</v>
      </c>
      <c r="B1029" s="4" t="s">
        <v>45</v>
      </c>
      <c r="C1029" s="4" t="str">
        <f>FEATURES!L1029</f>
        <v>NORMAL</v>
      </c>
      <c r="D1029" s="4" t="str">
        <f>FEATURES!R1029</f>
        <v>LOW</v>
      </c>
      <c r="E1029" s="4" t="str">
        <f>FEATURES!Q1029</f>
        <v>DISENGAGED</v>
      </c>
      <c r="F1029" s="4" t="str">
        <f>FEATURES!P1029</f>
        <v>Low_Pressure</v>
      </c>
      <c r="G1029" s="4" t="str">
        <f>FEATURES!M1029</f>
        <v>LOW</v>
      </c>
      <c r="H1029" s="4" t="str">
        <f>FEATURES!O1029</f>
        <v>RECENTLY PROMOTED</v>
      </c>
      <c r="I1029" s="4" t="str">
        <f t="shared" si="4"/>
        <v>LOW RISK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spans="1:27" ht="13.2" x14ac:dyDescent="0.25">
      <c r="A1030" s="4">
        <v>1448</v>
      </c>
      <c r="B1030" s="4" t="s">
        <v>45</v>
      </c>
      <c r="C1030" s="4" t="str">
        <f>FEATURES!L1030</f>
        <v>NORMAL</v>
      </c>
      <c r="D1030" s="4" t="str">
        <f>FEATURES!R1030</f>
        <v>LOW</v>
      </c>
      <c r="E1030" s="4" t="str">
        <f>FEATURES!Q1030</f>
        <v>DISENGAGED</v>
      </c>
      <c r="F1030" s="4" t="str">
        <f>FEATURES!P1030</f>
        <v>High_Pressure</v>
      </c>
      <c r="G1030" s="4" t="str">
        <f>FEATURES!M1030</f>
        <v>LOW</v>
      </c>
      <c r="H1030" s="4" t="str">
        <f>FEATURES!O1030</f>
        <v>RECENTLY PROMOTED</v>
      </c>
      <c r="I1030" s="4" t="str">
        <f t="shared" si="4"/>
        <v>LOW RISK</v>
      </c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spans="1:27" ht="13.2" x14ac:dyDescent="0.25">
      <c r="A1031" s="4">
        <v>1449</v>
      </c>
      <c r="B1031" s="4" t="s">
        <v>45</v>
      </c>
      <c r="C1031" s="4" t="str">
        <f>FEATURES!L1031</f>
        <v>NORMAL</v>
      </c>
      <c r="D1031" s="4" t="str">
        <f>FEATURES!R1031</f>
        <v>LOW</v>
      </c>
      <c r="E1031" s="4" t="str">
        <f>FEATURES!Q1031</f>
        <v>HIGHLY_ENGAGED</v>
      </c>
      <c r="F1031" s="4" t="str">
        <f>FEATURES!P1031</f>
        <v>Low_Pressure</v>
      </c>
      <c r="G1031" s="4" t="str">
        <f>FEATURES!M1031</f>
        <v>LOW</v>
      </c>
      <c r="H1031" s="4" t="str">
        <f>FEATURES!O1031</f>
        <v>RECENTLY PROMOTED</v>
      </c>
      <c r="I1031" s="4" t="str">
        <f t="shared" si="4"/>
        <v>LOW RISK</v>
      </c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 spans="1:27" ht="13.2" x14ac:dyDescent="0.25">
      <c r="A1032" s="4">
        <v>1453</v>
      </c>
      <c r="B1032" s="4" t="s">
        <v>37</v>
      </c>
      <c r="C1032" s="4" t="str">
        <f>FEATURES!L1032</f>
        <v>NORMAL</v>
      </c>
      <c r="D1032" s="4" t="str">
        <f>FEATURES!R1032</f>
        <v>LOW</v>
      </c>
      <c r="E1032" s="4" t="str">
        <f>FEATURES!Q1032</f>
        <v>HIGHLY_ENGAGED</v>
      </c>
      <c r="F1032" s="4" t="str">
        <f>FEATURES!P1032</f>
        <v>Medium_Pressure</v>
      </c>
      <c r="G1032" s="4" t="str">
        <f>FEATURES!M1032</f>
        <v>MEDIUM</v>
      </c>
      <c r="H1032" s="4" t="str">
        <f>FEATURES!O1032</f>
        <v>STAGNANT</v>
      </c>
      <c r="I1032" s="4" t="str">
        <f t="shared" si="4"/>
        <v>LOW RISK</v>
      </c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 spans="1:27" ht="13.2" x14ac:dyDescent="0.25">
      <c r="A1033" s="4">
        <v>1457</v>
      </c>
      <c r="B1033" s="4" t="s">
        <v>37</v>
      </c>
      <c r="C1033" s="4" t="str">
        <f>FEATURES!L1033</f>
        <v>NORMAL</v>
      </c>
      <c r="D1033" s="4" t="str">
        <f>FEATURES!R1033</f>
        <v>LOW</v>
      </c>
      <c r="E1033" s="4" t="str">
        <f>FEATURES!Q1033</f>
        <v>HIGHLY_ENGAGED</v>
      </c>
      <c r="F1033" s="4" t="str">
        <f>FEATURES!P1033</f>
        <v>Low_Pressure</v>
      </c>
      <c r="G1033" s="4" t="str">
        <f>FEATURES!M1033</f>
        <v>MEDIUM</v>
      </c>
      <c r="H1033" s="4" t="str">
        <f>FEATURES!O1033</f>
        <v>STAGNANT</v>
      </c>
      <c r="I1033" s="4" t="str">
        <f t="shared" si="4"/>
        <v>LOW RISK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 spans="1:27" ht="13.2" x14ac:dyDescent="0.25">
      <c r="A1034" s="4">
        <v>1458</v>
      </c>
      <c r="B1034" s="4" t="s">
        <v>45</v>
      </c>
      <c r="C1034" s="4" t="str">
        <f>FEATURES!L1034</f>
        <v>NORMAL</v>
      </c>
      <c r="D1034" s="4" t="str">
        <f>FEATURES!R1034</f>
        <v>LOW</v>
      </c>
      <c r="E1034" s="4" t="str">
        <f>FEATURES!Q1034</f>
        <v>DISENGAGED</v>
      </c>
      <c r="F1034" s="4" t="str">
        <f>FEATURES!P1034</f>
        <v>Medium_Pressure</v>
      </c>
      <c r="G1034" s="4" t="str">
        <f>FEATURES!M1034</f>
        <v>LOW</v>
      </c>
      <c r="H1034" s="4" t="str">
        <f>FEATURES!O1034</f>
        <v>RECENTLY PROMOTED</v>
      </c>
      <c r="I1034" s="4" t="str">
        <f t="shared" si="4"/>
        <v>LOW RISK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 spans="1:27" ht="13.2" x14ac:dyDescent="0.25">
      <c r="A1035" s="4">
        <v>1459</v>
      </c>
      <c r="B1035" s="4" t="s">
        <v>45</v>
      </c>
      <c r="C1035" s="4" t="str">
        <f>FEATURES!L1035</f>
        <v>NORMAL</v>
      </c>
      <c r="D1035" s="4" t="str">
        <f>FEATURES!R1035</f>
        <v>LOW</v>
      </c>
      <c r="E1035" s="4" t="str">
        <f>FEATURES!Q1035</f>
        <v>DISENGAGED</v>
      </c>
      <c r="F1035" s="4" t="str">
        <f>FEATURES!P1035</f>
        <v>Medium_Pressure</v>
      </c>
      <c r="G1035" s="4" t="str">
        <f>FEATURES!M1035</f>
        <v>HIGH</v>
      </c>
      <c r="H1035" s="4" t="str">
        <f>FEATURES!O1035</f>
        <v>STAGNANT</v>
      </c>
      <c r="I1035" s="4" t="str">
        <f t="shared" si="4"/>
        <v>LOW RISK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 spans="1:27" ht="13.2" x14ac:dyDescent="0.25">
      <c r="A1036" s="4">
        <v>1460</v>
      </c>
      <c r="B1036" s="4" t="s">
        <v>45</v>
      </c>
      <c r="C1036" s="4" t="str">
        <f>FEATURES!L1036</f>
        <v>NORMAL</v>
      </c>
      <c r="D1036" s="4" t="str">
        <f>FEATURES!R1036</f>
        <v>LOW</v>
      </c>
      <c r="E1036" s="4" t="str">
        <f>FEATURES!Q1036</f>
        <v>DISENGAGED</v>
      </c>
      <c r="F1036" s="4" t="str">
        <f>FEATURES!P1036</f>
        <v>Medium_Pressure</v>
      </c>
      <c r="G1036" s="4" t="str">
        <f>FEATURES!M1036</f>
        <v>MEDIUM</v>
      </c>
      <c r="H1036" s="4" t="str">
        <f>FEATURES!O1036</f>
        <v>RECENTLY PROMOTED</v>
      </c>
      <c r="I1036" s="4" t="str">
        <f t="shared" si="4"/>
        <v>LOW RISK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 spans="1:27" ht="13.2" x14ac:dyDescent="0.25">
      <c r="A1037" s="4">
        <v>1461</v>
      </c>
      <c r="B1037" s="4" t="s">
        <v>61</v>
      </c>
      <c r="C1037" s="4" t="str">
        <f>FEATURES!L1037</f>
        <v>NORMAL</v>
      </c>
      <c r="D1037" s="4" t="str">
        <f>FEATURES!R1037</f>
        <v>LOW</v>
      </c>
      <c r="E1037" s="4" t="str">
        <f>FEATURES!Q1037</f>
        <v>DISENGAGED</v>
      </c>
      <c r="F1037" s="4" t="str">
        <f>FEATURES!P1037</f>
        <v>Medium_Pressure</v>
      </c>
      <c r="G1037" s="4" t="str">
        <f>FEATURES!M1037</f>
        <v>LOW</v>
      </c>
      <c r="H1037" s="4" t="str">
        <f>FEATURES!O1037</f>
        <v>RECENTLY PROMOTED</v>
      </c>
      <c r="I1037" s="4" t="str">
        <f t="shared" si="4"/>
        <v>LOW RISK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 spans="1:27" ht="13.2" x14ac:dyDescent="0.25">
      <c r="A1038" s="4">
        <v>1464</v>
      </c>
      <c r="B1038" s="4" t="s">
        <v>45</v>
      </c>
      <c r="C1038" s="4" t="str">
        <f>FEATURES!L1038</f>
        <v>NORMAL</v>
      </c>
      <c r="D1038" s="4" t="str">
        <f>FEATURES!R1038</f>
        <v>LOW</v>
      </c>
      <c r="E1038" s="4" t="str">
        <f>FEATURES!Q1038</f>
        <v>DISENGAGED</v>
      </c>
      <c r="F1038" s="4" t="str">
        <f>FEATURES!P1038</f>
        <v>High_Pressure</v>
      </c>
      <c r="G1038" s="4" t="str">
        <f>FEATURES!M1038</f>
        <v>LOW</v>
      </c>
      <c r="H1038" s="4" t="str">
        <f>FEATURES!O1038</f>
        <v>MODERATE-WAIT</v>
      </c>
      <c r="I1038" s="4" t="str">
        <f t="shared" si="4"/>
        <v>LOW RISK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 spans="1:27" ht="13.2" x14ac:dyDescent="0.25">
      <c r="A1039" s="4">
        <v>1465</v>
      </c>
      <c r="B1039" s="4" t="s">
        <v>45</v>
      </c>
      <c r="C1039" s="4" t="str">
        <f>FEATURES!L1039</f>
        <v>NORMAL</v>
      </c>
      <c r="D1039" s="4" t="str">
        <f>FEATURES!R1039</f>
        <v>LOW</v>
      </c>
      <c r="E1039" s="4" t="str">
        <f>FEATURES!Q1039</f>
        <v>HIGHLY_ENGAGED</v>
      </c>
      <c r="F1039" s="4" t="str">
        <f>FEATURES!P1039</f>
        <v>Medium_Pressure</v>
      </c>
      <c r="G1039" s="4" t="str">
        <f>FEATURES!M1039</f>
        <v>MEDIUM</v>
      </c>
      <c r="H1039" s="4" t="str">
        <f>FEATURES!O1039</f>
        <v>RECENTLY PROMOTED</v>
      </c>
      <c r="I1039" s="4" t="str">
        <f t="shared" si="4"/>
        <v>LOW RISK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 spans="1:27" ht="13.2" x14ac:dyDescent="0.25">
      <c r="A1040" s="4">
        <v>1466</v>
      </c>
      <c r="B1040" s="4" t="s">
        <v>37</v>
      </c>
      <c r="C1040" s="4" t="str">
        <f>FEATURES!L1040</f>
        <v>NORMAL</v>
      </c>
      <c r="D1040" s="4" t="str">
        <f>FEATURES!R1040</f>
        <v>LOW</v>
      </c>
      <c r="E1040" s="4" t="str">
        <f>FEATURES!Q1040</f>
        <v>DISENGAGED</v>
      </c>
      <c r="F1040" s="4" t="str">
        <f>FEATURES!P1040</f>
        <v>Medium_Pressure</v>
      </c>
      <c r="G1040" s="4" t="str">
        <f>FEATURES!M1040</f>
        <v>HIGH</v>
      </c>
      <c r="H1040" s="4" t="str">
        <f>FEATURES!O1040</f>
        <v>MODERATE-WAIT</v>
      </c>
      <c r="I1040" s="4" t="str">
        <f t="shared" si="4"/>
        <v>LOW RISK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 spans="1:27" ht="13.2" x14ac:dyDescent="0.25">
      <c r="A1041" s="4">
        <v>1467</v>
      </c>
      <c r="B1041" s="4" t="s">
        <v>61</v>
      </c>
      <c r="C1041" s="4" t="str">
        <f>FEATURES!L1041</f>
        <v>NORMAL</v>
      </c>
      <c r="D1041" s="4" t="str">
        <f>FEATURES!R1041</f>
        <v>LOW</v>
      </c>
      <c r="E1041" s="4" t="str">
        <f>FEATURES!Q1041</f>
        <v>HIGHLY_ENGAGED</v>
      </c>
      <c r="F1041" s="4" t="str">
        <f>FEATURES!P1041</f>
        <v>Medium_Pressure</v>
      </c>
      <c r="G1041" s="4" t="str">
        <f>FEATURES!M1041</f>
        <v>LOW</v>
      </c>
      <c r="H1041" s="4" t="str">
        <f>FEATURES!O1041</f>
        <v>MODERATE-WAIT</v>
      </c>
      <c r="I1041" s="4" t="str">
        <f t="shared" si="4"/>
        <v>LOW RISK</v>
      </c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 spans="1:27" ht="13.2" x14ac:dyDescent="0.25">
      <c r="A1042" s="4">
        <v>1468</v>
      </c>
      <c r="B1042" s="4" t="s">
        <v>45</v>
      </c>
      <c r="C1042" s="4" t="str">
        <f>FEATURES!L1042</f>
        <v>NORMAL</v>
      </c>
      <c r="D1042" s="4" t="str">
        <f>FEATURES!R1042</f>
        <v>LOW</v>
      </c>
      <c r="E1042" s="4" t="str">
        <f>FEATURES!Q1042</f>
        <v>DISENGAGED</v>
      </c>
      <c r="F1042" s="4" t="str">
        <f>FEATURES!P1042</f>
        <v>Medium_Pressure</v>
      </c>
      <c r="G1042" s="4" t="str">
        <f>FEATURES!M1042</f>
        <v>MEDIUM</v>
      </c>
      <c r="H1042" s="4" t="str">
        <f>FEATURES!O1042</f>
        <v>STAGNANT</v>
      </c>
      <c r="I1042" s="4" t="str">
        <f t="shared" si="4"/>
        <v>LOW RISK</v>
      </c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 spans="1:27" ht="13.2" x14ac:dyDescent="0.25">
      <c r="A1043" s="4">
        <v>1469</v>
      </c>
      <c r="B1043" s="4" t="s">
        <v>37</v>
      </c>
      <c r="C1043" s="4" t="str">
        <f>FEATURES!L1043</f>
        <v>NORMAL</v>
      </c>
      <c r="D1043" s="4" t="str">
        <f>FEATURES!R1043</f>
        <v>LOW</v>
      </c>
      <c r="E1043" s="4" t="str">
        <f>FEATURES!Q1043</f>
        <v>DISENGAGED</v>
      </c>
      <c r="F1043" s="4" t="str">
        <f>FEATURES!P1043</f>
        <v>Medium_Pressure</v>
      </c>
      <c r="G1043" s="4" t="str">
        <f>FEATURES!M1043</f>
        <v>HIGH</v>
      </c>
      <c r="H1043" s="4" t="str">
        <f>FEATURES!O1043</f>
        <v>RECENTLY PROMOTED</v>
      </c>
      <c r="I1043" s="4" t="str">
        <f t="shared" si="4"/>
        <v>LOW RISK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 spans="1:27" ht="13.2" x14ac:dyDescent="0.25">
      <c r="A1044" s="4">
        <v>1471</v>
      </c>
      <c r="B1044" s="4" t="s">
        <v>45</v>
      </c>
      <c r="C1044" s="4" t="str">
        <f>FEATURES!L1044</f>
        <v>NORMAL</v>
      </c>
      <c r="D1044" s="4" t="str">
        <f>FEATURES!R1044</f>
        <v>LOW</v>
      </c>
      <c r="E1044" s="4" t="str">
        <f>FEATURES!Q1044</f>
        <v>HIGHLY_ENGAGED</v>
      </c>
      <c r="F1044" s="4" t="str">
        <f>FEATURES!P1044</f>
        <v>Medium_Pressure</v>
      </c>
      <c r="G1044" s="4" t="str">
        <f>FEATURES!M1044</f>
        <v>LOW</v>
      </c>
      <c r="H1044" s="4" t="str">
        <f>FEATURES!O1044</f>
        <v>RECENTLY PROMOTED</v>
      </c>
      <c r="I1044" s="4" t="str">
        <f t="shared" si="4"/>
        <v>LOW RISK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 spans="1:27" ht="13.2" x14ac:dyDescent="0.25">
      <c r="A1045" s="4">
        <v>1472</v>
      </c>
      <c r="B1045" s="4" t="s">
        <v>45</v>
      </c>
      <c r="C1045" s="4" t="str">
        <f>FEATURES!L1045</f>
        <v>NORMAL</v>
      </c>
      <c r="D1045" s="4" t="str">
        <f>FEATURES!R1045</f>
        <v>LOW</v>
      </c>
      <c r="E1045" s="4" t="str">
        <f>FEATURES!Q1045</f>
        <v>DISENGAGED</v>
      </c>
      <c r="F1045" s="4" t="str">
        <f>FEATURES!P1045</f>
        <v>Low_Pressure</v>
      </c>
      <c r="G1045" s="4" t="str">
        <f>FEATURES!M1045</f>
        <v>MEDIUM</v>
      </c>
      <c r="H1045" s="4" t="str">
        <f>FEATURES!O1045</f>
        <v>STAGNANT</v>
      </c>
      <c r="I1045" s="4" t="str">
        <f t="shared" si="4"/>
        <v>LOW RISK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 spans="1:27" ht="13.2" x14ac:dyDescent="0.25">
      <c r="A1046" s="4">
        <v>1473</v>
      </c>
      <c r="B1046" s="4" t="s">
        <v>45</v>
      </c>
      <c r="C1046" s="4" t="str">
        <f>FEATURES!L1046</f>
        <v>NORMAL</v>
      </c>
      <c r="D1046" s="4" t="str">
        <f>FEATURES!R1046</f>
        <v>LOW</v>
      </c>
      <c r="E1046" s="4" t="str">
        <f>FEATURES!Q1046</f>
        <v>DISENGAGED</v>
      </c>
      <c r="F1046" s="4" t="str">
        <f>FEATURES!P1046</f>
        <v>Low_Pressure</v>
      </c>
      <c r="G1046" s="4" t="str">
        <f>FEATURES!M1046</f>
        <v>HIGH</v>
      </c>
      <c r="H1046" s="4" t="str">
        <f>FEATURES!O1046</f>
        <v>RECENTLY PROMOTED</v>
      </c>
      <c r="I1046" s="4" t="str">
        <f t="shared" si="4"/>
        <v>LOW RISK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 spans="1:27" ht="13.2" x14ac:dyDescent="0.25">
      <c r="A1047" s="4">
        <v>1474</v>
      </c>
      <c r="B1047" s="4" t="s">
        <v>45</v>
      </c>
      <c r="C1047" s="4" t="str">
        <f>FEATURES!L1047</f>
        <v>NORMAL</v>
      </c>
      <c r="D1047" s="4" t="str">
        <f>FEATURES!R1047</f>
        <v>LOW</v>
      </c>
      <c r="E1047" s="4" t="str">
        <f>FEATURES!Q1047</f>
        <v>HIGHLY_ENGAGED</v>
      </c>
      <c r="F1047" s="4" t="str">
        <f>FEATURES!P1047</f>
        <v>Low_Pressure</v>
      </c>
      <c r="G1047" s="4" t="str">
        <f>FEATURES!M1047</f>
        <v>LOW</v>
      </c>
      <c r="H1047" s="4" t="str">
        <f>FEATURES!O1047</f>
        <v>RECENTLY PROMOTED</v>
      </c>
      <c r="I1047" s="4" t="str">
        <f t="shared" si="4"/>
        <v>LOW RISK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 spans="1:27" ht="13.2" x14ac:dyDescent="0.25">
      <c r="A1048" s="4">
        <v>1475</v>
      </c>
      <c r="B1048" s="4" t="s">
        <v>45</v>
      </c>
      <c r="C1048" s="4" t="str">
        <f>FEATURES!L1048</f>
        <v>NORMAL</v>
      </c>
      <c r="D1048" s="4" t="str">
        <f>FEATURES!R1048</f>
        <v>LOW</v>
      </c>
      <c r="E1048" s="4" t="str">
        <f>FEATURES!Q1048</f>
        <v>DISENGAGED</v>
      </c>
      <c r="F1048" s="4" t="str">
        <f>FEATURES!P1048</f>
        <v>Low_Pressure</v>
      </c>
      <c r="G1048" s="4" t="str">
        <f>FEATURES!M1048</f>
        <v>LOW</v>
      </c>
      <c r="H1048" s="4" t="str">
        <f>FEATURES!O1048</f>
        <v>RECENTLY PROMOTED</v>
      </c>
      <c r="I1048" s="4" t="str">
        <f t="shared" si="4"/>
        <v>LOW RISK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 spans="1:27" ht="13.2" x14ac:dyDescent="0.25">
      <c r="A1049" s="4">
        <v>1477</v>
      </c>
      <c r="B1049" s="4" t="s">
        <v>37</v>
      </c>
      <c r="C1049" s="4" t="str">
        <f>FEATURES!L1049</f>
        <v>NORMAL</v>
      </c>
      <c r="D1049" s="4" t="str">
        <f>FEATURES!R1049</f>
        <v>LOW</v>
      </c>
      <c r="E1049" s="4" t="str">
        <f>FEATURES!Q1049</f>
        <v>DISENGAGED</v>
      </c>
      <c r="F1049" s="4" t="str">
        <f>FEATURES!P1049</f>
        <v>Medium_Pressure</v>
      </c>
      <c r="G1049" s="4" t="str">
        <f>FEATURES!M1049</f>
        <v>HIGH</v>
      </c>
      <c r="H1049" s="4" t="str">
        <f>FEATURES!O1049</f>
        <v>RECENTLY PROMOTED</v>
      </c>
      <c r="I1049" s="4" t="str">
        <f t="shared" si="4"/>
        <v>LOW RISK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 spans="1:27" ht="13.2" x14ac:dyDescent="0.25">
      <c r="A1050" s="4">
        <v>1478</v>
      </c>
      <c r="B1050" s="4" t="s">
        <v>37</v>
      </c>
      <c r="C1050" s="4" t="str">
        <f>FEATURES!L1050</f>
        <v>NORMAL</v>
      </c>
      <c r="D1050" s="4" t="str">
        <f>FEATURES!R1050</f>
        <v>LOW</v>
      </c>
      <c r="E1050" s="4" t="str">
        <f>FEATURES!Q1050</f>
        <v>DISENGAGED</v>
      </c>
      <c r="F1050" s="4" t="str">
        <f>FEATURES!P1050</f>
        <v>Medium_Pressure</v>
      </c>
      <c r="G1050" s="4" t="str">
        <f>FEATURES!M1050</f>
        <v>HIGH</v>
      </c>
      <c r="H1050" s="4" t="str">
        <f>FEATURES!O1050</f>
        <v>MODERATE-WAIT</v>
      </c>
      <c r="I1050" s="4" t="str">
        <f t="shared" si="4"/>
        <v>LOW RISK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 spans="1:27" ht="13.2" x14ac:dyDescent="0.25">
      <c r="A1051" s="4">
        <v>1479</v>
      </c>
      <c r="B1051" s="4" t="s">
        <v>37</v>
      </c>
      <c r="C1051" s="4" t="str">
        <f>FEATURES!L1051</f>
        <v>NORMAL</v>
      </c>
      <c r="D1051" s="4" t="str">
        <f>FEATURES!R1051</f>
        <v>LOW</v>
      </c>
      <c r="E1051" s="4" t="str">
        <f>FEATURES!Q1051</f>
        <v>DISENGAGED</v>
      </c>
      <c r="F1051" s="4" t="str">
        <f>FEATURES!P1051</f>
        <v>Low_Pressure</v>
      </c>
      <c r="G1051" s="4" t="str">
        <f>FEATURES!M1051</f>
        <v>HIGH</v>
      </c>
      <c r="H1051" s="4" t="str">
        <f>FEATURES!O1051</f>
        <v>MODERATE-WAIT</v>
      </c>
      <c r="I1051" s="4" t="str">
        <f t="shared" si="4"/>
        <v>LOW RISK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 spans="1:27" ht="13.2" x14ac:dyDescent="0.25">
      <c r="A1052" s="4">
        <v>1480</v>
      </c>
      <c r="B1052" s="4" t="s">
        <v>45</v>
      </c>
      <c r="C1052" s="4" t="str">
        <f>FEATURES!L1052</f>
        <v>NORMAL</v>
      </c>
      <c r="D1052" s="4" t="str">
        <f>FEATURES!R1052</f>
        <v>LOW</v>
      </c>
      <c r="E1052" s="4" t="str">
        <f>FEATURES!Q1052</f>
        <v>HIGHLY_ENGAGED</v>
      </c>
      <c r="F1052" s="4" t="str">
        <f>FEATURES!P1052</f>
        <v>Medium_Pressure</v>
      </c>
      <c r="G1052" s="4" t="str">
        <f>FEATURES!M1052</f>
        <v>LOW</v>
      </c>
      <c r="H1052" s="4" t="str">
        <f>FEATURES!O1052</f>
        <v>STAGNANT</v>
      </c>
      <c r="I1052" s="4" t="str">
        <f t="shared" si="4"/>
        <v>LOW RISK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 spans="1:27" ht="13.2" x14ac:dyDescent="0.25">
      <c r="A1053" s="4">
        <v>1481</v>
      </c>
      <c r="B1053" s="4" t="s">
        <v>37</v>
      </c>
      <c r="C1053" s="4" t="str">
        <f>FEATURES!L1053</f>
        <v>NORMAL</v>
      </c>
      <c r="D1053" s="4" t="str">
        <f>FEATURES!R1053</f>
        <v>LOW</v>
      </c>
      <c r="E1053" s="4" t="str">
        <f>FEATURES!Q1053</f>
        <v>DISENGAGED</v>
      </c>
      <c r="F1053" s="4" t="str">
        <f>FEATURES!P1053</f>
        <v>Low_Pressure</v>
      </c>
      <c r="G1053" s="4" t="str">
        <f>FEATURES!M1053</f>
        <v>HIGH</v>
      </c>
      <c r="H1053" s="4" t="str">
        <f>FEATURES!O1053</f>
        <v>RECENTLY PROMOTED</v>
      </c>
      <c r="I1053" s="4" t="str">
        <f t="shared" si="4"/>
        <v>LOW RISK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 spans="1:27" ht="13.2" x14ac:dyDescent="0.25">
      <c r="A1054" s="4">
        <v>1482</v>
      </c>
      <c r="B1054" s="4" t="s">
        <v>45</v>
      </c>
      <c r="C1054" s="4" t="str">
        <f>FEATURES!L1054</f>
        <v>NORMAL</v>
      </c>
      <c r="D1054" s="4" t="str">
        <f>FEATURES!R1054</f>
        <v>LOW</v>
      </c>
      <c r="E1054" s="4" t="str">
        <f>FEATURES!Q1054</f>
        <v>DISENGAGED</v>
      </c>
      <c r="F1054" s="4" t="str">
        <f>FEATURES!P1054</f>
        <v>Low_Pressure</v>
      </c>
      <c r="G1054" s="4" t="str">
        <f>FEATURES!M1054</f>
        <v>LOW</v>
      </c>
      <c r="H1054" s="4" t="str">
        <f>FEATURES!O1054</f>
        <v>RECENTLY PROMOTED</v>
      </c>
      <c r="I1054" s="4" t="str">
        <f t="shared" si="4"/>
        <v>LOW RISK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 spans="1:27" ht="13.2" x14ac:dyDescent="0.25">
      <c r="A1055" s="4">
        <v>1483</v>
      </c>
      <c r="B1055" s="4" t="s">
        <v>45</v>
      </c>
      <c r="C1055" s="4" t="str">
        <f>FEATURES!L1055</f>
        <v>NORMAL</v>
      </c>
      <c r="D1055" s="4" t="str">
        <f>FEATURES!R1055</f>
        <v>LOW</v>
      </c>
      <c r="E1055" s="4" t="str">
        <f>FEATURES!Q1055</f>
        <v>DISENGAGED</v>
      </c>
      <c r="F1055" s="4" t="str">
        <f>FEATURES!P1055</f>
        <v>Low_Pressure</v>
      </c>
      <c r="G1055" s="4" t="str">
        <f>FEATURES!M1055</f>
        <v>HIGH</v>
      </c>
      <c r="H1055" s="4" t="str">
        <f>FEATURES!O1055</f>
        <v>MODERATE-WAIT</v>
      </c>
      <c r="I1055" s="4" t="str">
        <f t="shared" si="4"/>
        <v>LOW RISK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 spans="1:27" ht="13.2" x14ac:dyDescent="0.25">
      <c r="A1056" s="4">
        <v>1484</v>
      </c>
      <c r="B1056" s="4" t="s">
        <v>45</v>
      </c>
      <c r="C1056" s="4" t="str">
        <f>FEATURES!L1056</f>
        <v>NORMAL</v>
      </c>
      <c r="D1056" s="4" t="str">
        <f>FEATURES!R1056</f>
        <v>LOW</v>
      </c>
      <c r="E1056" s="4" t="str">
        <f>FEATURES!Q1056</f>
        <v>DISENGAGED</v>
      </c>
      <c r="F1056" s="4" t="str">
        <f>FEATURES!P1056</f>
        <v>Medium_Pressure</v>
      </c>
      <c r="G1056" s="4" t="str">
        <f>FEATURES!M1056</f>
        <v>MEDIUM</v>
      </c>
      <c r="H1056" s="4" t="str">
        <f>FEATURES!O1056</f>
        <v>RECENTLY PROMOTED</v>
      </c>
      <c r="I1056" s="4" t="str">
        <f t="shared" si="4"/>
        <v>LOW RISK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 spans="1:27" ht="13.2" x14ac:dyDescent="0.25">
      <c r="A1057" s="4">
        <v>1485</v>
      </c>
      <c r="B1057" s="4" t="s">
        <v>45</v>
      </c>
      <c r="C1057" s="4" t="str">
        <f>FEATURES!L1057</f>
        <v>NORMAL</v>
      </c>
      <c r="D1057" s="4" t="str">
        <f>FEATURES!R1057</f>
        <v>LOW</v>
      </c>
      <c r="E1057" s="4" t="str">
        <f>FEATURES!Q1057</f>
        <v>DISENGAGED</v>
      </c>
      <c r="F1057" s="4" t="str">
        <f>FEATURES!P1057</f>
        <v>Low_Pressure</v>
      </c>
      <c r="G1057" s="4" t="str">
        <f>FEATURES!M1057</f>
        <v>MEDIUM</v>
      </c>
      <c r="H1057" s="4" t="str">
        <f>FEATURES!O1057</f>
        <v>STAGNANT</v>
      </c>
      <c r="I1057" s="4" t="str">
        <f t="shared" si="4"/>
        <v>LOW RISK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 spans="1:27" ht="13.2" x14ac:dyDescent="0.25">
      <c r="A1058" s="4">
        <v>1486</v>
      </c>
      <c r="B1058" s="4" t="s">
        <v>37</v>
      </c>
      <c r="C1058" s="4" t="str">
        <f>FEATURES!L1058</f>
        <v>NORMAL</v>
      </c>
      <c r="D1058" s="4" t="str">
        <f>FEATURES!R1058</f>
        <v>LOW</v>
      </c>
      <c r="E1058" s="4" t="str">
        <f>FEATURES!Q1058</f>
        <v>HIGHLY_ENGAGED</v>
      </c>
      <c r="F1058" s="4" t="str">
        <f>FEATURES!P1058</f>
        <v>Low_Pressure</v>
      </c>
      <c r="G1058" s="4" t="str">
        <f>FEATURES!M1058</f>
        <v>LOW</v>
      </c>
      <c r="H1058" s="4" t="str">
        <f>FEATURES!O1058</f>
        <v>RECENTLY PROMOTED</v>
      </c>
      <c r="I1058" s="4" t="str">
        <f t="shared" si="4"/>
        <v>LOW RISK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 spans="1:27" ht="13.2" x14ac:dyDescent="0.25">
      <c r="A1059" s="4">
        <v>1487</v>
      </c>
      <c r="B1059" s="4" t="s">
        <v>37</v>
      </c>
      <c r="C1059" s="4" t="str">
        <f>FEATURES!L1059</f>
        <v>NORMAL</v>
      </c>
      <c r="D1059" s="4" t="str">
        <f>FEATURES!R1059</f>
        <v>LOW</v>
      </c>
      <c r="E1059" s="4" t="str">
        <f>FEATURES!Q1059</f>
        <v>DISENGAGED</v>
      </c>
      <c r="F1059" s="4" t="str">
        <f>FEATURES!P1059</f>
        <v>Low_Pressure</v>
      </c>
      <c r="G1059" s="4" t="str">
        <f>FEATURES!M1059</f>
        <v>HIGH</v>
      </c>
      <c r="H1059" s="4" t="str">
        <f>FEATURES!O1059</f>
        <v>RECENTLY PROMOTED</v>
      </c>
      <c r="I1059" s="4" t="str">
        <f t="shared" si="4"/>
        <v>LOW RISK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 spans="1:27" ht="13.2" x14ac:dyDescent="0.25">
      <c r="A1060" s="4">
        <v>1489</v>
      </c>
      <c r="B1060" s="4" t="s">
        <v>37</v>
      </c>
      <c r="C1060" s="4" t="str">
        <f>FEATURES!L1060</f>
        <v>HIGH RISK</v>
      </c>
      <c r="D1060" s="4" t="str">
        <f>FEATURES!R1060</f>
        <v>LOW</v>
      </c>
      <c r="E1060" s="4" t="str">
        <f>FEATURES!Q1060</f>
        <v>DISENGAGED</v>
      </c>
      <c r="F1060" s="4" t="str">
        <f>FEATURES!P1060</f>
        <v>Medium_Pressure</v>
      </c>
      <c r="G1060" s="4" t="str">
        <f>FEATURES!M1060</f>
        <v>HIGH</v>
      </c>
      <c r="H1060" s="4" t="str">
        <f>FEATURES!O1060</f>
        <v>STAGNANT</v>
      </c>
      <c r="I1060" s="4" t="str">
        <f t="shared" si="4"/>
        <v>LOW RISK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 spans="1:27" ht="13.2" x14ac:dyDescent="0.25">
      <c r="A1061" s="4">
        <v>1492</v>
      </c>
      <c r="B1061" s="4" t="s">
        <v>37</v>
      </c>
      <c r="C1061" s="4" t="str">
        <f>FEATURES!L1061</f>
        <v>NORMAL</v>
      </c>
      <c r="D1061" s="4" t="str">
        <f>FEATURES!R1061</f>
        <v>LOW</v>
      </c>
      <c r="E1061" s="4" t="str">
        <f>FEATURES!Q1061</f>
        <v>HIGHLY_ENGAGED</v>
      </c>
      <c r="F1061" s="4" t="str">
        <f>FEATURES!P1061</f>
        <v>Medium_Pressure</v>
      </c>
      <c r="G1061" s="4" t="str">
        <f>FEATURES!M1061</f>
        <v>LOW</v>
      </c>
      <c r="H1061" s="4" t="str">
        <f>FEATURES!O1061</f>
        <v>RECENTLY PROMOTED</v>
      </c>
      <c r="I1061" s="4" t="str">
        <f t="shared" si="4"/>
        <v>LOW RISK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 spans="1:27" ht="13.2" x14ac:dyDescent="0.25">
      <c r="A1062" s="4">
        <v>1494</v>
      </c>
      <c r="B1062" s="4" t="s">
        <v>45</v>
      </c>
      <c r="C1062" s="4" t="str">
        <f>FEATURES!L1062</f>
        <v>NORMAL</v>
      </c>
      <c r="D1062" s="4" t="str">
        <f>FEATURES!R1062</f>
        <v>LOW</v>
      </c>
      <c r="E1062" s="4" t="str">
        <f>FEATURES!Q1062</f>
        <v>DISENGAGED</v>
      </c>
      <c r="F1062" s="4" t="str">
        <f>FEATURES!P1062</f>
        <v>High_Pressure</v>
      </c>
      <c r="G1062" s="4" t="str">
        <f>FEATURES!M1062</f>
        <v>LOW</v>
      </c>
      <c r="H1062" s="4" t="str">
        <f>FEATURES!O1062</f>
        <v>RECENTLY PROMOTED</v>
      </c>
      <c r="I1062" s="4" t="str">
        <f t="shared" si="4"/>
        <v>LOW RISK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 spans="1:27" ht="13.2" x14ac:dyDescent="0.25">
      <c r="A1063" s="4">
        <v>1495</v>
      </c>
      <c r="B1063" s="4" t="s">
        <v>37</v>
      </c>
      <c r="C1063" s="4" t="str">
        <f>FEATURES!L1063</f>
        <v>NORMAL</v>
      </c>
      <c r="D1063" s="4" t="str">
        <f>FEATURES!R1063</f>
        <v>LOW</v>
      </c>
      <c r="E1063" s="4" t="str">
        <f>FEATURES!Q1063</f>
        <v>DISENGAGED</v>
      </c>
      <c r="F1063" s="4" t="str">
        <f>FEATURES!P1063</f>
        <v>Medium_Pressure</v>
      </c>
      <c r="G1063" s="4" t="str">
        <f>FEATURES!M1063</f>
        <v>LOW</v>
      </c>
      <c r="H1063" s="4" t="str">
        <f>FEATURES!O1063</f>
        <v>RECENTLY PROMOTED</v>
      </c>
      <c r="I1063" s="4" t="str">
        <f t="shared" si="4"/>
        <v>LOW RISK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 spans="1:27" ht="13.2" x14ac:dyDescent="0.25">
      <c r="A1064" s="4">
        <v>1496</v>
      </c>
      <c r="B1064" s="4" t="s">
        <v>45</v>
      </c>
      <c r="C1064" s="4" t="str">
        <f>FEATURES!L1064</f>
        <v>NORMAL</v>
      </c>
      <c r="D1064" s="4" t="str">
        <f>FEATURES!R1064</f>
        <v>LOW</v>
      </c>
      <c r="E1064" s="4" t="str">
        <f>FEATURES!Q1064</f>
        <v>DISENGAGED</v>
      </c>
      <c r="F1064" s="4" t="str">
        <f>FEATURES!P1064</f>
        <v>High_Pressure</v>
      </c>
      <c r="G1064" s="4" t="str">
        <f>FEATURES!M1064</f>
        <v>MEDIUM</v>
      </c>
      <c r="H1064" s="4" t="str">
        <f>FEATURES!O1064</f>
        <v>MODERATE-WAIT</v>
      </c>
      <c r="I1064" s="4" t="str">
        <f t="shared" si="4"/>
        <v>LOW RISK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  <row r="1065" spans="1:27" ht="13.2" x14ac:dyDescent="0.25">
      <c r="A1065" s="4">
        <v>1497</v>
      </c>
      <c r="B1065" s="4" t="s">
        <v>37</v>
      </c>
      <c r="C1065" s="4" t="str">
        <f>FEATURES!L1065</f>
        <v>NORMAL</v>
      </c>
      <c r="D1065" s="4" t="str">
        <f>FEATURES!R1065</f>
        <v>LOW</v>
      </c>
      <c r="E1065" s="4" t="str">
        <f>FEATURES!Q1065</f>
        <v>HIGHLY_ENGAGED</v>
      </c>
      <c r="F1065" s="4" t="str">
        <f>FEATURES!P1065</f>
        <v>Medium_Pressure</v>
      </c>
      <c r="G1065" s="4" t="str">
        <f>FEATURES!M1065</f>
        <v>HIGH</v>
      </c>
      <c r="H1065" s="4" t="str">
        <f>FEATURES!O1065</f>
        <v>RECENTLY PROMOTED</v>
      </c>
      <c r="I1065" s="4" t="str">
        <f t="shared" si="4"/>
        <v>LOW RISK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</row>
    <row r="1066" spans="1:27" ht="13.2" x14ac:dyDescent="0.25">
      <c r="A1066" s="4">
        <v>1499</v>
      </c>
      <c r="B1066" s="4" t="s">
        <v>61</v>
      </c>
      <c r="C1066" s="4" t="str">
        <f>FEATURES!L1066</f>
        <v>NORMAL</v>
      </c>
      <c r="D1066" s="4" t="str">
        <f>FEATURES!R1066</f>
        <v>LOW</v>
      </c>
      <c r="E1066" s="4" t="str">
        <f>FEATURES!Q1066</f>
        <v>HIGHLY_ENGAGED</v>
      </c>
      <c r="F1066" s="4" t="str">
        <f>FEATURES!P1066</f>
        <v>Low_Pressure</v>
      </c>
      <c r="G1066" s="4" t="str">
        <f>FEATURES!M1066</f>
        <v>LOW</v>
      </c>
      <c r="H1066" s="4" t="str">
        <f>FEATURES!O1066</f>
        <v>RECENTLY PROMOTED</v>
      </c>
      <c r="I1066" s="4" t="str">
        <f t="shared" si="4"/>
        <v>LOW RISK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</row>
    <row r="1067" spans="1:27" ht="13.2" x14ac:dyDescent="0.25">
      <c r="A1067" s="4">
        <v>1501</v>
      </c>
      <c r="B1067" s="4" t="s">
        <v>45</v>
      </c>
      <c r="C1067" s="4" t="str">
        <f>FEATURES!L1067</f>
        <v>NORMAL</v>
      </c>
      <c r="D1067" s="4" t="str">
        <f>FEATURES!R1067</f>
        <v>LOW</v>
      </c>
      <c r="E1067" s="4" t="str">
        <f>FEATURES!Q1067</f>
        <v>HIGHLY_ENGAGED</v>
      </c>
      <c r="F1067" s="4" t="str">
        <f>FEATURES!P1067</f>
        <v>Medium_Pressure</v>
      </c>
      <c r="G1067" s="4" t="str">
        <f>FEATURES!M1067</f>
        <v>HIGH</v>
      </c>
      <c r="H1067" s="4" t="str">
        <f>FEATURES!O1067</f>
        <v>RECENTLY PROMOTED</v>
      </c>
      <c r="I1067" s="4" t="str">
        <f t="shared" si="4"/>
        <v>LOW RISK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</row>
    <row r="1068" spans="1:27" ht="13.2" x14ac:dyDescent="0.25">
      <c r="A1068" s="4">
        <v>1502</v>
      </c>
      <c r="B1068" s="4" t="s">
        <v>45</v>
      </c>
      <c r="C1068" s="4" t="str">
        <f>FEATURES!L1068</f>
        <v>NORMAL</v>
      </c>
      <c r="D1068" s="4" t="str">
        <f>FEATURES!R1068</f>
        <v>LOW</v>
      </c>
      <c r="E1068" s="4" t="str">
        <f>FEATURES!Q1068</f>
        <v>DISENGAGED</v>
      </c>
      <c r="F1068" s="4" t="str">
        <f>FEATURES!P1068</f>
        <v>Medium_Pressure</v>
      </c>
      <c r="G1068" s="4" t="str">
        <f>FEATURES!M1068</f>
        <v>LOW</v>
      </c>
      <c r="H1068" s="4" t="str">
        <f>FEATURES!O1068</f>
        <v>RECENTLY PROMOTED</v>
      </c>
      <c r="I1068" s="4" t="str">
        <f t="shared" si="4"/>
        <v>LOW RISK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 spans="1:27" ht="13.2" x14ac:dyDescent="0.25">
      <c r="A1069" s="4">
        <v>1503</v>
      </c>
      <c r="B1069" s="4" t="s">
        <v>37</v>
      </c>
      <c r="C1069" s="4" t="str">
        <f>FEATURES!L1069</f>
        <v>NORMAL</v>
      </c>
      <c r="D1069" s="4" t="str">
        <f>FEATURES!R1069</f>
        <v>LOW</v>
      </c>
      <c r="E1069" s="4" t="str">
        <f>FEATURES!Q1069</f>
        <v>DISENGAGED</v>
      </c>
      <c r="F1069" s="4" t="str">
        <f>FEATURES!P1069</f>
        <v>High_Pressure</v>
      </c>
      <c r="G1069" s="4" t="str">
        <f>FEATURES!M1069</f>
        <v>HIGH</v>
      </c>
      <c r="H1069" s="4" t="str">
        <f>FEATURES!O1069</f>
        <v>RECENTLY PROMOTED</v>
      </c>
      <c r="I1069" s="4" t="str">
        <f t="shared" si="4"/>
        <v>LOW RISK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</row>
    <row r="1070" spans="1:27" ht="13.2" x14ac:dyDescent="0.25">
      <c r="A1070" s="4">
        <v>1504</v>
      </c>
      <c r="B1070" s="4" t="s">
        <v>45</v>
      </c>
      <c r="C1070" s="4" t="str">
        <f>FEATURES!L1070</f>
        <v>NORMAL</v>
      </c>
      <c r="D1070" s="4" t="str">
        <f>FEATURES!R1070</f>
        <v>LOW</v>
      </c>
      <c r="E1070" s="4" t="str">
        <f>FEATURES!Q1070</f>
        <v>DISENGAGED</v>
      </c>
      <c r="F1070" s="4" t="str">
        <f>FEATURES!P1070</f>
        <v>Low_Pressure</v>
      </c>
      <c r="G1070" s="4" t="str">
        <f>FEATURES!M1070</f>
        <v>LOW</v>
      </c>
      <c r="H1070" s="4" t="str">
        <f>FEATURES!O1070</f>
        <v>RECENTLY PROMOTED</v>
      </c>
      <c r="I1070" s="4" t="str">
        <f t="shared" si="4"/>
        <v>LOW RISK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 spans="1:27" ht="13.2" x14ac:dyDescent="0.25">
      <c r="A1071" s="4">
        <v>1506</v>
      </c>
      <c r="B1071" s="4" t="s">
        <v>45</v>
      </c>
      <c r="C1071" s="4" t="str">
        <f>FEATURES!L1071</f>
        <v>NORMAL</v>
      </c>
      <c r="D1071" s="4" t="str">
        <f>FEATURES!R1071</f>
        <v>LOW</v>
      </c>
      <c r="E1071" s="4" t="str">
        <f>FEATURES!Q1071</f>
        <v>DISENGAGED</v>
      </c>
      <c r="F1071" s="4" t="str">
        <f>FEATURES!P1071</f>
        <v>Low_Pressure</v>
      </c>
      <c r="G1071" s="4" t="str">
        <f>FEATURES!M1071</f>
        <v>LOW</v>
      </c>
      <c r="H1071" s="4" t="str">
        <f>FEATURES!O1071</f>
        <v>RECENTLY PROMOTED</v>
      </c>
      <c r="I1071" s="4" t="str">
        <f t="shared" si="4"/>
        <v>LOW RISK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</row>
    <row r="1072" spans="1:27" ht="13.2" x14ac:dyDescent="0.25">
      <c r="A1072" s="4">
        <v>1507</v>
      </c>
      <c r="B1072" s="4" t="s">
        <v>37</v>
      </c>
      <c r="C1072" s="4" t="str">
        <f>FEATURES!L1072</f>
        <v>NORMAL</v>
      </c>
      <c r="D1072" s="4" t="str">
        <f>FEATURES!R1072</f>
        <v>LOW</v>
      </c>
      <c r="E1072" s="4" t="str">
        <f>FEATURES!Q1072</f>
        <v>DISENGAGED</v>
      </c>
      <c r="F1072" s="4" t="str">
        <f>FEATURES!P1072</f>
        <v>Medium_Pressure</v>
      </c>
      <c r="G1072" s="4" t="str">
        <f>FEATURES!M1072</f>
        <v>HIGH</v>
      </c>
      <c r="H1072" s="4" t="str">
        <f>FEATURES!O1072</f>
        <v>RECENTLY PROMOTED</v>
      </c>
      <c r="I1072" s="4" t="str">
        <f t="shared" si="4"/>
        <v>LOW RISK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</row>
    <row r="1073" spans="1:27" ht="13.2" x14ac:dyDescent="0.25">
      <c r="A1073" s="4">
        <v>1509</v>
      </c>
      <c r="B1073" s="4" t="s">
        <v>45</v>
      </c>
      <c r="C1073" s="4" t="str">
        <f>FEATURES!L1073</f>
        <v>NORMAL</v>
      </c>
      <c r="D1073" s="4" t="str">
        <f>FEATURES!R1073</f>
        <v>LOW</v>
      </c>
      <c r="E1073" s="4" t="str">
        <f>FEATURES!Q1073</f>
        <v>DISENGAGED</v>
      </c>
      <c r="F1073" s="4" t="str">
        <f>FEATURES!P1073</f>
        <v>Medium_Pressure</v>
      </c>
      <c r="G1073" s="4" t="str">
        <f>FEATURES!M1073</f>
        <v>HIGH</v>
      </c>
      <c r="H1073" s="4" t="str">
        <f>FEATURES!O1073</f>
        <v>RECENTLY PROMOTED</v>
      </c>
      <c r="I1073" s="4" t="str">
        <f t="shared" si="4"/>
        <v>LOW RISK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 spans="1:27" ht="13.2" x14ac:dyDescent="0.25">
      <c r="A1074" s="4">
        <v>1513</v>
      </c>
      <c r="B1074" s="4" t="s">
        <v>45</v>
      </c>
      <c r="C1074" s="4" t="str">
        <f>FEATURES!L1074</f>
        <v>NORMAL</v>
      </c>
      <c r="D1074" s="4" t="str">
        <f>FEATURES!R1074</f>
        <v>LOW</v>
      </c>
      <c r="E1074" s="4" t="str">
        <f>FEATURES!Q1074</f>
        <v>DISENGAGED</v>
      </c>
      <c r="F1074" s="4" t="str">
        <f>FEATURES!P1074</f>
        <v>Medium_Pressure</v>
      </c>
      <c r="G1074" s="4" t="str">
        <f>FEATURES!M1074</f>
        <v>LOW</v>
      </c>
      <c r="H1074" s="4" t="str">
        <f>FEATURES!O1074</f>
        <v>RECENTLY PROMOTED</v>
      </c>
      <c r="I1074" s="4" t="str">
        <f t="shared" si="4"/>
        <v>LOW RISK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 spans="1:27" ht="13.2" x14ac:dyDescent="0.25">
      <c r="A1075" s="4">
        <v>1514</v>
      </c>
      <c r="B1075" s="4" t="s">
        <v>45</v>
      </c>
      <c r="C1075" s="4" t="str">
        <f>FEATURES!L1075</f>
        <v>NORMAL</v>
      </c>
      <c r="D1075" s="4" t="str">
        <f>FEATURES!R1075</f>
        <v>LOW</v>
      </c>
      <c r="E1075" s="4" t="str">
        <f>FEATURES!Q1075</f>
        <v>DISENGAGED</v>
      </c>
      <c r="F1075" s="4" t="str">
        <f>FEATURES!P1075</f>
        <v>Low_Pressure</v>
      </c>
      <c r="G1075" s="4" t="str">
        <f>FEATURES!M1075</f>
        <v>HIGH</v>
      </c>
      <c r="H1075" s="4" t="str">
        <f>FEATURES!O1075</f>
        <v>RECENTLY PROMOTED</v>
      </c>
      <c r="I1075" s="4" t="str">
        <f t="shared" si="4"/>
        <v>LOW RISK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  <row r="1076" spans="1:27" ht="13.2" x14ac:dyDescent="0.25">
      <c r="A1076" s="4">
        <v>1515</v>
      </c>
      <c r="B1076" s="4" t="s">
        <v>45</v>
      </c>
      <c r="C1076" s="4" t="str">
        <f>FEATURES!L1076</f>
        <v>NORMAL</v>
      </c>
      <c r="D1076" s="4" t="str">
        <f>FEATURES!R1076</f>
        <v>LOW</v>
      </c>
      <c r="E1076" s="4" t="str">
        <f>FEATURES!Q1076</f>
        <v>HIGHLY_ENGAGED</v>
      </c>
      <c r="F1076" s="4" t="str">
        <f>FEATURES!P1076</f>
        <v>Medium_Pressure</v>
      </c>
      <c r="G1076" s="4" t="str">
        <f>FEATURES!M1076</f>
        <v>HIGH</v>
      </c>
      <c r="H1076" s="4" t="str">
        <f>FEATURES!O1076</f>
        <v>RECENTLY PROMOTED</v>
      </c>
      <c r="I1076" s="4" t="str">
        <f t="shared" si="4"/>
        <v>LOW RISK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</row>
    <row r="1077" spans="1:27" ht="13.2" x14ac:dyDescent="0.25">
      <c r="A1077" s="4">
        <v>1516</v>
      </c>
      <c r="B1077" s="4" t="s">
        <v>45</v>
      </c>
      <c r="C1077" s="4" t="str">
        <f>FEATURES!L1077</f>
        <v>NORMAL</v>
      </c>
      <c r="D1077" s="4" t="str">
        <f>FEATURES!R1077</f>
        <v>LOW</v>
      </c>
      <c r="E1077" s="4" t="str">
        <f>FEATURES!Q1077</f>
        <v>HIGHLY_ENGAGED</v>
      </c>
      <c r="F1077" s="4" t="str">
        <f>FEATURES!P1077</f>
        <v>Low_Pressure</v>
      </c>
      <c r="G1077" s="4" t="str">
        <f>FEATURES!M1077</f>
        <v>MEDIUM</v>
      </c>
      <c r="H1077" s="4" t="str">
        <f>FEATURES!O1077</f>
        <v>RECENTLY PROMOTED</v>
      </c>
      <c r="I1077" s="4" t="str">
        <f t="shared" si="4"/>
        <v>LOW RISK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</row>
    <row r="1078" spans="1:27" ht="13.2" x14ac:dyDescent="0.25">
      <c r="A1078" s="4">
        <v>1520</v>
      </c>
      <c r="B1078" s="4" t="s">
        <v>45</v>
      </c>
      <c r="C1078" s="4" t="str">
        <f>FEATURES!L1078</f>
        <v>NORMAL</v>
      </c>
      <c r="D1078" s="4" t="str">
        <f>FEATURES!R1078</f>
        <v>LOW</v>
      </c>
      <c r="E1078" s="4" t="str">
        <f>FEATURES!Q1078</f>
        <v>HIGHLY_ENGAGED</v>
      </c>
      <c r="F1078" s="4" t="str">
        <f>FEATURES!P1078</f>
        <v>Medium_Pressure</v>
      </c>
      <c r="G1078" s="4" t="str">
        <f>FEATURES!M1078</f>
        <v>MEDIUM</v>
      </c>
      <c r="H1078" s="4" t="str">
        <f>FEATURES!O1078</f>
        <v>RECENTLY PROMOTED</v>
      </c>
      <c r="I1078" s="4" t="str">
        <f t="shared" si="4"/>
        <v>LOW RISK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</row>
    <row r="1079" spans="1:27" ht="13.2" x14ac:dyDescent="0.25">
      <c r="A1079" s="4">
        <v>1522</v>
      </c>
      <c r="B1079" s="4" t="s">
        <v>45</v>
      </c>
      <c r="C1079" s="4" t="str">
        <f>FEATURES!L1079</f>
        <v>NORMAL</v>
      </c>
      <c r="D1079" s="4" t="str">
        <f>FEATURES!R1079</f>
        <v>LOW</v>
      </c>
      <c r="E1079" s="4" t="str">
        <f>FEATURES!Q1079</f>
        <v>DISENGAGED</v>
      </c>
      <c r="F1079" s="4" t="str">
        <f>FEATURES!P1079</f>
        <v>Low_Pressure</v>
      </c>
      <c r="G1079" s="4" t="str">
        <f>FEATURES!M1079</f>
        <v>LOW</v>
      </c>
      <c r="H1079" s="4" t="str">
        <f>FEATURES!O1079</f>
        <v>RECENTLY PROMOTED</v>
      </c>
      <c r="I1079" s="4" t="str">
        <f t="shared" si="4"/>
        <v>LOW RISK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</row>
    <row r="1080" spans="1:27" ht="13.2" x14ac:dyDescent="0.25">
      <c r="A1080" s="4">
        <v>1523</v>
      </c>
      <c r="B1080" s="4" t="s">
        <v>45</v>
      </c>
      <c r="C1080" s="4" t="str">
        <f>FEATURES!L1080</f>
        <v>NORMAL</v>
      </c>
      <c r="D1080" s="4" t="str">
        <f>FEATURES!R1080</f>
        <v>LOW</v>
      </c>
      <c r="E1080" s="4" t="str">
        <f>FEATURES!Q1080</f>
        <v>DISENGAGED</v>
      </c>
      <c r="F1080" s="4" t="str">
        <f>FEATURES!P1080</f>
        <v>Low_Pressure</v>
      </c>
      <c r="G1080" s="4" t="str">
        <f>FEATURES!M1080</f>
        <v>MEDIUM</v>
      </c>
      <c r="H1080" s="4" t="str">
        <f>FEATURES!O1080</f>
        <v>STAGNANT</v>
      </c>
      <c r="I1080" s="4" t="str">
        <f t="shared" si="4"/>
        <v>LOW RISK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 spans="1:27" ht="13.2" x14ac:dyDescent="0.25">
      <c r="A1081" s="4">
        <v>1525</v>
      </c>
      <c r="B1081" s="4" t="s">
        <v>45</v>
      </c>
      <c r="C1081" s="4" t="str">
        <f>FEATURES!L1081</f>
        <v>NORMAL</v>
      </c>
      <c r="D1081" s="4" t="str">
        <f>FEATURES!R1081</f>
        <v>LOW</v>
      </c>
      <c r="E1081" s="4" t="str">
        <f>FEATURES!Q1081</f>
        <v>DISENGAGED</v>
      </c>
      <c r="F1081" s="4" t="str">
        <f>FEATURES!P1081</f>
        <v>Medium_Pressure</v>
      </c>
      <c r="G1081" s="4" t="str">
        <f>FEATURES!M1081</f>
        <v>HIGH</v>
      </c>
      <c r="H1081" s="4" t="str">
        <f>FEATURES!O1081</f>
        <v>MODERATE-WAIT</v>
      </c>
      <c r="I1081" s="4" t="str">
        <f t="shared" si="4"/>
        <v>LOW RISK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</row>
    <row r="1082" spans="1:27" ht="13.2" x14ac:dyDescent="0.25">
      <c r="A1082" s="4">
        <v>1527</v>
      </c>
      <c r="B1082" s="4" t="s">
        <v>37</v>
      </c>
      <c r="C1082" s="4" t="str">
        <f>FEATURES!L1082</f>
        <v>NORMAL</v>
      </c>
      <c r="D1082" s="4" t="str">
        <f>FEATURES!R1082</f>
        <v>LOW</v>
      </c>
      <c r="E1082" s="4" t="str">
        <f>FEATURES!Q1082</f>
        <v>DISENGAGED</v>
      </c>
      <c r="F1082" s="4" t="str">
        <f>FEATURES!P1082</f>
        <v>Low_Pressure</v>
      </c>
      <c r="G1082" s="4" t="str">
        <f>FEATURES!M1082</f>
        <v>MEDIUM</v>
      </c>
      <c r="H1082" s="4" t="str">
        <f>FEATURES!O1082</f>
        <v>STAGNANT</v>
      </c>
      <c r="I1082" s="4" t="str">
        <f t="shared" si="4"/>
        <v>LOW RISK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</row>
    <row r="1083" spans="1:27" ht="13.2" x14ac:dyDescent="0.25">
      <c r="A1083" s="4">
        <v>1529</v>
      </c>
      <c r="B1083" s="4" t="s">
        <v>45</v>
      </c>
      <c r="C1083" s="4" t="str">
        <f>FEATURES!L1083</f>
        <v>NORMAL</v>
      </c>
      <c r="D1083" s="4" t="str">
        <f>FEATURES!R1083</f>
        <v>LOW</v>
      </c>
      <c r="E1083" s="4" t="str">
        <f>FEATURES!Q1083</f>
        <v>DISENGAGED</v>
      </c>
      <c r="F1083" s="4" t="str">
        <f>FEATURES!P1083</f>
        <v>Low_Pressure</v>
      </c>
      <c r="G1083" s="4" t="str">
        <f>FEATURES!M1083</f>
        <v>HIGH</v>
      </c>
      <c r="H1083" s="4" t="str">
        <f>FEATURES!O1083</f>
        <v>MODERATE-WAIT</v>
      </c>
      <c r="I1083" s="4" t="str">
        <f t="shared" si="4"/>
        <v>LOW RISK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 spans="1:27" ht="13.2" x14ac:dyDescent="0.25">
      <c r="A1084" s="4">
        <v>1533</v>
      </c>
      <c r="B1084" s="4" t="s">
        <v>45</v>
      </c>
      <c r="C1084" s="4" t="str">
        <f>FEATURES!L1084</f>
        <v>NORMAL</v>
      </c>
      <c r="D1084" s="4" t="str">
        <f>FEATURES!R1084</f>
        <v>LOW</v>
      </c>
      <c r="E1084" s="4" t="str">
        <f>FEATURES!Q1084</f>
        <v>HIGHLY_ENGAGED</v>
      </c>
      <c r="F1084" s="4" t="str">
        <f>FEATURES!P1084</f>
        <v>Medium_Pressure</v>
      </c>
      <c r="G1084" s="4" t="str">
        <f>FEATURES!M1084</f>
        <v>LOW</v>
      </c>
      <c r="H1084" s="4" t="str">
        <f>FEATURES!O1084</f>
        <v>RECENTLY PROMOTED</v>
      </c>
      <c r="I1084" s="4" t="str">
        <f t="shared" si="4"/>
        <v>LOW RISK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 spans="1:27" ht="13.2" x14ac:dyDescent="0.25">
      <c r="A1085" s="4">
        <v>1534</v>
      </c>
      <c r="B1085" s="4" t="s">
        <v>45</v>
      </c>
      <c r="C1085" s="4" t="str">
        <f>FEATURES!L1085</f>
        <v>NORMAL</v>
      </c>
      <c r="D1085" s="4" t="str">
        <f>FEATURES!R1085</f>
        <v>LOW</v>
      </c>
      <c r="E1085" s="4" t="str">
        <f>FEATURES!Q1085</f>
        <v>DISENGAGED</v>
      </c>
      <c r="F1085" s="4" t="str">
        <f>FEATURES!P1085</f>
        <v>Low_Pressure</v>
      </c>
      <c r="G1085" s="4" t="str">
        <f>FEATURES!M1085</f>
        <v>LOW</v>
      </c>
      <c r="H1085" s="4" t="str">
        <f>FEATURES!O1085</f>
        <v>RECENTLY PROMOTED</v>
      </c>
      <c r="I1085" s="4" t="str">
        <f t="shared" si="4"/>
        <v>LOW RISK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 spans="1:27" ht="13.2" x14ac:dyDescent="0.25">
      <c r="A1086" s="4">
        <v>1535</v>
      </c>
      <c r="B1086" s="4" t="s">
        <v>37</v>
      </c>
      <c r="C1086" s="4" t="str">
        <f>FEATURES!L1086</f>
        <v>NORMAL</v>
      </c>
      <c r="D1086" s="4" t="str">
        <f>FEATURES!R1086</f>
        <v>LOW</v>
      </c>
      <c r="E1086" s="4" t="str">
        <f>FEATURES!Q1086</f>
        <v>HIGHLY_ENGAGED</v>
      </c>
      <c r="F1086" s="4" t="str">
        <f>FEATURES!P1086</f>
        <v>Medium_Pressure</v>
      </c>
      <c r="G1086" s="4" t="str">
        <f>FEATURES!M1086</f>
        <v>HIGH</v>
      </c>
      <c r="H1086" s="4" t="str">
        <f>FEATURES!O1086</f>
        <v>STAGNANT</v>
      </c>
      <c r="I1086" s="4" t="str">
        <f t="shared" si="4"/>
        <v>LOW RISK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 spans="1:27" ht="13.2" x14ac:dyDescent="0.25">
      <c r="A1087" s="4">
        <v>1537</v>
      </c>
      <c r="B1087" s="4" t="s">
        <v>45</v>
      </c>
      <c r="C1087" s="4" t="str">
        <f>FEATURES!L1087</f>
        <v>NORMAL</v>
      </c>
      <c r="D1087" s="4" t="str">
        <f>FEATURES!R1087</f>
        <v>LOW</v>
      </c>
      <c r="E1087" s="4" t="str">
        <f>FEATURES!Q1087</f>
        <v>DISENGAGED</v>
      </c>
      <c r="F1087" s="4" t="str">
        <f>FEATURES!P1087</f>
        <v>Low_Pressure</v>
      </c>
      <c r="G1087" s="4" t="str">
        <f>FEATURES!M1087</f>
        <v>HIGH</v>
      </c>
      <c r="H1087" s="4" t="str">
        <f>FEATURES!O1087</f>
        <v>STAGNANT</v>
      </c>
      <c r="I1087" s="4" t="str">
        <f t="shared" si="4"/>
        <v>LOW RISK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 spans="1:27" ht="13.2" x14ac:dyDescent="0.25">
      <c r="A1088" s="4">
        <v>1539</v>
      </c>
      <c r="B1088" s="4" t="s">
        <v>45</v>
      </c>
      <c r="C1088" s="4" t="str">
        <f>FEATURES!L1088</f>
        <v>NORMAL</v>
      </c>
      <c r="D1088" s="4" t="str">
        <f>FEATURES!R1088</f>
        <v>LOW</v>
      </c>
      <c r="E1088" s="4" t="str">
        <f>FEATURES!Q1088</f>
        <v>HIGHLY_ENGAGED</v>
      </c>
      <c r="F1088" s="4" t="str">
        <f>FEATURES!P1088</f>
        <v>Medium_Pressure</v>
      </c>
      <c r="G1088" s="4" t="str">
        <f>FEATURES!M1088</f>
        <v>MEDIUM</v>
      </c>
      <c r="H1088" s="4" t="str">
        <f>FEATURES!O1088</f>
        <v>STAGNANT</v>
      </c>
      <c r="I1088" s="4" t="str">
        <f t="shared" si="4"/>
        <v>LOW RISK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 spans="1:27" ht="13.2" x14ac:dyDescent="0.25">
      <c r="A1089" s="4">
        <v>1541</v>
      </c>
      <c r="B1089" s="4" t="s">
        <v>37</v>
      </c>
      <c r="C1089" s="4" t="str">
        <f>FEATURES!L1089</f>
        <v>NORMAL</v>
      </c>
      <c r="D1089" s="4" t="str">
        <f>FEATURES!R1089</f>
        <v>LOW</v>
      </c>
      <c r="E1089" s="4" t="str">
        <f>FEATURES!Q1089</f>
        <v>HIGHLY_ENGAGED</v>
      </c>
      <c r="F1089" s="4" t="str">
        <f>FEATURES!P1089</f>
        <v>Medium_Pressure</v>
      </c>
      <c r="G1089" s="4" t="str">
        <f>FEATURES!M1089</f>
        <v>LOW</v>
      </c>
      <c r="H1089" s="4" t="str">
        <f>FEATURES!O1089</f>
        <v>STAGNANT</v>
      </c>
      <c r="I1089" s="4" t="str">
        <f t="shared" si="4"/>
        <v>LOW RISK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 spans="1:27" ht="13.2" x14ac:dyDescent="0.25">
      <c r="A1090" s="4">
        <v>1542</v>
      </c>
      <c r="B1090" s="4" t="s">
        <v>45</v>
      </c>
      <c r="C1090" s="4" t="str">
        <f>FEATURES!L1090</f>
        <v>NORMAL</v>
      </c>
      <c r="D1090" s="4" t="str">
        <f>FEATURES!R1090</f>
        <v>LOW</v>
      </c>
      <c r="E1090" s="4" t="str">
        <f>FEATURES!Q1090</f>
        <v>DISENGAGED</v>
      </c>
      <c r="F1090" s="4" t="str">
        <f>FEATURES!P1090</f>
        <v>Medium_Pressure</v>
      </c>
      <c r="G1090" s="4" t="str">
        <f>FEATURES!M1090</f>
        <v>HIGH</v>
      </c>
      <c r="H1090" s="4" t="str">
        <f>FEATURES!O1090</f>
        <v>RECENTLY PROMOTED</v>
      </c>
      <c r="I1090" s="4" t="str">
        <f t="shared" si="4"/>
        <v>LOW RISK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 spans="1:27" ht="13.2" x14ac:dyDescent="0.25">
      <c r="A1091" s="4">
        <v>1543</v>
      </c>
      <c r="B1091" s="4" t="s">
        <v>45</v>
      </c>
      <c r="C1091" s="4" t="str">
        <f>FEATURES!L1091</f>
        <v>NORMAL</v>
      </c>
      <c r="D1091" s="4" t="str">
        <f>FEATURES!R1091</f>
        <v>LOW</v>
      </c>
      <c r="E1091" s="4" t="str">
        <f>FEATURES!Q1091</f>
        <v>HIGHLY_ENGAGED</v>
      </c>
      <c r="F1091" s="4" t="str">
        <f>FEATURES!P1091</f>
        <v>Medium_Pressure</v>
      </c>
      <c r="G1091" s="4" t="str">
        <f>FEATURES!M1091</f>
        <v>HIGH</v>
      </c>
      <c r="H1091" s="4" t="str">
        <f>FEATURES!O1091</f>
        <v>MODERATE-WAIT</v>
      </c>
      <c r="I1091" s="4" t="str">
        <f t="shared" si="4"/>
        <v>LOW RISK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 spans="1:27" ht="13.2" x14ac:dyDescent="0.25">
      <c r="A1092" s="4">
        <v>1544</v>
      </c>
      <c r="B1092" s="4" t="s">
        <v>45</v>
      </c>
      <c r="C1092" s="4" t="str">
        <f>FEATURES!L1092</f>
        <v>NORMAL</v>
      </c>
      <c r="D1092" s="4" t="str">
        <f>FEATURES!R1092</f>
        <v>LOW</v>
      </c>
      <c r="E1092" s="4" t="str">
        <f>FEATURES!Q1092</f>
        <v>DISENGAGED</v>
      </c>
      <c r="F1092" s="4" t="str">
        <f>FEATURES!P1092</f>
        <v>Medium_Pressure</v>
      </c>
      <c r="G1092" s="4" t="str">
        <f>FEATURES!M1092</f>
        <v>MEDIUM</v>
      </c>
      <c r="H1092" s="4" t="str">
        <f>FEATURES!O1092</f>
        <v>RECENTLY PROMOTED</v>
      </c>
      <c r="I1092" s="4" t="str">
        <f t="shared" si="4"/>
        <v>LOW RISK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 spans="1:27" ht="13.2" x14ac:dyDescent="0.25">
      <c r="A1093" s="4">
        <v>1545</v>
      </c>
      <c r="B1093" s="4" t="s">
        <v>45</v>
      </c>
      <c r="C1093" s="4" t="str">
        <f>FEATURES!L1093</f>
        <v>NORMAL</v>
      </c>
      <c r="D1093" s="4" t="str">
        <f>FEATURES!R1093</f>
        <v>LOW</v>
      </c>
      <c r="E1093" s="4" t="str">
        <f>FEATURES!Q1093</f>
        <v>DISENGAGED</v>
      </c>
      <c r="F1093" s="4" t="str">
        <f>FEATURES!P1093</f>
        <v>Medium_Pressure</v>
      </c>
      <c r="G1093" s="4" t="str">
        <f>FEATURES!M1093</f>
        <v>HIGH</v>
      </c>
      <c r="H1093" s="4" t="str">
        <f>FEATURES!O1093</f>
        <v>RECENTLY PROMOTED</v>
      </c>
      <c r="I1093" s="4" t="str">
        <f t="shared" si="4"/>
        <v>LOW RISK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 spans="1:27" ht="13.2" x14ac:dyDescent="0.25">
      <c r="A1094" s="4">
        <v>1546</v>
      </c>
      <c r="B1094" s="4" t="s">
        <v>45</v>
      </c>
      <c r="C1094" s="4" t="str">
        <f>FEATURES!L1094</f>
        <v>NORMAL</v>
      </c>
      <c r="D1094" s="4" t="str">
        <f>FEATURES!R1094</f>
        <v>LOW</v>
      </c>
      <c r="E1094" s="4" t="str">
        <f>FEATURES!Q1094</f>
        <v>HIGHLY_ENGAGED</v>
      </c>
      <c r="F1094" s="4" t="str">
        <f>FEATURES!P1094</f>
        <v>Medium_Pressure</v>
      </c>
      <c r="G1094" s="4" t="str">
        <f>FEATURES!M1094</f>
        <v>LOW</v>
      </c>
      <c r="H1094" s="4" t="str">
        <f>FEATURES!O1094</f>
        <v>RECENTLY PROMOTED</v>
      </c>
      <c r="I1094" s="4" t="str">
        <f t="shared" si="4"/>
        <v>LOW RISK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 spans="1:27" ht="13.2" x14ac:dyDescent="0.25">
      <c r="A1095" s="4">
        <v>1547</v>
      </c>
      <c r="B1095" s="4" t="s">
        <v>45</v>
      </c>
      <c r="C1095" s="4" t="str">
        <f>FEATURES!L1095</f>
        <v>NORMAL</v>
      </c>
      <c r="D1095" s="4" t="str">
        <f>FEATURES!R1095</f>
        <v>LOW</v>
      </c>
      <c r="E1095" s="4" t="str">
        <f>FEATURES!Q1095</f>
        <v>DISENGAGED</v>
      </c>
      <c r="F1095" s="4" t="str">
        <f>FEATURES!P1095</f>
        <v>High_Pressure</v>
      </c>
      <c r="G1095" s="4" t="str">
        <f>FEATURES!M1095</f>
        <v>MEDIUM</v>
      </c>
      <c r="H1095" s="4" t="str">
        <f>FEATURES!O1095</f>
        <v>STAGNANT</v>
      </c>
      <c r="I1095" s="4" t="str">
        <f t="shared" si="4"/>
        <v>LOW RISK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 spans="1:27" ht="13.2" x14ac:dyDescent="0.25">
      <c r="A1096" s="4">
        <v>1548</v>
      </c>
      <c r="B1096" s="4" t="s">
        <v>37</v>
      </c>
      <c r="C1096" s="4" t="str">
        <f>FEATURES!L1096</f>
        <v>NORMAL</v>
      </c>
      <c r="D1096" s="4" t="str">
        <f>FEATURES!R1096</f>
        <v>LOW</v>
      </c>
      <c r="E1096" s="4" t="str">
        <f>FEATURES!Q1096</f>
        <v>DISENGAGED</v>
      </c>
      <c r="F1096" s="4" t="str">
        <f>FEATURES!P1096</f>
        <v>Low_Pressure</v>
      </c>
      <c r="G1096" s="4" t="str">
        <f>FEATURES!M1096</f>
        <v>HIGH</v>
      </c>
      <c r="H1096" s="4" t="str">
        <f>FEATURES!O1096</f>
        <v>STAGNANT</v>
      </c>
      <c r="I1096" s="4" t="str">
        <f t="shared" si="4"/>
        <v>LOW RISK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  <row r="1097" spans="1:27" ht="13.2" x14ac:dyDescent="0.25">
      <c r="A1097" s="4">
        <v>1549</v>
      </c>
      <c r="B1097" s="4" t="s">
        <v>45</v>
      </c>
      <c r="C1097" s="4" t="str">
        <f>FEATURES!L1097</f>
        <v>NORMAL</v>
      </c>
      <c r="D1097" s="4" t="str">
        <f>FEATURES!R1097</f>
        <v>LOW</v>
      </c>
      <c r="E1097" s="4" t="str">
        <f>FEATURES!Q1097</f>
        <v>HIGHLY_ENGAGED</v>
      </c>
      <c r="F1097" s="4" t="str">
        <f>FEATURES!P1097</f>
        <v>Medium_Pressure</v>
      </c>
      <c r="G1097" s="4" t="str">
        <f>FEATURES!M1097</f>
        <v>HIGH</v>
      </c>
      <c r="H1097" s="4" t="str">
        <f>FEATURES!O1097</f>
        <v>STAGNANT</v>
      </c>
      <c r="I1097" s="4" t="str">
        <f t="shared" si="4"/>
        <v>LOW RISK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</row>
    <row r="1098" spans="1:27" ht="13.2" x14ac:dyDescent="0.25">
      <c r="A1098" s="4">
        <v>1550</v>
      </c>
      <c r="B1098" s="4" t="s">
        <v>61</v>
      </c>
      <c r="C1098" s="4" t="str">
        <f>FEATURES!L1098</f>
        <v>NORMAL</v>
      </c>
      <c r="D1098" s="4" t="str">
        <f>FEATURES!R1098</f>
        <v>LOW</v>
      </c>
      <c r="E1098" s="4" t="str">
        <f>FEATURES!Q1098</f>
        <v>HIGHLY_ENGAGED</v>
      </c>
      <c r="F1098" s="4" t="str">
        <f>FEATURES!P1098</f>
        <v>Medium_Pressure</v>
      </c>
      <c r="G1098" s="4" t="str">
        <f>FEATURES!M1098</f>
        <v>MEDIUM</v>
      </c>
      <c r="H1098" s="4" t="str">
        <f>FEATURES!O1098</f>
        <v>STAGNANT</v>
      </c>
      <c r="I1098" s="4" t="str">
        <f t="shared" si="4"/>
        <v>LOW RISK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</row>
    <row r="1099" spans="1:27" ht="13.2" x14ac:dyDescent="0.25">
      <c r="A1099" s="4">
        <v>1551</v>
      </c>
      <c r="B1099" s="4" t="s">
        <v>45</v>
      </c>
      <c r="C1099" s="4" t="str">
        <f>FEATURES!L1099</f>
        <v>NORMAL</v>
      </c>
      <c r="D1099" s="4" t="str">
        <f>FEATURES!R1099</f>
        <v>LOW</v>
      </c>
      <c r="E1099" s="4" t="str">
        <f>FEATURES!Q1099</f>
        <v>DISENGAGED</v>
      </c>
      <c r="F1099" s="4" t="str">
        <f>FEATURES!P1099</f>
        <v>Medium_Pressure</v>
      </c>
      <c r="G1099" s="4" t="str">
        <f>FEATURES!M1099</f>
        <v>LOW</v>
      </c>
      <c r="H1099" s="4" t="str">
        <f>FEATURES!O1099</f>
        <v>RECENTLY PROMOTED</v>
      </c>
      <c r="I1099" s="4" t="str">
        <f t="shared" si="4"/>
        <v>LOW RISK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</row>
    <row r="1100" spans="1:27" ht="13.2" x14ac:dyDescent="0.25">
      <c r="A1100" s="4">
        <v>1552</v>
      </c>
      <c r="B1100" s="4" t="s">
        <v>45</v>
      </c>
      <c r="C1100" s="4" t="str">
        <f>FEATURES!L1100</f>
        <v>NORMAL</v>
      </c>
      <c r="D1100" s="4" t="str">
        <f>FEATURES!R1100</f>
        <v>LOW</v>
      </c>
      <c r="E1100" s="4" t="str">
        <f>FEATURES!Q1100</f>
        <v>HIGHLY_ENGAGED</v>
      </c>
      <c r="F1100" s="4" t="str">
        <f>FEATURES!P1100</f>
        <v>Medium_Pressure</v>
      </c>
      <c r="G1100" s="4" t="str">
        <f>FEATURES!M1100</f>
        <v>HIGH</v>
      </c>
      <c r="H1100" s="4" t="str">
        <f>FEATURES!O1100</f>
        <v>MODERATE-WAIT</v>
      </c>
      <c r="I1100" s="4" t="str">
        <f t="shared" si="4"/>
        <v>LOW RISK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</row>
    <row r="1101" spans="1:27" ht="13.2" x14ac:dyDescent="0.25">
      <c r="A1101" s="4">
        <v>1553</v>
      </c>
      <c r="B1101" s="4" t="s">
        <v>45</v>
      </c>
      <c r="C1101" s="4" t="str">
        <f>FEATURES!L1101</f>
        <v>NORMAL</v>
      </c>
      <c r="D1101" s="4" t="str">
        <f>FEATURES!R1101</f>
        <v>LOW</v>
      </c>
      <c r="E1101" s="4" t="str">
        <f>FEATURES!Q1101</f>
        <v>DISENGAGED</v>
      </c>
      <c r="F1101" s="4" t="str">
        <f>FEATURES!P1101</f>
        <v>Medium_Pressure</v>
      </c>
      <c r="G1101" s="4" t="str">
        <f>FEATURES!M1101</f>
        <v>HIGH</v>
      </c>
      <c r="H1101" s="4" t="str">
        <f>FEATURES!O1101</f>
        <v>STAGNANT</v>
      </c>
      <c r="I1101" s="4" t="str">
        <f t="shared" si="4"/>
        <v>LOW RISK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</row>
    <row r="1102" spans="1:27" ht="13.2" x14ac:dyDescent="0.25">
      <c r="A1102" s="4">
        <v>1554</v>
      </c>
      <c r="B1102" s="4" t="s">
        <v>37</v>
      </c>
      <c r="C1102" s="4" t="str">
        <f>FEATURES!L1102</f>
        <v>NORMAL</v>
      </c>
      <c r="D1102" s="4" t="str">
        <f>FEATURES!R1102</f>
        <v>LOW</v>
      </c>
      <c r="E1102" s="4" t="str">
        <f>FEATURES!Q1102</f>
        <v>HIGHLY_ENGAGED</v>
      </c>
      <c r="F1102" s="4" t="str">
        <f>FEATURES!P1102</f>
        <v>Medium_Pressure</v>
      </c>
      <c r="G1102" s="4" t="str">
        <f>FEATURES!M1102</f>
        <v>LOW</v>
      </c>
      <c r="H1102" s="4" t="str">
        <f>FEATURES!O1102</f>
        <v>STAGNANT</v>
      </c>
      <c r="I1102" s="4" t="str">
        <f t="shared" si="4"/>
        <v>LOW RISK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</row>
    <row r="1103" spans="1:27" ht="13.2" x14ac:dyDescent="0.25">
      <c r="A1103" s="4">
        <v>1555</v>
      </c>
      <c r="B1103" s="4" t="s">
        <v>45</v>
      </c>
      <c r="C1103" s="4" t="str">
        <f>FEATURES!L1103</f>
        <v>NORMAL</v>
      </c>
      <c r="D1103" s="4" t="str">
        <f>FEATURES!R1103</f>
        <v>LOW</v>
      </c>
      <c r="E1103" s="4" t="str">
        <f>FEATURES!Q1103</f>
        <v>DISENGAGED</v>
      </c>
      <c r="F1103" s="4" t="str">
        <f>FEATURES!P1103</f>
        <v>Medium_Pressure</v>
      </c>
      <c r="G1103" s="4" t="str">
        <f>FEATURES!M1103</f>
        <v>HIGH</v>
      </c>
      <c r="H1103" s="4" t="str">
        <f>FEATURES!O1103</f>
        <v>MODERATE-WAIT</v>
      </c>
      <c r="I1103" s="4" t="str">
        <f t="shared" si="4"/>
        <v>LOW RISK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</row>
    <row r="1104" spans="1:27" ht="13.2" x14ac:dyDescent="0.25">
      <c r="A1104" s="4">
        <v>1556</v>
      </c>
      <c r="B1104" s="4" t="s">
        <v>37</v>
      </c>
      <c r="C1104" s="4" t="str">
        <f>FEATURES!L1104</f>
        <v>NORMAL</v>
      </c>
      <c r="D1104" s="4" t="str">
        <f>FEATURES!R1104</f>
        <v>LOW</v>
      </c>
      <c r="E1104" s="4" t="str">
        <f>FEATURES!Q1104</f>
        <v>DISENGAGED</v>
      </c>
      <c r="F1104" s="4" t="str">
        <f>FEATURES!P1104</f>
        <v>High_Pressure</v>
      </c>
      <c r="G1104" s="4" t="str">
        <f>FEATURES!M1104</f>
        <v>LOW</v>
      </c>
      <c r="H1104" s="4" t="str">
        <f>FEATURES!O1104</f>
        <v>RECENTLY PROMOTED</v>
      </c>
      <c r="I1104" s="4" t="str">
        <f t="shared" si="4"/>
        <v>LOW RISK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</row>
    <row r="1105" spans="1:27" ht="13.2" x14ac:dyDescent="0.25">
      <c r="A1105" s="4">
        <v>1557</v>
      </c>
      <c r="B1105" s="4" t="s">
        <v>37</v>
      </c>
      <c r="C1105" s="4" t="str">
        <f>FEATURES!L1105</f>
        <v>NORMAL</v>
      </c>
      <c r="D1105" s="4" t="str">
        <f>FEATURES!R1105</f>
        <v>LOW</v>
      </c>
      <c r="E1105" s="4" t="str">
        <f>FEATURES!Q1105</f>
        <v>HIGHLY_ENGAGED</v>
      </c>
      <c r="F1105" s="4" t="str">
        <f>FEATURES!P1105</f>
        <v>Medium_Pressure</v>
      </c>
      <c r="G1105" s="4" t="str">
        <f>FEATURES!M1105</f>
        <v>HIGH</v>
      </c>
      <c r="H1105" s="4" t="str">
        <f>FEATURES!O1105</f>
        <v>STAGNANT</v>
      </c>
      <c r="I1105" s="4" t="str">
        <f t="shared" si="4"/>
        <v>LOW RISK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</row>
    <row r="1106" spans="1:27" ht="13.2" x14ac:dyDescent="0.25">
      <c r="A1106" s="4">
        <v>1558</v>
      </c>
      <c r="B1106" s="4" t="s">
        <v>45</v>
      </c>
      <c r="C1106" s="4" t="str">
        <f>FEATURES!L1106</f>
        <v>NORMAL</v>
      </c>
      <c r="D1106" s="4" t="str">
        <f>FEATURES!R1106</f>
        <v>LOW</v>
      </c>
      <c r="E1106" s="4" t="str">
        <f>FEATURES!Q1106</f>
        <v>DISENGAGED</v>
      </c>
      <c r="F1106" s="4" t="str">
        <f>FEATURES!P1106</f>
        <v>Low_Pressure</v>
      </c>
      <c r="G1106" s="4" t="str">
        <f>FEATURES!M1106</f>
        <v>LOW</v>
      </c>
      <c r="H1106" s="4" t="str">
        <f>FEATURES!O1106</f>
        <v>RECENTLY PROMOTED</v>
      </c>
      <c r="I1106" s="4" t="str">
        <f t="shared" si="4"/>
        <v>LOW RISK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</row>
    <row r="1107" spans="1:27" ht="13.2" x14ac:dyDescent="0.25">
      <c r="A1107" s="4">
        <v>1560</v>
      </c>
      <c r="B1107" s="4" t="s">
        <v>37</v>
      </c>
      <c r="C1107" s="4" t="str">
        <f>FEATURES!L1107</f>
        <v>NORMAL</v>
      </c>
      <c r="D1107" s="4" t="str">
        <f>FEATURES!R1107</f>
        <v>LOW</v>
      </c>
      <c r="E1107" s="4" t="str">
        <f>FEATURES!Q1107</f>
        <v>DISENGAGED</v>
      </c>
      <c r="F1107" s="4" t="str">
        <f>FEATURES!P1107</f>
        <v>Low_Pressure</v>
      </c>
      <c r="G1107" s="4" t="str">
        <f>FEATURES!M1107</f>
        <v>HIGH</v>
      </c>
      <c r="H1107" s="4" t="str">
        <f>FEATURES!O1107</f>
        <v>MODERATE-WAIT</v>
      </c>
      <c r="I1107" s="4" t="str">
        <f t="shared" si="4"/>
        <v>LOW RISK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</row>
    <row r="1108" spans="1:27" ht="13.2" x14ac:dyDescent="0.25">
      <c r="A1108" s="4">
        <v>1562</v>
      </c>
      <c r="B1108" s="4" t="s">
        <v>37</v>
      </c>
      <c r="C1108" s="4" t="str">
        <f>FEATURES!L1108</f>
        <v>NORMAL</v>
      </c>
      <c r="D1108" s="4" t="str">
        <f>FEATURES!R1108</f>
        <v>LOW</v>
      </c>
      <c r="E1108" s="4" t="str">
        <f>FEATURES!Q1108</f>
        <v>DISENGAGED</v>
      </c>
      <c r="F1108" s="4" t="str">
        <f>FEATURES!P1108</f>
        <v>Medium_Pressure</v>
      </c>
      <c r="G1108" s="4" t="str">
        <f>FEATURES!M1108</f>
        <v>MEDIUM</v>
      </c>
      <c r="H1108" s="4" t="str">
        <f>FEATURES!O1108</f>
        <v>STAGNANT</v>
      </c>
      <c r="I1108" s="4" t="str">
        <f t="shared" si="4"/>
        <v>LOW RISK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</row>
    <row r="1109" spans="1:27" ht="13.2" x14ac:dyDescent="0.25">
      <c r="A1109" s="4">
        <v>1563</v>
      </c>
      <c r="B1109" s="4" t="s">
        <v>61</v>
      </c>
      <c r="C1109" s="4" t="str">
        <f>FEATURES!L1109</f>
        <v>NORMAL</v>
      </c>
      <c r="D1109" s="4" t="str">
        <f>FEATURES!R1109</f>
        <v>LOW</v>
      </c>
      <c r="E1109" s="4" t="str">
        <f>FEATURES!Q1109</f>
        <v>HIGHLY_ENGAGED</v>
      </c>
      <c r="F1109" s="4" t="str">
        <f>FEATURES!P1109</f>
        <v>Medium_Pressure</v>
      </c>
      <c r="G1109" s="4" t="str">
        <f>FEATURES!M1109</f>
        <v>HIGH</v>
      </c>
      <c r="H1109" s="4" t="str">
        <f>FEATURES!O1109</f>
        <v>RECENTLY PROMOTED</v>
      </c>
      <c r="I1109" s="4" t="str">
        <f t="shared" si="4"/>
        <v>LOW RISK</v>
      </c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</row>
    <row r="1110" spans="1:27" ht="13.2" x14ac:dyDescent="0.25">
      <c r="A1110" s="4">
        <v>1564</v>
      </c>
      <c r="B1110" s="4" t="s">
        <v>45</v>
      </c>
      <c r="C1110" s="4" t="str">
        <f>FEATURES!L1110</f>
        <v>NORMAL</v>
      </c>
      <c r="D1110" s="4" t="str">
        <f>FEATURES!R1110</f>
        <v>LOW</v>
      </c>
      <c r="E1110" s="4" t="str">
        <f>FEATURES!Q1110</f>
        <v>DISENGAGED</v>
      </c>
      <c r="F1110" s="4" t="str">
        <f>FEATURES!P1110</f>
        <v>Medium_Pressure</v>
      </c>
      <c r="G1110" s="4" t="str">
        <f>FEATURES!M1110</f>
        <v>LOW</v>
      </c>
      <c r="H1110" s="4" t="str">
        <f>FEATURES!O1110</f>
        <v>RECENTLY PROMOTED</v>
      </c>
      <c r="I1110" s="4" t="str">
        <f t="shared" si="4"/>
        <v>LOW RISK</v>
      </c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</row>
    <row r="1111" spans="1:27" ht="13.2" x14ac:dyDescent="0.25">
      <c r="A1111" s="4">
        <v>1568</v>
      </c>
      <c r="B1111" s="4" t="s">
        <v>37</v>
      </c>
      <c r="C1111" s="4" t="str">
        <f>FEATURES!L1111</f>
        <v>NORMAL</v>
      </c>
      <c r="D1111" s="4" t="str">
        <f>FEATURES!R1111</f>
        <v>LOW</v>
      </c>
      <c r="E1111" s="4" t="str">
        <f>FEATURES!Q1111</f>
        <v>DISENGAGED</v>
      </c>
      <c r="F1111" s="4" t="str">
        <f>FEATURES!P1111</f>
        <v>Medium_Pressure</v>
      </c>
      <c r="G1111" s="4" t="str">
        <f>FEATURES!M1111</f>
        <v>MEDIUM</v>
      </c>
      <c r="H1111" s="4" t="str">
        <f>FEATURES!O1111</f>
        <v>RECENTLY PROMOTED</v>
      </c>
      <c r="I1111" s="4" t="str">
        <f t="shared" si="4"/>
        <v>LOW RISK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</row>
    <row r="1112" spans="1:27" ht="13.2" x14ac:dyDescent="0.25">
      <c r="A1112" s="4">
        <v>1569</v>
      </c>
      <c r="B1112" s="4" t="s">
        <v>45</v>
      </c>
      <c r="C1112" s="4" t="str">
        <f>FEATURES!L1112</f>
        <v>NORMAL</v>
      </c>
      <c r="D1112" s="4" t="str">
        <f>FEATURES!R1112</f>
        <v>LOW</v>
      </c>
      <c r="E1112" s="4" t="str">
        <f>FEATURES!Q1112</f>
        <v>DISENGAGED</v>
      </c>
      <c r="F1112" s="4" t="str">
        <f>FEATURES!P1112</f>
        <v>Medium_Pressure</v>
      </c>
      <c r="G1112" s="4" t="str">
        <f>FEATURES!M1112</f>
        <v>LOW</v>
      </c>
      <c r="H1112" s="4" t="str">
        <f>FEATURES!O1112</f>
        <v>RECENTLY PROMOTED</v>
      </c>
      <c r="I1112" s="4" t="str">
        <f t="shared" si="4"/>
        <v>LOW RISK</v>
      </c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</row>
    <row r="1113" spans="1:27" ht="13.2" x14ac:dyDescent="0.25">
      <c r="A1113" s="4">
        <v>1572</v>
      </c>
      <c r="B1113" s="4" t="s">
        <v>45</v>
      </c>
      <c r="C1113" s="4" t="str">
        <f>FEATURES!L1113</f>
        <v>NORMAL</v>
      </c>
      <c r="D1113" s="4" t="str">
        <f>FEATURES!R1113</f>
        <v>LOW</v>
      </c>
      <c r="E1113" s="4" t="str">
        <f>FEATURES!Q1113</f>
        <v>HIGHLY_ENGAGED</v>
      </c>
      <c r="F1113" s="4" t="str">
        <f>FEATURES!P1113</f>
        <v>Medium_Pressure</v>
      </c>
      <c r="G1113" s="4" t="str">
        <f>FEATURES!M1113</f>
        <v>MEDIUM</v>
      </c>
      <c r="H1113" s="4" t="str">
        <f>FEATURES!O1113</f>
        <v>RECENTLY PROMOTED</v>
      </c>
      <c r="I1113" s="4" t="str">
        <f t="shared" si="4"/>
        <v>LOW RISK</v>
      </c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</row>
    <row r="1114" spans="1:27" ht="13.2" x14ac:dyDescent="0.25">
      <c r="A1114" s="4">
        <v>1573</v>
      </c>
      <c r="B1114" s="4" t="s">
        <v>45</v>
      </c>
      <c r="C1114" s="4" t="str">
        <f>FEATURES!L1114</f>
        <v>NORMAL</v>
      </c>
      <c r="D1114" s="4" t="str">
        <f>FEATURES!R1114</f>
        <v>LOW</v>
      </c>
      <c r="E1114" s="4" t="str">
        <f>FEATURES!Q1114</f>
        <v>DISENGAGED</v>
      </c>
      <c r="F1114" s="4" t="str">
        <f>FEATURES!P1114</f>
        <v>Medium_Pressure</v>
      </c>
      <c r="G1114" s="4" t="str">
        <f>FEATURES!M1114</f>
        <v>HIGH</v>
      </c>
      <c r="H1114" s="4" t="str">
        <f>FEATURES!O1114</f>
        <v>RECENTLY PROMOTED</v>
      </c>
      <c r="I1114" s="4" t="str">
        <f t="shared" si="4"/>
        <v>LOW RISK</v>
      </c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</row>
    <row r="1115" spans="1:27" ht="13.2" x14ac:dyDescent="0.25">
      <c r="A1115" s="4">
        <v>1574</v>
      </c>
      <c r="B1115" s="4" t="s">
        <v>45</v>
      </c>
      <c r="C1115" s="4" t="str">
        <f>FEATURES!L1115</f>
        <v>NORMAL</v>
      </c>
      <c r="D1115" s="4" t="str">
        <f>FEATURES!R1115</f>
        <v>LOW</v>
      </c>
      <c r="E1115" s="4" t="str">
        <f>FEATURES!Q1115</f>
        <v>DISENGAGED</v>
      </c>
      <c r="F1115" s="4" t="str">
        <f>FEATURES!P1115</f>
        <v>Low_Pressure</v>
      </c>
      <c r="G1115" s="4" t="str">
        <f>FEATURES!M1115</f>
        <v>HIGH</v>
      </c>
      <c r="H1115" s="4" t="str">
        <f>FEATURES!O1115</f>
        <v>RECENTLY PROMOTED</v>
      </c>
      <c r="I1115" s="4" t="str">
        <f t="shared" si="4"/>
        <v>LOW RISK</v>
      </c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</row>
    <row r="1116" spans="1:27" ht="13.2" x14ac:dyDescent="0.25">
      <c r="A1116" s="4">
        <v>1576</v>
      </c>
      <c r="B1116" s="4" t="s">
        <v>45</v>
      </c>
      <c r="C1116" s="4" t="str">
        <f>FEATURES!L1116</f>
        <v>NORMAL</v>
      </c>
      <c r="D1116" s="4" t="str">
        <f>FEATURES!R1116</f>
        <v>LOW</v>
      </c>
      <c r="E1116" s="4" t="str">
        <f>FEATURES!Q1116</f>
        <v>DISENGAGED</v>
      </c>
      <c r="F1116" s="4" t="str">
        <f>FEATURES!P1116</f>
        <v>Low_Pressure</v>
      </c>
      <c r="G1116" s="4" t="str">
        <f>FEATURES!M1116</f>
        <v>LOW</v>
      </c>
      <c r="H1116" s="4" t="str">
        <f>FEATURES!O1116</f>
        <v>STAGNANT</v>
      </c>
      <c r="I1116" s="4" t="str">
        <f t="shared" si="4"/>
        <v>LOW RISK</v>
      </c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</row>
    <row r="1117" spans="1:27" ht="13.2" x14ac:dyDescent="0.25">
      <c r="A1117" s="4">
        <v>1577</v>
      </c>
      <c r="B1117" s="4" t="s">
        <v>45</v>
      </c>
      <c r="C1117" s="4" t="str">
        <f>FEATURES!L1117</f>
        <v>NORMAL</v>
      </c>
      <c r="D1117" s="4" t="str">
        <f>FEATURES!R1117</f>
        <v>LOW</v>
      </c>
      <c r="E1117" s="4" t="str">
        <f>FEATURES!Q1117</f>
        <v>DISENGAGED</v>
      </c>
      <c r="F1117" s="4" t="str">
        <f>FEATURES!P1117</f>
        <v>Low_Pressure</v>
      </c>
      <c r="G1117" s="4" t="str">
        <f>FEATURES!M1117</f>
        <v>LOW</v>
      </c>
      <c r="H1117" s="4" t="str">
        <f>FEATURES!O1117</f>
        <v>RECENTLY PROMOTED</v>
      </c>
      <c r="I1117" s="4" t="str">
        <f t="shared" si="4"/>
        <v>LOW RISK</v>
      </c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</row>
    <row r="1118" spans="1:27" ht="13.2" x14ac:dyDescent="0.25">
      <c r="A1118" s="4">
        <v>1578</v>
      </c>
      <c r="B1118" s="4" t="s">
        <v>37</v>
      </c>
      <c r="C1118" s="4" t="str">
        <f>FEATURES!L1118</f>
        <v>NORMAL</v>
      </c>
      <c r="D1118" s="4" t="str">
        <f>FEATURES!R1118</f>
        <v>LOW</v>
      </c>
      <c r="E1118" s="4" t="str">
        <f>FEATURES!Q1118</f>
        <v>HIGHLY_ENGAGED</v>
      </c>
      <c r="F1118" s="4" t="str">
        <f>FEATURES!P1118</f>
        <v>Medium_Pressure</v>
      </c>
      <c r="G1118" s="4" t="str">
        <f>FEATURES!M1118</f>
        <v>MEDIUM</v>
      </c>
      <c r="H1118" s="4" t="str">
        <f>FEATURES!O1118</f>
        <v>MODERATE-WAIT</v>
      </c>
      <c r="I1118" s="4" t="str">
        <f t="shared" si="4"/>
        <v>LOW RISK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</row>
    <row r="1119" spans="1:27" ht="13.2" x14ac:dyDescent="0.25">
      <c r="A1119" s="4">
        <v>1580</v>
      </c>
      <c r="B1119" s="4" t="s">
        <v>45</v>
      </c>
      <c r="C1119" s="4" t="str">
        <f>FEATURES!L1119</f>
        <v>NORMAL</v>
      </c>
      <c r="D1119" s="4" t="str">
        <f>FEATURES!R1119</f>
        <v>LOW</v>
      </c>
      <c r="E1119" s="4" t="str">
        <f>FEATURES!Q1119</f>
        <v>DISENGAGED</v>
      </c>
      <c r="F1119" s="4" t="str">
        <f>FEATURES!P1119</f>
        <v>Low_Pressure</v>
      </c>
      <c r="G1119" s="4" t="str">
        <f>FEATURES!M1119</f>
        <v>HIGH</v>
      </c>
      <c r="H1119" s="4" t="str">
        <f>FEATURES!O1119</f>
        <v>MODERATE-WAIT</v>
      </c>
      <c r="I1119" s="4" t="str">
        <f t="shared" si="4"/>
        <v>LOW RISK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</row>
    <row r="1120" spans="1:27" ht="13.2" x14ac:dyDescent="0.25">
      <c r="A1120" s="4">
        <v>1581</v>
      </c>
      <c r="B1120" s="4" t="s">
        <v>45</v>
      </c>
      <c r="C1120" s="4" t="str">
        <f>FEATURES!L1120</f>
        <v>NORMAL</v>
      </c>
      <c r="D1120" s="4" t="str">
        <f>FEATURES!R1120</f>
        <v>LOW</v>
      </c>
      <c r="E1120" s="4" t="str">
        <f>FEATURES!Q1120</f>
        <v>HIGHLY_ENGAGED</v>
      </c>
      <c r="F1120" s="4" t="str">
        <f>FEATURES!P1120</f>
        <v>Medium_Pressure</v>
      </c>
      <c r="G1120" s="4" t="str">
        <f>FEATURES!M1120</f>
        <v>LOW</v>
      </c>
      <c r="H1120" s="4" t="str">
        <f>FEATURES!O1120</f>
        <v>RECENTLY PROMOTED</v>
      </c>
      <c r="I1120" s="4" t="str">
        <f t="shared" si="4"/>
        <v>LOW RISK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</row>
    <row r="1121" spans="1:27" ht="13.2" x14ac:dyDescent="0.25">
      <c r="A1121" s="4">
        <v>1582</v>
      </c>
      <c r="B1121" s="4" t="s">
        <v>37</v>
      </c>
      <c r="C1121" s="4" t="str">
        <f>FEATURES!L1121</f>
        <v>NORMAL</v>
      </c>
      <c r="D1121" s="4" t="str">
        <f>FEATURES!R1121</f>
        <v>LOW</v>
      </c>
      <c r="E1121" s="4" t="str">
        <f>FEATURES!Q1121</f>
        <v>DISENGAGED</v>
      </c>
      <c r="F1121" s="4" t="str">
        <f>FEATURES!P1121</f>
        <v>Medium_Pressure</v>
      </c>
      <c r="G1121" s="4" t="str">
        <f>FEATURES!M1121</f>
        <v>MEDIUM</v>
      </c>
      <c r="H1121" s="4" t="str">
        <f>FEATURES!O1121</f>
        <v>STAGNANT</v>
      </c>
      <c r="I1121" s="4" t="str">
        <f t="shared" si="4"/>
        <v>LOW RISK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</row>
    <row r="1122" spans="1:27" ht="13.2" x14ac:dyDescent="0.25">
      <c r="A1122" s="4">
        <v>1583</v>
      </c>
      <c r="B1122" s="4" t="s">
        <v>37</v>
      </c>
      <c r="C1122" s="4" t="str">
        <f>FEATURES!L1122</f>
        <v>NORMAL</v>
      </c>
      <c r="D1122" s="4" t="str">
        <f>FEATURES!R1122</f>
        <v>LOW</v>
      </c>
      <c r="E1122" s="4" t="str">
        <f>FEATURES!Q1122</f>
        <v>DISENGAGED</v>
      </c>
      <c r="F1122" s="4" t="str">
        <f>FEATURES!P1122</f>
        <v>Low_Pressure</v>
      </c>
      <c r="G1122" s="4" t="str">
        <f>FEATURES!M1122</f>
        <v>HIGH</v>
      </c>
      <c r="H1122" s="4" t="str">
        <f>FEATURES!O1122</f>
        <v>RECENTLY PROMOTED</v>
      </c>
      <c r="I1122" s="4" t="str">
        <f t="shared" si="4"/>
        <v>LOW RISK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</row>
    <row r="1123" spans="1:27" ht="13.2" x14ac:dyDescent="0.25">
      <c r="A1123" s="4">
        <v>1585</v>
      </c>
      <c r="B1123" s="4" t="s">
        <v>37</v>
      </c>
      <c r="C1123" s="4" t="str">
        <f>FEATURES!L1123</f>
        <v>NORMAL</v>
      </c>
      <c r="D1123" s="4" t="str">
        <f>FEATURES!R1123</f>
        <v>LOW</v>
      </c>
      <c r="E1123" s="4" t="str">
        <f>FEATURES!Q1123</f>
        <v>HIGHLY_ENGAGED</v>
      </c>
      <c r="F1123" s="4" t="str">
        <f>FEATURES!P1123</f>
        <v>Medium_Pressure</v>
      </c>
      <c r="G1123" s="4" t="str">
        <f>FEATURES!M1123</f>
        <v>HIGH</v>
      </c>
      <c r="H1123" s="4" t="str">
        <f>FEATURES!O1123</f>
        <v>RECENTLY PROMOTED</v>
      </c>
      <c r="I1123" s="4" t="str">
        <f t="shared" si="4"/>
        <v>LOW RISK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</row>
    <row r="1124" spans="1:27" ht="13.2" x14ac:dyDescent="0.25">
      <c r="A1124" s="4">
        <v>1586</v>
      </c>
      <c r="B1124" s="4" t="s">
        <v>45</v>
      </c>
      <c r="C1124" s="4" t="str">
        <f>FEATURES!L1124</f>
        <v>NORMAL</v>
      </c>
      <c r="D1124" s="4" t="str">
        <f>FEATURES!R1124</f>
        <v>LOW</v>
      </c>
      <c r="E1124" s="4" t="str">
        <f>FEATURES!Q1124</f>
        <v>DISENGAGED</v>
      </c>
      <c r="F1124" s="4" t="str">
        <f>FEATURES!P1124</f>
        <v>Medium_Pressure</v>
      </c>
      <c r="G1124" s="4" t="str">
        <f>FEATURES!M1124</f>
        <v>HIGH</v>
      </c>
      <c r="H1124" s="4" t="str">
        <f>FEATURES!O1124</f>
        <v>RECENTLY PROMOTED</v>
      </c>
      <c r="I1124" s="4" t="str">
        <f t="shared" si="4"/>
        <v>LOW RISK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</row>
    <row r="1125" spans="1:27" ht="13.2" x14ac:dyDescent="0.25">
      <c r="A1125" s="4">
        <v>1587</v>
      </c>
      <c r="B1125" s="4" t="s">
        <v>45</v>
      </c>
      <c r="C1125" s="4" t="str">
        <f>FEATURES!L1125</f>
        <v>NORMAL</v>
      </c>
      <c r="D1125" s="4" t="str">
        <f>FEATURES!R1125</f>
        <v>LOW</v>
      </c>
      <c r="E1125" s="4" t="str">
        <f>FEATURES!Q1125</f>
        <v>HIGHLY_ENGAGED</v>
      </c>
      <c r="F1125" s="4" t="str">
        <f>FEATURES!P1125</f>
        <v>Medium_Pressure</v>
      </c>
      <c r="G1125" s="4" t="str">
        <f>FEATURES!M1125</f>
        <v>HIGH</v>
      </c>
      <c r="H1125" s="4" t="str">
        <f>FEATURES!O1125</f>
        <v>RECENTLY PROMOTED</v>
      </c>
      <c r="I1125" s="4" t="str">
        <f t="shared" si="4"/>
        <v>LOW RISK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</row>
    <row r="1126" spans="1:27" ht="13.2" x14ac:dyDescent="0.25">
      <c r="A1126" s="4">
        <v>1588</v>
      </c>
      <c r="B1126" s="4" t="s">
        <v>37</v>
      </c>
      <c r="C1126" s="4" t="str">
        <f>FEATURES!L1126</f>
        <v>NORMAL</v>
      </c>
      <c r="D1126" s="4" t="str">
        <f>FEATURES!R1126</f>
        <v>LOW</v>
      </c>
      <c r="E1126" s="4" t="str">
        <f>FEATURES!Q1126</f>
        <v>HIGHLY_ENGAGED</v>
      </c>
      <c r="F1126" s="4" t="str">
        <f>FEATURES!P1126</f>
        <v>Medium_Pressure</v>
      </c>
      <c r="G1126" s="4" t="str">
        <f>FEATURES!M1126</f>
        <v>HIGH</v>
      </c>
      <c r="H1126" s="4" t="str">
        <f>FEATURES!O1126</f>
        <v>STAGNANT</v>
      </c>
      <c r="I1126" s="4" t="str">
        <f t="shared" si="4"/>
        <v>LOW RISK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</row>
    <row r="1127" spans="1:27" ht="13.2" x14ac:dyDescent="0.25">
      <c r="A1127" s="4">
        <v>1590</v>
      </c>
      <c r="B1127" s="4" t="s">
        <v>45</v>
      </c>
      <c r="C1127" s="4" t="str">
        <f>FEATURES!L1127</f>
        <v>NORMAL</v>
      </c>
      <c r="D1127" s="4" t="str">
        <f>FEATURES!R1127</f>
        <v>LOW</v>
      </c>
      <c r="E1127" s="4" t="str">
        <f>FEATURES!Q1127</f>
        <v>HIGHLY_ENGAGED</v>
      </c>
      <c r="F1127" s="4" t="str">
        <f>FEATURES!P1127</f>
        <v>Low_Pressure</v>
      </c>
      <c r="G1127" s="4" t="str">
        <f>FEATURES!M1127</f>
        <v>HIGH</v>
      </c>
      <c r="H1127" s="4" t="str">
        <f>FEATURES!O1127</f>
        <v>RECENTLY PROMOTED</v>
      </c>
      <c r="I1127" s="4" t="str">
        <f t="shared" si="4"/>
        <v>LOW RISK</v>
      </c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</row>
    <row r="1128" spans="1:27" ht="13.2" x14ac:dyDescent="0.25">
      <c r="A1128" s="4">
        <v>1591</v>
      </c>
      <c r="B1128" s="4" t="s">
        <v>37</v>
      </c>
      <c r="C1128" s="4" t="str">
        <f>FEATURES!L1128</f>
        <v>NORMAL</v>
      </c>
      <c r="D1128" s="4" t="str">
        <f>FEATURES!R1128</f>
        <v>LOW</v>
      </c>
      <c r="E1128" s="4" t="str">
        <f>FEATURES!Q1128</f>
        <v>HIGHLY_ENGAGED</v>
      </c>
      <c r="F1128" s="4" t="str">
        <f>FEATURES!P1128</f>
        <v>Medium_Pressure</v>
      </c>
      <c r="G1128" s="4" t="str">
        <f>FEATURES!M1128</f>
        <v>MEDIUM</v>
      </c>
      <c r="H1128" s="4" t="str">
        <f>FEATURES!O1128</f>
        <v>RECENTLY PROMOTED</v>
      </c>
      <c r="I1128" s="4" t="str">
        <f t="shared" si="4"/>
        <v>LOW RISK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</row>
    <row r="1129" spans="1:27" ht="13.2" x14ac:dyDescent="0.25">
      <c r="A1129" s="4">
        <v>1592</v>
      </c>
      <c r="B1129" s="4" t="s">
        <v>45</v>
      </c>
      <c r="C1129" s="4" t="str">
        <f>FEATURES!L1129</f>
        <v>NORMAL</v>
      </c>
      <c r="D1129" s="4" t="str">
        <f>FEATURES!R1129</f>
        <v>LOW</v>
      </c>
      <c r="E1129" s="4" t="str">
        <f>FEATURES!Q1129</f>
        <v>HIGHLY_ENGAGED</v>
      </c>
      <c r="F1129" s="4" t="str">
        <f>FEATURES!P1129</f>
        <v>Medium_Pressure</v>
      </c>
      <c r="G1129" s="4" t="str">
        <f>FEATURES!M1129</f>
        <v>LOW</v>
      </c>
      <c r="H1129" s="4" t="str">
        <f>FEATURES!O1129</f>
        <v>MODERATE-WAIT</v>
      </c>
      <c r="I1129" s="4" t="str">
        <f t="shared" si="4"/>
        <v>LOW RISK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</row>
    <row r="1130" spans="1:27" ht="13.2" x14ac:dyDescent="0.25">
      <c r="A1130" s="4">
        <v>1594</v>
      </c>
      <c r="B1130" s="4" t="s">
        <v>45</v>
      </c>
      <c r="C1130" s="4" t="str">
        <f>FEATURES!L1130</f>
        <v>NORMAL</v>
      </c>
      <c r="D1130" s="4" t="str">
        <f>FEATURES!R1130</f>
        <v>LOW</v>
      </c>
      <c r="E1130" s="4" t="str">
        <f>FEATURES!Q1130</f>
        <v>DISENGAGED</v>
      </c>
      <c r="F1130" s="4" t="str">
        <f>FEATURES!P1130</f>
        <v>Medium_Pressure</v>
      </c>
      <c r="G1130" s="4" t="str">
        <f>FEATURES!M1130</f>
        <v>HIGH</v>
      </c>
      <c r="H1130" s="4" t="str">
        <f>FEATURES!O1130</f>
        <v>RECENTLY PROMOTED</v>
      </c>
      <c r="I1130" s="4" t="str">
        <f t="shared" si="4"/>
        <v>LOW RISK</v>
      </c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</row>
    <row r="1131" spans="1:27" ht="13.2" x14ac:dyDescent="0.25">
      <c r="A1131" s="4">
        <v>1595</v>
      </c>
      <c r="B1131" s="4" t="s">
        <v>45</v>
      </c>
      <c r="C1131" s="4" t="str">
        <f>FEATURES!L1131</f>
        <v>NORMAL</v>
      </c>
      <c r="D1131" s="4" t="str">
        <f>FEATURES!R1131</f>
        <v>LOW</v>
      </c>
      <c r="E1131" s="4" t="str">
        <f>FEATURES!Q1131</f>
        <v>HIGHLY_ENGAGED</v>
      </c>
      <c r="F1131" s="4" t="str">
        <f>FEATURES!P1131</f>
        <v>Medium_Pressure</v>
      </c>
      <c r="G1131" s="4" t="str">
        <f>FEATURES!M1131</f>
        <v>MEDIUM</v>
      </c>
      <c r="H1131" s="4" t="str">
        <f>FEATURES!O1131</f>
        <v>RECENTLY PROMOTED</v>
      </c>
      <c r="I1131" s="4" t="str">
        <f t="shared" si="4"/>
        <v>LOW RISK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</row>
    <row r="1132" spans="1:27" ht="13.2" x14ac:dyDescent="0.25">
      <c r="A1132" s="4">
        <v>1596</v>
      </c>
      <c r="B1132" s="4" t="s">
        <v>45</v>
      </c>
      <c r="C1132" s="4" t="str">
        <f>FEATURES!L1132</f>
        <v>NORMAL</v>
      </c>
      <c r="D1132" s="4" t="str">
        <f>FEATURES!R1132</f>
        <v>LOW</v>
      </c>
      <c r="E1132" s="4" t="str">
        <f>FEATURES!Q1132</f>
        <v>DISENGAGED</v>
      </c>
      <c r="F1132" s="4" t="str">
        <f>FEATURES!P1132</f>
        <v>Low_Pressure</v>
      </c>
      <c r="G1132" s="4" t="str">
        <f>FEATURES!M1132</f>
        <v>LOW</v>
      </c>
      <c r="H1132" s="4" t="str">
        <f>FEATURES!O1132</f>
        <v>STAGNANT</v>
      </c>
      <c r="I1132" s="4" t="str">
        <f t="shared" si="4"/>
        <v>LOW RISK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</row>
    <row r="1133" spans="1:27" ht="13.2" x14ac:dyDescent="0.25">
      <c r="A1133" s="4">
        <v>1597</v>
      </c>
      <c r="B1133" s="4" t="s">
        <v>45</v>
      </c>
      <c r="C1133" s="4" t="str">
        <f>FEATURES!L1133</f>
        <v>NORMAL</v>
      </c>
      <c r="D1133" s="4" t="str">
        <f>FEATURES!R1133</f>
        <v>LOW</v>
      </c>
      <c r="E1133" s="4" t="str">
        <f>FEATURES!Q1133</f>
        <v>DISENGAGED</v>
      </c>
      <c r="F1133" s="4" t="str">
        <f>FEATURES!P1133</f>
        <v>Low_Pressure</v>
      </c>
      <c r="G1133" s="4" t="str">
        <f>FEATURES!M1133</f>
        <v>HIGH</v>
      </c>
      <c r="H1133" s="4" t="str">
        <f>FEATURES!O1133</f>
        <v>STAGNANT</v>
      </c>
      <c r="I1133" s="4" t="str">
        <f t="shared" si="4"/>
        <v>LOW RISK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</row>
    <row r="1134" spans="1:27" ht="13.2" x14ac:dyDescent="0.25">
      <c r="A1134" s="4">
        <v>1598</v>
      </c>
      <c r="B1134" s="4" t="s">
        <v>37</v>
      </c>
      <c r="C1134" s="4" t="str">
        <f>FEATURES!L1134</f>
        <v>NORMAL</v>
      </c>
      <c r="D1134" s="4" t="str">
        <f>FEATURES!R1134</f>
        <v>LOW</v>
      </c>
      <c r="E1134" s="4" t="str">
        <f>FEATURES!Q1134</f>
        <v>DISENGAGED</v>
      </c>
      <c r="F1134" s="4" t="str">
        <f>FEATURES!P1134</f>
        <v>Medium_Pressure</v>
      </c>
      <c r="G1134" s="4" t="str">
        <f>FEATURES!M1134</f>
        <v>HIGH</v>
      </c>
      <c r="H1134" s="4" t="str">
        <f>FEATURES!O1134</f>
        <v>RECENTLY PROMOTED</v>
      </c>
      <c r="I1134" s="4" t="str">
        <f t="shared" si="4"/>
        <v>LOW RISK</v>
      </c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</row>
    <row r="1135" spans="1:27" ht="13.2" x14ac:dyDescent="0.25">
      <c r="A1135" s="4">
        <v>1599</v>
      </c>
      <c r="B1135" s="4" t="s">
        <v>45</v>
      </c>
      <c r="C1135" s="4" t="str">
        <f>FEATURES!L1135</f>
        <v>NORMAL</v>
      </c>
      <c r="D1135" s="4" t="str">
        <f>FEATURES!R1135</f>
        <v>LOW</v>
      </c>
      <c r="E1135" s="4" t="str">
        <f>FEATURES!Q1135</f>
        <v>DISENGAGED</v>
      </c>
      <c r="F1135" s="4" t="str">
        <f>FEATURES!P1135</f>
        <v>Medium_Pressure</v>
      </c>
      <c r="G1135" s="4" t="str">
        <f>FEATURES!M1135</f>
        <v>HIGH</v>
      </c>
      <c r="H1135" s="4" t="str">
        <f>FEATURES!O1135</f>
        <v>RECENTLY PROMOTED</v>
      </c>
      <c r="I1135" s="4" t="str">
        <f t="shared" si="4"/>
        <v>LOW RISK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</row>
    <row r="1136" spans="1:27" ht="13.2" x14ac:dyDescent="0.25">
      <c r="A1136" s="4">
        <v>1601</v>
      </c>
      <c r="B1136" s="4" t="s">
        <v>45</v>
      </c>
      <c r="C1136" s="4" t="str">
        <f>FEATURES!L1136</f>
        <v>NORMAL</v>
      </c>
      <c r="D1136" s="4" t="str">
        <f>FEATURES!R1136</f>
        <v>LOW</v>
      </c>
      <c r="E1136" s="4" t="str">
        <f>FEATURES!Q1136</f>
        <v>DISENGAGED</v>
      </c>
      <c r="F1136" s="4" t="str">
        <f>FEATURES!P1136</f>
        <v>Low_Pressure</v>
      </c>
      <c r="G1136" s="4" t="str">
        <f>FEATURES!M1136</f>
        <v>LOW</v>
      </c>
      <c r="H1136" s="4" t="str">
        <f>FEATURES!O1136</f>
        <v>RECENTLY PROMOTED</v>
      </c>
      <c r="I1136" s="4" t="str">
        <f t="shared" si="4"/>
        <v>LOW RISK</v>
      </c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</row>
    <row r="1137" spans="1:27" ht="13.2" x14ac:dyDescent="0.25">
      <c r="A1137" s="4">
        <v>1602</v>
      </c>
      <c r="B1137" s="4" t="s">
        <v>37</v>
      </c>
      <c r="C1137" s="4" t="str">
        <f>FEATURES!L1137</f>
        <v>NORMAL</v>
      </c>
      <c r="D1137" s="4" t="str">
        <f>FEATURES!R1137</f>
        <v>LOW</v>
      </c>
      <c r="E1137" s="4" t="str">
        <f>FEATURES!Q1137</f>
        <v>DISENGAGED</v>
      </c>
      <c r="F1137" s="4" t="str">
        <f>FEATURES!P1137</f>
        <v>Low_Pressure</v>
      </c>
      <c r="G1137" s="4" t="str">
        <f>FEATURES!M1137</f>
        <v>MEDIUM</v>
      </c>
      <c r="H1137" s="4" t="str">
        <f>FEATURES!O1137</f>
        <v>RECENTLY PROMOTED</v>
      </c>
      <c r="I1137" s="4" t="str">
        <f t="shared" si="4"/>
        <v>LOW RISK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</row>
    <row r="1138" spans="1:27" ht="13.2" x14ac:dyDescent="0.25">
      <c r="A1138" s="4">
        <v>1604</v>
      </c>
      <c r="B1138" s="4" t="s">
        <v>45</v>
      </c>
      <c r="C1138" s="4" t="str">
        <f>FEATURES!L1138</f>
        <v>NORMAL</v>
      </c>
      <c r="D1138" s="4" t="str">
        <f>FEATURES!R1138</f>
        <v>LOW</v>
      </c>
      <c r="E1138" s="4" t="str">
        <f>FEATURES!Q1138</f>
        <v>DISENGAGED</v>
      </c>
      <c r="F1138" s="4" t="str">
        <f>FEATURES!P1138</f>
        <v>Medium_Pressure</v>
      </c>
      <c r="G1138" s="4" t="str">
        <f>FEATURES!M1138</f>
        <v>LOW</v>
      </c>
      <c r="H1138" s="4" t="str">
        <f>FEATURES!O1138</f>
        <v>RECENTLY PROMOTED</v>
      </c>
      <c r="I1138" s="4" t="str">
        <f t="shared" si="4"/>
        <v>LOW RISK</v>
      </c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</row>
    <row r="1139" spans="1:27" ht="13.2" x14ac:dyDescent="0.25">
      <c r="A1139" s="4">
        <v>1605</v>
      </c>
      <c r="B1139" s="4" t="s">
        <v>45</v>
      </c>
      <c r="C1139" s="4" t="str">
        <f>FEATURES!L1139</f>
        <v>NORMAL</v>
      </c>
      <c r="D1139" s="4" t="str">
        <f>FEATURES!R1139</f>
        <v>LOW</v>
      </c>
      <c r="E1139" s="4" t="str">
        <f>FEATURES!Q1139</f>
        <v>DISENGAGED</v>
      </c>
      <c r="F1139" s="4" t="str">
        <f>FEATURES!P1139</f>
        <v>High_Pressure</v>
      </c>
      <c r="G1139" s="4" t="str">
        <f>FEATURES!M1139</f>
        <v>LOW</v>
      </c>
      <c r="H1139" s="4" t="str">
        <f>FEATURES!O1139</f>
        <v>RECENTLY PROMOTED</v>
      </c>
      <c r="I1139" s="4" t="str">
        <f t="shared" si="4"/>
        <v>LOW RISK</v>
      </c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</row>
    <row r="1140" spans="1:27" ht="13.2" x14ac:dyDescent="0.25">
      <c r="A1140" s="4">
        <v>1606</v>
      </c>
      <c r="B1140" s="4" t="s">
        <v>45</v>
      </c>
      <c r="C1140" s="4" t="str">
        <f>FEATURES!L1140</f>
        <v>NORMAL</v>
      </c>
      <c r="D1140" s="4" t="str">
        <f>FEATURES!R1140</f>
        <v>LOW</v>
      </c>
      <c r="E1140" s="4" t="str">
        <f>FEATURES!Q1140</f>
        <v>HIGHLY_ENGAGED</v>
      </c>
      <c r="F1140" s="4" t="str">
        <f>FEATURES!P1140</f>
        <v>Medium_Pressure</v>
      </c>
      <c r="G1140" s="4" t="str">
        <f>FEATURES!M1140</f>
        <v>MEDIUM</v>
      </c>
      <c r="H1140" s="4" t="str">
        <f>FEATURES!O1140</f>
        <v>STAGNANT</v>
      </c>
      <c r="I1140" s="4" t="str">
        <f t="shared" si="4"/>
        <v>LOW RISK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</row>
    <row r="1141" spans="1:27" ht="13.2" x14ac:dyDescent="0.25">
      <c r="A1141" s="4">
        <v>1607</v>
      </c>
      <c r="B1141" s="4" t="s">
        <v>45</v>
      </c>
      <c r="C1141" s="4" t="str">
        <f>FEATURES!L1141</f>
        <v>NORMAL</v>
      </c>
      <c r="D1141" s="4" t="str">
        <f>FEATURES!R1141</f>
        <v>LOW</v>
      </c>
      <c r="E1141" s="4" t="str">
        <f>FEATURES!Q1141</f>
        <v>HIGHLY_ENGAGED</v>
      </c>
      <c r="F1141" s="4" t="str">
        <f>FEATURES!P1141</f>
        <v>Medium_Pressure</v>
      </c>
      <c r="G1141" s="4" t="str">
        <f>FEATURES!M1141</f>
        <v>LOW</v>
      </c>
      <c r="H1141" s="4" t="str">
        <f>FEATURES!O1141</f>
        <v>RECENTLY PROMOTED</v>
      </c>
      <c r="I1141" s="4" t="str">
        <f t="shared" si="4"/>
        <v>LOW RISK</v>
      </c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</row>
    <row r="1142" spans="1:27" ht="13.2" x14ac:dyDescent="0.25">
      <c r="A1142" s="4">
        <v>1608</v>
      </c>
      <c r="B1142" s="4" t="s">
        <v>45</v>
      </c>
      <c r="C1142" s="4" t="str">
        <f>FEATURES!L1142</f>
        <v>NORMAL</v>
      </c>
      <c r="D1142" s="4" t="str">
        <f>FEATURES!R1142</f>
        <v>LOW</v>
      </c>
      <c r="E1142" s="4" t="str">
        <f>FEATURES!Q1142</f>
        <v>DISENGAGED</v>
      </c>
      <c r="F1142" s="4" t="str">
        <f>FEATURES!P1142</f>
        <v>High_Pressure</v>
      </c>
      <c r="G1142" s="4" t="str">
        <f>FEATURES!M1142</f>
        <v>MEDIUM</v>
      </c>
      <c r="H1142" s="4" t="str">
        <f>FEATURES!O1142</f>
        <v>RECENTLY PROMOTED</v>
      </c>
      <c r="I1142" s="4" t="str">
        <f t="shared" si="4"/>
        <v>LOW RISK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</row>
    <row r="1143" spans="1:27" ht="13.2" x14ac:dyDescent="0.25">
      <c r="A1143" s="4">
        <v>1609</v>
      </c>
      <c r="B1143" s="4" t="s">
        <v>45</v>
      </c>
      <c r="C1143" s="4" t="str">
        <f>FEATURES!L1143</f>
        <v>NORMAL</v>
      </c>
      <c r="D1143" s="4" t="str">
        <f>FEATURES!R1143</f>
        <v>LOW</v>
      </c>
      <c r="E1143" s="4" t="str">
        <f>FEATURES!Q1143</f>
        <v>DISENGAGED</v>
      </c>
      <c r="F1143" s="4" t="str">
        <f>FEATURES!P1143</f>
        <v>Low_Pressure</v>
      </c>
      <c r="G1143" s="4" t="str">
        <f>FEATURES!M1143</f>
        <v>LOW</v>
      </c>
      <c r="H1143" s="4" t="str">
        <f>FEATURES!O1143</f>
        <v>RECENTLY PROMOTED</v>
      </c>
      <c r="I1143" s="4" t="str">
        <f t="shared" si="4"/>
        <v>LOW RISK</v>
      </c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</row>
    <row r="1144" spans="1:27" ht="13.2" x14ac:dyDescent="0.25">
      <c r="A1144" s="4">
        <v>1611</v>
      </c>
      <c r="B1144" s="4" t="s">
        <v>45</v>
      </c>
      <c r="C1144" s="4" t="str">
        <f>FEATURES!L1144</f>
        <v>NORMAL</v>
      </c>
      <c r="D1144" s="4" t="str">
        <f>FEATURES!R1144</f>
        <v>LOW</v>
      </c>
      <c r="E1144" s="4" t="str">
        <f>FEATURES!Q1144</f>
        <v>DISENGAGED</v>
      </c>
      <c r="F1144" s="4" t="str">
        <f>FEATURES!P1144</f>
        <v>Medium_Pressure</v>
      </c>
      <c r="G1144" s="4" t="str">
        <f>FEATURES!M1144</f>
        <v>HIGH</v>
      </c>
      <c r="H1144" s="4" t="str">
        <f>FEATURES!O1144</f>
        <v>RECENTLY PROMOTED</v>
      </c>
      <c r="I1144" s="4" t="str">
        <f t="shared" si="4"/>
        <v>LOW RISK</v>
      </c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</row>
    <row r="1145" spans="1:27" ht="13.2" x14ac:dyDescent="0.25">
      <c r="A1145" s="4">
        <v>1612</v>
      </c>
      <c r="B1145" s="4" t="s">
        <v>37</v>
      </c>
      <c r="C1145" s="4" t="str">
        <f>FEATURES!L1145</f>
        <v>NORMAL</v>
      </c>
      <c r="D1145" s="4" t="str">
        <f>FEATURES!R1145</f>
        <v>LOW</v>
      </c>
      <c r="E1145" s="4" t="str">
        <f>FEATURES!Q1145</f>
        <v>DISENGAGED</v>
      </c>
      <c r="F1145" s="4" t="str">
        <f>FEATURES!P1145</f>
        <v>Medium_Pressure</v>
      </c>
      <c r="G1145" s="4" t="str">
        <f>FEATURES!M1145</f>
        <v>HIGH</v>
      </c>
      <c r="H1145" s="4" t="str">
        <f>FEATURES!O1145</f>
        <v>STAGNANT</v>
      </c>
      <c r="I1145" s="4" t="str">
        <f t="shared" si="4"/>
        <v>LOW RISK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</row>
    <row r="1146" spans="1:27" ht="13.2" x14ac:dyDescent="0.25">
      <c r="A1146" s="4">
        <v>1613</v>
      </c>
      <c r="B1146" s="4" t="s">
        <v>37</v>
      </c>
      <c r="C1146" s="4" t="str">
        <f>FEATURES!L1146</f>
        <v>NORMAL</v>
      </c>
      <c r="D1146" s="4" t="str">
        <f>FEATURES!R1146</f>
        <v>LOW</v>
      </c>
      <c r="E1146" s="4" t="str">
        <f>FEATURES!Q1146</f>
        <v>DISENGAGED</v>
      </c>
      <c r="F1146" s="4" t="str">
        <f>FEATURES!P1146</f>
        <v>Medium_Pressure</v>
      </c>
      <c r="G1146" s="4" t="str">
        <f>FEATURES!M1146</f>
        <v>HIGH</v>
      </c>
      <c r="H1146" s="4" t="str">
        <f>FEATURES!O1146</f>
        <v>RECENTLY PROMOTED</v>
      </c>
      <c r="I1146" s="4" t="str">
        <f t="shared" si="4"/>
        <v>LOW RISK</v>
      </c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</row>
    <row r="1147" spans="1:27" ht="13.2" x14ac:dyDescent="0.25">
      <c r="A1147" s="4">
        <v>1614</v>
      </c>
      <c r="B1147" s="4" t="s">
        <v>45</v>
      </c>
      <c r="C1147" s="4" t="str">
        <f>FEATURES!L1147</f>
        <v>NORMAL</v>
      </c>
      <c r="D1147" s="4" t="str">
        <f>FEATURES!R1147</f>
        <v>LOW</v>
      </c>
      <c r="E1147" s="4" t="str">
        <f>FEATURES!Q1147</f>
        <v>HIGHLY_ENGAGED</v>
      </c>
      <c r="F1147" s="4" t="str">
        <f>FEATURES!P1147</f>
        <v>Medium_Pressure</v>
      </c>
      <c r="G1147" s="4" t="str">
        <f>FEATURES!M1147</f>
        <v>HIGH</v>
      </c>
      <c r="H1147" s="4" t="str">
        <f>FEATURES!O1147</f>
        <v>RECENTLY PROMOTED</v>
      </c>
      <c r="I1147" s="4" t="str">
        <f t="shared" si="4"/>
        <v>LOW RISK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</row>
    <row r="1148" spans="1:27" ht="13.2" x14ac:dyDescent="0.25">
      <c r="A1148" s="4">
        <v>1615</v>
      </c>
      <c r="B1148" s="4" t="s">
        <v>45</v>
      </c>
      <c r="C1148" s="4" t="str">
        <f>FEATURES!L1148</f>
        <v>NORMAL</v>
      </c>
      <c r="D1148" s="4" t="str">
        <f>FEATURES!R1148</f>
        <v>LOW</v>
      </c>
      <c r="E1148" s="4" t="str">
        <f>FEATURES!Q1148</f>
        <v>HIGHLY_ENGAGED</v>
      </c>
      <c r="F1148" s="4" t="str">
        <f>FEATURES!P1148</f>
        <v>Medium_Pressure</v>
      </c>
      <c r="G1148" s="4" t="str">
        <f>FEATURES!M1148</f>
        <v>HIGH</v>
      </c>
      <c r="H1148" s="4" t="str">
        <f>FEATURES!O1148</f>
        <v>STAGNANT</v>
      </c>
      <c r="I1148" s="4" t="str">
        <f t="shared" si="4"/>
        <v>LOW RISK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</row>
    <row r="1149" spans="1:27" ht="13.2" x14ac:dyDescent="0.25">
      <c r="A1149" s="4">
        <v>1617</v>
      </c>
      <c r="B1149" s="4" t="s">
        <v>45</v>
      </c>
      <c r="C1149" s="4" t="str">
        <f>FEATURES!L1149</f>
        <v>NORMAL</v>
      </c>
      <c r="D1149" s="4" t="str">
        <f>FEATURES!R1149</f>
        <v>LOW</v>
      </c>
      <c r="E1149" s="4" t="str">
        <f>FEATURES!Q1149</f>
        <v>DISENGAGED</v>
      </c>
      <c r="F1149" s="4" t="str">
        <f>FEATURES!P1149</f>
        <v>Low_Pressure</v>
      </c>
      <c r="G1149" s="4" t="str">
        <f>FEATURES!M1149</f>
        <v>LOW</v>
      </c>
      <c r="H1149" s="4" t="str">
        <f>FEATURES!O1149</f>
        <v>RECENTLY PROMOTED</v>
      </c>
      <c r="I1149" s="4" t="str">
        <f t="shared" si="4"/>
        <v>LOW RISK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</row>
    <row r="1150" spans="1:27" ht="13.2" x14ac:dyDescent="0.25">
      <c r="A1150" s="4">
        <v>1618</v>
      </c>
      <c r="B1150" s="4" t="s">
        <v>45</v>
      </c>
      <c r="C1150" s="4" t="str">
        <f>FEATURES!L1150</f>
        <v>NORMAL</v>
      </c>
      <c r="D1150" s="4" t="str">
        <f>FEATURES!R1150</f>
        <v>LOW</v>
      </c>
      <c r="E1150" s="4" t="str">
        <f>FEATURES!Q1150</f>
        <v>DISENGAGED</v>
      </c>
      <c r="F1150" s="4" t="str">
        <f>FEATURES!P1150</f>
        <v>Medium_Pressure</v>
      </c>
      <c r="G1150" s="4" t="str">
        <f>FEATURES!M1150</f>
        <v>HIGH</v>
      </c>
      <c r="H1150" s="4" t="str">
        <f>FEATURES!O1150</f>
        <v>STAGNANT</v>
      </c>
      <c r="I1150" s="4" t="str">
        <f t="shared" si="4"/>
        <v>LOW RISK</v>
      </c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</row>
    <row r="1151" spans="1:27" ht="13.2" x14ac:dyDescent="0.25">
      <c r="A1151" s="4">
        <v>1619</v>
      </c>
      <c r="B1151" s="4" t="s">
        <v>45</v>
      </c>
      <c r="C1151" s="4" t="str">
        <f>FEATURES!L1151</f>
        <v>NORMAL</v>
      </c>
      <c r="D1151" s="4" t="str">
        <f>FEATURES!R1151</f>
        <v>LOW</v>
      </c>
      <c r="E1151" s="4" t="str">
        <f>FEATURES!Q1151</f>
        <v>DISENGAGED</v>
      </c>
      <c r="F1151" s="4" t="str">
        <f>FEATURES!P1151</f>
        <v>Medium_Pressure</v>
      </c>
      <c r="G1151" s="4" t="str">
        <f>FEATURES!M1151</f>
        <v>HIGH</v>
      </c>
      <c r="H1151" s="4" t="str">
        <f>FEATURES!O1151</f>
        <v>RECENTLY PROMOTED</v>
      </c>
      <c r="I1151" s="4" t="str">
        <f t="shared" si="4"/>
        <v>LOW RISK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</row>
    <row r="1152" spans="1:27" ht="13.2" x14ac:dyDescent="0.25">
      <c r="A1152" s="4">
        <v>1621</v>
      </c>
      <c r="B1152" s="4" t="s">
        <v>45</v>
      </c>
      <c r="C1152" s="4" t="str">
        <f>FEATURES!L1152</f>
        <v>NORMAL</v>
      </c>
      <c r="D1152" s="4" t="str">
        <f>FEATURES!R1152</f>
        <v>LOW</v>
      </c>
      <c r="E1152" s="4" t="str">
        <f>FEATURES!Q1152</f>
        <v>DISENGAGED</v>
      </c>
      <c r="F1152" s="4" t="str">
        <f>FEATURES!P1152</f>
        <v>Medium_Pressure</v>
      </c>
      <c r="G1152" s="4" t="str">
        <f>FEATURES!M1152</f>
        <v>HIGH</v>
      </c>
      <c r="H1152" s="4" t="str">
        <f>FEATURES!O1152</f>
        <v>RECENTLY PROMOTED</v>
      </c>
      <c r="I1152" s="4" t="str">
        <f t="shared" si="4"/>
        <v>LOW RISK</v>
      </c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</row>
    <row r="1153" spans="1:27" ht="13.2" x14ac:dyDescent="0.25">
      <c r="A1153" s="4">
        <v>1622</v>
      </c>
      <c r="B1153" s="4" t="s">
        <v>45</v>
      </c>
      <c r="C1153" s="4" t="str">
        <f>FEATURES!L1153</f>
        <v>NORMAL</v>
      </c>
      <c r="D1153" s="4" t="str">
        <f>FEATURES!R1153</f>
        <v>LOW</v>
      </c>
      <c r="E1153" s="4" t="str">
        <f>FEATURES!Q1153</f>
        <v>DISENGAGED</v>
      </c>
      <c r="F1153" s="4" t="str">
        <f>FEATURES!P1153</f>
        <v>Low_Pressure</v>
      </c>
      <c r="G1153" s="4" t="str">
        <f>FEATURES!M1153</f>
        <v>HIGH</v>
      </c>
      <c r="H1153" s="4" t="str">
        <f>FEATURES!O1153</f>
        <v>RECENTLY PROMOTED</v>
      </c>
      <c r="I1153" s="4" t="str">
        <f t="shared" si="4"/>
        <v>LOW RISK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</row>
    <row r="1154" spans="1:27" ht="13.2" x14ac:dyDescent="0.25">
      <c r="A1154" s="4">
        <v>1623</v>
      </c>
      <c r="B1154" s="4" t="s">
        <v>45</v>
      </c>
      <c r="C1154" s="4" t="str">
        <f>FEATURES!L1154</f>
        <v>NORMAL</v>
      </c>
      <c r="D1154" s="4" t="str">
        <f>FEATURES!R1154</f>
        <v>LOW</v>
      </c>
      <c r="E1154" s="4" t="str">
        <f>FEATURES!Q1154</f>
        <v>HIGHLY_ENGAGED</v>
      </c>
      <c r="F1154" s="4" t="str">
        <f>FEATURES!P1154</f>
        <v>Medium_Pressure</v>
      </c>
      <c r="G1154" s="4" t="str">
        <f>FEATURES!M1154</f>
        <v>LOW</v>
      </c>
      <c r="H1154" s="4" t="str">
        <f>FEATURES!O1154</f>
        <v>MODERATE-WAIT</v>
      </c>
      <c r="I1154" s="4" t="str">
        <f t="shared" si="4"/>
        <v>LOW RISK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</row>
    <row r="1155" spans="1:27" ht="13.2" x14ac:dyDescent="0.25">
      <c r="A1155" s="4">
        <v>1624</v>
      </c>
      <c r="B1155" s="4" t="s">
        <v>37</v>
      </c>
      <c r="C1155" s="4" t="str">
        <f>FEATURES!L1155</f>
        <v>NORMAL</v>
      </c>
      <c r="D1155" s="4" t="str">
        <f>FEATURES!R1155</f>
        <v>LOW</v>
      </c>
      <c r="E1155" s="4" t="str">
        <f>FEATURES!Q1155</f>
        <v>HIGHLY_ENGAGED</v>
      </c>
      <c r="F1155" s="4" t="str">
        <f>FEATURES!P1155</f>
        <v>Medium_Pressure</v>
      </c>
      <c r="G1155" s="4" t="str">
        <f>FEATURES!M1155</f>
        <v>LOW</v>
      </c>
      <c r="H1155" s="4" t="str">
        <f>FEATURES!O1155</f>
        <v>RECENTLY PROMOTED</v>
      </c>
      <c r="I1155" s="4" t="str">
        <f t="shared" si="4"/>
        <v>LOW RISK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</row>
    <row r="1156" spans="1:27" ht="13.2" x14ac:dyDescent="0.25">
      <c r="A1156" s="4">
        <v>1625</v>
      </c>
      <c r="B1156" s="4" t="s">
        <v>61</v>
      </c>
      <c r="C1156" s="4" t="str">
        <f>FEATURES!L1156</f>
        <v>NORMAL</v>
      </c>
      <c r="D1156" s="4" t="str">
        <f>FEATURES!R1156</f>
        <v>LOW</v>
      </c>
      <c r="E1156" s="4" t="str">
        <f>FEATURES!Q1156</f>
        <v>HIGHLY_ENGAGED</v>
      </c>
      <c r="F1156" s="4" t="str">
        <f>FEATURES!P1156</f>
        <v>Medium_Pressure</v>
      </c>
      <c r="G1156" s="4" t="str">
        <f>FEATURES!M1156</f>
        <v>MEDIUM</v>
      </c>
      <c r="H1156" s="4" t="str">
        <f>FEATURES!O1156</f>
        <v>RECENTLY PROMOTED</v>
      </c>
      <c r="I1156" s="4" t="str">
        <f t="shared" si="4"/>
        <v>LOW RISK</v>
      </c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</row>
    <row r="1157" spans="1:27" ht="13.2" x14ac:dyDescent="0.25">
      <c r="A1157" s="4">
        <v>1627</v>
      </c>
      <c r="B1157" s="4" t="s">
        <v>45</v>
      </c>
      <c r="C1157" s="4" t="str">
        <f>FEATURES!L1157</f>
        <v>NORMAL</v>
      </c>
      <c r="D1157" s="4" t="str">
        <f>FEATURES!R1157</f>
        <v>LOW</v>
      </c>
      <c r="E1157" s="4" t="str">
        <f>FEATURES!Q1157</f>
        <v>HIGHLY_ENGAGED</v>
      </c>
      <c r="F1157" s="4" t="str">
        <f>FEATURES!P1157</f>
        <v>Medium_Pressure</v>
      </c>
      <c r="G1157" s="4" t="str">
        <f>FEATURES!M1157</f>
        <v>LOW</v>
      </c>
      <c r="H1157" s="4" t="str">
        <f>FEATURES!O1157</f>
        <v>RECENTLY PROMOTED</v>
      </c>
      <c r="I1157" s="4" t="str">
        <f t="shared" si="4"/>
        <v>LOW RISK</v>
      </c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</row>
    <row r="1158" spans="1:27" ht="13.2" x14ac:dyDescent="0.25">
      <c r="A1158" s="4">
        <v>1628</v>
      </c>
      <c r="B1158" s="4" t="s">
        <v>45</v>
      </c>
      <c r="C1158" s="4" t="str">
        <f>FEATURES!L1158</f>
        <v>NORMAL</v>
      </c>
      <c r="D1158" s="4" t="str">
        <f>FEATURES!R1158</f>
        <v>LOW</v>
      </c>
      <c r="E1158" s="4" t="str">
        <f>FEATURES!Q1158</f>
        <v>HIGHLY_ENGAGED</v>
      </c>
      <c r="F1158" s="4" t="str">
        <f>FEATURES!P1158</f>
        <v>Medium_Pressure</v>
      </c>
      <c r="G1158" s="4" t="str">
        <f>FEATURES!M1158</f>
        <v>MEDIUM</v>
      </c>
      <c r="H1158" s="4" t="str">
        <f>FEATURES!O1158</f>
        <v>STAGNANT</v>
      </c>
      <c r="I1158" s="4" t="str">
        <f t="shared" si="4"/>
        <v>LOW RISK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</row>
    <row r="1159" spans="1:27" ht="13.2" x14ac:dyDescent="0.25">
      <c r="A1159" s="4">
        <v>1630</v>
      </c>
      <c r="B1159" s="4" t="s">
        <v>45</v>
      </c>
      <c r="C1159" s="4" t="str">
        <f>FEATURES!L1159</f>
        <v>NORMAL</v>
      </c>
      <c r="D1159" s="4" t="str">
        <f>FEATURES!R1159</f>
        <v>LOW</v>
      </c>
      <c r="E1159" s="4" t="str">
        <f>FEATURES!Q1159</f>
        <v>HIGHLY_ENGAGED</v>
      </c>
      <c r="F1159" s="4" t="str">
        <f>FEATURES!P1159</f>
        <v>Medium_Pressure</v>
      </c>
      <c r="G1159" s="4" t="str">
        <f>FEATURES!M1159</f>
        <v>HIGH</v>
      </c>
      <c r="H1159" s="4" t="str">
        <f>FEATURES!O1159</f>
        <v>MODERATE-WAIT</v>
      </c>
      <c r="I1159" s="4" t="str">
        <f t="shared" si="4"/>
        <v>LOW RISK</v>
      </c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</row>
    <row r="1160" spans="1:27" ht="13.2" x14ac:dyDescent="0.25">
      <c r="A1160" s="4">
        <v>1631</v>
      </c>
      <c r="B1160" s="4" t="s">
        <v>45</v>
      </c>
      <c r="C1160" s="4" t="str">
        <f>FEATURES!L1160</f>
        <v>NORMAL</v>
      </c>
      <c r="D1160" s="4" t="str">
        <f>FEATURES!R1160</f>
        <v>LOW</v>
      </c>
      <c r="E1160" s="4" t="str">
        <f>FEATURES!Q1160</f>
        <v>DISENGAGED</v>
      </c>
      <c r="F1160" s="4" t="str">
        <f>FEATURES!P1160</f>
        <v>Low_Pressure</v>
      </c>
      <c r="G1160" s="4" t="str">
        <f>FEATURES!M1160</f>
        <v>HIGH</v>
      </c>
      <c r="H1160" s="4" t="str">
        <f>FEATURES!O1160</f>
        <v>RECENTLY PROMOTED</v>
      </c>
      <c r="I1160" s="4" t="str">
        <f t="shared" si="4"/>
        <v>LOW RISK</v>
      </c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</row>
    <row r="1161" spans="1:27" ht="13.2" x14ac:dyDescent="0.25">
      <c r="A1161" s="4">
        <v>1633</v>
      </c>
      <c r="B1161" s="4" t="s">
        <v>45</v>
      </c>
      <c r="C1161" s="4" t="str">
        <f>FEATURES!L1161</f>
        <v>NORMAL</v>
      </c>
      <c r="D1161" s="4" t="str">
        <f>FEATURES!R1161</f>
        <v>LOW</v>
      </c>
      <c r="E1161" s="4" t="str">
        <f>FEATURES!Q1161</f>
        <v>DISENGAGED</v>
      </c>
      <c r="F1161" s="4" t="str">
        <f>FEATURES!P1161</f>
        <v>Low_Pressure</v>
      </c>
      <c r="G1161" s="4" t="str">
        <f>FEATURES!M1161</f>
        <v>HIGH</v>
      </c>
      <c r="H1161" s="4" t="str">
        <f>FEATURES!O1161</f>
        <v>MODERATE-WAIT</v>
      </c>
      <c r="I1161" s="4" t="str">
        <f t="shared" si="4"/>
        <v>LOW RISK</v>
      </c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</row>
    <row r="1162" spans="1:27" ht="13.2" x14ac:dyDescent="0.25">
      <c r="A1162" s="4">
        <v>1635</v>
      </c>
      <c r="B1162" s="4" t="s">
        <v>45</v>
      </c>
      <c r="C1162" s="4" t="str">
        <f>FEATURES!L1162</f>
        <v>NORMAL</v>
      </c>
      <c r="D1162" s="4" t="str">
        <f>FEATURES!R1162</f>
        <v>LOW</v>
      </c>
      <c r="E1162" s="4" t="str">
        <f>FEATURES!Q1162</f>
        <v>HIGHLY_ENGAGED</v>
      </c>
      <c r="F1162" s="4" t="str">
        <f>FEATURES!P1162</f>
        <v>Medium_Pressure</v>
      </c>
      <c r="G1162" s="4" t="str">
        <f>FEATURES!M1162</f>
        <v>HIGH</v>
      </c>
      <c r="H1162" s="4" t="str">
        <f>FEATURES!O1162</f>
        <v>MODERATE-WAIT</v>
      </c>
      <c r="I1162" s="4" t="str">
        <f t="shared" si="4"/>
        <v>LOW RISK</v>
      </c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</row>
    <row r="1163" spans="1:27" ht="13.2" x14ac:dyDescent="0.25">
      <c r="A1163" s="4">
        <v>1638</v>
      </c>
      <c r="B1163" s="4" t="s">
        <v>45</v>
      </c>
      <c r="C1163" s="4" t="str">
        <f>FEATURES!L1163</f>
        <v>NORMAL</v>
      </c>
      <c r="D1163" s="4" t="str">
        <f>FEATURES!R1163</f>
        <v>LOW</v>
      </c>
      <c r="E1163" s="4" t="str">
        <f>FEATURES!Q1163</f>
        <v>HIGHLY_ENGAGED</v>
      </c>
      <c r="F1163" s="4" t="str">
        <f>FEATURES!P1163</f>
        <v>Medium_Pressure</v>
      </c>
      <c r="G1163" s="4" t="str">
        <f>FEATURES!M1163</f>
        <v>HIGH</v>
      </c>
      <c r="H1163" s="4" t="str">
        <f>FEATURES!O1163</f>
        <v>RECENTLY PROMOTED</v>
      </c>
      <c r="I1163" s="4" t="str">
        <f t="shared" si="4"/>
        <v>LOW RISK</v>
      </c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</row>
    <row r="1164" spans="1:27" ht="13.2" x14ac:dyDescent="0.25">
      <c r="A1164" s="4">
        <v>1639</v>
      </c>
      <c r="B1164" s="4" t="s">
        <v>37</v>
      </c>
      <c r="C1164" s="4" t="str">
        <f>FEATURES!L1164</f>
        <v>NORMAL</v>
      </c>
      <c r="D1164" s="4" t="str">
        <f>FEATURES!R1164</f>
        <v>LOW</v>
      </c>
      <c r="E1164" s="4" t="str">
        <f>FEATURES!Q1164</f>
        <v>DISENGAGED</v>
      </c>
      <c r="F1164" s="4" t="str">
        <f>FEATURES!P1164</f>
        <v>Medium_Pressure</v>
      </c>
      <c r="G1164" s="4" t="str">
        <f>FEATURES!M1164</f>
        <v>MEDIUM</v>
      </c>
      <c r="H1164" s="4" t="str">
        <f>FEATURES!O1164</f>
        <v>STAGNANT</v>
      </c>
      <c r="I1164" s="4" t="str">
        <f t="shared" si="4"/>
        <v>LOW RISK</v>
      </c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</row>
    <row r="1165" spans="1:27" ht="13.2" x14ac:dyDescent="0.25">
      <c r="A1165" s="4">
        <v>1640</v>
      </c>
      <c r="B1165" s="4" t="s">
        <v>45</v>
      </c>
      <c r="C1165" s="4" t="str">
        <f>FEATURES!L1165</f>
        <v>NORMAL</v>
      </c>
      <c r="D1165" s="4" t="str">
        <f>FEATURES!R1165</f>
        <v>LOW</v>
      </c>
      <c r="E1165" s="4" t="str">
        <f>FEATURES!Q1165</f>
        <v>DISENGAGED</v>
      </c>
      <c r="F1165" s="4" t="str">
        <f>FEATURES!P1165</f>
        <v>Low_Pressure</v>
      </c>
      <c r="G1165" s="4" t="str">
        <f>FEATURES!M1165</f>
        <v>LOW</v>
      </c>
      <c r="H1165" s="4" t="str">
        <f>FEATURES!O1165</f>
        <v>STAGNANT</v>
      </c>
      <c r="I1165" s="4" t="str">
        <f t="shared" si="4"/>
        <v>LOW RISK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</row>
    <row r="1166" spans="1:27" ht="13.2" x14ac:dyDescent="0.25">
      <c r="A1166" s="4">
        <v>1641</v>
      </c>
      <c r="B1166" s="4" t="s">
        <v>45</v>
      </c>
      <c r="C1166" s="4" t="str">
        <f>FEATURES!L1166</f>
        <v>NORMAL</v>
      </c>
      <c r="D1166" s="4" t="str">
        <f>FEATURES!R1166</f>
        <v>LOW</v>
      </c>
      <c r="E1166" s="4" t="str">
        <f>FEATURES!Q1166</f>
        <v>DISENGAGED</v>
      </c>
      <c r="F1166" s="4" t="str">
        <f>FEATURES!P1166</f>
        <v>High_Pressure</v>
      </c>
      <c r="G1166" s="4" t="str">
        <f>FEATURES!M1166</f>
        <v>HIGH</v>
      </c>
      <c r="H1166" s="4" t="str">
        <f>FEATURES!O1166</f>
        <v>MODERATE-WAIT</v>
      </c>
      <c r="I1166" s="4" t="str">
        <f t="shared" si="4"/>
        <v>LOW RISK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</row>
    <row r="1167" spans="1:27" ht="13.2" x14ac:dyDescent="0.25">
      <c r="A1167" s="4">
        <v>1642</v>
      </c>
      <c r="B1167" s="4" t="s">
        <v>61</v>
      </c>
      <c r="C1167" s="4" t="str">
        <f>FEATURES!L1167</f>
        <v>NORMAL</v>
      </c>
      <c r="D1167" s="4" t="str">
        <f>FEATURES!R1167</f>
        <v>LOW</v>
      </c>
      <c r="E1167" s="4" t="str">
        <f>FEATURES!Q1167</f>
        <v>HIGHLY_ENGAGED</v>
      </c>
      <c r="F1167" s="4" t="str">
        <f>FEATURES!P1167</f>
        <v>Medium_Pressure</v>
      </c>
      <c r="G1167" s="4" t="str">
        <f>FEATURES!M1167</f>
        <v>HIGH</v>
      </c>
      <c r="H1167" s="4" t="str">
        <f>FEATURES!O1167</f>
        <v>RECENTLY PROMOTED</v>
      </c>
      <c r="I1167" s="4" t="str">
        <f t="shared" si="4"/>
        <v>LOW RISK</v>
      </c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</row>
    <row r="1168" spans="1:27" ht="13.2" x14ac:dyDescent="0.25">
      <c r="A1168" s="4">
        <v>1644</v>
      </c>
      <c r="B1168" s="4" t="s">
        <v>45</v>
      </c>
      <c r="C1168" s="4" t="str">
        <f>FEATURES!L1168</f>
        <v>NORMAL</v>
      </c>
      <c r="D1168" s="4" t="str">
        <f>FEATURES!R1168</f>
        <v>LOW</v>
      </c>
      <c r="E1168" s="4" t="str">
        <f>FEATURES!Q1168</f>
        <v>HIGHLY_ENGAGED</v>
      </c>
      <c r="F1168" s="4" t="str">
        <f>FEATURES!P1168</f>
        <v>Medium_Pressure</v>
      </c>
      <c r="G1168" s="4" t="str">
        <f>FEATURES!M1168</f>
        <v>MEDIUM</v>
      </c>
      <c r="H1168" s="4" t="str">
        <f>FEATURES!O1168</f>
        <v>MODERATE-WAIT</v>
      </c>
      <c r="I1168" s="4" t="str">
        <f t="shared" si="4"/>
        <v>LOW RISK</v>
      </c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</row>
    <row r="1169" spans="1:27" ht="13.2" x14ac:dyDescent="0.25">
      <c r="A1169" s="4">
        <v>1645</v>
      </c>
      <c r="B1169" s="4" t="s">
        <v>37</v>
      </c>
      <c r="C1169" s="4" t="str">
        <f>FEATURES!L1169</f>
        <v>NORMAL</v>
      </c>
      <c r="D1169" s="4" t="str">
        <f>FEATURES!R1169</f>
        <v>LOW</v>
      </c>
      <c r="E1169" s="4" t="str">
        <f>FEATURES!Q1169</f>
        <v>DISENGAGED</v>
      </c>
      <c r="F1169" s="4" t="str">
        <f>FEATURES!P1169</f>
        <v>High_Pressure</v>
      </c>
      <c r="G1169" s="4" t="str">
        <f>FEATURES!M1169</f>
        <v>HIGH</v>
      </c>
      <c r="H1169" s="4" t="str">
        <f>FEATURES!O1169</f>
        <v>MODERATE-WAIT</v>
      </c>
      <c r="I1169" s="4" t="str">
        <f t="shared" si="4"/>
        <v>LOW RISK</v>
      </c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</row>
    <row r="1170" spans="1:27" ht="13.2" x14ac:dyDescent="0.25">
      <c r="A1170" s="4">
        <v>1646</v>
      </c>
      <c r="B1170" s="4" t="s">
        <v>45</v>
      </c>
      <c r="C1170" s="4" t="str">
        <f>FEATURES!L1170</f>
        <v>NORMAL</v>
      </c>
      <c r="D1170" s="4" t="str">
        <f>FEATURES!R1170</f>
        <v>LOW</v>
      </c>
      <c r="E1170" s="4" t="str">
        <f>FEATURES!Q1170</f>
        <v>HIGHLY_ENGAGED</v>
      </c>
      <c r="F1170" s="4" t="str">
        <f>FEATURES!P1170</f>
        <v>Medium_Pressure</v>
      </c>
      <c r="G1170" s="4" t="str">
        <f>FEATURES!M1170</f>
        <v>LOW</v>
      </c>
      <c r="H1170" s="4" t="str">
        <f>FEATURES!O1170</f>
        <v>RECENTLY PROMOTED</v>
      </c>
      <c r="I1170" s="4" t="str">
        <f t="shared" si="4"/>
        <v>LOW RISK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</row>
    <row r="1171" spans="1:27" ht="13.2" x14ac:dyDescent="0.25">
      <c r="A1171" s="4">
        <v>1647</v>
      </c>
      <c r="B1171" s="4" t="s">
        <v>45</v>
      </c>
      <c r="C1171" s="4" t="str">
        <f>FEATURES!L1171</f>
        <v>NORMAL</v>
      </c>
      <c r="D1171" s="4" t="str">
        <f>FEATURES!R1171</f>
        <v>LOW</v>
      </c>
      <c r="E1171" s="4" t="str">
        <f>FEATURES!Q1171</f>
        <v>HIGHLY_ENGAGED</v>
      </c>
      <c r="F1171" s="4" t="str">
        <f>FEATURES!P1171</f>
        <v>Medium_Pressure</v>
      </c>
      <c r="G1171" s="4" t="str">
        <f>FEATURES!M1171</f>
        <v>LOW</v>
      </c>
      <c r="H1171" s="4" t="str">
        <f>FEATURES!O1171</f>
        <v>RECENTLY PROMOTED</v>
      </c>
      <c r="I1171" s="4" t="str">
        <f t="shared" si="4"/>
        <v>LOW RISK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</row>
    <row r="1172" spans="1:27" ht="13.2" x14ac:dyDescent="0.25">
      <c r="A1172" s="4">
        <v>1648</v>
      </c>
      <c r="B1172" s="4" t="s">
        <v>45</v>
      </c>
      <c r="C1172" s="4" t="str">
        <f>FEATURES!L1172</f>
        <v>NORMAL</v>
      </c>
      <c r="D1172" s="4" t="str">
        <f>FEATURES!R1172</f>
        <v>LOW</v>
      </c>
      <c r="E1172" s="4" t="str">
        <f>FEATURES!Q1172</f>
        <v>DISENGAGED</v>
      </c>
      <c r="F1172" s="4" t="str">
        <f>FEATURES!P1172</f>
        <v>Low_Pressure</v>
      </c>
      <c r="G1172" s="4" t="str">
        <f>FEATURES!M1172</f>
        <v>LOW</v>
      </c>
      <c r="H1172" s="4" t="str">
        <f>FEATURES!O1172</f>
        <v>RECENTLY PROMOTED</v>
      </c>
      <c r="I1172" s="4" t="str">
        <f t="shared" si="4"/>
        <v>LOW RISK</v>
      </c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</row>
    <row r="1173" spans="1:27" ht="13.2" x14ac:dyDescent="0.25">
      <c r="A1173" s="4">
        <v>1649</v>
      </c>
      <c r="B1173" s="4" t="s">
        <v>45</v>
      </c>
      <c r="C1173" s="4" t="str">
        <f>FEATURES!L1173</f>
        <v>NORMAL</v>
      </c>
      <c r="D1173" s="4" t="str">
        <f>FEATURES!R1173</f>
        <v>LOW</v>
      </c>
      <c r="E1173" s="4" t="str">
        <f>FEATURES!Q1173</f>
        <v>DISENGAGED</v>
      </c>
      <c r="F1173" s="4" t="str">
        <f>FEATURES!P1173</f>
        <v>High_Pressure</v>
      </c>
      <c r="G1173" s="4" t="str">
        <f>FEATURES!M1173</f>
        <v>LOW</v>
      </c>
      <c r="H1173" s="4" t="str">
        <f>FEATURES!O1173</f>
        <v>RECENTLY PROMOTED</v>
      </c>
      <c r="I1173" s="4" t="str">
        <f t="shared" si="4"/>
        <v>LOW RISK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</row>
    <row r="1174" spans="1:27" ht="13.2" x14ac:dyDescent="0.25">
      <c r="A1174" s="4">
        <v>1650</v>
      </c>
      <c r="B1174" s="4" t="s">
        <v>37</v>
      </c>
      <c r="C1174" s="4" t="str">
        <f>FEATURES!L1174</f>
        <v>NORMAL</v>
      </c>
      <c r="D1174" s="4" t="str">
        <f>FEATURES!R1174</f>
        <v>LOW</v>
      </c>
      <c r="E1174" s="4" t="str">
        <f>FEATURES!Q1174</f>
        <v>HIGHLY_ENGAGED</v>
      </c>
      <c r="F1174" s="4" t="str">
        <f>FEATURES!P1174</f>
        <v>Medium_Pressure</v>
      </c>
      <c r="G1174" s="4" t="str">
        <f>FEATURES!M1174</f>
        <v>HIGH</v>
      </c>
      <c r="H1174" s="4" t="str">
        <f>FEATURES!O1174</f>
        <v>RECENTLY PROMOTED</v>
      </c>
      <c r="I1174" s="4" t="str">
        <f t="shared" si="4"/>
        <v>LOW RISK</v>
      </c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</row>
    <row r="1175" spans="1:27" ht="13.2" x14ac:dyDescent="0.25">
      <c r="A1175" s="4">
        <v>1651</v>
      </c>
      <c r="B1175" s="4" t="s">
        <v>45</v>
      </c>
      <c r="C1175" s="4" t="str">
        <f>FEATURES!L1175</f>
        <v>NORMAL</v>
      </c>
      <c r="D1175" s="4" t="str">
        <f>FEATURES!R1175</f>
        <v>LOW</v>
      </c>
      <c r="E1175" s="4" t="str">
        <f>FEATURES!Q1175</f>
        <v>DISENGAGED</v>
      </c>
      <c r="F1175" s="4" t="str">
        <f>FEATURES!P1175</f>
        <v>Medium_Pressure</v>
      </c>
      <c r="G1175" s="4" t="str">
        <f>FEATURES!M1175</f>
        <v>HIGH</v>
      </c>
      <c r="H1175" s="4" t="str">
        <f>FEATURES!O1175</f>
        <v>RECENTLY PROMOTED</v>
      </c>
      <c r="I1175" s="4" t="str">
        <f t="shared" si="4"/>
        <v>LOW RISK</v>
      </c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</row>
    <row r="1176" spans="1:27" ht="13.2" x14ac:dyDescent="0.25">
      <c r="A1176" s="4">
        <v>1653</v>
      </c>
      <c r="B1176" s="4" t="s">
        <v>45</v>
      </c>
      <c r="C1176" s="4" t="str">
        <f>FEATURES!L1176</f>
        <v>NORMAL</v>
      </c>
      <c r="D1176" s="4" t="str">
        <f>FEATURES!R1176</f>
        <v>LOW</v>
      </c>
      <c r="E1176" s="4" t="str">
        <f>FEATURES!Q1176</f>
        <v>HIGHLY_ENGAGED</v>
      </c>
      <c r="F1176" s="4" t="str">
        <f>FEATURES!P1176</f>
        <v>Medium_Pressure</v>
      </c>
      <c r="G1176" s="4" t="str">
        <f>FEATURES!M1176</f>
        <v>HIGH</v>
      </c>
      <c r="H1176" s="4" t="str">
        <f>FEATURES!O1176</f>
        <v>RECENTLY PROMOTED</v>
      </c>
      <c r="I1176" s="4" t="str">
        <f t="shared" si="4"/>
        <v>LOW RISK</v>
      </c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</row>
    <row r="1177" spans="1:27" ht="13.2" x14ac:dyDescent="0.25">
      <c r="A1177" s="4">
        <v>1654</v>
      </c>
      <c r="B1177" s="4" t="s">
        <v>45</v>
      </c>
      <c r="C1177" s="4" t="str">
        <f>FEATURES!L1177</f>
        <v>NORMAL</v>
      </c>
      <c r="D1177" s="4" t="str">
        <f>FEATURES!R1177</f>
        <v>LOW</v>
      </c>
      <c r="E1177" s="4" t="str">
        <f>FEATURES!Q1177</f>
        <v>DISENGAGED</v>
      </c>
      <c r="F1177" s="4" t="str">
        <f>FEATURES!P1177</f>
        <v>Medium_Pressure</v>
      </c>
      <c r="G1177" s="4" t="str">
        <f>FEATURES!M1177</f>
        <v>HIGH</v>
      </c>
      <c r="H1177" s="4" t="str">
        <f>FEATURES!O1177</f>
        <v>RECENTLY PROMOTED</v>
      </c>
      <c r="I1177" s="4" t="str">
        <f t="shared" si="4"/>
        <v>LOW RISK</v>
      </c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</row>
    <row r="1178" spans="1:27" ht="13.2" x14ac:dyDescent="0.25">
      <c r="A1178" s="4">
        <v>1655</v>
      </c>
      <c r="B1178" s="4" t="s">
        <v>45</v>
      </c>
      <c r="C1178" s="4" t="str">
        <f>FEATURES!L1178</f>
        <v>NORMAL</v>
      </c>
      <c r="D1178" s="4" t="str">
        <f>FEATURES!R1178</f>
        <v>LOW</v>
      </c>
      <c r="E1178" s="4" t="str">
        <f>FEATURES!Q1178</f>
        <v>DISENGAGED</v>
      </c>
      <c r="F1178" s="4" t="str">
        <f>FEATURES!P1178</f>
        <v>Medium_Pressure</v>
      </c>
      <c r="G1178" s="4" t="str">
        <f>FEATURES!M1178</f>
        <v>MEDIUM</v>
      </c>
      <c r="H1178" s="4" t="str">
        <f>FEATURES!O1178</f>
        <v>RECENTLY PROMOTED</v>
      </c>
      <c r="I1178" s="4" t="str">
        <f t="shared" si="4"/>
        <v>LOW RISK</v>
      </c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</row>
    <row r="1179" spans="1:27" ht="13.2" x14ac:dyDescent="0.25">
      <c r="A1179" s="4">
        <v>1656</v>
      </c>
      <c r="B1179" s="4" t="s">
        <v>45</v>
      </c>
      <c r="C1179" s="4" t="str">
        <f>FEATURES!L1179</f>
        <v>NORMAL</v>
      </c>
      <c r="D1179" s="4" t="str">
        <f>FEATURES!R1179</f>
        <v>LOW</v>
      </c>
      <c r="E1179" s="4" t="str">
        <f>FEATURES!Q1179</f>
        <v>DISENGAGED</v>
      </c>
      <c r="F1179" s="4" t="str">
        <f>FEATURES!P1179</f>
        <v>Medium_Pressure</v>
      </c>
      <c r="G1179" s="4" t="str">
        <f>FEATURES!M1179</f>
        <v>MEDIUM</v>
      </c>
      <c r="H1179" s="4" t="str">
        <f>FEATURES!O1179</f>
        <v>RECENTLY PROMOTED</v>
      </c>
      <c r="I1179" s="4" t="str">
        <f t="shared" si="4"/>
        <v>LOW RISK</v>
      </c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</row>
    <row r="1180" spans="1:27" ht="13.2" x14ac:dyDescent="0.25">
      <c r="A1180" s="4">
        <v>1657</v>
      </c>
      <c r="B1180" s="4" t="s">
        <v>37</v>
      </c>
      <c r="C1180" s="4" t="str">
        <f>FEATURES!L1180</f>
        <v>NORMAL</v>
      </c>
      <c r="D1180" s="4" t="str">
        <f>FEATURES!R1180</f>
        <v>LOW</v>
      </c>
      <c r="E1180" s="4" t="str">
        <f>FEATURES!Q1180</f>
        <v>HIGHLY_ENGAGED</v>
      </c>
      <c r="F1180" s="4" t="str">
        <f>FEATURES!P1180</f>
        <v>Medium_Pressure</v>
      </c>
      <c r="G1180" s="4" t="str">
        <f>FEATURES!M1180</f>
        <v>LOW</v>
      </c>
      <c r="H1180" s="4" t="str">
        <f>FEATURES!O1180</f>
        <v>MODERATE-WAIT</v>
      </c>
      <c r="I1180" s="4" t="str">
        <f t="shared" si="4"/>
        <v>LOW RISK</v>
      </c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</row>
    <row r="1181" spans="1:27" ht="13.2" x14ac:dyDescent="0.25">
      <c r="A1181" s="4">
        <v>1658</v>
      </c>
      <c r="B1181" s="4" t="s">
        <v>45</v>
      </c>
      <c r="C1181" s="4" t="str">
        <f>FEATURES!L1181</f>
        <v>NORMAL</v>
      </c>
      <c r="D1181" s="4" t="str">
        <f>FEATURES!R1181</f>
        <v>LOW</v>
      </c>
      <c r="E1181" s="4" t="str">
        <f>FEATURES!Q1181</f>
        <v>DISENGAGED</v>
      </c>
      <c r="F1181" s="4" t="str">
        <f>FEATURES!P1181</f>
        <v>Medium_Pressure</v>
      </c>
      <c r="G1181" s="4" t="str">
        <f>FEATURES!M1181</f>
        <v>HIGH</v>
      </c>
      <c r="H1181" s="4" t="str">
        <f>FEATURES!O1181</f>
        <v>STAGNANT</v>
      </c>
      <c r="I1181" s="4" t="str">
        <f t="shared" si="4"/>
        <v>LOW RISK</v>
      </c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</row>
    <row r="1182" spans="1:27" ht="13.2" x14ac:dyDescent="0.25">
      <c r="A1182" s="4">
        <v>1659</v>
      </c>
      <c r="B1182" s="4" t="s">
        <v>45</v>
      </c>
      <c r="C1182" s="4" t="str">
        <f>FEATURES!L1182</f>
        <v>NORMAL</v>
      </c>
      <c r="D1182" s="4" t="str">
        <f>FEATURES!R1182</f>
        <v>LOW</v>
      </c>
      <c r="E1182" s="4" t="str">
        <f>FEATURES!Q1182</f>
        <v>DISENGAGED</v>
      </c>
      <c r="F1182" s="4" t="str">
        <f>FEATURES!P1182</f>
        <v>Medium_Pressure</v>
      </c>
      <c r="G1182" s="4" t="str">
        <f>FEATURES!M1182</f>
        <v>LOW</v>
      </c>
      <c r="H1182" s="4" t="str">
        <f>FEATURES!O1182</f>
        <v>RECENTLY PROMOTED</v>
      </c>
      <c r="I1182" s="4" t="str">
        <f t="shared" si="4"/>
        <v>LOW RISK</v>
      </c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</row>
    <row r="1183" spans="1:27" ht="13.2" x14ac:dyDescent="0.25">
      <c r="A1183" s="4">
        <v>1661</v>
      </c>
      <c r="B1183" s="4" t="s">
        <v>45</v>
      </c>
      <c r="C1183" s="4" t="str">
        <f>FEATURES!L1183</f>
        <v>NORMAL</v>
      </c>
      <c r="D1183" s="4" t="str">
        <f>FEATURES!R1183</f>
        <v>LOW</v>
      </c>
      <c r="E1183" s="4" t="str">
        <f>FEATURES!Q1183</f>
        <v>HIGHLY_ENGAGED</v>
      </c>
      <c r="F1183" s="4" t="str">
        <f>FEATURES!P1183</f>
        <v>Medium_Pressure</v>
      </c>
      <c r="G1183" s="4" t="str">
        <f>FEATURES!M1183</f>
        <v>MEDIUM</v>
      </c>
      <c r="H1183" s="4" t="str">
        <f>FEATURES!O1183</f>
        <v>MODERATE-WAIT</v>
      </c>
      <c r="I1183" s="4" t="str">
        <f t="shared" si="4"/>
        <v>LOW RISK</v>
      </c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</row>
    <row r="1184" spans="1:27" ht="13.2" x14ac:dyDescent="0.25">
      <c r="A1184" s="4">
        <v>1662</v>
      </c>
      <c r="B1184" s="4" t="s">
        <v>45</v>
      </c>
      <c r="C1184" s="4" t="str">
        <f>FEATURES!L1184</f>
        <v>NORMAL</v>
      </c>
      <c r="D1184" s="4" t="str">
        <f>FEATURES!R1184</f>
        <v>LOW</v>
      </c>
      <c r="E1184" s="4" t="str">
        <f>FEATURES!Q1184</f>
        <v>HIGHLY_ENGAGED</v>
      </c>
      <c r="F1184" s="4" t="str">
        <f>FEATURES!P1184</f>
        <v>Medium_Pressure</v>
      </c>
      <c r="G1184" s="4" t="str">
        <f>FEATURES!M1184</f>
        <v>HIGH</v>
      </c>
      <c r="H1184" s="4" t="str">
        <f>FEATURES!O1184</f>
        <v>RECENTLY PROMOTED</v>
      </c>
      <c r="I1184" s="4" t="str">
        <f t="shared" si="4"/>
        <v>LOW RISK</v>
      </c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</row>
    <row r="1185" spans="1:27" ht="13.2" x14ac:dyDescent="0.25">
      <c r="A1185" s="4">
        <v>1664</v>
      </c>
      <c r="B1185" s="4" t="s">
        <v>45</v>
      </c>
      <c r="C1185" s="4" t="str">
        <f>FEATURES!L1185</f>
        <v>NORMAL</v>
      </c>
      <c r="D1185" s="4" t="str">
        <f>FEATURES!R1185</f>
        <v>LOW</v>
      </c>
      <c r="E1185" s="4" t="str">
        <f>FEATURES!Q1185</f>
        <v>DISENGAGED</v>
      </c>
      <c r="F1185" s="4" t="str">
        <f>FEATURES!P1185</f>
        <v>Medium_Pressure</v>
      </c>
      <c r="G1185" s="4" t="str">
        <f>FEATURES!M1185</f>
        <v>HIGH</v>
      </c>
      <c r="H1185" s="4" t="str">
        <f>FEATURES!O1185</f>
        <v>RECENTLY PROMOTED</v>
      </c>
      <c r="I1185" s="4" t="str">
        <f t="shared" si="4"/>
        <v>LOW RISK</v>
      </c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</row>
    <row r="1186" spans="1:27" ht="13.2" x14ac:dyDescent="0.25">
      <c r="A1186" s="4">
        <v>1665</v>
      </c>
      <c r="B1186" s="4" t="s">
        <v>45</v>
      </c>
      <c r="C1186" s="4" t="str">
        <f>FEATURES!L1186</f>
        <v>NORMAL</v>
      </c>
      <c r="D1186" s="4" t="str">
        <f>FEATURES!R1186</f>
        <v>LOW</v>
      </c>
      <c r="E1186" s="4" t="str">
        <f>FEATURES!Q1186</f>
        <v>HIGHLY_ENGAGED</v>
      </c>
      <c r="F1186" s="4" t="str">
        <f>FEATURES!P1186</f>
        <v>Medium_Pressure</v>
      </c>
      <c r="G1186" s="4" t="str">
        <f>FEATURES!M1186</f>
        <v>MEDIUM</v>
      </c>
      <c r="H1186" s="4" t="str">
        <f>FEATURES!O1186</f>
        <v>STAGNANT</v>
      </c>
      <c r="I1186" s="4" t="str">
        <f t="shared" si="4"/>
        <v>LOW RISK</v>
      </c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</row>
    <row r="1187" spans="1:27" ht="13.2" x14ac:dyDescent="0.25">
      <c r="A1187" s="4">
        <v>1666</v>
      </c>
      <c r="B1187" s="4" t="s">
        <v>45</v>
      </c>
      <c r="C1187" s="4" t="str">
        <f>FEATURES!L1187</f>
        <v>NORMAL</v>
      </c>
      <c r="D1187" s="4" t="str">
        <f>FEATURES!R1187</f>
        <v>LOW</v>
      </c>
      <c r="E1187" s="4" t="str">
        <f>FEATURES!Q1187</f>
        <v>HIGHLY_ENGAGED</v>
      </c>
      <c r="F1187" s="4" t="str">
        <f>FEATURES!P1187</f>
        <v>Medium_Pressure</v>
      </c>
      <c r="G1187" s="4" t="str">
        <f>FEATURES!M1187</f>
        <v>MEDIUM</v>
      </c>
      <c r="H1187" s="4" t="str">
        <f>FEATURES!O1187</f>
        <v>STAGNANT</v>
      </c>
      <c r="I1187" s="4" t="str">
        <f t="shared" si="4"/>
        <v>LOW RISK</v>
      </c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</row>
    <row r="1188" spans="1:27" ht="13.2" x14ac:dyDescent="0.25">
      <c r="A1188" s="4">
        <v>1667</v>
      </c>
      <c r="B1188" s="4" t="s">
        <v>37</v>
      </c>
      <c r="C1188" s="4" t="str">
        <f>FEATURES!L1188</f>
        <v>NORMAL</v>
      </c>
      <c r="D1188" s="4" t="str">
        <f>FEATURES!R1188</f>
        <v>LOW</v>
      </c>
      <c r="E1188" s="4" t="str">
        <f>FEATURES!Q1188</f>
        <v>HIGHLY_ENGAGED</v>
      </c>
      <c r="F1188" s="4" t="str">
        <f>FEATURES!P1188</f>
        <v>Medium_Pressure</v>
      </c>
      <c r="G1188" s="4" t="str">
        <f>FEATURES!M1188</f>
        <v>HIGH</v>
      </c>
      <c r="H1188" s="4" t="str">
        <f>FEATURES!O1188</f>
        <v>STAGNANT</v>
      </c>
      <c r="I1188" s="4" t="str">
        <f t="shared" si="4"/>
        <v>LOW RISK</v>
      </c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</row>
    <row r="1189" spans="1:27" ht="13.2" x14ac:dyDescent="0.25">
      <c r="A1189" s="4">
        <v>1668</v>
      </c>
      <c r="B1189" s="4" t="s">
        <v>45</v>
      </c>
      <c r="C1189" s="4" t="str">
        <f>FEATURES!L1189</f>
        <v>NORMAL</v>
      </c>
      <c r="D1189" s="4" t="str">
        <f>FEATURES!R1189</f>
        <v>LOW</v>
      </c>
      <c r="E1189" s="4" t="str">
        <f>FEATURES!Q1189</f>
        <v>HIGHLY_ENGAGED</v>
      </c>
      <c r="F1189" s="4" t="str">
        <f>FEATURES!P1189</f>
        <v>Low_Pressure</v>
      </c>
      <c r="G1189" s="4" t="str">
        <f>FEATURES!M1189</f>
        <v>HIGH</v>
      </c>
      <c r="H1189" s="4" t="str">
        <f>FEATURES!O1189</f>
        <v>MODERATE-WAIT</v>
      </c>
      <c r="I1189" s="4" t="str">
        <f t="shared" si="4"/>
        <v>LOW RISK</v>
      </c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</row>
    <row r="1190" spans="1:27" ht="13.2" x14ac:dyDescent="0.25">
      <c r="A1190" s="4">
        <v>1669</v>
      </c>
      <c r="B1190" s="4" t="s">
        <v>37</v>
      </c>
      <c r="C1190" s="4" t="str">
        <f>FEATURES!L1190</f>
        <v>NORMAL</v>
      </c>
      <c r="D1190" s="4" t="str">
        <f>FEATURES!R1190</f>
        <v>LOW</v>
      </c>
      <c r="E1190" s="4" t="str">
        <f>FEATURES!Q1190</f>
        <v>DISENGAGED</v>
      </c>
      <c r="F1190" s="4" t="str">
        <f>FEATURES!P1190</f>
        <v>High_Pressure</v>
      </c>
      <c r="G1190" s="4" t="str">
        <f>FEATURES!M1190</f>
        <v>HIGH</v>
      </c>
      <c r="H1190" s="4" t="str">
        <f>FEATURES!O1190</f>
        <v>RECENTLY PROMOTED</v>
      </c>
      <c r="I1190" s="4" t="str">
        <f t="shared" si="4"/>
        <v>LOW RISK</v>
      </c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</row>
    <row r="1191" spans="1:27" ht="13.2" x14ac:dyDescent="0.25">
      <c r="A1191" s="4">
        <v>1670</v>
      </c>
      <c r="B1191" s="4" t="s">
        <v>37</v>
      </c>
      <c r="C1191" s="4" t="str">
        <f>FEATURES!L1191</f>
        <v>NORMAL</v>
      </c>
      <c r="D1191" s="4" t="str">
        <f>FEATURES!R1191</f>
        <v>LOW</v>
      </c>
      <c r="E1191" s="4" t="str">
        <f>FEATURES!Q1191</f>
        <v>HIGHLY_ENGAGED</v>
      </c>
      <c r="F1191" s="4" t="str">
        <f>FEATURES!P1191</f>
        <v>Medium_Pressure</v>
      </c>
      <c r="G1191" s="4" t="str">
        <f>FEATURES!M1191</f>
        <v>HIGH</v>
      </c>
      <c r="H1191" s="4" t="str">
        <f>FEATURES!O1191</f>
        <v>RECENTLY PROMOTED</v>
      </c>
      <c r="I1191" s="4" t="str">
        <f t="shared" si="4"/>
        <v>LOW RISK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</row>
    <row r="1192" spans="1:27" ht="13.2" x14ac:dyDescent="0.25">
      <c r="A1192" s="4">
        <v>1671</v>
      </c>
      <c r="B1192" s="4" t="s">
        <v>45</v>
      </c>
      <c r="C1192" s="4" t="str">
        <f>FEATURES!L1192</f>
        <v>NORMAL</v>
      </c>
      <c r="D1192" s="4" t="str">
        <f>FEATURES!R1192</f>
        <v>LOW</v>
      </c>
      <c r="E1192" s="4" t="str">
        <f>FEATURES!Q1192</f>
        <v>DISENGAGED</v>
      </c>
      <c r="F1192" s="4" t="str">
        <f>FEATURES!P1192</f>
        <v>Low_Pressure</v>
      </c>
      <c r="G1192" s="4" t="str">
        <f>FEATURES!M1192</f>
        <v>HIGH</v>
      </c>
      <c r="H1192" s="4" t="str">
        <f>FEATURES!O1192</f>
        <v>RECENTLY PROMOTED</v>
      </c>
      <c r="I1192" s="4" t="str">
        <f t="shared" si="4"/>
        <v>LOW RISK</v>
      </c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</row>
    <row r="1193" spans="1:27" ht="13.2" x14ac:dyDescent="0.25">
      <c r="A1193" s="4">
        <v>1673</v>
      </c>
      <c r="B1193" s="4" t="s">
        <v>37</v>
      </c>
      <c r="C1193" s="4" t="str">
        <f>FEATURES!L1193</f>
        <v>NORMAL</v>
      </c>
      <c r="D1193" s="4" t="str">
        <f>FEATURES!R1193</f>
        <v>LOW</v>
      </c>
      <c r="E1193" s="4" t="str">
        <f>FEATURES!Q1193</f>
        <v>HIGHLY_ENGAGED</v>
      </c>
      <c r="F1193" s="4" t="str">
        <f>FEATURES!P1193</f>
        <v>Medium_Pressure</v>
      </c>
      <c r="G1193" s="4" t="str">
        <f>FEATURES!M1193</f>
        <v>HIGH</v>
      </c>
      <c r="H1193" s="4" t="str">
        <f>FEATURES!O1193</f>
        <v>RECENTLY PROMOTED</v>
      </c>
      <c r="I1193" s="4" t="str">
        <f t="shared" si="4"/>
        <v>LOW RISK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</row>
    <row r="1194" spans="1:27" ht="13.2" x14ac:dyDescent="0.25">
      <c r="A1194" s="4">
        <v>1674</v>
      </c>
      <c r="B1194" s="4" t="s">
        <v>45</v>
      </c>
      <c r="C1194" s="4" t="str">
        <f>FEATURES!L1194</f>
        <v>NORMAL</v>
      </c>
      <c r="D1194" s="4" t="str">
        <f>FEATURES!R1194</f>
        <v>LOW</v>
      </c>
      <c r="E1194" s="4" t="str">
        <f>FEATURES!Q1194</f>
        <v>DISENGAGED</v>
      </c>
      <c r="F1194" s="4" t="str">
        <f>FEATURES!P1194</f>
        <v>High_Pressure</v>
      </c>
      <c r="G1194" s="4" t="str">
        <f>FEATURES!M1194</f>
        <v>LOW</v>
      </c>
      <c r="H1194" s="4" t="str">
        <f>FEATURES!O1194</f>
        <v>MODERATE-WAIT</v>
      </c>
      <c r="I1194" s="4" t="str">
        <f t="shared" si="4"/>
        <v>LOW RISK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</row>
    <row r="1195" spans="1:27" ht="13.2" x14ac:dyDescent="0.25">
      <c r="A1195" s="4">
        <v>1675</v>
      </c>
      <c r="B1195" s="4" t="s">
        <v>45</v>
      </c>
      <c r="C1195" s="4" t="str">
        <f>FEATURES!L1195</f>
        <v>NORMAL</v>
      </c>
      <c r="D1195" s="4" t="str">
        <f>FEATURES!R1195</f>
        <v>LOW</v>
      </c>
      <c r="E1195" s="4" t="str">
        <f>FEATURES!Q1195</f>
        <v>DISENGAGED</v>
      </c>
      <c r="F1195" s="4" t="str">
        <f>FEATURES!P1195</f>
        <v>Medium_Pressure</v>
      </c>
      <c r="G1195" s="4" t="str">
        <f>FEATURES!M1195</f>
        <v>LOW</v>
      </c>
      <c r="H1195" s="4" t="str">
        <f>FEATURES!O1195</f>
        <v>MODERATE-WAIT</v>
      </c>
      <c r="I1195" s="4" t="str">
        <f t="shared" si="4"/>
        <v>LOW RISK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</row>
    <row r="1196" spans="1:27" ht="13.2" x14ac:dyDescent="0.25">
      <c r="A1196" s="4">
        <v>1676</v>
      </c>
      <c r="B1196" s="4" t="s">
        <v>37</v>
      </c>
      <c r="C1196" s="4" t="str">
        <f>FEATURES!L1196</f>
        <v>NORMAL</v>
      </c>
      <c r="D1196" s="4" t="str">
        <f>FEATURES!R1196</f>
        <v>LOW</v>
      </c>
      <c r="E1196" s="4" t="str">
        <f>FEATURES!Q1196</f>
        <v>DISENGAGED</v>
      </c>
      <c r="F1196" s="4" t="str">
        <f>FEATURES!P1196</f>
        <v>Medium_Pressure</v>
      </c>
      <c r="G1196" s="4" t="str">
        <f>FEATURES!M1196</f>
        <v>MEDIUM</v>
      </c>
      <c r="H1196" s="4" t="str">
        <f>FEATURES!O1196</f>
        <v>RECENTLY PROMOTED</v>
      </c>
      <c r="I1196" s="4" t="str">
        <f t="shared" si="4"/>
        <v>LOW RISK</v>
      </c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</row>
    <row r="1197" spans="1:27" ht="13.2" x14ac:dyDescent="0.25">
      <c r="A1197" s="4">
        <v>1677</v>
      </c>
      <c r="B1197" s="4" t="s">
        <v>45</v>
      </c>
      <c r="C1197" s="4" t="str">
        <f>FEATURES!L1197</f>
        <v>NORMAL</v>
      </c>
      <c r="D1197" s="4" t="str">
        <f>FEATURES!R1197</f>
        <v>LOW</v>
      </c>
      <c r="E1197" s="4" t="str">
        <f>FEATURES!Q1197</f>
        <v>HIGHLY_ENGAGED</v>
      </c>
      <c r="F1197" s="4" t="str">
        <f>FEATURES!P1197</f>
        <v>Medium_Pressure</v>
      </c>
      <c r="G1197" s="4" t="str">
        <f>FEATURES!M1197</f>
        <v>MEDIUM</v>
      </c>
      <c r="H1197" s="4" t="str">
        <f>FEATURES!O1197</f>
        <v>RECENTLY PROMOTED</v>
      </c>
      <c r="I1197" s="4" t="str">
        <f t="shared" si="4"/>
        <v>LOW RISK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</row>
    <row r="1198" spans="1:27" ht="13.2" x14ac:dyDescent="0.25">
      <c r="A1198" s="4">
        <v>1678</v>
      </c>
      <c r="B1198" s="4" t="s">
        <v>37</v>
      </c>
      <c r="C1198" s="4" t="str">
        <f>FEATURES!L1198</f>
        <v>NORMAL</v>
      </c>
      <c r="D1198" s="4" t="str">
        <f>FEATURES!R1198</f>
        <v>LOW</v>
      </c>
      <c r="E1198" s="4" t="str">
        <f>FEATURES!Q1198</f>
        <v>HIGHLY_ENGAGED</v>
      </c>
      <c r="F1198" s="4" t="str">
        <f>FEATURES!P1198</f>
        <v>Medium_Pressure</v>
      </c>
      <c r="G1198" s="4" t="str">
        <f>FEATURES!M1198</f>
        <v>HIGH</v>
      </c>
      <c r="H1198" s="4" t="str">
        <f>FEATURES!O1198</f>
        <v>RECENTLY PROMOTED</v>
      </c>
      <c r="I1198" s="4" t="str">
        <f t="shared" si="4"/>
        <v>LOW RISK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</row>
    <row r="1199" spans="1:27" ht="13.2" x14ac:dyDescent="0.25">
      <c r="A1199" s="4">
        <v>1680</v>
      </c>
      <c r="B1199" s="4" t="s">
        <v>37</v>
      </c>
      <c r="C1199" s="4" t="str">
        <f>FEATURES!L1199</f>
        <v>NORMAL</v>
      </c>
      <c r="D1199" s="4" t="str">
        <f>FEATURES!R1199</f>
        <v>LOW</v>
      </c>
      <c r="E1199" s="4" t="str">
        <f>FEATURES!Q1199</f>
        <v>DISENGAGED</v>
      </c>
      <c r="F1199" s="4" t="str">
        <f>FEATURES!P1199</f>
        <v>Medium_Pressure</v>
      </c>
      <c r="G1199" s="4" t="str">
        <f>FEATURES!M1199</f>
        <v>LOW</v>
      </c>
      <c r="H1199" s="4" t="str">
        <f>FEATURES!O1199</f>
        <v>RECENTLY PROMOTED</v>
      </c>
      <c r="I1199" s="4" t="str">
        <f t="shared" si="4"/>
        <v>LOW RISK</v>
      </c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</row>
    <row r="1200" spans="1:27" ht="13.2" x14ac:dyDescent="0.25">
      <c r="A1200" s="4">
        <v>1681</v>
      </c>
      <c r="B1200" s="4" t="s">
        <v>37</v>
      </c>
      <c r="C1200" s="4" t="str">
        <f>FEATURES!L1200</f>
        <v>NORMAL</v>
      </c>
      <c r="D1200" s="4" t="str">
        <f>FEATURES!R1200</f>
        <v>LOW</v>
      </c>
      <c r="E1200" s="4" t="str">
        <f>FEATURES!Q1200</f>
        <v>HIGHLY_ENGAGED</v>
      </c>
      <c r="F1200" s="4" t="str">
        <f>FEATURES!P1200</f>
        <v>Medium_Pressure</v>
      </c>
      <c r="G1200" s="4" t="str">
        <f>FEATURES!M1200</f>
        <v>HIGH</v>
      </c>
      <c r="H1200" s="4" t="str">
        <f>FEATURES!O1200</f>
        <v>RECENTLY PROMOTED</v>
      </c>
      <c r="I1200" s="4" t="str">
        <f t="shared" si="4"/>
        <v>LOW RISK</v>
      </c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</row>
    <row r="1201" spans="1:27" ht="13.2" x14ac:dyDescent="0.25">
      <c r="A1201" s="4">
        <v>1682</v>
      </c>
      <c r="B1201" s="4" t="s">
        <v>45</v>
      </c>
      <c r="C1201" s="4" t="str">
        <f>FEATURES!L1201</f>
        <v>NORMAL</v>
      </c>
      <c r="D1201" s="4" t="str">
        <f>FEATURES!R1201</f>
        <v>LOW</v>
      </c>
      <c r="E1201" s="4" t="str">
        <f>FEATURES!Q1201</f>
        <v>DISENGAGED</v>
      </c>
      <c r="F1201" s="4" t="str">
        <f>FEATURES!P1201</f>
        <v>Low_Pressure</v>
      </c>
      <c r="G1201" s="4" t="str">
        <f>FEATURES!M1201</f>
        <v>HIGH</v>
      </c>
      <c r="H1201" s="4" t="str">
        <f>FEATURES!O1201</f>
        <v>RECENTLY PROMOTED</v>
      </c>
      <c r="I1201" s="4" t="str">
        <f t="shared" si="4"/>
        <v>LOW RISK</v>
      </c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</row>
    <row r="1202" spans="1:27" ht="13.2" x14ac:dyDescent="0.25">
      <c r="A1202" s="4">
        <v>1683</v>
      </c>
      <c r="B1202" s="4" t="s">
        <v>61</v>
      </c>
      <c r="C1202" s="4" t="str">
        <f>FEATURES!L1202</f>
        <v>NORMAL</v>
      </c>
      <c r="D1202" s="4" t="str">
        <f>FEATURES!R1202</f>
        <v>LOW</v>
      </c>
      <c r="E1202" s="4" t="str">
        <f>FEATURES!Q1202</f>
        <v>HIGHLY_ENGAGED</v>
      </c>
      <c r="F1202" s="4" t="str">
        <f>FEATURES!P1202</f>
        <v>Medium_Pressure</v>
      </c>
      <c r="G1202" s="4" t="str">
        <f>FEATURES!M1202</f>
        <v>LOW</v>
      </c>
      <c r="H1202" s="4" t="str">
        <f>FEATURES!O1202</f>
        <v>MODERATE-WAIT</v>
      </c>
      <c r="I1202" s="4" t="str">
        <f t="shared" si="4"/>
        <v>LOW RISK</v>
      </c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</row>
    <row r="1203" spans="1:27" ht="13.2" x14ac:dyDescent="0.25">
      <c r="A1203" s="4">
        <v>1684</v>
      </c>
      <c r="B1203" s="4" t="s">
        <v>45</v>
      </c>
      <c r="C1203" s="4" t="str">
        <f>FEATURES!L1203</f>
        <v>NORMAL</v>
      </c>
      <c r="D1203" s="4" t="str">
        <f>FEATURES!R1203</f>
        <v>LOW</v>
      </c>
      <c r="E1203" s="4" t="str">
        <f>FEATURES!Q1203</f>
        <v>HIGHLY_ENGAGED</v>
      </c>
      <c r="F1203" s="4" t="str">
        <f>FEATURES!P1203</f>
        <v>Medium_Pressure</v>
      </c>
      <c r="G1203" s="4" t="str">
        <f>FEATURES!M1203</f>
        <v>LOW</v>
      </c>
      <c r="H1203" s="4" t="str">
        <f>FEATURES!O1203</f>
        <v>RECENTLY PROMOTED</v>
      </c>
      <c r="I1203" s="4" t="str">
        <f t="shared" si="4"/>
        <v>LOW RISK</v>
      </c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</row>
    <row r="1204" spans="1:27" ht="13.2" x14ac:dyDescent="0.25">
      <c r="A1204" s="4">
        <v>1687</v>
      </c>
      <c r="B1204" s="4" t="s">
        <v>45</v>
      </c>
      <c r="C1204" s="4" t="str">
        <f>FEATURES!L1204</f>
        <v>NORMAL</v>
      </c>
      <c r="D1204" s="4" t="str">
        <f>FEATURES!R1204</f>
        <v>LOW</v>
      </c>
      <c r="E1204" s="4" t="str">
        <f>FEATURES!Q1204</f>
        <v>DISENGAGED</v>
      </c>
      <c r="F1204" s="4" t="str">
        <f>FEATURES!P1204</f>
        <v>Low_Pressure</v>
      </c>
      <c r="G1204" s="4" t="str">
        <f>FEATURES!M1204</f>
        <v>LOW</v>
      </c>
      <c r="H1204" s="4" t="str">
        <f>FEATURES!O1204</f>
        <v>RECENTLY PROMOTED</v>
      </c>
      <c r="I1204" s="4" t="str">
        <f t="shared" si="4"/>
        <v>LOW RISK</v>
      </c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</row>
    <row r="1205" spans="1:27" ht="13.2" x14ac:dyDescent="0.25">
      <c r="A1205" s="4">
        <v>1689</v>
      </c>
      <c r="B1205" s="4" t="s">
        <v>45</v>
      </c>
      <c r="C1205" s="4" t="str">
        <f>FEATURES!L1205</f>
        <v>NORMAL</v>
      </c>
      <c r="D1205" s="4" t="str">
        <f>FEATURES!R1205</f>
        <v>LOW</v>
      </c>
      <c r="E1205" s="4" t="str">
        <f>FEATURES!Q1205</f>
        <v>HIGHLY_ENGAGED</v>
      </c>
      <c r="F1205" s="4" t="str">
        <f>FEATURES!P1205</f>
        <v>Medium_Pressure</v>
      </c>
      <c r="G1205" s="4" t="str">
        <f>FEATURES!M1205</f>
        <v>HIGH</v>
      </c>
      <c r="H1205" s="4" t="str">
        <f>FEATURES!O1205</f>
        <v>RECENTLY PROMOTED</v>
      </c>
      <c r="I1205" s="4" t="str">
        <f t="shared" si="4"/>
        <v>LOW RISK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</row>
    <row r="1206" spans="1:27" ht="13.2" x14ac:dyDescent="0.25">
      <c r="A1206" s="4">
        <v>1691</v>
      </c>
      <c r="B1206" s="4" t="s">
        <v>37</v>
      </c>
      <c r="C1206" s="4" t="str">
        <f>FEATURES!L1206</f>
        <v>NORMAL</v>
      </c>
      <c r="D1206" s="4" t="str">
        <f>FEATURES!R1206</f>
        <v>LOW</v>
      </c>
      <c r="E1206" s="4" t="str">
        <f>FEATURES!Q1206</f>
        <v>HIGHLY_ENGAGED</v>
      </c>
      <c r="F1206" s="4" t="str">
        <f>FEATURES!P1206</f>
        <v>Medium_Pressure</v>
      </c>
      <c r="G1206" s="4" t="str">
        <f>FEATURES!M1206</f>
        <v>LOW</v>
      </c>
      <c r="H1206" s="4" t="str">
        <f>FEATURES!O1206</f>
        <v>STAGNANT</v>
      </c>
      <c r="I1206" s="4" t="str">
        <f t="shared" si="4"/>
        <v>LOW RISK</v>
      </c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</row>
    <row r="1207" spans="1:27" ht="13.2" x14ac:dyDescent="0.25">
      <c r="A1207" s="4">
        <v>1692</v>
      </c>
      <c r="B1207" s="4" t="s">
        <v>45</v>
      </c>
      <c r="C1207" s="4" t="str">
        <f>FEATURES!L1207</f>
        <v>NORMAL</v>
      </c>
      <c r="D1207" s="4" t="str">
        <f>FEATURES!R1207</f>
        <v>LOW</v>
      </c>
      <c r="E1207" s="4" t="str">
        <f>FEATURES!Q1207</f>
        <v>DISENGAGED</v>
      </c>
      <c r="F1207" s="4" t="str">
        <f>FEATURES!P1207</f>
        <v>Medium_Pressure</v>
      </c>
      <c r="G1207" s="4" t="str">
        <f>FEATURES!M1207</f>
        <v>LOW</v>
      </c>
      <c r="H1207" s="4" t="str">
        <f>FEATURES!O1207</f>
        <v>RECENTLY PROMOTED</v>
      </c>
      <c r="I1207" s="4" t="str">
        <f t="shared" si="4"/>
        <v>LOW RISK</v>
      </c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</row>
    <row r="1208" spans="1:27" ht="13.2" x14ac:dyDescent="0.25">
      <c r="A1208" s="4">
        <v>1693</v>
      </c>
      <c r="B1208" s="4" t="s">
        <v>45</v>
      </c>
      <c r="C1208" s="4" t="str">
        <f>FEATURES!L1208</f>
        <v>NORMAL</v>
      </c>
      <c r="D1208" s="4" t="str">
        <f>FEATURES!R1208</f>
        <v>LOW</v>
      </c>
      <c r="E1208" s="4" t="str">
        <f>FEATURES!Q1208</f>
        <v>HIGHLY_ENGAGED</v>
      </c>
      <c r="F1208" s="4" t="str">
        <f>FEATURES!P1208</f>
        <v>Medium_Pressure</v>
      </c>
      <c r="G1208" s="4" t="str">
        <f>FEATURES!M1208</f>
        <v>LOW</v>
      </c>
      <c r="H1208" s="4" t="str">
        <f>FEATURES!O1208</f>
        <v>STAGNANT</v>
      </c>
      <c r="I1208" s="4" t="str">
        <f t="shared" si="4"/>
        <v>LOW RISK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</row>
    <row r="1209" spans="1:27" ht="13.2" x14ac:dyDescent="0.25">
      <c r="A1209" s="4">
        <v>1694</v>
      </c>
      <c r="B1209" s="4" t="s">
        <v>45</v>
      </c>
      <c r="C1209" s="4" t="str">
        <f>FEATURES!L1209</f>
        <v>NORMAL</v>
      </c>
      <c r="D1209" s="4" t="str">
        <f>FEATURES!R1209</f>
        <v>LOW</v>
      </c>
      <c r="E1209" s="4" t="str">
        <f>FEATURES!Q1209</f>
        <v>DISENGAGED</v>
      </c>
      <c r="F1209" s="4" t="str">
        <f>FEATURES!P1209</f>
        <v>Medium_Pressure</v>
      </c>
      <c r="G1209" s="4" t="str">
        <f>FEATURES!M1209</f>
        <v>LOW</v>
      </c>
      <c r="H1209" s="4" t="str">
        <f>FEATURES!O1209</f>
        <v>RECENTLY PROMOTED</v>
      </c>
      <c r="I1209" s="4" t="str">
        <f t="shared" si="4"/>
        <v>LOW RISK</v>
      </c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</row>
    <row r="1210" spans="1:27" ht="13.2" x14ac:dyDescent="0.25">
      <c r="A1210" s="4">
        <v>1696</v>
      </c>
      <c r="B1210" s="4" t="s">
        <v>45</v>
      </c>
      <c r="C1210" s="4" t="str">
        <f>FEATURES!L1210</f>
        <v>NORMAL</v>
      </c>
      <c r="D1210" s="4" t="str">
        <f>FEATURES!R1210</f>
        <v>LOW</v>
      </c>
      <c r="E1210" s="4" t="str">
        <f>FEATURES!Q1210</f>
        <v>HIGHLY_ENGAGED</v>
      </c>
      <c r="F1210" s="4" t="str">
        <f>FEATURES!P1210</f>
        <v>Low_Pressure</v>
      </c>
      <c r="G1210" s="4" t="str">
        <f>FEATURES!M1210</f>
        <v>LOW</v>
      </c>
      <c r="H1210" s="4" t="str">
        <f>FEATURES!O1210</f>
        <v>STAGNANT</v>
      </c>
      <c r="I1210" s="4" t="str">
        <f t="shared" si="4"/>
        <v>LOW RISK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</row>
    <row r="1211" spans="1:27" ht="13.2" x14ac:dyDescent="0.25">
      <c r="A1211" s="4">
        <v>1697</v>
      </c>
      <c r="B1211" s="4" t="s">
        <v>45</v>
      </c>
      <c r="C1211" s="4" t="str">
        <f>FEATURES!L1211</f>
        <v>NORMAL</v>
      </c>
      <c r="D1211" s="4" t="str">
        <f>FEATURES!R1211</f>
        <v>LOW</v>
      </c>
      <c r="E1211" s="4" t="str">
        <f>FEATURES!Q1211</f>
        <v>HIGHLY_ENGAGED</v>
      </c>
      <c r="F1211" s="4" t="str">
        <f>FEATURES!P1211</f>
        <v>Low_Pressure</v>
      </c>
      <c r="G1211" s="4" t="str">
        <f>FEATURES!M1211</f>
        <v>MEDIUM</v>
      </c>
      <c r="H1211" s="4" t="str">
        <f>FEATURES!O1211</f>
        <v>RECENTLY PROMOTED</v>
      </c>
      <c r="I1211" s="4" t="str">
        <f t="shared" si="4"/>
        <v>LOW RISK</v>
      </c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</row>
    <row r="1212" spans="1:27" ht="13.2" x14ac:dyDescent="0.25">
      <c r="A1212" s="4">
        <v>1698</v>
      </c>
      <c r="B1212" s="4" t="s">
        <v>45</v>
      </c>
      <c r="C1212" s="4" t="str">
        <f>FEATURES!L1212</f>
        <v>NORMAL</v>
      </c>
      <c r="D1212" s="4" t="str">
        <f>FEATURES!R1212</f>
        <v>LOW</v>
      </c>
      <c r="E1212" s="4" t="str">
        <f>FEATURES!Q1212</f>
        <v>DISENGAGED</v>
      </c>
      <c r="F1212" s="4" t="str">
        <f>FEATURES!P1212</f>
        <v>Medium_Pressure</v>
      </c>
      <c r="G1212" s="4" t="str">
        <f>FEATURES!M1212</f>
        <v>LOW</v>
      </c>
      <c r="H1212" s="4" t="str">
        <f>FEATURES!O1212</f>
        <v>MODERATE-WAIT</v>
      </c>
      <c r="I1212" s="4" t="str">
        <f t="shared" si="4"/>
        <v>LOW RISK</v>
      </c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</row>
    <row r="1213" spans="1:27" ht="13.2" x14ac:dyDescent="0.25">
      <c r="A1213" s="4">
        <v>1700</v>
      </c>
      <c r="B1213" s="4" t="s">
        <v>37</v>
      </c>
      <c r="C1213" s="4" t="str">
        <f>FEATURES!L1213</f>
        <v>NORMAL</v>
      </c>
      <c r="D1213" s="4" t="str">
        <f>FEATURES!R1213</f>
        <v>LOW</v>
      </c>
      <c r="E1213" s="4" t="str">
        <f>FEATURES!Q1213</f>
        <v>DISENGAGED</v>
      </c>
      <c r="F1213" s="4" t="str">
        <f>FEATURES!P1213</f>
        <v>Low_Pressure</v>
      </c>
      <c r="G1213" s="4" t="str">
        <f>FEATURES!M1213</f>
        <v>MEDIUM</v>
      </c>
      <c r="H1213" s="4" t="str">
        <f>FEATURES!O1213</f>
        <v>RECENTLY PROMOTED</v>
      </c>
      <c r="I1213" s="4" t="str">
        <f t="shared" si="4"/>
        <v>LOW RISK</v>
      </c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</row>
    <row r="1214" spans="1:27" ht="13.2" x14ac:dyDescent="0.25">
      <c r="A1214" s="4">
        <v>1701</v>
      </c>
      <c r="B1214" s="4" t="s">
        <v>45</v>
      </c>
      <c r="C1214" s="4" t="str">
        <f>FEATURES!L1214</f>
        <v>NORMAL</v>
      </c>
      <c r="D1214" s="4" t="str">
        <f>FEATURES!R1214</f>
        <v>LOW</v>
      </c>
      <c r="E1214" s="4" t="str">
        <f>FEATURES!Q1214</f>
        <v>HIGHLY_ENGAGED</v>
      </c>
      <c r="F1214" s="4" t="str">
        <f>FEATURES!P1214</f>
        <v>Medium_Pressure</v>
      </c>
      <c r="G1214" s="4" t="str">
        <f>FEATURES!M1214</f>
        <v>LOW</v>
      </c>
      <c r="H1214" s="4" t="str">
        <f>FEATURES!O1214</f>
        <v>STAGNANT</v>
      </c>
      <c r="I1214" s="4" t="str">
        <f t="shared" si="4"/>
        <v>LOW RISK</v>
      </c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</row>
    <row r="1215" spans="1:27" ht="13.2" x14ac:dyDescent="0.25">
      <c r="A1215" s="4">
        <v>1702</v>
      </c>
      <c r="B1215" s="4" t="s">
        <v>37</v>
      </c>
      <c r="C1215" s="4" t="str">
        <f>FEATURES!L1215</f>
        <v>NORMAL</v>
      </c>
      <c r="D1215" s="4" t="str">
        <f>FEATURES!R1215</f>
        <v>LOW</v>
      </c>
      <c r="E1215" s="4" t="str">
        <f>FEATURES!Q1215</f>
        <v>HIGHLY_ENGAGED</v>
      </c>
      <c r="F1215" s="4" t="str">
        <f>FEATURES!P1215</f>
        <v>Medium_Pressure</v>
      </c>
      <c r="G1215" s="4" t="str">
        <f>FEATURES!M1215</f>
        <v>LOW</v>
      </c>
      <c r="H1215" s="4" t="str">
        <f>FEATURES!O1215</f>
        <v>RECENTLY PROMOTED</v>
      </c>
      <c r="I1215" s="4" t="str">
        <f t="shared" si="4"/>
        <v>LOW RISK</v>
      </c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</row>
    <row r="1216" spans="1:27" ht="13.2" x14ac:dyDescent="0.25">
      <c r="A1216" s="4">
        <v>1703</v>
      </c>
      <c r="B1216" s="4" t="s">
        <v>45</v>
      </c>
      <c r="C1216" s="4" t="str">
        <f>FEATURES!L1216</f>
        <v>NORMAL</v>
      </c>
      <c r="D1216" s="4" t="str">
        <f>FEATURES!R1216</f>
        <v>LOW</v>
      </c>
      <c r="E1216" s="4" t="str">
        <f>FEATURES!Q1216</f>
        <v>HIGHLY_ENGAGED</v>
      </c>
      <c r="F1216" s="4" t="str">
        <f>FEATURES!P1216</f>
        <v>Medium_Pressure</v>
      </c>
      <c r="G1216" s="4" t="str">
        <f>FEATURES!M1216</f>
        <v>HIGH</v>
      </c>
      <c r="H1216" s="4" t="str">
        <f>FEATURES!O1216</f>
        <v>STAGNANT</v>
      </c>
      <c r="I1216" s="4" t="str">
        <f t="shared" si="4"/>
        <v>LOW RISK</v>
      </c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</row>
    <row r="1217" spans="1:27" ht="13.2" x14ac:dyDescent="0.25">
      <c r="A1217" s="4">
        <v>1704</v>
      </c>
      <c r="B1217" s="4" t="s">
        <v>45</v>
      </c>
      <c r="C1217" s="4" t="str">
        <f>FEATURES!L1217</f>
        <v>NORMAL</v>
      </c>
      <c r="D1217" s="4" t="str">
        <f>FEATURES!R1217</f>
        <v>LOW</v>
      </c>
      <c r="E1217" s="4" t="str">
        <f>FEATURES!Q1217</f>
        <v>HIGHLY_ENGAGED</v>
      </c>
      <c r="F1217" s="4" t="str">
        <f>FEATURES!P1217</f>
        <v>Medium_Pressure</v>
      </c>
      <c r="G1217" s="4" t="str">
        <f>FEATURES!M1217</f>
        <v>HIGH</v>
      </c>
      <c r="H1217" s="4" t="str">
        <f>FEATURES!O1217</f>
        <v>RECENTLY PROMOTED</v>
      </c>
      <c r="I1217" s="4" t="str">
        <f t="shared" si="4"/>
        <v>LOW RISK</v>
      </c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</row>
    <row r="1218" spans="1:27" ht="13.2" x14ac:dyDescent="0.25">
      <c r="A1218" s="4">
        <v>1706</v>
      </c>
      <c r="B1218" s="4" t="s">
        <v>37</v>
      </c>
      <c r="C1218" s="4" t="str">
        <f>FEATURES!L1218</f>
        <v>NORMAL</v>
      </c>
      <c r="D1218" s="4" t="str">
        <f>FEATURES!R1218</f>
        <v>LOW</v>
      </c>
      <c r="E1218" s="4" t="str">
        <f>FEATURES!Q1218</f>
        <v>HIGHLY_ENGAGED</v>
      </c>
      <c r="F1218" s="4" t="str">
        <f>FEATURES!P1218</f>
        <v>Medium_Pressure</v>
      </c>
      <c r="G1218" s="4" t="str">
        <f>FEATURES!M1218</f>
        <v>HIGH</v>
      </c>
      <c r="H1218" s="4" t="str">
        <f>FEATURES!O1218</f>
        <v>STAGNANT</v>
      </c>
      <c r="I1218" s="4" t="str">
        <f t="shared" si="4"/>
        <v>LOW RISK</v>
      </c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</row>
    <row r="1219" spans="1:27" ht="13.2" x14ac:dyDescent="0.25">
      <c r="A1219" s="4">
        <v>1707</v>
      </c>
      <c r="B1219" s="4" t="s">
        <v>45</v>
      </c>
      <c r="C1219" s="4" t="str">
        <f>FEATURES!L1219</f>
        <v>NORMAL</v>
      </c>
      <c r="D1219" s="4" t="str">
        <f>FEATURES!R1219</f>
        <v>LOW</v>
      </c>
      <c r="E1219" s="4" t="str">
        <f>FEATURES!Q1219</f>
        <v>HIGHLY_ENGAGED</v>
      </c>
      <c r="F1219" s="4" t="str">
        <f>FEATURES!P1219</f>
        <v>Medium_Pressure</v>
      </c>
      <c r="G1219" s="4" t="str">
        <f>FEATURES!M1219</f>
        <v>HIGH</v>
      </c>
      <c r="H1219" s="4" t="str">
        <f>FEATURES!O1219</f>
        <v>RECENTLY PROMOTED</v>
      </c>
      <c r="I1219" s="4" t="str">
        <f t="shared" si="4"/>
        <v>LOW RISK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</row>
    <row r="1220" spans="1:27" ht="13.2" x14ac:dyDescent="0.25">
      <c r="A1220" s="4">
        <v>1708</v>
      </c>
      <c r="B1220" s="4" t="s">
        <v>37</v>
      </c>
      <c r="C1220" s="4" t="str">
        <f>FEATURES!L1220</f>
        <v>NORMAL</v>
      </c>
      <c r="D1220" s="4" t="str">
        <f>FEATURES!R1220</f>
        <v>LOW</v>
      </c>
      <c r="E1220" s="4" t="str">
        <f>FEATURES!Q1220</f>
        <v>HIGHLY_ENGAGED</v>
      </c>
      <c r="F1220" s="4" t="str">
        <f>FEATURES!P1220</f>
        <v>Medium_Pressure</v>
      </c>
      <c r="G1220" s="4" t="str">
        <f>FEATURES!M1220</f>
        <v>MEDIUM</v>
      </c>
      <c r="H1220" s="4" t="str">
        <f>FEATURES!O1220</f>
        <v>STAGNANT</v>
      </c>
      <c r="I1220" s="4" t="str">
        <f t="shared" si="4"/>
        <v>LOW RISK</v>
      </c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</row>
    <row r="1221" spans="1:27" ht="13.2" x14ac:dyDescent="0.25">
      <c r="A1221" s="4">
        <v>1709</v>
      </c>
      <c r="B1221" s="4" t="s">
        <v>45</v>
      </c>
      <c r="C1221" s="4" t="str">
        <f>FEATURES!L1221</f>
        <v>NORMAL</v>
      </c>
      <c r="D1221" s="4" t="str">
        <f>FEATURES!R1221</f>
        <v>LOW</v>
      </c>
      <c r="E1221" s="4" t="str">
        <f>FEATURES!Q1221</f>
        <v>HIGHLY_ENGAGED</v>
      </c>
      <c r="F1221" s="4" t="str">
        <f>FEATURES!P1221</f>
        <v>Medium_Pressure</v>
      </c>
      <c r="G1221" s="4" t="str">
        <f>FEATURES!M1221</f>
        <v>LOW</v>
      </c>
      <c r="H1221" s="4" t="str">
        <f>FEATURES!O1221</f>
        <v>RECENTLY PROMOTED</v>
      </c>
      <c r="I1221" s="4" t="str">
        <f t="shared" si="4"/>
        <v>LOW RISK</v>
      </c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</row>
    <row r="1222" spans="1:27" ht="13.2" x14ac:dyDescent="0.25">
      <c r="A1222" s="4">
        <v>1710</v>
      </c>
      <c r="B1222" s="4" t="s">
        <v>37</v>
      </c>
      <c r="C1222" s="4" t="str">
        <f>FEATURES!L1222</f>
        <v>NORMAL</v>
      </c>
      <c r="D1222" s="4" t="str">
        <f>FEATURES!R1222</f>
        <v>LOW</v>
      </c>
      <c r="E1222" s="4" t="str">
        <f>FEATURES!Q1222</f>
        <v>DISENGAGED</v>
      </c>
      <c r="F1222" s="4" t="str">
        <f>FEATURES!P1222</f>
        <v>Low_Pressure</v>
      </c>
      <c r="G1222" s="4" t="str">
        <f>FEATURES!M1222</f>
        <v>HIGH</v>
      </c>
      <c r="H1222" s="4" t="str">
        <f>FEATURES!O1222</f>
        <v>STAGNANT</v>
      </c>
      <c r="I1222" s="4" t="str">
        <f t="shared" si="4"/>
        <v>LOW RISK</v>
      </c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</row>
    <row r="1223" spans="1:27" ht="13.2" x14ac:dyDescent="0.25">
      <c r="A1223" s="4">
        <v>1712</v>
      </c>
      <c r="B1223" s="4" t="s">
        <v>45</v>
      </c>
      <c r="C1223" s="4" t="str">
        <f>FEATURES!L1223</f>
        <v>NORMAL</v>
      </c>
      <c r="D1223" s="4" t="str">
        <f>FEATURES!R1223</f>
        <v>LOW</v>
      </c>
      <c r="E1223" s="4" t="str">
        <f>FEATURES!Q1223</f>
        <v>DISENGAGED</v>
      </c>
      <c r="F1223" s="4" t="str">
        <f>FEATURES!P1223</f>
        <v>Low_Pressure</v>
      </c>
      <c r="G1223" s="4" t="str">
        <f>FEATURES!M1223</f>
        <v>MEDIUM</v>
      </c>
      <c r="H1223" s="4" t="str">
        <f>FEATURES!O1223</f>
        <v>STAGNANT</v>
      </c>
      <c r="I1223" s="4" t="str">
        <f t="shared" si="4"/>
        <v>LOW RISK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</row>
    <row r="1224" spans="1:27" ht="13.2" x14ac:dyDescent="0.25">
      <c r="A1224" s="4">
        <v>1714</v>
      </c>
      <c r="B1224" s="4" t="s">
        <v>61</v>
      </c>
      <c r="C1224" s="4" t="str">
        <f>FEATURES!L1224</f>
        <v>NORMAL</v>
      </c>
      <c r="D1224" s="4" t="str">
        <f>FEATURES!R1224</f>
        <v>LOW</v>
      </c>
      <c r="E1224" s="4" t="str">
        <f>FEATURES!Q1224</f>
        <v>HIGHLY_ENGAGED</v>
      </c>
      <c r="F1224" s="4" t="str">
        <f>FEATURES!P1224</f>
        <v>Medium_Pressure</v>
      </c>
      <c r="G1224" s="4" t="str">
        <f>FEATURES!M1224</f>
        <v>LOW</v>
      </c>
      <c r="H1224" s="4" t="str">
        <f>FEATURES!O1224</f>
        <v>RECENTLY PROMOTED</v>
      </c>
      <c r="I1224" s="4" t="str">
        <f t="shared" si="4"/>
        <v>LOW RISK</v>
      </c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</row>
    <row r="1225" spans="1:27" ht="13.2" x14ac:dyDescent="0.25">
      <c r="A1225" s="4">
        <v>1716</v>
      </c>
      <c r="B1225" s="4" t="s">
        <v>37</v>
      </c>
      <c r="C1225" s="4" t="str">
        <f>FEATURES!L1225</f>
        <v>NORMAL</v>
      </c>
      <c r="D1225" s="4" t="str">
        <f>FEATURES!R1225</f>
        <v>LOW</v>
      </c>
      <c r="E1225" s="4" t="str">
        <f>FEATURES!Q1225</f>
        <v>DISENGAGED</v>
      </c>
      <c r="F1225" s="4" t="str">
        <f>FEATURES!P1225</f>
        <v>Low_Pressure</v>
      </c>
      <c r="G1225" s="4" t="str">
        <f>FEATURES!M1225</f>
        <v>MEDIUM</v>
      </c>
      <c r="H1225" s="4" t="str">
        <f>FEATURES!O1225</f>
        <v>STAGNANT</v>
      </c>
      <c r="I1225" s="4" t="str">
        <f t="shared" si="4"/>
        <v>LOW RISK</v>
      </c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</row>
    <row r="1226" spans="1:27" ht="13.2" x14ac:dyDescent="0.25">
      <c r="A1226" s="4">
        <v>1718</v>
      </c>
      <c r="B1226" s="4" t="s">
        <v>45</v>
      </c>
      <c r="C1226" s="4" t="str">
        <f>FEATURES!L1226</f>
        <v>NORMAL</v>
      </c>
      <c r="D1226" s="4" t="str">
        <f>FEATURES!R1226</f>
        <v>LOW</v>
      </c>
      <c r="E1226" s="4" t="str">
        <f>FEATURES!Q1226</f>
        <v>HIGHLY_ENGAGED</v>
      </c>
      <c r="F1226" s="4" t="str">
        <f>FEATURES!P1226</f>
        <v>Low_Pressure</v>
      </c>
      <c r="G1226" s="4" t="str">
        <f>FEATURES!M1226</f>
        <v>LOW</v>
      </c>
      <c r="H1226" s="4" t="str">
        <f>FEATURES!O1226</f>
        <v>RECENTLY PROMOTED</v>
      </c>
      <c r="I1226" s="4" t="str">
        <f t="shared" si="4"/>
        <v>LOW RISK</v>
      </c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</row>
    <row r="1227" spans="1:27" ht="13.2" x14ac:dyDescent="0.25">
      <c r="A1227" s="4">
        <v>1719</v>
      </c>
      <c r="B1227" s="4" t="s">
        <v>45</v>
      </c>
      <c r="C1227" s="4" t="str">
        <f>FEATURES!L1227</f>
        <v>NORMAL</v>
      </c>
      <c r="D1227" s="4" t="str">
        <f>FEATURES!R1227</f>
        <v>LOW</v>
      </c>
      <c r="E1227" s="4" t="str">
        <f>FEATURES!Q1227</f>
        <v>DISENGAGED</v>
      </c>
      <c r="F1227" s="4" t="str">
        <f>FEATURES!P1227</f>
        <v>Medium_Pressure</v>
      </c>
      <c r="G1227" s="4" t="str">
        <f>FEATURES!M1227</f>
        <v>MEDIUM</v>
      </c>
      <c r="H1227" s="4" t="str">
        <f>FEATURES!O1227</f>
        <v>STAGNANT</v>
      </c>
      <c r="I1227" s="4" t="str">
        <f t="shared" si="4"/>
        <v>LOW RISK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</row>
    <row r="1228" spans="1:27" ht="13.2" x14ac:dyDescent="0.25">
      <c r="A1228" s="4">
        <v>1720</v>
      </c>
      <c r="B1228" s="4" t="s">
        <v>45</v>
      </c>
      <c r="C1228" s="4" t="str">
        <f>FEATURES!L1228</f>
        <v>NORMAL</v>
      </c>
      <c r="D1228" s="4" t="str">
        <f>FEATURES!R1228</f>
        <v>LOW</v>
      </c>
      <c r="E1228" s="4" t="str">
        <f>FEATURES!Q1228</f>
        <v>DISENGAGED</v>
      </c>
      <c r="F1228" s="4" t="str">
        <f>FEATURES!P1228</f>
        <v>Low_Pressure</v>
      </c>
      <c r="G1228" s="4" t="str">
        <f>FEATURES!M1228</f>
        <v>LOW</v>
      </c>
      <c r="H1228" s="4" t="str">
        <f>FEATURES!O1228</f>
        <v>RECENTLY PROMOTED</v>
      </c>
      <c r="I1228" s="4" t="str">
        <f t="shared" si="4"/>
        <v>LOW RISK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</row>
    <row r="1229" spans="1:27" ht="13.2" x14ac:dyDescent="0.25">
      <c r="A1229" s="4">
        <v>1721</v>
      </c>
      <c r="B1229" s="4" t="s">
        <v>45</v>
      </c>
      <c r="C1229" s="4" t="str">
        <f>FEATURES!L1229</f>
        <v>NORMAL</v>
      </c>
      <c r="D1229" s="4" t="str">
        <f>FEATURES!R1229</f>
        <v>LOW</v>
      </c>
      <c r="E1229" s="4" t="str">
        <f>FEATURES!Q1229</f>
        <v>HIGHLY_ENGAGED</v>
      </c>
      <c r="F1229" s="4" t="str">
        <f>FEATURES!P1229</f>
        <v>Low_Pressure</v>
      </c>
      <c r="G1229" s="4" t="str">
        <f>FEATURES!M1229</f>
        <v>LOW</v>
      </c>
      <c r="H1229" s="4" t="str">
        <f>FEATURES!O1229</f>
        <v>RECENTLY PROMOTED</v>
      </c>
      <c r="I1229" s="4" t="str">
        <f t="shared" si="4"/>
        <v>LOW RISK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</row>
    <row r="1230" spans="1:27" ht="13.2" x14ac:dyDescent="0.25">
      <c r="A1230" s="4">
        <v>1722</v>
      </c>
      <c r="B1230" s="4" t="s">
        <v>61</v>
      </c>
      <c r="C1230" s="4" t="str">
        <f>FEATURES!L1230</f>
        <v>NORMAL</v>
      </c>
      <c r="D1230" s="4" t="str">
        <f>FEATURES!R1230</f>
        <v>LOW</v>
      </c>
      <c r="E1230" s="4" t="str">
        <f>FEATURES!Q1230</f>
        <v>DISENGAGED</v>
      </c>
      <c r="F1230" s="4" t="str">
        <f>FEATURES!P1230</f>
        <v>Medium_Pressure</v>
      </c>
      <c r="G1230" s="4" t="str">
        <f>FEATURES!M1230</f>
        <v>HIGH</v>
      </c>
      <c r="H1230" s="4" t="str">
        <f>FEATURES!O1230</f>
        <v>RECENTLY PROMOTED</v>
      </c>
      <c r="I1230" s="4" t="str">
        <f t="shared" si="4"/>
        <v>LOW RISK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</row>
    <row r="1231" spans="1:27" ht="13.2" x14ac:dyDescent="0.25">
      <c r="A1231" s="4">
        <v>1724</v>
      </c>
      <c r="B1231" s="4" t="s">
        <v>45</v>
      </c>
      <c r="C1231" s="4" t="str">
        <f>FEATURES!L1231</f>
        <v>NORMAL</v>
      </c>
      <c r="D1231" s="4" t="str">
        <f>FEATURES!R1231</f>
        <v>LOW</v>
      </c>
      <c r="E1231" s="4" t="str">
        <f>FEATURES!Q1231</f>
        <v>DISENGAGED</v>
      </c>
      <c r="F1231" s="4" t="str">
        <f>FEATURES!P1231</f>
        <v>Medium_Pressure</v>
      </c>
      <c r="G1231" s="4" t="str">
        <f>FEATURES!M1231</f>
        <v>HIGH</v>
      </c>
      <c r="H1231" s="4" t="str">
        <f>FEATURES!O1231</f>
        <v>RECENTLY PROMOTED</v>
      </c>
      <c r="I1231" s="4" t="str">
        <f t="shared" si="4"/>
        <v>LOW RISK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</row>
    <row r="1232" spans="1:27" ht="13.2" x14ac:dyDescent="0.25">
      <c r="A1232" s="4">
        <v>1725</v>
      </c>
      <c r="B1232" s="4" t="s">
        <v>45</v>
      </c>
      <c r="C1232" s="4" t="str">
        <f>FEATURES!L1232</f>
        <v>NORMAL</v>
      </c>
      <c r="D1232" s="4" t="str">
        <f>FEATURES!R1232</f>
        <v>LOW</v>
      </c>
      <c r="E1232" s="4" t="str">
        <f>FEATURES!Q1232</f>
        <v>DISENGAGED</v>
      </c>
      <c r="F1232" s="4" t="str">
        <f>FEATURES!P1232</f>
        <v>Low_Pressure</v>
      </c>
      <c r="G1232" s="4" t="str">
        <f>FEATURES!M1232</f>
        <v>LOW</v>
      </c>
      <c r="H1232" s="4" t="str">
        <f>FEATURES!O1232</f>
        <v>RECENTLY PROMOTED</v>
      </c>
      <c r="I1232" s="4" t="str">
        <f t="shared" si="4"/>
        <v>LOW RISK</v>
      </c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</row>
    <row r="1233" spans="1:27" ht="13.2" x14ac:dyDescent="0.25">
      <c r="A1233" s="4">
        <v>1727</v>
      </c>
      <c r="B1233" s="4" t="s">
        <v>45</v>
      </c>
      <c r="C1233" s="4" t="str">
        <f>FEATURES!L1233</f>
        <v>NORMAL</v>
      </c>
      <c r="D1233" s="4" t="str">
        <f>FEATURES!R1233</f>
        <v>LOW</v>
      </c>
      <c r="E1233" s="4" t="str">
        <f>FEATURES!Q1233</f>
        <v>DISENGAGED</v>
      </c>
      <c r="F1233" s="4" t="str">
        <f>FEATURES!P1233</f>
        <v>Medium_Pressure</v>
      </c>
      <c r="G1233" s="4" t="str">
        <f>FEATURES!M1233</f>
        <v>HIGH</v>
      </c>
      <c r="H1233" s="4" t="str">
        <f>FEATURES!O1233</f>
        <v>RECENTLY PROMOTED</v>
      </c>
      <c r="I1233" s="4" t="str">
        <f t="shared" si="4"/>
        <v>LOW RISK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</row>
    <row r="1234" spans="1:27" ht="13.2" x14ac:dyDescent="0.25">
      <c r="A1234" s="4">
        <v>1728</v>
      </c>
      <c r="B1234" s="4" t="s">
        <v>45</v>
      </c>
      <c r="C1234" s="4" t="str">
        <f>FEATURES!L1234</f>
        <v>NORMAL</v>
      </c>
      <c r="D1234" s="4" t="str">
        <f>FEATURES!R1234</f>
        <v>LOW</v>
      </c>
      <c r="E1234" s="4" t="str">
        <f>FEATURES!Q1234</f>
        <v>HIGHLY_ENGAGED</v>
      </c>
      <c r="F1234" s="4" t="str">
        <f>FEATURES!P1234</f>
        <v>Medium_Pressure</v>
      </c>
      <c r="G1234" s="4" t="str">
        <f>FEATURES!M1234</f>
        <v>HIGH</v>
      </c>
      <c r="H1234" s="4" t="str">
        <f>FEATURES!O1234</f>
        <v>RECENTLY PROMOTED</v>
      </c>
      <c r="I1234" s="4" t="str">
        <f t="shared" si="4"/>
        <v>LOW RISK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</row>
    <row r="1235" spans="1:27" ht="13.2" x14ac:dyDescent="0.25">
      <c r="A1235" s="4">
        <v>1729</v>
      </c>
      <c r="B1235" s="4" t="s">
        <v>45</v>
      </c>
      <c r="C1235" s="4" t="str">
        <f>FEATURES!L1235</f>
        <v>NORMAL</v>
      </c>
      <c r="D1235" s="4" t="str">
        <f>FEATURES!R1235</f>
        <v>LOW</v>
      </c>
      <c r="E1235" s="4" t="str">
        <f>FEATURES!Q1235</f>
        <v>DISENGAGED</v>
      </c>
      <c r="F1235" s="4" t="str">
        <f>FEATURES!P1235</f>
        <v>Low_Pressure</v>
      </c>
      <c r="G1235" s="4" t="str">
        <f>FEATURES!M1235</f>
        <v>LOW</v>
      </c>
      <c r="H1235" s="4" t="str">
        <f>FEATURES!O1235</f>
        <v>RECENTLY PROMOTED</v>
      </c>
      <c r="I1235" s="4" t="str">
        <f t="shared" si="4"/>
        <v>LOW RISK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</row>
    <row r="1236" spans="1:27" ht="13.2" x14ac:dyDescent="0.25">
      <c r="A1236" s="4">
        <v>1731</v>
      </c>
      <c r="B1236" s="4" t="s">
        <v>37</v>
      </c>
      <c r="C1236" s="4" t="str">
        <f>FEATURES!L1236</f>
        <v>NORMAL</v>
      </c>
      <c r="D1236" s="4" t="str">
        <f>FEATURES!R1236</f>
        <v>LOW</v>
      </c>
      <c r="E1236" s="4" t="str">
        <f>FEATURES!Q1236</f>
        <v>DISENGAGED</v>
      </c>
      <c r="F1236" s="4" t="str">
        <f>FEATURES!P1236</f>
        <v>Low_Pressure</v>
      </c>
      <c r="G1236" s="4" t="str">
        <f>FEATURES!M1236</f>
        <v>HIGH</v>
      </c>
      <c r="H1236" s="4" t="str">
        <f>FEATURES!O1236</f>
        <v>RECENTLY PROMOTED</v>
      </c>
      <c r="I1236" s="4" t="str">
        <f t="shared" si="4"/>
        <v>LOW RISK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</row>
    <row r="1237" spans="1:27" ht="13.2" x14ac:dyDescent="0.25">
      <c r="A1237" s="4">
        <v>1732</v>
      </c>
      <c r="B1237" s="4" t="s">
        <v>37</v>
      </c>
      <c r="C1237" s="4" t="str">
        <f>FEATURES!L1237</f>
        <v>NORMAL</v>
      </c>
      <c r="D1237" s="4" t="str">
        <f>FEATURES!R1237</f>
        <v>LOW</v>
      </c>
      <c r="E1237" s="4" t="str">
        <f>FEATURES!Q1237</f>
        <v>DISENGAGED</v>
      </c>
      <c r="F1237" s="4" t="str">
        <f>FEATURES!P1237</f>
        <v>High_Pressure</v>
      </c>
      <c r="G1237" s="4" t="str">
        <f>FEATURES!M1237</f>
        <v>MEDIUM</v>
      </c>
      <c r="H1237" s="4" t="str">
        <f>FEATURES!O1237</f>
        <v>RECENTLY PROMOTED</v>
      </c>
      <c r="I1237" s="4" t="str">
        <f t="shared" si="4"/>
        <v>LOW RISK</v>
      </c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</row>
    <row r="1238" spans="1:27" ht="13.2" x14ac:dyDescent="0.25">
      <c r="A1238" s="4">
        <v>1733</v>
      </c>
      <c r="B1238" s="4" t="s">
        <v>37</v>
      </c>
      <c r="C1238" s="4" t="str">
        <f>FEATURES!L1238</f>
        <v>NORMAL</v>
      </c>
      <c r="D1238" s="4" t="str">
        <f>FEATURES!R1238</f>
        <v>LOW</v>
      </c>
      <c r="E1238" s="4" t="str">
        <f>FEATURES!Q1238</f>
        <v>DISENGAGED</v>
      </c>
      <c r="F1238" s="4" t="str">
        <f>FEATURES!P1238</f>
        <v>Medium_Pressure</v>
      </c>
      <c r="G1238" s="4" t="str">
        <f>FEATURES!M1238</f>
        <v>HIGH</v>
      </c>
      <c r="H1238" s="4" t="str">
        <f>FEATURES!O1238</f>
        <v>MODERATE-WAIT</v>
      </c>
      <c r="I1238" s="4" t="str">
        <f t="shared" si="4"/>
        <v>LOW RISK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</row>
    <row r="1239" spans="1:27" ht="13.2" x14ac:dyDescent="0.25">
      <c r="A1239" s="4">
        <v>1734</v>
      </c>
      <c r="B1239" s="4" t="s">
        <v>37</v>
      </c>
      <c r="C1239" s="4" t="str">
        <f>FEATURES!L1239</f>
        <v>NORMAL</v>
      </c>
      <c r="D1239" s="4" t="str">
        <f>FEATURES!R1239</f>
        <v>LOW</v>
      </c>
      <c r="E1239" s="4" t="str">
        <f>FEATURES!Q1239</f>
        <v>DISENGAGED</v>
      </c>
      <c r="F1239" s="4" t="str">
        <f>FEATURES!P1239</f>
        <v>Medium_Pressure</v>
      </c>
      <c r="G1239" s="4" t="str">
        <f>FEATURES!M1239</f>
        <v>HIGH</v>
      </c>
      <c r="H1239" s="4" t="str">
        <f>FEATURES!O1239</f>
        <v>RECENTLY PROMOTED</v>
      </c>
      <c r="I1239" s="4" t="str">
        <f t="shared" si="4"/>
        <v>LOW RISK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</row>
    <row r="1240" spans="1:27" ht="13.2" x14ac:dyDescent="0.25">
      <c r="A1240" s="4">
        <v>1735</v>
      </c>
      <c r="B1240" s="4" t="s">
        <v>45</v>
      </c>
      <c r="C1240" s="4" t="str">
        <f>FEATURES!L1240</f>
        <v>NORMAL</v>
      </c>
      <c r="D1240" s="4" t="str">
        <f>FEATURES!R1240</f>
        <v>LOW</v>
      </c>
      <c r="E1240" s="4" t="str">
        <f>FEATURES!Q1240</f>
        <v>DISENGAGED</v>
      </c>
      <c r="F1240" s="4" t="str">
        <f>FEATURES!P1240</f>
        <v>Low_Pressure</v>
      </c>
      <c r="G1240" s="4" t="str">
        <f>FEATURES!M1240</f>
        <v>LOW</v>
      </c>
      <c r="H1240" s="4" t="str">
        <f>FEATURES!O1240</f>
        <v>RECENTLY PROMOTED</v>
      </c>
      <c r="I1240" s="4" t="str">
        <f t="shared" si="4"/>
        <v>LOW RISK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</row>
    <row r="1241" spans="1:27" ht="13.2" x14ac:dyDescent="0.25">
      <c r="A1241" s="4">
        <v>1736</v>
      </c>
      <c r="B1241" s="4" t="s">
        <v>45</v>
      </c>
      <c r="C1241" s="4" t="str">
        <f>FEATURES!L1241</f>
        <v>NORMAL</v>
      </c>
      <c r="D1241" s="4" t="str">
        <f>FEATURES!R1241</f>
        <v>LOW</v>
      </c>
      <c r="E1241" s="4" t="str">
        <f>FEATURES!Q1241</f>
        <v>DISENGAGED</v>
      </c>
      <c r="F1241" s="4" t="str">
        <f>FEATURES!P1241</f>
        <v>Low_Pressure</v>
      </c>
      <c r="G1241" s="4" t="str">
        <f>FEATURES!M1241</f>
        <v>HIGH</v>
      </c>
      <c r="H1241" s="4" t="str">
        <f>FEATURES!O1241</f>
        <v>RECENTLY PROMOTED</v>
      </c>
      <c r="I1241" s="4" t="str">
        <f t="shared" si="4"/>
        <v>LOW RISK</v>
      </c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</row>
    <row r="1242" spans="1:27" ht="13.2" x14ac:dyDescent="0.25">
      <c r="A1242" s="4">
        <v>1737</v>
      </c>
      <c r="B1242" s="4" t="s">
        <v>45</v>
      </c>
      <c r="C1242" s="4" t="str">
        <f>FEATURES!L1242</f>
        <v>NORMAL</v>
      </c>
      <c r="D1242" s="4" t="str">
        <f>FEATURES!R1242</f>
        <v>LOW</v>
      </c>
      <c r="E1242" s="4" t="str">
        <f>FEATURES!Q1242</f>
        <v>HIGHLY_ENGAGED</v>
      </c>
      <c r="F1242" s="4" t="str">
        <f>FEATURES!P1242</f>
        <v>Medium_Pressure</v>
      </c>
      <c r="G1242" s="4" t="str">
        <f>FEATURES!M1242</f>
        <v>HIGH</v>
      </c>
      <c r="H1242" s="4" t="str">
        <f>FEATURES!O1242</f>
        <v>STAGNANT</v>
      </c>
      <c r="I1242" s="4" t="str">
        <f t="shared" si="4"/>
        <v>LOW RISK</v>
      </c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</row>
    <row r="1243" spans="1:27" ht="13.2" x14ac:dyDescent="0.25">
      <c r="A1243" s="4">
        <v>1739</v>
      </c>
      <c r="B1243" s="4" t="s">
        <v>37</v>
      </c>
      <c r="C1243" s="4" t="str">
        <f>FEATURES!L1243</f>
        <v>NORMAL</v>
      </c>
      <c r="D1243" s="4" t="str">
        <f>FEATURES!R1243</f>
        <v>LOW</v>
      </c>
      <c r="E1243" s="4" t="str">
        <f>FEATURES!Q1243</f>
        <v>DISENGAGED</v>
      </c>
      <c r="F1243" s="4" t="str">
        <f>FEATURES!P1243</f>
        <v>Low_Pressure</v>
      </c>
      <c r="G1243" s="4" t="str">
        <f>FEATURES!M1243</f>
        <v>MEDIUM</v>
      </c>
      <c r="H1243" s="4" t="str">
        <f>FEATURES!O1243</f>
        <v>RECENTLY PROMOTED</v>
      </c>
      <c r="I1243" s="4" t="str">
        <f t="shared" si="4"/>
        <v>LOW RISK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</row>
    <row r="1244" spans="1:27" ht="13.2" x14ac:dyDescent="0.25">
      <c r="A1244" s="4">
        <v>1740</v>
      </c>
      <c r="B1244" s="4" t="s">
        <v>37</v>
      </c>
      <c r="C1244" s="4" t="str">
        <f>FEATURES!L1244</f>
        <v>NORMAL</v>
      </c>
      <c r="D1244" s="4" t="str">
        <f>FEATURES!R1244</f>
        <v>LOW</v>
      </c>
      <c r="E1244" s="4" t="str">
        <f>FEATURES!Q1244</f>
        <v>DISENGAGED</v>
      </c>
      <c r="F1244" s="4" t="str">
        <f>FEATURES!P1244</f>
        <v>Low_Pressure</v>
      </c>
      <c r="G1244" s="4" t="str">
        <f>FEATURES!M1244</f>
        <v>MEDIUM</v>
      </c>
      <c r="H1244" s="4" t="str">
        <f>FEATURES!O1244</f>
        <v>STAGNANT</v>
      </c>
      <c r="I1244" s="4" t="str">
        <f t="shared" si="4"/>
        <v>LOW RISK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</row>
    <row r="1245" spans="1:27" ht="13.2" x14ac:dyDescent="0.25">
      <c r="A1245" s="4">
        <v>1744</v>
      </c>
      <c r="B1245" s="4" t="s">
        <v>61</v>
      </c>
      <c r="C1245" s="4" t="str">
        <f>FEATURES!L1245</f>
        <v>NORMAL</v>
      </c>
      <c r="D1245" s="4" t="str">
        <f>FEATURES!R1245</f>
        <v>LOW</v>
      </c>
      <c r="E1245" s="4" t="str">
        <f>FEATURES!Q1245</f>
        <v>HIGHLY_ENGAGED</v>
      </c>
      <c r="F1245" s="4" t="str">
        <f>FEATURES!P1245</f>
        <v>Low_Pressure</v>
      </c>
      <c r="G1245" s="4" t="str">
        <f>FEATURES!M1245</f>
        <v>MEDIUM</v>
      </c>
      <c r="H1245" s="4" t="str">
        <f>FEATURES!O1245</f>
        <v>RECENTLY PROMOTED</v>
      </c>
      <c r="I1245" s="4" t="str">
        <f t="shared" si="4"/>
        <v>LOW RISK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</row>
    <row r="1246" spans="1:27" ht="13.2" x14ac:dyDescent="0.25">
      <c r="A1246" s="4">
        <v>1745</v>
      </c>
      <c r="B1246" s="4" t="s">
        <v>45</v>
      </c>
      <c r="C1246" s="4" t="str">
        <f>FEATURES!L1246</f>
        <v>NORMAL</v>
      </c>
      <c r="D1246" s="4" t="str">
        <f>FEATURES!R1246</f>
        <v>LOW</v>
      </c>
      <c r="E1246" s="4" t="str">
        <f>FEATURES!Q1246</f>
        <v>DISENGAGED</v>
      </c>
      <c r="F1246" s="4" t="str">
        <f>FEATURES!P1246</f>
        <v>Medium_Pressure</v>
      </c>
      <c r="G1246" s="4" t="str">
        <f>FEATURES!M1246</f>
        <v>HIGH</v>
      </c>
      <c r="H1246" s="4" t="str">
        <f>FEATURES!O1246</f>
        <v>RECENTLY PROMOTED</v>
      </c>
      <c r="I1246" s="4" t="str">
        <f t="shared" si="4"/>
        <v>LOW RISK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</row>
    <row r="1247" spans="1:27" ht="13.2" x14ac:dyDescent="0.25">
      <c r="A1247" s="4">
        <v>1746</v>
      </c>
      <c r="B1247" s="4" t="s">
        <v>61</v>
      </c>
      <c r="C1247" s="4" t="str">
        <f>FEATURES!L1247</f>
        <v>NORMAL</v>
      </c>
      <c r="D1247" s="4" t="str">
        <f>FEATURES!R1247</f>
        <v>LOW</v>
      </c>
      <c r="E1247" s="4" t="str">
        <f>FEATURES!Q1247</f>
        <v>HIGHLY_ENGAGED</v>
      </c>
      <c r="F1247" s="4" t="str">
        <f>FEATURES!P1247</f>
        <v>Medium_Pressure</v>
      </c>
      <c r="G1247" s="4" t="str">
        <f>FEATURES!M1247</f>
        <v>LOW</v>
      </c>
      <c r="H1247" s="4" t="str">
        <f>FEATURES!O1247</f>
        <v>MODERATE-WAIT</v>
      </c>
      <c r="I1247" s="4" t="str">
        <f t="shared" si="4"/>
        <v>LOW RISK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</row>
    <row r="1248" spans="1:27" ht="13.2" x14ac:dyDescent="0.25">
      <c r="A1248" s="4">
        <v>1747</v>
      </c>
      <c r="B1248" s="4" t="s">
        <v>61</v>
      </c>
      <c r="C1248" s="4" t="str">
        <f>FEATURES!L1248</f>
        <v>NORMAL</v>
      </c>
      <c r="D1248" s="4" t="str">
        <f>FEATURES!R1248</f>
        <v>LOW</v>
      </c>
      <c r="E1248" s="4" t="str">
        <f>FEATURES!Q1248</f>
        <v>DISENGAGED</v>
      </c>
      <c r="F1248" s="4" t="str">
        <f>FEATURES!P1248</f>
        <v>Low_Pressure</v>
      </c>
      <c r="G1248" s="4" t="str">
        <f>FEATURES!M1248</f>
        <v>LOW</v>
      </c>
      <c r="H1248" s="4" t="str">
        <f>FEATURES!O1248</f>
        <v>RECENTLY PROMOTED</v>
      </c>
      <c r="I1248" s="4" t="str">
        <f t="shared" si="4"/>
        <v>LOW RISK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</row>
    <row r="1249" spans="1:27" ht="13.2" x14ac:dyDescent="0.25">
      <c r="A1249" s="4">
        <v>1749</v>
      </c>
      <c r="B1249" s="4" t="s">
        <v>37</v>
      </c>
      <c r="C1249" s="4" t="str">
        <f>FEATURES!L1249</f>
        <v>NORMAL</v>
      </c>
      <c r="D1249" s="4" t="str">
        <f>FEATURES!R1249</f>
        <v>LOW</v>
      </c>
      <c r="E1249" s="4" t="str">
        <f>FEATURES!Q1249</f>
        <v>HIGHLY_ENGAGED</v>
      </c>
      <c r="F1249" s="4" t="str">
        <f>FEATURES!P1249</f>
        <v>Medium_Pressure</v>
      </c>
      <c r="G1249" s="4" t="str">
        <f>FEATURES!M1249</f>
        <v>HIGH</v>
      </c>
      <c r="H1249" s="4" t="str">
        <f>FEATURES!O1249</f>
        <v>RECENTLY PROMOTED</v>
      </c>
      <c r="I1249" s="4" t="str">
        <f t="shared" si="4"/>
        <v>LOW RISK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</row>
    <row r="1250" spans="1:27" ht="13.2" x14ac:dyDescent="0.25">
      <c r="A1250" s="4">
        <v>1751</v>
      </c>
      <c r="B1250" s="4" t="s">
        <v>45</v>
      </c>
      <c r="C1250" s="4" t="str">
        <f>FEATURES!L1250</f>
        <v>NORMAL</v>
      </c>
      <c r="D1250" s="4" t="str">
        <f>FEATURES!R1250</f>
        <v>LOW</v>
      </c>
      <c r="E1250" s="4" t="str">
        <f>FEATURES!Q1250</f>
        <v>DISENGAGED</v>
      </c>
      <c r="F1250" s="4" t="str">
        <f>FEATURES!P1250</f>
        <v>Low_Pressure</v>
      </c>
      <c r="G1250" s="4" t="str">
        <f>FEATURES!M1250</f>
        <v>LOW</v>
      </c>
      <c r="H1250" s="4" t="str">
        <f>FEATURES!O1250</f>
        <v>RECENTLY PROMOTED</v>
      </c>
      <c r="I1250" s="4" t="str">
        <f t="shared" si="4"/>
        <v>LOW RISK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</row>
    <row r="1251" spans="1:27" ht="13.2" x14ac:dyDescent="0.25">
      <c r="A1251" s="4">
        <v>1752</v>
      </c>
      <c r="B1251" s="4" t="s">
        <v>37</v>
      </c>
      <c r="C1251" s="4" t="str">
        <f>FEATURES!L1251</f>
        <v>NORMAL</v>
      </c>
      <c r="D1251" s="4" t="str">
        <f>FEATURES!R1251</f>
        <v>LOW</v>
      </c>
      <c r="E1251" s="4" t="str">
        <f>FEATURES!Q1251</f>
        <v>DISENGAGED</v>
      </c>
      <c r="F1251" s="4" t="str">
        <f>FEATURES!P1251</f>
        <v>Medium_Pressure</v>
      </c>
      <c r="G1251" s="4" t="str">
        <f>FEATURES!M1251</f>
        <v>LOW</v>
      </c>
      <c r="H1251" s="4" t="str">
        <f>FEATURES!O1251</f>
        <v>MODERATE-WAIT</v>
      </c>
      <c r="I1251" s="4" t="str">
        <f t="shared" si="4"/>
        <v>LOW RISK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</row>
    <row r="1252" spans="1:27" ht="13.2" x14ac:dyDescent="0.25">
      <c r="A1252" s="4">
        <v>1753</v>
      </c>
      <c r="B1252" s="4" t="s">
        <v>45</v>
      </c>
      <c r="C1252" s="4" t="str">
        <f>FEATURES!L1252</f>
        <v>NORMAL</v>
      </c>
      <c r="D1252" s="4" t="str">
        <f>FEATURES!R1252</f>
        <v>LOW</v>
      </c>
      <c r="E1252" s="4" t="str">
        <f>FEATURES!Q1252</f>
        <v>HIGHLY_ENGAGED</v>
      </c>
      <c r="F1252" s="4" t="str">
        <f>FEATURES!P1252</f>
        <v>Medium_Pressure</v>
      </c>
      <c r="G1252" s="4" t="str">
        <f>FEATURES!M1252</f>
        <v>HIGH</v>
      </c>
      <c r="H1252" s="4" t="str">
        <f>FEATURES!O1252</f>
        <v>RECENTLY PROMOTED</v>
      </c>
      <c r="I1252" s="4" t="str">
        <f t="shared" si="4"/>
        <v>LOW RISK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</row>
    <row r="1253" spans="1:27" ht="13.2" x14ac:dyDescent="0.25">
      <c r="A1253" s="4">
        <v>1754</v>
      </c>
      <c r="B1253" s="4" t="s">
        <v>37</v>
      </c>
      <c r="C1253" s="4" t="str">
        <f>FEATURES!L1253</f>
        <v>NORMAL</v>
      </c>
      <c r="D1253" s="4" t="str">
        <f>FEATURES!R1253</f>
        <v>LOW</v>
      </c>
      <c r="E1253" s="4" t="str">
        <f>FEATURES!Q1253</f>
        <v>DISENGAGED</v>
      </c>
      <c r="F1253" s="4" t="str">
        <f>FEATURES!P1253</f>
        <v>Medium_Pressure</v>
      </c>
      <c r="G1253" s="4" t="str">
        <f>FEATURES!M1253</f>
        <v>HIGH</v>
      </c>
      <c r="H1253" s="4" t="str">
        <f>FEATURES!O1253</f>
        <v>RECENTLY PROMOTED</v>
      </c>
      <c r="I1253" s="4" t="str">
        <f t="shared" si="4"/>
        <v>LOW RISK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</row>
    <row r="1254" spans="1:27" ht="13.2" x14ac:dyDescent="0.25">
      <c r="A1254" s="4">
        <v>1755</v>
      </c>
      <c r="B1254" s="4" t="s">
        <v>45</v>
      </c>
      <c r="C1254" s="4" t="str">
        <f>FEATURES!L1254</f>
        <v>NORMAL</v>
      </c>
      <c r="D1254" s="4" t="str">
        <f>FEATURES!R1254</f>
        <v>LOW</v>
      </c>
      <c r="E1254" s="4" t="str">
        <f>FEATURES!Q1254</f>
        <v>HIGHLY_ENGAGED</v>
      </c>
      <c r="F1254" s="4" t="str">
        <f>FEATURES!P1254</f>
        <v>Medium_Pressure</v>
      </c>
      <c r="G1254" s="4" t="str">
        <f>FEATURES!M1254</f>
        <v>LOW</v>
      </c>
      <c r="H1254" s="4" t="str">
        <f>FEATURES!O1254</f>
        <v>RECENTLY PROMOTED</v>
      </c>
      <c r="I1254" s="4" t="str">
        <f t="shared" si="4"/>
        <v>LOW RISK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</row>
    <row r="1255" spans="1:27" ht="13.2" x14ac:dyDescent="0.25">
      <c r="A1255" s="4">
        <v>1756</v>
      </c>
      <c r="B1255" s="4" t="s">
        <v>37</v>
      </c>
      <c r="C1255" s="4" t="str">
        <f>FEATURES!L1255</f>
        <v>NORMAL</v>
      </c>
      <c r="D1255" s="4" t="str">
        <f>FEATURES!R1255</f>
        <v>LOW</v>
      </c>
      <c r="E1255" s="4" t="str">
        <f>FEATURES!Q1255</f>
        <v>DISENGAGED</v>
      </c>
      <c r="F1255" s="4" t="str">
        <f>FEATURES!P1255</f>
        <v>Low_Pressure</v>
      </c>
      <c r="G1255" s="4" t="str">
        <f>FEATURES!M1255</f>
        <v>HIGH</v>
      </c>
      <c r="H1255" s="4" t="str">
        <f>FEATURES!O1255</f>
        <v>RECENTLY PROMOTED</v>
      </c>
      <c r="I1255" s="4" t="str">
        <f t="shared" si="4"/>
        <v>LOW RISK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</row>
    <row r="1256" spans="1:27" ht="13.2" x14ac:dyDescent="0.25">
      <c r="A1256" s="4">
        <v>1757</v>
      </c>
      <c r="B1256" s="4" t="s">
        <v>37</v>
      </c>
      <c r="C1256" s="4" t="str">
        <f>FEATURES!L1256</f>
        <v>NORMAL</v>
      </c>
      <c r="D1256" s="4" t="str">
        <f>FEATURES!R1256</f>
        <v>LOW</v>
      </c>
      <c r="E1256" s="4" t="str">
        <f>FEATURES!Q1256</f>
        <v>HIGHLY_ENGAGED</v>
      </c>
      <c r="F1256" s="4" t="str">
        <f>FEATURES!P1256</f>
        <v>Low_Pressure</v>
      </c>
      <c r="G1256" s="4" t="str">
        <f>FEATURES!M1256</f>
        <v>HIGH</v>
      </c>
      <c r="H1256" s="4" t="str">
        <f>FEATURES!O1256</f>
        <v>RECENTLY PROMOTED</v>
      </c>
      <c r="I1256" s="4" t="str">
        <f t="shared" si="4"/>
        <v>LOW RISK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</row>
    <row r="1257" spans="1:27" ht="13.2" x14ac:dyDescent="0.25">
      <c r="A1257" s="4">
        <v>1758</v>
      </c>
      <c r="B1257" s="4" t="s">
        <v>37</v>
      </c>
      <c r="C1257" s="4" t="str">
        <f>FEATURES!L1257</f>
        <v>NORMAL</v>
      </c>
      <c r="D1257" s="4" t="str">
        <f>FEATURES!R1257</f>
        <v>LOW</v>
      </c>
      <c r="E1257" s="4" t="str">
        <f>FEATURES!Q1257</f>
        <v>DISENGAGED</v>
      </c>
      <c r="F1257" s="4" t="str">
        <f>FEATURES!P1257</f>
        <v>High_Pressure</v>
      </c>
      <c r="G1257" s="4" t="str">
        <f>FEATURES!M1257</f>
        <v>HIGH</v>
      </c>
      <c r="H1257" s="4" t="str">
        <f>FEATURES!O1257</f>
        <v>RECENTLY PROMOTED</v>
      </c>
      <c r="I1257" s="4" t="str">
        <f t="shared" si="4"/>
        <v>LOW RISK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</row>
    <row r="1258" spans="1:27" ht="13.2" x14ac:dyDescent="0.25">
      <c r="A1258" s="4">
        <v>1760</v>
      </c>
      <c r="B1258" s="4" t="s">
        <v>45</v>
      </c>
      <c r="C1258" s="4" t="str">
        <f>FEATURES!L1258</f>
        <v>NORMAL</v>
      </c>
      <c r="D1258" s="4" t="str">
        <f>FEATURES!R1258</f>
        <v>LOW</v>
      </c>
      <c r="E1258" s="4" t="str">
        <f>FEATURES!Q1258</f>
        <v>DISENGAGED</v>
      </c>
      <c r="F1258" s="4" t="str">
        <f>FEATURES!P1258</f>
        <v>Low_Pressure</v>
      </c>
      <c r="G1258" s="4" t="str">
        <f>FEATURES!M1258</f>
        <v>LOW</v>
      </c>
      <c r="H1258" s="4" t="str">
        <f>FEATURES!O1258</f>
        <v>RECENTLY PROMOTED</v>
      </c>
      <c r="I1258" s="4" t="str">
        <f t="shared" si="4"/>
        <v>LOW RISK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</row>
    <row r="1259" spans="1:27" ht="13.2" x14ac:dyDescent="0.25">
      <c r="A1259" s="4">
        <v>1761</v>
      </c>
      <c r="B1259" s="4" t="s">
        <v>37</v>
      </c>
      <c r="C1259" s="4" t="str">
        <f>FEATURES!L1259</f>
        <v>NORMAL</v>
      </c>
      <c r="D1259" s="4" t="str">
        <f>FEATURES!R1259</f>
        <v>LOW</v>
      </c>
      <c r="E1259" s="4" t="str">
        <f>FEATURES!Q1259</f>
        <v>HIGHLY_ENGAGED</v>
      </c>
      <c r="F1259" s="4" t="str">
        <f>FEATURES!P1259</f>
        <v>Medium_Pressure</v>
      </c>
      <c r="G1259" s="4" t="str">
        <f>FEATURES!M1259</f>
        <v>HIGH</v>
      </c>
      <c r="H1259" s="4" t="str">
        <f>FEATURES!O1259</f>
        <v>RECENTLY PROMOTED</v>
      </c>
      <c r="I1259" s="4" t="str">
        <f t="shared" si="4"/>
        <v>LOW RISK</v>
      </c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</row>
    <row r="1260" spans="1:27" ht="13.2" x14ac:dyDescent="0.25">
      <c r="A1260" s="4">
        <v>1762</v>
      </c>
      <c r="B1260" s="4" t="s">
        <v>45</v>
      </c>
      <c r="C1260" s="4" t="str">
        <f>FEATURES!L1260</f>
        <v>NORMAL</v>
      </c>
      <c r="D1260" s="4" t="str">
        <f>FEATURES!R1260</f>
        <v>LOW</v>
      </c>
      <c r="E1260" s="4" t="str">
        <f>FEATURES!Q1260</f>
        <v>DISENGAGED</v>
      </c>
      <c r="F1260" s="4" t="str">
        <f>FEATURES!P1260</f>
        <v>Medium_Pressure</v>
      </c>
      <c r="G1260" s="4" t="str">
        <f>FEATURES!M1260</f>
        <v>LOW</v>
      </c>
      <c r="H1260" s="4" t="str">
        <f>FEATURES!O1260</f>
        <v>RECENTLY PROMOTED</v>
      </c>
      <c r="I1260" s="4" t="str">
        <f t="shared" si="4"/>
        <v>LOW RISK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</row>
    <row r="1261" spans="1:27" ht="13.2" x14ac:dyDescent="0.25">
      <c r="A1261" s="4">
        <v>1763</v>
      </c>
      <c r="B1261" s="4" t="s">
        <v>45</v>
      </c>
      <c r="C1261" s="4" t="str">
        <f>FEATURES!L1261</f>
        <v>NORMAL</v>
      </c>
      <c r="D1261" s="4" t="str">
        <f>FEATURES!R1261</f>
        <v>LOW</v>
      </c>
      <c r="E1261" s="4" t="str">
        <f>FEATURES!Q1261</f>
        <v>HIGHLY_ENGAGED</v>
      </c>
      <c r="F1261" s="4" t="str">
        <f>FEATURES!P1261</f>
        <v>Medium_Pressure</v>
      </c>
      <c r="G1261" s="4" t="str">
        <f>FEATURES!M1261</f>
        <v>HIGH</v>
      </c>
      <c r="H1261" s="4" t="str">
        <f>FEATURES!O1261</f>
        <v>RECENTLY PROMOTED</v>
      </c>
      <c r="I1261" s="4" t="str">
        <f t="shared" si="4"/>
        <v>LOW RISK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</row>
    <row r="1262" spans="1:27" ht="13.2" x14ac:dyDescent="0.25">
      <c r="A1262" s="4">
        <v>1764</v>
      </c>
      <c r="B1262" s="4" t="s">
        <v>45</v>
      </c>
      <c r="C1262" s="4" t="str">
        <f>FEATURES!L1262</f>
        <v>NORMAL</v>
      </c>
      <c r="D1262" s="4" t="str">
        <f>FEATURES!R1262</f>
        <v>LOW</v>
      </c>
      <c r="E1262" s="4" t="str">
        <f>FEATURES!Q1262</f>
        <v>DISENGAGED</v>
      </c>
      <c r="F1262" s="4" t="str">
        <f>FEATURES!P1262</f>
        <v>Medium_Pressure</v>
      </c>
      <c r="G1262" s="4" t="str">
        <f>FEATURES!M1262</f>
        <v>LOW</v>
      </c>
      <c r="H1262" s="4" t="str">
        <f>FEATURES!O1262</f>
        <v>RECENTLY PROMOTED</v>
      </c>
      <c r="I1262" s="4" t="str">
        <f t="shared" si="4"/>
        <v>LOW RISK</v>
      </c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</row>
    <row r="1263" spans="1:27" ht="13.2" x14ac:dyDescent="0.25">
      <c r="A1263" s="4">
        <v>1766</v>
      </c>
      <c r="B1263" s="4" t="s">
        <v>45</v>
      </c>
      <c r="C1263" s="4" t="str">
        <f>FEATURES!L1263</f>
        <v>NORMAL</v>
      </c>
      <c r="D1263" s="4" t="str">
        <f>FEATURES!R1263</f>
        <v>LOW</v>
      </c>
      <c r="E1263" s="4" t="str">
        <f>FEATURES!Q1263</f>
        <v>HIGHLY_ENGAGED</v>
      </c>
      <c r="F1263" s="4" t="str">
        <f>FEATURES!P1263</f>
        <v>Medium_Pressure</v>
      </c>
      <c r="G1263" s="4" t="str">
        <f>FEATURES!M1263</f>
        <v>HIGH</v>
      </c>
      <c r="H1263" s="4" t="str">
        <f>FEATURES!O1263</f>
        <v>RECENTLY PROMOTED</v>
      </c>
      <c r="I1263" s="4" t="str">
        <f t="shared" si="4"/>
        <v>LOW RISK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</row>
    <row r="1264" spans="1:27" ht="13.2" x14ac:dyDescent="0.25">
      <c r="A1264" s="4">
        <v>1767</v>
      </c>
      <c r="B1264" s="4" t="s">
        <v>45</v>
      </c>
      <c r="C1264" s="4" t="str">
        <f>FEATURES!L1264</f>
        <v>NORMAL</v>
      </c>
      <c r="D1264" s="4" t="str">
        <f>FEATURES!R1264</f>
        <v>LOW</v>
      </c>
      <c r="E1264" s="4" t="str">
        <f>FEATURES!Q1264</f>
        <v>HIGHLY_ENGAGED</v>
      </c>
      <c r="F1264" s="4" t="str">
        <f>FEATURES!P1264</f>
        <v>Medium_Pressure</v>
      </c>
      <c r="G1264" s="4" t="str">
        <f>FEATURES!M1264</f>
        <v>LOW</v>
      </c>
      <c r="H1264" s="4" t="str">
        <f>FEATURES!O1264</f>
        <v>RECENTLY PROMOTED</v>
      </c>
      <c r="I1264" s="4" t="str">
        <f t="shared" si="4"/>
        <v>LOW RISK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</row>
    <row r="1265" spans="1:27" ht="13.2" x14ac:dyDescent="0.25">
      <c r="A1265" s="4">
        <v>1768</v>
      </c>
      <c r="B1265" s="4" t="s">
        <v>45</v>
      </c>
      <c r="C1265" s="4" t="str">
        <f>FEATURES!L1265</f>
        <v>NORMAL</v>
      </c>
      <c r="D1265" s="4" t="str">
        <f>FEATURES!R1265</f>
        <v>LOW</v>
      </c>
      <c r="E1265" s="4" t="str">
        <f>FEATURES!Q1265</f>
        <v>DISENGAGED</v>
      </c>
      <c r="F1265" s="4" t="str">
        <f>FEATURES!P1265</f>
        <v>Low_Pressure</v>
      </c>
      <c r="G1265" s="4" t="str">
        <f>FEATURES!M1265</f>
        <v>LOW</v>
      </c>
      <c r="H1265" s="4" t="str">
        <f>FEATURES!O1265</f>
        <v>RECENTLY PROMOTED</v>
      </c>
      <c r="I1265" s="4" t="str">
        <f t="shared" si="4"/>
        <v>LOW RISK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</row>
    <row r="1266" spans="1:27" ht="13.2" x14ac:dyDescent="0.25">
      <c r="A1266" s="4">
        <v>1770</v>
      </c>
      <c r="B1266" s="4" t="s">
        <v>45</v>
      </c>
      <c r="C1266" s="4" t="str">
        <f>FEATURES!L1266</f>
        <v>NORMAL</v>
      </c>
      <c r="D1266" s="4" t="str">
        <f>FEATURES!R1266</f>
        <v>LOW</v>
      </c>
      <c r="E1266" s="4" t="str">
        <f>FEATURES!Q1266</f>
        <v>DISENGAGED</v>
      </c>
      <c r="F1266" s="4" t="str">
        <f>FEATURES!P1266</f>
        <v>Medium_Pressure</v>
      </c>
      <c r="G1266" s="4" t="str">
        <f>FEATURES!M1266</f>
        <v>MEDIUM</v>
      </c>
      <c r="H1266" s="4" t="str">
        <f>FEATURES!O1266</f>
        <v>RECENTLY PROMOTED</v>
      </c>
      <c r="I1266" s="4" t="str">
        <f t="shared" si="4"/>
        <v>LOW RISK</v>
      </c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</row>
    <row r="1267" spans="1:27" ht="13.2" x14ac:dyDescent="0.25">
      <c r="A1267" s="4">
        <v>1771</v>
      </c>
      <c r="B1267" s="4" t="s">
        <v>45</v>
      </c>
      <c r="C1267" s="4" t="str">
        <f>FEATURES!L1267</f>
        <v>NORMAL</v>
      </c>
      <c r="D1267" s="4" t="str">
        <f>FEATURES!R1267</f>
        <v>LOW</v>
      </c>
      <c r="E1267" s="4" t="str">
        <f>FEATURES!Q1267</f>
        <v>DISENGAGED</v>
      </c>
      <c r="F1267" s="4" t="str">
        <f>FEATURES!P1267</f>
        <v>Low_Pressure</v>
      </c>
      <c r="G1267" s="4" t="str">
        <f>FEATURES!M1267</f>
        <v>LOW</v>
      </c>
      <c r="H1267" s="4" t="str">
        <f>FEATURES!O1267</f>
        <v>RECENTLY PROMOTED</v>
      </c>
      <c r="I1267" s="4" t="str">
        <f t="shared" si="4"/>
        <v>LOW RISK</v>
      </c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</row>
    <row r="1268" spans="1:27" ht="13.2" x14ac:dyDescent="0.25">
      <c r="A1268" s="4">
        <v>1772</v>
      </c>
      <c r="B1268" s="4" t="s">
        <v>45</v>
      </c>
      <c r="C1268" s="4" t="str">
        <f>FEATURES!L1268</f>
        <v>NORMAL</v>
      </c>
      <c r="D1268" s="4" t="str">
        <f>FEATURES!R1268</f>
        <v>LOW</v>
      </c>
      <c r="E1268" s="4" t="str">
        <f>FEATURES!Q1268</f>
        <v>DISENGAGED</v>
      </c>
      <c r="F1268" s="4" t="str">
        <f>FEATURES!P1268</f>
        <v>Medium_Pressure</v>
      </c>
      <c r="G1268" s="4" t="str">
        <f>FEATURES!M1268</f>
        <v>LOW</v>
      </c>
      <c r="H1268" s="4" t="str">
        <f>FEATURES!O1268</f>
        <v>RECENTLY PROMOTED</v>
      </c>
      <c r="I1268" s="4" t="str">
        <f t="shared" si="4"/>
        <v>LOW RISK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</row>
    <row r="1269" spans="1:27" ht="13.2" x14ac:dyDescent="0.25">
      <c r="A1269" s="4">
        <v>1774</v>
      </c>
      <c r="B1269" s="4" t="s">
        <v>37</v>
      </c>
      <c r="C1269" s="4" t="str">
        <f>FEATURES!L1269</f>
        <v>NORMAL</v>
      </c>
      <c r="D1269" s="4" t="str">
        <f>FEATURES!R1269</f>
        <v>LOW</v>
      </c>
      <c r="E1269" s="4" t="str">
        <f>FEATURES!Q1269</f>
        <v>HIGHLY_ENGAGED</v>
      </c>
      <c r="F1269" s="4" t="str">
        <f>FEATURES!P1269</f>
        <v>Medium_Pressure</v>
      </c>
      <c r="G1269" s="4" t="str">
        <f>FEATURES!M1269</f>
        <v>HIGH</v>
      </c>
      <c r="H1269" s="4" t="str">
        <f>FEATURES!O1269</f>
        <v>RECENTLY PROMOTED</v>
      </c>
      <c r="I1269" s="4" t="str">
        <f t="shared" si="4"/>
        <v>LOW RISK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</row>
    <row r="1270" spans="1:27" ht="13.2" x14ac:dyDescent="0.25">
      <c r="A1270" s="4">
        <v>1775</v>
      </c>
      <c r="B1270" s="4" t="s">
        <v>45</v>
      </c>
      <c r="C1270" s="4" t="str">
        <f>FEATURES!L1270</f>
        <v>NORMAL</v>
      </c>
      <c r="D1270" s="4" t="str">
        <f>FEATURES!R1270</f>
        <v>LOW</v>
      </c>
      <c r="E1270" s="4" t="str">
        <f>FEATURES!Q1270</f>
        <v>DISENGAGED</v>
      </c>
      <c r="F1270" s="4" t="str">
        <f>FEATURES!P1270</f>
        <v>High_Pressure</v>
      </c>
      <c r="G1270" s="4" t="str">
        <f>FEATURES!M1270</f>
        <v>MEDIUM</v>
      </c>
      <c r="H1270" s="4" t="str">
        <f>FEATURES!O1270</f>
        <v>RECENTLY PROMOTED</v>
      </c>
      <c r="I1270" s="4" t="str">
        <f t="shared" si="4"/>
        <v>LOW RISK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</row>
    <row r="1271" spans="1:27" ht="13.2" x14ac:dyDescent="0.25">
      <c r="A1271" s="4">
        <v>1778</v>
      </c>
      <c r="B1271" s="4" t="s">
        <v>61</v>
      </c>
      <c r="C1271" s="4" t="str">
        <f>FEATURES!L1271</f>
        <v>NORMAL</v>
      </c>
      <c r="D1271" s="4" t="str">
        <f>FEATURES!R1271</f>
        <v>LOW</v>
      </c>
      <c r="E1271" s="4" t="str">
        <f>FEATURES!Q1271</f>
        <v>HIGHLY_ENGAGED</v>
      </c>
      <c r="F1271" s="4" t="str">
        <f>FEATURES!P1271</f>
        <v>Medium_Pressure</v>
      </c>
      <c r="G1271" s="4" t="str">
        <f>FEATURES!M1271</f>
        <v>LOW</v>
      </c>
      <c r="H1271" s="4" t="str">
        <f>FEATURES!O1271</f>
        <v>RECENTLY PROMOTED</v>
      </c>
      <c r="I1271" s="4" t="str">
        <f t="shared" si="4"/>
        <v>LOW RISK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</row>
    <row r="1272" spans="1:27" ht="13.2" x14ac:dyDescent="0.25">
      <c r="A1272" s="4">
        <v>1779</v>
      </c>
      <c r="B1272" s="4" t="s">
        <v>37</v>
      </c>
      <c r="C1272" s="4" t="str">
        <f>FEATURES!L1272</f>
        <v>NORMAL</v>
      </c>
      <c r="D1272" s="4" t="str">
        <f>FEATURES!R1272</f>
        <v>LOW</v>
      </c>
      <c r="E1272" s="4" t="str">
        <f>FEATURES!Q1272</f>
        <v>HIGHLY_ENGAGED</v>
      </c>
      <c r="F1272" s="4" t="str">
        <f>FEATURES!P1272</f>
        <v>Medium_Pressure</v>
      </c>
      <c r="G1272" s="4" t="str">
        <f>FEATURES!M1272</f>
        <v>HIGH</v>
      </c>
      <c r="H1272" s="4" t="str">
        <f>FEATURES!O1272</f>
        <v>MODERATE-WAIT</v>
      </c>
      <c r="I1272" s="4" t="str">
        <f t="shared" si="4"/>
        <v>LOW RISK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</row>
    <row r="1273" spans="1:27" ht="13.2" x14ac:dyDescent="0.25">
      <c r="A1273" s="4">
        <v>1780</v>
      </c>
      <c r="B1273" s="4" t="s">
        <v>37</v>
      </c>
      <c r="C1273" s="4" t="str">
        <f>FEATURES!L1273</f>
        <v>NORMAL</v>
      </c>
      <c r="D1273" s="4" t="str">
        <f>FEATURES!R1273</f>
        <v>LOW</v>
      </c>
      <c r="E1273" s="4" t="str">
        <f>FEATURES!Q1273</f>
        <v>DISENGAGED</v>
      </c>
      <c r="F1273" s="4" t="str">
        <f>FEATURES!P1273</f>
        <v>Medium_Pressure</v>
      </c>
      <c r="G1273" s="4" t="str">
        <f>FEATURES!M1273</f>
        <v>LOW</v>
      </c>
      <c r="H1273" s="4" t="str">
        <f>FEATURES!O1273</f>
        <v>RECENTLY PROMOTED</v>
      </c>
      <c r="I1273" s="4" t="str">
        <f t="shared" si="4"/>
        <v>LOW RISK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</row>
    <row r="1274" spans="1:27" ht="13.2" x14ac:dyDescent="0.25">
      <c r="A1274" s="4">
        <v>1782</v>
      </c>
      <c r="B1274" s="4" t="s">
        <v>45</v>
      </c>
      <c r="C1274" s="4" t="str">
        <f>FEATURES!L1274</f>
        <v>NORMAL</v>
      </c>
      <c r="D1274" s="4" t="str">
        <f>FEATURES!R1274</f>
        <v>LOW</v>
      </c>
      <c r="E1274" s="4" t="str">
        <f>FEATURES!Q1274</f>
        <v>HIGHLY_ENGAGED</v>
      </c>
      <c r="F1274" s="4" t="str">
        <f>FEATURES!P1274</f>
        <v>Medium_Pressure</v>
      </c>
      <c r="G1274" s="4" t="str">
        <f>FEATURES!M1274</f>
        <v>LOW</v>
      </c>
      <c r="H1274" s="4" t="str">
        <f>FEATURES!O1274</f>
        <v>RECENTLY PROMOTED</v>
      </c>
      <c r="I1274" s="4" t="str">
        <f t="shared" si="4"/>
        <v>LOW RISK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</row>
    <row r="1275" spans="1:27" ht="13.2" x14ac:dyDescent="0.25">
      <c r="A1275" s="4">
        <v>1783</v>
      </c>
      <c r="B1275" s="4" t="s">
        <v>45</v>
      </c>
      <c r="C1275" s="4" t="str">
        <f>FEATURES!L1275</f>
        <v>NORMAL</v>
      </c>
      <c r="D1275" s="4" t="str">
        <f>FEATURES!R1275</f>
        <v>LOW</v>
      </c>
      <c r="E1275" s="4" t="str">
        <f>FEATURES!Q1275</f>
        <v>DISENGAGED</v>
      </c>
      <c r="F1275" s="4" t="str">
        <f>FEATURES!P1275</f>
        <v>Medium_Pressure</v>
      </c>
      <c r="G1275" s="4" t="str">
        <f>FEATURES!M1275</f>
        <v>LOW</v>
      </c>
      <c r="H1275" s="4" t="str">
        <f>FEATURES!O1275</f>
        <v>RECENTLY PROMOTED</v>
      </c>
      <c r="I1275" s="4" t="str">
        <f t="shared" si="4"/>
        <v>LOW RISK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</row>
    <row r="1276" spans="1:27" ht="13.2" x14ac:dyDescent="0.25">
      <c r="A1276" s="4">
        <v>1784</v>
      </c>
      <c r="B1276" s="4" t="s">
        <v>37</v>
      </c>
      <c r="C1276" s="4" t="str">
        <f>FEATURES!L1276</f>
        <v>NORMAL</v>
      </c>
      <c r="D1276" s="4" t="str">
        <f>FEATURES!R1276</f>
        <v>LOW</v>
      </c>
      <c r="E1276" s="4" t="str">
        <f>FEATURES!Q1276</f>
        <v>HIGHLY_ENGAGED</v>
      </c>
      <c r="F1276" s="4" t="str">
        <f>FEATURES!P1276</f>
        <v>Medium_Pressure</v>
      </c>
      <c r="G1276" s="4" t="str">
        <f>FEATURES!M1276</f>
        <v>HIGH</v>
      </c>
      <c r="H1276" s="4" t="str">
        <f>FEATURES!O1276</f>
        <v>STAGNANT</v>
      </c>
      <c r="I1276" s="4" t="str">
        <f t="shared" si="4"/>
        <v>LOW RISK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</row>
    <row r="1277" spans="1:27" ht="13.2" x14ac:dyDescent="0.25">
      <c r="A1277" s="4">
        <v>1786</v>
      </c>
      <c r="B1277" s="4" t="s">
        <v>45</v>
      </c>
      <c r="C1277" s="4" t="str">
        <f>FEATURES!L1277</f>
        <v>NORMAL</v>
      </c>
      <c r="D1277" s="4" t="str">
        <f>FEATURES!R1277</f>
        <v>LOW</v>
      </c>
      <c r="E1277" s="4" t="str">
        <f>FEATURES!Q1277</f>
        <v>HIGHLY_ENGAGED</v>
      </c>
      <c r="F1277" s="4" t="str">
        <f>FEATURES!P1277</f>
        <v>Medium_Pressure</v>
      </c>
      <c r="G1277" s="4" t="str">
        <f>FEATURES!M1277</f>
        <v>MEDIUM</v>
      </c>
      <c r="H1277" s="4" t="str">
        <f>FEATURES!O1277</f>
        <v>MODERATE-WAIT</v>
      </c>
      <c r="I1277" s="4" t="str">
        <f t="shared" ref="I1277:I1471" si="5">IF(AND(C1277="HIGH",D1277="HIGH",E1277="DISENGAGED",F1277="HIGH_PRESSURE",G1277="LOW",H1277="STAGNANT"),"HIGH RISK",IF(AND(C1277="NORMAL",D1277="MEDIUM",E1277="MODERATELY ENGAGED",G1277="MEDIUM",H1277="MODERATE WAIT"),"MEDIUM RISK", "LOW RISK"))</f>
        <v>LOW RISK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</row>
    <row r="1278" spans="1:27" ht="13.2" x14ac:dyDescent="0.25">
      <c r="A1278" s="4">
        <v>1787</v>
      </c>
      <c r="B1278" s="4" t="s">
        <v>37</v>
      </c>
      <c r="C1278" s="4" t="str">
        <f>FEATURES!L1278</f>
        <v>NORMAL</v>
      </c>
      <c r="D1278" s="4" t="str">
        <f>FEATURES!R1278</f>
        <v>LOW</v>
      </c>
      <c r="E1278" s="4" t="str">
        <f>FEATURES!Q1278</f>
        <v>DISENGAGED</v>
      </c>
      <c r="F1278" s="4" t="str">
        <f>FEATURES!P1278</f>
        <v>Medium_Pressure</v>
      </c>
      <c r="G1278" s="4" t="str">
        <f>FEATURES!M1278</f>
        <v>HIGH</v>
      </c>
      <c r="H1278" s="4" t="str">
        <f>FEATURES!O1278</f>
        <v>RECENTLY PROMOTED</v>
      </c>
      <c r="I1278" s="4" t="str">
        <f t="shared" si="5"/>
        <v>LOW RISK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</row>
    <row r="1279" spans="1:27" ht="13.2" x14ac:dyDescent="0.25">
      <c r="A1279" s="4">
        <v>1789</v>
      </c>
      <c r="B1279" s="4" t="s">
        <v>45</v>
      </c>
      <c r="C1279" s="4" t="str">
        <f>FEATURES!L1279</f>
        <v>NORMAL</v>
      </c>
      <c r="D1279" s="4" t="str">
        <f>FEATURES!R1279</f>
        <v>LOW</v>
      </c>
      <c r="E1279" s="4" t="str">
        <f>FEATURES!Q1279</f>
        <v>HIGHLY_ENGAGED</v>
      </c>
      <c r="F1279" s="4" t="str">
        <f>FEATURES!P1279</f>
        <v>Medium_Pressure</v>
      </c>
      <c r="G1279" s="4" t="str">
        <f>FEATURES!M1279</f>
        <v>MEDIUM</v>
      </c>
      <c r="H1279" s="4" t="str">
        <f>FEATURES!O1279</f>
        <v>MODERATE-WAIT</v>
      </c>
      <c r="I1279" s="4" t="str">
        <f t="shared" si="5"/>
        <v>LOW RISK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</row>
    <row r="1280" spans="1:27" ht="13.2" x14ac:dyDescent="0.25">
      <c r="A1280" s="4">
        <v>1790</v>
      </c>
      <c r="B1280" s="4" t="s">
        <v>45</v>
      </c>
      <c r="C1280" s="4" t="str">
        <f>FEATURES!L1280</f>
        <v>HIGH RISK</v>
      </c>
      <c r="D1280" s="4" t="str">
        <f>FEATURES!R1280</f>
        <v>LOW</v>
      </c>
      <c r="E1280" s="4" t="str">
        <f>FEATURES!Q1280</f>
        <v>DISENGAGED</v>
      </c>
      <c r="F1280" s="4" t="str">
        <f>FEATURES!P1280</f>
        <v>Medium_Pressure</v>
      </c>
      <c r="G1280" s="4" t="str">
        <f>FEATURES!M1280</f>
        <v>HIGH</v>
      </c>
      <c r="H1280" s="4" t="str">
        <f>FEATURES!O1280</f>
        <v>STAGNANT</v>
      </c>
      <c r="I1280" s="4" t="str">
        <f t="shared" si="5"/>
        <v>LOW RISK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</row>
    <row r="1281" spans="1:27" ht="13.2" x14ac:dyDescent="0.25">
      <c r="A1281" s="4">
        <v>1792</v>
      </c>
      <c r="B1281" s="4" t="s">
        <v>45</v>
      </c>
      <c r="C1281" s="4" t="str">
        <f>FEATURES!L1281</f>
        <v>NORMAL</v>
      </c>
      <c r="D1281" s="4" t="str">
        <f>FEATURES!R1281</f>
        <v>LOW</v>
      </c>
      <c r="E1281" s="4" t="str">
        <f>FEATURES!Q1281</f>
        <v>DISENGAGED</v>
      </c>
      <c r="F1281" s="4" t="str">
        <f>FEATURES!P1281</f>
        <v>High_Pressure</v>
      </c>
      <c r="G1281" s="4" t="str">
        <f>FEATURES!M1281</f>
        <v>LOW</v>
      </c>
      <c r="H1281" s="4" t="str">
        <f>FEATURES!O1281</f>
        <v>MODERATE-WAIT</v>
      </c>
      <c r="I1281" s="4" t="str">
        <f t="shared" si="5"/>
        <v>LOW RISK</v>
      </c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</row>
    <row r="1282" spans="1:27" ht="13.2" x14ac:dyDescent="0.25">
      <c r="A1282" s="4">
        <v>1794</v>
      </c>
      <c r="B1282" s="4" t="s">
        <v>61</v>
      </c>
      <c r="C1282" s="4" t="str">
        <f>FEATURES!L1282</f>
        <v>NORMAL</v>
      </c>
      <c r="D1282" s="4" t="str">
        <f>FEATURES!R1282</f>
        <v>LOW</v>
      </c>
      <c r="E1282" s="4" t="str">
        <f>FEATURES!Q1282</f>
        <v>DISENGAGED</v>
      </c>
      <c r="F1282" s="4" t="str">
        <f>FEATURES!P1282</f>
        <v>Low_Pressure</v>
      </c>
      <c r="G1282" s="4" t="str">
        <f>FEATURES!M1282</f>
        <v>HIGH</v>
      </c>
      <c r="H1282" s="4" t="str">
        <f>FEATURES!O1282</f>
        <v>STAGNANT</v>
      </c>
      <c r="I1282" s="4" t="str">
        <f t="shared" si="5"/>
        <v>LOW RISK</v>
      </c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</row>
    <row r="1283" spans="1:27" ht="13.2" x14ac:dyDescent="0.25">
      <c r="A1283" s="4">
        <v>1797</v>
      </c>
      <c r="B1283" s="4" t="s">
        <v>37</v>
      </c>
      <c r="C1283" s="4" t="str">
        <f>FEATURES!L1283</f>
        <v>NORMAL</v>
      </c>
      <c r="D1283" s="4" t="str">
        <f>FEATURES!R1283</f>
        <v>LOW</v>
      </c>
      <c r="E1283" s="4" t="str">
        <f>FEATURES!Q1283</f>
        <v>HIGHLY_ENGAGED</v>
      </c>
      <c r="F1283" s="4" t="str">
        <f>FEATURES!P1283</f>
        <v>Medium_Pressure</v>
      </c>
      <c r="G1283" s="4" t="str">
        <f>FEATURES!M1283</f>
        <v>HIGH</v>
      </c>
      <c r="H1283" s="4" t="str">
        <f>FEATURES!O1283</f>
        <v>STAGNANT</v>
      </c>
      <c r="I1283" s="4" t="str">
        <f t="shared" si="5"/>
        <v>LOW RISK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</row>
    <row r="1284" spans="1:27" ht="13.2" x14ac:dyDescent="0.25">
      <c r="A1284" s="4">
        <v>1798</v>
      </c>
      <c r="B1284" s="4" t="s">
        <v>45</v>
      </c>
      <c r="C1284" s="4" t="str">
        <f>FEATURES!L1284</f>
        <v>NORMAL</v>
      </c>
      <c r="D1284" s="4" t="str">
        <f>FEATURES!R1284</f>
        <v>LOW</v>
      </c>
      <c r="E1284" s="4" t="str">
        <f>FEATURES!Q1284</f>
        <v>DISENGAGED</v>
      </c>
      <c r="F1284" s="4" t="str">
        <f>FEATURES!P1284</f>
        <v>Medium_Pressure</v>
      </c>
      <c r="G1284" s="4" t="str">
        <f>FEATURES!M1284</f>
        <v>LOW</v>
      </c>
      <c r="H1284" s="4" t="str">
        <f>FEATURES!O1284</f>
        <v>STAGNANT</v>
      </c>
      <c r="I1284" s="4" t="str">
        <f t="shared" si="5"/>
        <v>LOW RISK</v>
      </c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</row>
    <row r="1285" spans="1:27" ht="13.2" x14ac:dyDescent="0.25">
      <c r="A1285" s="4">
        <v>1799</v>
      </c>
      <c r="B1285" s="4" t="s">
        <v>45</v>
      </c>
      <c r="C1285" s="4" t="str">
        <f>FEATURES!L1285</f>
        <v>NORMAL</v>
      </c>
      <c r="D1285" s="4" t="str">
        <f>FEATURES!R1285</f>
        <v>LOW</v>
      </c>
      <c r="E1285" s="4" t="str">
        <f>FEATURES!Q1285</f>
        <v>HIGHLY_ENGAGED</v>
      </c>
      <c r="F1285" s="4" t="str">
        <f>FEATURES!P1285</f>
        <v>Low_Pressure</v>
      </c>
      <c r="G1285" s="4" t="str">
        <f>FEATURES!M1285</f>
        <v>LOW</v>
      </c>
      <c r="H1285" s="4" t="str">
        <f>FEATURES!O1285</f>
        <v>RECENTLY PROMOTED</v>
      </c>
      <c r="I1285" s="4" t="str">
        <f t="shared" si="5"/>
        <v>LOW RISK</v>
      </c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</row>
    <row r="1286" spans="1:27" ht="13.2" x14ac:dyDescent="0.25">
      <c r="A1286" s="4">
        <v>1800</v>
      </c>
      <c r="B1286" s="4" t="s">
        <v>45</v>
      </c>
      <c r="C1286" s="4" t="str">
        <f>FEATURES!L1286</f>
        <v>NORMAL</v>
      </c>
      <c r="D1286" s="4" t="str">
        <f>FEATURES!R1286</f>
        <v>LOW</v>
      </c>
      <c r="E1286" s="4" t="str">
        <f>FEATURES!Q1286</f>
        <v>HIGHLY_ENGAGED</v>
      </c>
      <c r="F1286" s="4" t="str">
        <f>FEATURES!P1286</f>
        <v>Medium_Pressure</v>
      </c>
      <c r="G1286" s="4" t="str">
        <f>FEATURES!M1286</f>
        <v>MEDIUM</v>
      </c>
      <c r="H1286" s="4" t="str">
        <f>FEATURES!O1286</f>
        <v>MODERATE-WAIT</v>
      </c>
      <c r="I1286" s="4" t="str">
        <f t="shared" si="5"/>
        <v>LOW RISK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</row>
    <row r="1287" spans="1:27" ht="13.2" x14ac:dyDescent="0.25">
      <c r="A1287" s="4">
        <v>1801</v>
      </c>
      <c r="B1287" s="4" t="s">
        <v>37</v>
      </c>
      <c r="C1287" s="4" t="str">
        <f>FEATURES!L1287</f>
        <v>NORMAL</v>
      </c>
      <c r="D1287" s="4" t="str">
        <f>FEATURES!R1287</f>
        <v>LOW</v>
      </c>
      <c r="E1287" s="4" t="str">
        <f>FEATURES!Q1287</f>
        <v>DISENGAGED</v>
      </c>
      <c r="F1287" s="4" t="str">
        <f>FEATURES!P1287</f>
        <v>Medium_Pressure</v>
      </c>
      <c r="G1287" s="4" t="str">
        <f>FEATURES!M1287</f>
        <v>HIGH</v>
      </c>
      <c r="H1287" s="4" t="str">
        <f>FEATURES!O1287</f>
        <v>MODERATE-WAIT</v>
      </c>
      <c r="I1287" s="4" t="str">
        <f t="shared" si="5"/>
        <v>LOW RISK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</row>
    <row r="1288" spans="1:27" ht="13.2" x14ac:dyDescent="0.25">
      <c r="A1288" s="4">
        <v>1802</v>
      </c>
      <c r="B1288" s="4" t="s">
        <v>45</v>
      </c>
      <c r="C1288" s="4" t="str">
        <f>FEATURES!L1288</f>
        <v>NORMAL</v>
      </c>
      <c r="D1288" s="4" t="str">
        <f>FEATURES!R1288</f>
        <v>LOW</v>
      </c>
      <c r="E1288" s="4" t="str">
        <f>FEATURES!Q1288</f>
        <v>DISENGAGED</v>
      </c>
      <c r="F1288" s="4" t="str">
        <f>FEATURES!P1288</f>
        <v>Low_Pressure</v>
      </c>
      <c r="G1288" s="4" t="str">
        <f>FEATURES!M1288</f>
        <v>LOW</v>
      </c>
      <c r="H1288" s="4" t="str">
        <f>FEATURES!O1288</f>
        <v>RECENTLY PROMOTED</v>
      </c>
      <c r="I1288" s="4" t="str">
        <f t="shared" si="5"/>
        <v>LOW RISK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</row>
    <row r="1289" spans="1:27" ht="13.2" x14ac:dyDescent="0.25">
      <c r="A1289" s="4">
        <v>1803</v>
      </c>
      <c r="B1289" s="4" t="s">
        <v>45</v>
      </c>
      <c r="C1289" s="4" t="str">
        <f>FEATURES!L1289</f>
        <v>NORMAL</v>
      </c>
      <c r="D1289" s="4" t="str">
        <f>FEATURES!R1289</f>
        <v>LOW</v>
      </c>
      <c r="E1289" s="4" t="str">
        <f>FEATURES!Q1289</f>
        <v>DISENGAGED</v>
      </c>
      <c r="F1289" s="4" t="str">
        <f>FEATURES!P1289</f>
        <v>Low_Pressure</v>
      </c>
      <c r="G1289" s="4" t="str">
        <f>FEATURES!M1289</f>
        <v>HIGH</v>
      </c>
      <c r="H1289" s="4" t="str">
        <f>FEATURES!O1289</f>
        <v>RECENTLY PROMOTED</v>
      </c>
      <c r="I1289" s="4" t="str">
        <f t="shared" si="5"/>
        <v>LOW RISK</v>
      </c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</row>
    <row r="1290" spans="1:27" ht="13.2" x14ac:dyDescent="0.25">
      <c r="A1290" s="4">
        <v>1804</v>
      </c>
      <c r="B1290" s="4" t="s">
        <v>45</v>
      </c>
      <c r="C1290" s="4" t="str">
        <f>FEATURES!L1290</f>
        <v>NORMAL</v>
      </c>
      <c r="D1290" s="4" t="str">
        <f>FEATURES!R1290</f>
        <v>LOW</v>
      </c>
      <c r="E1290" s="4" t="str">
        <f>FEATURES!Q1290</f>
        <v>HIGHLY_ENGAGED</v>
      </c>
      <c r="F1290" s="4" t="str">
        <f>FEATURES!P1290</f>
        <v>Medium_Pressure</v>
      </c>
      <c r="G1290" s="4" t="str">
        <f>FEATURES!M1290</f>
        <v>HIGH</v>
      </c>
      <c r="H1290" s="4" t="str">
        <f>FEATURES!O1290</f>
        <v>RECENTLY PROMOTED</v>
      </c>
      <c r="I1290" s="4" t="str">
        <f t="shared" si="5"/>
        <v>LOW RISK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</row>
    <row r="1291" spans="1:27" ht="13.2" x14ac:dyDescent="0.25">
      <c r="A1291" s="4">
        <v>1805</v>
      </c>
      <c r="B1291" s="4" t="s">
        <v>61</v>
      </c>
      <c r="C1291" s="4" t="str">
        <f>FEATURES!L1291</f>
        <v>NORMAL</v>
      </c>
      <c r="D1291" s="4" t="str">
        <f>FEATURES!R1291</f>
        <v>LOW</v>
      </c>
      <c r="E1291" s="4" t="str">
        <f>FEATURES!Q1291</f>
        <v>DISENGAGED</v>
      </c>
      <c r="F1291" s="4" t="str">
        <f>FEATURES!P1291</f>
        <v>Medium_Pressure</v>
      </c>
      <c r="G1291" s="4" t="str">
        <f>FEATURES!M1291</f>
        <v>LOW</v>
      </c>
      <c r="H1291" s="4" t="str">
        <f>FEATURES!O1291</f>
        <v>MODERATE-WAIT</v>
      </c>
      <c r="I1291" s="4" t="str">
        <f t="shared" si="5"/>
        <v>LOW RISK</v>
      </c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</row>
    <row r="1292" spans="1:27" ht="13.2" x14ac:dyDescent="0.25">
      <c r="A1292" s="4">
        <v>1807</v>
      </c>
      <c r="B1292" s="4" t="s">
        <v>45</v>
      </c>
      <c r="C1292" s="4" t="str">
        <f>FEATURES!L1292</f>
        <v>NORMAL</v>
      </c>
      <c r="D1292" s="4" t="str">
        <f>FEATURES!R1292</f>
        <v>LOW</v>
      </c>
      <c r="E1292" s="4" t="str">
        <f>FEATURES!Q1292</f>
        <v>DISENGAGED</v>
      </c>
      <c r="F1292" s="4" t="str">
        <f>FEATURES!P1292</f>
        <v>Low_Pressure</v>
      </c>
      <c r="G1292" s="4" t="str">
        <f>FEATURES!M1292</f>
        <v>HIGH</v>
      </c>
      <c r="H1292" s="4" t="str">
        <f>FEATURES!O1292</f>
        <v>RECENTLY PROMOTED</v>
      </c>
      <c r="I1292" s="4" t="str">
        <f t="shared" si="5"/>
        <v>LOW RISK</v>
      </c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</row>
    <row r="1293" spans="1:27" ht="13.2" x14ac:dyDescent="0.25">
      <c r="A1293" s="4">
        <v>1809</v>
      </c>
      <c r="B1293" s="4" t="s">
        <v>45</v>
      </c>
      <c r="C1293" s="4" t="str">
        <f>FEATURES!L1293</f>
        <v>NORMAL</v>
      </c>
      <c r="D1293" s="4" t="str">
        <f>FEATURES!R1293</f>
        <v>LOW</v>
      </c>
      <c r="E1293" s="4" t="str">
        <f>FEATURES!Q1293</f>
        <v>DISENGAGED</v>
      </c>
      <c r="F1293" s="4" t="str">
        <f>FEATURES!P1293</f>
        <v>Low_Pressure</v>
      </c>
      <c r="G1293" s="4" t="str">
        <f>FEATURES!M1293</f>
        <v>HIGH</v>
      </c>
      <c r="H1293" s="4" t="str">
        <f>FEATURES!O1293</f>
        <v>RECENTLY PROMOTED</v>
      </c>
      <c r="I1293" s="4" t="str">
        <f t="shared" si="5"/>
        <v>LOW RISK</v>
      </c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</row>
    <row r="1294" spans="1:27" ht="13.2" x14ac:dyDescent="0.25">
      <c r="A1294" s="4">
        <v>1812</v>
      </c>
      <c r="B1294" s="4" t="s">
        <v>37</v>
      </c>
      <c r="C1294" s="4" t="str">
        <f>FEATURES!L1294</f>
        <v>NORMAL</v>
      </c>
      <c r="D1294" s="4" t="str">
        <f>FEATURES!R1294</f>
        <v>LOW</v>
      </c>
      <c r="E1294" s="4" t="str">
        <f>FEATURES!Q1294</f>
        <v>HIGHLY_ENGAGED</v>
      </c>
      <c r="F1294" s="4" t="str">
        <f>FEATURES!P1294</f>
        <v>Medium_Pressure</v>
      </c>
      <c r="G1294" s="4" t="str">
        <f>FEATURES!M1294</f>
        <v>HIGH</v>
      </c>
      <c r="H1294" s="4" t="str">
        <f>FEATURES!O1294</f>
        <v>MODERATE-WAIT</v>
      </c>
      <c r="I1294" s="4" t="str">
        <f t="shared" si="5"/>
        <v>LOW RISK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</row>
    <row r="1295" spans="1:27" ht="13.2" x14ac:dyDescent="0.25">
      <c r="A1295" s="4">
        <v>1813</v>
      </c>
      <c r="B1295" s="4" t="s">
        <v>45</v>
      </c>
      <c r="C1295" s="4" t="str">
        <f>FEATURES!L1295</f>
        <v>NORMAL</v>
      </c>
      <c r="D1295" s="4" t="str">
        <f>FEATURES!R1295</f>
        <v>LOW</v>
      </c>
      <c r="E1295" s="4" t="str">
        <f>FEATURES!Q1295</f>
        <v>DISENGAGED</v>
      </c>
      <c r="F1295" s="4" t="str">
        <f>FEATURES!P1295</f>
        <v>Low_Pressure</v>
      </c>
      <c r="G1295" s="4" t="str">
        <f>FEATURES!M1295</f>
        <v>LOW</v>
      </c>
      <c r="H1295" s="4" t="str">
        <f>FEATURES!O1295</f>
        <v>RECENTLY PROMOTED</v>
      </c>
      <c r="I1295" s="4" t="str">
        <f t="shared" si="5"/>
        <v>LOW RISK</v>
      </c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</row>
    <row r="1296" spans="1:27" ht="13.2" x14ac:dyDescent="0.25">
      <c r="A1296" s="4">
        <v>1814</v>
      </c>
      <c r="B1296" s="4" t="s">
        <v>45</v>
      </c>
      <c r="C1296" s="4" t="str">
        <f>FEATURES!L1296</f>
        <v>NORMAL</v>
      </c>
      <c r="D1296" s="4" t="str">
        <f>FEATURES!R1296</f>
        <v>LOW</v>
      </c>
      <c r="E1296" s="4" t="str">
        <f>FEATURES!Q1296</f>
        <v>DISENGAGED</v>
      </c>
      <c r="F1296" s="4" t="str">
        <f>FEATURES!P1296</f>
        <v>Low_Pressure</v>
      </c>
      <c r="G1296" s="4" t="str">
        <f>FEATURES!M1296</f>
        <v>HIGH</v>
      </c>
      <c r="H1296" s="4" t="str">
        <f>FEATURES!O1296</f>
        <v>RECENTLY PROMOTED</v>
      </c>
      <c r="I1296" s="4" t="str">
        <f t="shared" si="5"/>
        <v>LOW RISK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</row>
    <row r="1297" spans="1:27" ht="13.2" x14ac:dyDescent="0.25">
      <c r="A1297" s="4">
        <v>1815</v>
      </c>
      <c r="B1297" s="4" t="s">
        <v>37</v>
      </c>
      <c r="C1297" s="4" t="str">
        <f>FEATURES!L1297</f>
        <v>NORMAL</v>
      </c>
      <c r="D1297" s="4" t="str">
        <f>FEATURES!R1297</f>
        <v>LOW</v>
      </c>
      <c r="E1297" s="4" t="str">
        <f>FEATURES!Q1297</f>
        <v>HIGHLY_ENGAGED</v>
      </c>
      <c r="F1297" s="4" t="str">
        <f>FEATURES!P1297</f>
        <v>Medium_Pressure</v>
      </c>
      <c r="G1297" s="4" t="str">
        <f>FEATURES!M1297</f>
        <v>MEDIUM</v>
      </c>
      <c r="H1297" s="4" t="str">
        <f>FEATURES!O1297</f>
        <v>STAGNANT</v>
      </c>
      <c r="I1297" s="4" t="str">
        <f t="shared" si="5"/>
        <v>LOW RISK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</row>
    <row r="1298" spans="1:27" ht="13.2" x14ac:dyDescent="0.25">
      <c r="A1298" s="4">
        <v>1816</v>
      </c>
      <c r="B1298" s="4" t="s">
        <v>45</v>
      </c>
      <c r="C1298" s="4" t="str">
        <f>FEATURES!L1298</f>
        <v>NORMAL</v>
      </c>
      <c r="D1298" s="4" t="str">
        <f>FEATURES!R1298</f>
        <v>LOW</v>
      </c>
      <c r="E1298" s="4" t="str">
        <f>FEATURES!Q1298</f>
        <v>HIGHLY_ENGAGED</v>
      </c>
      <c r="F1298" s="4" t="str">
        <f>FEATURES!P1298</f>
        <v>Medium_Pressure</v>
      </c>
      <c r="G1298" s="4" t="str">
        <f>FEATURES!M1298</f>
        <v>MEDIUM</v>
      </c>
      <c r="H1298" s="4" t="str">
        <f>FEATURES!O1298</f>
        <v>RECENTLY PROMOTED</v>
      </c>
      <c r="I1298" s="4" t="str">
        <f t="shared" si="5"/>
        <v>LOW RISK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</row>
    <row r="1299" spans="1:27" ht="13.2" x14ac:dyDescent="0.25">
      <c r="A1299" s="4">
        <v>1818</v>
      </c>
      <c r="B1299" s="4" t="s">
        <v>61</v>
      </c>
      <c r="C1299" s="4" t="str">
        <f>FEATURES!L1299</f>
        <v>NORMAL</v>
      </c>
      <c r="D1299" s="4" t="str">
        <f>FEATURES!R1299</f>
        <v>LOW</v>
      </c>
      <c r="E1299" s="4" t="str">
        <f>FEATURES!Q1299</f>
        <v>DISENGAGED</v>
      </c>
      <c r="F1299" s="4" t="str">
        <f>FEATURES!P1299</f>
        <v>Medium_Pressure</v>
      </c>
      <c r="G1299" s="4" t="str">
        <f>FEATURES!M1299</f>
        <v>LOW</v>
      </c>
      <c r="H1299" s="4" t="str">
        <f>FEATURES!O1299</f>
        <v>RECENTLY PROMOTED</v>
      </c>
      <c r="I1299" s="4" t="str">
        <f t="shared" si="5"/>
        <v>LOW RISK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</row>
    <row r="1300" spans="1:27" ht="13.2" x14ac:dyDescent="0.25">
      <c r="A1300" s="4">
        <v>1821</v>
      </c>
      <c r="B1300" s="4" t="s">
        <v>45</v>
      </c>
      <c r="C1300" s="4" t="str">
        <f>FEATURES!L1300</f>
        <v>NORMAL</v>
      </c>
      <c r="D1300" s="4" t="str">
        <f>FEATURES!R1300</f>
        <v>LOW</v>
      </c>
      <c r="E1300" s="4" t="str">
        <f>FEATURES!Q1300</f>
        <v>DISENGAGED</v>
      </c>
      <c r="F1300" s="4" t="str">
        <f>FEATURES!P1300</f>
        <v>Low_Pressure</v>
      </c>
      <c r="G1300" s="4" t="str">
        <f>FEATURES!M1300</f>
        <v>HIGH</v>
      </c>
      <c r="H1300" s="4" t="str">
        <f>FEATURES!O1300</f>
        <v>MODERATE-WAIT</v>
      </c>
      <c r="I1300" s="4" t="str">
        <f t="shared" si="5"/>
        <v>LOW RISK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</row>
    <row r="1301" spans="1:27" ht="13.2" x14ac:dyDescent="0.25">
      <c r="A1301" s="4">
        <v>1822</v>
      </c>
      <c r="B1301" s="4" t="s">
        <v>45</v>
      </c>
      <c r="C1301" s="4" t="str">
        <f>FEATURES!L1301</f>
        <v>NORMAL</v>
      </c>
      <c r="D1301" s="4" t="str">
        <f>FEATURES!R1301</f>
        <v>LOW</v>
      </c>
      <c r="E1301" s="4" t="str">
        <f>FEATURES!Q1301</f>
        <v>HIGHLY_ENGAGED</v>
      </c>
      <c r="F1301" s="4" t="str">
        <f>FEATURES!P1301</f>
        <v>Medium_Pressure</v>
      </c>
      <c r="G1301" s="4" t="str">
        <f>FEATURES!M1301</f>
        <v>HIGH</v>
      </c>
      <c r="H1301" s="4" t="str">
        <f>FEATURES!O1301</f>
        <v>RECENTLY PROMOTED</v>
      </c>
      <c r="I1301" s="4" t="str">
        <f t="shared" si="5"/>
        <v>LOW RISK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</row>
    <row r="1302" spans="1:27" ht="13.2" x14ac:dyDescent="0.25">
      <c r="A1302" s="4">
        <v>1823</v>
      </c>
      <c r="B1302" s="4" t="s">
        <v>37</v>
      </c>
      <c r="C1302" s="4" t="str">
        <f>FEATURES!L1302</f>
        <v>NORMAL</v>
      </c>
      <c r="D1302" s="4" t="str">
        <f>FEATURES!R1302</f>
        <v>LOW</v>
      </c>
      <c r="E1302" s="4" t="str">
        <f>FEATURES!Q1302</f>
        <v>HIGHLY_ENGAGED</v>
      </c>
      <c r="F1302" s="4" t="str">
        <f>FEATURES!P1302</f>
        <v>Medium_Pressure</v>
      </c>
      <c r="G1302" s="4" t="str">
        <f>FEATURES!M1302</f>
        <v>HIGH</v>
      </c>
      <c r="H1302" s="4" t="str">
        <f>FEATURES!O1302</f>
        <v>STAGNANT</v>
      </c>
      <c r="I1302" s="4" t="str">
        <f t="shared" si="5"/>
        <v>LOW RISK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</row>
    <row r="1303" spans="1:27" ht="13.2" x14ac:dyDescent="0.25">
      <c r="A1303" s="4">
        <v>1824</v>
      </c>
      <c r="B1303" s="4" t="s">
        <v>37</v>
      </c>
      <c r="C1303" s="4" t="str">
        <f>FEATURES!L1303</f>
        <v>NORMAL</v>
      </c>
      <c r="D1303" s="4" t="str">
        <f>FEATURES!R1303</f>
        <v>LOW</v>
      </c>
      <c r="E1303" s="4" t="str">
        <f>FEATURES!Q1303</f>
        <v>DISENGAGED</v>
      </c>
      <c r="F1303" s="4" t="str">
        <f>FEATURES!P1303</f>
        <v>Low_Pressure</v>
      </c>
      <c r="G1303" s="4" t="str">
        <f>FEATURES!M1303</f>
        <v>MEDIUM</v>
      </c>
      <c r="H1303" s="4" t="str">
        <f>FEATURES!O1303</f>
        <v>STAGNANT</v>
      </c>
      <c r="I1303" s="4" t="str">
        <f t="shared" si="5"/>
        <v>LOW RISK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</row>
    <row r="1304" spans="1:27" ht="13.2" x14ac:dyDescent="0.25">
      <c r="A1304" s="4">
        <v>1826</v>
      </c>
      <c r="B1304" s="4" t="s">
        <v>45</v>
      </c>
      <c r="C1304" s="4" t="str">
        <f>FEATURES!L1304</f>
        <v>NORMAL</v>
      </c>
      <c r="D1304" s="4" t="str">
        <f>FEATURES!R1304</f>
        <v>LOW</v>
      </c>
      <c r="E1304" s="4" t="str">
        <f>FEATURES!Q1304</f>
        <v>HIGHLY_ENGAGED</v>
      </c>
      <c r="F1304" s="4" t="str">
        <f>FEATURES!P1304</f>
        <v>Low_Pressure</v>
      </c>
      <c r="G1304" s="4" t="str">
        <f>FEATURES!M1304</f>
        <v>LOW</v>
      </c>
      <c r="H1304" s="4" t="str">
        <f>FEATURES!O1304</f>
        <v>RECENTLY PROMOTED</v>
      </c>
      <c r="I1304" s="4" t="str">
        <f t="shared" si="5"/>
        <v>LOW RISK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</row>
    <row r="1305" spans="1:27" ht="13.2" x14ac:dyDescent="0.25">
      <c r="A1305" s="4">
        <v>1827</v>
      </c>
      <c r="B1305" s="4" t="s">
        <v>45</v>
      </c>
      <c r="C1305" s="4" t="str">
        <f>FEATURES!L1305</f>
        <v>HIGH RISK</v>
      </c>
      <c r="D1305" s="4" t="str">
        <f>FEATURES!R1305</f>
        <v>LOW</v>
      </c>
      <c r="E1305" s="4" t="str">
        <f>FEATURES!Q1305</f>
        <v>DISENGAGED</v>
      </c>
      <c r="F1305" s="4" t="str">
        <f>FEATURES!P1305</f>
        <v>Medium_Pressure</v>
      </c>
      <c r="G1305" s="4" t="str">
        <f>FEATURES!M1305</f>
        <v>MEDIUM</v>
      </c>
      <c r="H1305" s="4" t="str">
        <f>FEATURES!O1305</f>
        <v>STAGNANT</v>
      </c>
      <c r="I1305" s="4" t="str">
        <f t="shared" si="5"/>
        <v>LOW RISK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</row>
    <row r="1306" spans="1:27" ht="13.2" x14ac:dyDescent="0.25">
      <c r="A1306" s="4">
        <v>1829</v>
      </c>
      <c r="B1306" s="4" t="s">
        <v>45</v>
      </c>
      <c r="C1306" s="4" t="str">
        <f>FEATURES!L1306</f>
        <v>NORMAL</v>
      </c>
      <c r="D1306" s="4" t="str">
        <f>FEATURES!R1306</f>
        <v>LOW</v>
      </c>
      <c r="E1306" s="4" t="str">
        <f>FEATURES!Q1306</f>
        <v>DISENGAGED</v>
      </c>
      <c r="F1306" s="4" t="str">
        <f>FEATURES!P1306</f>
        <v>Medium_Pressure</v>
      </c>
      <c r="G1306" s="4" t="str">
        <f>FEATURES!M1306</f>
        <v>HIGH</v>
      </c>
      <c r="H1306" s="4" t="str">
        <f>FEATURES!O1306</f>
        <v>STAGNANT</v>
      </c>
      <c r="I1306" s="4" t="str">
        <f t="shared" si="5"/>
        <v>LOW RISK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</row>
    <row r="1307" spans="1:27" ht="13.2" x14ac:dyDescent="0.25">
      <c r="A1307" s="4">
        <v>1830</v>
      </c>
      <c r="B1307" s="4" t="s">
        <v>45</v>
      </c>
      <c r="C1307" s="4" t="str">
        <f>FEATURES!L1307</f>
        <v>NORMAL</v>
      </c>
      <c r="D1307" s="4" t="str">
        <f>FEATURES!R1307</f>
        <v>LOW</v>
      </c>
      <c r="E1307" s="4" t="str">
        <f>FEATURES!Q1307</f>
        <v>DISENGAGED</v>
      </c>
      <c r="F1307" s="4" t="str">
        <f>FEATURES!P1307</f>
        <v>Low_Pressure</v>
      </c>
      <c r="G1307" s="4" t="str">
        <f>FEATURES!M1307</f>
        <v>HIGH</v>
      </c>
      <c r="H1307" s="4" t="str">
        <f>FEATURES!O1307</f>
        <v>RECENTLY PROMOTED</v>
      </c>
      <c r="I1307" s="4" t="str">
        <f t="shared" si="5"/>
        <v>LOW RISK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</row>
    <row r="1308" spans="1:27" ht="13.2" x14ac:dyDescent="0.25">
      <c r="A1308" s="4">
        <v>1833</v>
      </c>
      <c r="B1308" s="4" t="s">
        <v>37</v>
      </c>
      <c r="C1308" s="4" t="str">
        <f>FEATURES!L1308</f>
        <v>NORMAL</v>
      </c>
      <c r="D1308" s="4" t="str">
        <f>FEATURES!R1308</f>
        <v>LOW</v>
      </c>
      <c r="E1308" s="4" t="str">
        <f>FEATURES!Q1308</f>
        <v>DISENGAGED</v>
      </c>
      <c r="F1308" s="4" t="str">
        <f>FEATURES!P1308</f>
        <v>Medium_Pressure</v>
      </c>
      <c r="G1308" s="4" t="str">
        <f>FEATURES!M1308</f>
        <v>MEDIUM</v>
      </c>
      <c r="H1308" s="4" t="str">
        <f>FEATURES!O1308</f>
        <v>MODERATE-WAIT</v>
      </c>
      <c r="I1308" s="4" t="str">
        <f t="shared" si="5"/>
        <v>LOW RISK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</row>
    <row r="1309" spans="1:27" ht="13.2" x14ac:dyDescent="0.25">
      <c r="A1309" s="4">
        <v>1834</v>
      </c>
      <c r="B1309" s="4" t="s">
        <v>45</v>
      </c>
      <c r="C1309" s="4" t="str">
        <f>FEATURES!L1309</f>
        <v>NORMAL</v>
      </c>
      <c r="D1309" s="4" t="str">
        <f>FEATURES!R1309</f>
        <v>LOW</v>
      </c>
      <c r="E1309" s="4" t="str">
        <f>FEATURES!Q1309</f>
        <v>DISENGAGED</v>
      </c>
      <c r="F1309" s="4" t="str">
        <f>FEATURES!P1309</f>
        <v>Medium_Pressure</v>
      </c>
      <c r="G1309" s="4" t="str">
        <f>FEATURES!M1309</f>
        <v>LOW</v>
      </c>
      <c r="H1309" s="4" t="str">
        <f>FEATURES!O1309</f>
        <v>RECENTLY PROMOTED</v>
      </c>
      <c r="I1309" s="4" t="str">
        <f t="shared" si="5"/>
        <v>LOW RISK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</row>
    <row r="1310" spans="1:27" ht="13.2" x14ac:dyDescent="0.25">
      <c r="A1310" s="4">
        <v>1835</v>
      </c>
      <c r="B1310" s="4" t="s">
        <v>37</v>
      </c>
      <c r="C1310" s="4" t="str">
        <f>FEATURES!L1310</f>
        <v>NORMAL</v>
      </c>
      <c r="D1310" s="4" t="str">
        <f>FEATURES!R1310</f>
        <v>LOW</v>
      </c>
      <c r="E1310" s="4" t="str">
        <f>FEATURES!Q1310</f>
        <v>DISENGAGED</v>
      </c>
      <c r="F1310" s="4" t="str">
        <f>FEATURES!P1310</f>
        <v>High_Pressure</v>
      </c>
      <c r="G1310" s="4" t="str">
        <f>FEATURES!M1310</f>
        <v>HIGH</v>
      </c>
      <c r="H1310" s="4" t="str">
        <f>FEATURES!O1310</f>
        <v>RECENTLY PROMOTED</v>
      </c>
      <c r="I1310" s="4" t="str">
        <f t="shared" si="5"/>
        <v>LOW RISK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</row>
    <row r="1311" spans="1:27" ht="13.2" x14ac:dyDescent="0.25">
      <c r="A1311" s="4">
        <v>1836</v>
      </c>
      <c r="B1311" s="4" t="s">
        <v>37</v>
      </c>
      <c r="C1311" s="4" t="str">
        <f>FEATURES!L1311</f>
        <v>NORMAL</v>
      </c>
      <c r="D1311" s="4" t="str">
        <f>FEATURES!R1311</f>
        <v>LOW</v>
      </c>
      <c r="E1311" s="4" t="str">
        <f>FEATURES!Q1311</f>
        <v>HIGHLY_ENGAGED</v>
      </c>
      <c r="F1311" s="4" t="str">
        <f>FEATURES!P1311</f>
        <v>Medium_Pressure</v>
      </c>
      <c r="G1311" s="4" t="str">
        <f>FEATURES!M1311</f>
        <v>HIGH</v>
      </c>
      <c r="H1311" s="4" t="str">
        <f>FEATURES!O1311</f>
        <v>RECENTLY PROMOTED</v>
      </c>
      <c r="I1311" s="4" t="str">
        <f t="shared" si="5"/>
        <v>LOW RISK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</row>
    <row r="1312" spans="1:27" ht="13.2" x14ac:dyDescent="0.25">
      <c r="A1312" s="4">
        <v>1837</v>
      </c>
      <c r="B1312" s="4" t="s">
        <v>45</v>
      </c>
      <c r="C1312" s="4" t="str">
        <f>FEATURES!L1312</f>
        <v>NORMAL</v>
      </c>
      <c r="D1312" s="4" t="str">
        <f>FEATURES!R1312</f>
        <v>LOW</v>
      </c>
      <c r="E1312" s="4" t="str">
        <f>FEATURES!Q1312</f>
        <v>HIGHLY_ENGAGED</v>
      </c>
      <c r="F1312" s="4" t="str">
        <f>FEATURES!P1312</f>
        <v>Medium_Pressure</v>
      </c>
      <c r="G1312" s="4" t="str">
        <f>FEATURES!M1312</f>
        <v>MEDIUM</v>
      </c>
      <c r="H1312" s="4" t="str">
        <f>FEATURES!O1312</f>
        <v>MODERATE-WAIT</v>
      </c>
      <c r="I1312" s="4" t="str">
        <f t="shared" si="5"/>
        <v>LOW RISK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</row>
    <row r="1313" spans="1:27" ht="13.2" x14ac:dyDescent="0.25">
      <c r="A1313" s="4">
        <v>1839</v>
      </c>
      <c r="B1313" s="4" t="s">
        <v>45</v>
      </c>
      <c r="C1313" s="4" t="str">
        <f>FEATURES!L1313</f>
        <v>NORMAL</v>
      </c>
      <c r="D1313" s="4" t="str">
        <f>FEATURES!R1313</f>
        <v>LOW</v>
      </c>
      <c r="E1313" s="4" t="str">
        <f>FEATURES!Q1313</f>
        <v>DISENGAGED</v>
      </c>
      <c r="F1313" s="4" t="str">
        <f>FEATURES!P1313</f>
        <v>Low_Pressure</v>
      </c>
      <c r="G1313" s="4" t="str">
        <f>FEATURES!M1313</f>
        <v>LOW</v>
      </c>
      <c r="H1313" s="4" t="str">
        <f>FEATURES!O1313</f>
        <v>RECENTLY PROMOTED</v>
      </c>
      <c r="I1313" s="4" t="str">
        <f t="shared" si="5"/>
        <v>LOW RISK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</row>
    <row r="1314" spans="1:27" ht="13.2" x14ac:dyDescent="0.25">
      <c r="A1314" s="4">
        <v>1842</v>
      </c>
      <c r="B1314" s="4" t="s">
        <v>61</v>
      </c>
      <c r="C1314" s="4" t="str">
        <f>FEATURES!L1314</f>
        <v>NORMAL</v>
      </c>
      <c r="D1314" s="4" t="str">
        <f>FEATURES!R1314</f>
        <v>LOW</v>
      </c>
      <c r="E1314" s="4" t="str">
        <f>FEATURES!Q1314</f>
        <v>DISENGAGED</v>
      </c>
      <c r="F1314" s="4" t="str">
        <f>FEATURES!P1314</f>
        <v>Medium_Pressure</v>
      </c>
      <c r="G1314" s="4" t="str">
        <f>FEATURES!M1314</f>
        <v>LOW</v>
      </c>
      <c r="H1314" s="4" t="str">
        <f>FEATURES!O1314</f>
        <v>RECENTLY PROMOTED</v>
      </c>
      <c r="I1314" s="4" t="str">
        <f t="shared" si="5"/>
        <v>LOW RISK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</row>
    <row r="1315" spans="1:27" ht="13.2" x14ac:dyDescent="0.25">
      <c r="A1315" s="4">
        <v>1844</v>
      </c>
      <c r="B1315" s="4" t="s">
        <v>61</v>
      </c>
      <c r="C1315" s="4" t="str">
        <f>FEATURES!L1315</f>
        <v>NORMAL</v>
      </c>
      <c r="D1315" s="4" t="str">
        <f>FEATURES!R1315</f>
        <v>LOW</v>
      </c>
      <c r="E1315" s="4" t="str">
        <f>FEATURES!Q1315</f>
        <v>DISENGAGED</v>
      </c>
      <c r="F1315" s="4" t="str">
        <f>FEATURES!P1315</f>
        <v>Medium_Pressure</v>
      </c>
      <c r="G1315" s="4" t="str">
        <f>FEATURES!M1315</f>
        <v>LOW</v>
      </c>
      <c r="H1315" s="4" t="str">
        <f>FEATURES!O1315</f>
        <v>MODERATE-WAIT</v>
      </c>
      <c r="I1315" s="4" t="str">
        <f t="shared" si="5"/>
        <v>LOW RISK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</row>
    <row r="1316" spans="1:27" ht="13.2" x14ac:dyDescent="0.25">
      <c r="A1316" s="4">
        <v>1845</v>
      </c>
      <c r="B1316" s="4" t="s">
        <v>37</v>
      </c>
      <c r="C1316" s="4" t="str">
        <f>FEATURES!L1316</f>
        <v>NORMAL</v>
      </c>
      <c r="D1316" s="4" t="str">
        <f>FEATURES!R1316</f>
        <v>LOW</v>
      </c>
      <c r="E1316" s="4" t="str">
        <f>FEATURES!Q1316</f>
        <v>HIGHLY_ENGAGED</v>
      </c>
      <c r="F1316" s="4" t="str">
        <f>FEATURES!P1316</f>
        <v>Low_Pressure</v>
      </c>
      <c r="G1316" s="4" t="str">
        <f>FEATURES!M1316</f>
        <v>HIGH</v>
      </c>
      <c r="H1316" s="4" t="str">
        <f>FEATURES!O1316</f>
        <v>STAGNANT</v>
      </c>
      <c r="I1316" s="4" t="str">
        <f t="shared" si="5"/>
        <v>LOW RISK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</row>
    <row r="1317" spans="1:27" ht="13.2" x14ac:dyDescent="0.25">
      <c r="A1317" s="4">
        <v>1847</v>
      </c>
      <c r="B1317" s="4" t="s">
        <v>45</v>
      </c>
      <c r="C1317" s="4" t="str">
        <f>FEATURES!L1317</f>
        <v>NORMAL</v>
      </c>
      <c r="D1317" s="4" t="str">
        <f>FEATURES!R1317</f>
        <v>LOW</v>
      </c>
      <c r="E1317" s="4" t="str">
        <f>FEATURES!Q1317</f>
        <v>DISENGAGED</v>
      </c>
      <c r="F1317" s="4" t="str">
        <f>FEATURES!P1317</f>
        <v>Medium_Pressure</v>
      </c>
      <c r="G1317" s="4" t="str">
        <f>FEATURES!M1317</f>
        <v>HIGH</v>
      </c>
      <c r="H1317" s="4" t="str">
        <f>FEATURES!O1317</f>
        <v>RECENTLY PROMOTED</v>
      </c>
      <c r="I1317" s="4" t="str">
        <f t="shared" si="5"/>
        <v>LOW RISK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</row>
    <row r="1318" spans="1:27" ht="13.2" x14ac:dyDescent="0.25">
      <c r="A1318" s="4">
        <v>1849</v>
      </c>
      <c r="B1318" s="4" t="s">
        <v>37</v>
      </c>
      <c r="C1318" s="4" t="str">
        <f>FEATURES!L1318</f>
        <v>NORMAL</v>
      </c>
      <c r="D1318" s="4" t="str">
        <f>FEATURES!R1318</f>
        <v>LOW</v>
      </c>
      <c r="E1318" s="4" t="str">
        <f>FEATURES!Q1318</f>
        <v>HIGHLY_ENGAGED</v>
      </c>
      <c r="F1318" s="4" t="str">
        <f>FEATURES!P1318</f>
        <v>Medium_Pressure</v>
      </c>
      <c r="G1318" s="4" t="str">
        <f>FEATURES!M1318</f>
        <v>HIGH</v>
      </c>
      <c r="H1318" s="4" t="str">
        <f>FEATURES!O1318</f>
        <v>STAGNANT</v>
      </c>
      <c r="I1318" s="4" t="str">
        <f t="shared" si="5"/>
        <v>LOW RISK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</row>
    <row r="1319" spans="1:27" ht="13.2" x14ac:dyDescent="0.25">
      <c r="A1319" s="4">
        <v>1850</v>
      </c>
      <c r="B1319" s="4" t="s">
        <v>45</v>
      </c>
      <c r="C1319" s="4" t="str">
        <f>FEATURES!L1319</f>
        <v>NORMAL</v>
      </c>
      <c r="D1319" s="4" t="str">
        <f>FEATURES!R1319</f>
        <v>LOW</v>
      </c>
      <c r="E1319" s="4" t="str">
        <f>FEATURES!Q1319</f>
        <v>DISENGAGED</v>
      </c>
      <c r="F1319" s="4" t="str">
        <f>FEATURES!P1319</f>
        <v>High_Pressure</v>
      </c>
      <c r="G1319" s="4" t="str">
        <f>FEATURES!M1319</f>
        <v>LOW</v>
      </c>
      <c r="H1319" s="4" t="str">
        <f>FEATURES!O1319</f>
        <v>RECENTLY PROMOTED</v>
      </c>
      <c r="I1319" s="4" t="str">
        <f t="shared" si="5"/>
        <v>LOW RISK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</row>
    <row r="1320" spans="1:27" ht="13.2" x14ac:dyDescent="0.25">
      <c r="A1320" s="4">
        <v>1852</v>
      </c>
      <c r="B1320" s="4" t="s">
        <v>45</v>
      </c>
      <c r="C1320" s="4" t="str">
        <f>FEATURES!L1320</f>
        <v>NORMAL</v>
      </c>
      <c r="D1320" s="4" t="str">
        <f>FEATURES!R1320</f>
        <v>LOW</v>
      </c>
      <c r="E1320" s="4" t="str">
        <f>FEATURES!Q1320</f>
        <v>HIGHLY_ENGAGED</v>
      </c>
      <c r="F1320" s="4" t="str">
        <f>FEATURES!P1320</f>
        <v>Low_Pressure</v>
      </c>
      <c r="G1320" s="4" t="str">
        <f>FEATURES!M1320</f>
        <v>LOW</v>
      </c>
      <c r="H1320" s="4" t="str">
        <f>FEATURES!O1320</f>
        <v>MODERATE-WAIT</v>
      </c>
      <c r="I1320" s="4" t="str">
        <f t="shared" si="5"/>
        <v>LOW RISK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</row>
    <row r="1321" spans="1:27" ht="13.2" x14ac:dyDescent="0.25">
      <c r="A1321" s="4">
        <v>1853</v>
      </c>
      <c r="B1321" s="4" t="s">
        <v>37</v>
      </c>
      <c r="C1321" s="4" t="str">
        <f>FEATURES!L1321</f>
        <v>NORMAL</v>
      </c>
      <c r="D1321" s="4" t="str">
        <f>FEATURES!R1321</f>
        <v>LOW</v>
      </c>
      <c r="E1321" s="4" t="str">
        <f>FEATURES!Q1321</f>
        <v>HIGHLY_ENGAGED</v>
      </c>
      <c r="F1321" s="4" t="str">
        <f>FEATURES!P1321</f>
        <v>Low_Pressure</v>
      </c>
      <c r="G1321" s="4" t="str">
        <f>FEATURES!M1321</f>
        <v>HIGH</v>
      </c>
      <c r="H1321" s="4" t="str">
        <f>FEATURES!O1321</f>
        <v>RECENTLY PROMOTED</v>
      </c>
      <c r="I1321" s="4" t="str">
        <f t="shared" si="5"/>
        <v>LOW RISK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</row>
    <row r="1322" spans="1:27" ht="13.2" x14ac:dyDescent="0.25">
      <c r="A1322" s="4">
        <v>1854</v>
      </c>
      <c r="B1322" s="4" t="s">
        <v>45</v>
      </c>
      <c r="C1322" s="4" t="str">
        <f>FEATURES!L1322</f>
        <v>NORMAL</v>
      </c>
      <c r="D1322" s="4" t="str">
        <f>FEATURES!R1322</f>
        <v>LOW</v>
      </c>
      <c r="E1322" s="4" t="str">
        <f>FEATURES!Q1322</f>
        <v>DISENGAGED</v>
      </c>
      <c r="F1322" s="4" t="str">
        <f>FEATURES!P1322</f>
        <v>Low_Pressure</v>
      </c>
      <c r="G1322" s="4" t="str">
        <f>FEATURES!M1322</f>
        <v>LOW</v>
      </c>
      <c r="H1322" s="4" t="str">
        <f>FEATURES!O1322</f>
        <v>MODERATE-WAIT</v>
      </c>
      <c r="I1322" s="4" t="str">
        <f t="shared" si="5"/>
        <v>LOW RISK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</row>
    <row r="1323" spans="1:27" ht="13.2" x14ac:dyDescent="0.25">
      <c r="A1323" s="4">
        <v>1856</v>
      </c>
      <c r="B1323" s="4" t="s">
        <v>45</v>
      </c>
      <c r="C1323" s="4" t="str">
        <f>FEATURES!L1323</f>
        <v>NORMAL</v>
      </c>
      <c r="D1323" s="4" t="str">
        <f>FEATURES!R1323</f>
        <v>LOW</v>
      </c>
      <c r="E1323" s="4" t="str">
        <f>FEATURES!Q1323</f>
        <v>HIGHLY_ENGAGED</v>
      </c>
      <c r="F1323" s="4" t="str">
        <f>FEATURES!P1323</f>
        <v>Medium_Pressure</v>
      </c>
      <c r="G1323" s="4" t="str">
        <f>FEATURES!M1323</f>
        <v>LOW</v>
      </c>
      <c r="H1323" s="4" t="str">
        <f>FEATURES!O1323</f>
        <v>MODERATE-WAIT</v>
      </c>
      <c r="I1323" s="4" t="str">
        <f t="shared" si="5"/>
        <v>LOW RISK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</row>
    <row r="1324" spans="1:27" ht="13.2" x14ac:dyDescent="0.25">
      <c r="A1324" s="4">
        <v>1857</v>
      </c>
      <c r="B1324" s="4" t="s">
        <v>45</v>
      </c>
      <c r="C1324" s="4" t="str">
        <f>FEATURES!L1324</f>
        <v>NORMAL</v>
      </c>
      <c r="D1324" s="4" t="str">
        <f>FEATURES!R1324</f>
        <v>LOW</v>
      </c>
      <c r="E1324" s="4" t="str">
        <f>FEATURES!Q1324</f>
        <v>DISENGAGED</v>
      </c>
      <c r="F1324" s="4" t="str">
        <f>FEATURES!P1324</f>
        <v>Low_Pressure</v>
      </c>
      <c r="G1324" s="4" t="str">
        <f>FEATURES!M1324</f>
        <v>HIGH</v>
      </c>
      <c r="H1324" s="4" t="str">
        <f>FEATURES!O1324</f>
        <v>STAGNANT</v>
      </c>
      <c r="I1324" s="4" t="str">
        <f t="shared" si="5"/>
        <v>LOW RISK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</row>
    <row r="1325" spans="1:27" ht="13.2" x14ac:dyDescent="0.25">
      <c r="A1325" s="4">
        <v>1858</v>
      </c>
      <c r="B1325" s="4" t="s">
        <v>61</v>
      </c>
      <c r="C1325" s="4" t="str">
        <f>FEATURES!L1325</f>
        <v>NORMAL</v>
      </c>
      <c r="D1325" s="4" t="str">
        <f>FEATURES!R1325</f>
        <v>LOW</v>
      </c>
      <c r="E1325" s="4" t="str">
        <f>FEATURES!Q1325</f>
        <v>HIGHLY_ENGAGED</v>
      </c>
      <c r="F1325" s="4" t="str">
        <f>FEATURES!P1325</f>
        <v>Medium_Pressure</v>
      </c>
      <c r="G1325" s="4" t="str">
        <f>FEATURES!M1325</f>
        <v>LOW</v>
      </c>
      <c r="H1325" s="4" t="str">
        <f>FEATURES!O1325</f>
        <v>MODERATE-WAIT</v>
      </c>
      <c r="I1325" s="4" t="str">
        <f t="shared" si="5"/>
        <v>LOW RISK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</row>
    <row r="1326" spans="1:27" ht="13.2" x14ac:dyDescent="0.25">
      <c r="A1326" s="4">
        <v>1859</v>
      </c>
      <c r="B1326" s="4" t="s">
        <v>45</v>
      </c>
      <c r="C1326" s="4" t="str">
        <f>FEATURES!L1326</f>
        <v>NORMAL</v>
      </c>
      <c r="D1326" s="4" t="str">
        <f>FEATURES!R1326</f>
        <v>LOW</v>
      </c>
      <c r="E1326" s="4" t="str">
        <f>FEATURES!Q1326</f>
        <v>HIGHLY_ENGAGED</v>
      </c>
      <c r="F1326" s="4" t="str">
        <f>FEATURES!P1326</f>
        <v>Medium_Pressure</v>
      </c>
      <c r="G1326" s="4" t="str">
        <f>FEATURES!M1326</f>
        <v>HIGH</v>
      </c>
      <c r="H1326" s="4" t="str">
        <f>FEATURES!O1326</f>
        <v>RECENTLY PROMOTED</v>
      </c>
      <c r="I1326" s="4" t="str">
        <f t="shared" si="5"/>
        <v>LOW RISK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</row>
    <row r="1327" spans="1:27" ht="13.2" x14ac:dyDescent="0.25">
      <c r="A1327" s="4">
        <v>1860</v>
      </c>
      <c r="B1327" s="4" t="s">
        <v>45</v>
      </c>
      <c r="C1327" s="4" t="str">
        <f>FEATURES!L1327</f>
        <v>NORMAL</v>
      </c>
      <c r="D1327" s="4" t="str">
        <f>FEATURES!R1327</f>
        <v>LOW</v>
      </c>
      <c r="E1327" s="4" t="str">
        <f>FEATURES!Q1327</f>
        <v>HIGHLY_ENGAGED</v>
      </c>
      <c r="F1327" s="4" t="str">
        <f>FEATURES!P1327</f>
        <v>Medium_Pressure</v>
      </c>
      <c r="G1327" s="4" t="str">
        <f>FEATURES!M1327</f>
        <v>LOW</v>
      </c>
      <c r="H1327" s="4" t="str">
        <f>FEATURES!O1327</f>
        <v>RECENTLY PROMOTED</v>
      </c>
      <c r="I1327" s="4" t="str">
        <f t="shared" si="5"/>
        <v>LOW RISK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</row>
    <row r="1328" spans="1:27" ht="13.2" x14ac:dyDescent="0.25">
      <c r="A1328" s="4">
        <v>1862</v>
      </c>
      <c r="B1328" s="4" t="s">
        <v>37</v>
      </c>
      <c r="C1328" s="4" t="str">
        <f>FEATURES!L1328</f>
        <v>NORMAL</v>
      </c>
      <c r="D1328" s="4" t="str">
        <f>FEATURES!R1328</f>
        <v>LOW</v>
      </c>
      <c r="E1328" s="4" t="str">
        <f>FEATURES!Q1328</f>
        <v>DISENGAGED</v>
      </c>
      <c r="F1328" s="4" t="str">
        <f>FEATURES!P1328</f>
        <v>High_Pressure</v>
      </c>
      <c r="G1328" s="4" t="str">
        <f>FEATURES!M1328</f>
        <v>MEDIUM</v>
      </c>
      <c r="H1328" s="4" t="str">
        <f>FEATURES!O1328</f>
        <v>MODERATE-WAIT</v>
      </c>
      <c r="I1328" s="4" t="str">
        <f t="shared" si="5"/>
        <v>LOW RISK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</row>
    <row r="1329" spans="1:27" ht="13.2" x14ac:dyDescent="0.25">
      <c r="A1329" s="4">
        <v>1863</v>
      </c>
      <c r="B1329" s="4" t="s">
        <v>37</v>
      </c>
      <c r="C1329" s="4" t="str">
        <f>FEATURES!L1329</f>
        <v>NORMAL</v>
      </c>
      <c r="D1329" s="4" t="str">
        <f>FEATURES!R1329</f>
        <v>LOW</v>
      </c>
      <c r="E1329" s="4" t="str">
        <f>FEATURES!Q1329</f>
        <v>DISENGAGED</v>
      </c>
      <c r="F1329" s="4" t="str">
        <f>FEATURES!P1329</f>
        <v>Medium_Pressure</v>
      </c>
      <c r="G1329" s="4" t="str">
        <f>FEATURES!M1329</f>
        <v>MEDIUM</v>
      </c>
      <c r="H1329" s="4" t="str">
        <f>FEATURES!O1329</f>
        <v>MODERATE-WAIT</v>
      </c>
      <c r="I1329" s="4" t="str">
        <f t="shared" si="5"/>
        <v>LOW RISK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</row>
    <row r="1330" spans="1:27" ht="13.2" x14ac:dyDescent="0.25">
      <c r="A1330" s="4">
        <v>1864</v>
      </c>
      <c r="B1330" s="4" t="s">
        <v>37</v>
      </c>
      <c r="C1330" s="4" t="str">
        <f>FEATURES!L1330</f>
        <v>NORMAL</v>
      </c>
      <c r="D1330" s="4" t="str">
        <f>FEATURES!R1330</f>
        <v>LOW</v>
      </c>
      <c r="E1330" s="4" t="str">
        <f>FEATURES!Q1330</f>
        <v>HIGHLY_ENGAGED</v>
      </c>
      <c r="F1330" s="4" t="str">
        <f>FEATURES!P1330</f>
        <v>Medium_Pressure</v>
      </c>
      <c r="G1330" s="4" t="str">
        <f>FEATURES!M1330</f>
        <v>LOW</v>
      </c>
      <c r="H1330" s="4" t="str">
        <f>FEATURES!O1330</f>
        <v>STAGNANT</v>
      </c>
      <c r="I1330" s="4" t="str">
        <f t="shared" si="5"/>
        <v>LOW RISK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</row>
    <row r="1331" spans="1:27" ht="13.2" x14ac:dyDescent="0.25">
      <c r="A1331" s="4">
        <v>1865</v>
      </c>
      <c r="B1331" s="4" t="s">
        <v>61</v>
      </c>
      <c r="C1331" s="4" t="str">
        <f>FEATURES!L1331</f>
        <v>NORMAL</v>
      </c>
      <c r="D1331" s="4" t="str">
        <f>FEATURES!R1331</f>
        <v>LOW</v>
      </c>
      <c r="E1331" s="4" t="str">
        <f>FEATURES!Q1331</f>
        <v>DISENGAGED</v>
      </c>
      <c r="F1331" s="4" t="str">
        <f>FEATURES!P1331</f>
        <v>Medium_Pressure</v>
      </c>
      <c r="G1331" s="4" t="str">
        <f>FEATURES!M1331</f>
        <v>LOW</v>
      </c>
      <c r="H1331" s="4" t="str">
        <f>FEATURES!O1331</f>
        <v>RECENTLY PROMOTED</v>
      </c>
      <c r="I1331" s="4" t="str">
        <f t="shared" si="5"/>
        <v>LOW RISK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</row>
    <row r="1332" spans="1:27" ht="13.2" x14ac:dyDescent="0.25">
      <c r="A1332" s="4">
        <v>1866</v>
      </c>
      <c r="B1332" s="4" t="s">
        <v>45</v>
      </c>
      <c r="C1332" s="4" t="str">
        <f>FEATURES!L1332</f>
        <v>NORMAL</v>
      </c>
      <c r="D1332" s="4" t="str">
        <f>FEATURES!R1332</f>
        <v>LOW</v>
      </c>
      <c r="E1332" s="4" t="str">
        <f>FEATURES!Q1332</f>
        <v>HIGHLY_ENGAGED</v>
      </c>
      <c r="F1332" s="4" t="str">
        <f>FEATURES!P1332</f>
        <v>Medium_Pressure</v>
      </c>
      <c r="G1332" s="4" t="str">
        <f>FEATURES!M1332</f>
        <v>MEDIUM</v>
      </c>
      <c r="H1332" s="4" t="str">
        <f>FEATURES!O1332</f>
        <v>STAGNANT</v>
      </c>
      <c r="I1332" s="4" t="str">
        <f t="shared" si="5"/>
        <v>LOW RISK</v>
      </c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</row>
    <row r="1333" spans="1:27" ht="13.2" x14ac:dyDescent="0.25">
      <c r="A1333" s="4">
        <v>1867</v>
      </c>
      <c r="B1333" s="4" t="s">
        <v>45</v>
      </c>
      <c r="C1333" s="4" t="str">
        <f>FEATURES!L1333</f>
        <v>NORMAL</v>
      </c>
      <c r="D1333" s="4" t="str">
        <f>FEATURES!R1333</f>
        <v>LOW</v>
      </c>
      <c r="E1333" s="4" t="str">
        <f>FEATURES!Q1333</f>
        <v>DISENGAGED</v>
      </c>
      <c r="F1333" s="4" t="str">
        <f>FEATURES!P1333</f>
        <v>Medium_Pressure</v>
      </c>
      <c r="G1333" s="4" t="str">
        <f>FEATURES!M1333</f>
        <v>MEDIUM</v>
      </c>
      <c r="H1333" s="4" t="str">
        <f>FEATURES!O1333</f>
        <v>STAGNANT</v>
      </c>
      <c r="I1333" s="4" t="str">
        <f t="shared" si="5"/>
        <v>LOW RISK</v>
      </c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</row>
    <row r="1334" spans="1:27" ht="13.2" x14ac:dyDescent="0.25">
      <c r="A1334" s="4">
        <v>1868</v>
      </c>
      <c r="B1334" s="4" t="s">
        <v>45</v>
      </c>
      <c r="C1334" s="4" t="str">
        <f>FEATURES!L1334</f>
        <v>NORMAL</v>
      </c>
      <c r="D1334" s="4" t="str">
        <f>FEATURES!R1334</f>
        <v>LOW</v>
      </c>
      <c r="E1334" s="4" t="str">
        <f>FEATURES!Q1334</f>
        <v>DISENGAGED</v>
      </c>
      <c r="F1334" s="4" t="str">
        <f>FEATURES!P1334</f>
        <v>High_Pressure</v>
      </c>
      <c r="G1334" s="4" t="str">
        <f>FEATURES!M1334</f>
        <v>LOW</v>
      </c>
      <c r="H1334" s="4" t="str">
        <f>FEATURES!O1334</f>
        <v>RECENTLY PROMOTED</v>
      </c>
      <c r="I1334" s="4" t="str">
        <f t="shared" si="5"/>
        <v>LOW RISK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</row>
    <row r="1335" spans="1:27" ht="13.2" x14ac:dyDescent="0.25">
      <c r="A1335" s="4">
        <v>1869</v>
      </c>
      <c r="B1335" s="4" t="s">
        <v>37</v>
      </c>
      <c r="C1335" s="4" t="str">
        <f>FEATURES!L1335</f>
        <v>NORMAL</v>
      </c>
      <c r="D1335" s="4" t="str">
        <f>FEATURES!R1335</f>
        <v>LOW</v>
      </c>
      <c r="E1335" s="4" t="str">
        <f>FEATURES!Q1335</f>
        <v>DISENGAGED</v>
      </c>
      <c r="F1335" s="4" t="str">
        <f>FEATURES!P1335</f>
        <v>Medium_Pressure</v>
      </c>
      <c r="G1335" s="4" t="str">
        <f>FEATURES!M1335</f>
        <v>HIGH</v>
      </c>
      <c r="H1335" s="4" t="str">
        <f>FEATURES!O1335</f>
        <v>RECENTLY PROMOTED</v>
      </c>
      <c r="I1335" s="4" t="str">
        <f t="shared" si="5"/>
        <v>LOW RISK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</row>
    <row r="1336" spans="1:27" ht="13.2" x14ac:dyDescent="0.25">
      <c r="A1336" s="4">
        <v>1870</v>
      </c>
      <c r="B1336" s="4" t="s">
        <v>45</v>
      </c>
      <c r="C1336" s="4" t="str">
        <f>FEATURES!L1336</f>
        <v>NORMAL</v>
      </c>
      <c r="D1336" s="4" t="str">
        <f>FEATURES!R1336</f>
        <v>LOW</v>
      </c>
      <c r="E1336" s="4" t="str">
        <f>FEATURES!Q1336</f>
        <v>DISENGAGED</v>
      </c>
      <c r="F1336" s="4" t="str">
        <f>FEATURES!P1336</f>
        <v>Low_Pressure</v>
      </c>
      <c r="G1336" s="4" t="str">
        <f>FEATURES!M1336</f>
        <v>HIGH</v>
      </c>
      <c r="H1336" s="4" t="str">
        <f>FEATURES!O1336</f>
        <v>STAGNANT</v>
      </c>
      <c r="I1336" s="4" t="str">
        <f t="shared" si="5"/>
        <v>LOW RISK</v>
      </c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</row>
    <row r="1337" spans="1:27" ht="13.2" x14ac:dyDescent="0.25">
      <c r="A1337" s="4">
        <v>1871</v>
      </c>
      <c r="B1337" s="4" t="s">
        <v>45</v>
      </c>
      <c r="C1337" s="4" t="str">
        <f>FEATURES!L1337</f>
        <v>NORMAL</v>
      </c>
      <c r="D1337" s="4" t="str">
        <f>FEATURES!R1337</f>
        <v>LOW</v>
      </c>
      <c r="E1337" s="4" t="str">
        <f>FEATURES!Q1337</f>
        <v>HIGHLY_ENGAGED</v>
      </c>
      <c r="F1337" s="4" t="str">
        <f>FEATURES!P1337</f>
        <v>Medium_Pressure</v>
      </c>
      <c r="G1337" s="4" t="str">
        <f>FEATURES!M1337</f>
        <v>LOW</v>
      </c>
      <c r="H1337" s="4" t="str">
        <f>FEATURES!O1337</f>
        <v>MODERATE-WAIT</v>
      </c>
      <c r="I1337" s="4" t="str">
        <f t="shared" si="5"/>
        <v>LOW RISK</v>
      </c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</row>
    <row r="1338" spans="1:27" ht="13.2" x14ac:dyDescent="0.25">
      <c r="A1338" s="4">
        <v>1873</v>
      </c>
      <c r="B1338" s="4" t="s">
        <v>45</v>
      </c>
      <c r="C1338" s="4" t="str">
        <f>FEATURES!L1338</f>
        <v>NORMAL</v>
      </c>
      <c r="D1338" s="4" t="str">
        <f>FEATURES!R1338</f>
        <v>LOW</v>
      </c>
      <c r="E1338" s="4" t="str">
        <f>FEATURES!Q1338</f>
        <v>HIGHLY_ENGAGED</v>
      </c>
      <c r="F1338" s="4" t="str">
        <f>FEATURES!P1338</f>
        <v>Low_Pressure</v>
      </c>
      <c r="G1338" s="4" t="str">
        <f>FEATURES!M1338</f>
        <v>LOW</v>
      </c>
      <c r="H1338" s="4" t="str">
        <f>FEATURES!O1338</f>
        <v>RECENTLY PROMOTED</v>
      </c>
      <c r="I1338" s="4" t="str">
        <f t="shared" si="5"/>
        <v>LOW RISK</v>
      </c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</row>
    <row r="1339" spans="1:27" ht="13.2" x14ac:dyDescent="0.25">
      <c r="A1339" s="4">
        <v>1875</v>
      </c>
      <c r="B1339" s="4" t="s">
        <v>37</v>
      </c>
      <c r="C1339" s="4" t="str">
        <f>FEATURES!L1339</f>
        <v>NORMAL</v>
      </c>
      <c r="D1339" s="4" t="str">
        <f>FEATURES!R1339</f>
        <v>LOW</v>
      </c>
      <c r="E1339" s="4" t="str">
        <f>FEATURES!Q1339</f>
        <v>DISENGAGED</v>
      </c>
      <c r="F1339" s="4" t="str">
        <f>FEATURES!P1339</f>
        <v>Medium_Pressure</v>
      </c>
      <c r="G1339" s="4" t="str">
        <f>FEATURES!M1339</f>
        <v>LOW</v>
      </c>
      <c r="H1339" s="4" t="str">
        <f>FEATURES!O1339</f>
        <v>RECENTLY PROMOTED</v>
      </c>
      <c r="I1339" s="4" t="str">
        <f t="shared" si="5"/>
        <v>LOW RISK</v>
      </c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</row>
    <row r="1340" spans="1:27" ht="13.2" x14ac:dyDescent="0.25">
      <c r="A1340" s="4">
        <v>1876</v>
      </c>
      <c r="B1340" s="4" t="s">
        <v>37</v>
      </c>
      <c r="C1340" s="4" t="str">
        <f>FEATURES!L1340</f>
        <v>NORMAL</v>
      </c>
      <c r="D1340" s="4" t="str">
        <f>FEATURES!R1340</f>
        <v>LOW</v>
      </c>
      <c r="E1340" s="4" t="str">
        <f>FEATURES!Q1340</f>
        <v>DISENGAGED</v>
      </c>
      <c r="F1340" s="4" t="str">
        <f>FEATURES!P1340</f>
        <v>Low_Pressure</v>
      </c>
      <c r="G1340" s="4" t="str">
        <f>FEATURES!M1340</f>
        <v>LOW</v>
      </c>
      <c r="H1340" s="4" t="str">
        <f>FEATURES!O1340</f>
        <v>RECENTLY PROMOTED</v>
      </c>
      <c r="I1340" s="4" t="str">
        <f t="shared" si="5"/>
        <v>LOW RISK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</row>
    <row r="1341" spans="1:27" ht="13.2" x14ac:dyDescent="0.25">
      <c r="A1341" s="4">
        <v>1878</v>
      </c>
      <c r="B1341" s="4" t="s">
        <v>45</v>
      </c>
      <c r="C1341" s="4" t="str">
        <f>FEATURES!L1341</f>
        <v>NORMAL</v>
      </c>
      <c r="D1341" s="4" t="str">
        <f>FEATURES!R1341</f>
        <v>LOW</v>
      </c>
      <c r="E1341" s="4" t="str">
        <f>FEATURES!Q1341</f>
        <v>DISENGAGED</v>
      </c>
      <c r="F1341" s="4" t="str">
        <f>FEATURES!P1341</f>
        <v>Medium_Pressure</v>
      </c>
      <c r="G1341" s="4" t="str">
        <f>FEATURES!M1341</f>
        <v>LOW</v>
      </c>
      <c r="H1341" s="4" t="str">
        <f>FEATURES!O1341</f>
        <v>RECENTLY PROMOTED</v>
      </c>
      <c r="I1341" s="4" t="str">
        <f t="shared" si="5"/>
        <v>LOW RISK</v>
      </c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</row>
    <row r="1342" spans="1:27" ht="13.2" x14ac:dyDescent="0.25">
      <c r="A1342" s="4">
        <v>1880</v>
      </c>
      <c r="B1342" s="4" t="s">
        <v>37</v>
      </c>
      <c r="C1342" s="4" t="str">
        <f>FEATURES!L1342</f>
        <v>NORMAL</v>
      </c>
      <c r="D1342" s="4" t="str">
        <f>FEATURES!R1342</f>
        <v>LOW</v>
      </c>
      <c r="E1342" s="4" t="str">
        <f>FEATURES!Q1342</f>
        <v>HIGHLY_ENGAGED</v>
      </c>
      <c r="F1342" s="4" t="str">
        <f>FEATURES!P1342</f>
        <v>Medium_Pressure</v>
      </c>
      <c r="G1342" s="4" t="str">
        <f>FEATURES!M1342</f>
        <v>HIGH</v>
      </c>
      <c r="H1342" s="4" t="str">
        <f>FEATURES!O1342</f>
        <v>RECENTLY PROMOTED</v>
      </c>
      <c r="I1342" s="4" t="str">
        <f t="shared" si="5"/>
        <v>LOW RISK</v>
      </c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</row>
    <row r="1343" spans="1:27" ht="13.2" x14ac:dyDescent="0.25">
      <c r="A1343" s="4">
        <v>1881</v>
      </c>
      <c r="B1343" s="4" t="s">
        <v>45</v>
      </c>
      <c r="C1343" s="4" t="str">
        <f>FEATURES!L1343</f>
        <v>NORMAL</v>
      </c>
      <c r="D1343" s="4" t="str">
        <f>FEATURES!R1343</f>
        <v>LOW</v>
      </c>
      <c r="E1343" s="4" t="str">
        <f>FEATURES!Q1343</f>
        <v>HIGHLY_ENGAGED</v>
      </c>
      <c r="F1343" s="4" t="str">
        <f>FEATURES!P1343</f>
        <v>Medium_Pressure</v>
      </c>
      <c r="G1343" s="4" t="str">
        <f>FEATURES!M1343</f>
        <v>HIGH</v>
      </c>
      <c r="H1343" s="4" t="str">
        <f>FEATURES!O1343</f>
        <v>RECENTLY PROMOTED</v>
      </c>
      <c r="I1343" s="4" t="str">
        <f t="shared" si="5"/>
        <v>LOW RISK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</row>
    <row r="1344" spans="1:27" ht="13.2" x14ac:dyDescent="0.25">
      <c r="A1344" s="4">
        <v>1882</v>
      </c>
      <c r="B1344" s="4" t="s">
        <v>37</v>
      </c>
      <c r="C1344" s="4" t="str">
        <f>FEATURES!L1344</f>
        <v>NORMAL</v>
      </c>
      <c r="D1344" s="4" t="str">
        <f>FEATURES!R1344</f>
        <v>LOW</v>
      </c>
      <c r="E1344" s="4" t="str">
        <f>FEATURES!Q1344</f>
        <v>HIGHLY_ENGAGED</v>
      </c>
      <c r="F1344" s="4" t="str">
        <f>FEATURES!P1344</f>
        <v>Medium_Pressure</v>
      </c>
      <c r="G1344" s="4" t="str">
        <f>FEATURES!M1344</f>
        <v>MEDIUM</v>
      </c>
      <c r="H1344" s="4" t="str">
        <f>FEATURES!O1344</f>
        <v>RECENTLY PROMOTED</v>
      </c>
      <c r="I1344" s="4" t="str">
        <f t="shared" si="5"/>
        <v>LOW RISK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</row>
    <row r="1345" spans="1:27" ht="13.2" x14ac:dyDescent="0.25">
      <c r="A1345" s="4">
        <v>1883</v>
      </c>
      <c r="B1345" s="4" t="s">
        <v>45</v>
      </c>
      <c r="C1345" s="4" t="str">
        <f>FEATURES!L1345</f>
        <v>NORMAL</v>
      </c>
      <c r="D1345" s="4" t="str">
        <f>FEATURES!R1345</f>
        <v>LOW</v>
      </c>
      <c r="E1345" s="4" t="str">
        <f>FEATURES!Q1345</f>
        <v>DISENGAGED</v>
      </c>
      <c r="F1345" s="4" t="str">
        <f>FEATURES!P1345</f>
        <v>Medium_Pressure</v>
      </c>
      <c r="G1345" s="4" t="str">
        <f>FEATURES!M1345</f>
        <v>LOW</v>
      </c>
      <c r="H1345" s="4" t="str">
        <f>FEATURES!O1345</f>
        <v>RECENTLY PROMOTED</v>
      </c>
      <c r="I1345" s="4" t="str">
        <f t="shared" si="5"/>
        <v>LOW RISK</v>
      </c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</row>
    <row r="1346" spans="1:27" ht="13.2" x14ac:dyDescent="0.25">
      <c r="A1346" s="4">
        <v>1885</v>
      </c>
      <c r="B1346" s="4" t="s">
        <v>45</v>
      </c>
      <c r="C1346" s="4" t="str">
        <f>FEATURES!L1346</f>
        <v>NORMAL</v>
      </c>
      <c r="D1346" s="4" t="str">
        <f>FEATURES!R1346</f>
        <v>LOW</v>
      </c>
      <c r="E1346" s="4" t="str">
        <f>FEATURES!Q1346</f>
        <v>DISENGAGED</v>
      </c>
      <c r="F1346" s="4" t="str">
        <f>FEATURES!P1346</f>
        <v>Medium_Pressure</v>
      </c>
      <c r="G1346" s="4" t="str">
        <f>FEATURES!M1346</f>
        <v>HIGH</v>
      </c>
      <c r="H1346" s="4" t="str">
        <f>FEATURES!O1346</f>
        <v>RECENTLY PROMOTED</v>
      </c>
      <c r="I1346" s="4" t="str">
        <f t="shared" si="5"/>
        <v>LOW RISK</v>
      </c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</row>
    <row r="1347" spans="1:27" ht="13.2" x14ac:dyDescent="0.25">
      <c r="A1347" s="4">
        <v>1886</v>
      </c>
      <c r="B1347" s="4" t="s">
        <v>45</v>
      </c>
      <c r="C1347" s="4" t="str">
        <f>FEATURES!L1347</f>
        <v>NORMAL</v>
      </c>
      <c r="D1347" s="4" t="str">
        <f>FEATURES!R1347</f>
        <v>LOW</v>
      </c>
      <c r="E1347" s="4" t="str">
        <f>FEATURES!Q1347</f>
        <v>DISENGAGED</v>
      </c>
      <c r="F1347" s="4" t="str">
        <f>FEATURES!P1347</f>
        <v>Medium_Pressure</v>
      </c>
      <c r="G1347" s="4" t="str">
        <f>FEATURES!M1347</f>
        <v>HIGH</v>
      </c>
      <c r="H1347" s="4" t="str">
        <f>FEATURES!O1347</f>
        <v>RECENTLY PROMOTED</v>
      </c>
      <c r="I1347" s="4" t="str">
        <f t="shared" si="5"/>
        <v>LOW RISK</v>
      </c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</row>
    <row r="1348" spans="1:27" ht="13.2" x14ac:dyDescent="0.25">
      <c r="A1348" s="4">
        <v>1888</v>
      </c>
      <c r="B1348" s="4" t="s">
        <v>45</v>
      </c>
      <c r="C1348" s="4" t="str">
        <f>FEATURES!L1348</f>
        <v>NORMAL</v>
      </c>
      <c r="D1348" s="4" t="str">
        <f>FEATURES!R1348</f>
        <v>LOW</v>
      </c>
      <c r="E1348" s="4" t="str">
        <f>FEATURES!Q1348</f>
        <v>DISENGAGED</v>
      </c>
      <c r="F1348" s="4" t="str">
        <f>FEATURES!P1348</f>
        <v>Low_Pressure</v>
      </c>
      <c r="G1348" s="4" t="str">
        <f>FEATURES!M1348</f>
        <v>HIGH</v>
      </c>
      <c r="H1348" s="4" t="str">
        <f>FEATURES!O1348</f>
        <v>MODERATE-WAIT</v>
      </c>
      <c r="I1348" s="4" t="str">
        <f t="shared" si="5"/>
        <v>LOW RISK</v>
      </c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</row>
    <row r="1349" spans="1:27" ht="13.2" x14ac:dyDescent="0.25">
      <c r="A1349" s="4">
        <v>1890</v>
      </c>
      <c r="B1349" s="4" t="s">
        <v>61</v>
      </c>
      <c r="C1349" s="4" t="str">
        <f>FEATURES!L1349</f>
        <v>NORMAL</v>
      </c>
      <c r="D1349" s="4" t="str">
        <f>FEATURES!R1349</f>
        <v>LOW</v>
      </c>
      <c r="E1349" s="4" t="str">
        <f>FEATURES!Q1349</f>
        <v>DISENGAGED</v>
      </c>
      <c r="F1349" s="4" t="str">
        <f>FEATURES!P1349</f>
        <v>Low_Pressure</v>
      </c>
      <c r="G1349" s="4" t="str">
        <f>FEATURES!M1349</f>
        <v>LOW</v>
      </c>
      <c r="H1349" s="4" t="str">
        <f>FEATURES!O1349</f>
        <v>RECENTLY PROMOTED</v>
      </c>
      <c r="I1349" s="4" t="str">
        <f t="shared" si="5"/>
        <v>LOW RISK</v>
      </c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</row>
    <row r="1350" spans="1:27" ht="13.2" x14ac:dyDescent="0.25">
      <c r="A1350" s="4">
        <v>1892</v>
      </c>
      <c r="B1350" s="4" t="s">
        <v>45</v>
      </c>
      <c r="C1350" s="4" t="str">
        <f>FEATURES!L1350</f>
        <v>NORMAL</v>
      </c>
      <c r="D1350" s="4" t="str">
        <f>FEATURES!R1350</f>
        <v>LOW</v>
      </c>
      <c r="E1350" s="4" t="str">
        <f>FEATURES!Q1350</f>
        <v>DISENGAGED</v>
      </c>
      <c r="F1350" s="4" t="str">
        <f>FEATURES!P1350</f>
        <v>Medium_Pressure</v>
      </c>
      <c r="G1350" s="4" t="str">
        <f>FEATURES!M1350</f>
        <v>MEDIUM</v>
      </c>
      <c r="H1350" s="4" t="str">
        <f>FEATURES!O1350</f>
        <v>STAGNANT</v>
      </c>
      <c r="I1350" s="4" t="str">
        <f t="shared" si="5"/>
        <v>LOW RISK</v>
      </c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</row>
    <row r="1351" spans="1:27" ht="13.2" x14ac:dyDescent="0.25">
      <c r="A1351" s="4">
        <v>1893</v>
      </c>
      <c r="B1351" s="4" t="s">
        <v>45</v>
      </c>
      <c r="C1351" s="4" t="str">
        <f>FEATURES!L1351</f>
        <v>NORMAL</v>
      </c>
      <c r="D1351" s="4" t="str">
        <f>FEATURES!R1351</f>
        <v>LOW</v>
      </c>
      <c r="E1351" s="4" t="str">
        <f>FEATURES!Q1351</f>
        <v>DISENGAGED</v>
      </c>
      <c r="F1351" s="4" t="str">
        <f>FEATURES!P1351</f>
        <v>High_Pressure</v>
      </c>
      <c r="G1351" s="4" t="str">
        <f>FEATURES!M1351</f>
        <v>LOW</v>
      </c>
      <c r="H1351" s="4" t="str">
        <f>FEATURES!O1351</f>
        <v>RECENTLY PROMOTED</v>
      </c>
      <c r="I1351" s="4" t="str">
        <f t="shared" si="5"/>
        <v>LOW RISK</v>
      </c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</row>
    <row r="1352" spans="1:27" ht="13.2" x14ac:dyDescent="0.25">
      <c r="A1352" s="4">
        <v>1898</v>
      </c>
      <c r="B1352" s="4" t="s">
        <v>37</v>
      </c>
      <c r="C1352" s="4" t="str">
        <f>FEATURES!L1352</f>
        <v>NORMAL</v>
      </c>
      <c r="D1352" s="4" t="str">
        <f>FEATURES!R1352</f>
        <v>LOW</v>
      </c>
      <c r="E1352" s="4" t="str">
        <f>FEATURES!Q1352</f>
        <v>DISENGAGED</v>
      </c>
      <c r="F1352" s="4" t="str">
        <f>FEATURES!P1352</f>
        <v>Low_Pressure</v>
      </c>
      <c r="G1352" s="4" t="str">
        <f>FEATURES!M1352</f>
        <v>HIGH</v>
      </c>
      <c r="H1352" s="4" t="str">
        <f>FEATURES!O1352</f>
        <v>RECENTLY PROMOTED</v>
      </c>
      <c r="I1352" s="4" t="str">
        <f t="shared" si="5"/>
        <v>LOW RISK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</row>
    <row r="1353" spans="1:27" ht="13.2" x14ac:dyDescent="0.25">
      <c r="A1353" s="4">
        <v>1900</v>
      </c>
      <c r="B1353" s="4" t="s">
        <v>45</v>
      </c>
      <c r="C1353" s="4" t="str">
        <f>FEATURES!L1353</f>
        <v>NORMAL</v>
      </c>
      <c r="D1353" s="4" t="str">
        <f>FEATURES!R1353</f>
        <v>LOW</v>
      </c>
      <c r="E1353" s="4" t="str">
        <f>FEATURES!Q1353</f>
        <v>HIGHLY_ENGAGED</v>
      </c>
      <c r="F1353" s="4" t="str">
        <f>FEATURES!P1353</f>
        <v>Medium_Pressure</v>
      </c>
      <c r="G1353" s="4" t="str">
        <f>FEATURES!M1353</f>
        <v>MEDIUM</v>
      </c>
      <c r="H1353" s="4" t="str">
        <f>FEATURES!O1353</f>
        <v>STAGNANT</v>
      </c>
      <c r="I1353" s="4" t="str">
        <f t="shared" si="5"/>
        <v>LOW RISK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</row>
    <row r="1354" spans="1:27" ht="13.2" x14ac:dyDescent="0.25">
      <c r="A1354" s="4">
        <v>1903</v>
      </c>
      <c r="B1354" s="4" t="s">
        <v>45</v>
      </c>
      <c r="C1354" s="4" t="str">
        <f>FEATURES!L1354</f>
        <v>NORMAL</v>
      </c>
      <c r="D1354" s="4" t="str">
        <f>FEATURES!R1354</f>
        <v>LOW</v>
      </c>
      <c r="E1354" s="4" t="str">
        <f>FEATURES!Q1354</f>
        <v>DISENGAGED</v>
      </c>
      <c r="F1354" s="4" t="str">
        <f>FEATURES!P1354</f>
        <v>Medium_Pressure</v>
      </c>
      <c r="G1354" s="4" t="str">
        <f>FEATURES!M1354</f>
        <v>HIGH</v>
      </c>
      <c r="H1354" s="4" t="str">
        <f>FEATURES!O1354</f>
        <v>MODERATE-WAIT</v>
      </c>
      <c r="I1354" s="4" t="str">
        <f t="shared" si="5"/>
        <v>LOW RISK</v>
      </c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</row>
    <row r="1355" spans="1:27" ht="13.2" x14ac:dyDescent="0.25">
      <c r="A1355" s="4">
        <v>1905</v>
      </c>
      <c r="B1355" s="4" t="s">
        <v>45</v>
      </c>
      <c r="C1355" s="4" t="str">
        <f>FEATURES!L1355</f>
        <v>HIGH RISK</v>
      </c>
      <c r="D1355" s="4" t="str">
        <f>FEATURES!R1355</f>
        <v>LOW</v>
      </c>
      <c r="E1355" s="4" t="str">
        <f>FEATURES!Q1355</f>
        <v>DISENGAGED</v>
      </c>
      <c r="F1355" s="4" t="str">
        <f>FEATURES!P1355</f>
        <v>Medium_Pressure</v>
      </c>
      <c r="G1355" s="4" t="str">
        <f>FEATURES!M1355</f>
        <v>LOW</v>
      </c>
      <c r="H1355" s="4" t="str">
        <f>FEATURES!O1355</f>
        <v>MODERATE-WAIT</v>
      </c>
      <c r="I1355" s="4" t="str">
        <f t="shared" si="5"/>
        <v>LOW RISK</v>
      </c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</row>
    <row r="1356" spans="1:27" ht="13.2" x14ac:dyDescent="0.25">
      <c r="A1356" s="4">
        <v>1907</v>
      </c>
      <c r="B1356" s="4" t="s">
        <v>45</v>
      </c>
      <c r="C1356" s="4" t="str">
        <f>FEATURES!L1356</f>
        <v>NORMAL</v>
      </c>
      <c r="D1356" s="4" t="str">
        <f>FEATURES!R1356</f>
        <v>LOW</v>
      </c>
      <c r="E1356" s="4" t="str">
        <f>FEATURES!Q1356</f>
        <v>HIGHLY_ENGAGED</v>
      </c>
      <c r="F1356" s="4" t="str">
        <f>FEATURES!P1356</f>
        <v>Medium_Pressure</v>
      </c>
      <c r="G1356" s="4" t="str">
        <f>FEATURES!M1356</f>
        <v>LOW</v>
      </c>
      <c r="H1356" s="4" t="str">
        <f>FEATURES!O1356</f>
        <v>RECENTLY PROMOTED</v>
      </c>
      <c r="I1356" s="4" t="str">
        <f t="shared" si="5"/>
        <v>LOW RISK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</row>
    <row r="1357" spans="1:27" ht="13.2" x14ac:dyDescent="0.25">
      <c r="A1357" s="4">
        <v>1908</v>
      </c>
      <c r="B1357" s="4" t="s">
        <v>37</v>
      </c>
      <c r="C1357" s="4" t="str">
        <f>FEATURES!L1357</f>
        <v>NORMAL</v>
      </c>
      <c r="D1357" s="4" t="str">
        <f>FEATURES!R1357</f>
        <v>LOW</v>
      </c>
      <c r="E1357" s="4" t="str">
        <f>FEATURES!Q1357</f>
        <v>DISENGAGED</v>
      </c>
      <c r="F1357" s="4" t="str">
        <f>FEATURES!P1357</f>
        <v>Low_Pressure</v>
      </c>
      <c r="G1357" s="4" t="str">
        <f>FEATURES!M1357</f>
        <v>HIGH</v>
      </c>
      <c r="H1357" s="4" t="str">
        <f>FEATURES!O1357</f>
        <v>RECENTLY PROMOTED</v>
      </c>
      <c r="I1357" s="4" t="str">
        <f t="shared" si="5"/>
        <v>LOW RISK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</row>
    <row r="1358" spans="1:27" ht="13.2" x14ac:dyDescent="0.25">
      <c r="A1358" s="4">
        <v>1909</v>
      </c>
      <c r="B1358" s="4" t="s">
        <v>37</v>
      </c>
      <c r="C1358" s="4" t="str">
        <f>FEATURES!L1358</f>
        <v>NORMAL</v>
      </c>
      <c r="D1358" s="4" t="str">
        <f>FEATURES!R1358</f>
        <v>LOW</v>
      </c>
      <c r="E1358" s="4" t="str">
        <f>FEATURES!Q1358</f>
        <v>DISENGAGED</v>
      </c>
      <c r="F1358" s="4" t="str">
        <f>FEATURES!P1358</f>
        <v>Medium_Pressure</v>
      </c>
      <c r="G1358" s="4" t="str">
        <f>FEATURES!M1358</f>
        <v>HIGH</v>
      </c>
      <c r="H1358" s="4" t="str">
        <f>FEATURES!O1358</f>
        <v>RECENTLY PROMOTED</v>
      </c>
      <c r="I1358" s="4" t="str">
        <f t="shared" si="5"/>
        <v>LOW RISK</v>
      </c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</row>
    <row r="1359" spans="1:27" ht="13.2" x14ac:dyDescent="0.25">
      <c r="A1359" s="4">
        <v>1911</v>
      </c>
      <c r="B1359" s="4" t="s">
        <v>45</v>
      </c>
      <c r="C1359" s="4" t="str">
        <f>FEATURES!L1359</f>
        <v>NORMAL</v>
      </c>
      <c r="D1359" s="4" t="str">
        <f>FEATURES!R1359</f>
        <v>LOW</v>
      </c>
      <c r="E1359" s="4" t="str">
        <f>FEATURES!Q1359</f>
        <v>DISENGAGED</v>
      </c>
      <c r="F1359" s="4" t="str">
        <f>FEATURES!P1359</f>
        <v>Low_Pressure</v>
      </c>
      <c r="G1359" s="4" t="str">
        <f>FEATURES!M1359</f>
        <v>MEDIUM</v>
      </c>
      <c r="H1359" s="4" t="str">
        <f>FEATURES!O1359</f>
        <v>STAGNANT</v>
      </c>
      <c r="I1359" s="4" t="str">
        <f t="shared" si="5"/>
        <v>LOW RISK</v>
      </c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</row>
    <row r="1360" spans="1:27" ht="13.2" x14ac:dyDescent="0.25">
      <c r="A1360" s="4">
        <v>1912</v>
      </c>
      <c r="B1360" s="4" t="s">
        <v>37</v>
      </c>
      <c r="C1360" s="4" t="str">
        <f>FEATURES!L1360</f>
        <v>NORMAL</v>
      </c>
      <c r="D1360" s="4" t="str">
        <f>FEATURES!R1360</f>
        <v>LOW</v>
      </c>
      <c r="E1360" s="4" t="str">
        <f>FEATURES!Q1360</f>
        <v>HIGHLY_ENGAGED</v>
      </c>
      <c r="F1360" s="4" t="str">
        <f>FEATURES!P1360</f>
        <v>Medium_Pressure</v>
      </c>
      <c r="G1360" s="4" t="str">
        <f>FEATURES!M1360</f>
        <v>HIGH</v>
      </c>
      <c r="H1360" s="4" t="str">
        <f>FEATURES!O1360</f>
        <v>RECENTLY PROMOTED</v>
      </c>
      <c r="I1360" s="4" t="str">
        <f t="shared" si="5"/>
        <v>LOW RISK</v>
      </c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</row>
    <row r="1361" spans="1:27" ht="13.2" x14ac:dyDescent="0.25">
      <c r="A1361" s="4">
        <v>1915</v>
      </c>
      <c r="B1361" s="4" t="s">
        <v>37</v>
      </c>
      <c r="C1361" s="4" t="str">
        <f>FEATURES!L1361</f>
        <v>NORMAL</v>
      </c>
      <c r="D1361" s="4" t="str">
        <f>FEATURES!R1361</f>
        <v>LOW</v>
      </c>
      <c r="E1361" s="4" t="str">
        <f>FEATURES!Q1361</f>
        <v>DISENGAGED</v>
      </c>
      <c r="F1361" s="4" t="str">
        <f>FEATURES!P1361</f>
        <v>High_Pressure</v>
      </c>
      <c r="G1361" s="4" t="str">
        <f>FEATURES!M1361</f>
        <v>HIGH</v>
      </c>
      <c r="H1361" s="4" t="str">
        <f>FEATURES!O1361</f>
        <v>RECENTLY PROMOTED</v>
      </c>
      <c r="I1361" s="4" t="str">
        <f t="shared" si="5"/>
        <v>LOW RISK</v>
      </c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</row>
    <row r="1362" spans="1:27" ht="13.2" x14ac:dyDescent="0.25">
      <c r="A1362" s="4">
        <v>1916</v>
      </c>
      <c r="B1362" s="4" t="s">
        <v>45</v>
      </c>
      <c r="C1362" s="4" t="str">
        <f>FEATURES!L1362</f>
        <v>NORMAL</v>
      </c>
      <c r="D1362" s="4" t="str">
        <f>FEATURES!R1362</f>
        <v>LOW</v>
      </c>
      <c r="E1362" s="4" t="str">
        <f>FEATURES!Q1362</f>
        <v>DISENGAGED</v>
      </c>
      <c r="F1362" s="4" t="str">
        <f>FEATURES!P1362</f>
        <v>Low_Pressure</v>
      </c>
      <c r="G1362" s="4" t="str">
        <f>FEATURES!M1362</f>
        <v>LOW</v>
      </c>
      <c r="H1362" s="4" t="str">
        <f>FEATURES!O1362</f>
        <v>MODERATE-WAIT</v>
      </c>
      <c r="I1362" s="4" t="str">
        <f t="shared" si="5"/>
        <v>LOW RISK</v>
      </c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</row>
    <row r="1363" spans="1:27" ht="13.2" x14ac:dyDescent="0.25">
      <c r="A1363" s="4">
        <v>1918</v>
      </c>
      <c r="B1363" s="4" t="s">
        <v>45</v>
      </c>
      <c r="C1363" s="4" t="str">
        <f>FEATURES!L1363</f>
        <v>NORMAL</v>
      </c>
      <c r="D1363" s="4" t="str">
        <f>FEATURES!R1363</f>
        <v>LOW</v>
      </c>
      <c r="E1363" s="4" t="str">
        <f>FEATURES!Q1363</f>
        <v>HIGHLY_ENGAGED</v>
      </c>
      <c r="F1363" s="4" t="str">
        <f>FEATURES!P1363</f>
        <v>Medium_Pressure</v>
      </c>
      <c r="G1363" s="4" t="str">
        <f>FEATURES!M1363</f>
        <v>LOW</v>
      </c>
      <c r="H1363" s="4" t="str">
        <f>FEATURES!O1363</f>
        <v>STAGNANT</v>
      </c>
      <c r="I1363" s="4" t="str">
        <f t="shared" si="5"/>
        <v>LOW RISK</v>
      </c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</row>
    <row r="1364" spans="1:27" ht="13.2" x14ac:dyDescent="0.25">
      <c r="A1364" s="4">
        <v>1922</v>
      </c>
      <c r="B1364" s="4" t="s">
        <v>45</v>
      </c>
      <c r="C1364" s="4" t="str">
        <f>FEATURES!L1364</f>
        <v>NORMAL</v>
      </c>
      <c r="D1364" s="4" t="str">
        <f>FEATURES!R1364</f>
        <v>LOW</v>
      </c>
      <c r="E1364" s="4" t="str">
        <f>FEATURES!Q1364</f>
        <v>HIGHLY_ENGAGED</v>
      </c>
      <c r="F1364" s="4" t="str">
        <f>FEATURES!P1364</f>
        <v>Medium_Pressure</v>
      </c>
      <c r="G1364" s="4" t="str">
        <f>FEATURES!M1364</f>
        <v>HIGH</v>
      </c>
      <c r="H1364" s="4" t="str">
        <f>FEATURES!O1364</f>
        <v>RECENTLY PROMOTED</v>
      </c>
      <c r="I1364" s="4" t="str">
        <f t="shared" si="5"/>
        <v>LOW RISK</v>
      </c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</row>
    <row r="1365" spans="1:27" ht="13.2" x14ac:dyDescent="0.25">
      <c r="A1365" s="4">
        <v>1924</v>
      </c>
      <c r="B1365" s="4" t="s">
        <v>37</v>
      </c>
      <c r="C1365" s="4" t="str">
        <f>FEATURES!L1365</f>
        <v>NORMAL</v>
      </c>
      <c r="D1365" s="4" t="str">
        <f>FEATURES!R1365</f>
        <v>LOW</v>
      </c>
      <c r="E1365" s="4" t="str">
        <f>FEATURES!Q1365</f>
        <v>DISENGAGED</v>
      </c>
      <c r="F1365" s="4" t="str">
        <f>FEATURES!P1365</f>
        <v>Low_Pressure</v>
      </c>
      <c r="G1365" s="4" t="str">
        <f>FEATURES!M1365</f>
        <v>HIGH</v>
      </c>
      <c r="H1365" s="4" t="str">
        <f>FEATURES!O1365</f>
        <v>RECENTLY PROMOTED</v>
      </c>
      <c r="I1365" s="4" t="str">
        <f t="shared" si="5"/>
        <v>LOW RISK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</row>
    <row r="1366" spans="1:27" ht="13.2" x14ac:dyDescent="0.25">
      <c r="A1366" s="4">
        <v>1927</v>
      </c>
      <c r="B1366" s="4" t="s">
        <v>37</v>
      </c>
      <c r="C1366" s="4" t="str">
        <f>FEATURES!L1366</f>
        <v>NORMAL</v>
      </c>
      <c r="D1366" s="4" t="str">
        <f>FEATURES!R1366</f>
        <v>LOW</v>
      </c>
      <c r="E1366" s="4" t="str">
        <f>FEATURES!Q1366</f>
        <v>HIGHLY_ENGAGED</v>
      </c>
      <c r="F1366" s="4" t="str">
        <f>FEATURES!P1366</f>
        <v>Medium_Pressure</v>
      </c>
      <c r="G1366" s="4" t="str">
        <f>FEATURES!M1366</f>
        <v>HIGH</v>
      </c>
      <c r="H1366" s="4" t="str">
        <f>FEATURES!O1366</f>
        <v>RECENTLY PROMOTED</v>
      </c>
      <c r="I1366" s="4" t="str">
        <f t="shared" si="5"/>
        <v>LOW RISK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</row>
    <row r="1367" spans="1:27" ht="13.2" x14ac:dyDescent="0.25">
      <c r="A1367" s="4">
        <v>1928</v>
      </c>
      <c r="B1367" s="4" t="s">
        <v>37</v>
      </c>
      <c r="C1367" s="4" t="str">
        <f>FEATURES!L1367</f>
        <v>NORMAL</v>
      </c>
      <c r="D1367" s="4" t="str">
        <f>FEATURES!R1367</f>
        <v>LOW</v>
      </c>
      <c r="E1367" s="4" t="str">
        <f>FEATURES!Q1367</f>
        <v>DISENGAGED</v>
      </c>
      <c r="F1367" s="4" t="str">
        <f>FEATURES!P1367</f>
        <v>Medium_Pressure</v>
      </c>
      <c r="G1367" s="4" t="str">
        <f>FEATURES!M1367</f>
        <v>LOW</v>
      </c>
      <c r="H1367" s="4" t="str">
        <f>FEATURES!O1367</f>
        <v>RECENTLY PROMOTED</v>
      </c>
      <c r="I1367" s="4" t="str">
        <f t="shared" si="5"/>
        <v>LOW RISK</v>
      </c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</row>
    <row r="1368" spans="1:27" ht="13.2" x14ac:dyDescent="0.25">
      <c r="A1368" s="4">
        <v>1929</v>
      </c>
      <c r="B1368" s="4" t="s">
        <v>37</v>
      </c>
      <c r="C1368" s="4" t="str">
        <f>FEATURES!L1368</f>
        <v>NORMAL</v>
      </c>
      <c r="D1368" s="4" t="str">
        <f>FEATURES!R1368</f>
        <v>LOW</v>
      </c>
      <c r="E1368" s="4" t="str">
        <f>FEATURES!Q1368</f>
        <v>HIGHLY_ENGAGED</v>
      </c>
      <c r="F1368" s="4" t="str">
        <f>FEATURES!P1368</f>
        <v>Medium_Pressure</v>
      </c>
      <c r="G1368" s="4" t="str">
        <f>FEATURES!M1368</f>
        <v>HIGH</v>
      </c>
      <c r="H1368" s="4" t="str">
        <f>FEATURES!O1368</f>
        <v>RECENTLY PROMOTED</v>
      </c>
      <c r="I1368" s="4" t="str">
        <f t="shared" si="5"/>
        <v>LOW RISK</v>
      </c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</row>
    <row r="1369" spans="1:27" ht="13.2" x14ac:dyDescent="0.25">
      <c r="A1369" s="4">
        <v>1931</v>
      </c>
      <c r="B1369" s="4" t="s">
        <v>45</v>
      </c>
      <c r="C1369" s="4" t="str">
        <f>FEATURES!L1369</f>
        <v>NORMAL</v>
      </c>
      <c r="D1369" s="4" t="str">
        <f>FEATURES!R1369</f>
        <v>LOW</v>
      </c>
      <c r="E1369" s="4" t="str">
        <f>FEATURES!Q1369</f>
        <v>DISENGAGED</v>
      </c>
      <c r="F1369" s="4" t="str">
        <f>FEATURES!P1369</f>
        <v>Low_Pressure</v>
      </c>
      <c r="G1369" s="4" t="str">
        <f>FEATURES!M1369</f>
        <v>LOW</v>
      </c>
      <c r="H1369" s="4" t="str">
        <f>FEATURES!O1369</f>
        <v>RECENTLY PROMOTED</v>
      </c>
      <c r="I1369" s="4" t="str">
        <f t="shared" si="5"/>
        <v>LOW RISK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</row>
    <row r="1370" spans="1:27" ht="13.2" x14ac:dyDescent="0.25">
      <c r="A1370" s="4">
        <v>1932</v>
      </c>
      <c r="B1370" s="4" t="s">
        <v>45</v>
      </c>
      <c r="C1370" s="4" t="str">
        <f>FEATURES!L1370</f>
        <v>NORMAL</v>
      </c>
      <c r="D1370" s="4" t="str">
        <f>FEATURES!R1370</f>
        <v>LOW</v>
      </c>
      <c r="E1370" s="4" t="str">
        <f>FEATURES!Q1370</f>
        <v>HIGHLY_ENGAGED</v>
      </c>
      <c r="F1370" s="4" t="str">
        <f>FEATURES!P1370</f>
        <v>Medium_Pressure</v>
      </c>
      <c r="G1370" s="4" t="str">
        <f>FEATURES!M1370</f>
        <v>HIGH</v>
      </c>
      <c r="H1370" s="4" t="str">
        <f>FEATURES!O1370</f>
        <v>STAGNANT</v>
      </c>
      <c r="I1370" s="4" t="str">
        <f t="shared" si="5"/>
        <v>LOW RISK</v>
      </c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</row>
    <row r="1371" spans="1:27" ht="13.2" x14ac:dyDescent="0.25">
      <c r="A1371" s="4">
        <v>1933</v>
      </c>
      <c r="B1371" s="4" t="s">
        <v>37</v>
      </c>
      <c r="C1371" s="4" t="str">
        <f>FEATURES!L1371</f>
        <v>NORMAL</v>
      </c>
      <c r="D1371" s="4" t="str">
        <f>FEATURES!R1371</f>
        <v>LOW</v>
      </c>
      <c r="E1371" s="4" t="str">
        <f>FEATURES!Q1371</f>
        <v>HIGHLY_ENGAGED</v>
      </c>
      <c r="F1371" s="4" t="str">
        <f>FEATURES!P1371</f>
        <v>Medium_Pressure</v>
      </c>
      <c r="G1371" s="4" t="str">
        <f>FEATURES!M1371</f>
        <v>MEDIUM</v>
      </c>
      <c r="H1371" s="4" t="str">
        <f>FEATURES!O1371</f>
        <v>MODERATE-WAIT</v>
      </c>
      <c r="I1371" s="4" t="str">
        <f t="shared" si="5"/>
        <v>LOW RISK</v>
      </c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</row>
    <row r="1372" spans="1:27" ht="13.2" x14ac:dyDescent="0.25">
      <c r="A1372" s="4">
        <v>1934</v>
      </c>
      <c r="B1372" s="4" t="s">
        <v>45</v>
      </c>
      <c r="C1372" s="4" t="str">
        <f>FEATURES!L1372</f>
        <v>NORMAL</v>
      </c>
      <c r="D1372" s="4" t="str">
        <f>FEATURES!R1372</f>
        <v>LOW</v>
      </c>
      <c r="E1372" s="4" t="str">
        <f>FEATURES!Q1372</f>
        <v>DISENGAGED</v>
      </c>
      <c r="F1372" s="4" t="str">
        <f>FEATURES!P1372</f>
        <v>Low_Pressure</v>
      </c>
      <c r="G1372" s="4" t="str">
        <f>FEATURES!M1372</f>
        <v>HIGH</v>
      </c>
      <c r="H1372" s="4" t="str">
        <f>FEATURES!O1372</f>
        <v>RECENTLY PROMOTED</v>
      </c>
      <c r="I1372" s="4" t="str">
        <f t="shared" si="5"/>
        <v>LOW RISK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</row>
    <row r="1373" spans="1:27" ht="13.2" x14ac:dyDescent="0.25">
      <c r="A1373" s="4">
        <v>1935</v>
      </c>
      <c r="B1373" s="4" t="s">
        <v>37</v>
      </c>
      <c r="C1373" s="4" t="str">
        <f>FEATURES!L1373</f>
        <v>NORMAL</v>
      </c>
      <c r="D1373" s="4" t="str">
        <f>FEATURES!R1373</f>
        <v>LOW</v>
      </c>
      <c r="E1373" s="4" t="str">
        <f>FEATURES!Q1373</f>
        <v>DISENGAGED</v>
      </c>
      <c r="F1373" s="4" t="str">
        <f>FEATURES!P1373</f>
        <v>Medium_Pressure</v>
      </c>
      <c r="G1373" s="4" t="str">
        <f>FEATURES!M1373</f>
        <v>HIGH</v>
      </c>
      <c r="H1373" s="4" t="str">
        <f>FEATURES!O1373</f>
        <v>RECENTLY PROMOTED</v>
      </c>
      <c r="I1373" s="4" t="str">
        <f t="shared" si="5"/>
        <v>LOW RISK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</row>
    <row r="1374" spans="1:27" ht="13.2" x14ac:dyDescent="0.25">
      <c r="A1374" s="4">
        <v>1936</v>
      </c>
      <c r="B1374" s="4" t="s">
        <v>45</v>
      </c>
      <c r="C1374" s="4" t="str">
        <f>FEATURES!L1374</f>
        <v>NORMAL</v>
      </c>
      <c r="D1374" s="4" t="str">
        <f>FEATURES!R1374</f>
        <v>LOW</v>
      </c>
      <c r="E1374" s="4" t="str">
        <f>FEATURES!Q1374</f>
        <v>DISENGAGED</v>
      </c>
      <c r="F1374" s="4" t="str">
        <f>FEATURES!P1374</f>
        <v>Medium_Pressure</v>
      </c>
      <c r="G1374" s="4" t="str">
        <f>FEATURES!M1374</f>
        <v>HIGH</v>
      </c>
      <c r="H1374" s="4" t="str">
        <f>FEATURES!O1374</f>
        <v>STAGNANT</v>
      </c>
      <c r="I1374" s="4" t="str">
        <f t="shared" si="5"/>
        <v>LOW RISK</v>
      </c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</row>
    <row r="1375" spans="1:27" ht="13.2" x14ac:dyDescent="0.25">
      <c r="A1375" s="4">
        <v>1937</v>
      </c>
      <c r="B1375" s="4" t="s">
        <v>45</v>
      </c>
      <c r="C1375" s="4" t="str">
        <f>FEATURES!L1375</f>
        <v>NORMAL</v>
      </c>
      <c r="D1375" s="4" t="str">
        <f>FEATURES!R1375</f>
        <v>LOW</v>
      </c>
      <c r="E1375" s="4" t="str">
        <f>FEATURES!Q1375</f>
        <v>DISENGAGED</v>
      </c>
      <c r="F1375" s="4" t="str">
        <f>FEATURES!P1375</f>
        <v>Medium_Pressure</v>
      </c>
      <c r="G1375" s="4" t="str">
        <f>FEATURES!M1375</f>
        <v>LOW</v>
      </c>
      <c r="H1375" s="4" t="str">
        <f>FEATURES!O1375</f>
        <v>RECENTLY PROMOTED</v>
      </c>
      <c r="I1375" s="4" t="str">
        <f t="shared" si="5"/>
        <v>LOW RISK</v>
      </c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</row>
    <row r="1376" spans="1:27" ht="13.2" x14ac:dyDescent="0.25">
      <c r="A1376" s="4">
        <v>1938</v>
      </c>
      <c r="B1376" s="4" t="s">
        <v>37</v>
      </c>
      <c r="C1376" s="4" t="str">
        <f>FEATURES!L1376</f>
        <v>NORMAL</v>
      </c>
      <c r="D1376" s="4" t="str">
        <f>FEATURES!R1376</f>
        <v>LOW</v>
      </c>
      <c r="E1376" s="4" t="str">
        <f>FEATURES!Q1376</f>
        <v>DISENGAGED</v>
      </c>
      <c r="F1376" s="4" t="str">
        <f>FEATURES!P1376</f>
        <v>High_Pressure</v>
      </c>
      <c r="G1376" s="4" t="str">
        <f>FEATURES!M1376</f>
        <v>MEDIUM</v>
      </c>
      <c r="H1376" s="4" t="str">
        <f>FEATURES!O1376</f>
        <v>RECENTLY PROMOTED</v>
      </c>
      <c r="I1376" s="4" t="str">
        <f t="shared" si="5"/>
        <v>LOW RISK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</row>
    <row r="1377" spans="1:27" ht="13.2" x14ac:dyDescent="0.25">
      <c r="A1377" s="4">
        <v>1939</v>
      </c>
      <c r="B1377" s="4" t="s">
        <v>45</v>
      </c>
      <c r="C1377" s="4" t="str">
        <f>FEATURES!L1377</f>
        <v>NORMAL</v>
      </c>
      <c r="D1377" s="4" t="str">
        <f>FEATURES!R1377</f>
        <v>LOW</v>
      </c>
      <c r="E1377" s="4" t="str">
        <f>FEATURES!Q1377</f>
        <v>HIGHLY_ENGAGED</v>
      </c>
      <c r="F1377" s="4" t="str">
        <f>FEATURES!P1377</f>
        <v>Medium_Pressure</v>
      </c>
      <c r="G1377" s="4" t="str">
        <f>FEATURES!M1377</f>
        <v>LOW</v>
      </c>
      <c r="H1377" s="4" t="str">
        <f>FEATURES!O1377</f>
        <v>RECENTLY PROMOTED</v>
      </c>
      <c r="I1377" s="4" t="str">
        <f t="shared" si="5"/>
        <v>LOW RISK</v>
      </c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</row>
    <row r="1378" spans="1:27" ht="13.2" x14ac:dyDescent="0.25">
      <c r="A1378" s="4">
        <v>1940</v>
      </c>
      <c r="B1378" s="4" t="s">
        <v>45</v>
      </c>
      <c r="C1378" s="4" t="str">
        <f>FEATURES!L1378</f>
        <v>NORMAL</v>
      </c>
      <c r="D1378" s="4" t="str">
        <f>FEATURES!R1378</f>
        <v>LOW</v>
      </c>
      <c r="E1378" s="4" t="str">
        <f>FEATURES!Q1378</f>
        <v>HIGHLY_ENGAGED</v>
      </c>
      <c r="F1378" s="4" t="str">
        <f>FEATURES!P1378</f>
        <v>Low_Pressure</v>
      </c>
      <c r="G1378" s="4" t="str">
        <f>FEATURES!M1378</f>
        <v>HIGH</v>
      </c>
      <c r="H1378" s="4" t="str">
        <f>FEATURES!O1378</f>
        <v>RECENTLY PROMOTED</v>
      </c>
      <c r="I1378" s="4" t="str">
        <f t="shared" si="5"/>
        <v>LOW RISK</v>
      </c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</row>
    <row r="1379" spans="1:27" ht="13.2" x14ac:dyDescent="0.25">
      <c r="A1379" s="4">
        <v>1941</v>
      </c>
      <c r="B1379" s="4" t="s">
        <v>45</v>
      </c>
      <c r="C1379" s="4" t="str">
        <f>FEATURES!L1379</f>
        <v>NORMAL</v>
      </c>
      <c r="D1379" s="4" t="str">
        <f>FEATURES!R1379</f>
        <v>LOW</v>
      </c>
      <c r="E1379" s="4" t="str">
        <f>FEATURES!Q1379</f>
        <v>HIGHLY_ENGAGED</v>
      </c>
      <c r="F1379" s="4" t="str">
        <f>FEATURES!P1379</f>
        <v>Medium_Pressure</v>
      </c>
      <c r="G1379" s="4" t="str">
        <f>FEATURES!M1379</f>
        <v>MEDIUM</v>
      </c>
      <c r="H1379" s="4" t="str">
        <f>FEATURES!O1379</f>
        <v>STAGNANT</v>
      </c>
      <c r="I1379" s="4" t="str">
        <f t="shared" si="5"/>
        <v>LOW RISK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</row>
    <row r="1380" spans="1:27" ht="13.2" x14ac:dyDescent="0.25">
      <c r="A1380" s="4">
        <v>1943</v>
      </c>
      <c r="B1380" s="4" t="s">
        <v>37</v>
      </c>
      <c r="C1380" s="4" t="str">
        <f>FEATURES!L1380</f>
        <v>NORMAL</v>
      </c>
      <c r="D1380" s="4" t="str">
        <f>FEATURES!R1380</f>
        <v>LOW</v>
      </c>
      <c r="E1380" s="4" t="str">
        <f>FEATURES!Q1380</f>
        <v>HIGHLY_ENGAGED</v>
      </c>
      <c r="F1380" s="4" t="str">
        <f>FEATURES!P1380</f>
        <v>Medium_Pressure</v>
      </c>
      <c r="G1380" s="4" t="str">
        <f>FEATURES!M1380</f>
        <v>HIGH</v>
      </c>
      <c r="H1380" s="4" t="str">
        <f>FEATURES!O1380</f>
        <v>RECENTLY PROMOTED</v>
      </c>
      <c r="I1380" s="4" t="str">
        <f t="shared" si="5"/>
        <v>LOW RISK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</row>
    <row r="1381" spans="1:27" ht="13.2" x14ac:dyDescent="0.25">
      <c r="A1381" s="4">
        <v>1944</v>
      </c>
      <c r="B1381" s="4" t="s">
        <v>61</v>
      </c>
      <c r="C1381" s="4" t="str">
        <f>FEATURES!L1381</f>
        <v>NORMAL</v>
      </c>
      <c r="D1381" s="4" t="str">
        <f>FEATURES!R1381</f>
        <v>LOW</v>
      </c>
      <c r="E1381" s="4" t="str">
        <f>FEATURES!Q1381</f>
        <v>DISENGAGED</v>
      </c>
      <c r="F1381" s="4" t="str">
        <f>FEATURES!P1381</f>
        <v>Medium_Pressure</v>
      </c>
      <c r="G1381" s="4" t="str">
        <f>FEATURES!M1381</f>
        <v>LOW</v>
      </c>
      <c r="H1381" s="4" t="str">
        <f>FEATURES!O1381</f>
        <v>RECENTLY PROMOTED</v>
      </c>
      <c r="I1381" s="4" t="str">
        <f t="shared" si="5"/>
        <v>LOW RISK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</row>
    <row r="1382" spans="1:27" ht="13.2" x14ac:dyDescent="0.25">
      <c r="A1382" s="4">
        <v>1945</v>
      </c>
      <c r="B1382" s="4" t="s">
        <v>37</v>
      </c>
      <c r="C1382" s="4" t="str">
        <f>FEATURES!L1382</f>
        <v>NORMAL</v>
      </c>
      <c r="D1382" s="4" t="str">
        <f>FEATURES!R1382</f>
        <v>LOW</v>
      </c>
      <c r="E1382" s="4" t="str">
        <f>FEATURES!Q1382</f>
        <v>DISENGAGED</v>
      </c>
      <c r="F1382" s="4" t="str">
        <f>FEATURES!P1382</f>
        <v>Low_Pressure</v>
      </c>
      <c r="G1382" s="4" t="str">
        <f>FEATURES!M1382</f>
        <v>HIGH</v>
      </c>
      <c r="H1382" s="4" t="str">
        <f>FEATURES!O1382</f>
        <v>RECENTLY PROMOTED</v>
      </c>
      <c r="I1382" s="4" t="str">
        <f t="shared" si="5"/>
        <v>LOW RISK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</row>
    <row r="1383" spans="1:27" ht="13.2" x14ac:dyDescent="0.25">
      <c r="A1383" s="4">
        <v>1947</v>
      </c>
      <c r="B1383" s="4" t="s">
        <v>45</v>
      </c>
      <c r="C1383" s="4" t="str">
        <f>FEATURES!L1383</f>
        <v>NORMAL</v>
      </c>
      <c r="D1383" s="4" t="str">
        <f>FEATURES!R1383</f>
        <v>LOW</v>
      </c>
      <c r="E1383" s="4" t="str">
        <f>FEATURES!Q1383</f>
        <v>DISENGAGED</v>
      </c>
      <c r="F1383" s="4" t="str">
        <f>FEATURES!P1383</f>
        <v>Low_Pressure</v>
      </c>
      <c r="G1383" s="4" t="str">
        <f>FEATURES!M1383</f>
        <v>LOW</v>
      </c>
      <c r="H1383" s="4" t="str">
        <f>FEATURES!O1383</f>
        <v>RECENTLY PROMOTED</v>
      </c>
      <c r="I1383" s="4" t="str">
        <f t="shared" si="5"/>
        <v>LOW RISK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</row>
    <row r="1384" spans="1:27" ht="13.2" x14ac:dyDescent="0.25">
      <c r="A1384" s="4">
        <v>1948</v>
      </c>
      <c r="B1384" s="4" t="s">
        <v>45</v>
      </c>
      <c r="C1384" s="4" t="str">
        <f>FEATURES!L1384</f>
        <v>NORMAL</v>
      </c>
      <c r="D1384" s="4" t="str">
        <f>FEATURES!R1384</f>
        <v>LOW</v>
      </c>
      <c r="E1384" s="4" t="str">
        <f>FEATURES!Q1384</f>
        <v>DISENGAGED</v>
      </c>
      <c r="F1384" s="4" t="str">
        <f>FEATURES!P1384</f>
        <v>Medium_Pressure</v>
      </c>
      <c r="G1384" s="4" t="str">
        <f>FEATURES!M1384</f>
        <v>LOW</v>
      </c>
      <c r="H1384" s="4" t="str">
        <f>FEATURES!O1384</f>
        <v>MODERATE-WAIT</v>
      </c>
      <c r="I1384" s="4" t="str">
        <f t="shared" si="5"/>
        <v>LOW RISK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</row>
    <row r="1385" spans="1:27" ht="13.2" x14ac:dyDescent="0.25">
      <c r="A1385" s="4">
        <v>1949</v>
      </c>
      <c r="B1385" s="4" t="s">
        <v>45</v>
      </c>
      <c r="C1385" s="4" t="str">
        <f>FEATURES!L1385</f>
        <v>NORMAL</v>
      </c>
      <c r="D1385" s="4" t="str">
        <f>FEATURES!R1385</f>
        <v>LOW</v>
      </c>
      <c r="E1385" s="4" t="str">
        <f>FEATURES!Q1385</f>
        <v>DISENGAGED</v>
      </c>
      <c r="F1385" s="4" t="str">
        <f>FEATURES!P1385</f>
        <v>Medium_Pressure</v>
      </c>
      <c r="G1385" s="4" t="str">
        <f>FEATURES!M1385</f>
        <v>LOW</v>
      </c>
      <c r="H1385" s="4" t="str">
        <f>FEATURES!O1385</f>
        <v>RECENTLY PROMOTED</v>
      </c>
      <c r="I1385" s="4" t="str">
        <f t="shared" si="5"/>
        <v>LOW RISK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</row>
    <row r="1386" spans="1:27" ht="13.2" x14ac:dyDescent="0.25">
      <c r="A1386" s="4">
        <v>1950</v>
      </c>
      <c r="B1386" s="4" t="s">
        <v>37</v>
      </c>
      <c r="C1386" s="4" t="str">
        <f>FEATURES!L1386</f>
        <v>NORMAL</v>
      </c>
      <c r="D1386" s="4" t="str">
        <f>FEATURES!R1386</f>
        <v>LOW</v>
      </c>
      <c r="E1386" s="4" t="str">
        <f>FEATURES!Q1386</f>
        <v>DISENGAGED</v>
      </c>
      <c r="F1386" s="4" t="str">
        <f>FEATURES!P1386</f>
        <v>Low_Pressure</v>
      </c>
      <c r="G1386" s="4" t="str">
        <f>FEATURES!M1386</f>
        <v>MEDIUM</v>
      </c>
      <c r="H1386" s="4" t="str">
        <f>FEATURES!O1386</f>
        <v>MODERATE-WAIT</v>
      </c>
      <c r="I1386" s="4" t="str">
        <f t="shared" si="5"/>
        <v>LOW RISK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</row>
    <row r="1387" spans="1:27" ht="13.2" x14ac:dyDescent="0.25">
      <c r="A1387" s="4">
        <v>1951</v>
      </c>
      <c r="B1387" s="4" t="s">
        <v>37</v>
      </c>
      <c r="C1387" s="4" t="str">
        <f>FEATURES!L1387</f>
        <v>NORMAL</v>
      </c>
      <c r="D1387" s="4" t="str">
        <f>FEATURES!R1387</f>
        <v>LOW</v>
      </c>
      <c r="E1387" s="4" t="str">
        <f>FEATURES!Q1387</f>
        <v>DISENGAGED</v>
      </c>
      <c r="F1387" s="4" t="str">
        <f>FEATURES!P1387</f>
        <v>Low_Pressure</v>
      </c>
      <c r="G1387" s="4" t="str">
        <f>FEATURES!M1387</f>
        <v>HIGH</v>
      </c>
      <c r="H1387" s="4" t="str">
        <f>FEATURES!O1387</f>
        <v>RECENTLY PROMOTED</v>
      </c>
      <c r="I1387" s="4" t="str">
        <f t="shared" si="5"/>
        <v>LOW RISK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</row>
    <row r="1388" spans="1:27" ht="13.2" x14ac:dyDescent="0.25">
      <c r="A1388" s="4">
        <v>1952</v>
      </c>
      <c r="B1388" s="4" t="s">
        <v>45</v>
      </c>
      <c r="C1388" s="4" t="str">
        <f>FEATURES!L1388</f>
        <v>NORMAL</v>
      </c>
      <c r="D1388" s="4" t="str">
        <f>FEATURES!R1388</f>
        <v>LOW</v>
      </c>
      <c r="E1388" s="4" t="str">
        <f>FEATURES!Q1388</f>
        <v>DISENGAGED</v>
      </c>
      <c r="F1388" s="4" t="str">
        <f>FEATURES!P1388</f>
        <v>Low_Pressure</v>
      </c>
      <c r="G1388" s="4" t="str">
        <f>FEATURES!M1388</f>
        <v>LOW</v>
      </c>
      <c r="H1388" s="4" t="str">
        <f>FEATURES!O1388</f>
        <v>STAGNANT</v>
      </c>
      <c r="I1388" s="4" t="str">
        <f t="shared" si="5"/>
        <v>LOW RISK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</row>
    <row r="1389" spans="1:27" ht="13.2" x14ac:dyDescent="0.25">
      <c r="A1389" s="4">
        <v>1954</v>
      </c>
      <c r="B1389" s="4" t="s">
        <v>45</v>
      </c>
      <c r="C1389" s="4" t="str">
        <f>FEATURES!L1389</f>
        <v>NORMAL</v>
      </c>
      <c r="D1389" s="4" t="str">
        <f>FEATURES!R1389</f>
        <v>LOW</v>
      </c>
      <c r="E1389" s="4" t="str">
        <f>FEATURES!Q1389</f>
        <v>DISENGAGED</v>
      </c>
      <c r="F1389" s="4" t="str">
        <f>FEATURES!P1389</f>
        <v>Low_Pressure</v>
      </c>
      <c r="G1389" s="4" t="str">
        <f>FEATURES!M1389</f>
        <v>HIGH</v>
      </c>
      <c r="H1389" s="4" t="str">
        <f>FEATURES!O1389</f>
        <v>RECENTLY PROMOTED</v>
      </c>
      <c r="I1389" s="4" t="str">
        <f t="shared" si="5"/>
        <v>LOW RISK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</row>
    <row r="1390" spans="1:27" ht="13.2" x14ac:dyDescent="0.25">
      <c r="A1390" s="4">
        <v>1955</v>
      </c>
      <c r="B1390" s="4" t="s">
        <v>45</v>
      </c>
      <c r="C1390" s="4" t="str">
        <f>FEATURES!L1390</f>
        <v>NORMAL</v>
      </c>
      <c r="D1390" s="4" t="str">
        <f>FEATURES!R1390</f>
        <v>LOW</v>
      </c>
      <c r="E1390" s="4" t="str">
        <f>FEATURES!Q1390</f>
        <v>HIGHLY_ENGAGED</v>
      </c>
      <c r="F1390" s="4" t="str">
        <f>FEATURES!P1390</f>
        <v>Medium_Pressure</v>
      </c>
      <c r="G1390" s="4" t="str">
        <f>FEATURES!M1390</f>
        <v>HIGH</v>
      </c>
      <c r="H1390" s="4" t="str">
        <f>FEATURES!O1390</f>
        <v>RECENTLY PROMOTED</v>
      </c>
      <c r="I1390" s="4" t="str">
        <f t="shared" si="5"/>
        <v>LOW RISK</v>
      </c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</row>
    <row r="1391" spans="1:27" ht="13.2" x14ac:dyDescent="0.25">
      <c r="A1391" s="4">
        <v>1956</v>
      </c>
      <c r="B1391" s="4" t="s">
        <v>45</v>
      </c>
      <c r="C1391" s="4" t="str">
        <f>FEATURES!L1391</f>
        <v>NORMAL</v>
      </c>
      <c r="D1391" s="4" t="str">
        <f>FEATURES!R1391</f>
        <v>LOW</v>
      </c>
      <c r="E1391" s="4" t="str">
        <f>FEATURES!Q1391</f>
        <v>DISENGAGED</v>
      </c>
      <c r="F1391" s="4" t="str">
        <f>FEATURES!P1391</f>
        <v>Medium_Pressure</v>
      </c>
      <c r="G1391" s="4" t="str">
        <f>FEATURES!M1391</f>
        <v>HIGH</v>
      </c>
      <c r="H1391" s="4" t="str">
        <f>FEATURES!O1391</f>
        <v>STAGNANT</v>
      </c>
      <c r="I1391" s="4" t="str">
        <f t="shared" si="5"/>
        <v>LOW RISK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</row>
    <row r="1392" spans="1:27" ht="13.2" x14ac:dyDescent="0.25">
      <c r="A1392" s="4">
        <v>1960</v>
      </c>
      <c r="B1392" s="4" t="s">
        <v>45</v>
      </c>
      <c r="C1392" s="4" t="str">
        <f>FEATURES!L1392</f>
        <v>NORMAL</v>
      </c>
      <c r="D1392" s="4" t="str">
        <f>FEATURES!R1392</f>
        <v>LOW</v>
      </c>
      <c r="E1392" s="4" t="str">
        <f>FEATURES!Q1392</f>
        <v>DISENGAGED</v>
      </c>
      <c r="F1392" s="4" t="str">
        <f>FEATURES!P1392</f>
        <v>Low_Pressure</v>
      </c>
      <c r="G1392" s="4" t="str">
        <f>FEATURES!M1392</f>
        <v>LOW</v>
      </c>
      <c r="H1392" s="4" t="str">
        <f>FEATURES!O1392</f>
        <v>RECENTLY PROMOTED</v>
      </c>
      <c r="I1392" s="4" t="str">
        <f t="shared" si="5"/>
        <v>LOW RISK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</row>
    <row r="1393" spans="1:27" ht="13.2" x14ac:dyDescent="0.25">
      <c r="A1393" s="4">
        <v>1961</v>
      </c>
      <c r="B1393" s="4" t="s">
        <v>37</v>
      </c>
      <c r="C1393" s="4" t="str">
        <f>FEATURES!L1393</f>
        <v>NORMAL</v>
      </c>
      <c r="D1393" s="4" t="str">
        <f>FEATURES!R1393</f>
        <v>LOW</v>
      </c>
      <c r="E1393" s="4" t="str">
        <f>FEATURES!Q1393</f>
        <v>DISENGAGED</v>
      </c>
      <c r="F1393" s="4" t="str">
        <f>FEATURES!P1393</f>
        <v>Low_Pressure</v>
      </c>
      <c r="G1393" s="4" t="str">
        <f>FEATURES!M1393</f>
        <v>LOW</v>
      </c>
      <c r="H1393" s="4" t="str">
        <f>FEATURES!O1393</f>
        <v>RECENTLY PROMOTED</v>
      </c>
      <c r="I1393" s="4" t="str">
        <f t="shared" si="5"/>
        <v>LOW RISK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</row>
    <row r="1394" spans="1:27" ht="13.2" x14ac:dyDescent="0.25">
      <c r="A1394" s="4">
        <v>1962</v>
      </c>
      <c r="B1394" s="4" t="s">
        <v>37</v>
      </c>
      <c r="C1394" s="4" t="str">
        <f>FEATURES!L1394</f>
        <v>NORMAL</v>
      </c>
      <c r="D1394" s="4" t="str">
        <f>FEATURES!R1394</f>
        <v>LOW</v>
      </c>
      <c r="E1394" s="4" t="str">
        <f>FEATURES!Q1394</f>
        <v>HIGHLY_ENGAGED</v>
      </c>
      <c r="F1394" s="4" t="str">
        <f>FEATURES!P1394</f>
        <v>Medium_Pressure</v>
      </c>
      <c r="G1394" s="4" t="str">
        <f>FEATURES!M1394</f>
        <v>HIGH</v>
      </c>
      <c r="H1394" s="4" t="str">
        <f>FEATURES!O1394</f>
        <v>RECENTLY PROMOTED</v>
      </c>
      <c r="I1394" s="4" t="str">
        <f t="shared" si="5"/>
        <v>LOW RISK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</row>
    <row r="1395" spans="1:27" ht="13.2" x14ac:dyDescent="0.25">
      <c r="A1395" s="4">
        <v>1965</v>
      </c>
      <c r="B1395" s="4" t="s">
        <v>37</v>
      </c>
      <c r="C1395" s="4" t="str">
        <f>FEATURES!L1395</f>
        <v>NORMAL</v>
      </c>
      <c r="D1395" s="4" t="str">
        <f>FEATURES!R1395</f>
        <v>LOW</v>
      </c>
      <c r="E1395" s="4" t="str">
        <f>FEATURES!Q1395</f>
        <v>HIGHLY_ENGAGED</v>
      </c>
      <c r="F1395" s="4" t="str">
        <f>FEATURES!P1395</f>
        <v>Medium_Pressure</v>
      </c>
      <c r="G1395" s="4" t="str">
        <f>FEATURES!M1395</f>
        <v>HIGH</v>
      </c>
      <c r="H1395" s="4" t="str">
        <f>FEATURES!O1395</f>
        <v>RECENTLY PROMOTED</v>
      </c>
      <c r="I1395" s="4" t="str">
        <f t="shared" si="5"/>
        <v>LOW RISK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</row>
    <row r="1396" spans="1:27" ht="13.2" x14ac:dyDescent="0.25">
      <c r="A1396" s="4">
        <v>1966</v>
      </c>
      <c r="B1396" s="4" t="s">
        <v>45</v>
      </c>
      <c r="C1396" s="4" t="str">
        <f>FEATURES!L1396</f>
        <v>NORMAL</v>
      </c>
      <c r="D1396" s="4" t="str">
        <f>FEATURES!R1396</f>
        <v>LOW</v>
      </c>
      <c r="E1396" s="4" t="str">
        <f>FEATURES!Q1396</f>
        <v>HIGHLY_ENGAGED</v>
      </c>
      <c r="F1396" s="4" t="str">
        <f>FEATURES!P1396</f>
        <v>Medium_Pressure</v>
      </c>
      <c r="G1396" s="4" t="str">
        <f>FEATURES!M1396</f>
        <v>MEDIUM</v>
      </c>
      <c r="H1396" s="4" t="str">
        <f>FEATURES!O1396</f>
        <v>RECENTLY PROMOTED</v>
      </c>
      <c r="I1396" s="4" t="str">
        <f t="shared" si="5"/>
        <v>LOW RISK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</row>
    <row r="1397" spans="1:27" ht="13.2" x14ac:dyDescent="0.25">
      <c r="A1397" s="4">
        <v>1967</v>
      </c>
      <c r="B1397" s="4" t="s">
        <v>37</v>
      </c>
      <c r="C1397" s="4" t="str">
        <f>FEATURES!L1397</f>
        <v>NORMAL</v>
      </c>
      <c r="D1397" s="4" t="str">
        <f>FEATURES!R1397</f>
        <v>LOW</v>
      </c>
      <c r="E1397" s="4" t="str">
        <f>FEATURES!Q1397</f>
        <v>HIGHLY_ENGAGED</v>
      </c>
      <c r="F1397" s="4" t="str">
        <f>FEATURES!P1397</f>
        <v>Medium_Pressure</v>
      </c>
      <c r="G1397" s="4" t="str">
        <f>FEATURES!M1397</f>
        <v>HIGH</v>
      </c>
      <c r="H1397" s="4" t="str">
        <f>FEATURES!O1397</f>
        <v>RECENTLY PROMOTED</v>
      </c>
      <c r="I1397" s="4" t="str">
        <f t="shared" si="5"/>
        <v>LOW RISK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</row>
    <row r="1398" spans="1:27" ht="13.2" x14ac:dyDescent="0.25">
      <c r="A1398" s="4">
        <v>1968</v>
      </c>
      <c r="B1398" s="4" t="s">
        <v>37</v>
      </c>
      <c r="C1398" s="4" t="str">
        <f>FEATURES!L1398</f>
        <v>NORMAL</v>
      </c>
      <c r="D1398" s="4" t="str">
        <f>FEATURES!R1398</f>
        <v>LOW</v>
      </c>
      <c r="E1398" s="4" t="str">
        <f>FEATURES!Q1398</f>
        <v>DISENGAGED</v>
      </c>
      <c r="F1398" s="4" t="str">
        <f>FEATURES!P1398</f>
        <v>High_Pressure</v>
      </c>
      <c r="G1398" s="4" t="str">
        <f>FEATURES!M1398</f>
        <v>MEDIUM</v>
      </c>
      <c r="H1398" s="4" t="str">
        <f>FEATURES!O1398</f>
        <v>MODERATE-WAIT</v>
      </c>
      <c r="I1398" s="4" t="str">
        <f t="shared" si="5"/>
        <v>LOW RISK</v>
      </c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</row>
    <row r="1399" spans="1:27" ht="13.2" x14ac:dyDescent="0.25">
      <c r="A1399" s="4">
        <v>1969</v>
      </c>
      <c r="B1399" s="4" t="s">
        <v>45</v>
      </c>
      <c r="C1399" s="4" t="str">
        <f>FEATURES!L1399</f>
        <v>NORMAL</v>
      </c>
      <c r="D1399" s="4" t="str">
        <f>FEATURES!R1399</f>
        <v>LOW</v>
      </c>
      <c r="E1399" s="4" t="str">
        <f>FEATURES!Q1399</f>
        <v>DISENGAGED</v>
      </c>
      <c r="F1399" s="4" t="str">
        <f>FEATURES!P1399</f>
        <v>Low_Pressure</v>
      </c>
      <c r="G1399" s="4" t="str">
        <f>FEATURES!M1399</f>
        <v>LOW</v>
      </c>
      <c r="H1399" s="4" t="str">
        <f>FEATURES!O1399</f>
        <v>MODERATE-WAIT</v>
      </c>
      <c r="I1399" s="4" t="str">
        <f t="shared" si="5"/>
        <v>LOW RISK</v>
      </c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</row>
    <row r="1400" spans="1:27" ht="13.2" x14ac:dyDescent="0.25">
      <c r="A1400" s="4">
        <v>1970</v>
      </c>
      <c r="B1400" s="4" t="s">
        <v>45</v>
      </c>
      <c r="C1400" s="4" t="str">
        <f>FEATURES!L1400</f>
        <v>NORMAL</v>
      </c>
      <c r="D1400" s="4" t="str">
        <f>FEATURES!R1400</f>
        <v>LOW</v>
      </c>
      <c r="E1400" s="4" t="str">
        <f>FEATURES!Q1400</f>
        <v>HIGHLY_ENGAGED</v>
      </c>
      <c r="F1400" s="4" t="str">
        <f>FEATURES!P1400</f>
        <v>Medium_Pressure</v>
      </c>
      <c r="G1400" s="4" t="str">
        <f>FEATURES!M1400</f>
        <v>HIGH</v>
      </c>
      <c r="H1400" s="4" t="str">
        <f>FEATURES!O1400</f>
        <v>MODERATE-WAIT</v>
      </c>
      <c r="I1400" s="4" t="str">
        <f t="shared" si="5"/>
        <v>LOW RISK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</row>
    <row r="1401" spans="1:27" ht="13.2" x14ac:dyDescent="0.25">
      <c r="A1401" s="4">
        <v>1971</v>
      </c>
      <c r="B1401" s="4" t="s">
        <v>45</v>
      </c>
      <c r="C1401" s="4" t="str">
        <f>FEATURES!L1401</f>
        <v>NORMAL</v>
      </c>
      <c r="D1401" s="4" t="str">
        <f>FEATURES!R1401</f>
        <v>LOW</v>
      </c>
      <c r="E1401" s="4" t="str">
        <f>FEATURES!Q1401</f>
        <v>HIGHLY_ENGAGED</v>
      </c>
      <c r="F1401" s="4" t="str">
        <f>FEATURES!P1401</f>
        <v>Medium_Pressure</v>
      </c>
      <c r="G1401" s="4" t="str">
        <f>FEATURES!M1401</f>
        <v>HIGH</v>
      </c>
      <c r="H1401" s="4" t="str">
        <f>FEATURES!O1401</f>
        <v>RECENTLY PROMOTED</v>
      </c>
      <c r="I1401" s="4" t="str">
        <f t="shared" si="5"/>
        <v>LOW RISK</v>
      </c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</row>
    <row r="1402" spans="1:27" ht="13.2" x14ac:dyDescent="0.25">
      <c r="A1402" s="4">
        <v>1972</v>
      </c>
      <c r="B1402" s="4" t="s">
        <v>61</v>
      </c>
      <c r="C1402" s="4" t="str">
        <f>FEATURES!L1402</f>
        <v>NORMAL</v>
      </c>
      <c r="D1402" s="4" t="str">
        <f>FEATURES!R1402</f>
        <v>LOW</v>
      </c>
      <c r="E1402" s="4" t="str">
        <f>FEATURES!Q1402</f>
        <v>DISENGAGED</v>
      </c>
      <c r="F1402" s="4" t="str">
        <f>FEATURES!P1402</f>
        <v>Medium_Pressure</v>
      </c>
      <c r="G1402" s="4" t="str">
        <f>FEATURES!M1402</f>
        <v>LOW</v>
      </c>
      <c r="H1402" s="4" t="str">
        <f>FEATURES!O1402</f>
        <v>RECENTLY PROMOTED</v>
      </c>
      <c r="I1402" s="4" t="str">
        <f t="shared" si="5"/>
        <v>LOW RISK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</row>
    <row r="1403" spans="1:27" ht="13.2" x14ac:dyDescent="0.25">
      <c r="A1403" s="4">
        <v>1973</v>
      </c>
      <c r="B1403" s="4" t="s">
        <v>61</v>
      </c>
      <c r="C1403" s="4" t="str">
        <f>FEATURES!L1403</f>
        <v>NORMAL</v>
      </c>
      <c r="D1403" s="4" t="str">
        <f>FEATURES!R1403</f>
        <v>LOW</v>
      </c>
      <c r="E1403" s="4" t="str">
        <f>FEATURES!Q1403</f>
        <v>DISENGAGED</v>
      </c>
      <c r="F1403" s="4" t="str">
        <f>FEATURES!P1403</f>
        <v>Medium_Pressure</v>
      </c>
      <c r="G1403" s="4" t="str">
        <f>FEATURES!M1403</f>
        <v>MEDIUM</v>
      </c>
      <c r="H1403" s="4" t="str">
        <f>FEATURES!O1403</f>
        <v>RECENTLY PROMOTED</v>
      </c>
      <c r="I1403" s="4" t="str">
        <f t="shared" si="5"/>
        <v>LOW RISK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</row>
    <row r="1404" spans="1:27" ht="13.2" x14ac:dyDescent="0.25">
      <c r="A1404" s="4">
        <v>1974</v>
      </c>
      <c r="B1404" s="4" t="s">
        <v>45</v>
      </c>
      <c r="C1404" s="4" t="str">
        <f>FEATURES!L1404</f>
        <v>NORMAL</v>
      </c>
      <c r="D1404" s="4" t="str">
        <f>FEATURES!R1404</f>
        <v>LOW</v>
      </c>
      <c r="E1404" s="4" t="str">
        <f>FEATURES!Q1404</f>
        <v>HIGHLY_ENGAGED</v>
      </c>
      <c r="F1404" s="4" t="str">
        <f>FEATURES!P1404</f>
        <v>Medium_Pressure</v>
      </c>
      <c r="G1404" s="4" t="str">
        <f>FEATURES!M1404</f>
        <v>LOW</v>
      </c>
      <c r="H1404" s="4" t="str">
        <f>FEATURES!O1404</f>
        <v>RECENTLY PROMOTED</v>
      </c>
      <c r="I1404" s="4" t="str">
        <f t="shared" si="5"/>
        <v>LOW RISK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</row>
    <row r="1405" spans="1:27" ht="13.2" x14ac:dyDescent="0.25">
      <c r="A1405" s="4">
        <v>1975</v>
      </c>
      <c r="B1405" s="4" t="s">
        <v>37</v>
      </c>
      <c r="C1405" s="4" t="str">
        <f>FEATURES!L1405</f>
        <v>NORMAL</v>
      </c>
      <c r="D1405" s="4" t="str">
        <f>FEATURES!R1405</f>
        <v>LOW</v>
      </c>
      <c r="E1405" s="4" t="str">
        <f>FEATURES!Q1405</f>
        <v>DISENGAGED</v>
      </c>
      <c r="F1405" s="4" t="str">
        <f>FEATURES!P1405</f>
        <v>Medium_Pressure</v>
      </c>
      <c r="G1405" s="4" t="str">
        <f>FEATURES!M1405</f>
        <v>MEDIUM</v>
      </c>
      <c r="H1405" s="4" t="str">
        <f>FEATURES!O1405</f>
        <v>STAGNANT</v>
      </c>
      <c r="I1405" s="4" t="str">
        <f t="shared" si="5"/>
        <v>LOW RISK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</row>
    <row r="1406" spans="1:27" ht="13.2" x14ac:dyDescent="0.25">
      <c r="A1406" s="4">
        <v>1976</v>
      </c>
      <c r="B1406" s="4" t="s">
        <v>45</v>
      </c>
      <c r="C1406" s="4" t="str">
        <f>FEATURES!L1406</f>
        <v>NORMAL</v>
      </c>
      <c r="D1406" s="4" t="str">
        <f>FEATURES!R1406</f>
        <v>LOW</v>
      </c>
      <c r="E1406" s="4" t="str">
        <f>FEATURES!Q1406</f>
        <v>HIGHLY_ENGAGED</v>
      </c>
      <c r="F1406" s="4" t="str">
        <f>FEATURES!P1406</f>
        <v>Medium_Pressure</v>
      </c>
      <c r="G1406" s="4" t="str">
        <f>FEATURES!M1406</f>
        <v>HIGH</v>
      </c>
      <c r="H1406" s="4" t="str">
        <f>FEATURES!O1406</f>
        <v>MODERATE-WAIT</v>
      </c>
      <c r="I1406" s="4" t="str">
        <f t="shared" si="5"/>
        <v>LOW RISK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</row>
    <row r="1407" spans="1:27" ht="13.2" x14ac:dyDescent="0.25">
      <c r="A1407" s="4">
        <v>1979</v>
      </c>
      <c r="B1407" s="4" t="s">
        <v>45</v>
      </c>
      <c r="C1407" s="4" t="str">
        <f>FEATURES!L1407</f>
        <v>NORMAL</v>
      </c>
      <c r="D1407" s="4" t="str">
        <f>FEATURES!R1407</f>
        <v>LOW</v>
      </c>
      <c r="E1407" s="4" t="str">
        <f>FEATURES!Q1407</f>
        <v>HIGHLY_ENGAGED</v>
      </c>
      <c r="F1407" s="4" t="str">
        <f>FEATURES!P1407</f>
        <v>Low_Pressure</v>
      </c>
      <c r="G1407" s="4" t="str">
        <f>FEATURES!M1407</f>
        <v>MEDIUM</v>
      </c>
      <c r="H1407" s="4" t="str">
        <f>FEATURES!O1407</f>
        <v>STAGNANT</v>
      </c>
      <c r="I1407" s="4" t="str">
        <f t="shared" si="5"/>
        <v>LOW RISK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</row>
    <row r="1408" spans="1:27" ht="13.2" x14ac:dyDescent="0.25">
      <c r="A1408" s="4">
        <v>1980</v>
      </c>
      <c r="B1408" s="4" t="s">
        <v>45</v>
      </c>
      <c r="C1408" s="4" t="str">
        <f>FEATURES!L1408</f>
        <v>NORMAL</v>
      </c>
      <c r="D1408" s="4" t="str">
        <f>FEATURES!R1408</f>
        <v>LOW</v>
      </c>
      <c r="E1408" s="4" t="str">
        <f>FEATURES!Q1408</f>
        <v>DISENGAGED</v>
      </c>
      <c r="F1408" s="4" t="str">
        <f>FEATURES!P1408</f>
        <v>Medium_Pressure</v>
      </c>
      <c r="G1408" s="4" t="str">
        <f>FEATURES!M1408</f>
        <v>HIGH</v>
      </c>
      <c r="H1408" s="4" t="str">
        <f>FEATURES!O1408</f>
        <v>RECENTLY PROMOTED</v>
      </c>
      <c r="I1408" s="4" t="str">
        <f t="shared" si="5"/>
        <v>LOW RISK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</row>
    <row r="1409" spans="1:27" ht="13.2" x14ac:dyDescent="0.25">
      <c r="A1409" s="4">
        <v>1981</v>
      </c>
      <c r="B1409" s="4" t="s">
        <v>45</v>
      </c>
      <c r="C1409" s="4" t="str">
        <f>FEATURES!L1409</f>
        <v>NORMAL</v>
      </c>
      <c r="D1409" s="4" t="str">
        <f>FEATURES!R1409</f>
        <v>LOW</v>
      </c>
      <c r="E1409" s="4" t="str">
        <f>FEATURES!Q1409</f>
        <v>DISENGAGED</v>
      </c>
      <c r="F1409" s="4" t="str">
        <f>FEATURES!P1409</f>
        <v>Low_Pressure</v>
      </c>
      <c r="G1409" s="4" t="str">
        <f>FEATURES!M1409</f>
        <v>HIGH</v>
      </c>
      <c r="H1409" s="4" t="str">
        <f>FEATURES!O1409</f>
        <v>RECENTLY PROMOTED</v>
      </c>
      <c r="I1409" s="4" t="str">
        <f t="shared" si="5"/>
        <v>LOW RISK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</row>
    <row r="1410" spans="1:27" ht="13.2" x14ac:dyDescent="0.25">
      <c r="A1410" s="4">
        <v>1982</v>
      </c>
      <c r="B1410" s="4" t="s">
        <v>45</v>
      </c>
      <c r="C1410" s="4" t="str">
        <f>FEATURES!L1410</f>
        <v>NORMAL</v>
      </c>
      <c r="D1410" s="4" t="str">
        <f>FEATURES!R1410</f>
        <v>LOW</v>
      </c>
      <c r="E1410" s="4" t="str">
        <f>FEATURES!Q1410</f>
        <v>HIGHLY_ENGAGED</v>
      </c>
      <c r="F1410" s="4" t="str">
        <f>FEATURES!P1410</f>
        <v>Low_Pressure</v>
      </c>
      <c r="G1410" s="4" t="str">
        <f>FEATURES!M1410</f>
        <v>LOW</v>
      </c>
      <c r="H1410" s="4" t="str">
        <f>FEATURES!O1410</f>
        <v>RECENTLY PROMOTED</v>
      </c>
      <c r="I1410" s="4" t="str">
        <f t="shared" si="5"/>
        <v>LOW RISK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</row>
    <row r="1411" spans="1:27" ht="13.2" x14ac:dyDescent="0.25">
      <c r="A1411" s="4">
        <v>1985</v>
      </c>
      <c r="B1411" s="4" t="s">
        <v>45</v>
      </c>
      <c r="C1411" s="4" t="str">
        <f>FEATURES!L1411</f>
        <v>NORMAL</v>
      </c>
      <c r="D1411" s="4" t="str">
        <f>FEATURES!R1411</f>
        <v>LOW</v>
      </c>
      <c r="E1411" s="4" t="str">
        <f>FEATURES!Q1411</f>
        <v>HIGHLY_ENGAGED</v>
      </c>
      <c r="F1411" s="4" t="str">
        <f>FEATURES!P1411</f>
        <v>Low_Pressure</v>
      </c>
      <c r="G1411" s="4" t="str">
        <f>FEATURES!M1411</f>
        <v>HIGH</v>
      </c>
      <c r="H1411" s="4" t="str">
        <f>FEATURES!O1411</f>
        <v>STAGNANT</v>
      </c>
      <c r="I1411" s="4" t="str">
        <f t="shared" si="5"/>
        <v>LOW RISK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</row>
    <row r="1412" spans="1:27" ht="13.2" x14ac:dyDescent="0.25">
      <c r="A1412" s="4">
        <v>1986</v>
      </c>
      <c r="B1412" s="4" t="s">
        <v>37</v>
      </c>
      <c r="C1412" s="4" t="str">
        <f>FEATURES!L1412</f>
        <v>NORMAL</v>
      </c>
      <c r="D1412" s="4" t="str">
        <f>FEATURES!R1412</f>
        <v>LOW</v>
      </c>
      <c r="E1412" s="4" t="str">
        <f>FEATURES!Q1412</f>
        <v>DISENGAGED</v>
      </c>
      <c r="F1412" s="4" t="str">
        <f>FEATURES!P1412</f>
        <v>Medium_Pressure</v>
      </c>
      <c r="G1412" s="4" t="str">
        <f>FEATURES!M1412</f>
        <v>HIGH</v>
      </c>
      <c r="H1412" s="4" t="str">
        <f>FEATURES!O1412</f>
        <v>STAGNANT</v>
      </c>
      <c r="I1412" s="4" t="str">
        <f t="shared" si="5"/>
        <v>LOW RISK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</row>
    <row r="1413" spans="1:27" ht="13.2" x14ac:dyDescent="0.25">
      <c r="A1413" s="4">
        <v>1987</v>
      </c>
      <c r="B1413" s="4" t="s">
        <v>61</v>
      </c>
      <c r="C1413" s="4" t="str">
        <f>FEATURES!L1413</f>
        <v>NORMAL</v>
      </c>
      <c r="D1413" s="4" t="str">
        <f>FEATURES!R1413</f>
        <v>LOW</v>
      </c>
      <c r="E1413" s="4" t="str">
        <f>FEATURES!Q1413</f>
        <v>DISENGAGED</v>
      </c>
      <c r="F1413" s="4" t="str">
        <f>FEATURES!P1413</f>
        <v>Medium_Pressure</v>
      </c>
      <c r="G1413" s="4" t="str">
        <f>FEATURES!M1413</f>
        <v>LOW</v>
      </c>
      <c r="H1413" s="4" t="str">
        <f>FEATURES!O1413</f>
        <v>RECENTLY PROMOTED</v>
      </c>
      <c r="I1413" s="4" t="str">
        <f t="shared" si="5"/>
        <v>LOW RISK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</row>
    <row r="1414" spans="1:27" ht="13.2" x14ac:dyDescent="0.25">
      <c r="A1414" s="4">
        <v>1989</v>
      </c>
      <c r="B1414" s="4" t="s">
        <v>45</v>
      </c>
      <c r="C1414" s="4" t="str">
        <f>FEATURES!L1414</f>
        <v>NORMAL</v>
      </c>
      <c r="D1414" s="4" t="str">
        <f>FEATURES!R1414</f>
        <v>LOW</v>
      </c>
      <c r="E1414" s="4" t="str">
        <f>FEATURES!Q1414</f>
        <v>DISENGAGED</v>
      </c>
      <c r="F1414" s="4" t="str">
        <f>FEATURES!P1414</f>
        <v>Low_Pressure</v>
      </c>
      <c r="G1414" s="4" t="str">
        <f>FEATURES!M1414</f>
        <v>LOW</v>
      </c>
      <c r="H1414" s="4" t="str">
        <f>FEATURES!O1414</f>
        <v>RECENTLY PROMOTED</v>
      </c>
      <c r="I1414" s="4" t="str">
        <f t="shared" si="5"/>
        <v>LOW RISK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</row>
    <row r="1415" spans="1:27" ht="13.2" x14ac:dyDescent="0.25">
      <c r="A1415" s="4">
        <v>1992</v>
      </c>
      <c r="B1415" s="4" t="s">
        <v>45</v>
      </c>
      <c r="C1415" s="4" t="str">
        <f>FEATURES!L1415</f>
        <v>NORMAL</v>
      </c>
      <c r="D1415" s="4" t="str">
        <f>FEATURES!R1415</f>
        <v>LOW</v>
      </c>
      <c r="E1415" s="4" t="str">
        <f>FEATURES!Q1415</f>
        <v>DISENGAGED</v>
      </c>
      <c r="F1415" s="4" t="str">
        <f>FEATURES!P1415</f>
        <v>High_Pressure</v>
      </c>
      <c r="G1415" s="4" t="str">
        <f>FEATURES!M1415</f>
        <v>LOW</v>
      </c>
      <c r="H1415" s="4" t="str">
        <f>FEATURES!O1415</f>
        <v>RECENTLY PROMOTED</v>
      </c>
      <c r="I1415" s="4" t="str">
        <f t="shared" si="5"/>
        <v>LOW RISK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</row>
    <row r="1416" spans="1:27" ht="13.2" x14ac:dyDescent="0.25">
      <c r="A1416" s="4">
        <v>1993</v>
      </c>
      <c r="B1416" s="4" t="s">
        <v>45</v>
      </c>
      <c r="C1416" s="4" t="str">
        <f>FEATURES!L1416</f>
        <v>NORMAL</v>
      </c>
      <c r="D1416" s="4" t="str">
        <f>FEATURES!R1416</f>
        <v>LOW</v>
      </c>
      <c r="E1416" s="4" t="str">
        <f>FEATURES!Q1416</f>
        <v>HIGHLY_ENGAGED</v>
      </c>
      <c r="F1416" s="4" t="str">
        <f>FEATURES!P1416</f>
        <v>Medium_Pressure</v>
      </c>
      <c r="G1416" s="4" t="str">
        <f>FEATURES!M1416</f>
        <v>HIGH</v>
      </c>
      <c r="H1416" s="4" t="str">
        <f>FEATURES!O1416</f>
        <v>STAGNANT</v>
      </c>
      <c r="I1416" s="4" t="str">
        <f t="shared" si="5"/>
        <v>LOW RISK</v>
      </c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</row>
    <row r="1417" spans="1:27" ht="13.2" x14ac:dyDescent="0.25">
      <c r="A1417" s="4">
        <v>1994</v>
      </c>
      <c r="B1417" s="4" t="s">
        <v>45</v>
      </c>
      <c r="C1417" s="4" t="str">
        <f>FEATURES!L1417</f>
        <v>NORMAL</v>
      </c>
      <c r="D1417" s="4" t="str">
        <f>FEATURES!R1417</f>
        <v>LOW</v>
      </c>
      <c r="E1417" s="4" t="str">
        <f>FEATURES!Q1417</f>
        <v>DISENGAGED</v>
      </c>
      <c r="F1417" s="4" t="str">
        <f>FEATURES!P1417</f>
        <v>Low_Pressure</v>
      </c>
      <c r="G1417" s="4" t="str">
        <f>FEATURES!M1417</f>
        <v>LOW</v>
      </c>
      <c r="H1417" s="4" t="str">
        <f>FEATURES!O1417</f>
        <v>RECENTLY PROMOTED</v>
      </c>
      <c r="I1417" s="4" t="str">
        <f t="shared" si="5"/>
        <v>LOW RISK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</row>
    <row r="1418" spans="1:27" ht="13.2" x14ac:dyDescent="0.25">
      <c r="A1418" s="4">
        <v>1995</v>
      </c>
      <c r="B1418" s="4" t="s">
        <v>37</v>
      </c>
      <c r="C1418" s="4" t="str">
        <f>FEATURES!L1418</f>
        <v>NORMAL</v>
      </c>
      <c r="D1418" s="4" t="str">
        <f>FEATURES!R1418</f>
        <v>LOW</v>
      </c>
      <c r="E1418" s="4" t="str">
        <f>FEATURES!Q1418</f>
        <v>DISENGAGED</v>
      </c>
      <c r="F1418" s="4" t="str">
        <f>FEATURES!P1418</f>
        <v>Medium_Pressure</v>
      </c>
      <c r="G1418" s="4" t="str">
        <f>FEATURES!M1418</f>
        <v>HIGH</v>
      </c>
      <c r="H1418" s="4" t="str">
        <f>FEATURES!O1418</f>
        <v>STAGNANT</v>
      </c>
      <c r="I1418" s="4" t="str">
        <f t="shared" si="5"/>
        <v>LOW RISK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</row>
    <row r="1419" spans="1:27" ht="13.2" x14ac:dyDescent="0.25">
      <c r="A1419" s="4">
        <v>1996</v>
      </c>
      <c r="B1419" s="4" t="s">
        <v>37</v>
      </c>
      <c r="C1419" s="4" t="str">
        <f>FEATURES!L1419</f>
        <v>NORMAL</v>
      </c>
      <c r="D1419" s="4" t="str">
        <f>FEATURES!R1419</f>
        <v>LOW</v>
      </c>
      <c r="E1419" s="4" t="str">
        <f>FEATURES!Q1419</f>
        <v>HIGHLY_ENGAGED</v>
      </c>
      <c r="F1419" s="4" t="str">
        <f>FEATURES!P1419</f>
        <v>Medium_Pressure</v>
      </c>
      <c r="G1419" s="4" t="str">
        <f>FEATURES!M1419</f>
        <v>LOW</v>
      </c>
      <c r="H1419" s="4" t="str">
        <f>FEATURES!O1419</f>
        <v>RECENTLY PROMOTED</v>
      </c>
      <c r="I1419" s="4" t="str">
        <f t="shared" si="5"/>
        <v>LOW RISK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</row>
    <row r="1420" spans="1:27" ht="13.2" x14ac:dyDescent="0.25">
      <c r="A1420" s="4">
        <v>1997</v>
      </c>
      <c r="B1420" s="4" t="s">
        <v>45</v>
      </c>
      <c r="C1420" s="4" t="str">
        <f>FEATURES!L1420</f>
        <v>NORMAL</v>
      </c>
      <c r="D1420" s="4" t="str">
        <f>FEATURES!R1420</f>
        <v>LOW</v>
      </c>
      <c r="E1420" s="4" t="str">
        <f>FEATURES!Q1420</f>
        <v>HIGHLY_ENGAGED</v>
      </c>
      <c r="F1420" s="4" t="str">
        <f>FEATURES!P1420</f>
        <v>Medium_Pressure</v>
      </c>
      <c r="G1420" s="4" t="str">
        <f>FEATURES!M1420</f>
        <v>HIGH</v>
      </c>
      <c r="H1420" s="4" t="str">
        <f>FEATURES!O1420</f>
        <v>STAGNANT</v>
      </c>
      <c r="I1420" s="4" t="str">
        <f t="shared" si="5"/>
        <v>LOW RISK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</row>
    <row r="1421" spans="1:27" ht="13.2" x14ac:dyDescent="0.25">
      <c r="A1421" s="4">
        <v>1998</v>
      </c>
      <c r="B1421" s="4" t="s">
        <v>45</v>
      </c>
      <c r="C1421" s="4" t="str">
        <f>FEATURES!L1421</f>
        <v>NORMAL</v>
      </c>
      <c r="D1421" s="4" t="str">
        <f>FEATURES!R1421</f>
        <v>LOW</v>
      </c>
      <c r="E1421" s="4" t="str">
        <f>FEATURES!Q1421</f>
        <v>DISENGAGED</v>
      </c>
      <c r="F1421" s="4" t="str">
        <f>FEATURES!P1421</f>
        <v>High_Pressure</v>
      </c>
      <c r="G1421" s="4" t="str">
        <f>FEATURES!M1421</f>
        <v>HIGH</v>
      </c>
      <c r="H1421" s="4" t="str">
        <f>FEATURES!O1421</f>
        <v>RECENTLY PROMOTED</v>
      </c>
      <c r="I1421" s="4" t="str">
        <f t="shared" si="5"/>
        <v>LOW RISK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</row>
    <row r="1422" spans="1:27" ht="13.2" x14ac:dyDescent="0.25">
      <c r="A1422" s="4">
        <v>1999</v>
      </c>
      <c r="B1422" s="4" t="s">
        <v>45</v>
      </c>
      <c r="C1422" s="4" t="str">
        <f>FEATURES!L1422</f>
        <v>NORMAL</v>
      </c>
      <c r="D1422" s="4" t="str">
        <f>FEATURES!R1422</f>
        <v>LOW</v>
      </c>
      <c r="E1422" s="4" t="str">
        <f>FEATURES!Q1422</f>
        <v>HIGHLY_ENGAGED</v>
      </c>
      <c r="F1422" s="4" t="str">
        <f>FEATURES!P1422</f>
        <v>Medium_Pressure</v>
      </c>
      <c r="G1422" s="4" t="str">
        <f>FEATURES!M1422</f>
        <v>LOW</v>
      </c>
      <c r="H1422" s="4" t="str">
        <f>FEATURES!O1422</f>
        <v>RECENTLY PROMOTED</v>
      </c>
      <c r="I1422" s="4" t="str">
        <f t="shared" si="5"/>
        <v>LOW RISK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</row>
    <row r="1423" spans="1:27" ht="13.2" x14ac:dyDescent="0.25">
      <c r="A1423" s="4">
        <v>2000</v>
      </c>
      <c r="B1423" s="4" t="s">
        <v>45</v>
      </c>
      <c r="C1423" s="4" t="str">
        <f>FEATURES!L1423</f>
        <v>NORMAL</v>
      </c>
      <c r="D1423" s="4" t="str">
        <f>FEATURES!R1423</f>
        <v>LOW</v>
      </c>
      <c r="E1423" s="4" t="str">
        <f>FEATURES!Q1423</f>
        <v>DISENGAGED</v>
      </c>
      <c r="F1423" s="4" t="str">
        <f>FEATURES!P1423</f>
        <v>Low_Pressure</v>
      </c>
      <c r="G1423" s="4" t="str">
        <f>FEATURES!M1423</f>
        <v>MEDIUM</v>
      </c>
      <c r="H1423" s="4" t="str">
        <f>FEATURES!O1423</f>
        <v>STAGNANT</v>
      </c>
      <c r="I1423" s="4" t="str">
        <f t="shared" si="5"/>
        <v>LOW RISK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</row>
    <row r="1424" spans="1:27" ht="13.2" x14ac:dyDescent="0.25">
      <c r="A1424" s="4">
        <v>2003</v>
      </c>
      <c r="B1424" s="4" t="s">
        <v>45</v>
      </c>
      <c r="C1424" s="4" t="str">
        <f>FEATURES!L1424</f>
        <v>NORMAL</v>
      </c>
      <c r="D1424" s="4" t="str">
        <f>FEATURES!R1424</f>
        <v>LOW</v>
      </c>
      <c r="E1424" s="4" t="str">
        <f>FEATURES!Q1424</f>
        <v>HIGHLY_ENGAGED</v>
      </c>
      <c r="F1424" s="4" t="str">
        <f>FEATURES!P1424</f>
        <v>Medium_Pressure</v>
      </c>
      <c r="G1424" s="4" t="str">
        <f>FEATURES!M1424</f>
        <v>LOW</v>
      </c>
      <c r="H1424" s="4" t="str">
        <f>FEATURES!O1424</f>
        <v>MODERATE-WAIT</v>
      </c>
      <c r="I1424" s="4" t="str">
        <f t="shared" si="5"/>
        <v>LOW RISK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</row>
    <row r="1425" spans="1:27" ht="13.2" x14ac:dyDescent="0.25">
      <c r="A1425" s="4">
        <v>2007</v>
      </c>
      <c r="B1425" s="4" t="s">
        <v>45</v>
      </c>
      <c r="C1425" s="4" t="str">
        <f>FEATURES!L1425</f>
        <v>NORMAL</v>
      </c>
      <c r="D1425" s="4" t="str">
        <f>FEATURES!R1425</f>
        <v>LOW</v>
      </c>
      <c r="E1425" s="4" t="str">
        <f>FEATURES!Q1425</f>
        <v>HIGHLY_ENGAGED</v>
      </c>
      <c r="F1425" s="4" t="str">
        <f>FEATURES!P1425</f>
        <v>Low_Pressure</v>
      </c>
      <c r="G1425" s="4" t="str">
        <f>FEATURES!M1425</f>
        <v>LOW</v>
      </c>
      <c r="H1425" s="4" t="str">
        <f>FEATURES!O1425</f>
        <v>RECENTLY PROMOTED</v>
      </c>
      <c r="I1425" s="4" t="str">
        <f t="shared" si="5"/>
        <v>LOW RISK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</row>
    <row r="1426" spans="1:27" ht="13.2" x14ac:dyDescent="0.25">
      <c r="A1426" s="4">
        <v>2008</v>
      </c>
      <c r="B1426" s="4" t="s">
        <v>45</v>
      </c>
      <c r="C1426" s="4" t="str">
        <f>FEATURES!L1426</f>
        <v>NORMAL</v>
      </c>
      <c r="D1426" s="4" t="str">
        <f>FEATURES!R1426</f>
        <v>LOW</v>
      </c>
      <c r="E1426" s="4" t="str">
        <f>FEATURES!Q1426</f>
        <v>HIGHLY_ENGAGED</v>
      </c>
      <c r="F1426" s="4" t="str">
        <f>FEATURES!P1426</f>
        <v>Medium_Pressure</v>
      </c>
      <c r="G1426" s="4" t="str">
        <f>FEATURES!M1426</f>
        <v>HIGH</v>
      </c>
      <c r="H1426" s="4" t="str">
        <f>FEATURES!O1426</f>
        <v>RECENTLY PROMOTED</v>
      </c>
      <c r="I1426" s="4" t="str">
        <f t="shared" si="5"/>
        <v>LOW RISK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</row>
    <row r="1427" spans="1:27" ht="13.2" x14ac:dyDescent="0.25">
      <c r="A1427" s="4">
        <v>2009</v>
      </c>
      <c r="B1427" s="4" t="s">
        <v>45</v>
      </c>
      <c r="C1427" s="4" t="str">
        <f>FEATURES!L1427</f>
        <v>NORMAL</v>
      </c>
      <c r="D1427" s="4" t="str">
        <f>FEATURES!R1427</f>
        <v>LOW</v>
      </c>
      <c r="E1427" s="4" t="str">
        <f>FEATURES!Q1427</f>
        <v>HIGHLY_ENGAGED</v>
      </c>
      <c r="F1427" s="4" t="str">
        <f>FEATURES!P1427</f>
        <v>Medium_Pressure</v>
      </c>
      <c r="G1427" s="4" t="str">
        <f>FEATURES!M1427</f>
        <v>HIGH</v>
      </c>
      <c r="H1427" s="4" t="str">
        <f>FEATURES!O1427</f>
        <v>STAGNANT</v>
      </c>
      <c r="I1427" s="4" t="str">
        <f t="shared" si="5"/>
        <v>LOW RISK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</row>
    <row r="1428" spans="1:27" ht="13.2" x14ac:dyDescent="0.25">
      <c r="A1428" s="4">
        <v>2010</v>
      </c>
      <c r="B1428" s="4" t="s">
        <v>45</v>
      </c>
      <c r="C1428" s="4" t="str">
        <f>FEATURES!L1428</f>
        <v>NORMAL</v>
      </c>
      <c r="D1428" s="4" t="str">
        <f>FEATURES!R1428</f>
        <v>LOW</v>
      </c>
      <c r="E1428" s="4" t="str">
        <f>FEATURES!Q1428</f>
        <v>DISENGAGED</v>
      </c>
      <c r="F1428" s="4" t="str">
        <f>FEATURES!P1428</f>
        <v>Medium_Pressure</v>
      </c>
      <c r="G1428" s="4" t="str">
        <f>FEATURES!M1428</f>
        <v>LOW</v>
      </c>
      <c r="H1428" s="4" t="str">
        <f>FEATURES!O1428</f>
        <v>STAGNANT</v>
      </c>
      <c r="I1428" s="4" t="str">
        <f t="shared" si="5"/>
        <v>LOW RISK</v>
      </c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</row>
    <row r="1429" spans="1:27" ht="13.2" x14ac:dyDescent="0.25">
      <c r="A1429" s="4">
        <v>2012</v>
      </c>
      <c r="B1429" s="4" t="s">
        <v>45</v>
      </c>
      <c r="C1429" s="4" t="str">
        <f>FEATURES!L1429</f>
        <v>NORMAL</v>
      </c>
      <c r="D1429" s="4" t="str">
        <f>FEATURES!R1429</f>
        <v>LOW</v>
      </c>
      <c r="E1429" s="4" t="str">
        <f>FEATURES!Q1429</f>
        <v>DISENGAGED</v>
      </c>
      <c r="F1429" s="4" t="str">
        <f>FEATURES!P1429</f>
        <v>Low_Pressure</v>
      </c>
      <c r="G1429" s="4" t="str">
        <f>FEATURES!M1429</f>
        <v>LOW</v>
      </c>
      <c r="H1429" s="4" t="str">
        <f>FEATURES!O1429</f>
        <v>RECENTLY PROMOTED</v>
      </c>
      <c r="I1429" s="4" t="str">
        <f t="shared" si="5"/>
        <v>LOW RISK</v>
      </c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</row>
    <row r="1430" spans="1:27" ht="13.2" x14ac:dyDescent="0.25">
      <c r="A1430" s="4">
        <v>2013</v>
      </c>
      <c r="B1430" s="4" t="s">
        <v>37</v>
      </c>
      <c r="C1430" s="4" t="str">
        <f>FEATURES!L1430</f>
        <v>NORMAL</v>
      </c>
      <c r="D1430" s="4" t="str">
        <f>FEATURES!R1430</f>
        <v>LOW</v>
      </c>
      <c r="E1430" s="4" t="str">
        <f>FEATURES!Q1430</f>
        <v>DISENGAGED</v>
      </c>
      <c r="F1430" s="4" t="str">
        <f>FEATURES!P1430</f>
        <v>Medium_Pressure</v>
      </c>
      <c r="G1430" s="4" t="str">
        <f>FEATURES!M1430</f>
        <v>LOW</v>
      </c>
      <c r="H1430" s="4" t="str">
        <f>FEATURES!O1430</f>
        <v>MODERATE-WAIT</v>
      </c>
      <c r="I1430" s="4" t="str">
        <f t="shared" si="5"/>
        <v>LOW RISK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</row>
    <row r="1431" spans="1:27" ht="13.2" x14ac:dyDescent="0.25">
      <c r="A1431" s="4">
        <v>2014</v>
      </c>
      <c r="B1431" s="4" t="s">
        <v>45</v>
      </c>
      <c r="C1431" s="4" t="str">
        <f>FEATURES!L1431</f>
        <v>NORMAL</v>
      </c>
      <c r="D1431" s="4" t="str">
        <f>FEATURES!R1431</f>
        <v>LOW</v>
      </c>
      <c r="E1431" s="4" t="str">
        <f>FEATURES!Q1431</f>
        <v>HIGHLY_ENGAGED</v>
      </c>
      <c r="F1431" s="4" t="str">
        <f>FEATURES!P1431</f>
        <v>Medium_Pressure</v>
      </c>
      <c r="G1431" s="4" t="str">
        <f>FEATURES!M1431</f>
        <v>HIGH</v>
      </c>
      <c r="H1431" s="4" t="str">
        <f>FEATURES!O1431</f>
        <v>RECENTLY PROMOTED</v>
      </c>
      <c r="I1431" s="4" t="str">
        <f t="shared" si="5"/>
        <v>LOW RISK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</row>
    <row r="1432" spans="1:27" ht="13.2" x14ac:dyDescent="0.25">
      <c r="A1432" s="4">
        <v>2015</v>
      </c>
      <c r="B1432" s="4" t="s">
        <v>45</v>
      </c>
      <c r="C1432" s="4" t="str">
        <f>FEATURES!L1432</f>
        <v>NORMAL</v>
      </c>
      <c r="D1432" s="4" t="str">
        <f>FEATURES!R1432</f>
        <v>LOW</v>
      </c>
      <c r="E1432" s="4" t="str">
        <f>FEATURES!Q1432</f>
        <v>HIGHLY_ENGAGED</v>
      </c>
      <c r="F1432" s="4" t="str">
        <f>FEATURES!P1432</f>
        <v>Medium_Pressure</v>
      </c>
      <c r="G1432" s="4" t="str">
        <f>FEATURES!M1432</f>
        <v>MEDIUM</v>
      </c>
      <c r="H1432" s="4" t="str">
        <f>FEATURES!O1432</f>
        <v>RECENTLY PROMOTED</v>
      </c>
      <c r="I1432" s="4" t="str">
        <f t="shared" si="5"/>
        <v>LOW RISK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</row>
    <row r="1433" spans="1:27" ht="13.2" x14ac:dyDescent="0.25">
      <c r="A1433" s="4">
        <v>2016</v>
      </c>
      <c r="B1433" s="4" t="s">
        <v>37</v>
      </c>
      <c r="C1433" s="4" t="str">
        <f>FEATURES!L1433</f>
        <v>NORMAL</v>
      </c>
      <c r="D1433" s="4" t="str">
        <f>FEATURES!R1433</f>
        <v>LOW</v>
      </c>
      <c r="E1433" s="4" t="str">
        <f>FEATURES!Q1433</f>
        <v>HIGHLY_ENGAGED</v>
      </c>
      <c r="F1433" s="4" t="str">
        <f>FEATURES!P1433</f>
        <v>Medium_Pressure</v>
      </c>
      <c r="G1433" s="4" t="str">
        <f>FEATURES!M1433</f>
        <v>MEDIUM</v>
      </c>
      <c r="H1433" s="4" t="str">
        <f>FEATURES!O1433</f>
        <v>STAGNANT</v>
      </c>
      <c r="I1433" s="4" t="str">
        <f t="shared" si="5"/>
        <v>LOW RISK</v>
      </c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</row>
    <row r="1434" spans="1:27" ht="13.2" x14ac:dyDescent="0.25">
      <c r="A1434" s="4">
        <v>2017</v>
      </c>
      <c r="B1434" s="4" t="s">
        <v>45</v>
      </c>
      <c r="C1434" s="4" t="str">
        <f>FEATURES!L1434</f>
        <v>NORMAL</v>
      </c>
      <c r="D1434" s="4" t="str">
        <f>FEATURES!R1434</f>
        <v>LOW</v>
      </c>
      <c r="E1434" s="4" t="str">
        <f>FEATURES!Q1434</f>
        <v>HIGHLY_ENGAGED</v>
      </c>
      <c r="F1434" s="4" t="str">
        <f>FEATURES!P1434</f>
        <v>Medium_Pressure</v>
      </c>
      <c r="G1434" s="4" t="str">
        <f>FEATURES!M1434</f>
        <v>MEDIUM</v>
      </c>
      <c r="H1434" s="4" t="str">
        <f>FEATURES!O1434</f>
        <v>STAGNANT</v>
      </c>
      <c r="I1434" s="4" t="str">
        <f t="shared" si="5"/>
        <v>LOW RISK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</row>
    <row r="1435" spans="1:27" ht="13.2" x14ac:dyDescent="0.25">
      <c r="A1435" s="4">
        <v>2018</v>
      </c>
      <c r="B1435" s="4" t="s">
        <v>37</v>
      </c>
      <c r="C1435" s="4" t="str">
        <f>FEATURES!L1435</f>
        <v>NORMAL</v>
      </c>
      <c r="D1435" s="4" t="str">
        <f>FEATURES!R1435</f>
        <v>LOW</v>
      </c>
      <c r="E1435" s="4" t="str">
        <f>FEATURES!Q1435</f>
        <v>DISENGAGED</v>
      </c>
      <c r="F1435" s="4" t="str">
        <f>FEATURES!P1435</f>
        <v>High_Pressure</v>
      </c>
      <c r="G1435" s="4" t="str">
        <f>FEATURES!M1435</f>
        <v>HIGH</v>
      </c>
      <c r="H1435" s="4" t="str">
        <f>FEATURES!O1435</f>
        <v>RECENTLY PROMOTED</v>
      </c>
      <c r="I1435" s="4" t="str">
        <f t="shared" si="5"/>
        <v>LOW RISK</v>
      </c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</row>
    <row r="1436" spans="1:27" ht="13.2" x14ac:dyDescent="0.25">
      <c r="A1436" s="4">
        <v>2019</v>
      </c>
      <c r="B1436" s="4" t="s">
        <v>37</v>
      </c>
      <c r="C1436" s="4" t="str">
        <f>FEATURES!L1436</f>
        <v>NORMAL</v>
      </c>
      <c r="D1436" s="4" t="str">
        <f>FEATURES!R1436</f>
        <v>LOW</v>
      </c>
      <c r="E1436" s="4" t="str">
        <f>FEATURES!Q1436</f>
        <v>DISENGAGED</v>
      </c>
      <c r="F1436" s="4" t="str">
        <f>FEATURES!P1436</f>
        <v>Low_Pressure</v>
      </c>
      <c r="G1436" s="4" t="str">
        <f>FEATURES!M1436</f>
        <v>LOW</v>
      </c>
      <c r="H1436" s="4" t="str">
        <f>FEATURES!O1436</f>
        <v>RECENTLY PROMOTED</v>
      </c>
      <c r="I1436" s="4" t="str">
        <f t="shared" si="5"/>
        <v>LOW RISK</v>
      </c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</row>
    <row r="1437" spans="1:27" ht="13.2" x14ac:dyDescent="0.25">
      <c r="A1437" s="4">
        <v>2020</v>
      </c>
      <c r="B1437" s="4" t="s">
        <v>45</v>
      </c>
      <c r="C1437" s="4" t="str">
        <f>FEATURES!L1437</f>
        <v>NORMAL</v>
      </c>
      <c r="D1437" s="4" t="str">
        <f>FEATURES!R1437</f>
        <v>LOW</v>
      </c>
      <c r="E1437" s="4" t="str">
        <f>FEATURES!Q1437</f>
        <v>HIGHLY_ENGAGED</v>
      </c>
      <c r="F1437" s="4" t="str">
        <f>FEATURES!P1437</f>
        <v>Medium_Pressure</v>
      </c>
      <c r="G1437" s="4" t="str">
        <f>FEATURES!M1437</f>
        <v>LOW</v>
      </c>
      <c r="H1437" s="4" t="str">
        <f>FEATURES!O1437</f>
        <v>RECENTLY PROMOTED</v>
      </c>
      <c r="I1437" s="4" t="str">
        <f t="shared" si="5"/>
        <v>LOW RISK</v>
      </c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</row>
    <row r="1438" spans="1:27" ht="13.2" x14ac:dyDescent="0.25">
      <c r="A1438" s="4">
        <v>2021</v>
      </c>
      <c r="B1438" s="4" t="s">
        <v>37</v>
      </c>
      <c r="C1438" s="4" t="str">
        <f>FEATURES!L1438</f>
        <v>NORMAL</v>
      </c>
      <c r="D1438" s="4" t="str">
        <f>FEATURES!R1438</f>
        <v>LOW</v>
      </c>
      <c r="E1438" s="4" t="str">
        <f>FEATURES!Q1438</f>
        <v>DISENGAGED</v>
      </c>
      <c r="F1438" s="4" t="str">
        <f>FEATURES!P1438</f>
        <v>Medium_Pressure</v>
      </c>
      <c r="G1438" s="4" t="str">
        <f>FEATURES!M1438</f>
        <v>LOW</v>
      </c>
      <c r="H1438" s="4" t="str">
        <f>FEATURES!O1438</f>
        <v>RECENTLY PROMOTED</v>
      </c>
      <c r="I1438" s="4" t="str">
        <f t="shared" si="5"/>
        <v>LOW RISK</v>
      </c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</row>
    <row r="1439" spans="1:27" ht="13.2" x14ac:dyDescent="0.25">
      <c r="A1439" s="4">
        <v>2022</v>
      </c>
      <c r="B1439" s="4" t="s">
        <v>45</v>
      </c>
      <c r="C1439" s="4" t="str">
        <f>FEATURES!L1439</f>
        <v>NORMAL</v>
      </c>
      <c r="D1439" s="4" t="str">
        <f>FEATURES!R1439</f>
        <v>LOW</v>
      </c>
      <c r="E1439" s="4" t="str">
        <f>FEATURES!Q1439</f>
        <v>DISENGAGED</v>
      </c>
      <c r="F1439" s="4" t="str">
        <f>FEATURES!P1439</f>
        <v>Low_Pressure</v>
      </c>
      <c r="G1439" s="4" t="str">
        <f>FEATURES!M1439</f>
        <v>MEDIUM</v>
      </c>
      <c r="H1439" s="4" t="str">
        <f>FEATURES!O1439</f>
        <v>RECENTLY PROMOTED</v>
      </c>
      <c r="I1439" s="4" t="str">
        <f t="shared" si="5"/>
        <v>LOW RISK</v>
      </c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</row>
    <row r="1440" spans="1:27" ht="13.2" x14ac:dyDescent="0.25">
      <c r="A1440" s="4">
        <v>2023</v>
      </c>
      <c r="B1440" s="4" t="s">
        <v>37</v>
      </c>
      <c r="C1440" s="4" t="str">
        <f>FEATURES!L1440</f>
        <v>NORMAL</v>
      </c>
      <c r="D1440" s="4" t="str">
        <f>FEATURES!R1440</f>
        <v>LOW</v>
      </c>
      <c r="E1440" s="4" t="str">
        <f>FEATURES!Q1440</f>
        <v>DISENGAGED</v>
      </c>
      <c r="F1440" s="4" t="str">
        <f>FEATURES!P1440</f>
        <v>Low_Pressure</v>
      </c>
      <c r="G1440" s="4" t="str">
        <f>FEATURES!M1440</f>
        <v>LOW</v>
      </c>
      <c r="H1440" s="4" t="str">
        <f>FEATURES!O1440</f>
        <v>RECENTLY PROMOTED</v>
      </c>
      <c r="I1440" s="4" t="str">
        <f t="shared" si="5"/>
        <v>LOW RISK</v>
      </c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</row>
    <row r="1441" spans="1:27" ht="13.2" x14ac:dyDescent="0.25">
      <c r="A1441" s="4">
        <v>2024</v>
      </c>
      <c r="B1441" s="4" t="s">
        <v>37</v>
      </c>
      <c r="C1441" s="4" t="str">
        <f>FEATURES!L1441</f>
        <v>NORMAL</v>
      </c>
      <c r="D1441" s="4" t="str">
        <f>FEATURES!R1441</f>
        <v>LOW</v>
      </c>
      <c r="E1441" s="4" t="str">
        <f>FEATURES!Q1441</f>
        <v>HIGHLY_ENGAGED</v>
      </c>
      <c r="F1441" s="4" t="str">
        <f>FEATURES!P1441</f>
        <v>Medium_Pressure</v>
      </c>
      <c r="G1441" s="4" t="str">
        <f>FEATURES!M1441</f>
        <v>HIGH</v>
      </c>
      <c r="H1441" s="4" t="str">
        <f>FEATURES!O1441</f>
        <v>MODERATE-WAIT</v>
      </c>
      <c r="I1441" s="4" t="str">
        <f t="shared" si="5"/>
        <v>LOW RISK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</row>
    <row r="1442" spans="1:27" ht="13.2" x14ac:dyDescent="0.25">
      <c r="A1442" s="4">
        <v>2025</v>
      </c>
      <c r="B1442" s="4" t="s">
        <v>45</v>
      </c>
      <c r="C1442" s="4" t="str">
        <f>FEATURES!L1442</f>
        <v>NORMAL</v>
      </c>
      <c r="D1442" s="4" t="str">
        <f>FEATURES!R1442</f>
        <v>LOW</v>
      </c>
      <c r="E1442" s="4" t="str">
        <f>FEATURES!Q1442</f>
        <v>DISENGAGED</v>
      </c>
      <c r="F1442" s="4" t="str">
        <f>FEATURES!P1442</f>
        <v>Medium_Pressure</v>
      </c>
      <c r="G1442" s="4" t="str">
        <f>FEATURES!M1442</f>
        <v>HIGH</v>
      </c>
      <c r="H1442" s="4" t="str">
        <f>FEATURES!O1442</f>
        <v>RECENTLY PROMOTED</v>
      </c>
      <c r="I1442" s="4" t="str">
        <f t="shared" si="5"/>
        <v>LOW RISK</v>
      </c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</row>
    <row r="1443" spans="1:27" ht="13.2" x14ac:dyDescent="0.25">
      <c r="A1443" s="4">
        <v>2026</v>
      </c>
      <c r="B1443" s="4" t="s">
        <v>45</v>
      </c>
      <c r="C1443" s="4" t="str">
        <f>FEATURES!L1443</f>
        <v>NORMAL</v>
      </c>
      <c r="D1443" s="4" t="str">
        <f>FEATURES!R1443</f>
        <v>LOW</v>
      </c>
      <c r="E1443" s="4" t="str">
        <f>FEATURES!Q1443</f>
        <v>DISENGAGED</v>
      </c>
      <c r="F1443" s="4" t="str">
        <f>FEATURES!P1443</f>
        <v>Low_Pressure</v>
      </c>
      <c r="G1443" s="4" t="str">
        <f>FEATURES!M1443</f>
        <v>HIGH</v>
      </c>
      <c r="H1443" s="4" t="str">
        <f>FEATURES!O1443</f>
        <v>RECENTLY PROMOTED</v>
      </c>
      <c r="I1443" s="4" t="str">
        <f t="shared" si="5"/>
        <v>LOW RISK</v>
      </c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</row>
    <row r="1444" spans="1:27" ht="13.2" x14ac:dyDescent="0.25">
      <c r="A1444" s="4">
        <v>2027</v>
      </c>
      <c r="B1444" s="4" t="s">
        <v>45</v>
      </c>
      <c r="C1444" s="4" t="str">
        <f>FEATURES!L1444</f>
        <v>NORMAL</v>
      </c>
      <c r="D1444" s="4" t="str">
        <f>FEATURES!R1444</f>
        <v>LOW</v>
      </c>
      <c r="E1444" s="4" t="str">
        <f>FEATURES!Q1444</f>
        <v>HIGHLY_ENGAGED</v>
      </c>
      <c r="F1444" s="4" t="str">
        <f>FEATURES!P1444</f>
        <v>Medium_Pressure</v>
      </c>
      <c r="G1444" s="4" t="str">
        <f>FEATURES!M1444</f>
        <v>HIGH</v>
      </c>
      <c r="H1444" s="4" t="str">
        <f>FEATURES!O1444</f>
        <v>MODERATE-WAIT</v>
      </c>
      <c r="I1444" s="4" t="str">
        <f t="shared" si="5"/>
        <v>LOW RISK</v>
      </c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</row>
    <row r="1445" spans="1:27" ht="13.2" x14ac:dyDescent="0.25">
      <c r="A1445" s="4">
        <v>2031</v>
      </c>
      <c r="B1445" s="4" t="s">
        <v>45</v>
      </c>
      <c r="C1445" s="4" t="str">
        <f>FEATURES!L1445</f>
        <v>NORMAL</v>
      </c>
      <c r="D1445" s="4" t="str">
        <f>FEATURES!R1445</f>
        <v>LOW</v>
      </c>
      <c r="E1445" s="4" t="str">
        <f>FEATURES!Q1445</f>
        <v>DISENGAGED</v>
      </c>
      <c r="F1445" s="4" t="str">
        <f>FEATURES!P1445</f>
        <v>Low_Pressure</v>
      </c>
      <c r="G1445" s="4" t="str">
        <f>FEATURES!M1445</f>
        <v>MEDIUM</v>
      </c>
      <c r="H1445" s="4" t="str">
        <f>FEATURES!O1445</f>
        <v>STAGNANT</v>
      </c>
      <c r="I1445" s="4" t="str">
        <f t="shared" si="5"/>
        <v>LOW RISK</v>
      </c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</row>
    <row r="1446" spans="1:27" ht="13.2" x14ac:dyDescent="0.25">
      <c r="A1446" s="4">
        <v>2032</v>
      </c>
      <c r="B1446" s="4" t="s">
        <v>45</v>
      </c>
      <c r="C1446" s="4" t="str">
        <f>FEATURES!L1446</f>
        <v>NORMAL</v>
      </c>
      <c r="D1446" s="4" t="str">
        <f>FEATURES!R1446</f>
        <v>LOW</v>
      </c>
      <c r="E1446" s="4" t="str">
        <f>FEATURES!Q1446</f>
        <v>DISENGAGED</v>
      </c>
      <c r="F1446" s="4" t="str">
        <f>FEATURES!P1446</f>
        <v>Low_Pressure</v>
      </c>
      <c r="G1446" s="4" t="str">
        <f>FEATURES!M1446</f>
        <v>LOW</v>
      </c>
      <c r="H1446" s="4" t="str">
        <f>FEATURES!O1446</f>
        <v>STAGNANT</v>
      </c>
      <c r="I1446" s="4" t="str">
        <f t="shared" si="5"/>
        <v>LOW RISK</v>
      </c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</row>
    <row r="1447" spans="1:27" ht="13.2" x14ac:dyDescent="0.25">
      <c r="A1447" s="4">
        <v>2034</v>
      </c>
      <c r="B1447" s="4" t="s">
        <v>45</v>
      </c>
      <c r="C1447" s="4" t="str">
        <f>FEATURES!L1447</f>
        <v>NORMAL</v>
      </c>
      <c r="D1447" s="4" t="str">
        <f>FEATURES!R1447</f>
        <v>LOW</v>
      </c>
      <c r="E1447" s="4" t="str">
        <f>FEATURES!Q1447</f>
        <v>DISENGAGED</v>
      </c>
      <c r="F1447" s="4" t="str">
        <f>FEATURES!P1447</f>
        <v>Medium_Pressure</v>
      </c>
      <c r="G1447" s="4" t="str">
        <f>FEATURES!M1447</f>
        <v>MEDIUM</v>
      </c>
      <c r="H1447" s="4" t="str">
        <f>FEATURES!O1447</f>
        <v>RECENTLY PROMOTED</v>
      </c>
      <c r="I1447" s="4" t="str">
        <f t="shared" si="5"/>
        <v>LOW RISK</v>
      </c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</row>
    <row r="1448" spans="1:27" ht="13.2" x14ac:dyDescent="0.25">
      <c r="A1448" s="4">
        <v>2035</v>
      </c>
      <c r="B1448" s="4" t="s">
        <v>37</v>
      </c>
      <c r="C1448" s="4" t="str">
        <f>FEATURES!L1448</f>
        <v>NORMAL</v>
      </c>
      <c r="D1448" s="4" t="str">
        <f>FEATURES!R1448</f>
        <v>LOW</v>
      </c>
      <c r="E1448" s="4" t="str">
        <f>FEATURES!Q1448</f>
        <v>HIGHLY_ENGAGED</v>
      </c>
      <c r="F1448" s="4" t="str">
        <f>FEATURES!P1448</f>
        <v>Medium_Pressure</v>
      </c>
      <c r="G1448" s="4" t="str">
        <f>FEATURES!M1448</f>
        <v>HIGH</v>
      </c>
      <c r="H1448" s="4" t="str">
        <f>FEATURES!O1448</f>
        <v>RECENTLY PROMOTED</v>
      </c>
      <c r="I1448" s="4" t="str">
        <f t="shared" si="5"/>
        <v>LOW RISK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</row>
    <row r="1449" spans="1:27" ht="13.2" x14ac:dyDescent="0.25">
      <c r="A1449" s="4">
        <v>2036</v>
      </c>
      <c r="B1449" s="4" t="s">
        <v>37</v>
      </c>
      <c r="C1449" s="4" t="str">
        <f>FEATURES!L1449</f>
        <v>NORMAL</v>
      </c>
      <c r="D1449" s="4" t="str">
        <f>FEATURES!R1449</f>
        <v>LOW</v>
      </c>
      <c r="E1449" s="4" t="str">
        <f>FEATURES!Q1449</f>
        <v>DISENGAGED</v>
      </c>
      <c r="F1449" s="4" t="str">
        <f>FEATURES!P1449</f>
        <v>Low_Pressure</v>
      </c>
      <c r="G1449" s="4" t="str">
        <f>FEATURES!M1449</f>
        <v>HIGH</v>
      </c>
      <c r="H1449" s="4" t="str">
        <f>FEATURES!O1449</f>
        <v>STAGNANT</v>
      </c>
      <c r="I1449" s="4" t="str">
        <f t="shared" si="5"/>
        <v>LOW RISK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</row>
    <row r="1450" spans="1:27" ht="13.2" x14ac:dyDescent="0.25">
      <c r="A1450" s="4">
        <v>2037</v>
      </c>
      <c r="B1450" s="4" t="s">
        <v>37</v>
      </c>
      <c r="C1450" s="4" t="str">
        <f>FEATURES!L1450</f>
        <v>NORMAL</v>
      </c>
      <c r="D1450" s="4" t="str">
        <f>FEATURES!R1450</f>
        <v>LOW</v>
      </c>
      <c r="E1450" s="4" t="str">
        <f>FEATURES!Q1450</f>
        <v>DISENGAGED</v>
      </c>
      <c r="F1450" s="4" t="str">
        <f>FEATURES!P1450</f>
        <v>Medium_Pressure</v>
      </c>
      <c r="G1450" s="4" t="str">
        <f>FEATURES!M1450</f>
        <v>HIGH</v>
      </c>
      <c r="H1450" s="4" t="str">
        <f>FEATURES!O1450</f>
        <v>RECENTLY PROMOTED</v>
      </c>
      <c r="I1450" s="4" t="str">
        <f t="shared" si="5"/>
        <v>LOW RISK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</row>
    <row r="1451" spans="1:27" ht="13.2" x14ac:dyDescent="0.25">
      <c r="A1451" s="4">
        <v>2038</v>
      </c>
      <c r="B1451" s="4" t="s">
        <v>45</v>
      </c>
      <c r="C1451" s="4" t="str">
        <f>FEATURES!L1451</f>
        <v>NORMAL</v>
      </c>
      <c r="D1451" s="4" t="str">
        <f>FEATURES!R1451</f>
        <v>LOW</v>
      </c>
      <c r="E1451" s="4" t="str">
        <f>FEATURES!Q1451</f>
        <v>DISENGAGED</v>
      </c>
      <c r="F1451" s="4" t="str">
        <f>FEATURES!P1451</f>
        <v>Medium_Pressure</v>
      </c>
      <c r="G1451" s="4" t="str">
        <f>FEATURES!M1451</f>
        <v>LOW</v>
      </c>
      <c r="H1451" s="4" t="str">
        <f>FEATURES!O1451</f>
        <v>RECENTLY PROMOTED</v>
      </c>
      <c r="I1451" s="4" t="str">
        <f t="shared" si="5"/>
        <v>LOW RISK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</row>
    <row r="1452" spans="1:27" ht="13.2" x14ac:dyDescent="0.25">
      <c r="A1452" s="4">
        <v>2040</v>
      </c>
      <c r="B1452" s="4" t="s">
        <v>61</v>
      </c>
      <c r="C1452" s="4" t="str">
        <f>FEATURES!L1452</f>
        <v>NORMAL</v>
      </c>
      <c r="D1452" s="4" t="str">
        <f>FEATURES!R1452</f>
        <v>LOW</v>
      </c>
      <c r="E1452" s="4" t="str">
        <f>FEATURES!Q1452</f>
        <v>HIGHLY_ENGAGED</v>
      </c>
      <c r="F1452" s="4" t="str">
        <f>FEATURES!P1452</f>
        <v>Medium_Pressure</v>
      </c>
      <c r="G1452" s="4" t="str">
        <f>FEATURES!M1452</f>
        <v>HIGH</v>
      </c>
      <c r="H1452" s="4" t="str">
        <f>FEATURES!O1452</f>
        <v>RECENTLY PROMOTED</v>
      </c>
      <c r="I1452" s="4" t="str">
        <f t="shared" si="5"/>
        <v>LOW RISK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</row>
    <row r="1453" spans="1:27" ht="13.2" x14ac:dyDescent="0.25">
      <c r="A1453" s="4">
        <v>2041</v>
      </c>
      <c r="B1453" s="4" t="s">
        <v>37</v>
      </c>
      <c r="C1453" s="4" t="str">
        <f>FEATURES!L1453</f>
        <v>NORMAL</v>
      </c>
      <c r="D1453" s="4" t="str">
        <f>FEATURES!R1453</f>
        <v>LOW</v>
      </c>
      <c r="E1453" s="4" t="str">
        <f>FEATURES!Q1453</f>
        <v>HIGHLY_ENGAGED</v>
      </c>
      <c r="F1453" s="4" t="str">
        <f>FEATURES!P1453</f>
        <v>Medium_Pressure</v>
      </c>
      <c r="G1453" s="4" t="str">
        <f>FEATURES!M1453</f>
        <v>HIGH</v>
      </c>
      <c r="H1453" s="4" t="str">
        <f>FEATURES!O1453</f>
        <v>RECENTLY PROMOTED</v>
      </c>
      <c r="I1453" s="4" t="str">
        <f t="shared" si="5"/>
        <v>LOW RISK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</row>
    <row r="1454" spans="1:27" ht="13.2" x14ac:dyDescent="0.25">
      <c r="A1454" s="4">
        <v>2044</v>
      </c>
      <c r="B1454" s="4" t="s">
        <v>37</v>
      </c>
      <c r="C1454" s="4" t="str">
        <f>FEATURES!L1454</f>
        <v>NORMAL</v>
      </c>
      <c r="D1454" s="4" t="str">
        <f>FEATURES!R1454</f>
        <v>LOW</v>
      </c>
      <c r="E1454" s="4" t="str">
        <f>FEATURES!Q1454</f>
        <v>HIGHLY_ENGAGED</v>
      </c>
      <c r="F1454" s="4" t="str">
        <f>FEATURES!P1454</f>
        <v>Medium_Pressure</v>
      </c>
      <c r="G1454" s="4" t="str">
        <f>FEATURES!M1454</f>
        <v>HIGH</v>
      </c>
      <c r="H1454" s="4" t="str">
        <f>FEATURES!O1454</f>
        <v>RECENTLY PROMOTED</v>
      </c>
      <c r="I1454" s="4" t="str">
        <f t="shared" si="5"/>
        <v>LOW RISK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</row>
    <row r="1455" spans="1:27" ht="13.2" x14ac:dyDescent="0.25">
      <c r="A1455" s="4">
        <v>2045</v>
      </c>
      <c r="B1455" s="4" t="s">
        <v>37</v>
      </c>
      <c r="C1455" s="4" t="str">
        <f>FEATURES!L1455</f>
        <v>NORMAL</v>
      </c>
      <c r="D1455" s="4" t="str">
        <f>FEATURES!R1455</f>
        <v>LOW</v>
      </c>
      <c r="E1455" s="4" t="str">
        <f>FEATURES!Q1455</f>
        <v>DISENGAGED</v>
      </c>
      <c r="F1455" s="4" t="str">
        <f>FEATURES!P1455</f>
        <v>Low_Pressure</v>
      </c>
      <c r="G1455" s="4" t="str">
        <f>FEATURES!M1455</f>
        <v>HIGH</v>
      </c>
      <c r="H1455" s="4" t="str">
        <f>FEATURES!O1455</f>
        <v>RECENTLY PROMOTED</v>
      </c>
      <c r="I1455" s="4" t="str">
        <f t="shared" si="5"/>
        <v>LOW RISK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</row>
    <row r="1456" spans="1:27" ht="13.2" x14ac:dyDescent="0.25">
      <c r="A1456" s="4">
        <v>2046</v>
      </c>
      <c r="B1456" s="4" t="s">
        <v>37</v>
      </c>
      <c r="C1456" s="4" t="str">
        <f>FEATURES!L1456</f>
        <v>NORMAL</v>
      </c>
      <c r="D1456" s="4" t="str">
        <f>FEATURES!R1456</f>
        <v>LOW</v>
      </c>
      <c r="E1456" s="4" t="str">
        <f>FEATURES!Q1456</f>
        <v>HIGHLY_ENGAGED</v>
      </c>
      <c r="F1456" s="4" t="str">
        <f>FEATURES!P1456</f>
        <v>Medium_Pressure</v>
      </c>
      <c r="G1456" s="4" t="str">
        <f>FEATURES!M1456</f>
        <v>HIGH</v>
      </c>
      <c r="H1456" s="4" t="str">
        <f>FEATURES!O1456</f>
        <v>RECENTLY PROMOTED</v>
      </c>
      <c r="I1456" s="4" t="str">
        <f t="shared" si="5"/>
        <v>LOW RISK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</row>
    <row r="1457" spans="1:27" ht="13.2" x14ac:dyDescent="0.25">
      <c r="A1457" s="4">
        <v>2048</v>
      </c>
      <c r="B1457" s="4" t="s">
        <v>45</v>
      </c>
      <c r="C1457" s="4" t="str">
        <f>FEATURES!L1457</f>
        <v>NORMAL</v>
      </c>
      <c r="D1457" s="4" t="str">
        <f>FEATURES!R1457</f>
        <v>LOW</v>
      </c>
      <c r="E1457" s="4" t="str">
        <f>FEATURES!Q1457</f>
        <v>HIGHLY_ENGAGED</v>
      </c>
      <c r="F1457" s="4" t="str">
        <f>FEATURES!P1457</f>
        <v>Medium_Pressure</v>
      </c>
      <c r="G1457" s="4" t="str">
        <f>FEATURES!M1457</f>
        <v>LOW</v>
      </c>
      <c r="H1457" s="4" t="str">
        <f>FEATURES!O1457</f>
        <v>MODERATE-WAIT</v>
      </c>
      <c r="I1457" s="4" t="str">
        <f t="shared" si="5"/>
        <v>LOW RISK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</row>
    <row r="1458" spans="1:27" ht="13.2" x14ac:dyDescent="0.25">
      <c r="A1458" s="4">
        <v>2049</v>
      </c>
      <c r="B1458" s="4" t="s">
        <v>45</v>
      </c>
      <c r="C1458" s="4" t="str">
        <f>FEATURES!L1458</f>
        <v>NORMAL</v>
      </c>
      <c r="D1458" s="4" t="str">
        <f>FEATURES!R1458</f>
        <v>LOW</v>
      </c>
      <c r="E1458" s="4" t="str">
        <f>FEATURES!Q1458</f>
        <v>HIGHLY_ENGAGED</v>
      </c>
      <c r="F1458" s="4" t="str">
        <f>FEATURES!P1458</f>
        <v>Medium_Pressure</v>
      </c>
      <c r="G1458" s="4" t="str">
        <f>FEATURES!M1458</f>
        <v>HIGH</v>
      </c>
      <c r="H1458" s="4" t="str">
        <f>FEATURES!O1458</f>
        <v>RECENTLY PROMOTED</v>
      </c>
      <c r="I1458" s="4" t="str">
        <f t="shared" si="5"/>
        <v>LOW RISK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</row>
    <row r="1459" spans="1:27" ht="13.2" x14ac:dyDescent="0.25">
      <c r="A1459" s="4">
        <v>2051</v>
      </c>
      <c r="B1459" s="4" t="s">
        <v>45</v>
      </c>
      <c r="C1459" s="4" t="str">
        <f>FEATURES!L1459</f>
        <v>NORMAL</v>
      </c>
      <c r="D1459" s="4" t="str">
        <f>FEATURES!R1459</f>
        <v>LOW</v>
      </c>
      <c r="E1459" s="4" t="str">
        <f>FEATURES!Q1459</f>
        <v>HIGHLY_ENGAGED</v>
      </c>
      <c r="F1459" s="4" t="str">
        <f>FEATURES!P1459</f>
        <v>Medium_Pressure</v>
      </c>
      <c r="G1459" s="4" t="str">
        <f>FEATURES!M1459</f>
        <v>LOW</v>
      </c>
      <c r="H1459" s="4" t="str">
        <f>FEATURES!O1459</f>
        <v>RECENTLY PROMOTED</v>
      </c>
      <c r="I1459" s="4" t="str">
        <f t="shared" si="5"/>
        <v>LOW RISK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</row>
    <row r="1460" spans="1:27" ht="13.2" x14ac:dyDescent="0.25">
      <c r="A1460" s="4">
        <v>2052</v>
      </c>
      <c r="B1460" s="4" t="s">
        <v>45</v>
      </c>
      <c r="C1460" s="4" t="str">
        <f>FEATURES!L1460</f>
        <v>NORMAL</v>
      </c>
      <c r="D1460" s="4" t="str">
        <f>FEATURES!R1460</f>
        <v>LOW</v>
      </c>
      <c r="E1460" s="4" t="str">
        <f>FEATURES!Q1460</f>
        <v>HIGHLY_ENGAGED</v>
      </c>
      <c r="F1460" s="4" t="str">
        <f>FEATURES!P1460</f>
        <v>Medium_Pressure</v>
      </c>
      <c r="G1460" s="4" t="str">
        <f>FEATURES!M1460</f>
        <v>LOW</v>
      </c>
      <c r="H1460" s="4" t="str">
        <f>FEATURES!O1460</f>
        <v>RECENTLY PROMOTED</v>
      </c>
      <c r="I1460" s="4" t="str">
        <f t="shared" si="5"/>
        <v>LOW RISK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</row>
    <row r="1461" spans="1:27" ht="13.2" x14ac:dyDescent="0.25">
      <c r="A1461" s="4">
        <v>2053</v>
      </c>
      <c r="B1461" s="4" t="s">
        <v>45</v>
      </c>
      <c r="C1461" s="4" t="str">
        <f>FEATURES!L1461</f>
        <v>NORMAL</v>
      </c>
      <c r="D1461" s="4" t="str">
        <f>FEATURES!R1461</f>
        <v>LOW</v>
      </c>
      <c r="E1461" s="4" t="str">
        <f>FEATURES!Q1461</f>
        <v>DISENGAGED</v>
      </c>
      <c r="F1461" s="4" t="str">
        <f>FEATURES!P1461</f>
        <v>Medium_Pressure</v>
      </c>
      <c r="G1461" s="4" t="str">
        <f>FEATURES!M1461</f>
        <v>HIGH</v>
      </c>
      <c r="H1461" s="4" t="str">
        <f>FEATURES!O1461</f>
        <v>RECENTLY PROMOTED</v>
      </c>
      <c r="I1461" s="4" t="str">
        <f t="shared" si="5"/>
        <v>LOW RISK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</row>
    <row r="1462" spans="1:27" ht="13.2" x14ac:dyDescent="0.25">
      <c r="A1462" s="4">
        <v>2054</v>
      </c>
      <c r="B1462" s="4" t="s">
        <v>45</v>
      </c>
      <c r="C1462" s="4" t="str">
        <f>FEATURES!L1462</f>
        <v>NORMAL</v>
      </c>
      <c r="D1462" s="4" t="str">
        <f>FEATURES!R1462</f>
        <v>LOW</v>
      </c>
      <c r="E1462" s="4" t="str">
        <f>FEATURES!Q1462</f>
        <v>DISENGAGED</v>
      </c>
      <c r="F1462" s="4" t="str">
        <f>FEATURES!P1462</f>
        <v>Low_Pressure</v>
      </c>
      <c r="G1462" s="4" t="str">
        <f>FEATURES!M1462</f>
        <v>LOW</v>
      </c>
      <c r="H1462" s="4" t="str">
        <f>FEATURES!O1462</f>
        <v>RECENTLY PROMOTED</v>
      </c>
      <c r="I1462" s="4" t="str">
        <f t="shared" si="5"/>
        <v>LOW RISK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</row>
    <row r="1463" spans="1:27" ht="13.2" x14ac:dyDescent="0.25">
      <c r="A1463" s="4">
        <v>2055</v>
      </c>
      <c r="B1463" s="4" t="s">
        <v>37</v>
      </c>
      <c r="C1463" s="4" t="str">
        <f>FEATURES!L1463</f>
        <v>NORMAL</v>
      </c>
      <c r="D1463" s="4" t="str">
        <f>FEATURES!R1463</f>
        <v>LOW</v>
      </c>
      <c r="E1463" s="4" t="str">
        <f>FEATURES!Q1463</f>
        <v>DISENGAGED</v>
      </c>
      <c r="F1463" s="4" t="str">
        <f>FEATURES!P1463</f>
        <v>Medium_Pressure</v>
      </c>
      <c r="G1463" s="4" t="str">
        <f>FEATURES!M1463</f>
        <v>MEDIUM</v>
      </c>
      <c r="H1463" s="4" t="str">
        <f>FEATURES!O1463</f>
        <v>MODERATE-WAIT</v>
      </c>
      <c r="I1463" s="4" t="str">
        <f t="shared" si="5"/>
        <v>LOW RISK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</row>
    <row r="1464" spans="1:27" ht="13.2" x14ac:dyDescent="0.25">
      <c r="A1464" s="4">
        <v>2056</v>
      </c>
      <c r="B1464" s="4" t="s">
        <v>37</v>
      </c>
      <c r="C1464" s="4" t="str">
        <f>FEATURES!L1464</f>
        <v>NORMAL</v>
      </c>
      <c r="D1464" s="4" t="str">
        <f>FEATURES!R1464</f>
        <v>LOW</v>
      </c>
      <c r="E1464" s="4" t="str">
        <f>FEATURES!Q1464</f>
        <v>DISENGAGED</v>
      </c>
      <c r="F1464" s="4" t="str">
        <f>FEATURES!P1464</f>
        <v>Low_Pressure</v>
      </c>
      <c r="G1464" s="4" t="str">
        <f>FEATURES!M1464</f>
        <v>MEDIUM</v>
      </c>
      <c r="H1464" s="4" t="str">
        <f>FEATURES!O1464</f>
        <v>STAGNANT</v>
      </c>
      <c r="I1464" s="4" t="str">
        <f t="shared" si="5"/>
        <v>LOW RISK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</row>
    <row r="1465" spans="1:27" ht="13.2" x14ac:dyDescent="0.25">
      <c r="A1465" s="4">
        <v>2057</v>
      </c>
      <c r="B1465" s="4" t="s">
        <v>45</v>
      </c>
      <c r="C1465" s="4" t="str">
        <f>FEATURES!L1465</f>
        <v>NORMAL</v>
      </c>
      <c r="D1465" s="4" t="str">
        <f>FEATURES!R1465</f>
        <v>LOW</v>
      </c>
      <c r="E1465" s="4" t="str">
        <f>FEATURES!Q1465</f>
        <v>DISENGAGED</v>
      </c>
      <c r="F1465" s="4" t="str">
        <f>FEATURES!P1465</f>
        <v>Medium_Pressure</v>
      </c>
      <c r="G1465" s="4" t="str">
        <f>FEATURES!M1465</f>
        <v>MEDIUM</v>
      </c>
      <c r="H1465" s="4" t="str">
        <f>FEATURES!O1465</f>
        <v>RECENTLY PROMOTED</v>
      </c>
      <c r="I1465" s="4" t="str">
        <f t="shared" si="5"/>
        <v>LOW RISK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</row>
    <row r="1466" spans="1:27" ht="13.2" x14ac:dyDescent="0.25">
      <c r="A1466" s="4">
        <v>2060</v>
      </c>
      <c r="B1466" s="4" t="s">
        <v>37</v>
      </c>
      <c r="C1466" s="4" t="str">
        <f>FEATURES!L1466</f>
        <v>NORMAL</v>
      </c>
      <c r="D1466" s="4" t="str">
        <f>FEATURES!R1466</f>
        <v>LOW</v>
      </c>
      <c r="E1466" s="4" t="str">
        <f>FEATURES!Q1466</f>
        <v>HIGHLY_ENGAGED</v>
      </c>
      <c r="F1466" s="4" t="str">
        <f>FEATURES!P1466</f>
        <v>Medium_Pressure</v>
      </c>
      <c r="G1466" s="4" t="str">
        <f>FEATURES!M1466</f>
        <v>LOW</v>
      </c>
      <c r="H1466" s="4" t="str">
        <f>FEATURES!O1466</f>
        <v>RECENTLY PROMOTED</v>
      </c>
      <c r="I1466" s="4" t="str">
        <f t="shared" si="5"/>
        <v>LOW RISK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</row>
    <row r="1467" spans="1:27" ht="13.2" x14ac:dyDescent="0.25">
      <c r="A1467" s="4">
        <v>2061</v>
      </c>
      <c r="B1467" s="4" t="s">
        <v>45</v>
      </c>
      <c r="C1467" s="4" t="str">
        <f>FEATURES!L1467</f>
        <v>NORMAL</v>
      </c>
      <c r="D1467" s="4" t="str">
        <f>FEATURES!R1467</f>
        <v>LOW</v>
      </c>
      <c r="E1467" s="4" t="str">
        <f>FEATURES!Q1467</f>
        <v>HIGHLY_ENGAGED</v>
      </c>
      <c r="F1467" s="4" t="str">
        <f>FEATURES!P1467</f>
        <v>Medium_Pressure</v>
      </c>
      <c r="G1467" s="4" t="str">
        <f>FEATURES!M1467</f>
        <v>LOW</v>
      </c>
      <c r="H1467" s="4" t="str">
        <f>FEATURES!O1467</f>
        <v>RECENTLY PROMOTED</v>
      </c>
      <c r="I1467" s="4" t="str">
        <f t="shared" si="5"/>
        <v>LOW RISK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</row>
    <row r="1468" spans="1:27" ht="13.2" x14ac:dyDescent="0.25">
      <c r="A1468" s="4">
        <v>2062</v>
      </c>
      <c r="B1468" s="4" t="s">
        <v>45</v>
      </c>
      <c r="C1468" s="4" t="str">
        <f>FEATURES!L1468</f>
        <v>NORMAL</v>
      </c>
      <c r="D1468" s="4" t="str">
        <f>FEATURES!R1468</f>
        <v>LOW</v>
      </c>
      <c r="E1468" s="4" t="str">
        <f>FEATURES!Q1468</f>
        <v>DISENGAGED</v>
      </c>
      <c r="F1468" s="4" t="str">
        <f>FEATURES!P1468</f>
        <v>Medium_Pressure</v>
      </c>
      <c r="G1468" s="4" t="str">
        <f>FEATURES!M1468</f>
        <v>MEDIUM</v>
      </c>
      <c r="H1468" s="4" t="str">
        <f>FEATURES!O1468</f>
        <v>RECENTLY PROMOTED</v>
      </c>
      <c r="I1468" s="4" t="str">
        <f t="shared" si="5"/>
        <v>LOW RISK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</row>
    <row r="1469" spans="1:27" ht="13.2" x14ac:dyDescent="0.25">
      <c r="A1469" s="4">
        <v>2064</v>
      </c>
      <c r="B1469" s="4" t="s">
        <v>45</v>
      </c>
      <c r="C1469" s="4" t="str">
        <f>FEATURES!L1469</f>
        <v>NORMAL</v>
      </c>
      <c r="D1469" s="4" t="str">
        <f>FEATURES!R1469</f>
        <v>LOW</v>
      </c>
      <c r="E1469" s="4" t="str">
        <f>FEATURES!Q1469</f>
        <v>DISENGAGED</v>
      </c>
      <c r="F1469" s="4" t="str">
        <f>FEATURES!P1469</f>
        <v>Medium_Pressure</v>
      </c>
      <c r="G1469" s="4" t="str">
        <f>FEATURES!M1469</f>
        <v>HIGH</v>
      </c>
      <c r="H1469" s="4" t="str">
        <f>FEATURES!O1469</f>
        <v>RECENTLY PROMOTED</v>
      </c>
      <c r="I1469" s="4" t="str">
        <f t="shared" si="5"/>
        <v>LOW RISK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</row>
    <row r="1470" spans="1:27" ht="13.2" x14ac:dyDescent="0.25">
      <c r="A1470" s="4">
        <v>2065</v>
      </c>
      <c r="B1470" s="4" t="s">
        <v>37</v>
      </c>
      <c r="C1470" s="4" t="str">
        <f>FEATURES!L1470</f>
        <v>NORMAL</v>
      </c>
      <c r="D1470" s="4" t="str">
        <f>FEATURES!R1470</f>
        <v>LOW</v>
      </c>
      <c r="E1470" s="4" t="str">
        <f>FEATURES!Q1470</f>
        <v>DISENGAGED</v>
      </c>
      <c r="F1470" s="4" t="str">
        <f>FEATURES!P1470</f>
        <v>Low_Pressure</v>
      </c>
      <c r="G1470" s="4" t="str">
        <f>FEATURES!M1470</f>
        <v>HIGH</v>
      </c>
      <c r="H1470" s="4" t="str">
        <f>FEATURES!O1470</f>
        <v>RECENTLY PROMOTED</v>
      </c>
      <c r="I1470" s="4" t="str">
        <f t="shared" si="5"/>
        <v>LOW RISK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</row>
    <row r="1471" spans="1:27" ht="13.2" x14ac:dyDescent="0.25">
      <c r="A1471" s="4">
        <v>2068</v>
      </c>
      <c r="B1471" s="4" t="s">
        <v>45</v>
      </c>
      <c r="C1471" s="4" t="str">
        <f>FEATURES!L1471</f>
        <v>NORMAL</v>
      </c>
      <c r="D1471" s="4" t="str">
        <f>FEATURES!R1471</f>
        <v>LOW</v>
      </c>
      <c r="E1471" s="4" t="str">
        <f>FEATURES!Q1471</f>
        <v>HIGHLY_ENGAGED</v>
      </c>
      <c r="F1471" s="4" t="str">
        <f>FEATURES!P1471</f>
        <v>Low_Pressure</v>
      </c>
      <c r="G1471" s="4" t="str">
        <f>FEATURES!M1471</f>
        <v>HIGH</v>
      </c>
      <c r="H1471" s="4" t="str">
        <f>FEATURES!O1471</f>
        <v>RECENTLY PROMOTED</v>
      </c>
      <c r="I1471" s="4" t="str">
        <f t="shared" si="5"/>
        <v>LOW RISK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7"/>
  <sheetViews>
    <sheetView workbookViewId="0">
      <selection activeCell="B14" sqref="B14"/>
    </sheetView>
  </sheetViews>
  <sheetFormatPr defaultColWidth="12.6640625" defaultRowHeight="15.75" customHeight="1" x14ac:dyDescent="0.25"/>
  <cols>
    <col min="1" max="1" width="14.33203125" customWidth="1"/>
    <col min="2" max="2" width="32.21875" customWidth="1"/>
    <col min="3" max="3" width="14.33203125" customWidth="1"/>
    <col min="4" max="4" width="17.88671875" customWidth="1"/>
    <col min="5" max="5" width="14" customWidth="1"/>
    <col min="6" max="6" width="67.109375" bestFit="1" customWidth="1"/>
  </cols>
  <sheetData>
    <row r="1" spans="1:9" x14ac:dyDescent="0.25">
      <c r="A1" s="7" t="s">
        <v>85</v>
      </c>
      <c r="B1" s="7" t="s">
        <v>86</v>
      </c>
      <c r="C1" s="7" t="s">
        <v>87</v>
      </c>
      <c r="D1" s="7" t="s">
        <v>88</v>
      </c>
      <c r="E1" s="7" t="s">
        <v>89</v>
      </c>
      <c r="F1" s="7" t="s">
        <v>90</v>
      </c>
    </row>
    <row r="2" spans="1:9" x14ac:dyDescent="0.25">
      <c r="A2" s="8" t="s">
        <v>91</v>
      </c>
      <c r="B2" s="8" t="s">
        <v>92</v>
      </c>
      <c r="C2" s="8" t="s">
        <v>91</v>
      </c>
      <c r="D2" s="8" t="s">
        <v>63</v>
      </c>
      <c r="E2" s="9" t="s">
        <v>93</v>
      </c>
      <c r="F2" s="8" t="s">
        <v>94</v>
      </c>
    </row>
    <row r="3" spans="1:9" x14ac:dyDescent="0.25">
      <c r="A3" s="8" t="s">
        <v>95</v>
      </c>
      <c r="B3" s="8" t="s">
        <v>96</v>
      </c>
      <c r="C3" s="8" t="s">
        <v>95</v>
      </c>
      <c r="D3" s="8" t="s">
        <v>97</v>
      </c>
      <c r="E3" s="9" t="s">
        <v>98</v>
      </c>
      <c r="F3" s="9" t="s">
        <v>99</v>
      </c>
    </row>
    <row r="4" spans="1:9" x14ac:dyDescent="0.25">
      <c r="A4" s="8" t="s">
        <v>100</v>
      </c>
      <c r="B4" s="8" t="s">
        <v>101</v>
      </c>
      <c r="C4" s="8" t="s">
        <v>100</v>
      </c>
      <c r="D4" s="8"/>
      <c r="E4" s="9" t="s">
        <v>102</v>
      </c>
      <c r="F4" s="8" t="s">
        <v>103</v>
      </c>
    </row>
    <row r="5" spans="1:9" x14ac:dyDescent="0.25">
      <c r="A5" s="8" t="s">
        <v>104</v>
      </c>
      <c r="B5" s="8" t="s">
        <v>105</v>
      </c>
      <c r="C5" s="8" t="s">
        <v>104</v>
      </c>
      <c r="D5" s="8" t="s">
        <v>106</v>
      </c>
      <c r="E5" s="9" t="s">
        <v>107</v>
      </c>
      <c r="F5" s="9" t="s">
        <v>108</v>
      </c>
      <c r="G5" s="6"/>
      <c r="H5" s="6"/>
      <c r="I5" s="6"/>
    </row>
    <row r="6" spans="1:9" x14ac:dyDescent="0.25">
      <c r="A6" s="8" t="s">
        <v>109</v>
      </c>
      <c r="B6" s="8" t="s">
        <v>110</v>
      </c>
      <c r="C6" s="8" t="s">
        <v>109</v>
      </c>
      <c r="D6" s="8" t="s">
        <v>111</v>
      </c>
      <c r="E6" s="9" t="s">
        <v>112</v>
      </c>
      <c r="F6" s="8" t="s">
        <v>113</v>
      </c>
    </row>
    <row r="7" spans="1:9" x14ac:dyDescent="0.25">
      <c r="A7" s="8" t="s">
        <v>114</v>
      </c>
      <c r="B7" s="8" t="s">
        <v>115</v>
      </c>
      <c r="C7" s="8" t="s">
        <v>114</v>
      </c>
      <c r="D7" s="8" t="s">
        <v>116</v>
      </c>
      <c r="E7" s="9" t="s">
        <v>117</v>
      </c>
      <c r="F7" s="8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CLEAN_DATA</vt:lpstr>
      <vt:lpstr>FEATURES</vt:lpstr>
      <vt:lpstr>SEGMENTS</vt:lpstr>
      <vt:lpstr>DATA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vicky pant</cp:lastModifiedBy>
  <dcterms:modified xsi:type="dcterms:W3CDTF">2026-02-07T12:24:55Z</dcterms:modified>
</cp:coreProperties>
</file>